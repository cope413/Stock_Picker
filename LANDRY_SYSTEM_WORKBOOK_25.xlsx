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ables/table10.xml" ContentType="application/vnd.openxmlformats-officedocument.spreadsheetml.table+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lan/GitHub/Stock_Picker/"/>
    </mc:Choice>
  </mc:AlternateContent>
  <xr:revisionPtr revIDLastSave="0" documentId="8_{1E2ADC49-3097-254A-AB0F-F233F04BBF2B}" xr6:coauthVersionLast="47" xr6:coauthVersionMax="47" xr10:uidLastSave="{00000000-0000-0000-0000-000000000000}"/>
  <bookViews>
    <workbookView xWindow="0" yWindow="0" windowWidth="25600" windowHeight="16000" tabRatio="500" activeTab="1" xr2:uid="{00000000-000D-0000-FFFF-FFFF00000000}"/>
  </bookViews>
  <sheets>
    <sheet name="Instructions" sheetId="1" r:id="rId1"/>
    <sheet name="Action Items" sheetId="2" r:id="rId2"/>
    <sheet name="Current Positions" sheetId="3" r:id="rId3"/>
    <sheet name="Monitor &amp; Recheck Triggers" sheetId="4" r:id="rId4"/>
    <sheet name="Price History" sheetId="5" r:id="rId5"/>
    <sheet name="Dashboard" sheetId="6" r:id="rId6"/>
    <sheet name="Scoring" sheetId="7" r:id="rId7"/>
    <sheet name="Entry Checklist" sheetId="8" r:id="rId8"/>
    <sheet name="Market Data" sheetId="9" r:id="rId9"/>
    <sheet name="Returns (Calc)" sheetId="10" r:id="rId10"/>
    <sheet name="Correlation Matrix" sheetId="11" r:id="rId11"/>
    <sheet name="Portfolio Drawdown Log" sheetId="12" r:id="rId12"/>
    <sheet name="Watch List Tracker" sheetId="13" r:id="rId13"/>
    <sheet name="Implied-Return Calculator" sheetId="14" r:id="rId14"/>
    <sheet name="Holding Monitor" sheetId="15" r:id="rId15"/>
    <sheet name="Performance Tracking" sheetId="16" r:id="rId16"/>
    <sheet name="Journal" sheetId="17" r:id="rId17"/>
    <sheet name="Process Checklist" sheetId="18" r:id="rId18"/>
    <sheet name="Open Items" sheetId="19" r:id="rId19"/>
    <sheet name="Schema Reference" sheetId="20" r:id="rId20"/>
    <sheet name="Scratchpad (disregard)" sheetId="21" r:id="rId21"/>
  </sheets>
  <definedNames>
    <definedName name="_xlnm._FilterDatabase" localSheetId="8" hidden="1">'Market Data'!$A$2:$I$44</definedName>
    <definedName name="_xlnm._FilterDatabase" localSheetId="6" hidden="1">Scoring!$A$2:$AS$62</definedName>
    <definedName name="_xlnm.Print_Area" localSheetId="16">Journal!$A$1:$C$302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S23" i="14" l="1"/>
  <c r="T23" i="14"/>
  <c r="U23" i="14"/>
  <c r="S24" i="14"/>
  <c r="T24" i="14"/>
  <c r="U24" i="14"/>
  <c r="S25" i="14"/>
  <c r="T25" i="14"/>
  <c r="U25" i="14"/>
  <c r="S26" i="14"/>
  <c r="T26" i="14"/>
  <c r="U26" i="14"/>
  <c r="S27" i="14"/>
  <c r="T27" i="14"/>
  <c r="U27" i="14"/>
  <c r="S28" i="14"/>
  <c r="T28" i="14"/>
  <c r="U28" i="14"/>
  <c r="S29" i="14"/>
  <c r="T29" i="14"/>
  <c r="U29" i="14"/>
  <c r="S30" i="14"/>
  <c r="T30" i="14"/>
  <c r="U30" i="14"/>
  <c r="S31" i="14"/>
  <c r="T31" i="14"/>
  <c r="U31" i="14"/>
  <c r="S32" i="14"/>
  <c r="T32" i="14"/>
  <c r="U32" i="14"/>
  <c r="S33" i="14"/>
  <c r="T33" i="14"/>
  <c r="U33" i="14"/>
  <c r="S34" i="14"/>
  <c r="T34" i="14"/>
  <c r="U34" i="14"/>
  <c r="S35" i="14"/>
  <c r="T35" i="14"/>
  <c r="U35" i="14"/>
  <c r="S36" i="14"/>
  <c r="T36" i="14"/>
  <c r="U36" i="14"/>
  <c r="S37" i="14"/>
  <c r="T37" i="14"/>
  <c r="U37" i="14"/>
  <c r="S38" i="14"/>
  <c r="T38" i="14"/>
  <c r="U38" i="14"/>
  <c r="S39" i="14"/>
  <c r="T39" i="14"/>
  <c r="U39" i="14"/>
  <c r="S40" i="14"/>
  <c r="T40" i="14"/>
  <c r="U40" i="14"/>
  <c r="S41" i="14"/>
  <c r="T41" i="14"/>
  <c r="U41" i="14"/>
  <c r="S42" i="14"/>
  <c r="T42" i="14"/>
  <c r="U42" i="14"/>
  <c r="S43" i="14"/>
  <c r="T43" i="14"/>
  <c r="U43" i="14"/>
  <c r="S44" i="14"/>
  <c r="T44" i="14"/>
  <c r="U44" i="14"/>
  <c r="S45" i="14"/>
  <c r="T45" i="14"/>
  <c r="U45" i="14"/>
  <c r="S46" i="14"/>
  <c r="T46" i="14"/>
  <c r="U46" i="14"/>
  <c r="S47" i="14"/>
  <c r="T47" i="14"/>
  <c r="U47" i="14"/>
  <c r="S48" i="14"/>
  <c r="T48" i="14"/>
  <c r="U48" i="14"/>
  <c r="S49" i="14"/>
  <c r="T49" i="14"/>
  <c r="U49" i="14"/>
  <c r="S50" i="14"/>
  <c r="T50" i="14"/>
  <c r="U50" i="14"/>
  <c r="C2" i="19"/>
  <c r="E117" i="18"/>
  <c r="F117" i="18" s="1"/>
  <c r="E116" i="18"/>
  <c r="F116" i="18" s="1"/>
  <c r="E115" i="18"/>
  <c r="F115" i="18" s="1"/>
  <c r="E114" i="18"/>
  <c r="F114" i="18" s="1"/>
  <c r="E113" i="18"/>
  <c r="F113" i="18" s="1"/>
  <c r="E112" i="18"/>
  <c r="F112" i="18" s="1"/>
  <c r="E111" i="18"/>
  <c r="F111" i="18" s="1"/>
  <c r="E110" i="18"/>
  <c r="F110" i="18" s="1"/>
  <c r="E109" i="18"/>
  <c r="F109" i="18" s="1"/>
  <c r="E108" i="18"/>
  <c r="F108" i="18" s="1"/>
  <c r="E107" i="18"/>
  <c r="F107" i="18" s="1"/>
  <c r="E106" i="18"/>
  <c r="F106" i="18" s="1"/>
  <c r="E105" i="18"/>
  <c r="F105" i="18" s="1"/>
  <c r="E104" i="18"/>
  <c r="F104" i="18" s="1"/>
  <c r="E103" i="18"/>
  <c r="F103" i="18" s="1"/>
  <c r="E102" i="18"/>
  <c r="F102" i="18" s="1"/>
  <c r="E101" i="18"/>
  <c r="F101" i="18" s="1"/>
  <c r="E100" i="18"/>
  <c r="F100" i="18" s="1"/>
  <c r="E99" i="18"/>
  <c r="F99" i="18" s="1"/>
  <c r="E98" i="18"/>
  <c r="F98" i="18" s="1"/>
  <c r="E97" i="18"/>
  <c r="F97" i="18" s="1"/>
  <c r="E96" i="18"/>
  <c r="F96" i="18" s="1"/>
  <c r="E95" i="18"/>
  <c r="F95" i="18" s="1"/>
  <c r="E94" i="18"/>
  <c r="F94" i="18" s="1"/>
  <c r="E93" i="18"/>
  <c r="F93" i="18" s="1"/>
  <c r="E92" i="18"/>
  <c r="F92" i="18" s="1"/>
  <c r="E91" i="18"/>
  <c r="F91" i="18" s="1"/>
  <c r="E90" i="18"/>
  <c r="F90" i="18" s="1"/>
  <c r="E89" i="18"/>
  <c r="F89" i="18" s="1"/>
  <c r="E88" i="18"/>
  <c r="F88" i="18" s="1"/>
  <c r="E87" i="18"/>
  <c r="F87" i="18" s="1"/>
  <c r="E86" i="18"/>
  <c r="F86" i="18" s="1"/>
  <c r="E85" i="18"/>
  <c r="F85" i="18" s="1"/>
  <c r="E84" i="18"/>
  <c r="F84" i="18" s="1"/>
  <c r="E83" i="18"/>
  <c r="F83" i="18" s="1"/>
  <c r="E82" i="18"/>
  <c r="F82" i="18" s="1"/>
  <c r="E81" i="18"/>
  <c r="F81" i="18" s="1"/>
  <c r="E80" i="18"/>
  <c r="F80" i="18" s="1"/>
  <c r="E79" i="18"/>
  <c r="F79" i="18" s="1"/>
  <c r="E78" i="18"/>
  <c r="F78" i="18" s="1"/>
  <c r="E77" i="18"/>
  <c r="F77" i="18" s="1"/>
  <c r="E76" i="18"/>
  <c r="F76" i="18" s="1"/>
  <c r="E75" i="18"/>
  <c r="F75" i="18" s="1"/>
  <c r="E74" i="18"/>
  <c r="F74" i="18" s="1"/>
  <c r="E73" i="18"/>
  <c r="F73" i="18" s="1"/>
  <c r="E72" i="18"/>
  <c r="F72" i="18" s="1"/>
  <c r="E71" i="18"/>
  <c r="F71" i="18" s="1"/>
  <c r="E70" i="18"/>
  <c r="F70" i="18" s="1"/>
  <c r="E69" i="18"/>
  <c r="F69" i="18" s="1"/>
  <c r="E68" i="18"/>
  <c r="F68" i="18" s="1"/>
  <c r="E67" i="18"/>
  <c r="F67" i="18" s="1"/>
  <c r="E66" i="18"/>
  <c r="F66" i="18" s="1"/>
  <c r="E65" i="18"/>
  <c r="F65" i="18" s="1"/>
  <c r="E64" i="18"/>
  <c r="F64" i="18" s="1"/>
  <c r="E63" i="18"/>
  <c r="F63" i="18" s="1"/>
  <c r="E62" i="18"/>
  <c r="F62" i="18" s="1"/>
  <c r="E61" i="18"/>
  <c r="F61" i="18" s="1"/>
  <c r="E60" i="18"/>
  <c r="F60" i="18" s="1"/>
  <c r="E59" i="18"/>
  <c r="F59" i="18" s="1"/>
  <c r="E58" i="18"/>
  <c r="F58" i="18" s="1"/>
  <c r="E57" i="18"/>
  <c r="F57" i="18" s="1"/>
  <c r="E56" i="18"/>
  <c r="F56" i="18" s="1"/>
  <c r="E55" i="18"/>
  <c r="F55" i="18" s="1"/>
  <c r="E54" i="18"/>
  <c r="F54" i="18" s="1"/>
  <c r="E53" i="18"/>
  <c r="F53" i="18" s="1"/>
  <c r="E52" i="18"/>
  <c r="F52" i="18" s="1"/>
  <c r="E51" i="18"/>
  <c r="F51" i="18" s="1"/>
  <c r="E50" i="18"/>
  <c r="F50" i="18" s="1"/>
  <c r="E49" i="18"/>
  <c r="F49" i="18" s="1"/>
  <c r="E48" i="18"/>
  <c r="F48" i="18" s="1"/>
  <c r="E47" i="18"/>
  <c r="F47" i="18" s="1"/>
  <c r="E46" i="18"/>
  <c r="F46" i="18" s="1"/>
  <c r="E45" i="18"/>
  <c r="F45" i="18" s="1"/>
  <c r="E44" i="18"/>
  <c r="F44" i="18" s="1"/>
  <c r="E43" i="18"/>
  <c r="F43" i="18" s="1"/>
  <c r="E42" i="18"/>
  <c r="F42" i="18" s="1"/>
  <c r="E41" i="18"/>
  <c r="F41" i="18" s="1"/>
  <c r="F40" i="18"/>
  <c r="E40" i="18"/>
  <c r="F39" i="18"/>
  <c r="E39" i="18"/>
  <c r="F38" i="18"/>
  <c r="E38" i="18"/>
  <c r="F37" i="18"/>
  <c r="E37" i="18"/>
  <c r="F36" i="18"/>
  <c r="E36" i="18"/>
  <c r="F35" i="18"/>
  <c r="E35" i="18"/>
  <c r="F34" i="18"/>
  <c r="E34" i="18"/>
  <c r="F33" i="18"/>
  <c r="E33" i="18"/>
  <c r="F32" i="18"/>
  <c r="E32" i="18"/>
  <c r="E31" i="18"/>
  <c r="F31" i="18" s="1"/>
  <c r="E30" i="18"/>
  <c r="F30" i="18" s="1"/>
  <c r="E29" i="18"/>
  <c r="F29" i="18" s="1"/>
  <c r="E28" i="18"/>
  <c r="F28" i="18" s="1"/>
  <c r="E27" i="18"/>
  <c r="F27" i="18" s="1"/>
  <c r="E26" i="18"/>
  <c r="F26" i="18" s="1"/>
  <c r="E25" i="18"/>
  <c r="F25" i="18" s="1"/>
  <c r="E24" i="18"/>
  <c r="F24" i="18" s="1"/>
  <c r="E23" i="18"/>
  <c r="F23" i="18" s="1"/>
  <c r="E22" i="18"/>
  <c r="F22" i="18" s="1"/>
  <c r="E21" i="18"/>
  <c r="F21" i="18" s="1"/>
  <c r="E20" i="18"/>
  <c r="F20" i="18" s="1"/>
  <c r="E19" i="18"/>
  <c r="F19" i="18" s="1"/>
  <c r="E18" i="18"/>
  <c r="F18" i="18" s="1"/>
  <c r="E17" i="18"/>
  <c r="F17" i="18" s="1"/>
  <c r="E16" i="18"/>
  <c r="F16" i="18" s="1"/>
  <c r="E15" i="18"/>
  <c r="F15" i="18" s="1"/>
  <c r="E14" i="18"/>
  <c r="F14" i="18" s="1"/>
  <c r="E13" i="18"/>
  <c r="F13" i="18" s="1"/>
  <c r="E12" i="18"/>
  <c r="F12" i="18" s="1"/>
  <c r="E11" i="18"/>
  <c r="F11" i="18" s="1"/>
  <c r="E10" i="18"/>
  <c r="F10" i="18" s="1"/>
  <c r="E9" i="18"/>
  <c r="F9" i="18" s="1"/>
  <c r="E8" i="18"/>
  <c r="F8" i="18" s="1"/>
  <c r="E7" i="18"/>
  <c r="F7" i="18" s="1"/>
  <c r="E6" i="18"/>
  <c r="F6" i="18" s="1"/>
  <c r="F5" i="18"/>
  <c r="E5" i="18"/>
  <c r="Q32" i="16"/>
  <c r="P32" i="16"/>
  <c r="O32" i="16"/>
  <c r="P31" i="16"/>
  <c r="O31" i="16"/>
  <c r="Q31" i="16" s="1"/>
  <c r="Q30" i="16"/>
  <c r="P30" i="16"/>
  <c r="O30" i="16"/>
  <c r="P29" i="16"/>
  <c r="O29" i="16"/>
  <c r="Q28" i="16"/>
  <c r="P28" i="16"/>
  <c r="O28" i="16"/>
  <c r="Q27" i="16"/>
  <c r="P27" i="16"/>
  <c r="O27" i="16"/>
  <c r="Q26" i="16"/>
  <c r="P26" i="16"/>
  <c r="O26" i="16"/>
  <c r="P25" i="16"/>
  <c r="O25" i="16"/>
  <c r="Q25" i="16" s="1"/>
  <c r="Q24" i="16"/>
  <c r="P24" i="16"/>
  <c r="O24" i="16"/>
  <c r="P23" i="16"/>
  <c r="O23" i="16"/>
  <c r="Q22" i="16"/>
  <c r="P22" i="16"/>
  <c r="O22" i="16"/>
  <c r="P21" i="16"/>
  <c r="O21" i="16"/>
  <c r="P20" i="16"/>
  <c r="O20" i="16"/>
  <c r="Q20" i="16" s="1"/>
  <c r="Q19" i="16"/>
  <c r="P19" i="16"/>
  <c r="O19" i="16"/>
  <c r="Q18" i="16"/>
  <c r="P18" i="16"/>
  <c r="O18" i="16"/>
  <c r="P17" i="16"/>
  <c r="O17" i="16"/>
  <c r="Q16" i="16"/>
  <c r="P16" i="16"/>
  <c r="O16" i="16"/>
  <c r="P15" i="16"/>
  <c r="O15" i="16"/>
  <c r="P14" i="16"/>
  <c r="O14" i="16"/>
  <c r="Q14" i="16" s="1"/>
  <c r="P13" i="16"/>
  <c r="O13" i="16"/>
  <c r="P12" i="16"/>
  <c r="O12" i="16"/>
  <c r="Q12" i="16" s="1"/>
  <c r="P11" i="16"/>
  <c r="Q11" i="16" s="1"/>
  <c r="O11" i="16"/>
  <c r="Q10" i="16"/>
  <c r="P10" i="16"/>
  <c r="O10" i="16"/>
  <c r="P9" i="16"/>
  <c r="O9" i="16"/>
  <c r="P8" i="16"/>
  <c r="O8" i="16"/>
  <c r="Q8" i="16" s="1"/>
  <c r="P7" i="16"/>
  <c r="O7" i="16"/>
  <c r="P6" i="16"/>
  <c r="O6" i="16"/>
  <c r="Q6" i="16" s="1"/>
  <c r="P5" i="16"/>
  <c r="O5" i="16"/>
  <c r="Q5" i="16" s="1"/>
  <c r="Q4" i="16"/>
  <c r="P4" i="16"/>
  <c r="O4" i="16"/>
  <c r="P3" i="16"/>
  <c r="Q3" i="16" s="1"/>
  <c r="O3" i="16"/>
  <c r="Z23" i="15"/>
  <c r="S23" i="15"/>
  <c r="P23" i="15"/>
  <c r="M23" i="15"/>
  <c r="J23" i="15"/>
  <c r="G23" i="15"/>
  <c r="AB23" i="15" s="1"/>
  <c r="Z22" i="15"/>
  <c r="S22" i="15"/>
  <c r="P22" i="15"/>
  <c r="M22" i="15"/>
  <c r="J22" i="15"/>
  <c r="G22" i="15"/>
  <c r="Z21" i="15"/>
  <c r="S21" i="15"/>
  <c r="P21" i="15"/>
  <c r="M21" i="15"/>
  <c r="J21" i="15"/>
  <c r="G21" i="15"/>
  <c r="AB21" i="15" s="1"/>
  <c r="Z20" i="15"/>
  <c r="S20" i="15"/>
  <c r="P20" i="15"/>
  <c r="M20" i="15"/>
  <c r="J20" i="15"/>
  <c r="AB20" i="15" s="1"/>
  <c r="G20" i="15"/>
  <c r="Z19" i="15"/>
  <c r="S19" i="15"/>
  <c r="P19" i="15"/>
  <c r="M19" i="15"/>
  <c r="J19" i="15"/>
  <c r="G19" i="15"/>
  <c r="AB19" i="15" s="1"/>
  <c r="Z18" i="15"/>
  <c r="S18" i="15"/>
  <c r="P18" i="15"/>
  <c r="M18" i="15"/>
  <c r="J18" i="15"/>
  <c r="G18" i="15"/>
  <c r="Z17" i="15"/>
  <c r="S17" i="15"/>
  <c r="P17" i="15"/>
  <c r="M17" i="15"/>
  <c r="J17" i="15"/>
  <c r="G17" i="15"/>
  <c r="AB17" i="15" s="1"/>
  <c r="Z16" i="15"/>
  <c r="S16" i="15"/>
  <c r="P16" i="15"/>
  <c r="M16" i="15"/>
  <c r="J16" i="15"/>
  <c r="G16" i="15"/>
  <c r="Z15" i="15"/>
  <c r="S15" i="15"/>
  <c r="P15" i="15"/>
  <c r="M15" i="15"/>
  <c r="J15" i="15"/>
  <c r="G15" i="15"/>
  <c r="AB15" i="15" s="1"/>
  <c r="Z14" i="15"/>
  <c r="S14" i="15"/>
  <c r="P14" i="15"/>
  <c r="M14" i="15"/>
  <c r="J14" i="15"/>
  <c r="G14" i="15"/>
  <c r="AB14" i="15" s="1"/>
  <c r="AB13" i="15"/>
  <c r="Z13" i="15"/>
  <c r="S13" i="15"/>
  <c r="P13" i="15"/>
  <c r="M13" i="15"/>
  <c r="J13" i="15"/>
  <c r="G13" i="15"/>
  <c r="AB12" i="15"/>
  <c r="Z12" i="15"/>
  <c r="S12" i="15"/>
  <c r="P12" i="15"/>
  <c r="M12" i="15"/>
  <c r="J12" i="15"/>
  <c r="G12" i="15"/>
  <c r="Z11" i="15"/>
  <c r="S11" i="15"/>
  <c r="P11" i="15"/>
  <c r="M11" i="15"/>
  <c r="J11" i="15"/>
  <c r="G11" i="15"/>
  <c r="AB11" i="15" s="1"/>
  <c r="Z10" i="15"/>
  <c r="S10" i="15"/>
  <c r="P10" i="15"/>
  <c r="M10" i="15"/>
  <c r="J10" i="15"/>
  <c r="G10" i="15"/>
  <c r="Z9" i="15"/>
  <c r="S9" i="15"/>
  <c r="P9" i="15"/>
  <c r="M9" i="15"/>
  <c r="J9" i="15"/>
  <c r="G9" i="15"/>
  <c r="AB9" i="15" s="1"/>
  <c r="Z8" i="15"/>
  <c r="S8" i="15"/>
  <c r="P8" i="15"/>
  <c r="M8" i="15"/>
  <c r="J8" i="15"/>
  <c r="G8" i="15"/>
  <c r="AB7" i="15"/>
  <c r="Z7" i="15"/>
  <c r="S7" i="15"/>
  <c r="P7" i="15"/>
  <c r="M7" i="15"/>
  <c r="J7" i="15"/>
  <c r="G7" i="15"/>
  <c r="Z6" i="15"/>
  <c r="S6" i="15"/>
  <c r="P6" i="15"/>
  <c r="M6" i="15"/>
  <c r="J6" i="15"/>
  <c r="G6" i="15"/>
  <c r="Z5" i="15"/>
  <c r="S5" i="15"/>
  <c r="AB5" i="15" s="1"/>
  <c r="P5" i="15"/>
  <c r="M5" i="15"/>
  <c r="J5" i="15"/>
  <c r="G5" i="15"/>
  <c r="Z4" i="15"/>
  <c r="S4" i="15"/>
  <c r="P4" i="15"/>
  <c r="AB4" i="15" s="1"/>
  <c r="M4" i="15"/>
  <c r="J4" i="15"/>
  <c r="G4" i="15"/>
  <c r="Q50" i="14"/>
  <c r="L50" i="14"/>
  <c r="G50" i="14"/>
  <c r="Q49" i="14"/>
  <c r="L49" i="14"/>
  <c r="G49" i="14"/>
  <c r="Q48" i="14"/>
  <c r="L48" i="14"/>
  <c r="G48" i="14"/>
  <c r="Q47" i="14"/>
  <c r="L47" i="14"/>
  <c r="G47" i="14"/>
  <c r="Q46" i="14"/>
  <c r="L46" i="14"/>
  <c r="G46" i="14"/>
  <c r="Q45" i="14"/>
  <c r="L45" i="14"/>
  <c r="G45" i="14"/>
  <c r="Q44" i="14"/>
  <c r="L44" i="14"/>
  <c r="G44" i="14"/>
  <c r="Q43" i="14"/>
  <c r="L43" i="14"/>
  <c r="G43" i="14"/>
  <c r="Q42" i="14"/>
  <c r="L42" i="14"/>
  <c r="G42" i="14"/>
  <c r="Q41" i="14"/>
  <c r="L41" i="14"/>
  <c r="G41" i="14"/>
  <c r="Q40" i="14"/>
  <c r="L40" i="14"/>
  <c r="G40" i="14"/>
  <c r="Q39" i="14"/>
  <c r="L39" i="14"/>
  <c r="G39" i="14"/>
  <c r="Q38" i="14"/>
  <c r="L38" i="14"/>
  <c r="G38" i="14"/>
  <c r="Q37" i="14"/>
  <c r="L37" i="14"/>
  <c r="G37" i="14"/>
  <c r="Q36" i="14"/>
  <c r="L36" i="14"/>
  <c r="G36" i="14"/>
  <c r="Q35" i="14"/>
  <c r="L35" i="14"/>
  <c r="G35" i="14"/>
  <c r="Q34" i="14"/>
  <c r="L34" i="14"/>
  <c r="G34" i="14"/>
  <c r="Q33" i="14"/>
  <c r="L33" i="14"/>
  <c r="G33" i="14"/>
  <c r="Q32" i="14"/>
  <c r="L32" i="14"/>
  <c r="G32" i="14"/>
  <c r="Q31" i="14"/>
  <c r="L31" i="14"/>
  <c r="G31" i="14"/>
  <c r="Q30" i="14"/>
  <c r="L30" i="14"/>
  <c r="G30" i="14"/>
  <c r="Q29" i="14"/>
  <c r="L29" i="14"/>
  <c r="G29" i="14"/>
  <c r="Q28" i="14"/>
  <c r="L28" i="14"/>
  <c r="G28" i="14"/>
  <c r="Q27" i="14"/>
  <c r="L27" i="14"/>
  <c r="G27" i="14"/>
  <c r="Q26" i="14"/>
  <c r="L26" i="14"/>
  <c r="G26" i="14"/>
  <c r="Q25" i="14"/>
  <c r="L25" i="14"/>
  <c r="G25" i="14"/>
  <c r="Q24" i="14"/>
  <c r="L24" i="14"/>
  <c r="G24" i="14"/>
  <c r="Q23" i="14"/>
  <c r="L23" i="14"/>
  <c r="G23" i="14"/>
  <c r="U22" i="14"/>
  <c r="T22" i="14"/>
  <c r="S22" i="14"/>
  <c r="Q22" i="14"/>
  <c r="L22" i="14"/>
  <c r="G22" i="14"/>
  <c r="U21" i="14"/>
  <c r="S21" i="14"/>
  <c r="Q21" i="14"/>
  <c r="L21" i="14"/>
  <c r="T21" i="14" s="1"/>
  <c r="G21" i="14"/>
  <c r="U20" i="14"/>
  <c r="Q20" i="14"/>
  <c r="L20" i="14"/>
  <c r="T20" i="14" s="1"/>
  <c r="G20" i="14"/>
  <c r="S20" i="14" s="1"/>
  <c r="U19" i="14"/>
  <c r="S19" i="14"/>
  <c r="Q19" i="14"/>
  <c r="L19" i="14"/>
  <c r="T19" i="14" s="1"/>
  <c r="G19" i="14"/>
  <c r="U18" i="14"/>
  <c r="S18" i="14"/>
  <c r="Q18" i="14"/>
  <c r="L18" i="14"/>
  <c r="T18" i="14" s="1"/>
  <c r="G18" i="14"/>
  <c r="U17" i="14"/>
  <c r="S17" i="14"/>
  <c r="Q17" i="14"/>
  <c r="L17" i="14"/>
  <c r="T17" i="14" s="1"/>
  <c r="G17" i="14"/>
  <c r="U16" i="14"/>
  <c r="S16" i="14"/>
  <c r="Q16" i="14"/>
  <c r="L16" i="14"/>
  <c r="T16" i="14" s="1"/>
  <c r="G16" i="14"/>
  <c r="U15" i="14"/>
  <c r="S15" i="14"/>
  <c r="Q15" i="14"/>
  <c r="L15" i="14"/>
  <c r="T15" i="14" s="1"/>
  <c r="G15" i="14"/>
  <c r="U14" i="14"/>
  <c r="S14" i="14"/>
  <c r="Q14" i="14"/>
  <c r="L14" i="14"/>
  <c r="T14" i="14" s="1"/>
  <c r="G14" i="14"/>
  <c r="U13" i="14"/>
  <c r="S13" i="14"/>
  <c r="Q13" i="14"/>
  <c r="L13" i="14"/>
  <c r="T13" i="14" s="1"/>
  <c r="G13" i="14"/>
  <c r="U12" i="14"/>
  <c r="Q12" i="14"/>
  <c r="L12" i="14"/>
  <c r="T12" i="14" s="1"/>
  <c r="G12" i="14"/>
  <c r="S12" i="14" s="1"/>
  <c r="U11" i="14"/>
  <c r="S11" i="14"/>
  <c r="Q11" i="14"/>
  <c r="L11" i="14"/>
  <c r="T11" i="14" s="1"/>
  <c r="G11" i="14"/>
  <c r="U10" i="14"/>
  <c r="S10" i="14"/>
  <c r="Q10" i="14"/>
  <c r="L10" i="14"/>
  <c r="T10" i="14" s="1"/>
  <c r="G10" i="14"/>
  <c r="U9" i="14"/>
  <c r="S9" i="14"/>
  <c r="Q9" i="14"/>
  <c r="L9" i="14"/>
  <c r="T9" i="14" s="1"/>
  <c r="G9" i="14"/>
  <c r="U8" i="14"/>
  <c r="Q8" i="14"/>
  <c r="L8" i="14"/>
  <c r="T8" i="14" s="1"/>
  <c r="G8" i="14"/>
  <c r="S8" i="14" s="1"/>
  <c r="U7" i="14"/>
  <c r="S7" i="14"/>
  <c r="Q7" i="14"/>
  <c r="L7" i="14"/>
  <c r="T7" i="14" s="1"/>
  <c r="G7" i="14"/>
  <c r="U6" i="14"/>
  <c r="S6" i="14"/>
  <c r="Q6" i="14"/>
  <c r="L6" i="14"/>
  <c r="T6" i="14" s="1"/>
  <c r="G6" i="14"/>
  <c r="U5" i="14"/>
  <c r="S5" i="14"/>
  <c r="Q5" i="14"/>
  <c r="L5" i="14"/>
  <c r="T5" i="14" s="1"/>
  <c r="G5" i="14"/>
  <c r="U4" i="14"/>
  <c r="Q4" i="14"/>
  <c r="L4" i="14"/>
  <c r="T4" i="14" s="1"/>
  <c r="G4" i="14"/>
  <c r="S4" i="14" s="1"/>
  <c r="K22" i="13"/>
  <c r="I22" i="13"/>
  <c r="J22" i="13" s="1"/>
  <c r="K21" i="13"/>
  <c r="J21" i="13"/>
  <c r="I21" i="13"/>
  <c r="K20" i="13"/>
  <c r="J20" i="13"/>
  <c r="I20" i="13"/>
  <c r="K19" i="13"/>
  <c r="J19" i="13"/>
  <c r="I19" i="13"/>
  <c r="K18" i="13"/>
  <c r="I18" i="13"/>
  <c r="J18" i="13" s="1"/>
  <c r="K17" i="13"/>
  <c r="J17" i="13"/>
  <c r="I17" i="13"/>
  <c r="K16" i="13"/>
  <c r="I16" i="13"/>
  <c r="J16" i="13" s="1"/>
  <c r="K15" i="13"/>
  <c r="J15" i="13"/>
  <c r="I15" i="13"/>
  <c r="K14" i="13"/>
  <c r="I14" i="13"/>
  <c r="J14" i="13" s="1"/>
  <c r="K13" i="13"/>
  <c r="J13" i="13"/>
  <c r="I13" i="13"/>
  <c r="K12" i="13"/>
  <c r="J12" i="13"/>
  <c r="I12" i="13"/>
  <c r="K11" i="13"/>
  <c r="J11" i="13"/>
  <c r="I11" i="13"/>
  <c r="K10" i="13"/>
  <c r="I10" i="13"/>
  <c r="J10" i="13" s="1"/>
  <c r="K9" i="13"/>
  <c r="J9" i="13"/>
  <c r="I9" i="13"/>
  <c r="K8" i="13"/>
  <c r="I8" i="13"/>
  <c r="J8" i="13" s="1"/>
  <c r="K7" i="13"/>
  <c r="I7" i="13"/>
  <c r="J7" i="13" s="1"/>
  <c r="K6" i="13"/>
  <c r="I6" i="13"/>
  <c r="J6" i="13" s="1"/>
  <c r="K5" i="13"/>
  <c r="J5" i="13"/>
  <c r="I5" i="13"/>
  <c r="K4" i="13"/>
  <c r="I4" i="13"/>
  <c r="J4" i="13" s="1"/>
  <c r="K3" i="13"/>
  <c r="J3" i="13"/>
  <c r="I3" i="13"/>
  <c r="G42" i="12"/>
  <c r="E42" i="12"/>
  <c r="F42" i="12" s="1"/>
  <c r="D42" i="12"/>
  <c r="C42" i="12"/>
  <c r="D41" i="12"/>
  <c r="E41" i="12" s="1"/>
  <c r="G41" i="12" s="1"/>
  <c r="C41" i="12"/>
  <c r="F40" i="12"/>
  <c r="E40" i="12"/>
  <c r="G40" i="12" s="1"/>
  <c r="C40" i="12"/>
  <c r="D40" i="12" s="1"/>
  <c r="C39" i="12"/>
  <c r="D39" i="12" s="1"/>
  <c r="E39" i="12" s="1"/>
  <c r="C38" i="12"/>
  <c r="D38" i="12" s="1"/>
  <c r="E38" i="12" s="1"/>
  <c r="F37" i="12"/>
  <c r="E37" i="12"/>
  <c r="G37" i="12" s="1"/>
  <c r="D37" i="12"/>
  <c r="C37" i="12"/>
  <c r="G36" i="12"/>
  <c r="E36" i="12"/>
  <c r="F36" i="12" s="1"/>
  <c r="C36" i="12"/>
  <c r="D36" i="12" s="1"/>
  <c r="G35" i="12"/>
  <c r="F35" i="12"/>
  <c r="D35" i="12"/>
  <c r="E35" i="12" s="1"/>
  <c r="C35" i="12"/>
  <c r="E34" i="12"/>
  <c r="F34" i="12" s="1"/>
  <c r="D34" i="12"/>
  <c r="C34" i="12"/>
  <c r="F33" i="12"/>
  <c r="D33" i="12"/>
  <c r="E33" i="12" s="1"/>
  <c r="G33" i="12" s="1"/>
  <c r="C33" i="12"/>
  <c r="E32" i="12"/>
  <c r="F32" i="12" s="1"/>
  <c r="C32" i="12"/>
  <c r="D32" i="12" s="1"/>
  <c r="D31" i="12"/>
  <c r="E31" i="12" s="1"/>
  <c r="G31" i="12" s="1"/>
  <c r="C31" i="12"/>
  <c r="C30" i="12"/>
  <c r="D30" i="12" s="1"/>
  <c r="E30" i="12" s="1"/>
  <c r="F29" i="12"/>
  <c r="E29" i="12"/>
  <c r="G29" i="12" s="1"/>
  <c r="D29" i="12"/>
  <c r="C29" i="12"/>
  <c r="G28" i="12"/>
  <c r="E28" i="12"/>
  <c r="F28" i="12" s="1"/>
  <c r="C28" i="12"/>
  <c r="D28" i="12" s="1"/>
  <c r="F27" i="12"/>
  <c r="D27" i="12"/>
  <c r="E27" i="12" s="1"/>
  <c r="G27" i="12" s="1"/>
  <c r="C27" i="12"/>
  <c r="G26" i="12"/>
  <c r="E26" i="12"/>
  <c r="F26" i="12" s="1"/>
  <c r="D26" i="12"/>
  <c r="C26" i="12"/>
  <c r="D25" i="12"/>
  <c r="E25" i="12" s="1"/>
  <c r="G25" i="12" s="1"/>
  <c r="C25" i="12"/>
  <c r="F24" i="12"/>
  <c r="E24" i="12"/>
  <c r="G24" i="12" s="1"/>
  <c r="C24" i="12"/>
  <c r="D24" i="12" s="1"/>
  <c r="C23" i="12"/>
  <c r="D23" i="12" s="1"/>
  <c r="E23" i="12" s="1"/>
  <c r="C22" i="12"/>
  <c r="D22" i="12" s="1"/>
  <c r="E22" i="12" s="1"/>
  <c r="F21" i="12"/>
  <c r="E21" i="12"/>
  <c r="G21" i="12" s="1"/>
  <c r="D21" i="12"/>
  <c r="C21" i="12"/>
  <c r="G20" i="12"/>
  <c r="E20" i="12"/>
  <c r="F20" i="12" s="1"/>
  <c r="C20" i="12"/>
  <c r="D20" i="12" s="1"/>
  <c r="G19" i="12"/>
  <c r="F19" i="12"/>
  <c r="D19" i="12"/>
  <c r="E19" i="12" s="1"/>
  <c r="C19" i="12"/>
  <c r="E18" i="12"/>
  <c r="F18" i="12" s="1"/>
  <c r="D18" i="12"/>
  <c r="C18" i="12"/>
  <c r="F17" i="12"/>
  <c r="D17" i="12"/>
  <c r="E17" i="12" s="1"/>
  <c r="G17" i="12" s="1"/>
  <c r="C17" i="12"/>
  <c r="E16" i="12"/>
  <c r="F16" i="12" s="1"/>
  <c r="C16" i="12"/>
  <c r="D16" i="12" s="1"/>
  <c r="D15" i="12"/>
  <c r="E15" i="12" s="1"/>
  <c r="G15" i="12" s="1"/>
  <c r="C15" i="12"/>
  <c r="C14" i="12"/>
  <c r="D14" i="12" s="1"/>
  <c r="E14" i="12" s="1"/>
  <c r="F13" i="12"/>
  <c r="E13" i="12"/>
  <c r="G13" i="12" s="1"/>
  <c r="D13" i="12"/>
  <c r="C13" i="12"/>
  <c r="G12" i="12"/>
  <c r="E12" i="12"/>
  <c r="F12" i="12" s="1"/>
  <c r="C12" i="12"/>
  <c r="D12" i="12" s="1"/>
  <c r="F11" i="12"/>
  <c r="D11" i="12"/>
  <c r="E11" i="12" s="1"/>
  <c r="G11" i="12" s="1"/>
  <c r="C11" i="12"/>
  <c r="G10" i="12"/>
  <c r="E10" i="12"/>
  <c r="F10" i="12" s="1"/>
  <c r="D10" i="12"/>
  <c r="C10" i="12"/>
  <c r="D9" i="12"/>
  <c r="E9" i="12" s="1"/>
  <c r="G9" i="12" s="1"/>
  <c r="C9" i="12"/>
  <c r="F8" i="12"/>
  <c r="E8" i="12"/>
  <c r="G8" i="12" s="1"/>
  <c r="C8" i="12"/>
  <c r="D8" i="12" s="1"/>
  <c r="C7" i="12"/>
  <c r="D7" i="12" s="1"/>
  <c r="E7" i="12" s="1"/>
  <c r="C6" i="12"/>
  <c r="D6" i="12" s="1"/>
  <c r="E6" i="12" s="1"/>
  <c r="C4" i="12"/>
  <c r="F3" i="12"/>
  <c r="D3" i="12"/>
  <c r="E3" i="12" s="1"/>
  <c r="G3" i="12" s="1"/>
  <c r="C3" i="12"/>
  <c r="AT162" i="10"/>
  <c r="AS162" i="10"/>
  <c r="AR162" i="10"/>
  <c r="AQ162" i="10"/>
  <c r="AP162" i="10"/>
  <c r="AE162" i="10"/>
  <c r="V162" i="10"/>
  <c r="U162" i="10"/>
  <c r="T162" i="10"/>
  <c r="S162" i="10"/>
  <c r="R162" i="10"/>
  <c r="Q162" i="10"/>
  <c r="P162" i="10"/>
  <c r="O162" i="10"/>
  <c r="N162" i="10"/>
  <c r="M162" i="10"/>
  <c r="L162" i="10"/>
  <c r="K162" i="10"/>
  <c r="J162" i="10"/>
  <c r="I162" i="10"/>
  <c r="H162" i="10"/>
  <c r="G162" i="10"/>
  <c r="F162" i="10"/>
  <c r="E162" i="10"/>
  <c r="D162" i="10"/>
  <c r="C162" i="10"/>
  <c r="B162" i="10"/>
  <c r="A162" i="10"/>
  <c r="AT161" i="10"/>
  <c r="AS161" i="10"/>
  <c r="AR161" i="10"/>
  <c r="AQ161" i="10"/>
  <c r="AP161" i="10"/>
  <c r="AB161" i="10"/>
  <c r="V161" i="10"/>
  <c r="U161" i="10"/>
  <c r="T161" i="10"/>
  <c r="S161" i="10"/>
  <c r="R161" i="10"/>
  <c r="Q161" i="10"/>
  <c r="P161" i="10"/>
  <c r="O161" i="10"/>
  <c r="N161" i="10"/>
  <c r="M161" i="10"/>
  <c r="L161" i="10"/>
  <c r="K161" i="10"/>
  <c r="J161" i="10"/>
  <c r="I161" i="10"/>
  <c r="H161" i="10"/>
  <c r="G161" i="10"/>
  <c r="F161" i="10"/>
  <c r="E161" i="10"/>
  <c r="D161" i="10"/>
  <c r="C161" i="10"/>
  <c r="B161" i="10"/>
  <c r="A161" i="10"/>
  <c r="AT160" i="10"/>
  <c r="AS160" i="10"/>
  <c r="AR160" i="10"/>
  <c r="AQ160" i="10"/>
  <c r="AP160" i="10"/>
  <c r="AB160" i="10"/>
  <c r="V160" i="10"/>
  <c r="U160" i="10"/>
  <c r="T160" i="10"/>
  <c r="S160" i="10"/>
  <c r="R160" i="10"/>
  <c r="Q160" i="10"/>
  <c r="P160" i="10"/>
  <c r="O160" i="10"/>
  <c r="N160" i="10"/>
  <c r="M160" i="10"/>
  <c r="L160" i="10"/>
  <c r="K160" i="10"/>
  <c r="J160" i="10"/>
  <c r="I160" i="10"/>
  <c r="H160" i="10"/>
  <c r="G160" i="10"/>
  <c r="F160" i="10"/>
  <c r="E160" i="10"/>
  <c r="D160" i="10"/>
  <c r="C160" i="10"/>
  <c r="B160" i="10"/>
  <c r="A160" i="10"/>
  <c r="AT159" i="10"/>
  <c r="AS159" i="10"/>
  <c r="AR159" i="10"/>
  <c r="AQ159" i="10"/>
  <c r="AP159" i="10"/>
  <c r="Y159" i="10"/>
  <c r="V159" i="10"/>
  <c r="U159" i="10"/>
  <c r="T159" i="10"/>
  <c r="S159" i="10"/>
  <c r="R159" i="10"/>
  <c r="Q159" i="10"/>
  <c r="P159" i="10"/>
  <c r="O159" i="10"/>
  <c r="N159" i="10"/>
  <c r="M159" i="10"/>
  <c r="L159" i="10"/>
  <c r="K159" i="10"/>
  <c r="J159" i="10"/>
  <c r="I159" i="10"/>
  <c r="H159" i="10"/>
  <c r="G159" i="10"/>
  <c r="F159" i="10"/>
  <c r="E159" i="10"/>
  <c r="D159" i="10"/>
  <c r="C159" i="10"/>
  <c r="B159" i="10"/>
  <c r="A159" i="10"/>
  <c r="AT158" i="10"/>
  <c r="AS158" i="10"/>
  <c r="AR158" i="10"/>
  <c r="AQ158" i="10"/>
  <c r="AP158" i="10"/>
  <c r="AF158" i="10"/>
  <c r="V158" i="10"/>
  <c r="U158" i="10"/>
  <c r="T158" i="10"/>
  <c r="S158" i="10"/>
  <c r="R158" i="10"/>
  <c r="Q158" i="10"/>
  <c r="P158" i="10"/>
  <c r="O158" i="10"/>
  <c r="N158" i="10"/>
  <c r="M158" i="10"/>
  <c r="L158" i="10"/>
  <c r="K158" i="10"/>
  <c r="J158" i="10"/>
  <c r="I158" i="10"/>
  <c r="H158" i="10"/>
  <c r="G158" i="10"/>
  <c r="F158" i="10"/>
  <c r="E158" i="10"/>
  <c r="D158" i="10"/>
  <c r="C158" i="10"/>
  <c r="B158" i="10"/>
  <c r="A158" i="10"/>
  <c r="AT157" i="10"/>
  <c r="AS157" i="10"/>
  <c r="AR157" i="10"/>
  <c r="AQ157" i="10"/>
  <c r="AP157" i="10"/>
  <c r="AB157" i="10"/>
  <c r="V157" i="10"/>
  <c r="U157" i="10"/>
  <c r="T157" i="10"/>
  <c r="S157" i="10"/>
  <c r="R157" i="10"/>
  <c r="Q157" i="10"/>
  <c r="P157" i="10"/>
  <c r="O157" i="10"/>
  <c r="N157" i="10"/>
  <c r="M157" i="10"/>
  <c r="L157" i="10"/>
  <c r="K157" i="10"/>
  <c r="J157" i="10"/>
  <c r="I157" i="10"/>
  <c r="H157" i="10"/>
  <c r="G157" i="10"/>
  <c r="F157" i="10"/>
  <c r="E157" i="10"/>
  <c r="D157" i="10"/>
  <c r="C157" i="10"/>
  <c r="B157" i="10"/>
  <c r="A157" i="10"/>
  <c r="AT156" i="10"/>
  <c r="AS156" i="10"/>
  <c r="AR156" i="10"/>
  <c r="AQ156" i="10"/>
  <c r="AP156" i="10"/>
  <c r="V156" i="10"/>
  <c r="U156" i="10"/>
  <c r="T156" i="10"/>
  <c r="S156" i="10"/>
  <c r="R156" i="10"/>
  <c r="Q156" i="10"/>
  <c r="P156" i="10"/>
  <c r="O156" i="10"/>
  <c r="N156" i="10"/>
  <c r="M156" i="10"/>
  <c r="L156" i="10"/>
  <c r="K156" i="10"/>
  <c r="J156" i="10"/>
  <c r="I156" i="10"/>
  <c r="H156" i="10"/>
  <c r="G156" i="10"/>
  <c r="F156" i="10"/>
  <c r="E156" i="10"/>
  <c r="D156" i="10"/>
  <c r="C156" i="10"/>
  <c r="B156" i="10"/>
  <c r="A156" i="10"/>
  <c r="AT155" i="10"/>
  <c r="AS155" i="10"/>
  <c r="AR155" i="10"/>
  <c r="AQ155" i="10"/>
  <c r="AP155" i="10"/>
  <c r="AO155" i="10"/>
  <c r="V155" i="10"/>
  <c r="U155" i="10"/>
  <c r="T155" i="10"/>
  <c r="S155" i="10"/>
  <c r="R155" i="10"/>
  <c r="Q155" i="10"/>
  <c r="P155" i="10"/>
  <c r="O155" i="10"/>
  <c r="N155" i="10"/>
  <c r="M155" i="10"/>
  <c r="L155" i="10"/>
  <c r="K155" i="10"/>
  <c r="J155" i="10"/>
  <c r="I155" i="10"/>
  <c r="H155" i="10"/>
  <c r="G155" i="10"/>
  <c r="F155" i="10"/>
  <c r="E155" i="10"/>
  <c r="D155" i="10"/>
  <c r="C155" i="10"/>
  <c r="B155" i="10"/>
  <c r="A155" i="10"/>
  <c r="AT154" i="10"/>
  <c r="AS154" i="10"/>
  <c r="AR154" i="10"/>
  <c r="AQ154" i="10"/>
  <c r="AP154" i="10"/>
  <c r="AO154" i="10"/>
  <c r="X154" i="10"/>
  <c r="V154" i="10"/>
  <c r="U154" i="10"/>
  <c r="T154" i="10"/>
  <c r="S154" i="10"/>
  <c r="R154" i="10"/>
  <c r="Q154" i="10"/>
  <c r="P154" i="10"/>
  <c r="O154" i="10"/>
  <c r="N154" i="10"/>
  <c r="M154" i="10"/>
  <c r="L154" i="10"/>
  <c r="K154" i="10"/>
  <c r="J154" i="10"/>
  <c r="I154" i="10"/>
  <c r="H154" i="10"/>
  <c r="G154" i="10"/>
  <c r="F154" i="10"/>
  <c r="E154" i="10"/>
  <c r="D154" i="10"/>
  <c r="C154" i="10"/>
  <c r="B154" i="10"/>
  <c r="A154" i="10"/>
  <c r="AT153" i="10"/>
  <c r="AS153" i="10"/>
  <c r="AR153" i="10"/>
  <c r="AQ153" i="10"/>
  <c r="AP153" i="10"/>
  <c r="AD153" i="10"/>
  <c r="V153" i="10"/>
  <c r="U153" i="10"/>
  <c r="T153" i="10"/>
  <c r="S153" i="10"/>
  <c r="R153" i="10"/>
  <c r="Q153" i="10"/>
  <c r="P153" i="10"/>
  <c r="O153" i="10"/>
  <c r="N153" i="10"/>
  <c r="M153" i="10"/>
  <c r="L153" i="10"/>
  <c r="K153" i="10"/>
  <c r="J153" i="10"/>
  <c r="I153" i="10"/>
  <c r="H153" i="10"/>
  <c r="G153" i="10"/>
  <c r="F153" i="10"/>
  <c r="E153" i="10"/>
  <c r="D153" i="10"/>
  <c r="C153" i="10"/>
  <c r="B153" i="10"/>
  <c r="A153" i="10"/>
  <c r="AT152" i="10"/>
  <c r="AS152" i="10"/>
  <c r="AR152" i="10"/>
  <c r="AQ152" i="10"/>
  <c r="AP152" i="10"/>
  <c r="V152" i="10"/>
  <c r="U152" i="10"/>
  <c r="T152" i="10"/>
  <c r="S152" i="10"/>
  <c r="R152" i="10"/>
  <c r="Q152" i="10"/>
  <c r="P152" i="10"/>
  <c r="O152" i="10"/>
  <c r="N152" i="10"/>
  <c r="M152" i="10"/>
  <c r="L152" i="10"/>
  <c r="K152" i="10"/>
  <c r="J152" i="10"/>
  <c r="I152" i="10"/>
  <c r="H152" i="10"/>
  <c r="G152" i="10"/>
  <c r="F152" i="10"/>
  <c r="E152" i="10"/>
  <c r="D152" i="10"/>
  <c r="C152" i="10"/>
  <c r="B152" i="10"/>
  <c r="A152" i="10"/>
  <c r="AT151" i="10"/>
  <c r="AS151" i="10"/>
  <c r="AR151" i="10"/>
  <c r="AQ151" i="10"/>
  <c r="AP151" i="10"/>
  <c r="AH151" i="10"/>
  <c r="V151" i="10"/>
  <c r="U151" i="10"/>
  <c r="T151" i="10"/>
  <c r="S151" i="10"/>
  <c r="R151" i="10"/>
  <c r="Q151" i="10"/>
  <c r="P151" i="10"/>
  <c r="O151" i="10"/>
  <c r="N151" i="10"/>
  <c r="M151" i="10"/>
  <c r="L151" i="10"/>
  <c r="K151" i="10"/>
  <c r="J151" i="10"/>
  <c r="I151" i="10"/>
  <c r="H151" i="10"/>
  <c r="G151" i="10"/>
  <c r="F151" i="10"/>
  <c r="E151" i="10"/>
  <c r="D151" i="10"/>
  <c r="C151" i="10"/>
  <c r="B151" i="10"/>
  <c r="A151" i="10"/>
  <c r="AT150" i="10"/>
  <c r="AS150" i="10"/>
  <c r="AR150" i="10"/>
  <c r="AQ150" i="10"/>
  <c r="AP150" i="10"/>
  <c r="AO150" i="10"/>
  <c r="AN150" i="10"/>
  <c r="V150" i="10"/>
  <c r="U150" i="10"/>
  <c r="T150" i="10"/>
  <c r="S150" i="10"/>
  <c r="R150" i="10"/>
  <c r="Q150" i="10"/>
  <c r="P150" i="10"/>
  <c r="O150" i="10"/>
  <c r="N150" i="10"/>
  <c r="M150" i="10"/>
  <c r="L150" i="10"/>
  <c r="K150" i="10"/>
  <c r="J150" i="10"/>
  <c r="I150" i="10"/>
  <c r="H150" i="10"/>
  <c r="G150" i="10"/>
  <c r="F150" i="10"/>
  <c r="E150" i="10"/>
  <c r="D150" i="10"/>
  <c r="C150" i="10"/>
  <c r="B150" i="10"/>
  <c r="A150" i="10"/>
  <c r="AT149" i="10"/>
  <c r="AS149" i="10"/>
  <c r="AR149" i="10"/>
  <c r="AQ149" i="10"/>
  <c r="AP149" i="10"/>
  <c r="AM149" i="10"/>
  <c r="V149" i="10"/>
  <c r="U149" i="10"/>
  <c r="T149" i="10"/>
  <c r="S149" i="10"/>
  <c r="R149" i="10"/>
  <c r="Q149" i="10"/>
  <c r="P149" i="10"/>
  <c r="O149" i="10"/>
  <c r="N149" i="10"/>
  <c r="M149" i="10"/>
  <c r="L149" i="10"/>
  <c r="K149" i="10"/>
  <c r="J149" i="10"/>
  <c r="I149" i="10"/>
  <c r="H149" i="10"/>
  <c r="G149" i="10"/>
  <c r="F149" i="10"/>
  <c r="E149" i="10"/>
  <c r="D149" i="10"/>
  <c r="C149" i="10"/>
  <c r="B149" i="10"/>
  <c r="A149" i="10"/>
  <c r="AT148" i="10"/>
  <c r="AS148" i="10"/>
  <c r="AR148" i="10"/>
  <c r="AQ148" i="10"/>
  <c r="AP148" i="10"/>
  <c r="AC148" i="10"/>
  <c r="V148" i="10"/>
  <c r="U148" i="10"/>
  <c r="T148" i="10"/>
  <c r="S148" i="10"/>
  <c r="R148" i="10"/>
  <c r="Q148" i="10"/>
  <c r="P148" i="10"/>
  <c r="O148" i="10"/>
  <c r="N148" i="10"/>
  <c r="M148" i="10"/>
  <c r="L148" i="10"/>
  <c r="K148" i="10"/>
  <c r="J148" i="10"/>
  <c r="I148" i="10"/>
  <c r="H148" i="10"/>
  <c r="G148" i="10"/>
  <c r="F148" i="10"/>
  <c r="E148" i="10"/>
  <c r="D148" i="10"/>
  <c r="C148" i="10"/>
  <c r="B148" i="10"/>
  <c r="A148" i="10"/>
  <c r="AT147" i="10"/>
  <c r="AS147" i="10"/>
  <c r="AR147" i="10"/>
  <c r="AQ147" i="10"/>
  <c r="AP147" i="10"/>
  <c r="AN147" i="10"/>
  <c r="AM147" i="10"/>
  <c r="AD147" i="10"/>
  <c r="AC147" i="10"/>
  <c r="X147" i="10"/>
  <c r="W147" i="10"/>
  <c r="V147" i="10"/>
  <c r="U147" i="10"/>
  <c r="T147" i="10"/>
  <c r="S147" i="10"/>
  <c r="R147" i="10"/>
  <c r="Q147" i="10"/>
  <c r="P147" i="10"/>
  <c r="O147" i="10"/>
  <c r="N147" i="10"/>
  <c r="M147" i="10"/>
  <c r="L147" i="10"/>
  <c r="K147" i="10"/>
  <c r="J147" i="10"/>
  <c r="I147" i="10"/>
  <c r="H147" i="10"/>
  <c r="G147" i="10"/>
  <c r="F147" i="10"/>
  <c r="E147" i="10"/>
  <c r="D147" i="10"/>
  <c r="C147" i="10"/>
  <c r="B147" i="10"/>
  <c r="A147" i="10"/>
  <c r="AT146" i="10"/>
  <c r="AS146" i="10"/>
  <c r="AR146" i="10"/>
  <c r="AQ146" i="10"/>
  <c r="AP146" i="10"/>
  <c r="AK146" i="10"/>
  <c r="AJ146" i="10"/>
  <c r="AI146" i="10"/>
  <c r="AD146" i="10"/>
  <c r="V146" i="10"/>
  <c r="U146" i="10"/>
  <c r="T146" i="10"/>
  <c r="S146" i="10"/>
  <c r="R146" i="10"/>
  <c r="Q146" i="10"/>
  <c r="P146" i="10"/>
  <c r="O146" i="10"/>
  <c r="N146" i="10"/>
  <c r="M146" i="10"/>
  <c r="L146" i="10"/>
  <c r="K146" i="10"/>
  <c r="J146" i="10"/>
  <c r="I146" i="10"/>
  <c r="H146" i="10"/>
  <c r="G146" i="10"/>
  <c r="F146" i="10"/>
  <c r="E146" i="10"/>
  <c r="D146" i="10"/>
  <c r="C146" i="10"/>
  <c r="B146" i="10"/>
  <c r="A146" i="10"/>
  <c r="AT145" i="10"/>
  <c r="AS145" i="10"/>
  <c r="AR145" i="10"/>
  <c r="AQ145" i="10"/>
  <c r="AP145" i="10"/>
  <c r="AO145" i="10"/>
  <c r="AJ145" i="10"/>
  <c r="AA145" i="10"/>
  <c r="Z145" i="10"/>
  <c r="Y145" i="10"/>
  <c r="V145" i="10"/>
  <c r="U145" i="10"/>
  <c r="T145" i="10"/>
  <c r="S145" i="10"/>
  <c r="R145" i="10"/>
  <c r="Q145" i="10"/>
  <c r="P145" i="10"/>
  <c r="O145" i="10"/>
  <c r="N145" i="10"/>
  <c r="M145" i="10"/>
  <c r="L145" i="10"/>
  <c r="K145" i="10"/>
  <c r="J145" i="10"/>
  <c r="I145" i="10"/>
  <c r="H145" i="10"/>
  <c r="G145" i="10"/>
  <c r="F145" i="10"/>
  <c r="E145" i="10"/>
  <c r="D145" i="10"/>
  <c r="C145" i="10"/>
  <c r="B145" i="10"/>
  <c r="A145" i="10"/>
  <c r="AT144" i="10"/>
  <c r="AS144" i="10"/>
  <c r="AR144" i="10"/>
  <c r="AQ144" i="10"/>
  <c r="AP144" i="10"/>
  <c r="AM144" i="10"/>
  <c r="AH144" i="10"/>
  <c r="AG144" i="10"/>
  <c r="AF144" i="10"/>
  <c r="W144" i="10"/>
  <c r="V144" i="10"/>
  <c r="U144" i="10"/>
  <c r="T144" i="10"/>
  <c r="S144" i="10"/>
  <c r="R144" i="10"/>
  <c r="Q144" i="10"/>
  <c r="P144" i="10"/>
  <c r="O144" i="10"/>
  <c r="N144" i="10"/>
  <c r="M144" i="10"/>
  <c r="L144" i="10"/>
  <c r="K144" i="10"/>
  <c r="J144" i="10"/>
  <c r="I144" i="10"/>
  <c r="H144" i="10"/>
  <c r="G144" i="10"/>
  <c r="F144" i="10"/>
  <c r="E144" i="10"/>
  <c r="D144" i="10"/>
  <c r="C144" i="10"/>
  <c r="B144" i="10"/>
  <c r="A144" i="10"/>
  <c r="AT143" i="10"/>
  <c r="AS143" i="10"/>
  <c r="AR143" i="10"/>
  <c r="AQ143" i="10"/>
  <c r="AP143" i="10"/>
  <c r="AF143" i="10"/>
  <c r="AE143" i="10"/>
  <c r="AD143" i="10"/>
  <c r="AC143" i="10"/>
  <c r="V143" i="10"/>
  <c r="U143" i="10"/>
  <c r="T143" i="10"/>
  <c r="S143" i="10"/>
  <c r="R143" i="10"/>
  <c r="Q143" i="10"/>
  <c r="P143" i="10"/>
  <c r="O143" i="10"/>
  <c r="N143" i="10"/>
  <c r="M143" i="10"/>
  <c r="L143" i="10"/>
  <c r="K143" i="10"/>
  <c r="J143" i="10"/>
  <c r="I143" i="10"/>
  <c r="H143" i="10"/>
  <c r="G143" i="10"/>
  <c r="F143" i="10"/>
  <c r="E143" i="10"/>
  <c r="D143" i="10"/>
  <c r="C143" i="10"/>
  <c r="B143" i="10"/>
  <c r="A143" i="10"/>
  <c r="AT142" i="10"/>
  <c r="AS142" i="10"/>
  <c r="AR142" i="10"/>
  <c r="AQ142" i="10"/>
  <c r="AP142" i="10"/>
  <c r="AL142" i="10"/>
  <c r="AK142" i="10"/>
  <c r="AJ142" i="10"/>
  <c r="AA142" i="10"/>
  <c r="V142" i="10"/>
  <c r="U142" i="10"/>
  <c r="T142" i="10"/>
  <c r="S142" i="10"/>
  <c r="R142" i="10"/>
  <c r="Q142" i="10"/>
  <c r="P142" i="10"/>
  <c r="O142" i="10"/>
  <c r="N142" i="10"/>
  <c r="M142" i="10"/>
  <c r="L142" i="10"/>
  <c r="K142" i="10"/>
  <c r="J142" i="10"/>
  <c r="I142" i="10"/>
  <c r="H142" i="10"/>
  <c r="G142" i="10"/>
  <c r="F142" i="10"/>
  <c r="E142" i="10"/>
  <c r="D142" i="10"/>
  <c r="C142" i="10"/>
  <c r="B142" i="10"/>
  <c r="A142" i="10"/>
  <c r="AT141" i="10"/>
  <c r="AS141" i="10"/>
  <c r="AR141" i="10"/>
  <c r="AQ141" i="10"/>
  <c r="AP141" i="10"/>
  <c r="AG141" i="10"/>
  <c r="AB141" i="10"/>
  <c r="AA141" i="10"/>
  <c r="Z141" i="10"/>
  <c r="V141" i="10"/>
  <c r="U141" i="10"/>
  <c r="T141" i="10"/>
  <c r="S141" i="10"/>
  <c r="R141" i="10"/>
  <c r="Q141" i="10"/>
  <c r="P141" i="10"/>
  <c r="O141" i="10"/>
  <c r="N141" i="10"/>
  <c r="M141" i="10"/>
  <c r="L141" i="10"/>
  <c r="K141" i="10"/>
  <c r="J141" i="10"/>
  <c r="I141" i="10"/>
  <c r="H141" i="10"/>
  <c r="G141" i="10"/>
  <c r="F141" i="10"/>
  <c r="E141" i="10"/>
  <c r="D141" i="10"/>
  <c r="C141" i="10"/>
  <c r="B141" i="10"/>
  <c r="A141" i="10"/>
  <c r="AT140" i="10"/>
  <c r="AS140" i="10"/>
  <c r="AR140" i="10"/>
  <c r="AQ140" i="10"/>
  <c r="AP140" i="10"/>
  <c r="AO140" i="10"/>
  <c r="AN140" i="10"/>
  <c r="AM140" i="10"/>
  <c r="AH140" i="10"/>
  <c r="Y140" i="10"/>
  <c r="X140" i="10"/>
  <c r="W140" i="10"/>
  <c r="V140" i="10"/>
  <c r="U140" i="10"/>
  <c r="T140" i="10"/>
  <c r="S140" i="10"/>
  <c r="R140" i="10"/>
  <c r="Q140" i="10"/>
  <c r="P140" i="10"/>
  <c r="O140" i="10"/>
  <c r="N140" i="10"/>
  <c r="M140" i="10"/>
  <c r="L140" i="10"/>
  <c r="K140" i="10"/>
  <c r="J140" i="10"/>
  <c r="I140" i="10"/>
  <c r="H140" i="10"/>
  <c r="G140" i="10"/>
  <c r="F140" i="10"/>
  <c r="E140" i="10"/>
  <c r="D140" i="10"/>
  <c r="C140" i="10"/>
  <c r="B140" i="10"/>
  <c r="A140" i="10"/>
  <c r="AT139" i="10"/>
  <c r="AS139" i="10"/>
  <c r="AR139" i="10"/>
  <c r="AQ139" i="10"/>
  <c r="AP139" i="10"/>
  <c r="AL139" i="10"/>
  <c r="AK139" i="10"/>
  <c r="AF139" i="10"/>
  <c r="AE139" i="10"/>
  <c r="V139" i="10"/>
  <c r="U139" i="10"/>
  <c r="T139" i="10"/>
  <c r="S139" i="10"/>
  <c r="R139" i="10"/>
  <c r="Q139" i="10"/>
  <c r="P139" i="10"/>
  <c r="O139" i="10"/>
  <c r="N139" i="10"/>
  <c r="M139" i="10"/>
  <c r="L139" i="10"/>
  <c r="K139" i="10"/>
  <c r="J139" i="10"/>
  <c r="I139" i="10"/>
  <c r="H139" i="10"/>
  <c r="G139" i="10"/>
  <c r="F139" i="10"/>
  <c r="E139" i="10"/>
  <c r="D139" i="10"/>
  <c r="C139" i="10"/>
  <c r="B139" i="10"/>
  <c r="A139" i="10"/>
  <c r="AT138" i="10"/>
  <c r="AS138" i="10"/>
  <c r="AR138" i="10"/>
  <c r="AQ138" i="10"/>
  <c r="AP138" i="10"/>
  <c r="AL138" i="10"/>
  <c r="AC138" i="10"/>
  <c r="AB138" i="10"/>
  <c r="AA138" i="10"/>
  <c r="V138" i="10"/>
  <c r="U138" i="10"/>
  <c r="T138" i="10"/>
  <c r="S138" i="10"/>
  <c r="R138" i="10"/>
  <c r="Q138" i="10"/>
  <c r="P138" i="10"/>
  <c r="O138" i="10"/>
  <c r="N138" i="10"/>
  <c r="M138" i="10"/>
  <c r="L138" i="10"/>
  <c r="K138" i="10"/>
  <c r="J138" i="10"/>
  <c r="I138" i="10"/>
  <c r="H138" i="10"/>
  <c r="G138" i="10"/>
  <c r="F138" i="10"/>
  <c r="E138" i="10"/>
  <c r="D138" i="10"/>
  <c r="C138" i="10"/>
  <c r="B138" i="10"/>
  <c r="A138" i="10"/>
  <c r="AT137" i="10"/>
  <c r="AS137" i="10"/>
  <c r="AR137" i="10"/>
  <c r="AQ137" i="10"/>
  <c r="AP137" i="10"/>
  <c r="AI137" i="10"/>
  <c r="AH137" i="10"/>
  <c r="AG137" i="10"/>
  <c r="AB137" i="10"/>
  <c r="V137" i="10"/>
  <c r="U137" i="10"/>
  <c r="T137" i="10"/>
  <c r="S137" i="10"/>
  <c r="R137" i="10"/>
  <c r="Q137" i="10"/>
  <c r="P137" i="10"/>
  <c r="O137" i="10"/>
  <c r="N137" i="10"/>
  <c r="M137" i="10"/>
  <c r="L137" i="10"/>
  <c r="K137" i="10"/>
  <c r="J137" i="10"/>
  <c r="I137" i="10"/>
  <c r="H137" i="10"/>
  <c r="G137" i="10"/>
  <c r="F137" i="10"/>
  <c r="E137" i="10"/>
  <c r="D137" i="10"/>
  <c r="C137" i="10"/>
  <c r="B137" i="10"/>
  <c r="A137" i="10"/>
  <c r="AT136" i="10"/>
  <c r="AS136" i="10"/>
  <c r="AR136" i="10"/>
  <c r="AQ136" i="10"/>
  <c r="AP136" i="10"/>
  <c r="AO136" i="10"/>
  <c r="AN136" i="10"/>
  <c r="AE136" i="10"/>
  <c r="Z136" i="10"/>
  <c r="Y136" i="10"/>
  <c r="X136" i="10"/>
  <c r="V136" i="10"/>
  <c r="U136" i="10"/>
  <c r="T136" i="10"/>
  <c r="S136" i="10"/>
  <c r="R136" i="10"/>
  <c r="Q136" i="10"/>
  <c r="P136" i="10"/>
  <c r="O136" i="10"/>
  <c r="N136" i="10"/>
  <c r="M136" i="10"/>
  <c r="L136" i="10"/>
  <c r="K136" i="10"/>
  <c r="J136" i="10"/>
  <c r="I136" i="10"/>
  <c r="H136" i="10"/>
  <c r="G136" i="10"/>
  <c r="F136" i="10"/>
  <c r="E136" i="10"/>
  <c r="D136" i="10"/>
  <c r="C136" i="10"/>
  <c r="B136" i="10"/>
  <c r="A136" i="10"/>
  <c r="AT135" i="10"/>
  <c r="AS135" i="10"/>
  <c r="AR135" i="10"/>
  <c r="AQ135" i="10"/>
  <c r="AP135" i="10"/>
  <c r="AN135" i="10"/>
  <c r="AM135" i="10"/>
  <c r="AL135" i="10"/>
  <c r="AK135" i="10"/>
  <c r="X135" i="10"/>
  <c r="W135" i="10"/>
  <c r="V135" i="10"/>
  <c r="U135" i="10"/>
  <c r="T135" i="10"/>
  <c r="S135" i="10"/>
  <c r="R135" i="10"/>
  <c r="Q135" i="10"/>
  <c r="P135" i="10"/>
  <c r="O135" i="10"/>
  <c r="N135" i="10"/>
  <c r="M135" i="10"/>
  <c r="L135" i="10"/>
  <c r="K135" i="10"/>
  <c r="J135" i="10"/>
  <c r="I135" i="10"/>
  <c r="H135" i="10"/>
  <c r="G135" i="10"/>
  <c r="F135" i="10"/>
  <c r="E135" i="10"/>
  <c r="D135" i="10"/>
  <c r="C135" i="10"/>
  <c r="B135" i="10"/>
  <c r="A135" i="10"/>
  <c r="AT134" i="10"/>
  <c r="AS134" i="10"/>
  <c r="AR134" i="10"/>
  <c r="AQ134" i="10"/>
  <c r="AP134" i="10"/>
  <c r="AI134" i="10"/>
  <c r="AD134" i="10"/>
  <c r="AC134" i="10"/>
  <c r="AB134" i="10"/>
  <c r="V134" i="10"/>
  <c r="U134" i="10"/>
  <c r="T134" i="10"/>
  <c r="S134" i="10"/>
  <c r="R134" i="10"/>
  <c r="Q134" i="10"/>
  <c r="P134" i="10"/>
  <c r="O134" i="10"/>
  <c r="N134" i="10"/>
  <c r="M134" i="10"/>
  <c r="L134" i="10"/>
  <c r="K134" i="10"/>
  <c r="J134" i="10"/>
  <c r="I134" i="10"/>
  <c r="H134" i="10"/>
  <c r="G134" i="10"/>
  <c r="F134" i="10"/>
  <c r="E134" i="10"/>
  <c r="D134" i="10"/>
  <c r="C134" i="10"/>
  <c r="B134" i="10"/>
  <c r="A134" i="10"/>
  <c r="AT133" i="10"/>
  <c r="AS133" i="10"/>
  <c r="AR133" i="10"/>
  <c r="AQ133" i="10"/>
  <c r="AP133" i="10"/>
  <c r="AO133" i="10"/>
  <c r="AJ133" i="10"/>
  <c r="AI133" i="10"/>
  <c r="AH133" i="10"/>
  <c r="Y133" i="10"/>
  <c r="V133" i="10"/>
  <c r="U133" i="10"/>
  <c r="T133" i="10"/>
  <c r="S133" i="10"/>
  <c r="R133" i="10"/>
  <c r="Q133" i="10"/>
  <c r="P133" i="10"/>
  <c r="O133" i="10"/>
  <c r="N133" i="10"/>
  <c r="M133" i="10"/>
  <c r="L133" i="10"/>
  <c r="K133" i="10"/>
  <c r="J133" i="10"/>
  <c r="I133" i="10"/>
  <c r="H133" i="10"/>
  <c r="G133" i="10"/>
  <c r="F133" i="10"/>
  <c r="E133" i="10"/>
  <c r="D133" i="10"/>
  <c r="C133" i="10"/>
  <c r="B133" i="10"/>
  <c r="A133" i="10"/>
  <c r="AT132" i="10"/>
  <c r="AS132" i="10"/>
  <c r="AR132" i="10"/>
  <c r="AQ132" i="10"/>
  <c r="AP132" i="10"/>
  <c r="AG132" i="10"/>
  <c r="AF132" i="10"/>
  <c r="AE132" i="10"/>
  <c r="Z132" i="10"/>
  <c r="V132" i="10"/>
  <c r="U132" i="10"/>
  <c r="T132" i="10"/>
  <c r="S132" i="10"/>
  <c r="R132" i="10"/>
  <c r="Q132" i="10"/>
  <c r="P132" i="10"/>
  <c r="O132" i="10"/>
  <c r="N132" i="10"/>
  <c r="M132" i="10"/>
  <c r="L132" i="10"/>
  <c r="K132" i="10"/>
  <c r="J132" i="10"/>
  <c r="I132" i="10"/>
  <c r="H132" i="10"/>
  <c r="G132" i="10"/>
  <c r="F132" i="10"/>
  <c r="E132" i="10"/>
  <c r="D132" i="10"/>
  <c r="C132" i="10"/>
  <c r="B132" i="10"/>
  <c r="A132" i="10"/>
  <c r="AT131" i="10"/>
  <c r="AS131" i="10"/>
  <c r="AR131" i="10"/>
  <c r="AQ131" i="10"/>
  <c r="AP131" i="10"/>
  <c r="AN131" i="10"/>
  <c r="AM131" i="10"/>
  <c r="AD131" i="10"/>
  <c r="AC131" i="10"/>
  <c r="X131" i="10"/>
  <c r="W131" i="10"/>
  <c r="V131" i="10"/>
  <c r="U131" i="10"/>
  <c r="T131" i="10"/>
  <c r="S131" i="10"/>
  <c r="R131" i="10"/>
  <c r="Q131" i="10"/>
  <c r="P131" i="10"/>
  <c r="O131" i="10"/>
  <c r="N131" i="10"/>
  <c r="M131" i="10"/>
  <c r="L131" i="10"/>
  <c r="K131" i="10"/>
  <c r="J131" i="10"/>
  <c r="I131" i="10"/>
  <c r="H131" i="10"/>
  <c r="G131" i="10"/>
  <c r="F131" i="10"/>
  <c r="E131" i="10"/>
  <c r="D131" i="10"/>
  <c r="C131" i="10"/>
  <c r="B131" i="10"/>
  <c r="A131" i="10"/>
  <c r="AT130" i="10"/>
  <c r="AS130" i="10"/>
  <c r="AR130" i="10"/>
  <c r="AQ130" i="10"/>
  <c r="AP130" i="10"/>
  <c r="AK130" i="10"/>
  <c r="AJ130" i="10"/>
  <c r="AI130" i="10"/>
  <c r="AD130" i="10"/>
  <c r="V130" i="10"/>
  <c r="U130" i="10"/>
  <c r="T130" i="10"/>
  <c r="S130" i="10"/>
  <c r="R130" i="10"/>
  <c r="Q130" i="10"/>
  <c r="P130" i="10"/>
  <c r="O130" i="10"/>
  <c r="N130" i="10"/>
  <c r="M130" i="10"/>
  <c r="L130" i="10"/>
  <c r="K130" i="10"/>
  <c r="J130" i="10"/>
  <c r="I130" i="10"/>
  <c r="H130" i="10"/>
  <c r="G130" i="10"/>
  <c r="F130" i="10"/>
  <c r="E130" i="10"/>
  <c r="D130" i="10"/>
  <c r="C130" i="10"/>
  <c r="B130" i="10"/>
  <c r="A130" i="10"/>
  <c r="AT129" i="10"/>
  <c r="AS129" i="10"/>
  <c r="AR129" i="10"/>
  <c r="AQ129" i="10"/>
  <c r="AP129" i="10"/>
  <c r="AO129" i="10"/>
  <c r="AJ129" i="10"/>
  <c r="AA129" i="10"/>
  <c r="Z129" i="10"/>
  <c r="Y129" i="10"/>
  <c r="V129" i="10"/>
  <c r="U129" i="10"/>
  <c r="T129" i="10"/>
  <c r="S129" i="10"/>
  <c r="R129" i="10"/>
  <c r="Q129" i="10"/>
  <c r="P129" i="10"/>
  <c r="O129" i="10"/>
  <c r="N129" i="10"/>
  <c r="M129" i="10"/>
  <c r="L129" i="10"/>
  <c r="K129" i="10"/>
  <c r="J129" i="10"/>
  <c r="I129" i="10"/>
  <c r="H129" i="10"/>
  <c r="G129" i="10"/>
  <c r="F129" i="10"/>
  <c r="E129" i="10"/>
  <c r="D129" i="10"/>
  <c r="C129" i="10"/>
  <c r="B129" i="10"/>
  <c r="A129" i="10"/>
  <c r="AT128" i="10"/>
  <c r="AS128" i="10"/>
  <c r="AR128" i="10"/>
  <c r="AQ128" i="10"/>
  <c r="AP128" i="10"/>
  <c r="AM128" i="10"/>
  <c r="AH128" i="10"/>
  <c r="AG128" i="10"/>
  <c r="AF128" i="10"/>
  <c r="W128" i="10"/>
  <c r="V128" i="10"/>
  <c r="U128" i="10"/>
  <c r="T128" i="10"/>
  <c r="S128" i="10"/>
  <c r="R128" i="10"/>
  <c r="Q128" i="10"/>
  <c r="P128" i="10"/>
  <c r="O128" i="10"/>
  <c r="N128" i="10"/>
  <c r="M128" i="10"/>
  <c r="L128" i="10"/>
  <c r="K128" i="10"/>
  <c r="J128" i="10"/>
  <c r="I128" i="10"/>
  <c r="H128" i="10"/>
  <c r="G128" i="10"/>
  <c r="F128" i="10"/>
  <c r="E128" i="10"/>
  <c r="D128" i="10"/>
  <c r="C128" i="10"/>
  <c r="B128" i="10"/>
  <c r="A128" i="10"/>
  <c r="AF162" i="10" s="1"/>
  <c r="AT127" i="10"/>
  <c r="AS127" i="10"/>
  <c r="AR127" i="10"/>
  <c r="AQ127" i="10"/>
  <c r="AP127" i="10"/>
  <c r="AM127" i="10"/>
  <c r="AL127" i="10"/>
  <c r="AK127" i="10"/>
  <c r="AF127" i="10"/>
  <c r="AE127" i="10"/>
  <c r="AD127" i="10"/>
  <c r="AC127" i="10"/>
  <c r="W127" i="10"/>
  <c r="V127" i="10"/>
  <c r="U127" i="10"/>
  <c r="T127" i="10"/>
  <c r="S127" i="10"/>
  <c r="R127" i="10"/>
  <c r="Q127" i="10"/>
  <c r="P127" i="10"/>
  <c r="O127" i="10"/>
  <c r="N127" i="10"/>
  <c r="M127" i="10"/>
  <c r="L127" i="10"/>
  <c r="K127" i="10"/>
  <c r="J127" i="10"/>
  <c r="I127" i="10"/>
  <c r="H127" i="10"/>
  <c r="G127" i="10"/>
  <c r="F127" i="10"/>
  <c r="E127" i="10"/>
  <c r="D127" i="10"/>
  <c r="C127" i="10"/>
  <c r="B127" i="10"/>
  <c r="A127" i="10"/>
  <c r="AT126" i="10"/>
  <c r="AS126" i="10"/>
  <c r="AR126" i="10"/>
  <c r="AQ126" i="10"/>
  <c r="AP126" i="10"/>
  <c r="AL126" i="10"/>
  <c r="AK126" i="10"/>
  <c r="AJ126" i="10"/>
  <c r="AD126" i="10"/>
  <c r="AC126" i="10"/>
  <c r="AB126" i="10"/>
  <c r="AA126" i="10"/>
  <c r="V126" i="10"/>
  <c r="U126" i="10"/>
  <c r="T126" i="10"/>
  <c r="S126" i="10"/>
  <c r="R126" i="10"/>
  <c r="Q126" i="10"/>
  <c r="P126" i="10"/>
  <c r="O126" i="10"/>
  <c r="N126" i="10"/>
  <c r="M126" i="10"/>
  <c r="L126" i="10"/>
  <c r="K126" i="10"/>
  <c r="J126" i="10"/>
  <c r="I126" i="10"/>
  <c r="H126" i="10"/>
  <c r="G126" i="10"/>
  <c r="F126" i="10"/>
  <c r="E126" i="10"/>
  <c r="D126" i="10"/>
  <c r="C126" i="10"/>
  <c r="B126" i="10"/>
  <c r="A126" i="10"/>
  <c r="AT125" i="10"/>
  <c r="AS125" i="10"/>
  <c r="AR125" i="10"/>
  <c r="AQ125" i="10"/>
  <c r="AP125" i="10"/>
  <c r="AK125" i="10"/>
  <c r="AJ125" i="10"/>
  <c r="AI125" i="10"/>
  <c r="AH125" i="10"/>
  <c r="AG125" i="10"/>
  <c r="AC125" i="10"/>
  <c r="AB125" i="10"/>
  <c r="Z125" i="10"/>
  <c r="Y125" i="10"/>
  <c r="V125" i="10"/>
  <c r="U125" i="10"/>
  <c r="T125" i="10"/>
  <c r="S125" i="10"/>
  <c r="R125" i="10"/>
  <c r="Q125" i="10"/>
  <c r="P125" i="10"/>
  <c r="O125" i="10"/>
  <c r="N125" i="10"/>
  <c r="M125" i="10"/>
  <c r="L125" i="10"/>
  <c r="K125" i="10"/>
  <c r="J125" i="10"/>
  <c r="I125" i="10"/>
  <c r="H125" i="10"/>
  <c r="G125" i="10"/>
  <c r="F125" i="10"/>
  <c r="E125" i="10"/>
  <c r="D125" i="10"/>
  <c r="C125" i="10"/>
  <c r="B125" i="10"/>
  <c r="A125" i="10"/>
  <c r="AT124" i="10"/>
  <c r="AS124" i="10"/>
  <c r="AR124" i="10"/>
  <c r="AQ124" i="10"/>
  <c r="AP124" i="10"/>
  <c r="AO124" i="10"/>
  <c r="AN124" i="10"/>
  <c r="AL124" i="10"/>
  <c r="AK124" i="10"/>
  <c r="AJ124" i="10"/>
  <c r="AI124" i="10"/>
  <c r="AH124" i="10"/>
  <c r="AG124" i="10"/>
  <c r="AF124" i="10"/>
  <c r="AE124" i="10"/>
  <c r="AD124" i="10"/>
  <c r="AC124" i="10"/>
  <c r="AB124" i="10"/>
  <c r="AA124" i="10"/>
  <c r="Z124" i="10"/>
  <c r="Y124" i="10"/>
  <c r="X124" i="10"/>
  <c r="W124" i="10"/>
  <c r="V124" i="10"/>
  <c r="U124" i="10"/>
  <c r="T124" i="10"/>
  <c r="S124" i="10"/>
  <c r="R124" i="10"/>
  <c r="Q124" i="10"/>
  <c r="P124" i="10"/>
  <c r="O124" i="10"/>
  <c r="N124" i="10"/>
  <c r="M124" i="10"/>
  <c r="L124" i="10"/>
  <c r="K124" i="10"/>
  <c r="J124" i="10"/>
  <c r="I124" i="10"/>
  <c r="H124" i="10"/>
  <c r="G124" i="10"/>
  <c r="F124" i="10"/>
  <c r="E124" i="10"/>
  <c r="D124" i="10"/>
  <c r="C124" i="10"/>
  <c r="B124" i="10"/>
  <c r="A124" i="10"/>
  <c r="AT123" i="10"/>
  <c r="AS123" i="10"/>
  <c r="AR123" i="10"/>
  <c r="AQ123" i="10"/>
  <c r="AP123" i="10"/>
  <c r="AO123" i="10"/>
  <c r="AN123" i="10"/>
  <c r="AM123" i="10"/>
  <c r="AL123" i="10"/>
  <c r="AK123" i="10"/>
  <c r="AJ123" i="10"/>
  <c r="AI123" i="10"/>
  <c r="AH123" i="10"/>
  <c r="AG123" i="10"/>
  <c r="AF123" i="10"/>
  <c r="AE123" i="10"/>
  <c r="AD123" i="10"/>
  <c r="AC123" i="10"/>
  <c r="AB123" i="10"/>
  <c r="AA123" i="10"/>
  <c r="Z123" i="10"/>
  <c r="Y123" i="10"/>
  <c r="X123" i="10"/>
  <c r="W123" i="10"/>
  <c r="V123" i="10"/>
  <c r="U123" i="10"/>
  <c r="T123" i="10"/>
  <c r="S123" i="10"/>
  <c r="R123" i="10"/>
  <c r="Q123" i="10"/>
  <c r="P123" i="10"/>
  <c r="O123" i="10"/>
  <c r="N123" i="10"/>
  <c r="M123" i="10"/>
  <c r="L123" i="10"/>
  <c r="K123" i="10"/>
  <c r="J123" i="10"/>
  <c r="I123" i="10"/>
  <c r="H123" i="10"/>
  <c r="G123" i="10"/>
  <c r="F123" i="10"/>
  <c r="E123" i="10"/>
  <c r="D123" i="10"/>
  <c r="C123" i="10"/>
  <c r="B123" i="10"/>
  <c r="A123" i="10"/>
  <c r="AT122" i="10"/>
  <c r="AS122" i="10"/>
  <c r="AR122" i="10"/>
  <c r="AQ122" i="10"/>
  <c r="AP122" i="10"/>
  <c r="AO122" i="10"/>
  <c r="AN122" i="10"/>
  <c r="AM122" i="10"/>
  <c r="AL122" i="10"/>
  <c r="AK122" i="10"/>
  <c r="AJ122" i="10"/>
  <c r="AI122" i="10"/>
  <c r="AH122" i="10"/>
  <c r="AG122" i="10"/>
  <c r="AF122" i="10"/>
  <c r="AE122" i="10"/>
  <c r="AD122" i="10"/>
  <c r="AC122" i="10"/>
  <c r="AB122" i="10"/>
  <c r="AA122" i="10"/>
  <c r="Z122" i="10"/>
  <c r="Y122" i="10"/>
  <c r="X122" i="10"/>
  <c r="W122" i="10"/>
  <c r="V122" i="10"/>
  <c r="U122" i="10"/>
  <c r="T122" i="10"/>
  <c r="S122" i="10"/>
  <c r="R122" i="10"/>
  <c r="Q122" i="10"/>
  <c r="P122" i="10"/>
  <c r="O122" i="10"/>
  <c r="N122" i="10"/>
  <c r="M122" i="10"/>
  <c r="L122" i="10"/>
  <c r="K122" i="10"/>
  <c r="J122" i="10"/>
  <c r="I122" i="10"/>
  <c r="H122" i="10"/>
  <c r="G122" i="10"/>
  <c r="F122" i="10"/>
  <c r="E122" i="10"/>
  <c r="D122" i="10"/>
  <c r="C122" i="10"/>
  <c r="B122" i="10"/>
  <c r="A122" i="10"/>
  <c r="AT121" i="10"/>
  <c r="AS121" i="10"/>
  <c r="AR121" i="10"/>
  <c r="AQ121" i="10"/>
  <c r="AP121" i="10"/>
  <c r="AO121" i="10"/>
  <c r="AN121" i="10"/>
  <c r="AM121" i="10"/>
  <c r="AL121" i="10"/>
  <c r="AK121" i="10"/>
  <c r="AJ121" i="10"/>
  <c r="AI121" i="10"/>
  <c r="AH121" i="10"/>
  <c r="AG121" i="10"/>
  <c r="AF121" i="10"/>
  <c r="AE121" i="10"/>
  <c r="AD121" i="10"/>
  <c r="AC121" i="10"/>
  <c r="AB121" i="10"/>
  <c r="AA121" i="10"/>
  <c r="Z121" i="10"/>
  <c r="Y121" i="10"/>
  <c r="X121" i="10"/>
  <c r="W121" i="10"/>
  <c r="V121" i="10"/>
  <c r="U121" i="10"/>
  <c r="T121" i="10"/>
  <c r="S121" i="10"/>
  <c r="R121" i="10"/>
  <c r="Q121" i="10"/>
  <c r="P121" i="10"/>
  <c r="O121" i="10"/>
  <c r="N121" i="10"/>
  <c r="M121" i="10"/>
  <c r="L121" i="10"/>
  <c r="K121" i="10"/>
  <c r="J121" i="10"/>
  <c r="I121" i="10"/>
  <c r="H121" i="10"/>
  <c r="G121" i="10"/>
  <c r="F121" i="10"/>
  <c r="E121" i="10"/>
  <c r="D121" i="10"/>
  <c r="C121" i="10"/>
  <c r="B121" i="10"/>
  <c r="A121" i="10"/>
  <c r="AT120" i="10"/>
  <c r="AS120" i="10"/>
  <c r="AR120" i="10"/>
  <c r="AQ120" i="10"/>
  <c r="AP120" i="10"/>
  <c r="AO120" i="10"/>
  <c r="AN120" i="10"/>
  <c r="AM120" i="10"/>
  <c r="AL120" i="10"/>
  <c r="AK120" i="10"/>
  <c r="AJ120" i="10"/>
  <c r="AI120" i="10"/>
  <c r="AH120" i="10"/>
  <c r="AG120" i="10"/>
  <c r="AF120" i="10"/>
  <c r="AE120" i="10"/>
  <c r="AD120" i="10"/>
  <c r="AC120" i="10"/>
  <c r="AB120" i="10"/>
  <c r="AA120" i="10"/>
  <c r="Z120" i="10"/>
  <c r="Y120" i="10"/>
  <c r="X120" i="10"/>
  <c r="W120" i="10"/>
  <c r="V120" i="10"/>
  <c r="U120" i="10"/>
  <c r="T120" i="10"/>
  <c r="S120" i="10"/>
  <c r="R120" i="10"/>
  <c r="Q120" i="10"/>
  <c r="P120" i="10"/>
  <c r="O120" i="10"/>
  <c r="N120" i="10"/>
  <c r="M120" i="10"/>
  <c r="L120" i="10"/>
  <c r="K120" i="10"/>
  <c r="J120" i="10"/>
  <c r="I120" i="10"/>
  <c r="H120" i="10"/>
  <c r="G120" i="10"/>
  <c r="F120" i="10"/>
  <c r="E120" i="10"/>
  <c r="D120" i="10"/>
  <c r="C120" i="10"/>
  <c r="B120" i="10"/>
  <c r="A120" i="10"/>
  <c r="AT119" i="10"/>
  <c r="AS119" i="10"/>
  <c r="AR119" i="10"/>
  <c r="AQ119" i="10"/>
  <c r="AP119" i="10"/>
  <c r="AO119" i="10"/>
  <c r="AN119" i="10"/>
  <c r="AM119" i="10"/>
  <c r="AL119" i="10"/>
  <c r="AK119" i="10"/>
  <c r="AJ119" i="10"/>
  <c r="AI119" i="10"/>
  <c r="AH119" i="10"/>
  <c r="AG119" i="10"/>
  <c r="AF119" i="10"/>
  <c r="AE119" i="10"/>
  <c r="AD119" i="10"/>
  <c r="AC119" i="10"/>
  <c r="AB119" i="10"/>
  <c r="AA119" i="10"/>
  <c r="Z119" i="10"/>
  <c r="Y119" i="10"/>
  <c r="X119" i="10"/>
  <c r="W119" i="10"/>
  <c r="V119" i="10"/>
  <c r="U119" i="10"/>
  <c r="T119" i="10"/>
  <c r="S119" i="10"/>
  <c r="R119" i="10"/>
  <c r="Q119" i="10"/>
  <c r="P119" i="10"/>
  <c r="O119" i="10"/>
  <c r="N119" i="10"/>
  <c r="M119" i="10"/>
  <c r="L119" i="10"/>
  <c r="K119" i="10"/>
  <c r="J119" i="10"/>
  <c r="I119" i="10"/>
  <c r="H119" i="10"/>
  <c r="G119" i="10"/>
  <c r="F119" i="10"/>
  <c r="E119" i="10"/>
  <c r="D119" i="10"/>
  <c r="C119" i="10"/>
  <c r="B119" i="10"/>
  <c r="A119" i="10"/>
  <c r="AT118" i="10"/>
  <c r="AS118" i="10"/>
  <c r="AR118" i="10"/>
  <c r="AQ118" i="10"/>
  <c r="AP118" i="10"/>
  <c r="AO118" i="10"/>
  <c r="AN118" i="10"/>
  <c r="AM118" i="10"/>
  <c r="AL118" i="10"/>
  <c r="AK118" i="10"/>
  <c r="AJ118" i="10"/>
  <c r="AI118" i="10"/>
  <c r="AH118" i="10"/>
  <c r="AG118" i="10"/>
  <c r="AF118" i="10"/>
  <c r="AE118" i="10"/>
  <c r="AD118" i="10"/>
  <c r="AC118" i="10"/>
  <c r="AB118" i="10"/>
  <c r="AA118" i="10"/>
  <c r="Z118" i="10"/>
  <c r="Y118" i="10"/>
  <c r="X118" i="10"/>
  <c r="W118" i="10"/>
  <c r="V118" i="10"/>
  <c r="U118" i="10"/>
  <c r="T118" i="10"/>
  <c r="S118" i="10"/>
  <c r="R118" i="10"/>
  <c r="Q118" i="10"/>
  <c r="P118" i="10"/>
  <c r="O118" i="10"/>
  <c r="N118" i="10"/>
  <c r="M118" i="10"/>
  <c r="L118" i="10"/>
  <c r="K118" i="10"/>
  <c r="J118" i="10"/>
  <c r="I118" i="10"/>
  <c r="H118" i="10"/>
  <c r="G118" i="10"/>
  <c r="F118" i="10"/>
  <c r="E118" i="10"/>
  <c r="D118" i="10"/>
  <c r="C118" i="10"/>
  <c r="B118" i="10"/>
  <c r="A118" i="10"/>
  <c r="AT117" i="10"/>
  <c r="AS117" i="10"/>
  <c r="AR117" i="10"/>
  <c r="AQ117" i="10"/>
  <c r="AP117" i="10"/>
  <c r="AO117" i="10"/>
  <c r="AN117" i="10"/>
  <c r="AM117" i="10"/>
  <c r="AL117" i="10"/>
  <c r="AK117" i="10"/>
  <c r="AJ117" i="10"/>
  <c r="AI117" i="10"/>
  <c r="AH117" i="10"/>
  <c r="AG117" i="10"/>
  <c r="AF117" i="10"/>
  <c r="AE117" i="10"/>
  <c r="AD117" i="10"/>
  <c r="AC117" i="10"/>
  <c r="AB117" i="10"/>
  <c r="AA117" i="10"/>
  <c r="Z117" i="10"/>
  <c r="Y117" i="10"/>
  <c r="X117" i="10"/>
  <c r="W117" i="10"/>
  <c r="V117" i="10"/>
  <c r="U117" i="10"/>
  <c r="T117" i="10"/>
  <c r="S117" i="10"/>
  <c r="R117" i="10"/>
  <c r="Q117" i="10"/>
  <c r="P117" i="10"/>
  <c r="O117" i="10"/>
  <c r="N117" i="10"/>
  <c r="M117" i="10"/>
  <c r="L117" i="10"/>
  <c r="K117" i="10"/>
  <c r="J117" i="10"/>
  <c r="I117" i="10"/>
  <c r="H117" i="10"/>
  <c r="G117" i="10"/>
  <c r="F117" i="10"/>
  <c r="E117" i="10"/>
  <c r="D117" i="10"/>
  <c r="C117" i="10"/>
  <c r="B117" i="10"/>
  <c r="A117" i="10"/>
  <c r="AT116" i="10"/>
  <c r="AS116" i="10"/>
  <c r="AR116" i="10"/>
  <c r="AQ116" i="10"/>
  <c r="AP116" i="10"/>
  <c r="AO116" i="10"/>
  <c r="AN116" i="10"/>
  <c r="AM116" i="10"/>
  <c r="AL116" i="10"/>
  <c r="AK116" i="10"/>
  <c r="AJ116" i="10"/>
  <c r="AI116" i="10"/>
  <c r="AH116" i="10"/>
  <c r="AG116" i="10"/>
  <c r="AF116" i="10"/>
  <c r="AE116" i="10"/>
  <c r="AD116" i="10"/>
  <c r="AC116" i="10"/>
  <c r="AB116" i="10"/>
  <c r="AA116" i="10"/>
  <c r="Z116" i="10"/>
  <c r="Y116" i="10"/>
  <c r="X116" i="10"/>
  <c r="W116" i="10"/>
  <c r="V116" i="10"/>
  <c r="U116" i="10"/>
  <c r="T116" i="10"/>
  <c r="S116" i="10"/>
  <c r="R116" i="10"/>
  <c r="Q116" i="10"/>
  <c r="P116" i="10"/>
  <c r="O116" i="10"/>
  <c r="N116" i="10"/>
  <c r="M116" i="10"/>
  <c r="L116" i="10"/>
  <c r="K116" i="10"/>
  <c r="J116" i="10"/>
  <c r="I116" i="10"/>
  <c r="H116" i="10"/>
  <c r="G116" i="10"/>
  <c r="F116" i="10"/>
  <c r="E116" i="10"/>
  <c r="D116" i="10"/>
  <c r="C116" i="10"/>
  <c r="B116" i="10"/>
  <c r="A116" i="10"/>
  <c r="AT115" i="10"/>
  <c r="AS115" i="10"/>
  <c r="AR115" i="10"/>
  <c r="AQ115" i="10"/>
  <c r="AP115" i="10"/>
  <c r="AO115" i="10"/>
  <c r="AN115" i="10"/>
  <c r="AM115" i="10"/>
  <c r="AL115" i="10"/>
  <c r="AK115" i="10"/>
  <c r="AJ115" i="10"/>
  <c r="AI115" i="10"/>
  <c r="AH115" i="10"/>
  <c r="AG115" i="10"/>
  <c r="AF115" i="10"/>
  <c r="AE115" i="10"/>
  <c r="AD115" i="10"/>
  <c r="AC115" i="10"/>
  <c r="AB115" i="10"/>
  <c r="AA115" i="10"/>
  <c r="Z115" i="10"/>
  <c r="Y115" i="10"/>
  <c r="X115" i="10"/>
  <c r="W115" i="10"/>
  <c r="V115" i="10"/>
  <c r="U115" i="10"/>
  <c r="T115" i="10"/>
  <c r="S115" i="10"/>
  <c r="R115" i="10"/>
  <c r="Q115" i="10"/>
  <c r="P115" i="10"/>
  <c r="O115" i="10"/>
  <c r="N115" i="10"/>
  <c r="M115" i="10"/>
  <c r="L115" i="10"/>
  <c r="K115" i="10"/>
  <c r="J115" i="10"/>
  <c r="I115" i="10"/>
  <c r="H115" i="10"/>
  <c r="G115" i="10"/>
  <c r="F115" i="10"/>
  <c r="E115" i="10"/>
  <c r="D115" i="10"/>
  <c r="C115" i="10"/>
  <c r="B115" i="10"/>
  <c r="A115" i="10"/>
  <c r="AT114" i="10"/>
  <c r="AS114" i="10"/>
  <c r="AR114" i="10"/>
  <c r="AQ114" i="10"/>
  <c r="AP114" i="10"/>
  <c r="AO114" i="10"/>
  <c r="AN114" i="10"/>
  <c r="AM114" i="10"/>
  <c r="AL114" i="10"/>
  <c r="AK114" i="10"/>
  <c r="AJ114" i="10"/>
  <c r="AI114" i="10"/>
  <c r="AH114" i="10"/>
  <c r="AG114" i="10"/>
  <c r="AF114" i="10"/>
  <c r="AE114" i="10"/>
  <c r="AD114" i="10"/>
  <c r="AC114" i="10"/>
  <c r="AB114" i="10"/>
  <c r="AA114" i="10"/>
  <c r="Z114" i="10"/>
  <c r="Y114" i="10"/>
  <c r="X114" i="10"/>
  <c r="W114" i="10"/>
  <c r="V114" i="10"/>
  <c r="U114" i="10"/>
  <c r="T114" i="10"/>
  <c r="S114" i="10"/>
  <c r="R114" i="10"/>
  <c r="Q114" i="10"/>
  <c r="P114" i="10"/>
  <c r="O114" i="10"/>
  <c r="N114" i="10"/>
  <c r="M114" i="10"/>
  <c r="L114" i="10"/>
  <c r="K114" i="10"/>
  <c r="J114" i="10"/>
  <c r="I114" i="10"/>
  <c r="H114" i="10"/>
  <c r="G114" i="10"/>
  <c r="F114" i="10"/>
  <c r="E114" i="10"/>
  <c r="D114" i="10"/>
  <c r="C114" i="10"/>
  <c r="B114" i="10"/>
  <c r="A114" i="10"/>
  <c r="AT113" i="10"/>
  <c r="AS113" i="10"/>
  <c r="AR113" i="10"/>
  <c r="AQ113" i="10"/>
  <c r="AP113" i="10"/>
  <c r="AO113" i="10"/>
  <c r="AN113" i="10"/>
  <c r="AM113" i="10"/>
  <c r="AL113" i="10"/>
  <c r="AK113" i="10"/>
  <c r="AJ113" i="10"/>
  <c r="AI113" i="10"/>
  <c r="AH113" i="10"/>
  <c r="AG113" i="10"/>
  <c r="AF113" i="10"/>
  <c r="AE113" i="10"/>
  <c r="AD113" i="10"/>
  <c r="AC113" i="10"/>
  <c r="AB113" i="10"/>
  <c r="AA113" i="10"/>
  <c r="Z113" i="10"/>
  <c r="Y113" i="10"/>
  <c r="X113" i="10"/>
  <c r="W113" i="10"/>
  <c r="V113" i="10"/>
  <c r="U113" i="10"/>
  <c r="T113" i="10"/>
  <c r="S113" i="10"/>
  <c r="R113" i="10"/>
  <c r="Q113" i="10"/>
  <c r="P113" i="10"/>
  <c r="O113" i="10"/>
  <c r="N113" i="10"/>
  <c r="M113" i="10"/>
  <c r="L113" i="10"/>
  <c r="K113" i="10"/>
  <c r="J113" i="10"/>
  <c r="I113" i="10"/>
  <c r="H113" i="10"/>
  <c r="G113" i="10"/>
  <c r="F113" i="10"/>
  <c r="E113" i="10"/>
  <c r="D113" i="10"/>
  <c r="C113" i="10"/>
  <c r="B113" i="10"/>
  <c r="A113" i="10"/>
  <c r="AT112" i="10"/>
  <c r="AS112" i="10"/>
  <c r="AR112" i="10"/>
  <c r="AQ112" i="10"/>
  <c r="AP112" i="10"/>
  <c r="AO112" i="10"/>
  <c r="AN112" i="10"/>
  <c r="AM112" i="10"/>
  <c r="AL112" i="10"/>
  <c r="AK112" i="10"/>
  <c r="AJ112" i="10"/>
  <c r="AI112" i="10"/>
  <c r="AH112" i="10"/>
  <c r="AG112" i="10"/>
  <c r="AF112" i="10"/>
  <c r="AE112" i="10"/>
  <c r="AD112" i="10"/>
  <c r="AC112" i="10"/>
  <c r="AB112" i="10"/>
  <c r="AA112" i="10"/>
  <c r="Z112" i="10"/>
  <c r="Y112" i="10"/>
  <c r="X112" i="10"/>
  <c r="W112" i="10"/>
  <c r="V112" i="10"/>
  <c r="U112" i="10"/>
  <c r="T112" i="10"/>
  <c r="S112" i="10"/>
  <c r="R112" i="10"/>
  <c r="Q112" i="10"/>
  <c r="P112" i="10"/>
  <c r="O112" i="10"/>
  <c r="N112" i="10"/>
  <c r="M112" i="10"/>
  <c r="L112" i="10"/>
  <c r="K112" i="10"/>
  <c r="J112" i="10"/>
  <c r="I112" i="10"/>
  <c r="H112" i="10"/>
  <c r="G112" i="10"/>
  <c r="F112" i="10"/>
  <c r="E112" i="10"/>
  <c r="D112" i="10"/>
  <c r="C112" i="10"/>
  <c r="B112" i="10"/>
  <c r="A112" i="10"/>
  <c r="AT111" i="10"/>
  <c r="AS111" i="10"/>
  <c r="AR111" i="10"/>
  <c r="AQ111" i="10"/>
  <c r="AP111" i="10"/>
  <c r="AO111" i="10"/>
  <c r="AN111" i="10"/>
  <c r="AM111" i="10"/>
  <c r="AL111" i="10"/>
  <c r="AK111" i="10"/>
  <c r="AJ111" i="10"/>
  <c r="AI111" i="10"/>
  <c r="AH111" i="10"/>
  <c r="AG111" i="10"/>
  <c r="AF111" i="10"/>
  <c r="AE111" i="10"/>
  <c r="AD111" i="10"/>
  <c r="AC111" i="10"/>
  <c r="AB111" i="10"/>
  <c r="AA111" i="10"/>
  <c r="Z111" i="10"/>
  <c r="Y111" i="10"/>
  <c r="X111" i="10"/>
  <c r="W111" i="10"/>
  <c r="V111" i="10"/>
  <c r="U111" i="10"/>
  <c r="T111" i="10"/>
  <c r="S111" i="10"/>
  <c r="R111" i="10"/>
  <c r="Q111" i="10"/>
  <c r="P111" i="10"/>
  <c r="O111" i="10"/>
  <c r="N111" i="10"/>
  <c r="M111" i="10"/>
  <c r="L111" i="10"/>
  <c r="K111" i="10"/>
  <c r="J111" i="10"/>
  <c r="I111" i="10"/>
  <c r="H111" i="10"/>
  <c r="G111" i="10"/>
  <c r="F111" i="10"/>
  <c r="E111" i="10"/>
  <c r="D111" i="10"/>
  <c r="C111" i="10"/>
  <c r="B111" i="10"/>
  <c r="A111" i="10"/>
  <c r="AT110" i="10"/>
  <c r="AS110" i="10"/>
  <c r="AR110" i="10"/>
  <c r="AQ110" i="10"/>
  <c r="AP110" i="10"/>
  <c r="AO110" i="10"/>
  <c r="AN110" i="10"/>
  <c r="AM110" i="10"/>
  <c r="AL110" i="10"/>
  <c r="AK110" i="10"/>
  <c r="AJ110" i="10"/>
  <c r="AI110" i="10"/>
  <c r="AH110" i="10"/>
  <c r="AG110" i="10"/>
  <c r="AF110" i="10"/>
  <c r="AE110" i="10"/>
  <c r="AD110" i="10"/>
  <c r="AC110" i="10"/>
  <c r="AB110" i="10"/>
  <c r="AA110" i="10"/>
  <c r="Z110" i="10"/>
  <c r="Y110" i="10"/>
  <c r="X110" i="10"/>
  <c r="W110" i="10"/>
  <c r="V110" i="10"/>
  <c r="U110" i="10"/>
  <c r="T110" i="10"/>
  <c r="S110" i="10"/>
  <c r="R110" i="10"/>
  <c r="Q110" i="10"/>
  <c r="P110" i="10"/>
  <c r="O110" i="10"/>
  <c r="N110" i="10"/>
  <c r="M110" i="10"/>
  <c r="L110" i="10"/>
  <c r="K110" i="10"/>
  <c r="J110" i="10"/>
  <c r="I110" i="10"/>
  <c r="H110" i="10"/>
  <c r="G110" i="10"/>
  <c r="F110" i="10"/>
  <c r="E110" i="10"/>
  <c r="D110" i="10"/>
  <c r="C110" i="10"/>
  <c r="B110" i="10"/>
  <c r="A110" i="10"/>
  <c r="AT109" i="10"/>
  <c r="AS109" i="10"/>
  <c r="AR109" i="10"/>
  <c r="AQ109" i="10"/>
  <c r="AP109" i="10"/>
  <c r="AO109" i="10"/>
  <c r="AN109" i="10"/>
  <c r="AM109" i="10"/>
  <c r="AL109" i="10"/>
  <c r="AK109" i="10"/>
  <c r="AJ109" i="10"/>
  <c r="AI109" i="10"/>
  <c r="AH109" i="10"/>
  <c r="AG109" i="10"/>
  <c r="AF109" i="10"/>
  <c r="AE109" i="10"/>
  <c r="AD109" i="10"/>
  <c r="AC109" i="10"/>
  <c r="AB109" i="10"/>
  <c r="AA109" i="10"/>
  <c r="Z109" i="10"/>
  <c r="Y109" i="10"/>
  <c r="X109" i="10"/>
  <c r="W109" i="10"/>
  <c r="V109" i="10"/>
  <c r="U109" i="10"/>
  <c r="T109" i="10"/>
  <c r="S109" i="10"/>
  <c r="R109" i="10"/>
  <c r="Q109" i="10"/>
  <c r="P109" i="10"/>
  <c r="O109" i="10"/>
  <c r="N109" i="10"/>
  <c r="M109" i="10"/>
  <c r="L109" i="10"/>
  <c r="K109" i="10"/>
  <c r="J109" i="10"/>
  <c r="I109" i="10"/>
  <c r="H109" i="10"/>
  <c r="G109" i="10"/>
  <c r="F109" i="10"/>
  <c r="E109" i="10"/>
  <c r="D109" i="10"/>
  <c r="C109" i="10"/>
  <c r="B109" i="10"/>
  <c r="A109" i="10"/>
  <c r="AT108" i="10"/>
  <c r="AS108" i="10"/>
  <c r="AR108" i="10"/>
  <c r="AQ108" i="10"/>
  <c r="AP108" i="10"/>
  <c r="AO108" i="10"/>
  <c r="AN108" i="10"/>
  <c r="AM108" i="10"/>
  <c r="AL108" i="10"/>
  <c r="AK108" i="10"/>
  <c r="AJ108" i="10"/>
  <c r="AI108" i="10"/>
  <c r="AH108" i="10"/>
  <c r="AG108" i="10"/>
  <c r="AF108" i="10"/>
  <c r="AE108" i="10"/>
  <c r="AD108" i="10"/>
  <c r="AC108" i="10"/>
  <c r="AB108" i="10"/>
  <c r="AA108" i="10"/>
  <c r="Z108" i="10"/>
  <c r="Y108" i="10"/>
  <c r="X108" i="10"/>
  <c r="W108" i="10"/>
  <c r="V108" i="10"/>
  <c r="U108" i="10"/>
  <c r="T108" i="10"/>
  <c r="S108" i="10"/>
  <c r="R108" i="10"/>
  <c r="Q108" i="10"/>
  <c r="P108" i="10"/>
  <c r="O108" i="10"/>
  <c r="N108" i="10"/>
  <c r="M108" i="10"/>
  <c r="L108" i="10"/>
  <c r="K108" i="10"/>
  <c r="J108" i="10"/>
  <c r="I108" i="10"/>
  <c r="H108" i="10"/>
  <c r="G108" i="10"/>
  <c r="F108" i="10"/>
  <c r="E108" i="10"/>
  <c r="D108" i="10"/>
  <c r="C108" i="10"/>
  <c r="B108" i="10"/>
  <c r="A108" i="10"/>
  <c r="AT107" i="10"/>
  <c r="AS107" i="10"/>
  <c r="AR107" i="10"/>
  <c r="AQ107" i="10"/>
  <c r="AP107" i="10"/>
  <c r="AO107" i="10"/>
  <c r="AN107" i="10"/>
  <c r="AM107" i="10"/>
  <c r="AL107" i="10"/>
  <c r="AK107" i="10"/>
  <c r="AJ107" i="10"/>
  <c r="AI107" i="10"/>
  <c r="AH107" i="10"/>
  <c r="AG107" i="10"/>
  <c r="AF107" i="10"/>
  <c r="AE107" i="10"/>
  <c r="AD107" i="10"/>
  <c r="AC107" i="10"/>
  <c r="AB107" i="10"/>
  <c r="AA107" i="10"/>
  <c r="Z107" i="10"/>
  <c r="Y107" i="10"/>
  <c r="X107" i="10"/>
  <c r="W107" i="10"/>
  <c r="V107" i="10"/>
  <c r="U107" i="10"/>
  <c r="T107" i="10"/>
  <c r="S107" i="10"/>
  <c r="R107" i="10"/>
  <c r="Q107" i="10"/>
  <c r="P107" i="10"/>
  <c r="O107" i="10"/>
  <c r="N107" i="10"/>
  <c r="M107" i="10"/>
  <c r="L107" i="10"/>
  <c r="K107" i="10"/>
  <c r="J107" i="10"/>
  <c r="I107" i="10"/>
  <c r="H107" i="10"/>
  <c r="G107" i="10"/>
  <c r="F107" i="10"/>
  <c r="E107" i="10"/>
  <c r="D107" i="10"/>
  <c r="C107" i="10"/>
  <c r="B107" i="10"/>
  <c r="A107" i="10"/>
  <c r="AT106" i="10"/>
  <c r="AS106" i="10"/>
  <c r="AR106" i="10"/>
  <c r="AQ106" i="10"/>
  <c r="AP106" i="10"/>
  <c r="AO106" i="10"/>
  <c r="AN106" i="10"/>
  <c r="AM106" i="10"/>
  <c r="AL106" i="10"/>
  <c r="AK106" i="10"/>
  <c r="AJ106" i="10"/>
  <c r="AI106" i="10"/>
  <c r="AH106" i="10"/>
  <c r="AG106" i="10"/>
  <c r="AF106" i="10"/>
  <c r="AE106" i="10"/>
  <c r="AD106" i="10"/>
  <c r="AC106" i="10"/>
  <c r="AB106" i="10"/>
  <c r="AA106" i="10"/>
  <c r="Z106" i="10"/>
  <c r="Y106" i="10"/>
  <c r="X106" i="10"/>
  <c r="W106" i="10"/>
  <c r="V106" i="10"/>
  <c r="U106" i="10"/>
  <c r="T106" i="10"/>
  <c r="S106" i="10"/>
  <c r="R106" i="10"/>
  <c r="Q106" i="10"/>
  <c r="P106" i="10"/>
  <c r="O106" i="10"/>
  <c r="N106" i="10"/>
  <c r="M106" i="10"/>
  <c r="L106" i="10"/>
  <c r="K106" i="10"/>
  <c r="J106" i="10"/>
  <c r="I106" i="10"/>
  <c r="H106" i="10"/>
  <c r="G106" i="10"/>
  <c r="F106" i="10"/>
  <c r="E106" i="10"/>
  <c r="D106" i="10"/>
  <c r="C106" i="10"/>
  <c r="B106" i="10"/>
  <c r="A106" i="10"/>
  <c r="AT105" i="10"/>
  <c r="AS105" i="10"/>
  <c r="AR105" i="10"/>
  <c r="AQ105" i="10"/>
  <c r="AP105" i="10"/>
  <c r="AO105" i="10"/>
  <c r="AN105" i="10"/>
  <c r="AM105" i="10"/>
  <c r="AL105" i="10"/>
  <c r="AK105" i="10"/>
  <c r="AJ105" i="10"/>
  <c r="AI105" i="10"/>
  <c r="AH105" i="10"/>
  <c r="AG105" i="10"/>
  <c r="AF105" i="10"/>
  <c r="AE105" i="10"/>
  <c r="AD105" i="10"/>
  <c r="AC105" i="10"/>
  <c r="AB105" i="10"/>
  <c r="AA105" i="10"/>
  <c r="Z105" i="10"/>
  <c r="Y105" i="10"/>
  <c r="X105" i="10"/>
  <c r="W105" i="10"/>
  <c r="V105" i="10"/>
  <c r="U105" i="10"/>
  <c r="T105" i="10"/>
  <c r="S105" i="10"/>
  <c r="R105" i="10"/>
  <c r="Q105" i="10"/>
  <c r="P105" i="10"/>
  <c r="O105" i="10"/>
  <c r="N105" i="10"/>
  <c r="M105" i="10"/>
  <c r="L105" i="10"/>
  <c r="K105" i="10"/>
  <c r="J105" i="10"/>
  <c r="I105" i="10"/>
  <c r="H105" i="10"/>
  <c r="G105" i="10"/>
  <c r="F105" i="10"/>
  <c r="E105" i="10"/>
  <c r="D105" i="10"/>
  <c r="C105" i="10"/>
  <c r="B105" i="10"/>
  <c r="A105" i="10"/>
  <c r="AT104" i="10"/>
  <c r="AS104" i="10"/>
  <c r="AR104" i="10"/>
  <c r="AQ104" i="10"/>
  <c r="AP104" i="10"/>
  <c r="AO104" i="10"/>
  <c r="AN104" i="10"/>
  <c r="AM104" i="10"/>
  <c r="AL104" i="10"/>
  <c r="AK104" i="10"/>
  <c r="AJ104" i="10"/>
  <c r="AI104" i="10"/>
  <c r="AH104" i="10"/>
  <c r="AG104" i="10"/>
  <c r="AF104" i="10"/>
  <c r="AE104" i="10"/>
  <c r="AD104" i="10"/>
  <c r="AC104" i="10"/>
  <c r="AB104" i="10"/>
  <c r="AA104" i="10"/>
  <c r="Z104" i="10"/>
  <c r="Y104" i="10"/>
  <c r="X104" i="10"/>
  <c r="W104" i="10"/>
  <c r="V104" i="10"/>
  <c r="U104" i="10"/>
  <c r="T104" i="10"/>
  <c r="S104" i="10"/>
  <c r="R104" i="10"/>
  <c r="Q104" i="10"/>
  <c r="P104" i="10"/>
  <c r="O104" i="10"/>
  <c r="N104" i="10"/>
  <c r="M104" i="10"/>
  <c r="L104" i="10"/>
  <c r="K104" i="10"/>
  <c r="J104" i="10"/>
  <c r="I104" i="10"/>
  <c r="H104" i="10"/>
  <c r="G104" i="10"/>
  <c r="F104" i="10"/>
  <c r="E104" i="10"/>
  <c r="D104" i="10"/>
  <c r="C104" i="10"/>
  <c r="B104" i="10"/>
  <c r="A104" i="10"/>
  <c r="AT103" i="10"/>
  <c r="AS103" i="10"/>
  <c r="AR103" i="10"/>
  <c r="AQ103" i="10"/>
  <c r="AP103" i="10"/>
  <c r="AO103" i="10"/>
  <c r="AN103" i="10"/>
  <c r="AM103" i="10"/>
  <c r="AL103" i="10"/>
  <c r="AK103" i="10"/>
  <c r="AJ103" i="10"/>
  <c r="AI103" i="10"/>
  <c r="AH103" i="10"/>
  <c r="AG103" i="10"/>
  <c r="AF103" i="10"/>
  <c r="AE103" i="10"/>
  <c r="AD103" i="10"/>
  <c r="AC103" i="10"/>
  <c r="AB103" i="10"/>
  <c r="AA103" i="10"/>
  <c r="Z103" i="10"/>
  <c r="Y103" i="10"/>
  <c r="X103" i="10"/>
  <c r="W103" i="10"/>
  <c r="V103" i="10"/>
  <c r="U103" i="10"/>
  <c r="T103" i="10"/>
  <c r="S103" i="10"/>
  <c r="R103" i="10"/>
  <c r="Q103" i="10"/>
  <c r="P103" i="10"/>
  <c r="O103" i="10"/>
  <c r="N103" i="10"/>
  <c r="M103" i="10"/>
  <c r="L103" i="10"/>
  <c r="K103" i="10"/>
  <c r="J103" i="10"/>
  <c r="I103" i="10"/>
  <c r="H103" i="10"/>
  <c r="G103" i="10"/>
  <c r="F103" i="10"/>
  <c r="E103" i="10"/>
  <c r="D103" i="10"/>
  <c r="C103" i="10"/>
  <c r="B103" i="10"/>
  <c r="A103" i="10"/>
  <c r="AT102" i="10"/>
  <c r="AS102" i="10"/>
  <c r="AR102" i="10"/>
  <c r="AQ102" i="10"/>
  <c r="AP102" i="10"/>
  <c r="AO102" i="10"/>
  <c r="AN102" i="10"/>
  <c r="AM102" i="10"/>
  <c r="AL102" i="10"/>
  <c r="AK102" i="10"/>
  <c r="AJ102" i="10"/>
  <c r="AI102" i="10"/>
  <c r="AH102" i="10"/>
  <c r="AG102" i="10"/>
  <c r="AF102" i="10"/>
  <c r="AE102" i="10"/>
  <c r="AD102" i="10"/>
  <c r="AC102" i="10"/>
  <c r="AB102" i="10"/>
  <c r="AA102" i="10"/>
  <c r="Z102" i="10"/>
  <c r="Y102" i="10"/>
  <c r="X102" i="10"/>
  <c r="W102" i="10"/>
  <c r="V102" i="10"/>
  <c r="U102" i="10"/>
  <c r="T102" i="10"/>
  <c r="S102" i="10"/>
  <c r="R102" i="10"/>
  <c r="Q102" i="10"/>
  <c r="P102" i="10"/>
  <c r="O102" i="10"/>
  <c r="N102" i="10"/>
  <c r="M102" i="10"/>
  <c r="L102" i="10"/>
  <c r="K102" i="10"/>
  <c r="J102" i="10"/>
  <c r="I102" i="10"/>
  <c r="H102" i="10"/>
  <c r="G102" i="10"/>
  <c r="F102" i="10"/>
  <c r="E102" i="10"/>
  <c r="D102" i="10"/>
  <c r="C102" i="10"/>
  <c r="B102" i="10"/>
  <c r="A102" i="10"/>
  <c r="AT101" i="10"/>
  <c r="AS101" i="10"/>
  <c r="AR101" i="10"/>
  <c r="AQ101" i="10"/>
  <c r="AP101" i="10"/>
  <c r="AO101" i="10"/>
  <c r="AN101" i="10"/>
  <c r="AM101" i="10"/>
  <c r="AL101" i="10"/>
  <c r="AK101" i="10"/>
  <c r="AJ101" i="10"/>
  <c r="AI101" i="10"/>
  <c r="AH101" i="10"/>
  <c r="AG101" i="10"/>
  <c r="AF101" i="10"/>
  <c r="AE101" i="10"/>
  <c r="AD101" i="10"/>
  <c r="AC101" i="10"/>
  <c r="AB101" i="10"/>
  <c r="AA101" i="10"/>
  <c r="Z101" i="10"/>
  <c r="Y101" i="10"/>
  <c r="X101" i="10"/>
  <c r="W101" i="10"/>
  <c r="V101" i="10"/>
  <c r="U101" i="10"/>
  <c r="T101" i="10"/>
  <c r="S101" i="10"/>
  <c r="R101" i="10"/>
  <c r="Q101" i="10"/>
  <c r="P101" i="10"/>
  <c r="O101" i="10"/>
  <c r="N101" i="10"/>
  <c r="M101" i="10"/>
  <c r="L101" i="10"/>
  <c r="K101" i="10"/>
  <c r="J101" i="10"/>
  <c r="I101" i="10"/>
  <c r="H101" i="10"/>
  <c r="G101" i="10"/>
  <c r="F101" i="10"/>
  <c r="E101" i="10"/>
  <c r="D101" i="10"/>
  <c r="C101" i="10"/>
  <c r="B101" i="10"/>
  <c r="A101" i="10"/>
  <c r="AT100" i="10"/>
  <c r="AS100" i="10"/>
  <c r="AR100" i="10"/>
  <c r="AQ100" i="10"/>
  <c r="AP100" i="10"/>
  <c r="AO100" i="10"/>
  <c r="AN100" i="10"/>
  <c r="AM100" i="10"/>
  <c r="AL100" i="10"/>
  <c r="AK100" i="10"/>
  <c r="AJ100" i="10"/>
  <c r="AI100" i="10"/>
  <c r="AH100" i="10"/>
  <c r="AG100" i="10"/>
  <c r="AF100" i="10"/>
  <c r="AE100" i="10"/>
  <c r="AD100" i="10"/>
  <c r="AC100" i="10"/>
  <c r="AB100" i="10"/>
  <c r="AA100" i="10"/>
  <c r="Z100" i="10"/>
  <c r="Y100" i="10"/>
  <c r="X100" i="10"/>
  <c r="W100" i="10"/>
  <c r="V100" i="10"/>
  <c r="U100" i="10"/>
  <c r="T100" i="10"/>
  <c r="S100" i="10"/>
  <c r="R100" i="10"/>
  <c r="Q100" i="10"/>
  <c r="P100" i="10"/>
  <c r="O100" i="10"/>
  <c r="N100" i="10"/>
  <c r="M100" i="10"/>
  <c r="L100" i="10"/>
  <c r="K100" i="10"/>
  <c r="J100" i="10"/>
  <c r="I100" i="10"/>
  <c r="H100" i="10"/>
  <c r="G100" i="10"/>
  <c r="F100" i="10"/>
  <c r="E100" i="10"/>
  <c r="D100" i="10"/>
  <c r="C100" i="10"/>
  <c r="B100" i="10"/>
  <c r="A100" i="10"/>
  <c r="AT99" i="10"/>
  <c r="AS99" i="10"/>
  <c r="AR99" i="10"/>
  <c r="AQ99" i="10"/>
  <c r="AP99" i="10"/>
  <c r="AO99" i="10"/>
  <c r="AN99" i="10"/>
  <c r="AM99" i="10"/>
  <c r="AL99" i="10"/>
  <c r="AK99" i="10"/>
  <c r="AJ99" i="10"/>
  <c r="AI99" i="10"/>
  <c r="AH99" i="10"/>
  <c r="AG99" i="10"/>
  <c r="AF99" i="10"/>
  <c r="AE99" i="10"/>
  <c r="AD99" i="10"/>
  <c r="AC99" i="10"/>
  <c r="AB99" i="10"/>
  <c r="AA99" i="10"/>
  <c r="Z99" i="10"/>
  <c r="Y99" i="10"/>
  <c r="X99" i="10"/>
  <c r="W99" i="10"/>
  <c r="V99" i="10"/>
  <c r="U99" i="10"/>
  <c r="T99" i="10"/>
  <c r="S99" i="10"/>
  <c r="R99" i="10"/>
  <c r="Q99" i="10"/>
  <c r="P99" i="10"/>
  <c r="O99" i="10"/>
  <c r="N99" i="10"/>
  <c r="M99" i="10"/>
  <c r="L99" i="10"/>
  <c r="K99" i="10"/>
  <c r="J99" i="10"/>
  <c r="I99" i="10"/>
  <c r="H99" i="10"/>
  <c r="G99" i="10"/>
  <c r="F99" i="10"/>
  <c r="E99" i="10"/>
  <c r="D99" i="10"/>
  <c r="C99" i="10"/>
  <c r="B99" i="10"/>
  <c r="A99" i="10"/>
  <c r="AT98" i="10"/>
  <c r="AS98" i="10"/>
  <c r="AR98" i="10"/>
  <c r="AQ98" i="10"/>
  <c r="AP98" i="10"/>
  <c r="AO98" i="10"/>
  <c r="AN98" i="10"/>
  <c r="AM98" i="10"/>
  <c r="AL98" i="10"/>
  <c r="AK98" i="10"/>
  <c r="AJ98" i="10"/>
  <c r="AI98" i="10"/>
  <c r="AH98" i="10"/>
  <c r="AG98" i="10"/>
  <c r="AF98" i="10"/>
  <c r="AE98" i="10"/>
  <c r="AD98" i="10"/>
  <c r="AC98" i="10"/>
  <c r="AB98" i="10"/>
  <c r="AA98" i="10"/>
  <c r="Z98" i="10"/>
  <c r="Y98" i="10"/>
  <c r="X98" i="10"/>
  <c r="W98" i="10"/>
  <c r="V98" i="10"/>
  <c r="U98" i="10"/>
  <c r="T98" i="10"/>
  <c r="S98" i="10"/>
  <c r="R98" i="10"/>
  <c r="Q98" i="10"/>
  <c r="P98" i="10"/>
  <c r="O98" i="10"/>
  <c r="N98" i="10"/>
  <c r="M98" i="10"/>
  <c r="L98" i="10"/>
  <c r="K98" i="10"/>
  <c r="J98" i="10"/>
  <c r="I98" i="10"/>
  <c r="H98" i="10"/>
  <c r="G98" i="10"/>
  <c r="F98" i="10"/>
  <c r="E98" i="10"/>
  <c r="D98" i="10"/>
  <c r="C98" i="10"/>
  <c r="B98" i="10"/>
  <c r="A98" i="10"/>
  <c r="AT97" i="10"/>
  <c r="AS97" i="10"/>
  <c r="AR97" i="10"/>
  <c r="AQ97" i="10"/>
  <c r="AP97" i="10"/>
  <c r="AO97" i="10"/>
  <c r="AN97" i="10"/>
  <c r="AM97" i="10"/>
  <c r="AL97" i="10"/>
  <c r="AK97" i="10"/>
  <c r="AJ97" i="10"/>
  <c r="AI97" i="10"/>
  <c r="AH97" i="10"/>
  <c r="AG97" i="10"/>
  <c r="AF97" i="10"/>
  <c r="AE97" i="10"/>
  <c r="AD97" i="10"/>
  <c r="AC97" i="10"/>
  <c r="AB97" i="10"/>
  <c r="AA97" i="10"/>
  <c r="Z97" i="10"/>
  <c r="Y97" i="10"/>
  <c r="X97" i="10"/>
  <c r="W97" i="10"/>
  <c r="V97" i="10"/>
  <c r="U97" i="10"/>
  <c r="T97" i="10"/>
  <c r="S97" i="10"/>
  <c r="R97" i="10"/>
  <c r="Q97" i="10"/>
  <c r="P97" i="10"/>
  <c r="O97" i="10"/>
  <c r="N97" i="10"/>
  <c r="M97" i="10"/>
  <c r="L97" i="10"/>
  <c r="K97" i="10"/>
  <c r="J97" i="10"/>
  <c r="I97" i="10"/>
  <c r="H97" i="10"/>
  <c r="G97" i="10"/>
  <c r="F97" i="10"/>
  <c r="E97" i="10"/>
  <c r="D97" i="10"/>
  <c r="C97" i="10"/>
  <c r="B97" i="10"/>
  <c r="A97" i="10"/>
  <c r="AT96" i="10"/>
  <c r="AS96" i="10"/>
  <c r="AR96" i="10"/>
  <c r="AQ96" i="10"/>
  <c r="AP96" i="10"/>
  <c r="AO96" i="10"/>
  <c r="AN96" i="10"/>
  <c r="AM96" i="10"/>
  <c r="AL96" i="10"/>
  <c r="AK96" i="10"/>
  <c r="AJ96" i="10"/>
  <c r="AI96" i="10"/>
  <c r="AH96" i="10"/>
  <c r="AG96" i="10"/>
  <c r="AF96" i="10"/>
  <c r="AE96" i="10"/>
  <c r="AD96" i="10"/>
  <c r="AC96" i="10"/>
  <c r="AB96" i="10"/>
  <c r="AA96" i="10"/>
  <c r="Z96" i="10"/>
  <c r="Y96" i="10"/>
  <c r="X96" i="10"/>
  <c r="W96" i="10"/>
  <c r="V96" i="10"/>
  <c r="U96" i="10"/>
  <c r="T96" i="10"/>
  <c r="S96" i="10"/>
  <c r="R96" i="10"/>
  <c r="Q96" i="10"/>
  <c r="P96" i="10"/>
  <c r="O96" i="10"/>
  <c r="N96" i="10"/>
  <c r="M96" i="10"/>
  <c r="L96" i="10"/>
  <c r="K96" i="10"/>
  <c r="J96" i="10"/>
  <c r="I96" i="10"/>
  <c r="H96" i="10"/>
  <c r="G96" i="10"/>
  <c r="F96" i="10"/>
  <c r="E96" i="10"/>
  <c r="D96" i="10"/>
  <c r="C96" i="10"/>
  <c r="B96" i="10"/>
  <c r="A96" i="10"/>
  <c r="AT95" i="10"/>
  <c r="AS95" i="10"/>
  <c r="AR95" i="10"/>
  <c r="AQ95" i="10"/>
  <c r="AP95" i="10"/>
  <c r="AO95" i="10"/>
  <c r="AN95" i="10"/>
  <c r="AM95" i="10"/>
  <c r="AL95" i="10"/>
  <c r="AK95" i="10"/>
  <c r="AJ95" i="10"/>
  <c r="AI95" i="10"/>
  <c r="AH95" i="10"/>
  <c r="AG95" i="10"/>
  <c r="AF95" i="10"/>
  <c r="AE95" i="10"/>
  <c r="AD95" i="10"/>
  <c r="AC95" i="10"/>
  <c r="AB95" i="10"/>
  <c r="AA95" i="10"/>
  <c r="Z95" i="10"/>
  <c r="Y95" i="10"/>
  <c r="X95" i="10"/>
  <c r="W95" i="10"/>
  <c r="V95" i="10"/>
  <c r="U95" i="10"/>
  <c r="T95" i="10"/>
  <c r="S95" i="10"/>
  <c r="R95" i="10"/>
  <c r="Q95" i="10"/>
  <c r="P95" i="10"/>
  <c r="O95" i="10"/>
  <c r="N95" i="10"/>
  <c r="M95" i="10"/>
  <c r="L95" i="10"/>
  <c r="K95" i="10"/>
  <c r="J95" i="10"/>
  <c r="I95" i="10"/>
  <c r="H95" i="10"/>
  <c r="G95" i="10"/>
  <c r="F95" i="10"/>
  <c r="E95" i="10"/>
  <c r="D95" i="10"/>
  <c r="C95" i="10"/>
  <c r="B95" i="10"/>
  <c r="A95" i="10"/>
  <c r="AT94" i="10"/>
  <c r="AS94" i="10"/>
  <c r="AR94" i="10"/>
  <c r="AQ94" i="10"/>
  <c r="AP94" i="10"/>
  <c r="AO94" i="10"/>
  <c r="AN94" i="10"/>
  <c r="AM94" i="10"/>
  <c r="AL94" i="10"/>
  <c r="AK94" i="10"/>
  <c r="AJ94" i="10"/>
  <c r="AI94" i="10"/>
  <c r="AH94" i="10"/>
  <c r="AG94" i="10"/>
  <c r="AF94" i="10"/>
  <c r="AE94" i="10"/>
  <c r="AD94" i="10"/>
  <c r="AC94" i="10"/>
  <c r="AB94" i="10"/>
  <c r="AA94" i="10"/>
  <c r="Z94" i="10"/>
  <c r="Y94" i="10"/>
  <c r="X94" i="10"/>
  <c r="W94" i="10"/>
  <c r="V94" i="10"/>
  <c r="U94" i="10"/>
  <c r="T94" i="10"/>
  <c r="S94" i="10"/>
  <c r="R94" i="10"/>
  <c r="Q94" i="10"/>
  <c r="P94" i="10"/>
  <c r="O94" i="10"/>
  <c r="N94" i="10"/>
  <c r="M94" i="10"/>
  <c r="L94" i="10"/>
  <c r="K94" i="10"/>
  <c r="J94" i="10"/>
  <c r="I94" i="10"/>
  <c r="H94" i="10"/>
  <c r="G94" i="10"/>
  <c r="F94" i="10"/>
  <c r="E94" i="10"/>
  <c r="D94" i="10"/>
  <c r="C94" i="10"/>
  <c r="B94" i="10"/>
  <c r="A94" i="10"/>
  <c r="AT93" i="10"/>
  <c r="AS93" i="10"/>
  <c r="AR93" i="10"/>
  <c r="AQ93" i="10"/>
  <c r="AP93" i="10"/>
  <c r="AO93" i="10"/>
  <c r="AN93" i="10"/>
  <c r="AM93" i="10"/>
  <c r="AL93" i="10"/>
  <c r="AK93" i="10"/>
  <c r="AJ93" i="10"/>
  <c r="AI93" i="10"/>
  <c r="AH93" i="10"/>
  <c r="AG93" i="10"/>
  <c r="AF93" i="10"/>
  <c r="AE93" i="10"/>
  <c r="AD93" i="10"/>
  <c r="AC93" i="10"/>
  <c r="AB93" i="10"/>
  <c r="AA93" i="10"/>
  <c r="Z93" i="10"/>
  <c r="Y93" i="10"/>
  <c r="X93" i="10"/>
  <c r="W93" i="10"/>
  <c r="V93" i="10"/>
  <c r="U93" i="10"/>
  <c r="T93" i="10"/>
  <c r="S93" i="10"/>
  <c r="R93" i="10"/>
  <c r="Q93" i="10"/>
  <c r="P93" i="10"/>
  <c r="O93" i="10"/>
  <c r="N93" i="10"/>
  <c r="M93" i="10"/>
  <c r="L93" i="10"/>
  <c r="K93" i="10"/>
  <c r="J93" i="10"/>
  <c r="I93" i="10"/>
  <c r="H93" i="10"/>
  <c r="G93" i="10"/>
  <c r="F93" i="10"/>
  <c r="E93" i="10"/>
  <c r="D93" i="10"/>
  <c r="C93" i="10"/>
  <c r="B93" i="10"/>
  <c r="A93" i="10"/>
  <c r="AT92" i="10"/>
  <c r="AS92" i="10"/>
  <c r="AR92" i="10"/>
  <c r="AQ92" i="10"/>
  <c r="AP92" i="10"/>
  <c r="AO92" i="10"/>
  <c r="AN92" i="10"/>
  <c r="AM92" i="10"/>
  <c r="AL92" i="10"/>
  <c r="AK92" i="10"/>
  <c r="AJ92" i="10"/>
  <c r="AI92" i="10"/>
  <c r="AH92" i="10"/>
  <c r="AG92" i="10"/>
  <c r="AF92" i="10"/>
  <c r="AE92" i="10"/>
  <c r="AD92" i="10"/>
  <c r="AC92" i="10"/>
  <c r="AB92" i="10"/>
  <c r="AA92" i="10"/>
  <c r="Z92" i="10"/>
  <c r="Y92" i="10"/>
  <c r="X92" i="10"/>
  <c r="W92" i="10"/>
  <c r="V92" i="10"/>
  <c r="U92" i="10"/>
  <c r="T92" i="10"/>
  <c r="S92" i="10"/>
  <c r="R92" i="10"/>
  <c r="Q92" i="10"/>
  <c r="P92" i="10"/>
  <c r="O92" i="10"/>
  <c r="N92" i="10"/>
  <c r="M92" i="10"/>
  <c r="L92" i="10"/>
  <c r="K92" i="10"/>
  <c r="J92" i="10"/>
  <c r="I92" i="10"/>
  <c r="H92" i="10"/>
  <c r="G92" i="10"/>
  <c r="F92" i="10"/>
  <c r="E92" i="10"/>
  <c r="D92" i="10"/>
  <c r="C92" i="10"/>
  <c r="B92" i="10"/>
  <c r="A92" i="10"/>
  <c r="AT91" i="10"/>
  <c r="AS91" i="10"/>
  <c r="AR91" i="10"/>
  <c r="AQ91" i="10"/>
  <c r="AP91" i="10"/>
  <c r="AO91" i="10"/>
  <c r="AN91" i="10"/>
  <c r="AM91" i="10"/>
  <c r="AL91" i="10"/>
  <c r="AK91" i="10"/>
  <c r="AJ91" i="10"/>
  <c r="AI91" i="10"/>
  <c r="AH91" i="10"/>
  <c r="AG91" i="10"/>
  <c r="AF91" i="10"/>
  <c r="AE91" i="10"/>
  <c r="AD91" i="10"/>
  <c r="AC91" i="10"/>
  <c r="AB91" i="10"/>
  <c r="AA91" i="10"/>
  <c r="Z91" i="10"/>
  <c r="Y91" i="10"/>
  <c r="X91" i="10"/>
  <c r="W91" i="10"/>
  <c r="V91" i="10"/>
  <c r="U91" i="10"/>
  <c r="T91" i="10"/>
  <c r="S91" i="10"/>
  <c r="R91" i="10"/>
  <c r="Q91" i="10"/>
  <c r="P91" i="10"/>
  <c r="O91" i="10"/>
  <c r="N91" i="10"/>
  <c r="M91" i="10"/>
  <c r="L91" i="10"/>
  <c r="K91" i="10"/>
  <c r="J91" i="10"/>
  <c r="I91" i="10"/>
  <c r="H91" i="10"/>
  <c r="G91" i="10"/>
  <c r="F91" i="10"/>
  <c r="E91" i="10"/>
  <c r="D91" i="10"/>
  <c r="C91" i="10"/>
  <c r="B91" i="10"/>
  <c r="A91" i="10"/>
  <c r="AT90" i="10"/>
  <c r="AS90" i="10"/>
  <c r="AR90" i="10"/>
  <c r="AQ90" i="10"/>
  <c r="AP90" i="10"/>
  <c r="AO90" i="10"/>
  <c r="AN90" i="10"/>
  <c r="AM90" i="10"/>
  <c r="AL90" i="10"/>
  <c r="AK90" i="10"/>
  <c r="AJ90" i="10"/>
  <c r="AI90" i="10"/>
  <c r="AH90" i="10"/>
  <c r="AG90" i="10"/>
  <c r="AF90" i="10"/>
  <c r="AE90" i="10"/>
  <c r="AD90" i="10"/>
  <c r="AC90" i="10"/>
  <c r="AB90" i="10"/>
  <c r="AA90" i="10"/>
  <c r="Z90" i="10"/>
  <c r="Y90" i="10"/>
  <c r="X90" i="10"/>
  <c r="W90" i="10"/>
  <c r="V90" i="10"/>
  <c r="U90" i="10"/>
  <c r="T90" i="10"/>
  <c r="S90" i="10"/>
  <c r="R90" i="10"/>
  <c r="Q90" i="10"/>
  <c r="P90" i="10"/>
  <c r="O90" i="10"/>
  <c r="N90" i="10"/>
  <c r="M90" i="10"/>
  <c r="L90" i="10"/>
  <c r="K90" i="10"/>
  <c r="J90" i="10"/>
  <c r="I90" i="10"/>
  <c r="H90" i="10"/>
  <c r="G90" i="10"/>
  <c r="F90" i="10"/>
  <c r="E90" i="10"/>
  <c r="D90" i="10"/>
  <c r="C90" i="10"/>
  <c r="B90" i="10"/>
  <c r="A90" i="10"/>
  <c r="AT89" i="10"/>
  <c r="AS89" i="10"/>
  <c r="AR89" i="10"/>
  <c r="AQ89" i="10"/>
  <c r="AP89" i="10"/>
  <c r="AO89" i="10"/>
  <c r="AN89" i="10"/>
  <c r="AM89" i="10"/>
  <c r="AL89" i="10"/>
  <c r="AK89" i="10"/>
  <c r="AJ89" i="10"/>
  <c r="AI89" i="10"/>
  <c r="AH89" i="10"/>
  <c r="AG89" i="10"/>
  <c r="AF89" i="10"/>
  <c r="AE89" i="10"/>
  <c r="AD89" i="10"/>
  <c r="AC89" i="10"/>
  <c r="AB89" i="10"/>
  <c r="AA89" i="10"/>
  <c r="Z89" i="10"/>
  <c r="Y89" i="10"/>
  <c r="X89" i="10"/>
  <c r="W89" i="10"/>
  <c r="V89" i="10"/>
  <c r="U89" i="10"/>
  <c r="T89" i="10"/>
  <c r="S89" i="10"/>
  <c r="R89" i="10"/>
  <c r="Q89" i="10"/>
  <c r="P89" i="10"/>
  <c r="O89" i="10"/>
  <c r="N89" i="10"/>
  <c r="M89" i="10"/>
  <c r="L89" i="10"/>
  <c r="K89" i="10"/>
  <c r="J89" i="10"/>
  <c r="I89" i="10"/>
  <c r="H89" i="10"/>
  <c r="G89" i="10"/>
  <c r="F89" i="10"/>
  <c r="E89" i="10"/>
  <c r="D89" i="10"/>
  <c r="C89" i="10"/>
  <c r="B89" i="10"/>
  <c r="A89" i="10"/>
  <c r="AT88" i="10"/>
  <c r="AS88" i="10"/>
  <c r="AR88" i="10"/>
  <c r="AQ88" i="10"/>
  <c r="AP88" i="10"/>
  <c r="AO88" i="10"/>
  <c r="AN88" i="10"/>
  <c r="AM88" i="10"/>
  <c r="AL88" i="10"/>
  <c r="AK88" i="10"/>
  <c r="AJ88" i="10"/>
  <c r="AI88" i="10"/>
  <c r="AH88" i="10"/>
  <c r="AG88" i="10"/>
  <c r="AF88" i="10"/>
  <c r="AE88" i="10"/>
  <c r="AD88" i="10"/>
  <c r="AC88" i="10"/>
  <c r="AB88" i="10"/>
  <c r="AA88" i="10"/>
  <c r="Z88" i="10"/>
  <c r="Y88" i="10"/>
  <c r="X88" i="10"/>
  <c r="W88" i="10"/>
  <c r="V88" i="10"/>
  <c r="U88" i="10"/>
  <c r="T88" i="10"/>
  <c r="S88" i="10"/>
  <c r="R88" i="10"/>
  <c r="Q88" i="10"/>
  <c r="P88" i="10"/>
  <c r="O88" i="10"/>
  <c r="N88" i="10"/>
  <c r="M88" i="10"/>
  <c r="L88" i="10"/>
  <c r="K88" i="10"/>
  <c r="J88" i="10"/>
  <c r="I88" i="10"/>
  <c r="H88" i="10"/>
  <c r="G88" i="10"/>
  <c r="F88" i="10"/>
  <c r="E88" i="10"/>
  <c r="D88" i="10"/>
  <c r="C88" i="10"/>
  <c r="B88" i="10"/>
  <c r="A88" i="10"/>
  <c r="AT87" i="10"/>
  <c r="AS87" i="10"/>
  <c r="AR87" i="10"/>
  <c r="AQ87" i="10"/>
  <c r="AP87" i="10"/>
  <c r="AO87" i="10"/>
  <c r="AN87" i="10"/>
  <c r="AM87" i="10"/>
  <c r="AL87" i="10"/>
  <c r="AK87" i="10"/>
  <c r="AJ87" i="10"/>
  <c r="AI87" i="10"/>
  <c r="AH87" i="10"/>
  <c r="AG87" i="10"/>
  <c r="AF87" i="10"/>
  <c r="AE87" i="10"/>
  <c r="AD87" i="10"/>
  <c r="AC87" i="10"/>
  <c r="AB87" i="10"/>
  <c r="AA87" i="10"/>
  <c r="Z87" i="10"/>
  <c r="Y87" i="10"/>
  <c r="X87" i="10"/>
  <c r="W87" i="10"/>
  <c r="V87" i="10"/>
  <c r="U87" i="10"/>
  <c r="T87" i="10"/>
  <c r="S87" i="10"/>
  <c r="R87" i="10"/>
  <c r="Q87" i="10"/>
  <c r="P87" i="10"/>
  <c r="O87" i="10"/>
  <c r="N87" i="10"/>
  <c r="M87" i="10"/>
  <c r="L87" i="10"/>
  <c r="K87" i="10"/>
  <c r="J87" i="10"/>
  <c r="I87" i="10"/>
  <c r="H87" i="10"/>
  <c r="G87" i="10"/>
  <c r="F87" i="10"/>
  <c r="E87" i="10"/>
  <c r="D87" i="10"/>
  <c r="C87" i="10"/>
  <c r="B87" i="10"/>
  <c r="A87" i="10"/>
  <c r="AT86" i="10"/>
  <c r="AS86" i="10"/>
  <c r="AR86" i="10"/>
  <c r="AQ86" i="10"/>
  <c r="AP86" i="10"/>
  <c r="AO86" i="10"/>
  <c r="AN86" i="10"/>
  <c r="AM86" i="10"/>
  <c r="AL86" i="10"/>
  <c r="AK86" i="10"/>
  <c r="AJ86" i="10"/>
  <c r="AI86" i="10"/>
  <c r="AH86" i="10"/>
  <c r="AG86" i="10"/>
  <c r="AF86" i="10"/>
  <c r="AE86" i="10"/>
  <c r="AD86" i="10"/>
  <c r="AC86" i="10"/>
  <c r="AB86" i="10"/>
  <c r="AA86" i="10"/>
  <c r="Z86" i="10"/>
  <c r="Y86" i="10"/>
  <c r="X86" i="10"/>
  <c r="W86" i="10"/>
  <c r="V86" i="10"/>
  <c r="U86" i="10"/>
  <c r="T86" i="10"/>
  <c r="S86" i="10"/>
  <c r="R86" i="10"/>
  <c r="Q86" i="10"/>
  <c r="P86" i="10"/>
  <c r="O86" i="10"/>
  <c r="N86" i="10"/>
  <c r="M86" i="10"/>
  <c r="L86" i="10"/>
  <c r="K86" i="10"/>
  <c r="J86" i="10"/>
  <c r="I86" i="10"/>
  <c r="H86" i="10"/>
  <c r="G86" i="10"/>
  <c r="F86" i="10"/>
  <c r="E86" i="10"/>
  <c r="D86" i="10"/>
  <c r="C86" i="10"/>
  <c r="B86" i="10"/>
  <c r="A86" i="10"/>
  <c r="AT85" i="10"/>
  <c r="AS85" i="10"/>
  <c r="AR85" i="10"/>
  <c r="AQ85" i="10"/>
  <c r="AP85" i="10"/>
  <c r="AO85" i="10"/>
  <c r="AN85" i="10"/>
  <c r="AM85" i="10"/>
  <c r="AL85" i="10"/>
  <c r="AK85" i="10"/>
  <c r="AJ85" i="10"/>
  <c r="AI85" i="10"/>
  <c r="AH85" i="10"/>
  <c r="AG85" i="10"/>
  <c r="AF85" i="10"/>
  <c r="AE85" i="10"/>
  <c r="AD85" i="10"/>
  <c r="AC85" i="10"/>
  <c r="AB85" i="10"/>
  <c r="AA85" i="10"/>
  <c r="Z85" i="10"/>
  <c r="Y85" i="10"/>
  <c r="X85" i="10"/>
  <c r="W85" i="10"/>
  <c r="V85" i="10"/>
  <c r="U85" i="10"/>
  <c r="T85" i="10"/>
  <c r="S85" i="10"/>
  <c r="R85" i="10"/>
  <c r="Q85" i="10"/>
  <c r="P85" i="10"/>
  <c r="O85" i="10"/>
  <c r="N85" i="10"/>
  <c r="M85" i="10"/>
  <c r="L85" i="10"/>
  <c r="K85" i="10"/>
  <c r="J85" i="10"/>
  <c r="I85" i="10"/>
  <c r="H85" i="10"/>
  <c r="G85" i="10"/>
  <c r="F85" i="10"/>
  <c r="E85" i="10"/>
  <c r="D85" i="10"/>
  <c r="C85" i="10"/>
  <c r="B85" i="10"/>
  <c r="A85" i="10"/>
  <c r="AT84" i="10"/>
  <c r="AS84" i="10"/>
  <c r="AR84" i="10"/>
  <c r="AQ84" i="10"/>
  <c r="AP84" i="10"/>
  <c r="AO84" i="10"/>
  <c r="AN84" i="10"/>
  <c r="AM84" i="10"/>
  <c r="AL84" i="10"/>
  <c r="AK84" i="10"/>
  <c r="AJ84" i="10"/>
  <c r="AI84" i="10"/>
  <c r="AH84" i="10"/>
  <c r="AG84" i="10"/>
  <c r="AF84" i="10"/>
  <c r="AE84" i="10"/>
  <c r="AD84" i="10"/>
  <c r="AC84" i="10"/>
  <c r="AB84" i="10"/>
  <c r="AA84" i="10"/>
  <c r="Z84" i="10"/>
  <c r="Y84" i="10"/>
  <c r="X84" i="10"/>
  <c r="W84" i="10"/>
  <c r="V84" i="10"/>
  <c r="U84" i="10"/>
  <c r="T84" i="10"/>
  <c r="S84" i="10"/>
  <c r="R84" i="10"/>
  <c r="Q84" i="10"/>
  <c r="P84" i="10"/>
  <c r="O84" i="10"/>
  <c r="N84" i="10"/>
  <c r="M84" i="10"/>
  <c r="L84" i="10"/>
  <c r="K84" i="10"/>
  <c r="J84" i="10"/>
  <c r="I84" i="10"/>
  <c r="H84" i="10"/>
  <c r="G84" i="10"/>
  <c r="F84" i="10"/>
  <c r="E84" i="10"/>
  <c r="D84" i="10"/>
  <c r="C84" i="10"/>
  <c r="B84" i="10"/>
  <c r="A84" i="10"/>
  <c r="AT83" i="10"/>
  <c r="AS83" i="10"/>
  <c r="AR83" i="10"/>
  <c r="AQ83" i="10"/>
  <c r="AP83" i="10"/>
  <c r="AO83" i="10"/>
  <c r="AN83" i="10"/>
  <c r="AM83" i="10"/>
  <c r="AL83" i="10"/>
  <c r="AK83" i="10"/>
  <c r="AJ83" i="10"/>
  <c r="AI83" i="10"/>
  <c r="AH83" i="10"/>
  <c r="AG83" i="10"/>
  <c r="AF83" i="10"/>
  <c r="AE83" i="10"/>
  <c r="AD83" i="10"/>
  <c r="AC83" i="10"/>
  <c r="AB83" i="10"/>
  <c r="AA83" i="10"/>
  <c r="Z83" i="10"/>
  <c r="Y83" i="10"/>
  <c r="X83" i="10"/>
  <c r="W83" i="10"/>
  <c r="V83" i="10"/>
  <c r="U83" i="10"/>
  <c r="T83" i="10"/>
  <c r="S83" i="10"/>
  <c r="R83" i="10"/>
  <c r="Q83" i="10"/>
  <c r="P83" i="10"/>
  <c r="O83" i="10"/>
  <c r="N83" i="10"/>
  <c r="M83" i="10"/>
  <c r="L83" i="10"/>
  <c r="K83" i="10"/>
  <c r="J83" i="10"/>
  <c r="I83" i="10"/>
  <c r="H83" i="10"/>
  <c r="G83" i="10"/>
  <c r="F83" i="10"/>
  <c r="E83" i="10"/>
  <c r="D83" i="10"/>
  <c r="C83" i="10"/>
  <c r="B83" i="10"/>
  <c r="A83" i="10"/>
  <c r="AT82" i="10"/>
  <c r="AS82" i="10"/>
  <c r="AR82" i="10"/>
  <c r="AQ82" i="10"/>
  <c r="AP82" i="10"/>
  <c r="AO82" i="10"/>
  <c r="AN82" i="10"/>
  <c r="AM82" i="10"/>
  <c r="AL82" i="10"/>
  <c r="AK82" i="10"/>
  <c r="AJ82" i="10"/>
  <c r="AI82" i="10"/>
  <c r="AH82" i="10"/>
  <c r="AG82" i="10"/>
  <c r="AF82" i="10"/>
  <c r="AE82" i="10"/>
  <c r="AD82" i="10"/>
  <c r="AC82" i="10"/>
  <c r="AB82" i="10"/>
  <c r="AA82" i="10"/>
  <c r="Z82" i="10"/>
  <c r="Y82" i="10"/>
  <c r="X82" i="10"/>
  <c r="W82" i="10"/>
  <c r="V82" i="10"/>
  <c r="U82" i="10"/>
  <c r="T82" i="10"/>
  <c r="S82" i="10"/>
  <c r="R82" i="10"/>
  <c r="Q82" i="10"/>
  <c r="P82" i="10"/>
  <c r="O82" i="10"/>
  <c r="N82" i="10"/>
  <c r="M82" i="10"/>
  <c r="L82" i="10"/>
  <c r="K82" i="10"/>
  <c r="J82" i="10"/>
  <c r="I82" i="10"/>
  <c r="H82" i="10"/>
  <c r="G82" i="10"/>
  <c r="F82" i="10"/>
  <c r="E82" i="10"/>
  <c r="D82" i="10"/>
  <c r="C82" i="10"/>
  <c r="B82" i="10"/>
  <c r="A82" i="10"/>
  <c r="AT81" i="10"/>
  <c r="AS81" i="10"/>
  <c r="AR81" i="10"/>
  <c r="AQ81" i="10"/>
  <c r="AP81" i="10"/>
  <c r="AO81" i="10"/>
  <c r="AN81" i="10"/>
  <c r="AM81" i="10"/>
  <c r="AL81" i="10"/>
  <c r="AK81" i="10"/>
  <c r="AJ81" i="10"/>
  <c r="AI81" i="10"/>
  <c r="AH81" i="10"/>
  <c r="AG81" i="10"/>
  <c r="AF81" i="10"/>
  <c r="AE81" i="10"/>
  <c r="AD81" i="10"/>
  <c r="AC81" i="10"/>
  <c r="AB81" i="10"/>
  <c r="AA81" i="10"/>
  <c r="Z81" i="10"/>
  <c r="Y81" i="10"/>
  <c r="X81" i="10"/>
  <c r="W81" i="10"/>
  <c r="V81" i="10"/>
  <c r="U81" i="10"/>
  <c r="T81" i="10"/>
  <c r="S81" i="10"/>
  <c r="R81" i="10"/>
  <c r="Q81" i="10"/>
  <c r="P81" i="10"/>
  <c r="O81" i="10"/>
  <c r="N81" i="10"/>
  <c r="M81" i="10"/>
  <c r="L81" i="10"/>
  <c r="K81" i="10"/>
  <c r="J81" i="10"/>
  <c r="I81" i="10"/>
  <c r="H81" i="10"/>
  <c r="G81" i="10"/>
  <c r="F81" i="10"/>
  <c r="E81" i="10"/>
  <c r="D81" i="10"/>
  <c r="C81" i="10"/>
  <c r="B81" i="10"/>
  <c r="A81" i="10"/>
  <c r="AT80" i="10"/>
  <c r="AS80" i="10"/>
  <c r="AR80" i="10"/>
  <c r="AQ80" i="10"/>
  <c r="AP80" i="10"/>
  <c r="AO80" i="10"/>
  <c r="AN80" i="10"/>
  <c r="AM80" i="10"/>
  <c r="AL80" i="10"/>
  <c r="AK80" i="10"/>
  <c r="AJ80" i="10"/>
  <c r="AI80" i="10"/>
  <c r="AH80" i="10"/>
  <c r="AG80" i="10"/>
  <c r="AF80" i="10"/>
  <c r="AE80" i="10"/>
  <c r="AD80" i="10"/>
  <c r="AC80" i="10"/>
  <c r="AB80" i="10"/>
  <c r="AA80" i="10"/>
  <c r="Z80" i="10"/>
  <c r="Y80" i="10"/>
  <c r="X80" i="10"/>
  <c r="W80" i="10"/>
  <c r="V80" i="10"/>
  <c r="U80" i="10"/>
  <c r="T80" i="10"/>
  <c r="S80" i="10"/>
  <c r="R80" i="10"/>
  <c r="Q80" i="10"/>
  <c r="P80" i="10"/>
  <c r="O80" i="10"/>
  <c r="N80" i="10"/>
  <c r="M80" i="10"/>
  <c r="L80" i="10"/>
  <c r="K80" i="10"/>
  <c r="J80" i="10"/>
  <c r="I80" i="10"/>
  <c r="H80" i="10"/>
  <c r="G80" i="10"/>
  <c r="F80" i="10"/>
  <c r="E80" i="10"/>
  <c r="D80" i="10"/>
  <c r="C80" i="10"/>
  <c r="B80" i="10"/>
  <c r="A80" i="10"/>
  <c r="AT79" i="10"/>
  <c r="AS79" i="10"/>
  <c r="AR79" i="10"/>
  <c r="AQ79" i="10"/>
  <c r="AP79" i="10"/>
  <c r="AO79" i="10"/>
  <c r="AN79" i="10"/>
  <c r="AM79" i="10"/>
  <c r="AL79" i="10"/>
  <c r="AK79" i="10"/>
  <c r="AJ79" i="10"/>
  <c r="AI79" i="10"/>
  <c r="AH79" i="10"/>
  <c r="AG79" i="10"/>
  <c r="AF79" i="10"/>
  <c r="AE79" i="10"/>
  <c r="AD79" i="10"/>
  <c r="AC79" i="10"/>
  <c r="AB79" i="10"/>
  <c r="AA79" i="10"/>
  <c r="Z79" i="10"/>
  <c r="Y79" i="10"/>
  <c r="X79" i="10"/>
  <c r="W79" i="10"/>
  <c r="V79" i="10"/>
  <c r="U79" i="10"/>
  <c r="T79" i="10"/>
  <c r="S79" i="10"/>
  <c r="R79" i="10"/>
  <c r="Q79" i="10"/>
  <c r="P79" i="10"/>
  <c r="O79" i="10"/>
  <c r="N79" i="10"/>
  <c r="M79" i="10"/>
  <c r="L79" i="10"/>
  <c r="K79" i="10"/>
  <c r="J79" i="10"/>
  <c r="I79" i="10"/>
  <c r="H79" i="10"/>
  <c r="G79" i="10"/>
  <c r="F79" i="10"/>
  <c r="E79" i="10"/>
  <c r="D79" i="10"/>
  <c r="C79" i="10"/>
  <c r="B79" i="10"/>
  <c r="A79" i="10"/>
  <c r="AT78" i="10"/>
  <c r="AS78" i="10"/>
  <c r="AR78" i="10"/>
  <c r="AQ78" i="10"/>
  <c r="AP78" i="10"/>
  <c r="AO78" i="10"/>
  <c r="AN78" i="10"/>
  <c r="AM78" i="10"/>
  <c r="AL78" i="10"/>
  <c r="AK78" i="10"/>
  <c r="AJ78" i="10"/>
  <c r="AI78" i="10"/>
  <c r="AH78" i="10"/>
  <c r="AG78" i="10"/>
  <c r="AF78" i="10"/>
  <c r="AE78" i="10"/>
  <c r="AD78" i="10"/>
  <c r="AC78" i="10"/>
  <c r="AB78" i="10"/>
  <c r="AA78" i="10"/>
  <c r="Z78" i="10"/>
  <c r="Y78" i="10"/>
  <c r="X78" i="10"/>
  <c r="W78" i="10"/>
  <c r="V78" i="10"/>
  <c r="U78" i="10"/>
  <c r="T78" i="10"/>
  <c r="S78" i="10"/>
  <c r="R78" i="10"/>
  <c r="Q78" i="10"/>
  <c r="P78" i="10"/>
  <c r="O78" i="10"/>
  <c r="N78" i="10"/>
  <c r="M78" i="10"/>
  <c r="L78" i="10"/>
  <c r="K78" i="10"/>
  <c r="J78" i="10"/>
  <c r="I78" i="10"/>
  <c r="H78" i="10"/>
  <c r="G78" i="10"/>
  <c r="F78" i="10"/>
  <c r="E78" i="10"/>
  <c r="D78" i="10"/>
  <c r="C78" i="10"/>
  <c r="B78" i="10"/>
  <c r="A78" i="10"/>
  <c r="AT77" i="10"/>
  <c r="AS77" i="10"/>
  <c r="AR77" i="10"/>
  <c r="AQ77" i="10"/>
  <c r="AP77" i="10"/>
  <c r="AO77" i="10"/>
  <c r="AN77" i="10"/>
  <c r="AM77" i="10"/>
  <c r="AL77" i="10"/>
  <c r="AK77" i="10"/>
  <c r="AJ77" i="10"/>
  <c r="AI77" i="10"/>
  <c r="AH77" i="10"/>
  <c r="AG77" i="10"/>
  <c r="AF77" i="10"/>
  <c r="AE77" i="10"/>
  <c r="AD77" i="10"/>
  <c r="AC77" i="10"/>
  <c r="AB77" i="10"/>
  <c r="AA77" i="10"/>
  <c r="Z77" i="10"/>
  <c r="Y77" i="10"/>
  <c r="X77" i="10"/>
  <c r="W77" i="10"/>
  <c r="V77" i="10"/>
  <c r="U77" i="10"/>
  <c r="T77" i="10"/>
  <c r="S77" i="10"/>
  <c r="R77" i="10"/>
  <c r="Q77" i="10"/>
  <c r="P77" i="10"/>
  <c r="O77" i="10"/>
  <c r="N77" i="10"/>
  <c r="M77" i="10"/>
  <c r="L77" i="10"/>
  <c r="K77" i="10"/>
  <c r="J77" i="10"/>
  <c r="I77" i="10"/>
  <c r="H77" i="10"/>
  <c r="G77" i="10"/>
  <c r="F77" i="10"/>
  <c r="E77" i="10"/>
  <c r="D77" i="10"/>
  <c r="C77" i="10"/>
  <c r="B77" i="10"/>
  <c r="A77" i="10"/>
  <c r="AT76" i="10"/>
  <c r="AS76" i="10"/>
  <c r="AR76" i="10"/>
  <c r="AQ76" i="10"/>
  <c r="AP76" i="10"/>
  <c r="AO76" i="10"/>
  <c r="AN76" i="10"/>
  <c r="AM76" i="10"/>
  <c r="AL76" i="10"/>
  <c r="AK76" i="10"/>
  <c r="AJ76" i="10"/>
  <c r="AI76" i="10"/>
  <c r="AH76" i="10"/>
  <c r="AG76" i="10"/>
  <c r="AF76" i="10"/>
  <c r="AE76" i="10"/>
  <c r="AD76" i="10"/>
  <c r="AC76" i="10"/>
  <c r="AB76" i="10"/>
  <c r="AA76" i="10"/>
  <c r="Z76" i="10"/>
  <c r="Y76" i="10"/>
  <c r="X76" i="10"/>
  <c r="W76" i="10"/>
  <c r="V76" i="10"/>
  <c r="U76" i="10"/>
  <c r="T76" i="10"/>
  <c r="S76" i="10"/>
  <c r="R76" i="10"/>
  <c r="Q76" i="10"/>
  <c r="P76" i="10"/>
  <c r="O76" i="10"/>
  <c r="N76" i="10"/>
  <c r="M76" i="10"/>
  <c r="L76" i="10"/>
  <c r="K76" i="10"/>
  <c r="J76" i="10"/>
  <c r="I76" i="10"/>
  <c r="H76" i="10"/>
  <c r="G76" i="10"/>
  <c r="F76" i="10"/>
  <c r="E76" i="10"/>
  <c r="D76" i="10"/>
  <c r="C76" i="10"/>
  <c r="B76" i="10"/>
  <c r="A76" i="10"/>
  <c r="AT75" i="10"/>
  <c r="AS75" i="10"/>
  <c r="AR75" i="10"/>
  <c r="AQ75" i="10"/>
  <c r="AP75" i="10"/>
  <c r="AO75" i="10"/>
  <c r="AN75" i="10"/>
  <c r="AM75" i="10"/>
  <c r="AL75" i="10"/>
  <c r="AK75" i="10"/>
  <c r="AJ75" i="10"/>
  <c r="AI75" i="10"/>
  <c r="AH75" i="10"/>
  <c r="AG75" i="10"/>
  <c r="AF75" i="10"/>
  <c r="AE75" i="10"/>
  <c r="AD75" i="10"/>
  <c r="AC75" i="10"/>
  <c r="AB75" i="10"/>
  <c r="AA75" i="10"/>
  <c r="Z75" i="10"/>
  <c r="Y75" i="10"/>
  <c r="X75" i="10"/>
  <c r="W75" i="10"/>
  <c r="V75" i="10"/>
  <c r="U75" i="10"/>
  <c r="T75" i="10"/>
  <c r="S75" i="10"/>
  <c r="R75" i="10"/>
  <c r="Q75" i="10"/>
  <c r="P75" i="10"/>
  <c r="O75" i="10"/>
  <c r="N75" i="10"/>
  <c r="M75" i="10"/>
  <c r="L75" i="10"/>
  <c r="K75" i="10"/>
  <c r="J75" i="10"/>
  <c r="I75" i="10"/>
  <c r="H75" i="10"/>
  <c r="G75" i="10"/>
  <c r="F75" i="10"/>
  <c r="E75" i="10"/>
  <c r="D75" i="10"/>
  <c r="C75" i="10"/>
  <c r="B75" i="10"/>
  <c r="A75" i="10"/>
  <c r="AT74" i="10"/>
  <c r="AS74" i="10"/>
  <c r="AR74" i="10"/>
  <c r="AQ74" i="10"/>
  <c r="AP74" i="10"/>
  <c r="AO74" i="10"/>
  <c r="AN74" i="10"/>
  <c r="AM74" i="10"/>
  <c r="AL74" i="10"/>
  <c r="AK74" i="10"/>
  <c r="AJ74" i="10"/>
  <c r="AI74" i="10"/>
  <c r="AH74" i="10"/>
  <c r="AG74" i="10"/>
  <c r="AF74" i="10"/>
  <c r="AE74" i="10"/>
  <c r="AD74" i="10"/>
  <c r="AC74" i="10"/>
  <c r="AB74" i="10"/>
  <c r="AA74" i="10"/>
  <c r="Z74" i="10"/>
  <c r="Y74" i="10"/>
  <c r="X74" i="10"/>
  <c r="W74" i="10"/>
  <c r="V74" i="10"/>
  <c r="U74" i="10"/>
  <c r="T74" i="10"/>
  <c r="S74" i="10"/>
  <c r="R74" i="10"/>
  <c r="Q74" i="10"/>
  <c r="P74" i="10"/>
  <c r="O74" i="10"/>
  <c r="N74" i="10"/>
  <c r="M74" i="10"/>
  <c r="L74" i="10"/>
  <c r="K74" i="10"/>
  <c r="J74" i="10"/>
  <c r="I74" i="10"/>
  <c r="H74" i="10"/>
  <c r="G74" i="10"/>
  <c r="F74" i="10"/>
  <c r="E74" i="10"/>
  <c r="D74" i="10"/>
  <c r="C74" i="10"/>
  <c r="B74" i="10"/>
  <c r="A74" i="10"/>
  <c r="AT73" i="10"/>
  <c r="AS73" i="10"/>
  <c r="AR73" i="10"/>
  <c r="AQ73" i="10"/>
  <c r="AP73" i="10"/>
  <c r="AO73" i="10"/>
  <c r="AN73" i="10"/>
  <c r="AM73" i="10"/>
  <c r="AL73" i="10"/>
  <c r="AK73" i="10"/>
  <c r="AJ73" i="10"/>
  <c r="AI73" i="10"/>
  <c r="AH73" i="10"/>
  <c r="AG73" i="10"/>
  <c r="AF73" i="10"/>
  <c r="AE73" i="10"/>
  <c r="AD73" i="10"/>
  <c r="AC73" i="10"/>
  <c r="AB73" i="10"/>
  <c r="AA73" i="10"/>
  <c r="Z73" i="10"/>
  <c r="Y73" i="10"/>
  <c r="X73" i="10"/>
  <c r="W73" i="10"/>
  <c r="V73" i="10"/>
  <c r="U73" i="10"/>
  <c r="T73" i="10"/>
  <c r="S73" i="10"/>
  <c r="R73" i="10"/>
  <c r="Q73" i="10"/>
  <c r="P73" i="10"/>
  <c r="O73" i="10"/>
  <c r="N73" i="10"/>
  <c r="M73" i="10"/>
  <c r="L73" i="10"/>
  <c r="K73" i="10"/>
  <c r="J73" i="10"/>
  <c r="I73" i="10"/>
  <c r="H73" i="10"/>
  <c r="G73" i="10"/>
  <c r="F73" i="10"/>
  <c r="E73" i="10"/>
  <c r="D73" i="10"/>
  <c r="C73" i="10"/>
  <c r="B73" i="10"/>
  <c r="A73" i="10"/>
  <c r="AT72" i="10"/>
  <c r="AS72" i="10"/>
  <c r="AR72" i="10"/>
  <c r="AQ72" i="10"/>
  <c r="AP72" i="10"/>
  <c r="AO72" i="10"/>
  <c r="AN72" i="10"/>
  <c r="AM72" i="10"/>
  <c r="AL72" i="10"/>
  <c r="AK72" i="10"/>
  <c r="AJ72" i="10"/>
  <c r="AI72" i="10"/>
  <c r="AH72" i="10"/>
  <c r="AG72" i="10"/>
  <c r="AF72" i="10"/>
  <c r="AE72" i="10"/>
  <c r="AD72" i="10"/>
  <c r="AC72" i="10"/>
  <c r="AB72" i="10"/>
  <c r="AA72" i="10"/>
  <c r="Z72" i="10"/>
  <c r="Y72" i="10"/>
  <c r="X72" i="10"/>
  <c r="W72" i="10"/>
  <c r="V72" i="10"/>
  <c r="U72" i="10"/>
  <c r="T72" i="10"/>
  <c r="S72" i="10"/>
  <c r="R72" i="10"/>
  <c r="Q72" i="10"/>
  <c r="P72" i="10"/>
  <c r="O72" i="10"/>
  <c r="N72" i="10"/>
  <c r="M72" i="10"/>
  <c r="L72" i="10"/>
  <c r="K72" i="10"/>
  <c r="J72" i="10"/>
  <c r="I72" i="10"/>
  <c r="H72" i="10"/>
  <c r="G72" i="10"/>
  <c r="F72" i="10"/>
  <c r="E72" i="10"/>
  <c r="D72" i="10"/>
  <c r="C72" i="10"/>
  <c r="B72" i="10"/>
  <c r="A72" i="10"/>
  <c r="AT71" i="10"/>
  <c r="AS71" i="10"/>
  <c r="AR71" i="10"/>
  <c r="AQ71" i="10"/>
  <c r="AP71" i="10"/>
  <c r="AO71" i="10"/>
  <c r="AN71" i="10"/>
  <c r="AM71" i="10"/>
  <c r="AL71" i="10"/>
  <c r="AK71" i="10"/>
  <c r="AJ71" i="10"/>
  <c r="AI71" i="10"/>
  <c r="AH71" i="10"/>
  <c r="AG71" i="10"/>
  <c r="AF71" i="10"/>
  <c r="AE71" i="10"/>
  <c r="AD71" i="10"/>
  <c r="AC71" i="10"/>
  <c r="AB71" i="10"/>
  <c r="AA71" i="10"/>
  <c r="Z71" i="10"/>
  <c r="Y71" i="10"/>
  <c r="X71" i="10"/>
  <c r="W71" i="10"/>
  <c r="V71" i="10"/>
  <c r="U71" i="10"/>
  <c r="T71" i="10"/>
  <c r="S71" i="10"/>
  <c r="R71" i="10"/>
  <c r="Q71" i="10"/>
  <c r="P71" i="10"/>
  <c r="O71" i="10"/>
  <c r="N71" i="10"/>
  <c r="M71" i="10"/>
  <c r="L71" i="10"/>
  <c r="K71" i="10"/>
  <c r="J71" i="10"/>
  <c r="I71" i="10"/>
  <c r="H71" i="10"/>
  <c r="G71" i="10"/>
  <c r="F71" i="10"/>
  <c r="E71" i="10"/>
  <c r="D71" i="10"/>
  <c r="C71" i="10"/>
  <c r="B71" i="10"/>
  <c r="A71" i="10"/>
  <c r="AT70" i="10"/>
  <c r="AS70" i="10"/>
  <c r="AR70" i="10"/>
  <c r="AQ70" i="10"/>
  <c r="AP70" i="10"/>
  <c r="AO70" i="10"/>
  <c r="AN70" i="10"/>
  <c r="AM70" i="10"/>
  <c r="AL70" i="10"/>
  <c r="AK70" i="10"/>
  <c r="AJ70" i="10"/>
  <c r="AI70" i="10"/>
  <c r="AH70" i="10"/>
  <c r="AG70" i="10"/>
  <c r="AF70" i="10"/>
  <c r="AE70" i="10"/>
  <c r="AD70" i="10"/>
  <c r="AC70" i="10"/>
  <c r="AB70" i="10"/>
  <c r="AA70" i="10"/>
  <c r="Z70" i="10"/>
  <c r="Y70" i="10"/>
  <c r="X70" i="10"/>
  <c r="W70" i="10"/>
  <c r="V70" i="10"/>
  <c r="U70" i="10"/>
  <c r="T70" i="10"/>
  <c r="S70" i="10"/>
  <c r="R70" i="10"/>
  <c r="Q70" i="10"/>
  <c r="P70" i="10"/>
  <c r="O70" i="10"/>
  <c r="N70" i="10"/>
  <c r="M70" i="10"/>
  <c r="L70" i="10"/>
  <c r="K70" i="10"/>
  <c r="J70" i="10"/>
  <c r="I70" i="10"/>
  <c r="H70" i="10"/>
  <c r="G70" i="10"/>
  <c r="F70" i="10"/>
  <c r="E70" i="10"/>
  <c r="D70" i="10"/>
  <c r="C70" i="10"/>
  <c r="B70" i="10"/>
  <c r="A70" i="10"/>
  <c r="AT69" i="10"/>
  <c r="AS69" i="10"/>
  <c r="AR69" i="10"/>
  <c r="AQ69" i="10"/>
  <c r="AP69" i="10"/>
  <c r="AO69" i="10"/>
  <c r="AN69" i="10"/>
  <c r="AM69" i="10"/>
  <c r="AL69" i="10"/>
  <c r="AK69" i="10"/>
  <c r="AJ69" i="10"/>
  <c r="AI69" i="10"/>
  <c r="AH69" i="10"/>
  <c r="AG69" i="10"/>
  <c r="AF69" i="10"/>
  <c r="AE69" i="10"/>
  <c r="AD69" i="10"/>
  <c r="AC69" i="10"/>
  <c r="AB69" i="10"/>
  <c r="AA69" i="10"/>
  <c r="Z69" i="10"/>
  <c r="Y69" i="10"/>
  <c r="X69" i="10"/>
  <c r="W69" i="10"/>
  <c r="V69" i="10"/>
  <c r="U69" i="10"/>
  <c r="T69" i="10"/>
  <c r="S69" i="10"/>
  <c r="R69" i="10"/>
  <c r="Q69" i="10"/>
  <c r="P69" i="10"/>
  <c r="O69" i="10"/>
  <c r="N69" i="10"/>
  <c r="M69" i="10"/>
  <c r="L69" i="10"/>
  <c r="K69" i="10"/>
  <c r="J69" i="10"/>
  <c r="I69" i="10"/>
  <c r="H69" i="10"/>
  <c r="G69" i="10"/>
  <c r="F69" i="10"/>
  <c r="E69" i="10"/>
  <c r="D69" i="10"/>
  <c r="C69" i="10"/>
  <c r="B69" i="10"/>
  <c r="A69" i="10"/>
  <c r="AT68" i="10"/>
  <c r="AS68" i="10"/>
  <c r="AR68" i="10"/>
  <c r="AQ68" i="10"/>
  <c r="AP68" i="10"/>
  <c r="AO68" i="10"/>
  <c r="AN68" i="10"/>
  <c r="AM68" i="10"/>
  <c r="AL68" i="10"/>
  <c r="AK68" i="10"/>
  <c r="AJ68" i="10"/>
  <c r="AI68" i="10"/>
  <c r="AH68" i="10"/>
  <c r="AG68" i="10"/>
  <c r="AF68" i="10"/>
  <c r="AE68" i="10"/>
  <c r="AD68" i="10"/>
  <c r="AC68" i="10"/>
  <c r="AB68" i="10"/>
  <c r="AA68" i="10"/>
  <c r="Z68" i="10"/>
  <c r="Y68" i="10"/>
  <c r="X68" i="10"/>
  <c r="W68" i="10"/>
  <c r="V68" i="10"/>
  <c r="U68" i="10"/>
  <c r="T68" i="10"/>
  <c r="S68" i="10"/>
  <c r="R68" i="10"/>
  <c r="Q68" i="10"/>
  <c r="P68" i="10"/>
  <c r="O68" i="10"/>
  <c r="N68" i="10"/>
  <c r="M68" i="10"/>
  <c r="L68" i="10"/>
  <c r="K68" i="10"/>
  <c r="J68" i="10"/>
  <c r="I68" i="10"/>
  <c r="H68" i="10"/>
  <c r="G68" i="10"/>
  <c r="F68" i="10"/>
  <c r="E68" i="10"/>
  <c r="D68" i="10"/>
  <c r="C68" i="10"/>
  <c r="B68" i="10"/>
  <c r="A68" i="10"/>
  <c r="AT67" i="10"/>
  <c r="AS67" i="10"/>
  <c r="AR67" i="10"/>
  <c r="AQ67" i="10"/>
  <c r="AP67" i="10"/>
  <c r="AO67" i="10"/>
  <c r="AN67" i="10"/>
  <c r="AM67" i="10"/>
  <c r="AL67" i="10"/>
  <c r="AK67" i="10"/>
  <c r="AJ67" i="10"/>
  <c r="AI67" i="10"/>
  <c r="AH67" i="10"/>
  <c r="AG67" i="10"/>
  <c r="AF67" i="10"/>
  <c r="AE67" i="10"/>
  <c r="AD67" i="10"/>
  <c r="AC67" i="10"/>
  <c r="AB67" i="10"/>
  <c r="AA67" i="10"/>
  <c r="Z67" i="10"/>
  <c r="Y67" i="10"/>
  <c r="X67" i="10"/>
  <c r="W67" i="10"/>
  <c r="V67" i="10"/>
  <c r="U67" i="10"/>
  <c r="T67" i="10"/>
  <c r="S67" i="10"/>
  <c r="R67" i="10"/>
  <c r="Q67" i="10"/>
  <c r="P67" i="10"/>
  <c r="O67" i="10"/>
  <c r="N67" i="10"/>
  <c r="M67" i="10"/>
  <c r="L67" i="10"/>
  <c r="K67" i="10"/>
  <c r="J67" i="10"/>
  <c r="I67" i="10"/>
  <c r="H67" i="10"/>
  <c r="G67" i="10"/>
  <c r="F67" i="10"/>
  <c r="E67" i="10"/>
  <c r="D67" i="10"/>
  <c r="C67" i="10"/>
  <c r="B67" i="10"/>
  <c r="A67" i="10"/>
  <c r="AT66" i="10"/>
  <c r="AS66" i="10"/>
  <c r="AR66" i="10"/>
  <c r="AQ66" i="10"/>
  <c r="AP66" i="10"/>
  <c r="AO66" i="10"/>
  <c r="AN66" i="10"/>
  <c r="AM66" i="10"/>
  <c r="AL66" i="10"/>
  <c r="AK66" i="10"/>
  <c r="AJ66" i="10"/>
  <c r="AI66" i="10"/>
  <c r="AH66" i="10"/>
  <c r="AG66" i="10"/>
  <c r="AF66" i="10"/>
  <c r="AE66" i="10"/>
  <c r="AD66" i="10"/>
  <c r="AC66" i="10"/>
  <c r="AB66" i="10"/>
  <c r="AA66" i="10"/>
  <c r="Z66" i="10"/>
  <c r="Y66" i="10"/>
  <c r="X66" i="10"/>
  <c r="W66" i="10"/>
  <c r="V66" i="10"/>
  <c r="U66" i="10"/>
  <c r="T66" i="10"/>
  <c r="S66" i="10"/>
  <c r="R66" i="10"/>
  <c r="Q66" i="10"/>
  <c r="P66" i="10"/>
  <c r="O66" i="10"/>
  <c r="N66" i="10"/>
  <c r="M66" i="10"/>
  <c r="L66" i="10"/>
  <c r="K66" i="10"/>
  <c r="J66" i="10"/>
  <c r="I66" i="10"/>
  <c r="H66" i="10"/>
  <c r="G66" i="10"/>
  <c r="F66" i="10"/>
  <c r="E66" i="10"/>
  <c r="D66" i="10"/>
  <c r="C66" i="10"/>
  <c r="B66" i="10"/>
  <c r="A66" i="10"/>
  <c r="AT65" i="10"/>
  <c r="AS65" i="10"/>
  <c r="AR65" i="10"/>
  <c r="AQ65" i="10"/>
  <c r="AP65" i="10"/>
  <c r="AO65" i="10"/>
  <c r="AN65" i="10"/>
  <c r="AM65" i="10"/>
  <c r="AL65" i="10"/>
  <c r="AK65" i="10"/>
  <c r="AJ65" i="10"/>
  <c r="AI65" i="10"/>
  <c r="AH65" i="10"/>
  <c r="AG65" i="10"/>
  <c r="AF65" i="10"/>
  <c r="AE65" i="10"/>
  <c r="AD65" i="10"/>
  <c r="AC65" i="10"/>
  <c r="AB65" i="10"/>
  <c r="AA65" i="10"/>
  <c r="Z65" i="10"/>
  <c r="Y65" i="10"/>
  <c r="X65" i="10"/>
  <c r="W65" i="10"/>
  <c r="V65" i="10"/>
  <c r="U65" i="10"/>
  <c r="T65" i="10"/>
  <c r="S65" i="10"/>
  <c r="R65" i="10"/>
  <c r="Q65" i="10"/>
  <c r="P65" i="10"/>
  <c r="O65" i="10"/>
  <c r="N65" i="10"/>
  <c r="M65" i="10"/>
  <c r="L65" i="10"/>
  <c r="K65" i="10"/>
  <c r="J65" i="10"/>
  <c r="I65" i="10"/>
  <c r="H65" i="10"/>
  <c r="G65" i="10"/>
  <c r="F65" i="10"/>
  <c r="E65" i="10"/>
  <c r="D65" i="10"/>
  <c r="C65" i="10"/>
  <c r="B65" i="10"/>
  <c r="A65" i="10"/>
  <c r="AT64" i="10"/>
  <c r="AS64" i="10"/>
  <c r="AR64" i="10"/>
  <c r="AQ64" i="10"/>
  <c r="AP64" i="10"/>
  <c r="AO64" i="10"/>
  <c r="AN64" i="10"/>
  <c r="AM64" i="10"/>
  <c r="AL64" i="10"/>
  <c r="AK64" i="10"/>
  <c r="AJ64" i="10"/>
  <c r="AI64" i="10"/>
  <c r="AH64" i="10"/>
  <c r="AG64" i="10"/>
  <c r="AF64" i="10"/>
  <c r="AE64" i="10"/>
  <c r="AD64" i="10"/>
  <c r="AC64" i="10"/>
  <c r="AB64" i="10"/>
  <c r="AA64" i="10"/>
  <c r="Z64" i="10"/>
  <c r="Y64" i="10"/>
  <c r="X64" i="10"/>
  <c r="W64" i="10"/>
  <c r="V64" i="10"/>
  <c r="U64" i="10"/>
  <c r="T64" i="10"/>
  <c r="S64" i="10"/>
  <c r="R64" i="10"/>
  <c r="Q64" i="10"/>
  <c r="P64" i="10"/>
  <c r="O64" i="10"/>
  <c r="N64" i="10"/>
  <c r="M64" i="10"/>
  <c r="L64" i="10"/>
  <c r="K64" i="10"/>
  <c r="J64" i="10"/>
  <c r="I64" i="10"/>
  <c r="H64" i="10"/>
  <c r="G64" i="10"/>
  <c r="F64" i="10"/>
  <c r="E64" i="10"/>
  <c r="D64" i="10"/>
  <c r="C64" i="10"/>
  <c r="B64" i="10"/>
  <c r="A64" i="10"/>
  <c r="AT63" i="10"/>
  <c r="AS63" i="10"/>
  <c r="AR63" i="10"/>
  <c r="AQ63" i="10"/>
  <c r="AP63" i="10"/>
  <c r="AO63" i="10"/>
  <c r="AN63" i="10"/>
  <c r="AM63" i="10"/>
  <c r="AL63" i="10"/>
  <c r="AK63" i="10"/>
  <c r="AJ63" i="10"/>
  <c r="AI63" i="10"/>
  <c r="AH63" i="10"/>
  <c r="AG63" i="10"/>
  <c r="AF63" i="10"/>
  <c r="AE63" i="10"/>
  <c r="AD63" i="10"/>
  <c r="AC63" i="10"/>
  <c r="AB63" i="10"/>
  <c r="AA63" i="10"/>
  <c r="Z63" i="10"/>
  <c r="Y63" i="10"/>
  <c r="X63" i="10"/>
  <c r="W63" i="10"/>
  <c r="V63" i="10"/>
  <c r="U63" i="10"/>
  <c r="T63" i="10"/>
  <c r="S63" i="10"/>
  <c r="R63" i="10"/>
  <c r="Q63" i="10"/>
  <c r="P63" i="10"/>
  <c r="O63" i="10"/>
  <c r="N63" i="10"/>
  <c r="M63" i="10"/>
  <c r="L63" i="10"/>
  <c r="K63" i="10"/>
  <c r="J63" i="10"/>
  <c r="I63" i="10"/>
  <c r="H63" i="10"/>
  <c r="G63" i="10"/>
  <c r="F63" i="10"/>
  <c r="E63" i="10"/>
  <c r="D63" i="10"/>
  <c r="C63" i="10"/>
  <c r="B63" i="10"/>
  <c r="A63" i="10"/>
  <c r="AT62" i="10"/>
  <c r="AS62" i="10"/>
  <c r="AR62" i="10"/>
  <c r="AQ62" i="10"/>
  <c r="AP62" i="10"/>
  <c r="AO62" i="10"/>
  <c r="AN62" i="10"/>
  <c r="AM62" i="10"/>
  <c r="AL62" i="10"/>
  <c r="AK62" i="10"/>
  <c r="AJ62" i="10"/>
  <c r="AI62" i="10"/>
  <c r="AH62" i="10"/>
  <c r="AG62" i="10"/>
  <c r="AF62" i="10"/>
  <c r="AE62" i="10"/>
  <c r="AD62" i="10"/>
  <c r="AC62" i="10"/>
  <c r="AB62" i="10"/>
  <c r="AA62" i="10"/>
  <c r="Z62" i="10"/>
  <c r="Y62" i="10"/>
  <c r="X62" i="10"/>
  <c r="W62" i="10"/>
  <c r="V62" i="10"/>
  <c r="U62" i="10"/>
  <c r="T62" i="10"/>
  <c r="S62" i="10"/>
  <c r="R62" i="10"/>
  <c r="Q62" i="10"/>
  <c r="P62" i="10"/>
  <c r="O62" i="10"/>
  <c r="N62" i="10"/>
  <c r="M62" i="10"/>
  <c r="L62" i="10"/>
  <c r="K62" i="10"/>
  <c r="J62" i="10"/>
  <c r="I62" i="10"/>
  <c r="H62" i="10"/>
  <c r="G62" i="10"/>
  <c r="F62" i="10"/>
  <c r="E62" i="10"/>
  <c r="D62" i="10"/>
  <c r="C62" i="10"/>
  <c r="B62" i="10"/>
  <c r="A62" i="10"/>
  <c r="AT61" i="10"/>
  <c r="AS61" i="10"/>
  <c r="AR61" i="10"/>
  <c r="AQ61" i="10"/>
  <c r="AP61" i="10"/>
  <c r="AO61" i="10"/>
  <c r="AN61" i="10"/>
  <c r="AM61" i="10"/>
  <c r="AL61" i="10"/>
  <c r="AK61" i="10"/>
  <c r="AJ61" i="10"/>
  <c r="AI61" i="10"/>
  <c r="AH61" i="10"/>
  <c r="AG61" i="10"/>
  <c r="AF61" i="10"/>
  <c r="AE61" i="10"/>
  <c r="AD61" i="10"/>
  <c r="AC61" i="10"/>
  <c r="AB61" i="10"/>
  <c r="AA61" i="10"/>
  <c r="Z61" i="10"/>
  <c r="Y61" i="10"/>
  <c r="X61" i="10"/>
  <c r="W61" i="10"/>
  <c r="V61" i="10"/>
  <c r="U61" i="10"/>
  <c r="T61" i="10"/>
  <c r="S61" i="10"/>
  <c r="R61" i="10"/>
  <c r="Q61" i="10"/>
  <c r="P61" i="10"/>
  <c r="O61" i="10"/>
  <c r="N61" i="10"/>
  <c r="M61" i="10"/>
  <c r="L61" i="10"/>
  <c r="K61" i="10"/>
  <c r="J61" i="10"/>
  <c r="I61" i="10"/>
  <c r="H61" i="10"/>
  <c r="G61" i="10"/>
  <c r="F61" i="10"/>
  <c r="E61" i="10"/>
  <c r="D61" i="10"/>
  <c r="C61" i="10"/>
  <c r="B61" i="10"/>
  <c r="A61" i="10"/>
  <c r="AT60" i="10"/>
  <c r="AS60" i="10"/>
  <c r="AR60" i="10"/>
  <c r="AQ60" i="10"/>
  <c r="AP60" i="10"/>
  <c r="AO60" i="10"/>
  <c r="AN60" i="10"/>
  <c r="AM60" i="10"/>
  <c r="AL60" i="10"/>
  <c r="AK60" i="10"/>
  <c r="AJ60" i="10"/>
  <c r="AI60" i="10"/>
  <c r="AH60" i="10"/>
  <c r="AG60" i="10"/>
  <c r="AF60" i="10"/>
  <c r="AE60" i="10"/>
  <c r="AD60" i="10"/>
  <c r="AC60" i="10"/>
  <c r="AB60" i="10"/>
  <c r="AA60" i="10"/>
  <c r="Z60" i="10"/>
  <c r="Y60" i="10"/>
  <c r="X60" i="10"/>
  <c r="W60" i="10"/>
  <c r="V60" i="10"/>
  <c r="U60" i="10"/>
  <c r="T60" i="10"/>
  <c r="S60" i="10"/>
  <c r="R60" i="10"/>
  <c r="Q60" i="10"/>
  <c r="P60" i="10"/>
  <c r="O60" i="10"/>
  <c r="N60" i="10"/>
  <c r="M60" i="10"/>
  <c r="L60" i="10"/>
  <c r="K60" i="10"/>
  <c r="J60" i="10"/>
  <c r="I60" i="10"/>
  <c r="H60" i="10"/>
  <c r="G60" i="10"/>
  <c r="F60" i="10"/>
  <c r="E60" i="10"/>
  <c r="D60" i="10"/>
  <c r="C60" i="10"/>
  <c r="B60" i="10"/>
  <c r="A60" i="10"/>
  <c r="AT59" i="10"/>
  <c r="AS59" i="10"/>
  <c r="AR59" i="10"/>
  <c r="AQ59" i="10"/>
  <c r="AP59" i="10"/>
  <c r="AO59" i="10"/>
  <c r="AN59" i="10"/>
  <c r="AM59" i="10"/>
  <c r="AL59" i="10"/>
  <c r="AK59" i="10"/>
  <c r="AJ59" i="10"/>
  <c r="AI59" i="10"/>
  <c r="AH59" i="10"/>
  <c r="AG59" i="10"/>
  <c r="AF59" i="10"/>
  <c r="AE59" i="10"/>
  <c r="AD59" i="10"/>
  <c r="AC59" i="10"/>
  <c r="AB59" i="10"/>
  <c r="AA59" i="10"/>
  <c r="Z59" i="10"/>
  <c r="Y59" i="10"/>
  <c r="X59" i="10"/>
  <c r="W59" i="10"/>
  <c r="V59" i="10"/>
  <c r="U59" i="10"/>
  <c r="T59" i="10"/>
  <c r="S59" i="10"/>
  <c r="R59" i="10"/>
  <c r="Q59" i="10"/>
  <c r="P59" i="10"/>
  <c r="O59" i="10"/>
  <c r="N59" i="10"/>
  <c r="M59" i="10"/>
  <c r="L59" i="10"/>
  <c r="K59" i="10"/>
  <c r="J59" i="10"/>
  <c r="I59" i="10"/>
  <c r="H59" i="10"/>
  <c r="G59" i="10"/>
  <c r="F59" i="10"/>
  <c r="E59" i="10"/>
  <c r="D59" i="10"/>
  <c r="C59" i="10"/>
  <c r="B59" i="10"/>
  <c r="A59" i="10"/>
  <c r="AT58" i="10"/>
  <c r="AS58" i="10"/>
  <c r="AR58" i="10"/>
  <c r="AQ58" i="10"/>
  <c r="AP58" i="10"/>
  <c r="AO58" i="10"/>
  <c r="AN58" i="10"/>
  <c r="AM58" i="10"/>
  <c r="AL58" i="10"/>
  <c r="AK58" i="10"/>
  <c r="AJ58" i="10"/>
  <c r="AI58" i="10"/>
  <c r="AH58" i="10"/>
  <c r="AG58" i="10"/>
  <c r="AF58" i="10"/>
  <c r="AE58" i="10"/>
  <c r="AD58" i="10"/>
  <c r="AC58" i="10"/>
  <c r="AB58" i="10"/>
  <c r="AA58" i="10"/>
  <c r="Z58" i="10"/>
  <c r="Y58" i="10"/>
  <c r="X58" i="10"/>
  <c r="W58" i="10"/>
  <c r="V58" i="10"/>
  <c r="U58" i="10"/>
  <c r="T58" i="10"/>
  <c r="S58" i="10"/>
  <c r="R58" i="10"/>
  <c r="Q58" i="10"/>
  <c r="P58" i="10"/>
  <c r="O58" i="10"/>
  <c r="N58" i="10"/>
  <c r="M58" i="10"/>
  <c r="L58" i="10"/>
  <c r="K58" i="10"/>
  <c r="J58" i="10"/>
  <c r="I58" i="10"/>
  <c r="H58" i="10"/>
  <c r="G58" i="10"/>
  <c r="F58" i="10"/>
  <c r="E58" i="10"/>
  <c r="D58" i="10"/>
  <c r="C58" i="10"/>
  <c r="B58" i="10"/>
  <c r="A58" i="10"/>
  <c r="AT57" i="10"/>
  <c r="AS57" i="10"/>
  <c r="AR57" i="10"/>
  <c r="AQ57" i="10"/>
  <c r="AP57" i="10"/>
  <c r="AO57" i="10"/>
  <c r="AN57" i="10"/>
  <c r="AM57" i="10"/>
  <c r="AL57" i="10"/>
  <c r="AK57" i="10"/>
  <c r="AJ57" i="10"/>
  <c r="AI57" i="10"/>
  <c r="AH57" i="10"/>
  <c r="AG57" i="10"/>
  <c r="AF57" i="10"/>
  <c r="AE57" i="10"/>
  <c r="AD57" i="10"/>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57" i="10"/>
  <c r="AT56" i="10"/>
  <c r="AS56" i="10"/>
  <c r="AR56" i="10"/>
  <c r="AQ56" i="10"/>
  <c r="AP56" i="10"/>
  <c r="AO56" i="10"/>
  <c r="AN56" i="10"/>
  <c r="AM56" i="10"/>
  <c r="AL56" i="10"/>
  <c r="AK56" i="10"/>
  <c r="AJ56" i="10"/>
  <c r="AI56" i="10"/>
  <c r="AH56" i="10"/>
  <c r="AG56" i="10"/>
  <c r="AF56" i="10"/>
  <c r="AE56" i="10"/>
  <c r="AD56" i="10"/>
  <c r="AC56" i="10"/>
  <c r="AB56" i="10"/>
  <c r="AA56" i="10"/>
  <c r="Z56" i="10"/>
  <c r="Y56" i="10"/>
  <c r="X56" i="10"/>
  <c r="W56" i="10"/>
  <c r="V56" i="10"/>
  <c r="U56" i="10"/>
  <c r="T56" i="10"/>
  <c r="S56" i="10"/>
  <c r="R56" i="10"/>
  <c r="Q56" i="10"/>
  <c r="P56" i="10"/>
  <c r="O56" i="10"/>
  <c r="N56" i="10"/>
  <c r="M56" i="10"/>
  <c r="L56" i="10"/>
  <c r="K56" i="10"/>
  <c r="J56" i="10"/>
  <c r="I56" i="10"/>
  <c r="H56" i="10"/>
  <c r="G56" i="10"/>
  <c r="F56" i="10"/>
  <c r="E56" i="10"/>
  <c r="D56" i="10"/>
  <c r="C56" i="10"/>
  <c r="B56" i="10"/>
  <c r="A56" i="10"/>
  <c r="AT55" i="10"/>
  <c r="AS55" i="10"/>
  <c r="AR55" i="10"/>
  <c r="AQ55" i="10"/>
  <c r="AP55" i="10"/>
  <c r="AO55" i="10"/>
  <c r="AN55" i="10"/>
  <c r="AM55" i="10"/>
  <c r="AL55" i="10"/>
  <c r="AK55" i="10"/>
  <c r="AJ55" i="10"/>
  <c r="AI55" i="10"/>
  <c r="AH55" i="10"/>
  <c r="AG55" i="10"/>
  <c r="AF55" i="10"/>
  <c r="AE55" i="10"/>
  <c r="AD55" i="10"/>
  <c r="AC55" i="10"/>
  <c r="AB55" i="10"/>
  <c r="AA55" i="10"/>
  <c r="Z55" i="10"/>
  <c r="Y55" i="10"/>
  <c r="X55" i="10"/>
  <c r="W55" i="10"/>
  <c r="V55" i="10"/>
  <c r="U55" i="10"/>
  <c r="T55" i="10"/>
  <c r="S55" i="10"/>
  <c r="R55" i="10"/>
  <c r="Q55" i="10"/>
  <c r="P55" i="10"/>
  <c r="O55" i="10"/>
  <c r="N55" i="10"/>
  <c r="M55" i="10"/>
  <c r="L55" i="10"/>
  <c r="K55" i="10"/>
  <c r="J55" i="10"/>
  <c r="I55" i="10"/>
  <c r="H55" i="10"/>
  <c r="G55" i="10"/>
  <c r="F55" i="10"/>
  <c r="E55" i="10"/>
  <c r="D55" i="10"/>
  <c r="C55" i="10"/>
  <c r="B55" i="10"/>
  <c r="A55" i="10"/>
  <c r="AT54" i="10"/>
  <c r="AS54" i="10"/>
  <c r="AR54" i="10"/>
  <c r="AQ54" i="10"/>
  <c r="AP54" i="10"/>
  <c r="AO54" i="10"/>
  <c r="AN54" i="10"/>
  <c r="AM54" i="10"/>
  <c r="AL54" i="10"/>
  <c r="AK54" i="10"/>
  <c r="AJ54" i="10"/>
  <c r="AI54" i="10"/>
  <c r="AH54" i="10"/>
  <c r="AG54" i="10"/>
  <c r="AF54" i="10"/>
  <c r="AE54" i="10"/>
  <c r="AD54" i="10"/>
  <c r="AC54" i="10"/>
  <c r="AB54" i="10"/>
  <c r="AA54" i="10"/>
  <c r="Z54" i="10"/>
  <c r="Y54" i="10"/>
  <c r="X54" i="10"/>
  <c r="W54" i="10"/>
  <c r="V54" i="10"/>
  <c r="U54" i="10"/>
  <c r="T54" i="10"/>
  <c r="S54" i="10"/>
  <c r="R54" i="10"/>
  <c r="Q54" i="10"/>
  <c r="P54" i="10"/>
  <c r="O54" i="10"/>
  <c r="N54" i="10"/>
  <c r="M54" i="10"/>
  <c r="L54" i="10"/>
  <c r="K54" i="10"/>
  <c r="J54" i="10"/>
  <c r="I54" i="10"/>
  <c r="H54" i="10"/>
  <c r="G54" i="10"/>
  <c r="F54" i="10"/>
  <c r="E54" i="10"/>
  <c r="D54" i="10"/>
  <c r="C54" i="10"/>
  <c r="B54" i="10"/>
  <c r="A54" i="10"/>
  <c r="AT53" i="10"/>
  <c r="AS53" i="10"/>
  <c r="AR53" i="10"/>
  <c r="AQ53" i="10"/>
  <c r="AP53" i="10"/>
  <c r="AO53" i="10"/>
  <c r="AN53" i="10"/>
  <c r="AM53" i="10"/>
  <c r="AL53" i="10"/>
  <c r="AK53" i="10"/>
  <c r="AJ53" i="10"/>
  <c r="AI53" i="10"/>
  <c r="AH53" i="10"/>
  <c r="AG53" i="10"/>
  <c r="AF53" i="10"/>
  <c r="AE53" i="10"/>
  <c r="AD53" i="10"/>
  <c r="AC53" i="10"/>
  <c r="AB53" i="10"/>
  <c r="AA53" i="10"/>
  <c r="Z53" i="10"/>
  <c r="Y53" i="10"/>
  <c r="X53" i="10"/>
  <c r="W53" i="10"/>
  <c r="V53" i="10"/>
  <c r="U53" i="10"/>
  <c r="T53" i="10"/>
  <c r="S53" i="10"/>
  <c r="R53" i="10"/>
  <c r="Q53" i="10"/>
  <c r="P53" i="10"/>
  <c r="O53" i="10"/>
  <c r="N53" i="10"/>
  <c r="M53" i="10"/>
  <c r="L53" i="10"/>
  <c r="K53" i="10"/>
  <c r="J53" i="10"/>
  <c r="I53" i="10"/>
  <c r="H53" i="10"/>
  <c r="G53" i="10"/>
  <c r="F53" i="10"/>
  <c r="E53" i="10"/>
  <c r="D53" i="10"/>
  <c r="C53" i="10"/>
  <c r="B53" i="10"/>
  <c r="A53" i="10"/>
  <c r="AT52" i="10"/>
  <c r="AS52" i="10"/>
  <c r="AR52" i="10"/>
  <c r="AQ52" i="10"/>
  <c r="AP52" i="10"/>
  <c r="AO52" i="10"/>
  <c r="AN52" i="10"/>
  <c r="AM52" i="10"/>
  <c r="AL52" i="10"/>
  <c r="AK52" i="10"/>
  <c r="AJ52" i="10"/>
  <c r="AI52" i="10"/>
  <c r="AH52" i="10"/>
  <c r="AG52" i="10"/>
  <c r="AF52" i="10"/>
  <c r="AE52" i="10"/>
  <c r="AD52" i="10"/>
  <c r="AC52" i="10"/>
  <c r="AB52" i="10"/>
  <c r="AA52" i="10"/>
  <c r="Z52" i="10"/>
  <c r="Y52" i="10"/>
  <c r="X52" i="10"/>
  <c r="W52" i="10"/>
  <c r="V52" i="10"/>
  <c r="U52" i="10"/>
  <c r="T52" i="10"/>
  <c r="S52" i="10"/>
  <c r="R52" i="10"/>
  <c r="Q52" i="10"/>
  <c r="P52" i="10"/>
  <c r="O52" i="10"/>
  <c r="N52" i="10"/>
  <c r="M52" i="10"/>
  <c r="L52" i="10"/>
  <c r="K52" i="10"/>
  <c r="J52" i="10"/>
  <c r="I52" i="10"/>
  <c r="H52" i="10"/>
  <c r="G52" i="10"/>
  <c r="F52" i="10"/>
  <c r="E52" i="10"/>
  <c r="D52" i="10"/>
  <c r="C52" i="10"/>
  <c r="B52" i="10"/>
  <c r="A52" i="10"/>
  <c r="AT51" i="10"/>
  <c r="AS51" i="10"/>
  <c r="AR51" i="10"/>
  <c r="AQ51" i="10"/>
  <c r="AP51" i="10"/>
  <c r="AO51" i="10"/>
  <c r="AN51" i="10"/>
  <c r="AM51" i="10"/>
  <c r="AL51" i="10"/>
  <c r="AK51" i="10"/>
  <c r="AJ51" i="10"/>
  <c r="AI51" i="10"/>
  <c r="AH51" i="10"/>
  <c r="AG51" i="10"/>
  <c r="AF51" i="10"/>
  <c r="AE51" i="10"/>
  <c r="AD51" i="10"/>
  <c r="AC51" i="10"/>
  <c r="AB51" i="10"/>
  <c r="AA51" i="10"/>
  <c r="Z51" i="10"/>
  <c r="Y51" i="10"/>
  <c r="X51" i="10"/>
  <c r="W51" i="10"/>
  <c r="V51" i="10"/>
  <c r="U51" i="10"/>
  <c r="T51" i="10"/>
  <c r="S51" i="10"/>
  <c r="R51" i="10"/>
  <c r="Q51" i="10"/>
  <c r="P51" i="10"/>
  <c r="O51" i="10"/>
  <c r="N51" i="10"/>
  <c r="M51" i="10"/>
  <c r="L51" i="10"/>
  <c r="K51" i="10"/>
  <c r="J51" i="10"/>
  <c r="I51" i="10"/>
  <c r="H51" i="10"/>
  <c r="G51" i="10"/>
  <c r="F51" i="10"/>
  <c r="E51" i="10"/>
  <c r="D51" i="10"/>
  <c r="C51" i="10"/>
  <c r="B51" i="10"/>
  <c r="A51" i="10"/>
  <c r="AT50" i="10"/>
  <c r="AS50" i="10"/>
  <c r="AR50" i="10"/>
  <c r="AQ50" i="10"/>
  <c r="AP50" i="10"/>
  <c r="AO50" i="10"/>
  <c r="AN50" i="10"/>
  <c r="AM50" i="10"/>
  <c r="AL50" i="10"/>
  <c r="AK50" i="10"/>
  <c r="AJ50" i="10"/>
  <c r="AI50" i="10"/>
  <c r="AH50" i="10"/>
  <c r="AG50" i="10"/>
  <c r="AF50" i="10"/>
  <c r="AE50" i="10"/>
  <c r="AD50" i="10"/>
  <c r="AC50" i="10"/>
  <c r="AB50" i="10"/>
  <c r="AA50" i="10"/>
  <c r="Z50" i="10"/>
  <c r="Y50" i="10"/>
  <c r="X50" i="10"/>
  <c r="W50" i="10"/>
  <c r="V50" i="10"/>
  <c r="U50" i="10"/>
  <c r="T50" i="10"/>
  <c r="S50" i="10"/>
  <c r="R50" i="10"/>
  <c r="Q50" i="10"/>
  <c r="P50" i="10"/>
  <c r="O50" i="10"/>
  <c r="N50" i="10"/>
  <c r="M50" i="10"/>
  <c r="L50" i="10"/>
  <c r="K50" i="10"/>
  <c r="J50" i="10"/>
  <c r="I50" i="10"/>
  <c r="H50" i="10"/>
  <c r="G50" i="10"/>
  <c r="F50" i="10"/>
  <c r="E50" i="10"/>
  <c r="D50" i="10"/>
  <c r="C50" i="10"/>
  <c r="B50" i="10"/>
  <c r="A50" i="10"/>
  <c r="AT49" i="10"/>
  <c r="AS49" i="10"/>
  <c r="AR49" i="10"/>
  <c r="AQ49" i="10"/>
  <c r="AP49" i="10"/>
  <c r="AO49" i="10"/>
  <c r="AN49" i="10"/>
  <c r="AM49" i="10"/>
  <c r="AL49" i="10"/>
  <c r="AK49" i="10"/>
  <c r="AJ49" i="10"/>
  <c r="AI49" i="10"/>
  <c r="AH49" i="10"/>
  <c r="AG49" i="10"/>
  <c r="AF49" i="10"/>
  <c r="AE49" i="10"/>
  <c r="AD49" i="10"/>
  <c r="AC49" i="10"/>
  <c r="AB49" i="10"/>
  <c r="AA49" i="10"/>
  <c r="Z49" i="10"/>
  <c r="Y49" i="10"/>
  <c r="X49" i="10"/>
  <c r="W49" i="10"/>
  <c r="V49" i="10"/>
  <c r="U49" i="10"/>
  <c r="T49" i="10"/>
  <c r="S49" i="10"/>
  <c r="R49" i="10"/>
  <c r="Q49" i="10"/>
  <c r="P49" i="10"/>
  <c r="O49" i="10"/>
  <c r="N49" i="10"/>
  <c r="M49" i="10"/>
  <c r="L49" i="10"/>
  <c r="K49" i="10"/>
  <c r="J49" i="10"/>
  <c r="I49" i="10"/>
  <c r="H49" i="10"/>
  <c r="G49" i="10"/>
  <c r="F49" i="10"/>
  <c r="E49" i="10"/>
  <c r="D49" i="10"/>
  <c r="C49" i="10"/>
  <c r="B49" i="10"/>
  <c r="A49" i="10"/>
  <c r="AT48" i="10"/>
  <c r="AS48" i="10"/>
  <c r="AR48" i="10"/>
  <c r="AQ48" i="10"/>
  <c r="AP48" i="10"/>
  <c r="AO48" i="10"/>
  <c r="AN48" i="10"/>
  <c r="AM48" i="10"/>
  <c r="AL48" i="10"/>
  <c r="AK48" i="10"/>
  <c r="AJ48" i="10"/>
  <c r="AI48" i="10"/>
  <c r="AH48" i="10"/>
  <c r="AG48" i="10"/>
  <c r="AF48" i="10"/>
  <c r="AE48" i="10"/>
  <c r="AD48" i="10"/>
  <c r="AC48" i="10"/>
  <c r="AB48" i="10"/>
  <c r="AA48" i="10"/>
  <c r="Z48" i="10"/>
  <c r="Y48" i="10"/>
  <c r="X48" i="10"/>
  <c r="W48" i="10"/>
  <c r="V48" i="10"/>
  <c r="U48" i="10"/>
  <c r="T48" i="10"/>
  <c r="S48" i="10"/>
  <c r="R48" i="10"/>
  <c r="Q48" i="10"/>
  <c r="P48" i="10"/>
  <c r="O48" i="10"/>
  <c r="N48" i="10"/>
  <c r="M48" i="10"/>
  <c r="L48" i="10"/>
  <c r="K48" i="10"/>
  <c r="J48" i="10"/>
  <c r="I48" i="10"/>
  <c r="H48" i="10"/>
  <c r="G48" i="10"/>
  <c r="F48" i="10"/>
  <c r="E48" i="10"/>
  <c r="D48" i="10"/>
  <c r="C48" i="10"/>
  <c r="B48" i="10"/>
  <c r="A48" i="10"/>
  <c r="AT47" i="10"/>
  <c r="AS47" i="10"/>
  <c r="AR47" i="10"/>
  <c r="AQ47" i="10"/>
  <c r="AP47" i="10"/>
  <c r="AO47" i="10"/>
  <c r="AN47" i="10"/>
  <c r="AM47" i="10"/>
  <c r="AL47" i="10"/>
  <c r="AK47" i="10"/>
  <c r="AJ47" i="10"/>
  <c r="AI47" i="10"/>
  <c r="AH47" i="10"/>
  <c r="AG47" i="10"/>
  <c r="AF47" i="10"/>
  <c r="AE47" i="10"/>
  <c r="AD47" i="10"/>
  <c r="AC47" i="10"/>
  <c r="AB47" i="10"/>
  <c r="AA47" i="10"/>
  <c r="Z47" i="10"/>
  <c r="Y47" i="10"/>
  <c r="X47" i="10"/>
  <c r="W47" i="10"/>
  <c r="V47" i="10"/>
  <c r="U47" i="10"/>
  <c r="T47" i="10"/>
  <c r="S47" i="10"/>
  <c r="R47" i="10"/>
  <c r="Q47" i="10"/>
  <c r="P47" i="10"/>
  <c r="O47" i="10"/>
  <c r="N47" i="10"/>
  <c r="M47" i="10"/>
  <c r="L47" i="10"/>
  <c r="K47" i="10"/>
  <c r="J47" i="10"/>
  <c r="I47" i="10"/>
  <c r="H47" i="10"/>
  <c r="G47" i="10"/>
  <c r="F47" i="10"/>
  <c r="E47" i="10"/>
  <c r="D47" i="10"/>
  <c r="C47" i="10"/>
  <c r="B47" i="10"/>
  <c r="A47" i="10"/>
  <c r="AT46" i="10"/>
  <c r="AS46" i="10"/>
  <c r="AR46" i="10"/>
  <c r="AQ46" i="10"/>
  <c r="AP46" i="10"/>
  <c r="AO46" i="10"/>
  <c r="AN46" i="10"/>
  <c r="AM46" i="10"/>
  <c r="AL46" i="10"/>
  <c r="AK46" i="10"/>
  <c r="AJ46" i="10"/>
  <c r="AI46" i="10"/>
  <c r="AH46" i="10"/>
  <c r="AG46" i="10"/>
  <c r="AF46" i="10"/>
  <c r="AE46" i="10"/>
  <c r="AD46" i="10"/>
  <c r="AC46" i="10"/>
  <c r="AB46" i="10"/>
  <c r="AA46" i="10"/>
  <c r="Z46" i="10"/>
  <c r="Y46" i="10"/>
  <c r="X46" i="10"/>
  <c r="W46" i="10"/>
  <c r="V46" i="10"/>
  <c r="U46" i="10"/>
  <c r="T46" i="10"/>
  <c r="S46" i="10"/>
  <c r="R46" i="10"/>
  <c r="Q46" i="10"/>
  <c r="P46" i="10"/>
  <c r="O46" i="10"/>
  <c r="N46" i="10"/>
  <c r="M46" i="10"/>
  <c r="L46" i="10"/>
  <c r="K46" i="10"/>
  <c r="J46" i="10"/>
  <c r="I46" i="10"/>
  <c r="H46" i="10"/>
  <c r="G46" i="10"/>
  <c r="F46" i="10"/>
  <c r="E46" i="10"/>
  <c r="D46" i="10"/>
  <c r="C46" i="10"/>
  <c r="B46" i="10"/>
  <c r="A46" i="10"/>
  <c r="AT45" i="10"/>
  <c r="AS45" i="10"/>
  <c r="AR45" i="10"/>
  <c r="AQ45" i="10"/>
  <c r="AP45" i="10"/>
  <c r="AO45" i="10"/>
  <c r="AN45" i="10"/>
  <c r="AM45" i="10"/>
  <c r="AL45" i="10"/>
  <c r="AK45" i="10"/>
  <c r="AJ45" i="10"/>
  <c r="AI45" i="10"/>
  <c r="AH45" i="10"/>
  <c r="AG45" i="10"/>
  <c r="AF45" i="10"/>
  <c r="AE45" i="10"/>
  <c r="AD45" i="10"/>
  <c r="AC45" i="10"/>
  <c r="AB45" i="10"/>
  <c r="AA45" i="10"/>
  <c r="Z45" i="10"/>
  <c r="Y45" i="10"/>
  <c r="X45" i="10"/>
  <c r="W45" i="10"/>
  <c r="V45" i="10"/>
  <c r="U45" i="10"/>
  <c r="T45" i="10"/>
  <c r="S45" i="10"/>
  <c r="R45" i="10"/>
  <c r="Q45" i="10"/>
  <c r="P45" i="10"/>
  <c r="O45" i="10"/>
  <c r="N45" i="10"/>
  <c r="M45" i="10"/>
  <c r="L45" i="10"/>
  <c r="K45" i="10"/>
  <c r="J45" i="10"/>
  <c r="I45" i="10"/>
  <c r="H45" i="10"/>
  <c r="G45" i="10"/>
  <c r="F45" i="10"/>
  <c r="E45" i="10"/>
  <c r="D45" i="10"/>
  <c r="C45" i="10"/>
  <c r="B45" i="10"/>
  <c r="A45" i="10"/>
  <c r="AT44" i="10"/>
  <c r="AS44" i="10"/>
  <c r="AR44" i="10"/>
  <c r="AQ44" i="10"/>
  <c r="AP44" i="10"/>
  <c r="AO44" i="10"/>
  <c r="AN44" i="10"/>
  <c r="AM44" i="10"/>
  <c r="AL44" i="10"/>
  <c r="AK44" i="10"/>
  <c r="AJ44" i="10"/>
  <c r="AI44" i="10"/>
  <c r="AH44" i="10"/>
  <c r="AG44" i="10"/>
  <c r="AF44" i="10"/>
  <c r="AE44" i="10"/>
  <c r="AD44" i="10"/>
  <c r="AC44" i="10"/>
  <c r="AB44" i="10"/>
  <c r="AA44" i="10"/>
  <c r="Z44" i="10"/>
  <c r="Y44" i="10"/>
  <c r="X44" i="10"/>
  <c r="W44" i="10"/>
  <c r="V44" i="10"/>
  <c r="U44" i="10"/>
  <c r="T44" i="10"/>
  <c r="S44" i="10"/>
  <c r="R44" i="10"/>
  <c r="Q44" i="10"/>
  <c r="P44" i="10"/>
  <c r="O44" i="10"/>
  <c r="N44" i="10"/>
  <c r="M44" i="10"/>
  <c r="L44" i="10"/>
  <c r="K44" i="10"/>
  <c r="J44" i="10"/>
  <c r="I44" i="10"/>
  <c r="H44" i="10"/>
  <c r="G44" i="10"/>
  <c r="F44" i="10"/>
  <c r="E44" i="10"/>
  <c r="D44" i="10"/>
  <c r="C44" i="10"/>
  <c r="B44" i="10"/>
  <c r="A44" i="10"/>
  <c r="AT43" i="10"/>
  <c r="AS43" i="10"/>
  <c r="AR43" i="10"/>
  <c r="AQ43" i="10"/>
  <c r="AP43" i="10"/>
  <c r="AO43" i="10"/>
  <c r="AN43" i="10"/>
  <c r="AM43" i="10"/>
  <c r="AL43" i="10"/>
  <c r="AK43" i="10"/>
  <c r="AJ43" i="10"/>
  <c r="AI43" i="10"/>
  <c r="AH43" i="10"/>
  <c r="AG43" i="10"/>
  <c r="AF43" i="10"/>
  <c r="AE43" i="10"/>
  <c r="AD43" i="10"/>
  <c r="AC43" i="10"/>
  <c r="AB43" i="10"/>
  <c r="AA43" i="10"/>
  <c r="Z43" i="10"/>
  <c r="Y43" i="10"/>
  <c r="X43" i="10"/>
  <c r="W43" i="10"/>
  <c r="V43" i="10"/>
  <c r="U43" i="10"/>
  <c r="T43" i="10"/>
  <c r="S43" i="10"/>
  <c r="R43" i="10"/>
  <c r="Q43" i="10"/>
  <c r="P43" i="10"/>
  <c r="O43" i="10"/>
  <c r="N43" i="10"/>
  <c r="M43" i="10"/>
  <c r="L43" i="10"/>
  <c r="K43" i="10"/>
  <c r="J43" i="10"/>
  <c r="I43" i="10"/>
  <c r="H43" i="10"/>
  <c r="G43" i="10"/>
  <c r="F43" i="10"/>
  <c r="E43" i="10"/>
  <c r="D43" i="10"/>
  <c r="C43" i="10"/>
  <c r="B43" i="10"/>
  <c r="A43" i="10"/>
  <c r="AT42" i="10"/>
  <c r="AS42" i="10"/>
  <c r="AR42" i="10"/>
  <c r="AQ42" i="10"/>
  <c r="AP42" i="10"/>
  <c r="AO42" i="10"/>
  <c r="AN42" i="10"/>
  <c r="AM42" i="10"/>
  <c r="AL42" i="10"/>
  <c r="AK42" i="10"/>
  <c r="AJ42" i="10"/>
  <c r="AI42" i="10"/>
  <c r="AH42" i="10"/>
  <c r="AG42" i="10"/>
  <c r="AF42" i="10"/>
  <c r="AE42" i="10"/>
  <c r="AD42" i="10"/>
  <c r="AC42" i="10"/>
  <c r="AB42" i="10"/>
  <c r="AA42" i="10"/>
  <c r="Z42" i="10"/>
  <c r="Y42" i="10"/>
  <c r="X42" i="10"/>
  <c r="W42" i="10"/>
  <c r="V42" i="10"/>
  <c r="U42" i="10"/>
  <c r="T42" i="10"/>
  <c r="S42" i="10"/>
  <c r="R42" i="10"/>
  <c r="Q42" i="10"/>
  <c r="P42" i="10"/>
  <c r="O42" i="10"/>
  <c r="N42" i="10"/>
  <c r="M42" i="10"/>
  <c r="L42" i="10"/>
  <c r="K42" i="10"/>
  <c r="J42" i="10"/>
  <c r="I42" i="10"/>
  <c r="H42" i="10"/>
  <c r="G42" i="10"/>
  <c r="F42" i="10"/>
  <c r="E42" i="10"/>
  <c r="D42" i="10"/>
  <c r="C42" i="10"/>
  <c r="B42" i="10"/>
  <c r="A42" i="10"/>
  <c r="AT41" i="10"/>
  <c r="AS41" i="10"/>
  <c r="AR41" i="10"/>
  <c r="AQ41" i="10"/>
  <c r="AP41" i="10"/>
  <c r="AO41" i="10"/>
  <c r="AN41" i="10"/>
  <c r="AM41" i="10"/>
  <c r="AL41" i="10"/>
  <c r="AK41" i="10"/>
  <c r="AJ41" i="10"/>
  <c r="AI41" i="10"/>
  <c r="AH41" i="10"/>
  <c r="AG41" i="10"/>
  <c r="AF41" i="10"/>
  <c r="AE41" i="10"/>
  <c r="AD41" i="10"/>
  <c r="AC41" i="10"/>
  <c r="AB41" i="10"/>
  <c r="AA41" i="10"/>
  <c r="Z41" i="10"/>
  <c r="Y41" i="10"/>
  <c r="X41" i="10"/>
  <c r="W41" i="10"/>
  <c r="V41" i="10"/>
  <c r="U41" i="10"/>
  <c r="T41" i="10"/>
  <c r="S41" i="10"/>
  <c r="R41" i="10"/>
  <c r="Q41" i="10"/>
  <c r="P41" i="10"/>
  <c r="O41" i="10"/>
  <c r="N41" i="10"/>
  <c r="M41" i="10"/>
  <c r="L41" i="10"/>
  <c r="K41" i="10"/>
  <c r="J41" i="10"/>
  <c r="I41" i="10"/>
  <c r="H41" i="10"/>
  <c r="G41" i="10"/>
  <c r="F41" i="10"/>
  <c r="E41" i="10"/>
  <c r="D41" i="10"/>
  <c r="C41" i="10"/>
  <c r="B41" i="10"/>
  <c r="A41" i="10"/>
  <c r="AT40" i="10"/>
  <c r="AS40" i="10"/>
  <c r="AR40" i="10"/>
  <c r="AQ40" i="10"/>
  <c r="AP40" i="10"/>
  <c r="AO40" i="10"/>
  <c r="AN40" i="10"/>
  <c r="AM40" i="10"/>
  <c r="AL40" i="10"/>
  <c r="AK40" i="10"/>
  <c r="AJ40" i="10"/>
  <c r="AI40" i="10"/>
  <c r="AH40" i="10"/>
  <c r="AG40" i="10"/>
  <c r="AF40" i="10"/>
  <c r="AE40" i="10"/>
  <c r="AD40" i="10"/>
  <c r="AC40" i="10"/>
  <c r="AB40" i="10"/>
  <c r="AA40" i="10"/>
  <c r="Z40" i="10"/>
  <c r="Y40" i="10"/>
  <c r="X40" i="10"/>
  <c r="W40" i="10"/>
  <c r="V40" i="10"/>
  <c r="U40" i="10"/>
  <c r="T40" i="10"/>
  <c r="S40" i="10"/>
  <c r="R40" i="10"/>
  <c r="Q40" i="10"/>
  <c r="P40" i="10"/>
  <c r="O40" i="10"/>
  <c r="N40" i="10"/>
  <c r="M40" i="10"/>
  <c r="L40" i="10"/>
  <c r="K40" i="10"/>
  <c r="J40" i="10"/>
  <c r="I40" i="10"/>
  <c r="H40" i="10"/>
  <c r="G40" i="10"/>
  <c r="F40" i="10"/>
  <c r="E40" i="10"/>
  <c r="D40" i="10"/>
  <c r="C40" i="10"/>
  <c r="B40" i="10"/>
  <c r="A40" i="10"/>
  <c r="AT39" i="10"/>
  <c r="AS39" i="10"/>
  <c r="AR39" i="10"/>
  <c r="AQ39" i="10"/>
  <c r="AP39" i="10"/>
  <c r="AO39" i="10"/>
  <c r="AN39" i="10"/>
  <c r="AM39" i="10"/>
  <c r="AL39" i="10"/>
  <c r="AK39" i="10"/>
  <c r="AJ39" i="10"/>
  <c r="AI39" i="10"/>
  <c r="AH39" i="10"/>
  <c r="AG39" i="10"/>
  <c r="AF39" i="10"/>
  <c r="AE39" i="10"/>
  <c r="AD39" i="10"/>
  <c r="AC39" i="10"/>
  <c r="AB39" i="10"/>
  <c r="AA39" i="10"/>
  <c r="Z39" i="10"/>
  <c r="Y39" i="10"/>
  <c r="X39" i="10"/>
  <c r="W39" i="10"/>
  <c r="V39" i="10"/>
  <c r="U39" i="10"/>
  <c r="T39" i="10"/>
  <c r="S39" i="10"/>
  <c r="R39" i="10"/>
  <c r="Q39" i="10"/>
  <c r="P39" i="10"/>
  <c r="O39" i="10"/>
  <c r="N39" i="10"/>
  <c r="M39" i="10"/>
  <c r="L39" i="10"/>
  <c r="K39" i="10"/>
  <c r="J39" i="10"/>
  <c r="I39" i="10"/>
  <c r="H39" i="10"/>
  <c r="G39" i="10"/>
  <c r="F39" i="10"/>
  <c r="E39" i="10"/>
  <c r="D39" i="10"/>
  <c r="C39" i="10"/>
  <c r="B39" i="10"/>
  <c r="A39" i="10"/>
  <c r="AT38" i="10"/>
  <c r="AS38" i="10"/>
  <c r="AR38" i="10"/>
  <c r="AQ38" i="10"/>
  <c r="AP38" i="10"/>
  <c r="AO38" i="10"/>
  <c r="AN38" i="10"/>
  <c r="AM38" i="10"/>
  <c r="AL38" i="10"/>
  <c r="AK38" i="10"/>
  <c r="AJ38" i="10"/>
  <c r="AI38" i="10"/>
  <c r="AH38" i="10"/>
  <c r="AG38" i="10"/>
  <c r="AF38" i="10"/>
  <c r="AE38" i="10"/>
  <c r="AD38" i="10"/>
  <c r="AC38" i="10"/>
  <c r="AB38" i="10"/>
  <c r="AA38" i="10"/>
  <c r="Z38" i="10"/>
  <c r="Y38" i="10"/>
  <c r="X38" i="10"/>
  <c r="W38" i="10"/>
  <c r="V38" i="10"/>
  <c r="U38" i="10"/>
  <c r="T38" i="10"/>
  <c r="S38" i="10"/>
  <c r="R38" i="10"/>
  <c r="Q38" i="10"/>
  <c r="P38" i="10"/>
  <c r="O38" i="10"/>
  <c r="N38" i="10"/>
  <c r="M38" i="10"/>
  <c r="L38" i="10"/>
  <c r="K38" i="10"/>
  <c r="J38" i="10"/>
  <c r="I38" i="10"/>
  <c r="H38" i="10"/>
  <c r="G38" i="10"/>
  <c r="F38" i="10"/>
  <c r="E38" i="10"/>
  <c r="D38" i="10"/>
  <c r="C38" i="10"/>
  <c r="B38" i="10"/>
  <c r="A38" i="10"/>
  <c r="AT37" i="10"/>
  <c r="AS37" i="10"/>
  <c r="AR37" i="10"/>
  <c r="AQ37" i="10"/>
  <c r="AP37" i="10"/>
  <c r="AO37" i="10"/>
  <c r="AN37" i="10"/>
  <c r="AM37" i="10"/>
  <c r="AL37" i="10"/>
  <c r="AK37" i="10"/>
  <c r="AJ37" i="10"/>
  <c r="AI37" i="10"/>
  <c r="AH37" i="10"/>
  <c r="AG37" i="10"/>
  <c r="AF37" i="10"/>
  <c r="AE37" i="10"/>
  <c r="AD37" i="10"/>
  <c r="AC37" i="10"/>
  <c r="AB37" i="10"/>
  <c r="AA37" i="10"/>
  <c r="Z37" i="10"/>
  <c r="Y37" i="10"/>
  <c r="X37" i="10"/>
  <c r="W37" i="10"/>
  <c r="V37" i="10"/>
  <c r="U37" i="10"/>
  <c r="T37" i="10"/>
  <c r="S37" i="10"/>
  <c r="R37" i="10"/>
  <c r="Q37" i="10"/>
  <c r="P37" i="10"/>
  <c r="O37" i="10"/>
  <c r="N37" i="10"/>
  <c r="M37" i="10"/>
  <c r="L37" i="10"/>
  <c r="K37" i="10"/>
  <c r="J37" i="10"/>
  <c r="I37" i="10"/>
  <c r="H37" i="10"/>
  <c r="G37" i="10"/>
  <c r="F37" i="10"/>
  <c r="E37" i="10"/>
  <c r="D37" i="10"/>
  <c r="C37" i="10"/>
  <c r="B37" i="10"/>
  <c r="A37" i="10"/>
  <c r="AT36" i="10"/>
  <c r="AS36" i="10"/>
  <c r="AR36" i="10"/>
  <c r="AQ36" i="10"/>
  <c r="AP36" i="10"/>
  <c r="AO36" i="10"/>
  <c r="AN36" i="10"/>
  <c r="AM36" i="10"/>
  <c r="AL36" i="10"/>
  <c r="AK36" i="10"/>
  <c r="AJ36" i="10"/>
  <c r="AI36" i="10"/>
  <c r="AH36" i="10"/>
  <c r="AG36" i="10"/>
  <c r="AF36" i="10"/>
  <c r="AE36" i="10"/>
  <c r="AD36" i="10"/>
  <c r="AC36" i="10"/>
  <c r="AB36" i="10"/>
  <c r="AA36" i="10"/>
  <c r="Z36" i="10"/>
  <c r="Y36" i="10"/>
  <c r="X36" i="10"/>
  <c r="W36" i="10"/>
  <c r="V36" i="10"/>
  <c r="U36" i="10"/>
  <c r="T36" i="10"/>
  <c r="S36" i="10"/>
  <c r="R36" i="10"/>
  <c r="Q36" i="10"/>
  <c r="P36" i="10"/>
  <c r="O36" i="10"/>
  <c r="N36" i="10"/>
  <c r="M36" i="10"/>
  <c r="L36" i="10"/>
  <c r="K36" i="10"/>
  <c r="J36" i="10"/>
  <c r="I36" i="10"/>
  <c r="H36" i="10"/>
  <c r="G36" i="10"/>
  <c r="F36" i="10"/>
  <c r="E36" i="10"/>
  <c r="D36" i="10"/>
  <c r="C36" i="10"/>
  <c r="B36" i="10"/>
  <c r="A36" i="10"/>
  <c r="AT35" i="10"/>
  <c r="AS35" i="10"/>
  <c r="AR35" i="10"/>
  <c r="AQ35" i="10"/>
  <c r="AP35" i="10"/>
  <c r="AO35" i="10"/>
  <c r="AN35" i="10"/>
  <c r="AM35" i="10"/>
  <c r="AL35" i="10"/>
  <c r="AK35" i="10"/>
  <c r="AJ35" i="10"/>
  <c r="AI35" i="10"/>
  <c r="AH35" i="10"/>
  <c r="AG35" i="10"/>
  <c r="AF35" i="10"/>
  <c r="AE35" i="10"/>
  <c r="AD35" i="10"/>
  <c r="AC35" i="10"/>
  <c r="AB35" i="10"/>
  <c r="AA35" i="10"/>
  <c r="Z35" i="10"/>
  <c r="Y35" i="10"/>
  <c r="X35" i="10"/>
  <c r="W35" i="10"/>
  <c r="V35" i="10"/>
  <c r="U35" i="10"/>
  <c r="T35" i="10"/>
  <c r="S35" i="10"/>
  <c r="R35" i="10"/>
  <c r="Q35" i="10"/>
  <c r="P35" i="10"/>
  <c r="O35" i="10"/>
  <c r="N35" i="10"/>
  <c r="M35" i="10"/>
  <c r="L35" i="10"/>
  <c r="K35" i="10"/>
  <c r="J35" i="10"/>
  <c r="I35" i="10"/>
  <c r="H35" i="10"/>
  <c r="G35" i="10"/>
  <c r="F35" i="10"/>
  <c r="E35" i="10"/>
  <c r="D35" i="10"/>
  <c r="C35" i="10"/>
  <c r="B35" i="10"/>
  <c r="A35" i="10"/>
  <c r="AT34" i="10"/>
  <c r="AS34" i="10"/>
  <c r="AR34" i="10"/>
  <c r="AQ34" i="10"/>
  <c r="AP34" i="10"/>
  <c r="AO34" i="10"/>
  <c r="AN34" i="10"/>
  <c r="AM34" i="10"/>
  <c r="AL34" i="10"/>
  <c r="AK34" i="10"/>
  <c r="AJ34" i="10"/>
  <c r="AI34" i="10"/>
  <c r="AH34" i="10"/>
  <c r="AG34" i="10"/>
  <c r="AF34" i="10"/>
  <c r="AE34" i="10"/>
  <c r="AD34" i="10"/>
  <c r="AC34" i="10"/>
  <c r="AB34" i="10"/>
  <c r="AA34" i="10"/>
  <c r="Z34" i="10"/>
  <c r="Y34" i="10"/>
  <c r="X34" i="10"/>
  <c r="W34" i="10"/>
  <c r="V34" i="10"/>
  <c r="U34" i="10"/>
  <c r="T34" i="10"/>
  <c r="S34" i="10"/>
  <c r="R34" i="10"/>
  <c r="Q34" i="10"/>
  <c r="P34" i="10"/>
  <c r="O34" i="10"/>
  <c r="N34" i="10"/>
  <c r="M34" i="10"/>
  <c r="L34" i="10"/>
  <c r="K34" i="10"/>
  <c r="J34" i="10"/>
  <c r="I34" i="10"/>
  <c r="H34" i="10"/>
  <c r="G34" i="10"/>
  <c r="F34" i="10"/>
  <c r="E34" i="10"/>
  <c r="D34" i="10"/>
  <c r="C34" i="10"/>
  <c r="B34" i="10"/>
  <c r="A34" i="10"/>
  <c r="AT33" i="10"/>
  <c r="AS33" i="10"/>
  <c r="AR33" i="10"/>
  <c r="AQ33" i="10"/>
  <c r="AP33" i="10"/>
  <c r="AO33" i="10"/>
  <c r="AN33" i="10"/>
  <c r="AM33" i="10"/>
  <c r="AL33" i="10"/>
  <c r="AK33" i="10"/>
  <c r="AJ33" i="10"/>
  <c r="AI33" i="10"/>
  <c r="AH33" i="10"/>
  <c r="AG33" i="10"/>
  <c r="AF33" i="10"/>
  <c r="AE33" i="10"/>
  <c r="AD33" i="10"/>
  <c r="AC33" i="10"/>
  <c r="AB33" i="10"/>
  <c r="AA33" i="10"/>
  <c r="Z33" i="10"/>
  <c r="Y33" i="10"/>
  <c r="X33" i="10"/>
  <c r="W33" i="10"/>
  <c r="V33" i="10"/>
  <c r="U33" i="10"/>
  <c r="T33" i="10"/>
  <c r="S33" i="10"/>
  <c r="R33" i="10"/>
  <c r="Q33" i="10"/>
  <c r="P33" i="10"/>
  <c r="O33" i="10"/>
  <c r="N33" i="10"/>
  <c r="M33" i="10"/>
  <c r="L33" i="10"/>
  <c r="K33" i="10"/>
  <c r="J33" i="10"/>
  <c r="I33" i="10"/>
  <c r="H33" i="10"/>
  <c r="G33" i="10"/>
  <c r="F33" i="10"/>
  <c r="E33" i="10"/>
  <c r="D33" i="10"/>
  <c r="C33" i="10"/>
  <c r="B33" i="10"/>
  <c r="A33" i="10"/>
  <c r="AT32" i="10"/>
  <c r="AS32" i="10"/>
  <c r="AR32" i="10"/>
  <c r="AQ32" i="10"/>
  <c r="AP32" i="10"/>
  <c r="AO32" i="10"/>
  <c r="AN32" i="10"/>
  <c r="AM32" i="10"/>
  <c r="AL32" i="10"/>
  <c r="AK32" i="10"/>
  <c r="AJ32" i="10"/>
  <c r="AI32" i="10"/>
  <c r="AH32" i="10"/>
  <c r="AG32" i="10"/>
  <c r="AF32" i="10"/>
  <c r="AE32" i="10"/>
  <c r="AD32" i="10"/>
  <c r="AC32" i="10"/>
  <c r="AB32" i="10"/>
  <c r="AA32" i="10"/>
  <c r="Z32" i="10"/>
  <c r="Y32" i="10"/>
  <c r="X32" i="10"/>
  <c r="W32" i="10"/>
  <c r="V32" i="10"/>
  <c r="U32" i="10"/>
  <c r="T32" i="10"/>
  <c r="S32" i="10"/>
  <c r="R32" i="10"/>
  <c r="Q32" i="10"/>
  <c r="P32" i="10"/>
  <c r="O32" i="10"/>
  <c r="N32" i="10"/>
  <c r="M32" i="10"/>
  <c r="L32" i="10"/>
  <c r="K32" i="10"/>
  <c r="J32" i="10"/>
  <c r="I32" i="10"/>
  <c r="H32" i="10"/>
  <c r="G32" i="10"/>
  <c r="F32" i="10"/>
  <c r="E32" i="10"/>
  <c r="D32" i="10"/>
  <c r="C32" i="10"/>
  <c r="B32" i="10"/>
  <c r="A32" i="10"/>
  <c r="AT31" i="10"/>
  <c r="AS31" i="10"/>
  <c r="AR31" i="10"/>
  <c r="AQ31" i="10"/>
  <c r="AP31" i="10"/>
  <c r="AO31" i="10"/>
  <c r="AN31" i="10"/>
  <c r="AM31" i="10"/>
  <c r="AL31" i="10"/>
  <c r="AK31" i="10"/>
  <c r="AJ31" i="10"/>
  <c r="AI31" i="10"/>
  <c r="AH31" i="10"/>
  <c r="AG31" i="10"/>
  <c r="AF31" i="10"/>
  <c r="AE31" i="10"/>
  <c r="AD31" i="10"/>
  <c r="AC31" i="10"/>
  <c r="AB31" i="10"/>
  <c r="AA31" i="10"/>
  <c r="Z31" i="10"/>
  <c r="Y31" i="10"/>
  <c r="X31" i="10"/>
  <c r="W31" i="10"/>
  <c r="V31" i="10"/>
  <c r="U31" i="10"/>
  <c r="T31" i="10"/>
  <c r="S31" i="10"/>
  <c r="R31" i="10"/>
  <c r="Q31" i="10"/>
  <c r="P31" i="10"/>
  <c r="O31" i="10"/>
  <c r="N31" i="10"/>
  <c r="M31" i="10"/>
  <c r="L31" i="10"/>
  <c r="K31" i="10"/>
  <c r="J31" i="10"/>
  <c r="I31" i="10"/>
  <c r="H31" i="10"/>
  <c r="G31" i="10"/>
  <c r="F31" i="10"/>
  <c r="E31" i="10"/>
  <c r="D31" i="10"/>
  <c r="C31" i="10"/>
  <c r="B31" i="10"/>
  <c r="A31" i="10"/>
  <c r="AT30" i="10"/>
  <c r="AS30" i="10"/>
  <c r="AR30" i="10"/>
  <c r="AQ30" i="10"/>
  <c r="AP30" i="10"/>
  <c r="AO30" i="10"/>
  <c r="AN30" i="10"/>
  <c r="AM30" i="10"/>
  <c r="AL30" i="10"/>
  <c r="AK30" i="10"/>
  <c r="AJ30" i="10"/>
  <c r="AI30" i="10"/>
  <c r="AH30" i="10"/>
  <c r="AG30" i="10"/>
  <c r="AF30" i="10"/>
  <c r="AE30" i="10"/>
  <c r="AD30" i="10"/>
  <c r="AC30" i="10"/>
  <c r="AB30" i="10"/>
  <c r="AA30" i="10"/>
  <c r="Z30" i="10"/>
  <c r="Y30" i="10"/>
  <c r="X30" i="10"/>
  <c r="W30" i="10"/>
  <c r="V30" i="10"/>
  <c r="U30" i="10"/>
  <c r="T30" i="10"/>
  <c r="S30" i="10"/>
  <c r="R30" i="10"/>
  <c r="Q30" i="10"/>
  <c r="P30" i="10"/>
  <c r="O30" i="10"/>
  <c r="N30" i="10"/>
  <c r="M30" i="10"/>
  <c r="L30" i="10"/>
  <c r="K30" i="10"/>
  <c r="J30" i="10"/>
  <c r="I30" i="10"/>
  <c r="H30" i="10"/>
  <c r="G30" i="10"/>
  <c r="F30" i="10"/>
  <c r="E30" i="10"/>
  <c r="D30" i="10"/>
  <c r="C30" i="10"/>
  <c r="B30" i="10"/>
  <c r="A30" i="10"/>
  <c r="AT29" i="10"/>
  <c r="AS29" i="10"/>
  <c r="AR29" i="10"/>
  <c r="AQ29" i="10"/>
  <c r="AP29" i="10"/>
  <c r="AO29" i="10"/>
  <c r="AN29" i="10"/>
  <c r="AM29" i="10"/>
  <c r="AL29" i="10"/>
  <c r="AK29" i="10"/>
  <c r="AJ29" i="10"/>
  <c r="AI29" i="10"/>
  <c r="AH29" i="10"/>
  <c r="AG29" i="10"/>
  <c r="AF29" i="10"/>
  <c r="AE29" i="10"/>
  <c r="AD29" i="10"/>
  <c r="AC29" i="10"/>
  <c r="AB29" i="10"/>
  <c r="AA29" i="10"/>
  <c r="Z29" i="10"/>
  <c r="Y29" i="10"/>
  <c r="X29" i="10"/>
  <c r="W29" i="10"/>
  <c r="V29" i="10"/>
  <c r="U29" i="10"/>
  <c r="T29" i="10"/>
  <c r="S29" i="10"/>
  <c r="R29" i="10"/>
  <c r="Q29" i="10"/>
  <c r="P29" i="10"/>
  <c r="O29" i="10"/>
  <c r="N29" i="10"/>
  <c r="M29" i="10"/>
  <c r="L29" i="10"/>
  <c r="K29" i="10"/>
  <c r="J29" i="10"/>
  <c r="I29" i="10"/>
  <c r="H29" i="10"/>
  <c r="G29" i="10"/>
  <c r="F29" i="10"/>
  <c r="E29" i="10"/>
  <c r="D29" i="10"/>
  <c r="C29" i="10"/>
  <c r="B29" i="10"/>
  <c r="A29" i="10"/>
  <c r="AT28" i="10"/>
  <c r="AS28" i="10"/>
  <c r="AR28" i="10"/>
  <c r="AQ28" i="10"/>
  <c r="AP28" i="10"/>
  <c r="AO28" i="10"/>
  <c r="AN28" i="10"/>
  <c r="AM28" i="10"/>
  <c r="AL28" i="10"/>
  <c r="AK28" i="10"/>
  <c r="AJ28" i="10"/>
  <c r="AI28" i="10"/>
  <c r="AH28" i="10"/>
  <c r="AG28" i="10"/>
  <c r="AF28" i="10"/>
  <c r="AE28" i="10"/>
  <c r="AD28" i="10"/>
  <c r="AC28" i="10"/>
  <c r="AB28" i="10"/>
  <c r="AA28" i="10"/>
  <c r="Z28" i="10"/>
  <c r="Y28" i="10"/>
  <c r="X28" i="10"/>
  <c r="W28" i="10"/>
  <c r="V28" i="10"/>
  <c r="U28" i="10"/>
  <c r="T28" i="10"/>
  <c r="S28" i="10"/>
  <c r="R28" i="10"/>
  <c r="Q28" i="10"/>
  <c r="P28" i="10"/>
  <c r="O28" i="10"/>
  <c r="N28" i="10"/>
  <c r="M28" i="10"/>
  <c r="L28" i="10"/>
  <c r="K28" i="10"/>
  <c r="J28" i="10"/>
  <c r="I28" i="10"/>
  <c r="H28" i="10"/>
  <c r="G28" i="10"/>
  <c r="F28" i="10"/>
  <c r="E28" i="10"/>
  <c r="D28" i="10"/>
  <c r="C28" i="10"/>
  <c r="B28" i="10"/>
  <c r="A28" i="10"/>
  <c r="AT27" i="10"/>
  <c r="AS27" i="10"/>
  <c r="AR27" i="10"/>
  <c r="AQ27" i="10"/>
  <c r="AP27" i="10"/>
  <c r="AO27" i="10"/>
  <c r="AN27" i="10"/>
  <c r="AM27" i="10"/>
  <c r="AL27" i="10"/>
  <c r="AK27" i="10"/>
  <c r="AJ27" i="10"/>
  <c r="AI27" i="10"/>
  <c r="AH27" i="10"/>
  <c r="AG27" i="10"/>
  <c r="AF27" i="10"/>
  <c r="AE27" i="10"/>
  <c r="AD27" i="10"/>
  <c r="AC27" i="10"/>
  <c r="AB27" i="10"/>
  <c r="AA27" i="10"/>
  <c r="Z27" i="10"/>
  <c r="Y27" i="10"/>
  <c r="X27" i="10"/>
  <c r="W27" i="10"/>
  <c r="V27" i="10"/>
  <c r="U27" i="10"/>
  <c r="T27" i="10"/>
  <c r="S27" i="10"/>
  <c r="R27" i="10"/>
  <c r="Q27" i="10"/>
  <c r="P27" i="10"/>
  <c r="O27" i="10"/>
  <c r="N27" i="10"/>
  <c r="M27" i="10"/>
  <c r="L27" i="10"/>
  <c r="K27" i="10"/>
  <c r="J27" i="10"/>
  <c r="I27" i="10"/>
  <c r="H27" i="10"/>
  <c r="G27" i="10"/>
  <c r="F27" i="10"/>
  <c r="E27" i="10"/>
  <c r="D27" i="10"/>
  <c r="C27" i="10"/>
  <c r="B27" i="10"/>
  <c r="A27" i="10"/>
  <c r="AT26" i="10"/>
  <c r="AS26" i="10"/>
  <c r="AR26" i="10"/>
  <c r="AQ26" i="10"/>
  <c r="AP26" i="10"/>
  <c r="AO26" i="10"/>
  <c r="AN26" i="10"/>
  <c r="AM26" i="10"/>
  <c r="AL26" i="10"/>
  <c r="AK26" i="10"/>
  <c r="AJ26" i="10"/>
  <c r="AI26" i="10"/>
  <c r="AH26" i="10"/>
  <c r="AG26" i="10"/>
  <c r="AF26" i="10"/>
  <c r="AE26" i="10"/>
  <c r="AD26" i="10"/>
  <c r="AC26" i="10"/>
  <c r="AB26" i="10"/>
  <c r="AA26" i="10"/>
  <c r="Z26" i="10"/>
  <c r="Y26" i="10"/>
  <c r="X26" i="10"/>
  <c r="W26" i="10"/>
  <c r="V26" i="10"/>
  <c r="U26" i="10"/>
  <c r="T26" i="10"/>
  <c r="S26" i="10"/>
  <c r="R26" i="10"/>
  <c r="Q26" i="10"/>
  <c r="P26" i="10"/>
  <c r="O26" i="10"/>
  <c r="N26" i="10"/>
  <c r="M26" i="10"/>
  <c r="L26" i="10"/>
  <c r="K26" i="10"/>
  <c r="J26" i="10"/>
  <c r="I26" i="10"/>
  <c r="H26" i="10"/>
  <c r="G26" i="10"/>
  <c r="F26" i="10"/>
  <c r="E26" i="10"/>
  <c r="D26" i="10"/>
  <c r="C26" i="10"/>
  <c r="B26" i="10"/>
  <c r="A26" i="10"/>
  <c r="AT25" i="10"/>
  <c r="AS25" i="10"/>
  <c r="AR25" i="10"/>
  <c r="AQ25" i="10"/>
  <c r="AP25" i="10"/>
  <c r="AO25" i="10"/>
  <c r="AN25" i="10"/>
  <c r="AM25" i="10"/>
  <c r="AL25" i="10"/>
  <c r="AK25" i="10"/>
  <c r="AJ25" i="10"/>
  <c r="AI25" i="10"/>
  <c r="AH25" i="10"/>
  <c r="AG25" i="10"/>
  <c r="AF25" i="10"/>
  <c r="AE25" i="10"/>
  <c r="AD25" i="10"/>
  <c r="AC25" i="10"/>
  <c r="AB25" i="10"/>
  <c r="AA25" i="10"/>
  <c r="Z25" i="10"/>
  <c r="Y25" i="10"/>
  <c r="X25" i="10"/>
  <c r="W25" i="10"/>
  <c r="V25" i="10"/>
  <c r="U25" i="10"/>
  <c r="T25" i="10"/>
  <c r="S25" i="10"/>
  <c r="R25" i="10"/>
  <c r="Q25" i="10"/>
  <c r="P25" i="10"/>
  <c r="O25" i="10"/>
  <c r="N25" i="10"/>
  <c r="M25" i="10"/>
  <c r="L25" i="10"/>
  <c r="K25" i="10"/>
  <c r="J25" i="10"/>
  <c r="I25" i="10"/>
  <c r="H25" i="10"/>
  <c r="G25" i="10"/>
  <c r="F25" i="10"/>
  <c r="E25" i="10"/>
  <c r="D25" i="10"/>
  <c r="C25" i="10"/>
  <c r="B25" i="10"/>
  <c r="A25" i="10"/>
  <c r="AT24" i="10"/>
  <c r="AS24" i="10"/>
  <c r="AR24" i="10"/>
  <c r="AQ24" i="10"/>
  <c r="AP24" i="10"/>
  <c r="AO24" i="10"/>
  <c r="AN24" i="10"/>
  <c r="AM24" i="10"/>
  <c r="AL24" i="10"/>
  <c r="AK24" i="10"/>
  <c r="AJ24" i="10"/>
  <c r="AI24" i="10"/>
  <c r="AH24" i="10"/>
  <c r="AG24" i="10"/>
  <c r="AF24" i="10"/>
  <c r="AE24" i="10"/>
  <c r="AD24" i="10"/>
  <c r="AC24" i="10"/>
  <c r="AB24" i="10"/>
  <c r="AA24" i="10"/>
  <c r="Z24" i="10"/>
  <c r="Y24" i="10"/>
  <c r="X24" i="10"/>
  <c r="W24" i="10"/>
  <c r="V24" i="10"/>
  <c r="U24" i="10"/>
  <c r="T24" i="10"/>
  <c r="S24" i="10"/>
  <c r="R24" i="10"/>
  <c r="Q24" i="10"/>
  <c r="P24" i="10"/>
  <c r="O24" i="10"/>
  <c r="N24" i="10"/>
  <c r="M24" i="10"/>
  <c r="L24" i="10"/>
  <c r="K24" i="10"/>
  <c r="J24" i="10"/>
  <c r="I24" i="10"/>
  <c r="H24" i="10"/>
  <c r="G24" i="10"/>
  <c r="F24" i="10"/>
  <c r="E24" i="10"/>
  <c r="D24" i="10"/>
  <c r="C24" i="10"/>
  <c r="B24" i="10"/>
  <c r="A24" i="10"/>
  <c r="AT23" i="10"/>
  <c r="AS23" i="10"/>
  <c r="AR23" i="10"/>
  <c r="AQ23" i="10"/>
  <c r="AP23" i="10"/>
  <c r="AO23" i="10"/>
  <c r="AN23" i="10"/>
  <c r="AM23" i="10"/>
  <c r="AL23" i="10"/>
  <c r="AK23" i="10"/>
  <c r="AJ23" i="10"/>
  <c r="AI23" i="10"/>
  <c r="AH23" i="10"/>
  <c r="AG23" i="10"/>
  <c r="AF23" i="10"/>
  <c r="AE23" i="10"/>
  <c r="AD23" i="10"/>
  <c r="AC23" i="10"/>
  <c r="AB23" i="10"/>
  <c r="AA23" i="10"/>
  <c r="Z23" i="10"/>
  <c r="Y23" i="10"/>
  <c r="X23" i="10"/>
  <c r="W23" i="10"/>
  <c r="V23" i="10"/>
  <c r="U23" i="10"/>
  <c r="T23" i="10"/>
  <c r="S23" i="10"/>
  <c r="R23" i="10"/>
  <c r="Q23" i="10"/>
  <c r="P23" i="10"/>
  <c r="O23" i="10"/>
  <c r="N23" i="10"/>
  <c r="M23" i="10"/>
  <c r="L23" i="10"/>
  <c r="K23" i="10"/>
  <c r="J23" i="10"/>
  <c r="I23" i="10"/>
  <c r="H23" i="10"/>
  <c r="G23" i="10"/>
  <c r="F23" i="10"/>
  <c r="E23" i="10"/>
  <c r="D23" i="10"/>
  <c r="C23" i="10"/>
  <c r="B23" i="10"/>
  <c r="A23" i="10"/>
  <c r="AT22" i="10"/>
  <c r="AS22" i="10"/>
  <c r="AR22" i="10"/>
  <c r="AQ22" i="10"/>
  <c r="AP22" i="10"/>
  <c r="AO22" i="10"/>
  <c r="AN22" i="10"/>
  <c r="AM22" i="10"/>
  <c r="AL22" i="10"/>
  <c r="AK22" i="10"/>
  <c r="AJ22" i="10"/>
  <c r="AI22" i="10"/>
  <c r="AH22" i="10"/>
  <c r="AG22" i="10"/>
  <c r="AF22" i="10"/>
  <c r="AE22" i="10"/>
  <c r="AD22" i="10"/>
  <c r="AC22"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A22" i="10"/>
  <c r="AT21" i="10"/>
  <c r="AS21" i="10"/>
  <c r="AR21" i="10"/>
  <c r="AQ21" i="10"/>
  <c r="AP21" i="10"/>
  <c r="AO21" i="10"/>
  <c r="AN21" i="10"/>
  <c r="AM21" i="10"/>
  <c r="AL21" i="10"/>
  <c r="AK21" i="10"/>
  <c r="AJ21" i="10"/>
  <c r="AI21" i="10"/>
  <c r="AH21" i="10"/>
  <c r="AG21" i="10"/>
  <c r="AF21" i="10"/>
  <c r="AE21" i="10"/>
  <c r="AD21" i="10"/>
  <c r="AC21" i="10"/>
  <c r="AB21" i="10"/>
  <c r="AA21" i="10"/>
  <c r="Z21" i="10"/>
  <c r="Y21" i="10"/>
  <c r="X21" i="10"/>
  <c r="W21" i="10"/>
  <c r="V21" i="10"/>
  <c r="U21" i="10"/>
  <c r="T21" i="10"/>
  <c r="S21" i="10"/>
  <c r="R21" i="10"/>
  <c r="Q21" i="10"/>
  <c r="P21" i="10"/>
  <c r="O21" i="10"/>
  <c r="N21" i="10"/>
  <c r="M21" i="10"/>
  <c r="L21" i="10"/>
  <c r="K21" i="10"/>
  <c r="J21" i="10"/>
  <c r="I21" i="10"/>
  <c r="H21" i="10"/>
  <c r="G21" i="10"/>
  <c r="F21" i="10"/>
  <c r="E21" i="10"/>
  <c r="D21" i="10"/>
  <c r="C21" i="10"/>
  <c r="B21" i="10"/>
  <c r="A21" i="10"/>
  <c r="AT20" i="10"/>
  <c r="AS20" i="10"/>
  <c r="AR20" i="10"/>
  <c r="AQ20" i="10"/>
  <c r="AP20" i="10"/>
  <c r="AO20" i="10"/>
  <c r="AN20" i="10"/>
  <c r="AM20" i="10"/>
  <c r="AL20" i="10"/>
  <c r="AK20" i="10"/>
  <c r="AJ20" i="10"/>
  <c r="AI20" i="10"/>
  <c r="AH20" i="10"/>
  <c r="AG20" i="10"/>
  <c r="AF20" i="10"/>
  <c r="AE20" i="10"/>
  <c r="AD20" i="10"/>
  <c r="AC20" i="10"/>
  <c r="AB20" i="10"/>
  <c r="AA20" i="10"/>
  <c r="Z20" i="10"/>
  <c r="Y20" i="10"/>
  <c r="X20" i="10"/>
  <c r="W20" i="10"/>
  <c r="V20" i="10"/>
  <c r="U20" i="10"/>
  <c r="T20" i="10"/>
  <c r="S20" i="10"/>
  <c r="R20" i="10"/>
  <c r="Q20" i="10"/>
  <c r="P20" i="10"/>
  <c r="O20" i="10"/>
  <c r="N20" i="10"/>
  <c r="M20" i="10"/>
  <c r="L20" i="10"/>
  <c r="K20" i="10"/>
  <c r="J20" i="10"/>
  <c r="I20" i="10"/>
  <c r="H20" i="10"/>
  <c r="G20" i="10"/>
  <c r="F20" i="10"/>
  <c r="E20" i="10"/>
  <c r="D20" i="10"/>
  <c r="C20" i="10"/>
  <c r="B20" i="10"/>
  <c r="A20" i="10"/>
  <c r="AT19" i="10"/>
  <c r="AS19" i="10"/>
  <c r="AR19" i="10"/>
  <c r="AQ19" i="10"/>
  <c r="AP19" i="10"/>
  <c r="AO19" i="10"/>
  <c r="AN19" i="10"/>
  <c r="AM19" i="10"/>
  <c r="AL19" i="10"/>
  <c r="AK19" i="10"/>
  <c r="AJ19" i="10"/>
  <c r="AI19" i="10"/>
  <c r="AH19" i="10"/>
  <c r="AG19" i="10"/>
  <c r="AF19" i="10"/>
  <c r="AE19" i="10"/>
  <c r="AD19" i="10"/>
  <c r="AC19" i="10"/>
  <c r="AB19" i="10"/>
  <c r="AA19" i="10"/>
  <c r="Z19" i="10"/>
  <c r="Y19" i="10"/>
  <c r="X19" i="10"/>
  <c r="W19" i="10"/>
  <c r="V19" i="10"/>
  <c r="U19" i="10"/>
  <c r="T19" i="10"/>
  <c r="S19" i="10"/>
  <c r="R19" i="10"/>
  <c r="Q19" i="10"/>
  <c r="P19" i="10"/>
  <c r="O19" i="10"/>
  <c r="N19" i="10"/>
  <c r="M19" i="10"/>
  <c r="L19" i="10"/>
  <c r="K19" i="10"/>
  <c r="J19" i="10"/>
  <c r="I19" i="10"/>
  <c r="H19" i="10"/>
  <c r="G19" i="10"/>
  <c r="F19" i="10"/>
  <c r="E19" i="10"/>
  <c r="D19" i="10"/>
  <c r="C19" i="10"/>
  <c r="B19" i="10"/>
  <c r="A19" i="10"/>
  <c r="AT18" i="10"/>
  <c r="AS18" i="10"/>
  <c r="AR18" i="10"/>
  <c r="AQ18" i="10"/>
  <c r="AP18" i="10"/>
  <c r="AO18" i="10"/>
  <c r="AN18" i="10"/>
  <c r="AM18" i="10"/>
  <c r="AL18" i="10"/>
  <c r="AK18" i="10"/>
  <c r="AJ18" i="10"/>
  <c r="AI18" i="10"/>
  <c r="AH18" i="10"/>
  <c r="AG18" i="10"/>
  <c r="AF18" i="10"/>
  <c r="AE18" i="10"/>
  <c r="AD18" i="10"/>
  <c r="AC18" i="10"/>
  <c r="AB18" i="10"/>
  <c r="AA18" i="10"/>
  <c r="Z18" i="10"/>
  <c r="Y18" i="10"/>
  <c r="X18" i="10"/>
  <c r="W18" i="10"/>
  <c r="V18" i="10"/>
  <c r="U18" i="10"/>
  <c r="T18" i="10"/>
  <c r="S18" i="10"/>
  <c r="R18" i="10"/>
  <c r="Q18" i="10"/>
  <c r="P18" i="10"/>
  <c r="O18" i="10"/>
  <c r="N18" i="10"/>
  <c r="M18" i="10"/>
  <c r="L18" i="10"/>
  <c r="K18" i="10"/>
  <c r="J18" i="10"/>
  <c r="I18" i="10"/>
  <c r="H18" i="10"/>
  <c r="G18" i="10"/>
  <c r="F18" i="10"/>
  <c r="E18" i="10"/>
  <c r="D18" i="10"/>
  <c r="C18" i="10"/>
  <c r="B18" i="10"/>
  <c r="A18" i="10"/>
  <c r="AT17" i="10"/>
  <c r="AS17" i="10"/>
  <c r="AR17" i="10"/>
  <c r="AQ17" i="10"/>
  <c r="AP17" i="10"/>
  <c r="AO17" i="10"/>
  <c r="AN17" i="10"/>
  <c r="AM17" i="10"/>
  <c r="AL17" i="10"/>
  <c r="AK17" i="10"/>
  <c r="AJ17" i="10"/>
  <c r="AI17" i="10"/>
  <c r="AH17" i="10"/>
  <c r="AG17"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B17" i="10"/>
  <c r="A17" i="10"/>
  <c r="AT16" i="10"/>
  <c r="AS16" i="10"/>
  <c r="AR16" i="10"/>
  <c r="AQ16" i="10"/>
  <c r="AP16" i="10"/>
  <c r="AO16" i="10"/>
  <c r="AN16" i="10"/>
  <c r="AM16" i="10"/>
  <c r="AL16" i="10"/>
  <c r="AK16" i="10"/>
  <c r="AJ16" i="10"/>
  <c r="AI16" i="10"/>
  <c r="AH16" i="10"/>
  <c r="AG16"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B16" i="10"/>
  <c r="A16" i="10"/>
  <c r="AT15" i="10"/>
  <c r="AS15" i="10"/>
  <c r="AR15" i="10"/>
  <c r="AQ15" i="10"/>
  <c r="AP15" i="10"/>
  <c r="AO15" i="10"/>
  <c r="AN15" i="10"/>
  <c r="AM15" i="10"/>
  <c r="AL15" i="10"/>
  <c r="AK15" i="10"/>
  <c r="AJ15" i="10"/>
  <c r="AI15" i="10"/>
  <c r="AH15" i="10"/>
  <c r="AG15"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B15" i="10"/>
  <c r="A15" i="10"/>
  <c r="AT14" i="10"/>
  <c r="AS14" i="10"/>
  <c r="AR14" i="10"/>
  <c r="AQ14" i="10"/>
  <c r="AP14" i="10"/>
  <c r="AO14" i="10"/>
  <c r="AN14" i="10"/>
  <c r="AM14" i="10"/>
  <c r="AL14" i="10"/>
  <c r="AK14" i="10"/>
  <c r="AJ14" i="10"/>
  <c r="AI14" i="10"/>
  <c r="AH14" i="10"/>
  <c r="AG14"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B14" i="10"/>
  <c r="A14" i="10"/>
  <c r="AT13" i="10"/>
  <c r="AS13" i="10"/>
  <c r="AR13" i="10"/>
  <c r="AQ13" i="10"/>
  <c r="AP13" i="10"/>
  <c r="AO13" i="10"/>
  <c r="AN13" i="10"/>
  <c r="AM13" i="10"/>
  <c r="AL13" i="10"/>
  <c r="AK13" i="10"/>
  <c r="AJ13" i="10"/>
  <c r="AI13" i="10"/>
  <c r="AH13" i="10"/>
  <c r="AG13"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B13" i="10"/>
  <c r="A13" i="10"/>
  <c r="AT12" i="10"/>
  <c r="AS12" i="10"/>
  <c r="AR12" i="10"/>
  <c r="AQ12" i="10"/>
  <c r="AP12" i="10"/>
  <c r="AO12" i="10"/>
  <c r="AN12" i="10"/>
  <c r="AM12" i="10"/>
  <c r="AL12" i="10"/>
  <c r="AK12" i="10"/>
  <c r="AJ12" i="10"/>
  <c r="AI12" i="10"/>
  <c r="AH12" i="10"/>
  <c r="AG12"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B12" i="10"/>
  <c r="A12" i="10"/>
  <c r="AT11" i="10"/>
  <c r="AS11" i="10"/>
  <c r="AR11" i="10"/>
  <c r="AQ11" i="10"/>
  <c r="AP11" i="10"/>
  <c r="AO11" i="10"/>
  <c r="AN11" i="10"/>
  <c r="AM11" i="10"/>
  <c r="AL11" i="10"/>
  <c r="AK11" i="10"/>
  <c r="AJ11" i="10"/>
  <c r="AI11" i="10"/>
  <c r="AH11" i="10"/>
  <c r="AG11"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B11" i="10"/>
  <c r="A11" i="10"/>
  <c r="AT10" i="10"/>
  <c r="AS10" i="10"/>
  <c r="AR10" i="10"/>
  <c r="AQ10" i="10"/>
  <c r="AP10" i="10"/>
  <c r="AO10" i="10"/>
  <c r="AN10" i="10"/>
  <c r="AM10" i="10"/>
  <c r="AL10" i="10"/>
  <c r="AK10" i="10"/>
  <c r="AJ10" i="10"/>
  <c r="AI10" i="10"/>
  <c r="AH10" i="10"/>
  <c r="AG10"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B10" i="10"/>
  <c r="A10" i="10"/>
  <c r="AT9" i="10"/>
  <c r="AS9" i="10"/>
  <c r="AR9" i="10"/>
  <c r="AQ9" i="10"/>
  <c r="AP9" i="10"/>
  <c r="AO9" i="10"/>
  <c r="AN9" i="10"/>
  <c r="AM9" i="10"/>
  <c r="AL9" i="10"/>
  <c r="AK9" i="10"/>
  <c r="AJ9" i="10"/>
  <c r="AI9" i="10"/>
  <c r="AH9" i="10"/>
  <c r="AG9"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B9" i="10"/>
  <c r="A9" i="10"/>
  <c r="AT8" i="10"/>
  <c r="AS8" i="10"/>
  <c r="AR8" i="10"/>
  <c r="AQ8" i="10"/>
  <c r="AP8" i="10"/>
  <c r="AO8" i="10"/>
  <c r="AN8" i="10"/>
  <c r="AM8" i="10"/>
  <c r="AL8" i="10"/>
  <c r="AK8" i="10"/>
  <c r="AJ8" i="10"/>
  <c r="AI8" i="10"/>
  <c r="AH8" i="10"/>
  <c r="AG8"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B8" i="10"/>
  <c r="A8" i="10"/>
  <c r="AT7" i="10"/>
  <c r="AS7" i="10"/>
  <c r="AR7" i="10"/>
  <c r="AQ7" i="10"/>
  <c r="AP7" i="10"/>
  <c r="AO7" i="10"/>
  <c r="AN7" i="10"/>
  <c r="AM7" i="10"/>
  <c r="AL7" i="10"/>
  <c r="AK7" i="10"/>
  <c r="AJ7" i="10"/>
  <c r="AI7" i="10"/>
  <c r="AH7" i="10"/>
  <c r="AG7"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B7" i="10"/>
  <c r="A7" i="10"/>
  <c r="AT6" i="10"/>
  <c r="AS6" i="10"/>
  <c r="AR6" i="10"/>
  <c r="AQ6" i="10"/>
  <c r="AP6" i="10"/>
  <c r="AO6" i="10"/>
  <c r="AN6" i="10"/>
  <c r="AM6" i="10"/>
  <c r="AL6" i="10"/>
  <c r="AK6" i="10"/>
  <c r="AJ6" i="10"/>
  <c r="AI6" i="10"/>
  <c r="AH6" i="10"/>
  <c r="AG6"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B6" i="10"/>
  <c r="A6" i="10"/>
  <c r="AT5" i="10"/>
  <c r="AS5" i="10"/>
  <c r="AR5" i="10"/>
  <c r="AQ5" i="10"/>
  <c r="AP5" i="10"/>
  <c r="AO5" i="10"/>
  <c r="AN5" i="10"/>
  <c r="AM5" i="10"/>
  <c r="AL5" i="10"/>
  <c r="AK5" i="10"/>
  <c r="AJ5" i="10"/>
  <c r="AI5" i="10"/>
  <c r="AH5" i="10"/>
  <c r="AG5"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B5" i="10"/>
  <c r="A5" i="10"/>
  <c r="AT4" i="10"/>
  <c r="AS4" i="10"/>
  <c r="AR4" i="10"/>
  <c r="AQ4" i="10"/>
  <c r="AP4" i="10"/>
  <c r="AO4" i="10"/>
  <c r="AN4" i="10"/>
  <c r="AM4" i="10"/>
  <c r="AL4" i="10"/>
  <c r="AK4" i="10"/>
  <c r="AJ4" i="10"/>
  <c r="AI4" i="10"/>
  <c r="AH4" i="10"/>
  <c r="AG4"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B4" i="10"/>
  <c r="A4" i="10"/>
  <c r="AT3" i="10"/>
  <c r="AS3" i="10"/>
  <c r="AR3" i="10"/>
  <c r="AQ3" i="10"/>
  <c r="AP3" i="10"/>
  <c r="AO3" i="10"/>
  <c r="AN3" i="10"/>
  <c r="AM3" i="10"/>
  <c r="AL3" i="10"/>
  <c r="AK3" i="10"/>
  <c r="AJ3" i="10"/>
  <c r="AI3" i="10"/>
  <c r="AH3" i="10"/>
  <c r="AG3"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B3" i="10"/>
  <c r="A3" i="10"/>
  <c r="AT2" i="10"/>
  <c r="AS2" i="10"/>
  <c r="AR2" i="10"/>
  <c r="A29" i="11" s="1"/>
  <c r="AQ2" i="10"/>
  <c r="A28" i="11" s="1"/>
  <c r="AP2" i="10"/>
  <c r="A27" i="11" s="1"/>
  <c r="V2" i="10"/>
  <c r="U2" i="10"/>
  <c r="T2" i="10"/>
  <c r="S2" i="10"/>
  <c r="R2" i="10"/>
  <c r="Q2" i="10"/>
  <c r="P2" i="10"/>
  <c r="O2" i="10"/>
  <c r="N2" i="10"/>
  <c r="M2" i="10"/>
  <c r="L2" i="10"/>
  <c r="K2" i="10"/>
  <c r="J2" i="10"/>
  <c r="I2" i="10"/>
  <c r="A13" i="11" s="1"/>
  <c r="H2" i="10"/>
  <c r="A12" i="11" s="1"/>
  <c r="G2" i="10"/>
  <c r="A11" i="11" s="1"/>
  <c r="F2" i="10"/>
  <c r="E2" i="10"/>
  <c r="D2" i="10"/>
  <c r="C2" i="10"/>
  <c r="C5" i="11" s="1"/>
  <c r="B2" i="10"/>
  <c r="N47" i="8"/>
  <c r="Q47" i="8" s="1"/>
  <c r="M47" i="8"/>
  <c r="L47" i="8"/>
  <c r="K47" i="8"/>
  <c r="H47" i="8"/>
  <c r="B47" i="8"/>
  <c r="A47" i="8"/>
  <c r="N46" i="8"/>
  <c r="Q46" i="8" s="1"/>
  <c r="M46" i="8"/>
  <c r="L46" i="8"/>
  <c r="K46" i="8"/>
  <c r="H46" i="8"/>
  <c r="B46" i="8"/>
  <c r="A46" i="8"/>
  <c r="N45" i="8"/>
  <c r="Q45" i="8" s="1"/>
  <c r="M45" i="8"/>
  <c r="L45" i="8"/>
  <c r="K45" i="8"/>
  <c r="H45" i="8"/>
  <c r="B45" i="8"/>
  <c r="A45" i="8"/>
  <c r="N44" i="8"/>
  <c r="Q44" i="8" s="1"/>
  <c r="M44" i="8"/>
  <c r="L44" i="8"/>
  <c r="K44" i="8"/>
  <c r="H44" i="8"/>
  <c r="B44" i="8"/>
  <c r="A44" i="8"/>
  <c r="N43" i="8"/>
  <c r="Q43" i="8" s="1"/>
  <c r="M43" i="8"/>
  <c r="L43" i="8"/>
  <c r="K43" i="8"/>
  <c r="H43" i="8"/>
  <c r="B43" i="8"/>
  <c r="A43" i="8"/>
  <c r="N42" i="8"/>
  <c r="Q42" i="8" s="1"/>
  <c r="M42" i="8"/>
  <c r="L42" i="8"/>
  <c r="K42" i="8"/>
  <c r="H42" i="8"/>
  <c r="B42" i="8"/>
  <c r="A42" i="8"/>
  <c r="N41" i="8"/>
  <c r="Q41" i="8" s="1"/>
  <c r="M41" i="8"/>
  <c r="L41" i="8"/>
  <c r="K41" i="8"/>
  <c r="H41" i="8"/>
  <c r="B41" i="8"/>
  <c r="A41" i="8"/>
  <c r="N40" i="8"/>
  <c r="Q40" i="8" s="1"/>
  <c r="M40" i="8"/>
  <c r="L40" i="8"/>
  <c r="K40" i="8"/>
  <c r="H40" i="8"/>
  <c r="E40" i="8"/>
  <c r="B40" i="8"/>
  <c r="A40" i="8"/>
  <c r="N39" i="8"/>
  <c r="Q39" i="8" s="1"/>
  <c r="M39" i="8"/>
  <c r="L39" i="8"/>
  <c r="K39" i="8"/>
  <c r="H39" i="8"/>
  <c r="B39" i="8"/>
  <c r="A39" i="8"/>
  <c r="N38" i="8"/>
  <c r="Q38" i="8" s="1"/>
  <c r="M38" i="8"/>
  <c r="L38" i="8"/>
  <c r="K38" i="8"/>
  <c r="H38" i="8"/>
  <c r="B38" i="8"/>
  <c r="A38" i="8"/>
  <c r="N37" i="8"/>
  <c r="Q37" i="8" s="1"/>
  <c r="M37" i="8"/>
  <c r="L37" i="8"/>
  <c r="K37" i="8"/>
  <c r="H37" i="8"/>
  <c r="B37" i="8"/>
  <c r="A37" i="8"/>
  <c r="N36" i="8"/>
  <c r="Q36" i="8" s="1"/>
  <c r="M36" i="8"/>
  <c r="L36" i="8"/>
  <c r="K36" i="8"/>
  <c r="H36" i="8"/>
  <c r="B36" i="8"/>
  <c r="A36" i="8"/>
  <c r="N35" i="8"/>
  <c r="Q35" i="8" s="1"/>
  <c r="M35" i="8"/>
  <c r="L35" i="8"/>
  <c r="K35" i="8"/>
  <c r="H35" i="8"/>
  <c r="B35" i="8"/>
  <c r="A35" i="8"/>
  <c r="N34" i="8"/>
  <c r="Q34" i="8" s="1"/>
  <c r="M34" i="8"/>
  <c r="L34" i="8"/>
  <c r="K34" i="8"/>
  <c r="H34" i="8"/>
  <c r="B34" i="8"/>
  <c r="A34" i="8"/>
  <c r="Q33" i="8"/>
  <c r="N33" i="8"/>
  <c r="M33" i="8"/>
  <c r="L33" i="8"/>
  <c r="K33" i="8"/>
  <c r="H33" i="8"/>
  <c r="B33" i="8"/>
  <c r="A33" i="8"/>
  <c r="Q32" i="8"/>
  <c r="N32" i="8"/>
  <c r="M32" i="8"/>
  <c r="L32" i="8"/>
  <c r="K32" i="8"/>
  <c r="H32" i="8"/>
  <c r="E32" i="8"/>
  <c r="B32" i="8"/>
  <c r="A32" i="8"/>
  <c r="N31" i="8"/>
  <c r="Q31" i="8" s="1"/>
  <c r="M31" i="8"/>
  <c r="L31" i="8"/>
  <c r="K31" i="8"/>
  <c r="H31" i="8"/>
  <c r="B31" i="8"/>
  <c r="A31" i="8"/>
  <c r="Q30" i="8"/>
  <c r="N30" i="8"/>
  <c r="M30" i="8"/>
  <c r="L30" i="8"/>
  <c r="K30" i="8"/>
  <c r="H30" i="8"/>
  <c r="C30" i="8"/>
  <c r="B30" i="8"/>
  <c r="A30" i="8"/>
  <c r="N29" i="8"/>
  <c r="Q29" i="8" s="1"/>
  <c r="M29" i="8"/>
  <c r="L29" i="8"/>
  <c r="K29" i="8"/>
  <c r="H29" i="8"/>
  <c r="B29" i="8"/>
  <c r="A29" i="8"/>
  <c r="N28" i="8"/>
  <c r="Q28" i="8" s="1"/>
  <c r="M28" i="8"/>
  <c r="L28" i="8"/>
  <c r="K28" i="8"/>
  <c r="H28" i="8"/>
  <c r="B28" i="8"/>
  <c r="A28" i="8"/>
  <c r="N27" i="8"/>
  <c r="Q27" i="8" s="1"/>
  <c r="M27" i="8"/>
  <c r="L27" i="8"/>
  <c r="K27" i="8"/>
  <c r="H27" i="8"/>
  <c r="B27" i="8"/>
  <c r="A27" i="8"/>
  <c r="N26" i="8"/>
  <c r="Q26" i="8" s="1"/>
  <c r="M26" i="8"/>
  <c r="L26" i="8"/>
  <c r="K26" i="8"/>
  <c r="H26" i="8"/>
  <c r="B26" i="8"/>
  <c r="A26" i="8"/>
  <c r="N25" i="8"/>
  <c r="Q25" i="8" s="1"/>
  <c r="M25" i="8"/>
  <c r="L25" i="8"/>
  <c r="K25" i="8"/>
  <c r="H25" i="8"/>
  <c r="B25" i="8"/>
  <c r="A25" i="8"/>
  <c r="N24" i="8"/>
  <c r="Q24" i="8" s="1"/>
  <c r="M24" i="8"/>
  <c r="L24" i="8"/>
  <c r="K24" i="8"/>
  <c r="H24" i="8"/>
  <c r="B24" i="8"/>
  <c r="A24" i="8"/>
  <c r="N23" i="8"/>
  <c r="Q23" i="8" s="1"/>
  <c r="M23" i="8"/>
  <c r="L23" i="8"/>
  <c r="K23" i="8"/>
  <c r="H23" i="8"/>
  <c r="B23" i="8"/>
  <c r="A23" i="8"/>
  <c r="N22" i="8"/>
  <c r="Q22" i="8" s="1"/>
  <c r="M22" i="8"/>
  <c r="L22" i="8"/>
  <c r="K22" i="8"/>
  <c r="H22" i="8"/>
  <c r="B22" i="8"/>
  <c r="A22" i="8"/>
  <c r="N21" i="8"/>
  <c r="Q21" i="8" s="1"/>
  <c r="M21" i="8"/>
  <c r="L21" i="8"/>
  <c r="K21" i="8"/>
  <c r="H21" i="8"/>
  <c r="B21" i="8"/>
  <c r="A21" i="8"/>
  <c r="N20" i="8"/>
  <c r="Q20" i="8" s="1"/>
  <c r="M20" i="8"/>
  <c r="L20" i="8"/>
  <c r="K20" i="8"/>
  <c r="H20" i="8"/>
  <c r="B20" i="8"/>
  <c r="A20" i="8"/>
  <c r="N19" i="8"/>
  <c r="Q19" i="8" s="1"/>
  <c r="M19" i="8"/>
  <c r="L19" i="8"/>
  <c r="K19" i="8"/>
  <c r="H19" i="8"/>
  <c r="B19" i="8"/>
  <c r="A19" i="8"/>
  <c r="N18" i="8"/>
  <c r="Q18" i="8" s="1"/>
  <c r="M18" i="8"/>
  <c r="L18" i="8"/>
  <c r="K18" i="8"/>
  <c r="H18" i="8"/>
  <c r="B18" i="8"/>
  <c r="A18" i="8"/>
  <c r="Q17" i="8"/>
  <c r="N17" i="8"/>
  <c r="M17" i="8"/>
  <c r="L17" i="8"/>
  <c r="K17" i="8"/>
  <c r="H17" i="8"/>
  <c r="B17" i="8"/>
  <c r="A17" i="8"/>
  <c r="Q16" i="8"/>
  <c r="N16" i="8"/>
  <c r="M16" i="8"/>
  <c r="L16" i="8"/>
  <c r="K16" i="8"/>
  <c r="H16" i="8"/>
  <c r="B16" i="8"/>
  <c r="A16" i="8"/>
  <c r="N15" i="8"/>
  <c r="Q15" i="8" s="1"/>
  <c r="M15" i="8"/>
  <c r="L15" i="8"/>
  <c r="K15" i="8"/>
  <c r="H15" i="8"/>
  <c r="B15" i="8"/>
  <c r="A15" i="8"/>
  <c r="Q14" i="8"/>
  <c r="N14" i="8"/>
  <c r="M14" i="8"/>
  <c r="L14" i="8"/>
  <c r="K14" i="8"/>
  <c r="H14" i="8"/>
  <c r="B14" i="8"/>
  <c r="A14" i="8"/>
  <c r="N13" i="8"/>
  <c r="Q13" i="8" s="1"/>
  <c r="M13" i="8"/>
  <c r="L13" i="8"/>
  <c r="K13" i="8"/>
  <c r="H13" i="8"/>
  <c r="B13" i="8"/>
  <c r="A13" i="8"/>
  <c r="Q12" i="8"/>
  <c r="N12" i="8"/>
  <c r="M12" i="8"/>
  <c r="L12" i="8"/>
  <c r="K12" i="8"/>
  <c r="H12" i="8"/>
  <c r="B12" i="8"/>
  <c r="A12" i="8"/>
  <c r="N11" i="8"/>
  <c r="Q11" i="8" s="1"/>
  <c r="M11" i="8"/>
  <c r="L11" i="8"/>
  <c r="K11" i="8"/>
  <c r="H11" i="8"/>
  <c r="B11" i="8"/>
  <c r="A11" i="8"/>
  <c r="N10" i="8"/>
  <c r="Q10" i="8" s="1"/>
  <c r="M10" i="8"/>
  <c r="L10" i="8"/>
  <c r="K10" i="8"/>
  <c r="H10" i="8"/>
  <c r="B10" i="8"/>
  <c r="A10" i="8"/>
  <c r="Q9" i="8"/>
  <c r="N9" i="8"/>
  <c r="M9" i="8"/>
  <c r="L9" i="8"/>
  <c r="K9" i="8"/>
  <c r="H9" i="8"/>
  <c r="B9" i="8"/>
  <c r="A9" i="8"/>
  <c r="Q8" i="8"/>
  <c r="N8" i="8"/>
  <c r="M8" i="8"/>
  <c r="L8" i="8"/>
  <c r="K8" i="8"/>
  <c r="H8" i="8"/>
  <c r="B8" i="8"/>
  <c r="A8" i="8"/>
  <c r="N7" i="8"/>
  <c r="Q7" i="8" s="1"/>
  <c r="M7" i="8"/>
  <c r="L7" i="8"/>
  <c r="K7" i="8"/>
  <c r="H7" i="8"/>
  <c r="B7" i="8"/>
  <c r="A7" i="8"/>
  <c r="Q6" i="8"/>
  <c r="N6" i="8"/>
  <c r="M6" i="8"/>
  <c r="L6" i="8"/>
  <c r="K6" i="8"/>
  <c r="H6" i="8"/>
  <c r="B6" i="8"/>
  <c r="A6" i="8"/>
  <c r="Q5" i="8"/>
  <c r="N5" i="8"/>
  <c r="M5" i="8"/>
  <c r="L5" i="8"/>
  <c r="K5" i="8"/>
  <c r="H5" i="8"/>
  <c r="B5" i="8"/>
  <c r="A5" i="8"/>
  <c r="N4" i="8"/>
  <c r="Q4" i="8" s="1"/>
  <c r="M4" i="8"/>
  <c r="L4" i="8"/>
  <c r="K4" i="8"/>
  <c r="H4" i="8"/>
  <c r="B4" i="8"/>
  <c r="A4" i="8"/>
  <c r="N3" i="8"/>
  <c r="Q3" i="8" s="1"/>
  <c r="M3" i="8"/>
  <c r="L3" i="8"/>
  <c r="K3" i="8"/>
  <c r="H3" i="8"/>
  <c r="B3" i="8"/>
  <c r="A3" i="8"/>
  <c r="A62" i="7"/>
  <c r="AS60" i="7"/>
  <c r="AP60" i="7"/>
  <c r="AK60" i="7"/>
  <c r="AJ60" i="7"/>
  <c r="AI60" i="7"/>
  <c r="AG60" i="7"/>
  <c r="AF60" i="7"/>
  <c r="AE60" i="7"/>
  <c r="X60" i="7"/>
  <c r="O60" i="7"/>
  <c r="N60" i="7"/>
  <c r="AH60" i="7" s="1"/>
  <c r="AS59" i="7"/>
  <c r="AP59" i="7"/>
  <c r="AK59" i="7"/>
  <c r="AJ59" i="7"/>
  <c r="AI59" i="7"/>
  <c r="AF59" i="7"/>
  <c r="AG59" i="7" s="1"/>
  <c r="AE59" i="7"/>
  <c r="X59" i="7"/>
  <c r="O59" i="7"/>
  <c r="N59" i="7"/>
  <c r="AH59" i="7" s="1"/>
  <c r="AS58" i="7"/>
  <c r="AP58" i="7"/>
  <c r="AK58" i="7"/>
  <c r="AJ58" i="7"/>
  <c r="AI58" i="7"/>
  <c r="AG58" i="7"/>
  <c r="AF58" i="7"/>
  <c r="AE58" i="7"/>
  <c r="X58" i="7"/>
  <c r="O58" i="7"/>
  <c r="N58" i="7"/>
  <c r="AH58" i="7" s="1"/>
  <c r="AS57" i="7"/>
  <c r="AP57" i="7"/>
  <c r="AK57" i="7"/>
  <c r="AJ57" i="7"/>
  <c r="AI57" i="7"/>
  <c r="AF57" i="7"/>
  <c r="AG57" i="7" s="1"/>
  <c r="AE57" i="7"/>
  <c r="X57" i="7"/>
  <c r="O57" i="7"/>
  <c r="N57" i="7"/>
  <c r="AH57" i="7" s="1"/>
  <c r="AS56" i="7"/>
  <c r="AP56" i="7"/>
  <c r="AK56" i="7"/>
  <c r="AJ56" i="7"/>
  <c r="AI56" i="7"/>
  <c r="AF56" i="7"/>
  <c r="AG56" i="7" s="1"/>
  <c r="AE56" i="7"/>
  <c r="X56" i="7"/>
  <c r="O56" i="7"/>
  <c r="N56" i="7"/>
  <c r="AH56" i="7" s="1"/>
  <c r="AS55" i="7"/>
  <c r="AP55" i="7"/>
  <c r="AK55" i="7"/>
  <c r="AJ55" i="7"/>
  <c r="AI55" i="7"/>
  <c r="AH55" i="7"/>
  <c r="AF55" i="7"/>
  <c r="AG55" i="7" s="1"/>
  <c r="AE55" i="7"/>
  <c r="X55" i="7"/>
  <c r="O55" i="7"/>
  <c r="N55" i="7"/>
  <c r="AS54" i="7"/>
  <c r="AP54" i="7"/>
  <c r="AK54" i="7"/>
  <c r="AJ54" i="7"/>
  <c r="AI54" i="7"/>
  <c r="AG54" i="7"/>
  <c r="AF54" i="7"/>
  <c r="AE54" i="7"/>
  <c r="X54" i="7"/>
  <c r="O54" i="7"/>
  <c r="N54" i="7"/>
  <c r="AH54" i="7" s="1"/>
  <c r="AS53" i="7"/>
  <c r="AP53" i="7"/>
  <c r="AK53" i="7"/>
  <c r="AJ53" i="7"/>
  <c r="AI53" i="7"/>
  <c r="AH53" i="7"/>
  <c r="AF53" i="7"/>
  <c r="AG53" i="7" s="1"/>
  <c r="AE53" i="7"/>
  <c r="X53" i="7"/>
  <c r="O53" i="7"/>
  <c r="N53" i="7"/>
  <c r="AS52" i="7"/>
  <c r="AP52" i="7"/>
  <c r="AK52" i="7"/>
  <c r="AJ52" i="7"/>
  <c r="AI52" i="7"/>
  <c r="AG52" i="7"/>
  <c r="AF52" i="7"/>
  <c r="AE52" i="7"/>
  <c r="X52" i="7"/>
  <c r="O52" i="7"/>
  <c r="N52" i="7"/>
  <c r="AH52" i="7" s="1"/>
  <c r="AS51" i="7"/>
  <c r="AP51" i="7"/>
  <c r="AK51" i="7"/>
  <c r="J50" i="6" s="1"/>
  <c r="AJ51" i="7"/>
  <c r="AI51" i="7"/>
  <c r="H50" i="6" s="1"/>
  <c r="AE51" i="7"/>
  <c r="X51" i="7"/>
  <c r="O51" i="7"/>
  <c r="AF51" i="7" s="1"/>
  <c r="E50" i="6" s="1"/>
  <c r="N51" i="7"/>
  <c r="D50" i="6" s="1"/>
  <c r="AS50" i="7"/>
  <c r="AP50" i="7"/>
  <c r="AK50" i="7"/>
  <c r="J49" i="6" s="1"/>
  <c r="AJ50" i="7"/>
  <c r="I49" i="6" s="1"/>
  <c r="AI50" i="7"/>
  <c r="AE50" i="7"/>
  <c r="X50" i="7"/>
  <c r="O50" i="7"/>
  <c r="AF50" i="7" s="1"/>
  <c r="N50" i="7"/>
  <c r="AS49" i="7"/>
  <c r="AP49" i="7"/>
  <c r="AK49" i="7"/>
  <c r="AJ49" i="7"/>
  <c r="AI49" i="7"/>
  <c r="AF49" i="7"/>
  <c r="AE49" i="7"/>
  <c r="X49" i="7"/>
  <c r="O49" i="7"/>
  <c r="N49" i="7"/>
  <c r="AH49" i="7" s="1"/>
  <c r="G48" i="6" s="1"/>
  <c r="AS48" i="7"/>
  <c r="AP48" i="7"/>
  <c r="AK48" i="7"/>
  <c r="J47" i="6" s="1"/>
  <c r="AJ48" i="7"/>
  <c r="I47" i="6" s="1"/>
  <c r="AI48" i="7"/>
  <c r="AG48" i="7"/>
  <c r="F47" i="6" s="1"/>
  <c r="AF48" i="7"/>
  <c r="AE48" i="7"/>
  <c r="X48" i="7"/>
  <c r="O48" i="7"/>
  <c r="N48" i="7"/>
  <c r="AH48" i="7" s="1"/>
  <c r="G47" i="6" s="1"/>
  <c r="AS47" i="7"/>
  <c r="AP47" i="7"/>
  <c r="AK47" i="7"/>
  <c r="AJ47" i="7"/>
  <c r="AI47" i="7"/>
  <c r="E47" i="8" s="1"/>
  <c r="AE47" i="7"/>
  <c r="X47" i="7"/>
  <c r="AF47" i="7" s="1"/>
  <c r="O47" i="7"/>
  <c r="N47" i="7"/>
  <c r="AH47" i="7" s="1"/>
  <c r="AS46" i="7"/>
  <c r="AP46" i="7"/>
  <c r="AK46" i="7"/>
  <c r="J45" i="6" s="1"/>
  <c r="AJ46" i="7"/>
  <c r="I45" i="6" s="1"/>
  <c r="AI46" i="7"/>
  <c r="E46" i="8" s="1"/>
  <c r="AF46" i="7"/>
  <c r="E45" i="6" s="1"/>
  <c r="AE46" i="7"/>
  <c r="X46" i="7"/>
  <c r="O46" i="7"/>
  <c r="N46" i="7"/>
  <c r="AS45" i="7"/>
  <c r="AP45" i="7"/>
  <c r="AK45" i="7"/>
  <c r="J44" i="6" s="1"/>
  <c r="AJ45" i="7"/>
  <c r="AI45" i="7"/>
  <c r="E45" i="8" s="1"/>
  <c r="AF45" i="7"/>
  <c r="AE45" i="7"/>
  <c r="X45" i="7"/>
  <c r="O45" i="7"/>
  <c r="N45" i="7"/>
  <c r="AH45" i="7" s="1"/>
  <c r="G44" i="6" s="1"/>
  <c r="AS44" i="7"/>
  <c r="AP44" i="7"/>
  <c r="AK44" i="7"/>
  <c r="J43" i="6" s="1"/>
  <c r="AJ44" i="7"/>
  <c r="I43" i="6" s="1"/>
  <c r="AI44" i="7"/>
  <c r="E44" i="8" s="1"/>
  <c r="AG44" i="7"/>
  <c r="C44" i="8" s="1"/>
  <c r="AF44" i="7"/>
  <c r="AE44" i="7"/>
  <c r="X44" i="7"/>
  <c r="O44" i="7"/>
  <c r="N44" i="7"/>
  <c r="AH44" i="7" s="1"/>
  <c r="AS43" i="7"/>
  <c r="AP43" i="7"/>
  <c r="AK43" i="7"/>
  <c r="J42" i="6" s="1"/>
  <c r="AJ43" i="7"/>
  <c r="AI43" i="7"/>
  <c r="E43" i="8" s="1"/>
  <c r="AF43" i="7"/>
  <c r="AE43" i="7"/>
  <c r="X43" i="7"/>
  <c r="O43" i="7"/>
  <c r="N43" i="7"/>
  <c r="D42" i="6" s="1"/>
  <c r="AS42" i="7"/>
  <c r="AP42" i="7"/>
  <c r="AK42" i="7"/>
  <c r="AJ42" i="7"/>
  <c r="I41" i="6" s="1"/>
  <c r="AI42" i="7"/>
  <c r="E42" i="8" s="1"/>
  <c r="AF42" i="7"/>
  <c r="AG42" i="7" s="1"/>
  <c r="C42" i="8" s="1"/>
  <c r="AE42" i="7"/>
  <c r="X42" i="7"/>
  <c r="O42" i="7"/>
  <c r="N42" i="7"/>
  <c r="AS41" i="7"/>
  <c r="AP41" i="7"/>
  <c r="AK41" i="7"/>
  <c r="J40" i="6" s="1"/>
  <c r="AJ41" i="7"/>
  <c r="I40" i="6" s="1"/>
  <c r="AI41" i="7"/>
  <c r="E41" i="8" s="1"/>
  <c r="AF41" i="7"/>
  <c r="AE41" i="7"/>
  <c r="X41" i="7"/>
  <c r="O41" i="7"/>
  <c r="N41" i="7"/>
  <c r="AH41" i="7" s="1"/>
  <c r="G40" i="6" s="1"/>
  <c r="AS40" i="7"/>
  <c r="AP40" i="7"/>
  <c r="AK40" i="7"/>
  <c r="J39" i="6" s="1"/>
  <c r="AJ40" i="7"/>
  <c r="I39" i="6" s="1"/>
  <c r="AI40" i="7"/>
  <c r="AG40" i="7"/>
  <c r="C40" i="8" s="1"/>
  <c r="AF40" i="7"/>
  <c r="E39" i="6" s="1"/>
  <c r="AE40" i="7"/>
  <c r="X40" i="7"/>
  <c r="O40" i="7"/>
  <c r="N40" i="7"/>
  <c r="AH40" i="7" s="1"/>
  <c r="AS39" i="7"/>
  <c r="AP39" i="7"/>
  <c r="AK39" i="7"/>
  <c r="J38" i="6" s="1"/>
  <c r="AJ39" i="7"/>
  <c r="AI39" i="7"/>
  <c r="E39" i="8" s="1"/>
  <c r="AF39" i="7"/>
  <c r="AE39" i="7"/>
  <c r="X39" i="7"/>
  <c r="O39" i="7"/>
  <c r="N39" i="7"/>
  <c r="AH39" i="7" s="1"/>
  <c r="AS38" i="7"/>
  <c r="AP38" i="7"/>
  <c r="AK38" i="7"/>
  <c r="J37" i="6" s="1"/>
  <c r="AJ38" i="7"/>
  <c r="I37" i="6" s="1"/>
  <c r="AI38" i="7"/>
  <c r="E38" i="8" s="1"/>
  <c r="AG38" i="7"/>
  <c r="C38" i="8" s="1"/>
  <c r="AF38" i="7"/>
  <c r="AE38" i="7"/>
  <c r="X38" i="7"/>
  <c r="O38" i="7"/>
  <c r="N38" i="7"/>
  <c r="AS37" i="7"/>
  <c r="AP37" i="7"/>
  <c r="AK37" i="7"/>
  <c r="J36" i="6" s="1"/>
  <c r="AJ37" i="7"/>
  <c r="AI37" i="7"/>
  <c r="E37" i="8" s="1"/>
  <c r="AF37" i="7"/>
  <c r="AE37" i="7"/>
  <c r="X37" i="7"/>
  <c r="O37" i="7"/>
  <c r="N37" i="7"/>
  <c r="D36" i="6" s="1"/>
  <c r="AS36" i="7"/>
  <c r="AP36" i="7"/>
  <c r="AK36" i="7"/>
  <c r="J35" i="6" s="1"/>
  <c r="AJ36" i="7"/>
  <c r="I35" i="6" s="1"/>
  <c r="AI36" i="7"/>
  <c r="E36" i="8" s="1"/>
  <c r="AG36" i="7"/>
  <c r="C36" i="8" s="1"/>
  <c r="AF36" i="7"/>
  <c r="AE36" i="7"/>
  <c r="X36" i="7"/>
  <c r="O36" i="7"/>
  <c r="N36" i="7"/>
  <c r="AH36" i="7" s="1"/>
  <c r="AS35" i="7"/>
  <c r="AP35" i="7"/>
  <c r="AK35" i="7"/>
  <c r="J34" i="6" s="1"/>
  <c r="AJ35" i="7"/>
  <c r="I34" i="6" s="1"/>
  <c r="AI35" i="7"/>
  <c r="E35" i="8" s="1"/>
  <c r="AF35" i="7"/>
  <c r="AE35" i="7"/>
  <c r="X35" i="7"/>
  <c r="O35" i="7"/>
  <c r="N35" i="7"/>
  <c r="D34" i="6" s="1"/>
  <c r="AS34" i="7"/>
  <c r="AP34" i="7"/>
  <c r="AK34" i="7"/>
  <c r="AJ34" i="7"/>
  <c r="I33" i="6" s="1"/>
  <c r="AI34" i="7"/>
  <c r="E34" i="8" s="1"/>
  <c r="AF34" i="7"/>
  <c r="AG34" i="7" s="1"/>
  <c r="C34" i="8" s="1"/>
  <c r="AE34" i="7"/>
  <c r="X34" i="7"/>
  <c r="O34" i="7"/>
  <c r="N34" i="7"/>
  <c r="AS33" i="7"/>
  <c r="AP33" i="7"/>
  <c r="AK33" i="7"/>
  <c r="AJ33" i="7"/>
  <c r="I32" i="6" s="1"/>
  <c r="AI33" i="7"/>
  <c r="E33" i="8" s="1"/>
  <c r="AF33" i="7"/>
  <c r="AE33" i="7"/>
  <c r="X33" i="7"/>
  <c r="O33" i="7"/>
  <c r="N33" i="7"/>
  <c r="AH33" i="7" s="1"/>
  <c r="AS32" i="7"/>
  <c r="AP32" i="7"/>
  <c r="AK32" i="7"/>
  <c r="J31" i="6" s="1"/>
  <c r="AJ32" i="7"/>
  <c r="I31" i="6" s="1"/>
  <c r="AI32" i="7"/>
  <c r="AG32" i="7"/>
  <c r="C32" i="8" s="1"/>
  <c r="AF32" i="7"/>
  <c r="AE32" i="7"/>
  <c r="X32" i="7"/>
  <c r="O32" i="7"/>
  <c r="N32" i="7"/>
  <c r="AH32" i="7" s="1"/>
  <c r="AS31" i="7"/>
  <c r="AP31" i="7"/>
  <c r="AK31" i="7"/>
  <c r="J30" i="6" s="1"/>
  <c r="AJ31" i="7"/>
  <c r="AI31" i="7"/>
  <c r="E31" i="8" s="1"/>
  <c r="AF31" i="7"/>
  <c r="AE31" i="7"/>
  <c r="X31" i="7"/>
  <c r="O31" i="7"/>
  <c r="N31" i="7"/>
  <c r="AH31" i="7" s="1"/>
  <c r="AS30" i="7"/>
  <c r="AP30" i="7"/>
  <c r="AK30" i="7"/>
  <c r="J29" i="6" s="1"/>
  <c r="AJ30" i="7"/>
  <c r="I29" i="6" s="1"/>
  <c r="AI30" i="7"/>
  <c r="E30" i="8" s="1"/>
  <c r="AH30" i="7"/>
  <c r="AF30" i="7"/>
  <c r="AG30" i="7" s="1"/>
  <c r="AE30" i="7"/>
  <c r="X30" i="7"/>
  <c r="O30" i="7"/>
  <c r="N30" i="7"/>
  <c r="D29" i="6" s="1"/>
  <c r="AS29" i="7"/>
  <c r="AP29" i="7"/>
  <c r="AK29" i="7"/>
  <c r="J28" i="6" s="1"/>
  <c r="AJ29" i="7"/>
  <c r="AI29" i="7"/>
  <c r="E29" i="8" s="1"/>
  <c r="AF29" i="7"/>
  <c r="AG29" i="7" s="1"/>
  <c r="C29" i="8" s="1"/>
  <c r="AE29" i="7"/>
  <c r="X29" i="7"/>
  <c r="O29" i="7"/>
  <c r="N29" i="7"/>
  <c r="D28" i="6" s="1"/>
  <c r="AS28" i="7"/>
  <c r="AP28" i="7"/>
  <c r="AK28" i="7"/>
  <c r="J27" i="6" s="1"/>
  <c r="AJ28" i="7"/>
  <c r="I27" i="6" s="1"/>
  <c r="AI28" i="7"/>
  <c r="E28" i="8" s="1"/>
  <c r="AH28" i="7"/>
  <c r="D28" i="8" s="1"/>
  <c r="AF28" i="7"/>
  <c r="AG28" i="7" s="1"/>
  <c r="C28" i="8" s="1"/>
  <c r="AE28" i="7"/>
  <c r="X28" i="7"/>
  <c r="O28" i="7"/>
  <c r="N28" i="7"/>
  <c r="AS27" i="7"/>
  <c r="AP27" i="7"/>
  <c r="AK27" i="7"/>
  <c r="J26" i="6" s="1"/>
  <c r="AJ27" i="7"/>
  <c r="AI27" i="7"/>
  <c r="H26" i="6" s="1"/>
  <c r="AF27" i="7"/>
  <c r="E26" i="6" s="1"/>
  <c r="AE27" i="7"/>
  <c r="X27" i="7"/>
  <c r="O27" i="7"/>
  <c r="N27" i="7"/>
  <c r="AH27" i="7" s="1"/>
  <c r="G26" i="6" s="1"/>
  <c r="AS26" i="7"/>
  <c r="AP26" i="7"/>
  <c r="AK26" i="7"/>
  <c r="J25" i="6" s="1"/>
  <c r="AJ26" i="7"/>
  <c r="I25" i="6" s="1"/>
  <c r="AI26" i="7"/>
  <c r="E26" i="8" s="1"/>
  <c r="AF26" i="7"/>
  <c r="AG26" i="7" s="1"/>
  <c r="C26" i="8" s="1"/>
  <c r="AE26" i="7"/>
  <c r="X26" i="7"/>
  <c r="O26" i="7"/>
  <c r="N26" i="7"/>
  <c r="AH26" i="7" s="1"/>
  <c r="AS25" i="7"/>
  <c r="AP25" i="7"/>
  <c r="AK25" i="7"/>
  <c r="AJ25" i="7"/>
  <c r="AI25" i="7"/>
  <c r="E25" i="8" s="1"/>
  <c r="AF25" i="7"/>
  <c r="AG25" i="7" s="1"/>
  <c r="C25" i="8" s="1"/>
  <c r="AE25" i="7"/>
  <c r="X25" i="7"/>
  <c r="O25" i="7"/>
  <c r="N25" i="7"/>
  <c r="AH25" i="7" s="1"/>
  <c r="AS24" i="7"/>
  <c r="AP24" i="7"/>
  <c r="AK24" i="7"/>
  <c r="J23" i="6" s="1"/>
  <c r="AJ24" i="7"/>
  <c r="I23" i="6" s="1"/>
  <c r="AI24" i="7"/>
  <c r="E24" i="8" s="1"/>
  <c r="AF24" i="7"/>
  <c r="AG24" i="7" s="1"/>
  <c r="C24" i="8" s="1"/>
  <c r="AE24" i="7"/>
  <c r="X24" i="7"/>
  <c r="O24" i="7"/>
  <c r="N24" i="7"/>
  <c r="AH24" i="7" s="1"/>
  <c r="AS23" i="7"/>
  <c r="AP23" i="7"/>
  <c r="AK23" i="7"/>
  <c r="AJ23" i="7"/>
  <c r="AI23" i="7"/>
  <c r="E23" i="8" s="1"/>
  <c r="AF23" i="7"/>
  <c r="E22" i="6" s="1"/>
  <c r="AE23" i="7"/>
  <c r="X23" i="7"/>
  <c r="O23" i="7"/>
  <c r="N23" i="7"/>
  <c r="AH23" i="7" s="1"/>
  <c r="AS22" i="7"/>
  <c r="AP22" i="7"/>
  <c r="AK22" i="7"/>
  <c r="J21" i="6" s="1"/>
  <c r="AJ22" i="7"/>
  <c r="I21" i="6" s="1"/>
  <c r="AI22" i="7"/>
  <c r="E22" i="8" s="1"/>
  <c r="AH22" i="7"/>
  <c r="AF22" i="7"/>
  <c r="AG22" i="7" s="1"/>
  <c r="C22" i="8" s="1"/>
  <c r="AE22" i="7"/>
  <c r="X22" i="7"/>
  <c r="O22" i="7"/>
  <c r="N22" i="7"/>
  <c r="AS21" i="7"/>
  <c r="AP21" i="7"/>
  <c r="AK21" i="7"/>
  <c r="AJ21" i="7"/>
  <c r="I20" i="6" s="1"/>
  <c r="AI21" i="7"/>
  <c r="E21" i="8" s="1"/>
  <c r="AF21" i="7"/>
  <c r="AG21" i="7" s="1"/>
  <c r="AE21" i="7"/>
  <c r="X21" i="7"/>
  <c r="O21" i="7"/>
  <c r="N21" i="7"/>
  <c r="AH21" i="7" s="1"/>
  <c r="G20" i="6" s="1"/>
  <c r="AS20" i="7"/>
  <c r="AP20" i="7"/>
  <c r="AK20" i="7"/>
  <c r="J19" i="6" s="1"/>
  <c r="AJ20" i="7"/>
  <c r="I19" i="6" s="1"/>
  <c r="AI20" i="7"/>
  <c r="E20" i="8" s="1"/>
  <c r="AE20" i="7"/>
  <c r="X20" i="7"/>
  <c r="O20" i="7"/>
  <c r="N20" i="7"/>
  <c r="AH20" i="7" s="1"/>
  <c r="AS19" i="7"/>
  <c r="AP19" i="7"/>
  <c r="AK19" i="7"/>
  <c r="J18" i="6" s="1"/>
  <c r="AJ19" i="7"/>
  <c r="AI19" i="7"/>
  <c r="E19" i="8" s="1"/>
  <c r="AH19" i="7"/>
  <c r="G18" i="6" s="1"/>
  <c r="AF19" i="7"/>
  <c r="E18" i="6" s="1"/>
  <c r="AE19" i="7"/>
  <c r="X19" i="7"/>
  <c r="O19" i="7"/>
  <c r="N19" i="7"/>
  <c r="AS18" i="7"/>
  <c r="AP18" i="7"/>
  <c r="AK18" i="7"/>
  <c r="J17" i="6" s="1"/>
  <c r="AJ18" i="7"/>
  <c r="I17" i="6" s="1"/>
  <c r="AI18" i="7"/>
  <c r="E18" i="8" s="1"/>
  <c r="AE18" i="7"/>
  <c r="X18" i="7"/>
  <c r="O18" i="7"/>
  <c r="AF18" i="7" s="1"/>
  <c r="N18" i="7"/>
  <c r="AH18" i="7" s="1"/>
  <c r="AS17" i="7"/>
  <c r="AP17" i="7"/>
  <c r="AK17" i="7"/>
  <c r="J16" i="6" s="1"/>
  <c r="AJ17" i="7"/>
  <c r="AI17" i="7"/>
  <c r="E17" i="8" s="1"/>
  <c r="AH17" i="7"/>
  <c r="G16" i="6" s="1"/>
  <c r="AE17" i="7"/>
  <c r="X17" i="7"/>
  <c r="O17" i="7"/>
  <c r="N17" i="7"/>
  <c r="AS16" i="7"/>
  <c r="AP16" i="7"/>
  <c r="AK16" i="7"/>
  <c r="J15" i="6" s="1"/>
  <c r="AJ16" i="7"/>
  <c r="I15" i="6" s="1"/>
  <c r="AI16" i="7"/>
  <c r="E16" i="8" s="1"/>
  <c r="AE16" i="7"/>
  <c r="X16" i="7"/>
  <c r="O16" i="7"/>
  <c r="N16" i="7"/>
  <c r="AH16" i="7" s="1"/>
  <c r="G15" i="6" s="1"/>
  <c r="AS15" i="7"/>
  <c r="AP15" i="7"/>
  <c r="AK15" i="7"/>
  <c r="AJ15" i="7"/>
  <c r="AI15" i="7"/>
  <c r="E15" i="8" s="1"/>
  <c r="AE15" i="7"/>
  <c r="X15" i="7"/>
  <c r="O15" i="7"/>
  <c r="N15" i="7"/>
  <c r="AH15" i="7" s="1"/>
  <c r="AS14" i="7"/>
  <c r="AP14" i="7"/>
  <c r="AK14" i="7"/>
  <c r="J13" i="6" s="1"/>
  <c r="AJ14" i="7"/>
  <c r="I13" i="6" s="1"/>
  <c r="AI14" i="7"/>
  <c r="H13" i="6" s="1"/>
  <c r="AH14" i="7"/>
  <c r="AE14" i="7"/>
  <c r="X14" i="7"/>
  <c r="O14" i="7"/>
  <c r="AF14" i="7" s="1"/>
  <c r="N14" i="7"/>
  <c r="AS13" i="7"/>
  <c r="AP13" i="7"/>
  <c r="AK13" i="7"/>
  <c r="J12" i="6" s="1"/>
  <c r="AJ13" i="7"/>
  <c r="AI13" i="7"/>
  <c r="E13" i="8" s="1"/>
  <c r="AH13" i="7"/>
  <c r="G12" i="6" s="1"/>
  <c r="AE13" i="7"/>
  <c r="X13" i="7"/>
  <c r="O13" i="7"/>
  <c r="N13" i="7"/>
  <c r="AS12" i="7"/>
  <c r="AP12" i="7"/>
  <c r="AK12" i="7"/>
  <c r="J11" i="6" s="1"/>
  <c r="AJ12" i="7"/>
  <c r="I11" i="6" s="1"/>
  <c r="AI12" i="7"/>
  <c r="E12" i="8" s="1"/>
  <c r="AE12" i="7"/>
  <c r="X12" i="7"/>
  <c r="O12" i="7"/>
  <c r="N12" i="7"/>
  <c r="AH12" i="7" s="1"/>
  <c r="AS11" i="7"/>
  <c r="AP11" i="7"/>
  <c r="AK11" i="7"/>
  <c r="J10" i="6" s="1"/>
  <c r="AJ11" i="7"/>
  <c r="AI11" i="7"/>
  <c r="H10" i="6" s="1"/>
  <c r="AF11" i="7"/>
  <c r="E10" i="6" s="1"/>
  <c r="AE11" i="7"/>
  <c r="X11" i="7"/>
  <c r="O11" i="7"/>
  <c r="N11" i="7"/>
  <c r="D10" i="6" s="1"/>
  <c r="AS10" i="7"/>
  <c r="AP10" i="7"/>
  <c r="AK10" i="7"/>
  <c r="J9" i="6" s="1"/>
  <c r="AJ10" i="7"/>
  <c r="I9" i="6" s="1"/>
  <c r="AI10" i="7"/>
  <c r="E10" i="8" s="1"/>
  <c r="AF10" i="7"/>
  <c r="AG10" i="7" s="1"/>
  <c r="AE10" i="7"/>
  <c r="X10" i="7"/>
  <c r="O10" i="7"/>
  <c r="N10" i="7"/>
  <c r="AS9" i="7"/>
  <c r="AP9" i="7"/>
  <c r="AK9" i="7"/>
  <c r="J8" i="6" s="1"/>
  <c r="AJ9" i="7"/>
  <c r="I8" i="6" s="1"/>
  <c r="AI9" i="7"/>
  <c r="E9" i="8" s="1"/>
  <c r="AF9" i="7"/>
  <c r="AE9" i="7"/>
  <c r="X9" i="7"/>
  <c r="O9" i="7"/>
  <c r="N9" i="7"/>
  <c r="AH9" i="7" s="1"/>
  <c r="G8" i="6" s="1"/>
  <c r="AS8" i="7"/>
  <c r="AP8" i="7"/>
  <c r="AK8" i="7"/>
  <c r="J7" i="6" s="1"/>
  <c r="AJ8" i="7"/>
  <c r="I7" i="6" s="1"/>
  <c r="AI8" i="7"/>
  <c r="E8" i="8" s="1"/>
  <c r="AE8" i="7"/>
  <c r="X8" i="7"/>
  <c r="O8" i="7"/>
  <c r="N8" i="7"/>
  <c r="AH8" i="7" s="1"/>
  <c r="AS7" i="7"/>
  <c r="AP7" i="7"/>
  <c r="AK7" i="7"/>
  <c r="J6" i="6" s="1"/>
  <c r="AJ7" i="7"/>
  <c r="AI7" i="7"/>
  <c r="E7" i="8" s="1"/>
  <c r="AH7" i="7"/>
  <c r="AE7" i="7"/>
  <c r="X7" i="7"/>
  <c r="O7" i="7"/>
  <c r="N7" i="7"/>
  <c r="AS6" i="7"/>
  <c r="AP6" i="7"/>
  <c r="AK6" i="7"/>
  <c r="J5" i="6" s="1"/>
  <c r="AJ6" i="7"/>
  <c r="I5" i="6" s="1"/>
  <c r="AI6" i="7"/>
  <c r="E6" i="8" s="1"/>
  <c r="AH6" i="7"/>
  <c r="AE6" i="7"/>
  <c r="X6" i="7"/>
  <c r="O6" i="7"/>
  <c r="N6" i="7"/>
  <c r="AS5" i="7"/>
  <c r="AP5" i="7"/>
  <c r="AK5" i="7"/>
  <c r="AJ5" i="7"/>
  <c r="I4" i="6" s="1"/>
  <c r="AI5" i="7"/>
  <c r="E5" i="8" s="1"/>
  <c r="AF5" i="7"/>
  <c r="E4" i="6" s="1"/>
  <c r="AE5" i="7"/>
  <c r="X5" i="7"/>
  <c r="O5" i="7"/>
  <c r="N5" i="7"/>
  <c r="AH5" i="7" s="1"/>
  <c r="AS4" i="7"/>
  <c r="AP4" i="7"/>
  <c r="AK4" i="7"/>
  <c r="J3" i="6" s="1"/>
  <c r="AJ4" i="7"/>
  <c r="I3" i="6" s="1"/>
  <c r="AI4" i="7"/>
  <c r="E4" i="8" s="1"/>
  <c r="AE4" i="7"/>
  <c r="X4" i="7"/>
  <c r="O4" i="7"/>
  <c r="N4" i="7"/>
  <c r="AH4" i="7" s="1"/>
  <c r="D4" i="8" s="1"/>
  <c r="AS3" i="7"/>
  <c r="AP3" i="7"/>
  <c r="AK3" i="7"/>
  <c r="J2" i="6" s="1"/>
  <c r="AJ3" i="7"/>
  <c r="AI3" i="7"/>
  <c r="E3" i="8" s="1"/>
  <c r="AE3" i="7"/>
  <c r="X3" i="7"/>
  <c r="O3" i="7"/>
  <c r="AF3" i="7" s="1"/>
  <c r="N3" i="7"/>
  <c r="D2" i="6" s="1"/>
  <c r="I50" i="6"/>
  <c r="C50" i="6"/>
  <c r="B50" i="6"/>
  <c r="A50" i="6"/>
  <c r="H49" i="6"/>
  <c r="C49" i="6"/>
  <c r="B49" i="6"/>
  <c r="A49" i="6"/>
  <c r="J48" i="6"/>
  <c r="I48" i="6"/>
  <c r="H48" i="6"/>
  <c r="D48" i="6"/>
  <c r="C48" i="6"/>
  <c r="B48" i="6"/>
  <c r="A48" i="6"/>
  <c r="H47" i="6"/>
  <c r="E47" i="6"/>
  <c r="D47" i="6"/>
  <c r="C47" i="6"/>
  <c r="B47" i="6"/>
  <c r="A47" i="6"/>
  <c r="J46" i="6"/>
  <c r="I46" i="6"/>
  <c r="H46" i="6"/>
  <c r="D46" i="6"/>
  <c r="C46" i="6"/>
  <c r="B46" i="6"/>
  <c r="A46" i="6"/>
  <c r="H45" i="6"/>
  <c r="C45" i="6"/>
  <c r="B45" i="6"/>
  <c r="A45" i="6"/>
  <c r="I44" i="6"/>
  <c r="D44" i="6"/>
  <c r="C44" i="6"/>
  <c r="B44" i="6"/>
  <c r="A44" i="6"/>
  <c r="H43" i="6"/>
  <c r="E43" i="6"/>
  <c r="C43" i="6"/>
  <c r="B43" i="6"/>
  <c r="A43" i="6"/>
  <c r="I42" i="6"/>
  <c r="H42" i="6"/>
  <c r="C42" i="6"/>
  <c r="B42" i="6"/>
  <c r="A42" i="6"/>
  <c r="J41" i="6"/>
  <c r="H41" i="6"/>
  <c r="E41" i="6"/>
  <c r="C41" i="6"/>
  <c r="B41" i="6"/>
  <c r="A41" i="6"/>
  <c r="C40" i="6"/>
  <c r="B40" i="6"/>
  <c r="A40" i="6"/>
  <c r="H39" i="6"/>
  <c r="D39" i="6"/>
  <c r="C39" i="6"/>
  <c r="B39" i="6"/>
  <c r="A39" i="6"/>
  <c r="I38" i="6"/>
  <c r="H38" i="6"/>
  <c r="D38" i="6"/>
  <c r="C38" i="6"/>
  <c r="B38" i="6"/>
  <c r="A38" i="6"/>
  <c r="H37" i="6"/>
  <c r="E37" i="6"/>
  <c r="C37" i="6"/>
  <c r="B37" i="6"/>
  <c r="A37" i="6"/>
  <c r="I36" i="6"/>
  <c r="C36" i="6"/>
  <c r="B36" i="6"/>
  <c r="A36" i="6"/>
  <c r="E35" i="6"/>
  <c r="C35" i="6"/>
  <c r="B35" i="6"/>
  <c r="A35" i="6"/>
  <c r="C34" i="6"/>
  <c r="B34" i="6"/>
  <c r="A34" i="6"/>
  <c r="J33" i="6"/>
  <c r="H33" i="6"/>
  <c r="E33" i="6"/>
  <c r="C33" i="6"/>
  <c r="B33" i="6"/>
  <c r="A33" i="6"/>
  <c r="J32" i="6"/>
  <c r="H32" i="6"/>
  <c r="D32" i="6"/>
  <c r="C32" i="6"/>
  <c r="B32" i="6"/>
  <c r="A32" i="6"/>
  <c r="H31" i="6"/>
  <c r="F31" i="6"/>
  <c r="E31" i="6"/>
  <c r="D31" i="6"/>
  <c r="C31" i="6"/>
  <c r="B31" i="6"/>
  <c r="A31" i="6"/>
  <c r="I30" i="6"/>
  <c r="C30" i="6"/>
  <c r="B30" i="6"/>
  <c r="A30" i="6"/>
  <c r="H29" i="6"/>
  <c r="C29" i="6"/>
  <c r="B29" i="6"/>
  <c r="A29" i="6"/>
  <c r="I28" i="6"/>
  <c r="E28" i="6"/>
  <c r="C28" i="6"/>
  <c r="B28" i="6"/>
  <c r="A28" i="6"/>
  <c r="F27" i="6"/>
  <c r="E27" i="6"/>
  <c r="D27" i="6"/>
  <c r="C27" i="6"/>
  <c r="B27" i="6"/>
  <c r="A27" i="6"/>
  <c r="I26" i="6"/>
  <c r="D26" i="6"/>
  <c r="C26" i="6"/>
  <c r="B26" i="6"/>
  <c r="A26" i="6"/>
  <c r="H25" i="6"/>
  <c r="D25" i="6"/>
  <c r="C25" i="6"/>
  <c r="B25" i="6"/>
  <c r="A25" i="6"/>
  <c r="J24" i="6"/>
  <c r="I24" i="6"/>
  <c r="D24" i="6"/>
  <c r="C24" i="6"/>
  <c r="B24" i="6"/>
  <c r="A24" i="6"/>
  <c r="H23" i="6"/>
  <c r="E23" i="6"/>
  <c r="C23" i="6"/>
  <c r="B23" i="6"/>
  <c r="A23" i="6"/>
  <c r="J22" i="6"/>
  <c r="I22" i="6"/>
  <c r="H22" i="6"/>
  <c r="C22" i="6"/>
  <c r="B22" i="6"/>
  <c r="A22" i="6"/>
  <c r="H21" i="6"/>
  <c r="E21" i="6"/>
  <c r="D21" i="6"/>
  <c r="C21" i="6"/>
  <c r="B21" i="6"/>
  <c r="A21" i="6"/>
  <c r="H20" i="6"/>
  <c r="E20" i="6"/>
  <c r="D20" i="6"/>
  <c r="C20" i="6"/>
  <c r="B20" i="6"/>
  <c r="A20" i="6"/>
  <c r="D19" i="6"/>
  <c r="C19" i="6"/>
  <c r="B19" i="6"/>
  <c r="A19" i="6"/>
  <c r="I18" i="6"/>
  <c r="H18" i="6"/>
  <c r="D18" i="6"/>
  <c r="C18" i="6"/>
  <c r="B18" i="6"/>
  <c r="A18" i="6"/>
  <c r="H17" i="6"/>
  <c r="D17" i="6"/>
  <c r="C17" i="6"/>
  <c r="B17" i="6"/>
  <c r="A17" i="6"/>
  <c r="I16" i="6"/>
  <c r="H16" i="6"/>
  <c r="D16" i="6"/>
  <c r="C16" i="6"/>
  <c r="B16" i="6"/>
  <c r="A16" i="6"/>
  <c r="H15" i="6"/>
  <c r="D15" i="6"/>
  <c r="C15" i="6"/>
  <c r="B15" i="6"/>
  <c r="A15" i="6"/>
  <c r="J14" i="6"/>
  <c r="I14" i="6"/>
  <c r="D14" i="6"/>
  <c r="C14" i="6"/>
  <c r="B14" i="6"/>
  <c r="A14" i="6"/>
  <c r="D13" i="6"/>
  <c r="C13" i="6"/>
  <c r="B13" i="6"/>
  <c r="A13" i="6"/>
  <c r="I12" i="6"/>
  <c r="H12" i="6"/>
  <c r="D12" i="6"/>
  <c r="C12" i="6"/>
  <c r="B12" i="6"/>
  <c r="A12" i="6"/>
  <c r="H11" i="6"/>
  <c r="C11" i="6"/>
  <c r="B11" i="6"/>
  <c r="A11" i="6"/>
  <c r="I10" i="6"/>
  <c r="C10" i="6"/>
  <c r="B10" i="6"/>
  <c r="A10" i="6"/>
  <c r="C9" i="6"/>
  <c r="B9" i="6"/>
  <c r="A9" i="6"/>
  <c r="H8" i="6"/>
  <c r="C8" i="6"/>
  <c r="B8" i="6"/>
  <c r="A8" i="6"/>
  <c r="C7" i="6"/>
  <c r="B7" i="6"/>
  <c r="A7" i="6"/>
  <c r="I6" i="6"/>
  <c r="D6" i="6"/>
  <c r="C6" i="6"/>
  <c r="B6" i="6"/>
  <c r="A6" i="6"/>
  <c r="H5" i="6"/>
  <c r="D5" i="6"/>
  <c r="C5" i="6"/>
  <c r="B5" i="6"/>
  <c r="A5" i="6"/>
  <c r="J4" i="6"/>
  <c r="D4" i="6"/>
  <c r="C4" i="6"/>
  <c r="B4" i="6"/>
  <c r="A4" i="6"/>
  <c r="H3" i="6"/>
  <c r="C3" i="6"/>
  <c r="B3" i="6"/>
  <c r="A3" i="6"/>
  <c r="I2" i="6"/>
  <c r="C2" i="6"/>
  <c r="B2" i="6"/>
  <c r="A2" i="6"/>
  <c r="A165" i="5"/>
  <c r="O51" i="4"/>
  <c r="O50" i="4"/>
  <c r="O49" i="4"/>
  <c r="O48" i="4"/>
  <c r="O47" i="4"/>
  <c r="O46" i="4"/>
  <c r="O45" i="4"/>
  <c r="O44" i="4"/>
  <c r="O43" i="4"/>
  <c r="O42" i="4"/>
  <c r="O41" i="4"/>
  <c r="O40" i="4"/>
  <c r="O39" i="4"/>
  <c r="O38" i="4"/>
  <c r="O37" i="4"/>
  <c r="O36" i="4"/>
  <c r="O35" i="4"/>
  <c r="O34" i="4"/>
  <c r="O33" i="4"/>
  <c r="O32" i="4"/>
  <c r="O31" i="4"/>
  <c r="O30" i="4"/>
  <c r="O29" i="4"/>
  <c r="O28" i="4"/>
  <c r="O27" i="4"/>
  <c r="O26" i="4"/>
  <c r="O25" i="4"/>
  <c r="O24" i="4"/>
  <c r="O23" i="4"/>
  <c r="O22" i="4"/>
  <c r="O21" i="4"/>
  <c r="O20" i="4"/>
  <c r="O19" i="4"/>
  <c r="O18" i="4"/>
  <c r="O17" i="4"/>
  <c r="O16" i="4"/>
  <c r="O15" i="4"/>
  <c r="O14" i="4"/>
  <c r="O13" i="4"/>
  <c r="O12" i="4"/>
  <c r="O11" i="4"/>
  <c r="O10" i="4"/>
  <c r="O9" i="4"/>
  <c r="O8" i="4"/>
  <c r="O7" i="4"/>
  <c r="O6" i="4"/>
  <c r="O5" i="4"/>
  <c r="O4" i="4"/>
  <c r="O3" i="4"/>
  <c r="H51" i="3"/>
  <c r="H50" i="3"/>
  <c r="H47" i="3"/>
  <c r="B47" i="3"/>
  <c r="F46" i="3"/>
  <c r="G46" i="3" s="1"/>
  <c r="J44" i="3"/>
  <c r="G43" i="3"/>
  <c r="J43" i="3" s="1"/>
  <c r="J42" i="3"/>
  <c r="F42" i="3"/>
  <c r="G42" i="3" s="1"/>
  <c r="I42" i="3" s="1"/>
  <c r="J41" i="3"/>
  <c r="J40" i="3"/>
  <c r="F36" i="3"/>
  <c r="G36" i="3" s="1"/>
  <c r="F35" i="3"/>
  <c r="G35" i="3" s="1"/>
  <c r="J35" i="3" s="1"/>
  <c r="F31" i="3"/>
  <c r="G31" i="3" s="1"/>
  <c r="J31" i="3" s="1"/>
  <c r="J30" i="3"/>
  <c r="F30" i="3"/>
  <c r="G30" i="3" s="1"/>
  <c r="I30" i="3" s="1"/>
  <c r="F29" i="3"/>
  <c r="G29" i="3" s="1"/>
  <c r="F28" i="3"/>
  <c r="G28" i="3" s="1"/>
  <c r="G27" i="3"/>
  <c r="J27" i="3" s="1"/>
  <c r="H24" i="3"/>
  <c r="B24" i="3"/>
  <c r="F21" i="3"/>
  <c r="G21" i="3" s="1"/>
  <c r="F20" i="3"/>
  <c r="G20" i="3" s="1"/>
  <c r="G19" i="3"/>
  <c r="F19" i="3"/>
  <c r="F18" i="3"/>
  <c r="G18" i="3" s="1"/>
  <c r="F17" i="3"/>
  <c r="G17" i="3" s="1"/>
  <c r="F16" i="3"/>
  <c r="G16" i="3" s="1"/>
  <c r="G15" i="3"/>
  <c r="I15" i="3" s="1"/>
  <c r="G14" i="3"/>
  <c r="I14" i="3" s="1"/>
  <c r="E29" i="2"/>
  <c r="H46" i="4" a="1"/>
  <c r="H50" i="4" a="1"/>
  <c r="H48" i="4" a="1"/>
  <c r="H40" i="4" a="1"/>
  <c r="H32" i="4" a="1"/>
  <c r="H51" i="4" a="1"/>
  <c r="H42" i="4" a="1"/>
  <c r="H33" i="4" a="1"/>
  <c r="H23" i="4" a="1"/>
  <c r="H15" i="4" a="1"/>
  <c r="H7" i="4" a="1"/>
  <c r="H49" i="4" a="1"/>
  <c r="H47" i="4" a="1"/>
  <c r="H38" i="4" a="1"/>
  <c r="H21" i="4" a="1"/>
  <c r="H13" i="4" a="1"/>
  <c r="H5" i="4" a="1"/>
  <c r="H45" i="4" a="1"/>
  <c r="H43" i="4" a="1"/>
  <c r="H36" i="4" a="1"/>
  <c r="H24" i="4" a="1"/>
  <c r="H29" i="4" a="1"/>
  <c r="H16" i="4" a="1"/>
  <c r="H8" i="4" a="1"/>
  <c r="H41" i="4" a="1"/>
  <c r="H34" i="4" a="1"/>
  <c r="H27" i="4" a="1"/>
  <c r="H19" i="4" a="1"/>
  <c r="H11" i="4" a="1"/>
  <c r="H28" i="4" a="1"/>
  <c r="H35" i="4" a="1"/>
  <c r="H26" i="4" a="1"/>
  <c r="H18" i="4" a="1"/>
  <c r="H10" i="4" a="1"/>
  <c r="H3" i="4" a="1"/>
  <c r="H12" i="4" a="1"/>
  <c r="H31" i="4" a="1"/>
  <c r="H4" i="4" a="1"/>
  <c r="H20" i="4" a="1"/>
  <c r="H25" i="4" a="1"/>
  <c r="H22" i="4" a="1"/>
  <c r="H17" i="4" a="1"/>
  <c r="H14" i="4" a="1"/>
  <c r="H9" i="4" a="1"/>
  <c r="H6" i="4" a="1"/>
  <c r="H44" i="4" a="1"/>
  <c r="H37" i="4" a="1"/>
  <c r="H30" i="4" a="1"/>
  <c r="H39" i="4" a="1"/>
  <c r="AG46" i="7" l="1"/>
  <c r="C46" i="8" s="1"/>
  <c r="D40" i="6"/>
  <c r="H36" i="6"/>
  <c r="E5" i="2"/>
  <c r="E33" i="2"/>
  <c r="E26" i="2"/>
  <c r="H30" i="6"/>
  <c r="E29" i="6"/>
  <c r="E24" i="6"/>
  <c r="D23" i="6"/>
  <c r="E6" i="2"/>
  <c r="E7" i="2"/>
  <c r="E24" i="2"/>
  <c r="J20" i="6"/>
  <c r="E9" i="6"/>
  <c r="D8" i="6"/>
  <c r="H9" i="6"/>
  <c r="AH11" i="7"/>
  <c r="G10" i="6" s="1"/>
  <c r="E11" i="8"/>
  <c r="C21" i="8"/>
  <c r="F20" i="6"/>
  <c r="G32" i="6"/>
  <c r="D33" i="8"/>
  <c r="D8" i="8"/>
  <c r="G7" i="6"/>
  <c r="G24" i="6"/>
  <c r="D25" i="8"/>
  <c r="G3" i="6"/>
  <c r="D22" i="6"/>
  <c r="H24" i="6"/>
  <c r="H27" i="6"/>
  <c r="H34" i="6"/>
  <c r="H35" i="6"/>
  <c r="H40" i="6"/>
  <c r="AH3" i="7"/>
  <c r="AF15" i="7"/>
  <c r="AH29" i="7"/>
  <c r="AH37" i="7"/>
  <c r="AH51" i="7"/>
  <c r="G50" i="6" s="1"/>
  <c r="AF16" i="7"/>
  <c r="E25" i="2"/>
  <c r="H2" i="6"/>
  <c r="D7" i="6"/>
  <c r="F39" i="6"/>
  <c r="H44" i="6"/>
  <c r="AG11" i="7"/>
  <c r="AF12" i="7"/>
  <c r="E11" i="6" s="1"/>
  <c r="AG19" i="7"/>
  <c r="AF20" i="7"/>
  <c r="AG20" i="7" s="1"/>
  <c r="F21" i="6"/>
  <c r="AH35" i="7"/>
  <c r="G34" i="6" s="1"/>
  <c r="AH43" i="7"/>
  <c r="E27" i="8"/>
  <c r="R25" i="8"/>
  <c r="S25" i="8" s="1"/>
  <c r="H6" i="6"/>
  <c r="H7" i="6"/>
  <c r="H14" i="6"/>
  <c r="H19" i="6"/>
  <c r="D30" i="6"/>
  <c r="F43" i="6"/>
  <c r="E32" i="2"/>
  <c r="AF13" i="7"/>
  <c r="E12" i="6" s="1"/>
  <c r="AF17" i="7"/>
  <c r="E16" i="6" s="1"/>
  <c r="D13" i="8"/>
  <c r="E14" i="8"/>
  <c r="D19" i="8"/>
  <c r="AF7" i="7"/>
  <c r="H4" i="6"/>
  <c r="F24" i="6"/>
  <c r="E25" i="6"/>
  <c r="G27" i="6"/>
  <c r="H28" i="6"/>
  <c r="F35" i="6"/>
  <c r="I31" i="3"/>
  <c r="I20" i="3"/>
  <c r="J20" i="3"/>
  <c r="I16" i="3"/>
  <c r="J16" i="3"/>
  <c r="I46" i="3"/>
  <c r="J46" i="3"/>
  <c r="J15" i="3"/>
  <c r="I35" i="3"/>
  <c r="I27" i="3"/>
  <c r="H39" i="4"/>
  <c r="H30" i="4"/>
  <c r="H37" i="4"/>
  <c r="I37" i="4" s="1"/>
  <c r="P37" i="4" s="1"/>
  <c r="H44" i="4"/>
  <c r="H6" i="4"/>
  <c r="H9" i="4"/>
  <c r="H14" i="4"/>
  <c r="H17" i="4"/>
  <c r="I17" i="4" s="1"/>
  <c r="P17" i="4" s="1"/>
  <c r="H22" i="4"/>
  <c r="I22" i="4" s="1"/>
  <c r="P22" i="4" s="1"/>
  <c r="H25" i="4"/>
  <c r="I25" i="4" s="1"/>
  <c r="P25" i="4" s="1"/>
  <c r="H20" i="4"/>
  <c r="I20" i="4" s="1"/>
  <c r="P20" i="4" s="1"/>
  <c r="H4" i="4"/>
  <c r="H31" i="4"/>
  <c r="I31" i="4" s="1"/>
  <c r="P31" i="4" s="1"/>
  <c r="H12" i="4"/>
  <c r="H3" i="4"/>
  <c r="H10" i="4"/>
  <c r="H18" i="4"/>
  <c r="I18" i="4" s="1"/>
  <c r="P18" i="4" s="1"/>
  <c r="H26" i="4"/>
  <c r="I26" i="4" s="1"/>
  <c r="P26" i="4" s="1"/>
  <c r="H35" i="4"/>
  <c r="I35" i="4" s="1"/>
  <c r="P35" i="4" s="1"/>
  <c r="H28" i="4"/>
  <c r="I28" i="4" s="1"/>
  <c r="P28" i="4" s="1"/>
  <c r="H11" i="4"/>
  <c r="H19" i="4"/>
  <c r="I19" i="4" s="1"/>
  <c r="P19" i="4" s="1"/>
  <c r="H27" i="4"/>
  <c r="I27" i="4" s="1"/>
  <c r="P27" i="4" s="1"/>
  <c r="H34" i="4"/>
  <c r="I34" i="4" s="1"/>
  <c r="P34" i="4" s="1"/>
  <c r="H41" i="4"/>
  <c r="I41" i="4" s="1"/>
  <c r="P41" i="4" s="1"/>
  <c r="H8" i="4"/>
  <c r="H16" i="4"/>
  <c r="I16" i="4" s="1"/>
  <c r="P16" i="4" s="1"/>
  <c r="H29" i="4"/>
  <c r="I29" i="4" s="1"/>
  <c r="P29" i="4" s="1"/>
  <c r="H24" i="4"/>
  <c r="I24" i="4" s="1"/>
  <c r="P24" i="4" s="1"/>
  <c r="H36" i="4"/>
  <c r="H43" i="4"/>
  <c r="H45" i="4"/>
  <c r="H5" i="4"/>
  <c r="H13" i="4"/>
  <c r="H21" i="4"/>
  <c r="I21" i="4" s="1"/>
  <c r="P21" i="4" s="1"/>
  <c r="H38" i="4"/>
  <c r="I38" i="4" s="1"/>
  <c r="P38" i="4" s="1"/>
  <c r="H47" i="4"/>
  <c r="I47" i="4" s="1"/>
  <c r="P47" i="4" s="1"/>
  <c r="H49" i="4"/>
  <c r="I49" i="4" s="1"/>
  <c r="P49" i="4" s="1"/>
  <c r="H7" i="4"/>
  <c r="H15" i="4"/>
  <c r="H23" i="4"/>
  <c r="I23" i="4" s="1"/>
  <c r="P23" i="4" s="1"/>
  <c r="H33" i="4"/>
  <c r="I33" i="4" s="1"/>
  <c r="P33" i="4" s="1"/>
  <c r="H42" i="4"/>
  <c r="I42" i="4" s="1"/>
  <c r="P42" i="4" s="1"/>
  <c r="H51" i="4"/>
  <c r="I51" i="4" s="1"/>
  <c r="P51" i="4" s="1"/>
  <c r="H32" i="4"/>
  <c r="I32" i="4" s="1"/>
  <c r="P32" i="4" s="1"/>
  <c r="H40" i="4"/>
  <c r="I40" i="4" s="1"/>
  <c r="P40" i="4" s="1"/>
  <c r="H48" i="4"/>
  <c r="I48" i="4" s="1"/>
  <c r="P48" i="4" s="1"/>
  <c r="H50" i="4"/>
  <c r="I50" i="4" s="1"/>
  <c r="P50" i="4" s="1"/>
  <c r="H46" i="4"/>
  <c r="I46" i="4" s="1"/>
  <c r="P46" i="4" s="1"/>
  <c r="J36" i="3"/>
  <c r="I36" i="3"/>
  <c r="G51" i="3"/>
  <c r="J29" i="3"/>
  <c r="I29" i="3"/>
  <c r="F23" i="6"/>
  <c r="G2" i="6"/>
  <c r="D3" i="8"/>
  <c r="D26" i="8"/>
  <c r="R26" i="8" s="1"/>
  <c r="S26" i="8" s="1"/>
  <c r="G25" i="6"/>
  <c r="AG37" i="7"/>
  <c r="E36" i="6"/>
  <c r="AG45" i="7"/>
  <c r="E44" i="6"/>
  <c r="D12" i="8"/>
  <c r="G11" i="6"/>
  <c r="E14" i="6"/>
  <c r="AG15" i="7"/>
  <c r="D36" i="8"/>
  <c r="G35" i="6"/>
  <c r="D44" i="8"/>
  <c r="R44" i="8" s="1"/>
  <c r="S44" i="8" s="1"/>
  <c r="G43" i="6"/>
  <c r="F5" i="11"/>
  <c r="A10" i="11"/>
  <c r="A18" i="11"/>
  <c r="N5" i="11"/>
  <c r="A26" i="11"/>
  <c r="V5" i="11"/>
  <c r="X7" i="11"/>
  <c r="P7" i="11"/>
  <c r="H7" i="11"/>
  <c r="W7" i="11"/>
  <c r="O7" i="11"/>
  <c r="G7" i="11"/>
  <c r="V7" i="11"/>
  <c r="N7" i="11"/>
  <c r="F7" i="11"/>
  <c r="Y7" i="11"/>
  <c r="Q7" i="11"/>
  <c r="I7" i="11"/>
  <c r="L7" i="11"/>
  <c r="AA7" i="11"/>
  <c r="K7" i="11"/>
  <c r="Z7" i="11"/>
  <c r="J7" i="11"/>
  <c r="M7" i="11"/>
  <c r="U7" i="11"/>
  <c r="T7" i="11"/>
  <c r="S7" i="11"/>
  <c r="R7" i="11"/>
  <c r="E7" i="11"/>
  <c r="D7" i="11"/>
  <c r="B7" i="11"/>
  <c r="T15" i="11"/>
  <c r="L15" i="11"/>
  <c r="C15" i="11"/>
  <c r="Y15" i="11"/>
  <c r="Q15" i="11"/>
  <c r="H15" i="11"/>
  <c r="V15" i="11"/>
  <c r="N15" i="11"/>
  <c r="E15" i="11"/>
  <c r="U15" i="11"/>
  <c r="M15" i="11"/>
  <c r="D15" i="11"/>
  <c r="O15" i="11"/>
  <c r="AA15" i="11"/>
  <c r="J15" i="11"/>
  <c r="Z15" i="11"/>
  <c r="I15" i="11"/>
  <c r="X15" i="11"/>
  <c r="G15" i="11"/>
  <c r="W15" i="11"/>
  <c r="F15" i="11"/>
  <c r="S15" i="11"/>
  <c r="B15" i="11"/>
  <c r="R15" i="11"/>
  <c r="P15" i="11"/>
  <c r="T23" i="11"/>
  <c r="K23" i="11"/>
  <c r="C23" i="11"/>
  <c r="Y23" i="11"/>
  <c r="P23" i="11"/>
  <c r="H23" i="11"/>
  <c r="V23" i="11"/>
  <c r="M23" i="11"/>
  <c r="E23" i="11"/>
  <c r="U23" i="11"/>
  <c r="L23" i="11"/>
  <c r="D23" i="11"/>
  <c r="W23" i="11"/>
  <c r="F23" i="11"/>
  <c r="R23" i="11"/>
  <c r="B23" i="11"/>
  <c r="Q23" i="11"/>
  <c r="O23" i="11"/>
  <c r="N23" i="11"/>
  <c r="AA23" i="11"/>
  <c r="J23" i="11"/>
  <c r="Z23" i="11"/>
  <c r="I23" i="11"/>
  <c r="X23" i="11"/>
  <c r="G23" i="11"/>
  <c r="S28" i="11"/>
  <c r="K28" i="11"/>
  <c r="C28" i="11"/>
  <c r="W28" i="11"/>
  <c r="O28" i="11"/>
  <c r="G28" i="11"/>
  <c r="U28" i="11"/>
  <c r="M28" i="11"/>
  <c r="E28" i="11"/>
  <c r="Q28" i="11"/>
  <c r="D28" i="11"/>
  <c r="P28" i="11"/>
  <c r="B28" i="11"/>
  <c r="AA28" i="11"/>
  <c r="N28" i="11"/>
  <c r="Z28" i="11"/>
  <c r="L28" i="11"/>
  <c r="Y28" i="11"/>
  <c r="J28" i="11"/>
  <c r="V28" i="11"/>
  <c r="I28" i="11"/>
  <c r="T28" i="11"/>
  <c r="H28" i="11"/>
  <c r="R28" i="11"/>
  <c r="F28" i="11"/>
  <c r="J14" i="3"/>
  <c r="I19" i="3"/>
  <c r="C11" i="8"/>
  <c r="F10" i="6"/>
  <c r="D20" i="8"/>
  <c r="G19" i="6"/>
  <c r="E34" i="6"/>
  <c r="AG35" i="7"/>
  <c r="E42" i="6"/>
  <c r="AG43" i="7"/>
  <c r="J19" i="3"/>
  <c r="AG5" i="7"/>
  <c r="AH10" i="7"/>
  <c r="F9" i="6" s="1"/>
  <c r="D9" i="6"/>
  <c r="E19" i="6"/>
  <c r="AH34" i="7"/>
  <c r="D33" i="6"/>
  <c r="AH42" i="7"/>
  <c r="D41" i="6"/>
  <c r="AH50" i="7"/>
  <c r="G49" i="6" s="1"/>
  <c r="D49" i="6"/>
  <c r="I17" i="3"/>
  <c r="AG41" i="7"/>
  <c r="E40" i="6"/>
  <c r="AG49" i="7"/>
  <c r="F48" i="6" s="1"/>
  <c r="E48" i="6"/>
  <c r="I21" i="3"/>
  <c r="G4" i="6"/>
  <c r="D5" i="8"/>
  <c r="E8" i="6"/>
  <c r="AG9" i="7"/>
  <c r="AG33" i="7"/>
  <c r="E32" i="6"/>
  <c r="I18" i="3"/>
  <c r="J21" i="3"/>
  <c r="D3" i="6"/>
  <c r="D18" i="8"/>
  <c r="G17" i="6"/>
  <c r="D24" i="8"/>
  <c r="R24" i="8" s="1"/>
  <c r="S24" i="8" s="1"/>
  <c r="G23" i="6"/>
  <c r="D32" i="8"/>
  <c r="R32" i="8" s="1"/>
  <c r="S32" i="8" s="1"/>
  <c r="G31" i="6"/>
  <c r="D40" i="8"/>
  <c r="R40" i="8" s="1"/>
  <c r="S40" i="8" s="1"/>
  <c r="G39" i="6"/>
  <c r="D6" i="8"/>
  <c r="G5" i="6"/>
  <c r="E6" i="6"/>
  <c r="AG7" i="7"/>
  <c r="AG13" i="7"/>
  <c r="E13" i="6"/>
  <c r="AG14" i="7"/>
  <c r="E30" i="6"/>
  <c r="AG31" i="7"/>
  <c r="E38" i="6"/>
  <c r="AG39" i="7"/>
  <c r="E46" i="6"/>
  <c r="AG47" i="7"/>
  <c r="J17" i="3"/>
  <c r="J18" i="3"/>
  <c r="J28" i="3"/>
  <c r="I28" i="3"/>
  <c r="D35" i="6"/>
  <c r="D43" i="6"/>
  <c r="E2" i="6"/>
  <c r="AG3" i="7"/>
  <c r="AH38" i="7"/>
  <c r="D37" i="6"/>
  <c r="AH46" i="7"/>
  <c r="D45" i="6"/>
  <c r="AF4" i="7"/>
  <c r="F25" i="6"/>
  <c r="AG51" i="7"/>
  <c r="F50" i="6" s="1"/>
  <c r="A9" i="11"/>
  <c r="E5" i="11"/>
  <c r="M5" i="11"/>
  <c r="A17" i="11"/>
  <c r="U5" i="11"/>
  <c r="A25" i="11"/>
  <c r="AA6" i="11"/>
  <c r="S6" i="11"/>
  <c r="K6" i="11"/>
  <c r="C6" i="11"/>
  <c r="Z6" i="11"/>
  <c r="R6" i="11"/>
  <c r="J6" i="11"/>
  <c r="Y6" i="11"/>
  <c r="Q6" i="11"/>
  <c r="I6" i="11"/>
  <c r="T6" i="11"/>
  <c r="L6" i="11"/>
  <c r="D6" i="11"/>
  <c r="W6" i="11"/>
  <c r="G6" i="11"/>
  <c r="V6" i="11"/>
  <c r="F6" i="11"/>
  <c r="U6" i="11"/>
  <c r="E6" i="11"/>
  <c r="X6" i="11"/>
  <c r="H6" i="11"/>
  <c r="P6" i="11"/>
  <c r="O6" i="11"/>
  <c r="N6" i="11"/>
  <c r="M6" i="11"/>
  <c r="W14" i="11"/>
  <c r="O14" i="11"/>
  <c r="F14" i="11"/>
  <c r="T14" i="11"/>
  <c r="L14" i="11"/>
  <c r="C14" i="11"/>
  <c r="X14" i="11"/>
  <c r="P14" i="11"/>
  <c r="G14" i="11"/>
  <c r="Z14" i="11"/>
  <c r="M14" i="11"/>
  <c r="Y14" i="11"/>
  <c r="K14" i="11"/>
  <c r="V14" i="11"/>
  <c r="I14" i="11"/>
  <c r="U14" i="11"/>
  <c r="H14" i="11"/>
  <c r="S14" i="11"/>
  <c r="E14" i="11"/>
  <c r="R14" i="11"/>
  <c r="D14" i="11"/>
  <c r="Q14" i="11"/>
  <c r="B14" i="11"/>
  <c r="AA14" i="11"/>
  <c r="N14" i="11"/>
  <c r="W22" i="11"/>
  <c r="N22" i="11"/>
  <c r="F22" i="11"/>
  <c r="T22" i="11"/>
  <c r="K22" i="11"/>
  <c r="C22" i="11"/>
  <c r="Y22" i="11"/>
  <c r="P22" i="11"/>
  <c r="H22" i="11"/>
  <c r="X22" i="11"/>
  <c r="O22" i="11"/>
  <c r="G22" i="11"/>
  <c r="Q22" i="11"/>
  <c r="M22" i="11"/>
  <c r="L22" i="11"/>
  <c r="AA22" i="11"/>
  <c r="J22" i="11"/>
  <c r="Z22" i="11"/>
  <c r="I22" i="11"/>
  <c r="V22" i="11"/>
  <c r="E22" i="11"/>
  <c r="U22" i="11"/>
  <c r="D22" i="11"/>
  <c r="S22" i="11"/>
  <c r="B22" i="11"/>
  <c r="V27" i="11"/>
  <c r="N27" i="11"/>
  <c r="F27" i="11"/>
  <c r="AA27" i="11"/>
  <c r="R27" i="11"/>
  <c r="J27" i="11"/>
  <c r="B27" i="11"/>
  <c r="Y27" i="11"/>
  <c r="P27" i="11"/>
  <c r="H27" i="11"/>
  <c r="S27" i="11"/>
  <c r="E27" i="11"/>
  <c r="Q27" i="11"/>
  <c r="D27" i="11"/>
  <c r="O27" i="11"/>
  <c r="C27" i="11"/>
  <c r="M27" i="11"/>
  <c r="Z27" i="11"/>
  <c r="L27" i="11"/>
  <c r="X27" i="11"/>
  <c r="K27" i="11"/>
  <c r="U27" i="11"/>
  <c r="I27" i="11"/>
  <c r="T27" i="11"/>
  <c r="G27" i="11"/>
  <c r="D14" i="8"/>
  <c r="G13" i="6"/>
  <c r="E49" i="6"/>
  <c r="AG50" i="7"/>
  <c r="F49" i="6" s="1"/>
  <c r="D16" i="8"/>
  <c r="D27" i="8"/>
  <c r="D41" i="8"/>
  <c r="I8" i="11"/>
  <c r="E17" i="6"/>
  <c r="AG18" i="7"/>
  <c r="D22" i="8"/>
  <c r="R22" i="8" s="1"/>
  <c r="S22" i="8" s="1"/>
  <c r="G21" i="6"/>
  <c r="G30" i="6"/>
  <c r="D31" i="8"/>
  <c r="G38" i="6"/>
  <c r="D39" i="8"/>
  <c r="G46" i="6"/>
  <c r="D47" i="8"/>
  <c r="D35" i="8"/>
  <c r="D45" i="8"/>
  <c r="I43" i="3"/>
  <c r="A52" i="6"/>
  <c r="D11" i="6"/>
  <c r="AF8" i="7"/>
  <c r="AG27" i="7"/>
  <c r="D9" i="8"/>
  <c r="G6" i="6"/>
  <c r="D7" i="8"/>
  <c r="E15" i="6"/>
  <c r="AG16" i="7"/>
  <c r="A6" i="11"/>
  <c r="B5" i="11"/>
  <c r="A14" i="11"/>
  <c r="J5" i="11"/>
  <c r="A22" i="11"/>
  <c r="R5" i="11"/>
  <c r="A30" i="11"/>
  <c r="Z5" i="11"/>
  <c r="X11" i="11"/>
  <c r="P11" i="11"/>
  <c r="Y11" i="11"/>
  <c r="Q11" i="11"/>
  <c r="I11" i="11"/>
  <c r="R11" i="11"/>
  <c r="F11" i="11"/>
  <c r="AA11" i="11"/>
  <c r="O11" i="11"/>
  <c r="E11" i="11"/>
  <c r="Z11" i="11"/>
  <c r="N11" i="11"/>
  <c r="D11" i="11"/>
  <c r="S11" i="11"/>
  <c r="H11" i="11"/>
  <c r="V11" i="11"/>
  <c r="B11" i="11"/>
  <c r="U11" i="11"/>
  <c r="T11" i="11"/>
  <c r="M11" i="11"/>
  <c r="L11" i="11"/>
  <c r="K11" i="11"/>
  <c r="J11" i="11"/>
  <c r="W11" i="11"/>
  <c r="C11" i="11"/>
  <c r="X19" i="11"/>
  <c r="P19" i="11"/>
  <c r="G19" i="11"/>
  <c r="U19" i="11"/>
  <c r="L19" i="11"/>
  <c r="D19" i="11"/>
  <c r="Z19" i="11"/>
  <c r="R19" i="11"/>
  <c r="I19" i="11"/>
  <c r="Y19" i="11"/>
  <c r="Q19" i="11"/>
  <c r="H19" i="11"/>
  <c r="S19" i="11"/>
  <c r="B19" i="11"/>
  <c r="AG19" i="11" s="1"/>
  <c r="N19" i="11"/>
  <c r="M19" i="11"/>
  <c r="K19" i="11"/>
  <c r="AA19" i="11"/>
  <c r="J19" i="11"/>
  <c r="W19" i="11"/>
  <c r="F19" i="11"/>
  <c r="V19" i="11"/>
  <c r="E19" i="11"/>
  <c r="T19" i="11"/>
  <c r="C19" i="11"/>
  <c r="AF6" i="7"/>
  <c r="G14" i="6"/>
  <c r="D15" i="8"/>
  <c r="AG23" i="7"/>
  <c r="F29" i="6"/>
  <c r="R36" i="8"/>
  <c r="S36" i="8" s="1"/>
  <c r="C10" i="8"/>
  <c r="D17" i="8"/>
  <c r="D21" i="8"/>
  <c r="R21" i="8" s="1"/>
  <c r="S21" i="8" s="1"/>
  <c r="G22" i="6"/>
  <c r="D23" i="8"/>
  <c r="R28" i="8"/>
  <c r="S28" i="8" s="1"/>
  <c r="D30" i="8"/>
  <c r="R30" i="8" s="1"/>
  <c r="S30" i="8" s="1"/>
  <c r="G29" i="6"/>
  <c r="D5" i="11"/>
  <c r="A8" i="11"/>
  <c r="A16" i="11"/>
  <c r="L5" i="11"/>
  <c r="A24" i="11"/>
  <c r="T5" i="11"/>
  <c r="Z13" i="11"/>
  <c r="R13" i="11"/>
  <c r="J13" i="11"/>
  <c r="AA13" i="11"/>
  <c r="S13" i="11"/>
  <c r="K13" i="11"/>
  <c r="B13" i="11"/>
  <c r="AG13" i="11" s="1"/>
  <c r="P13" i="11"/>
  <c r="E13" i="11"/>
  <c r="Y13" i="11"/>
  <c r="O13" i="11"/>
  <c r="D13" i="11"/>
  <c r="X13" i="11"/>
  <c r="N13" i="11"/>
  <c r="C13" i="11"/>
  <c r="W13" i="11"/>
  <c r="V13" i="11"/>
  <c r="Q13" i="11"/>
  <c r="F13" i="11"/>
  <c r="L13" i="11"/>
  <c r="H13" i="11"/>
  <c r="G13" i="11"/>
  <c r="U13" i="11"/>
  <c r="T13" i="11"/>
  <c r="M13" i="11"/>
  <c r="Z21" i="11"/>
  <c r="R21" i="11"/>
  <c r="I21" i="11"/>
  <c r="W21" i="11"/>
  <c r="N21" i="11"/>
  <c r="F21" i="11"/>
  <c r="T21" i="11"/>
  <c r="K21" i="11"/>
  <c r="C21" i="11"/>
  <c r="AA21" i="11"/>
  <c r="S21" i="11"/>
  <c r="J21" i="11"/>
  <c r="B21" i="11"/>
  <c r="L21" i="11"/>
  <c r="Y21" i="11"/>
  <c r="H21" i="11"/>
  <c r="X21" i="11"/>
  <c r="G21" i="11"/>
  <c r="V21" i="11"/>
  <c r="E21" i="11"/>
  <c r="U21" i="11"/>
  <c r="D21" i="11"/>
  <c r="P21" i="11"/>
  <c r="O21" i="11"/>
  <c r="M21" i="11"/>
  <c r="A20" i="11"/>
  <c r="P5" i="11"/>
  <c r="Z9" i="11"/>
  <c r="R9" i="11"/>
  <c r="J9" i="11"/>
  <c r="Y9" i="11"/>
  <c r="Q9" i="11"/>
  <c r="I9" i="11"/>
  <c r="X9" i="11"/>
  <c r="P9" i="11"/>
  <c r="H9" i="11"/>
  <c r="AA9" i="11"/>
  <c r="S9" i="11"/>
  <c r="K9" i="11"/>
  <c r="B9" i="11"/>
  <c r="V9" i="11"/>
  <c r="F9" i="11"/>
  <c r="U9" i="11"/>
  <c r="D9" i="11"/>
  <c r="T9" i="11"/>
  <c r="C9" i="11"/>
  <c r="O9" i="11"/>
  <c r="N9" i="11"/>
  <c r="M9" i="11"/>
  <c r="L9" i="11"/>
  <c r="W9" i="11"/>
  <c r="G9" i="11"/>
  <c r="V17" i="11"/>
  <c r="N17" i="11"/>
  <c r="E17" i="11"/>
  <c r="AA17" i="11"/>
  <c r="S17" i="11"/>
  <c r="J17" i="11"/>
  <c r="B17" i="11"/>
  <c r="X17" i="11"/>
  <c r="P17" i="11"/>
  <c r="G17" i="11"/>
  <c r="W17" i="11"/>
  <c r="O17" i="11"/>
  <c r="F17" i="11"/>
  <c r="Y17" i="11"/>
  <c r="H17" i="11"/>
  <c r="U17" i="11"/>
  <c r="D17" i="11"/>
  <c r="T17" i="11"/>
  <c r="C17" i="11"/>
  <c r="R17" i="11"/>
  <c r="Q17" i="11"/>
  <c r="L17" i="11"/>
  <c r="K17" i="11"/>
  <c r="Z17" i="11"/>
  <c r="I17" i="11"/>
  <c r="V25" i="11"/>
  <c r="M25" i="11"/>
  <c r="E25" i="11"/>
  <c r="T25" i="11"/>
  <c r="L25" i="11"/>
  <c r="D25" i="11"/>
  <c r="S25" i="11"/>
  <c r="K25" i="11"/>
  <c r="C25" i="11"/>
  <c r="AA25" i="11"/>
  <c r="R25" i="11"/>
  <c r="J25" i="11"/>
  <c r="B25" i="11"/>
  <c r="X25" i="11"/>
  <c r="O25" i="11"/>
  <c r="G25" i="11"/>
  <c r="W25" i="11"/>
  <c r="N25" i="11"/>
  <c r="F25" i="11"/>
  <c r="Q25" i="11"/>
  <c r="P25" i="11"/>
  <c r="I25" i="11"/>
  <c r="H25" i="11"/>
  <c r="Z25" i="11"/>
  <c r="Y25" i="11"/>
  <c r="U30" i="11"/>
  <c r="M30" i="11"/>
  <c r="E30" i="11"/>
  <c r="Y30" i="11"/>
  <c r="Q30" i="11"/>
  <c r="I30" i="11"/>
  <c r="W30" i="11"/>
  <c r="O30" i="11"/>
  <c r="G30" i="11"/>
  <c r="N30" i="11"/>
  <c r="B30" i="11"/>
  <c r="AA30" i="11"/>
  <c r="L30" i="11"/>
  <c r="X30" i="11"/>
  <c r="K30" i="11"/>
  <c r="V30" i="11"/>
  <c r="J30" i="11"/>
  <c r="T30" i="11"/>
  <c r="H30" i="11"/>
  <c r="S30" i="11"/>
  <c r="F30" i="11"/>
  <c r="R30" i="11"/>
  <c r="D30" i="11"/>
  <c r="P30" i="11"/>
  <c r="C30" i="11"/>
  <c r="AM124" i="10"/>
  <c r="AA125" i="10"/>
  <c r="AO125" i="10"/>
  <c r="AI126" i="10"/>
  <c r="X127" i="10"/>
  <c r="AN127" i="10"/>
  <c r="AE128" i="10"/>
  <c r="AI129" i="10"/>
  <c r="AC130" i="10"/>
  <c r="AL131" i="10"/>
  <c r="Y132" i="10"/>
  <c r="AO132" i="10"/>
  <c r="AG133" i="10"/>
  <c r="AA134" i="10"/>
  <c r="AF135" i="10"/>
  <c r="W136" i="10"/>
  <c r="AM136" i="10"/>
  <c r="AA137" i="10"/>
  <c r="AK138" i="10"/>
  <c r="AD139" i="10"/>
  <c r="AG140" i="10"/>
  <c r="Y141" i="10"/>
  <c r="AO141" i="10"/>
  <c r="AI142" i="10"/>
  <c r="X143" i="10"/>
  <c r="AN143" i="10"/>
  <c r="AE144" i="10"/>
  <c r="AI145" i="10"/>
  <c r="AC146" i="10"/>
  <c r="AL147" i="10"/>
  <c r="AB148" i="10"/>
  <c r="AL149" i="10"/>
  <c r="AE150" i="10"/>
  <c r="AG151" i="10"/>
  <c r="AK152" i="10"/>
  <c r="AN154" i="10"/>
  <c r="AF155" i="10"/>
  <c r="AK156" i="10"/>
  <c r="AO159" i="10"/>
  <c r="W5" i="11"/>
  <c r="A7" i="11"/>
  <c r="G8" i="11"/>
  <c r="A21" i="11"/>
  <c r="Q5" i="11"/>
  <c r="T10" i="11"/>
  <c r="L10" i="11"/>
  <c r="Y10" i="11"/>
  <c r="P10" i="11"/>
  <c r="G10" i="11"/>
  <c r="X10" i="11"/>
  <c r="O10" i="11"/>
  <c r="E10" i="11"/>
  <c r="W10" i="11"/>
  <c r="N10" i="11"/>
  <c r="D10" i="11"/>
  <c r="Z10" i="11"/>
  <c r="Q10" i="11"/>
  <c r="H10" i="11"/>
  <c r="K10" i="11"/>
  <c r="J10" i="11"/>
  <c r="AA10" i="11"/>
  <c r="I10" i="11"/>
  <c r="V10" i="11"/>
  <c r="C10" i="11"/>
  <c r="U10" i="11"/>
  <c r="B10" i="11"/>
  <c r="S10" i="11"/>
  <c r="R10" i="11"/>
  <c r="M10" i="11"/>
  <c r="AA18" i="11"/>
  <c r="S18" i="11"/>
  <c r="J18" i="11"/>
  <c r="B18" i="11"/>
  <c r="X18" i="11"/>
  <c r="P18" i="11"/>
  <c r="G18" i="11"/>
  <c r="U18" i="11"/>
  <c r="L18" i="11"/>
  <c r="D18" i="11"/>
  <c r="T18" i="11"/>
  <c r="K18" i="11"/>
  <c r="C18" i="11"/>
  <c r="M18" i="11"/>
  <c r="Z18" i="11"/>
  <c r="I18" i="11"/>
  <c r="Y18" i="11"/>
  <c r="H18" i="11"/>
  <c r="W18" i="11"/>
  <c r="F18" i="11"/>
  <c r="V18" i="11"/>
  <c r="E18" i="11"/>
  <c r="R18" i="11"/>
  <c r="Q18" i="11"/>
  <c r="O18" i="11"/>
  <c r="Z26" i="11"/>
  <c r="Q26" i="11"/>
  <c r="S26" i="11"/>
  <c r="K26" i="11"/>
  <c r="U26" i="11"/>
  <c r="J26" i="11"/>
  <c r="B26" i="11"/>
  <c r="T26" i="11"/>
  <c r="I26" i="11"/>
  <c r="R26" i="11"/>
  <c r="H26" i="11"/>
  <c r="P26" i="11"/>
  <c r="G26" i="11"/>
  <c r="AA26" i="11"/>
  <c r="O26" i="11"/>
  <c r="Y26" i="11"/>
  <c r="N26" i="11"/>
  <c r="E26" i="11"/>
  <c r="X26" i="11"/>
  <c r="M26" i="11"/>
  <c r="D26" i="11"/>
  <c r="W26" i="11"/>
  <c r="L26" i="11"/>
  <c r="C26" i="11"/>
  <c r="F26" i="11"/>
  <c r="Z31" i="11"/>
  <c r="R31" i="11"/>
  <c r="J31" i="11"/>
  <c r="B31" i="11"/>
  <c r="V31" i="11"/>
  <c r="N31" i="11"/>
  <c r="F31" i="11"/>
  <c r="T31" i="11"/>
  <c r="L31" i="11"/>
  <c r="D31" i="11"/>
  <c r="Y31" i="11"/>
  <c r="M31" i="11"/>
  <c r="X31" i="11"/>
  <c r="K31" i="11"/>
  <c r="W31" i="11"/>
  <c r="I31" i="11"/>
  <c r="U31" i="11"/>
  <c r="H31" i="11"/>
  <c r="S31" i="11"/>
  <c r="G31" i="11"/>
  <c r="Q31" i="11"/>
  <c r="E31" i="11"/>
  <c r="P31" i="11"/>
  <c r="C31" i="11"/>
  <c r="O31" i="11"/>
  <c r="X5" i="11"/>
  <c r="H8" i="11"/>
  <c r="Y5" i="11"/>
  <c r="K5" i="11"/>
  <c r="A15" i="11"/>
  <c r="A23" i="11"/>
  <c r="S5" i="11"/>
  <c r="A31" i="11"/>
  <c r="AA5" i="11"/>
  <c r="U12" i="11"/>
  <c r="M12" i="11"/>
  <c r="D12" i="11"/>
  <c r="V12" i="11"/>
  <c r="N12" i="11"/>
  <c r="E12" i="11"/>
  <c r="W12" i="11"/>
  <c r="K12" i="11"/>
  <c r="T12" i="11"/>
  <c r="J12" i="11"/>
  <c r="S12" i="11"/>
  <c r="I12" i="11"/>
  <c r="X12" i="11"/>
  <c r="L12" i="11"/>
  <c r="Q12" i="11"/>
  <c r="P12" i="11"/>
  <c r="O12" i="11"/>
  <c r="G12" i="11"/>
  <c r="AA12" i="11"/>
  <c r="F12" i="11"/>
  <c r="Z12" i="11"/>
  <c r="C12" i="11"/>
  <c r="Y12" i="11"/>
  <c r="B12" i="11"/>
  <c r="R12" i="11"/>
  <c r="U20" i="11"/>
  <c r="L20" i="11"/>
  <c r="D20" i="11"/>
  <c r="Z20" i="11"/>
  <c r="R20" i="11"/>
  <c r="I20" i="11"/>
  <c r="W20" i="11"/>
  <c r="N20" i="11"/>
  <c r="F20" i="11"/>
  <c r="V20" i="11"/>
  <c r="M20" i="11"/>
  <c r="E20" i="11"/>
  <c r="X20" i="11"/>
  <c r="G20" i="11"/>
  <c r="T20" i="11"/>
  <c r="C20" i="11"/>
  <c r="S20" i="11"/>
  <c r="B20" i="11"/>
  <c r="Q20" i="11"/>
  <c r="O20" i="11"/>
  <c r="K20" i="11"/>
  <c r="AA20" i="11"/>
  <c r="J20" i="11"/>
  <c r="Y20" i="11"/>
  <c r="H20" i="11"/>
  <c r="W154" i="10"/>
  <c r="W158" i="10"/>
  <c r="X159" i="10"/>
  <c r="W161" i="10"/>
  <c r="AD162" i="10"/>
  <c r="G5" i="11"/>
  <c r="X128" i="10"/>
  <c r="AN128" i="10"/>
  <c r="AB129" i="10"/>
  <c r="AL130" i="10"/>
  <c r="AE131" i="10"/>
  <c r="AH132" i="10"/>
  <c r="Z133" i="10"/>
  <c r="AJ134" i="10"/>
  <c r="AC135" i="10"/>
  <c r="AF136" i="10"/>
  <c r="AJ137" i="10"/>
  <c r="AD138" i="10"/>
  <c r="W139" i="10"/>
  <c r="AM139" i="10"/>
  <c r="Z140" i="10"/>
  <c r="AH141" i="10"/>
  <c r="AB142" i="10"/>
  <c r="AK143" i="10"/>
  <c r="X144" i="10"/>
  <c r="AN144" i="10"/>
  <c r="AB145" i="10"/>
  <c r="AL146" i="10"/>
  <c r="AE147" i="10"/>
  <c r="W149" i="10"/>
  <c r="X150" i="10"/>
  <c r="Z152" i="10"/>
  <c r="AE153" i="10"/>
  <c r="Y154" i="10"/>
  <c r="Y155" i="10"/>
  <c r="AH156" i="10"/>
  <c r="AC157" i="10"/>
  <c r="AG158" i="10"/>
  <c r="Z159" i="10"/>
  <c r="AC160" i="10"/>
  <c r="AC161" i="10"/>
  <c r="H5" i="11"/>
  <c r="AJ162" i="10"/>
  <c r="AB162" i="10"/>
  <c r="AH161" i="10"/>
  <c r="Z161" i="10"/>
  <c r="AN160" i="10"/>
  <c r="AF160" i="10"/>
  <c r="X160" i="10"/>
  <c r="AL159" i="10"/>
  <c r="AD159" i="10"/>
  <c r="AJ158" i="10"/>
  <c r="AB158" i="10"/>
  <c r="AH157" i="10"/>
  <c r="Z157" i="10"/>
  <c r="AN156" i="10"/>
  <c r="AF156" i="10"/>
  <c r="X156" i="10"/>
  <c r="AL155" i="10"/>
  <c r="AD155" i="10"/>
  <c r="AJ154" i="10"/>
  <c r="AB154" i="10"/>
  <c r="AH153" i="10"/>
  <c r="Z153" i="10"/>
  <c r="AN152" i="10"/>
  <c r="AF152" i="10"/>
  <c r="X152" i="10"/>
  <c r="AL151" i="10"/>
  <c r="AD151" i="10"/>
  <c r="AJ150" i="10"/>
  <c r="AB150" i="10"/>
  <c r="AH149" i="10"/>
  <c r="Z149" i="10"/>
  <c r="AN148" i="10"/>
  <c r="AF148" i="10"/>
  <c r="X148" i="10"/>
  <c r="AI162" i="10"/>
  <c r="AA162" i="10"/>
  <c r="AO161" i="10"/>
  <c r="AG161" i="10"/>
  <c r="Y161" i="10"/>
  <c r="AM160" i="10"/>
  <c r="AE160" i="10"/>
  <c r="W160" i="10"/>
  <c r="AK159" i="10"/>
  <c r="AC159" i="10"/>
  <c r="AI158" i="10"/>
  <c r="AA158" i="10"/>
  <c r="AO157" i="10"/>
  <c r="AG157" i="10"/>
  <c r="Y157" i="10"/>
  <c r="AM156" i="10"/>
  <c r="AE156" i="10"/>
  <c r="W156" i="10"/>
  <c r="AK155" i="10"/>
  <c r="AC155" i="10"/>
  <c r="AI154" i="10"/>
  <c r="AA154" i="10"/>
  <c r="AO153" i="10"/>
  <c r="AG153" i="10"/>
  <c r="Y153" i="10"/>
  <c r="AM152" i="10"/>
  <c r="AE152" i="10"/>
  <c r="W152" i="10"/>
  <c r="AK151" i="10"/>
  <c r="AC151" i="10"/>
  <c r="AI150" i="10"/>
  <c r="AA150" i="10"/>
  <c r="AO149" i="10"/>
  <c r="AG149" i="10"/>
  <c r="Y149" i="10"/>
  <c r="AM148" i="10"/>
  <c r="AE148" i="10"/>
  <c r="W148" i="10"/>
  <c r="AH162" i="10"/>
  <c r="Z162" i="10"/>
  <c r="AN161" i="10"/>
  <c r="AF161" i="10"/>
  <c r="X161" i="10"/>
  <c r="AL160" i="10"/>
  <c r="AD160" i="10"/>
  <c r="AJ159" i="10"/>
  <c r="AB159" i="10"/>
  <c r="AH158" i="10"/>
  <c r="Z158" i="10"/>
  <c r="AN157" i="10"/>
  <c r="AF157" i="10"/>
  <c r="X157" i="10"/>
  <c r="AL156" i="10"/>
  <c r="AD156" i="10"/>
  <c r="AJ155" i="10"/>
  <c r="AB155" i="10"/>
  <c r="AH154" i="10"/>
  <c r="Z154" i="10"/>
  <c r="AN153" i="10"/>
  <c r="AF153" i="10"/>
  <c r="X153" i="10"/>
  <c r="AL152" i="10"/>
  <c r="AD152" i="10"/>
  <c r="AJ151" i="10"/>
  <c r="AB151" i="10"/>
  <c r="AH150" i="10"/>
  <c r="Z150" i="10"/>
  <c r="AN149" i="10"/>
  <c r="AF149" i="10"/>
  <c r="X149" i="10"/>
  <c r="AL148" i="10"/>
  <c r="AD148" i="10"/>
  <c r="AK162" i="10"/>
  <c r="AC162" i="10"/>
  <c r="AI161" i="10"/>
  <c r="AA161" i="10"/>
  <c r="AO160" i="10"/>
  <c r="AG160" i="10"/>
  <c r="Y160" i="10"/>
  <c r="AM159" i="10"/>
  <c r="AE159" i="10"/>
  <c r="W159" i="10"/>
  <c r="AK158" i="10"/>
  <c r="AC158" i="10"/>
  <c r="AI157" i="10"/>
  <c r="AA157" i="10"/>
  <c r="AO156" i="10"/>
  <c r="AG156" i="10"/>
  <c r="Y156" i="10"/>
  <c r="AM155" i="10"/>
  <c r="AE155" i="10"/>
  <c r="W155" i="10"/>
  <c r="AK154" i="10"/>
  <c r="AC154" i="10"/>
  <c r="AI153" i="10"/>
  <c r="AA153" i="10"/>
  <c r="AO152" i="10"/>
  <c r="AG152" i="10"/>
  <c r="Y152" i="10"/>
  <c r="AM151" i="10"/>
  <c r="AE151" i="10"/>
  <c r="W151" i="10"/>
  <c r="AK150" i="10"/>
  <c r="AC150" i="10"/>
  <c r="AI149" i="10"/>
  <c r="AA149" i="10"/>
  <c r="AO148" i="10"/>
  <c r="AG148" i="10"/>
  <c r="Y148" i="10"/>
  <c r="AN162" i="10"/>
  <c r="X162" i="10"/>
  <c r="AJ161" i="10"/>
  <c r="Z160" i="10"/>
  <c r="AG159" i="10"/>
  <c r="AD158" i="10"/>
  <c r="AL157" i="10"/>
  <c r="AB156" i="10"/>
  <c r="AI155" i="10"/>
  <c r="AF154" i="10"/>
  <c r="AB153" i="10"/>
  <c r="AH152" i="10"/>
  <c r="AO151" i="10"/>
  <c r="Y151" i="10"/>
  <c r="AL150" i="10"/>
  <c r="AD149" i="10"/>
  <c r="AJ148" i="10"/>
  <c r="AI147" i="10"/>
  <c r="AA147" i="10"/>
  <c r="AO146" i="10"/>
  <c r="AG146" i="10"/>
  <c r="Y146" i="10"/>
  <c r="AM145" i="10"/>
  <c r="AE145" i="10"/>
  <c r="W145" i="10"/>
  <c r="AK144" i="10"/>
  <c r="AC144" i="10"/>
  <c r="AI143" i="10"/>
  <c r="AA143" i="10"/>
  <c r="AO142" i="10"/>
  <c r="AG142" i="10"/>
  <c r="Y142" i="10"/>
  <c r="AM141" i="10"/>
  <c r="AE141" i="10"/>
  <c r="W141" i="10"/>
  <c r="AK140" i="10"/>
  <c r="AC140" i="10"/>
  <c r="AI139" i="10"/>
  <c r="AA139" i="10"/>
  <c r="AO138" i="10"/>
  <c r="AG138" i="10"/>
  <c r="Y138" i="10"/>
  <c r="AM137" i="10"/>
  <c r="AE137" i="10"/>
  <c r="W137" i="10"/>
  <c r="AK136" i="10"/>
  <c r="AC136" i="10"/>
  <c r="AI135" i="10"/>
  <c r="AA135" i="10"/>
  <c r="AO134" i="10"/>
  <c r="AG134" i="10"/>
  <c r="Y134" i="10"/>
  <c r="AM133" i="10"/>
  <c r="AE133" i="10"/>
  <c r="W133" i="10"/>
  <c r="AK132" i="10"/>
  <c r="AC132" i="10"/>
  <c r="AI131" i="10"/>
  <c r="AA131" i="10"/>
  <c r="AO130" i="10"/>
  <c r="AG130" i="10"/>
  <c r="Y130" i="10"/>
  <c r="AM129" i="10"/>
  <c r="AE129" i="10"/>
  <c r="W129" i="10"/>
  <c r="AK128" i="10"/>
  <c r="AC128" i="10"/>
  <c r="AI127" i="10"/>
  <c r="AA127" i="10"/>
  <c r="AO126" i="10"/>
  <c r="AG126" i="10"/>
  <c r="Y126" i="10"/>
  <c r="AM125" i="10"/>
  <c r="AE125" i="10"/>
  <c r="W125" i="10"/>
  <c r="AM162" i="10"/>
  <c r="W162" i="10"/>
  <c r="AE161" i="10"/>
  <c r="AK160" i="10"/>
  <c r="AF159" i="10"/>
  <c r="AO158" i="10"/>
  <c r="Y158" i="10"/>
  <c r="AK157" i="10"/>
  <c r="AA156" i="10"/>
  <c r="AH155" i="10"/>
  <c r="AE154" i="10"/>
  <c r="AM153" i="10"/>
  <c r="W153" i="10"/>
  <c r="AC152" i="10"/>
  <c r="AN151" i="10"/>
  <c r="X151" i="10"/>
  <c r="AG150" i="10"/>
  <c r="AC149" i="10"/>
  <c r="AI148" i="10"/>
  <c r="AH147" i="10"/>
  <c r="Z147" i="10"/>
  <c r="AN146" i="10"/>
  <c r="AF146" i="10"/>
  <c r="X146" i="10"/>
  <c r="AL145" i="10"/>
  <c r="AD145" i="10"/>
  <c r="AJ144" i="10"/>
  <c r="AB144" i="10"/>
  <c r="AH143" i="10"/>
  <c r="Z143" i="10"/>
  <c r="AN142" i="10"/>
  <c r="AF142" i="10"/>
  <c r="X142" i="10"/>
  <c r="AL141" i="10"/>
  <c r="AD141" i="10"/>
  <c r="AJ140" i="10"/>
  <c r="AB140" i="10"/>
  <c r="AH139" i="10"/>
  <c r="Z139" i="10"/>
  <c r="AN138" i="10"/>
  <c r="AF138" i="10"/>
  <c r="X138" i="10"/>
  <c r="AL137" i="10"/>
  <c r="AD137" i="10"/>
  <c r="AJ136" i="10"/>
  <c r="AB136" i="10"/>
  <c r="AH135" i="10"/>
  <c r="Z135" i="10"/>
  <c r="AN134" i="10"/>
  <c r="AF134" i="10"/>
  <c r="X134" i="10"/>
  <c r="AL133" i="10"/>
  <c r="AD133" i="10"/>
  <c r="AJ132" i="10"/>
  <c r="AB132" i="10"/>
  <c r="AH131" i="10"/>
  <c r="Z131" i="10"/>
  <c r="AN130" i="10"/>
  <c r="AF130" i="10"/>
  <c r="X130" i="10"/>
  <c r="AL129" i="10"/>
  <c r="AD129" i="10"/>
  <c r="AJ128" i="10"/>
  <c r="AB128" i="10"/>
  <c r="AH127" i="10"/>
  <c r="Z127" i="10"/>
  <c r="AN126" i="10"/>
  <c r="AF126" i="10"/>
  <c r="X126" i="10"/>
  <c r="AL125" i="10"/>
  <c r="AD125" i="10"/>
  <c r="AL162" i="10"/>
  <c r="AD161" i="10"/>
  <c r="AJ160" i="10"/>
  <c r="AA159" i="10"/>
  <c r="AN158" i="10"/>
  <c r="X158" i="10"/>
  <c r="AJ157" i="10"/>
  <c r="Z156" i="10"/>
  <c r="AG155" i="10"/>
  <c r="AD154" i="10"/>
  <c r="AL153" i="10"/>
  <c r="AB152" i="10"/>
  <c r="AI151" i="10"/>
  <c r="AF150" i="10"/>
  <c r="AB149" i="10"/>
  <c r="AH148" i="10"/>
  <c r="AO147" i="10"/>
  <c r="AG147" i="10"/>
  <c r="Y147" i="10"/>
  <c r="AM146" i="10"/>
  <c r="AE146" i="10"/>
  <c r="W146" i="10"/>
  <c r="AK145" i="10"/>
  <c r="AC145" i="10"/>
  <c r="AI144" i="10"/>
  <c r="AA144" i="10"/>
  <c r="AO143" i="10"/>
  <c r="AG143" i="10"/>
  <c r="Y143" i="10"/>
  <c r="AM142" i="10"/>
  <c r="AE142" i="10"/>
  <c r="W142" i="10"/>
  <c r="AK141" i="10"/>
  <c r="AC141" i="10"/>
  <c r="AI140" i="10"/>
  <c r="AA140" i="10"/>
  <c r="AO139" i="10"/>
  <c r="AG139" i="10"/>
  <c r="Y139" i="10"/>
  <c r="AM138" i="10"/>
  <c r="AE138" i="10"/>
  <c r="W138" i="10"/>
  <c r="AK137" i="10"/>
  <c r="AC137" i="10"/>
  <c r="AI136" i="10"/>
  <c r="AA136" i="10"/>
  <c r="AO135" i="10"/>
  <c r="AG135" i="10"/>
  <c r="Y135" i="10"/>
  <c r="AM134" i="10"/>
  <c r="AE134" i="10"/>
  <c r="W134" i="10"/>
  <c r="AK133" i="10"/>
  <c r="AC133" i="10"/>
  <c r="AI132" i="10"/>
  <c r="AA132" i="10"/>
  <c r="AO131" i="10"/>
  <c r="AG131" i="10"/>
  <c r="Y131" i="10"/>
  <c r="AM130" i="10"/>
  <c r="AE130" i="10"/>
  <c r="W130" i="10"/>
  <c r="AK129" i="10"/>
  <c r="AC129" i="10"/>
  <c r="AI128" i="10"/>
  <c r="AA128" i="10"/>
  <c r="AO127" i="10"/>
  <c r="AG127" i="10"/>
  <c r="Y127" i="10"/>
  <c r="AM126" i="10"/>
  <c r="AE126" i="10"/>
  <c r="W126" i="10"/>
  <c r="AO162" i="10"/>
  <c r="Y162" i="10"/>
  <c r="AK161" i="10"/>
  <c r="AA160" i="10"/>
  <c r="AH159" i="10"/>
  <c r="AE158" i="10"/>
  <c r="AM157" i="10"/>
  <c r="W157" i="10"/>
  <c r="AC156" i="10"/>
  <c r="AN155" i="10"/>
  <c r="X155" i="10"/>
  <c r="AG154" i="10"/>
  <c r="AC153" i="10"/>
  <c r="AI152" i="10"/>
  <c r="Z151" i="10"/>
  <c r="AM150" i="10"/>
  <c r="W150" i="10"/>
  <c r="AE149" i="10"/>
  <c r="AK148" i="10"/>
  <c r="AJ147" i="10"/>
  <c r="AB147" i="10"/>
  <c r="AH146" i="10"/>
  <c r="Z146" i="10"/>
  <c r="AN145" i="10"/>
  <c r="AF145" i="10"/>
  <c r="X145" i="10"/>
  <c r="AL144" i="10"/>
  <c r="AD144" i="10"/>
  <c r="AJ143" i="10"/>
  <c r="AB143" i="10"/>
  <c r="AH142" i="10"/>
  <c r="Z142" i="10"/>
  <c r="AN141" i="10"/>
  <c r="AF141" i="10"/>
  <c r="X141" i="10"/>
  <c r="AL140" i="10"/>
  <c r="AD140" i="10"/>
  <c r="AJ139" i="10"/>
  <c r="AB139" i="10"/>
  <c r="AH138" i="10"/>
  <c r="Z138" i="10"/>
  <c r="AN137" i="10"/>
  <c r="AF137" i="10"/>
  <c r="X137" i="10"/>
  <c r="AL136" i="10"/>
  <c r="AD136" i="10"/>
  <c r="AJ135" i="10"/>
  <c r="AB135" i="10"/>
  <c r="AH134" i="10"/>
  <c r="Z134" i="10"/>
  <c r="AN133" i="10"/>
  <c r="AF133" i="10"/>
  <c r="X133" i="10"/>
  <c r="AL132" i="10"/>
  <c r="AD132" i="10"/>
  <c r="AJ131" i="10"/>
  <c r="AB131" i="10"/>
  <c r="AH130" i="10"/>
  <c r="Z130" i="10"/>
  <c r="AN129" i="10"/>
  <c r="AF129" i="10"/>
  <c r="X129" i="10"/>
  <c r="AL128" i="10"/>
  <c r="AD128" i="10"/>
  <c r="AJ127" i="10"/>
  <c r="AB127" i="10"/>
  <c r="AH126" i="10"/>
  <c r="Z126" i="10"/>
  <c r="AN125" i="10"/>
  <c r="AF125" i="10"/>
  <c r="X125" i="10"/>
  <c r="Y128" i="10"/>
  <c r="AO128" i="10"/>
  <c r="AG129" i="10"/>
  <c r="AA130" i="10"/>
  <c r="AF131" i="10"/>
  <c r="W132" i="10"/>
  <c r="AM132" i="10"/>
  <c r="AA133" i="10"/>
  <c r="AK134" i="10"/>
  <c r="AD135" i="10"/>
  <c r="AG136" i="10"/>
  <c r="Y137" i="10"/>
  <c r="AO137" i="10"/>
  <c r="AI138" i="10"/>
  <c r="X139" i="10"/>
  <c r="AN139" i="10"/>
  <c r="AE140" i="10"/>
  <c r="AI141" i="10"/>
  <c r="AC142" i="10"/>
  <c r="AL143" i="10"/>
  <c r="Y144" i="10"/>
  <c r="AO144" i="10"/>
  <c r="AG145" i="10"/>
  <c r="AA146" i="10"/>
  <c r="AF147" i="10"/>
  <c r="Z148" i="10"/>
  <c r="AJ149" i="10"/>
  <c r="Y150" i="10"/>
  <c r="AA151" i="10"/>
  <c r="AA152" i="10"/>
  <c r="AJ153" i="10"/>
  <c r="AL154" i="10"/>
  <c r="Z155" i="10"/>
  <c r="AI156" i="10"/>
  <c r="AD157" i="10"/>
  <c r="AL158" i="10"/>
  <c r="AI159" i="10"/>
  <c r="AH160" i="10"/>
  <c r="AL161" i="10"/>
  <c r="AG162" i="10"/>
  <c r="I5" i="11"/>
  <c r="A19" i="11"/>
  <c r="O5" i="11"/>
  <c r="U8" i="11"/>
  <c r="M8" i="11"/>
  <c r="E8" i="11"/>
  <c r="T8" i="11"/>
  <c r="L8" i="11"/>
  <c r="C8" i="11"/>
  <c r="AA8" i="11"/>
  <c r="S8" i="11"/>
  <c r="K8" i="11"/>
  <c r="B8" i="11"/>
  <c r="V8" i="11"/>
  <c r="N8" i="11"/>
  <c r="F8" i="11"/>
  <c r="Q8" i="11"/>
  <c r="P8" i="11"/>
  <c r="O8" i="11"/>
  <c r="Z8" i="11"/>
  <c r="J8" i="11"/>
  <c r="Y8" i="11"/>
  <c r="X8" i="11"/>
  <c r="W8" i="11"/>
  <c r="R8" i="11"/>
  <c r="Y16" i="11"/>
  <c r="Q16" i="11"/>
  <c r="H16" i="11"/>
  <c r="V16" i="11"/>
  <c r="N16" i="11"/>
  <c r="E16" i="11"/>
  <c r="AA16" i="11"/>
  <c r="S16" i="11"/>
  <c r="J16" i="11"/>
  <c r="B16" i="11"/>
  <c r="Z16" i="11"/>
  <c r="R16" i="11"/>
  <c r="I16" i="11"/>
  <c r="T16" i="11"/>
  <c r="C16" i="11"/>
  <c r="P16" i="11"/>
  <c r="O16" i="11"/>
  <c r="M16" i="11"/>
  <c r="K16" i="11"/>
  <c r="X16" i="11"/>
  <c r="G16" i="11"/>
  <c r="W16" i="11"/>
  <c r="F16" i="11"/>
  <c r="U16" i="11"/>
  <c r="D16" i="11"/>
  <c r="Y24" i="11"/>
  <c r="P24" i="11"/>
  <c r="H24" i="11"/>
  <c r="X24" i="11"/>
  <c r="O24" i="11"/>
  <c r="G24" i="11"/>
  <c r="W24" i="11"/>
  <c r="N24" i="11"/>
  <c r="V24" i="11"/>
  <c r="M24" i="11"/>
  <c r="E24" i="11"/>
  <c r="AA24" i="11"/>
  <c r="R24" i="11"/>
  <c r="J24" i="11"/>
  <c r="B24" i="11"/>
  <c r="Z24" i="11"/>
  <c r="Q24" i="11"/>
  <c r="I24" i="11"/>
  <c r="L24" i="11"/>
  <c r="K24" i="11"/>
  <c r="F24" i="11"/>
  <c r="D24" i="11"/>
  <c r="C24" i="11"/>
  <c r="U24" i="11"/>
  <c r="S24" i="11"/>
  <c r="X29" i="11"/>
  <c r="P29" i="11"/>
  <c r="H29" i="11"/>
  <c r="T29" i="11"/>
  <c r="L29" i="11"/>
  <c r="D29" i="11"/>
  <c r="AA29" i="11"/>
  <c r="R29" i="11"/>
  <c r="J29" i="11"/>
  <c r="B29" i="11"/>
  <c r="O29" i="11"/>
  <c r="C29" i="11"/>
  <c r="N29" i="11"/>
  <c r="Z29" i="11"/>
  <c r="M29" i="11"/>
  <c r="W29" i="11"/>
  <c r="K29" i="11"/>
  <c r="V29" i="11"/>
  <c r="I29" i="11"/>
  <c r="U29" i="11"/>
  <c r="G29" i="11"/>
  <c r="S29" i="11"/>
  <c r="F29" i="11"/>
  <c r="Q29" i="11"/>
  <c r="E29" i="11"/>
  <c r="Z128" i="10"/>
  <c r="AH129" i="10"/>
  <c r="AB130" i="10"/>
  <c r="AK131" i="10"/>
  <c r="X132" i="10"/>
  <c r="AN132" i="10"/>
  <c r="AB133" i="10"/>
  <c r="AL134" i="10"/>
  <c r="AE135" i="10"/>
  <c r="AH136" i="10"/>
  <c r="Z137" i="10"/>
  <c r="AJ138" i="10"/>
  <c r="AC139" i="10"/>
  <c r="AF140" i="10"/>
  <c r="AJ141" i="10"/>
  <c r="AD142" i="10"/>
  <c r="W143" i="10"/>
  <c r="AM143" i="10"/>
  <c r="Z144" i="10"/>
  <c r="AH145" i="10"/>
  <c r="AB146" i="10"/>
  <c r="AK147" i="10"/>
  <c r="AA148" i="10"/>
  <c r="AK149" i="10"/>
  <c r="AD150" i="10"/>
  <c r="AF151" i="10"/>
  <c r="AJ152" i="10"/>
  <c r="AK153" i="10"/>
  <c r="AM154" i="10"/>
  <c r="AA155" i="10"/>
  <c r="AJ156" i="10"/>
  <c r="AE157" i="10"/>
  <c r="AM158" i="10"/>
  <c r="AN159" i="10"/>
  <c r="AI160" i="10"/>
  <c r="AM161" i="10"/>
  <c r="G7" i="12"/>
  <c r="F7" i="12"/>
  <c r="F22" i="12"/>
  <c r="G22" i="12"/>
  <c r="G23" i="12"/>
  <c r="F23" i="12"/>
  <c r="F14" i="12"/>
  <c r="G14" i="12"/>
  <c r="F38" i="12"/>
  <c r="G38" i="12"/>
  <c r="G39" i="12"/>
  <c r="F39" i="12"/>
  <c r="F6" i="12"/>
  <c r="G6" i="12"/>
  <c r="F30" i="12"/>
  <c r="G30" i="12"/>
  <c r="G16" i="12"/>
  <c r="G32" i="12"/>
  <c r="AB10" i="15"/>
  <c r="AB22" i="15"/>
  <c r="Q7" i="16"/>
  <c r="Q13" i="16"/>
  <c r="AB16" i="15"/>
  <c r="Q17" i="16"/>
  <c r="Q23" i="16"/>
  <c r="Q29" i="16"/>
  <c r="F15" i="12"/>
  <c r="F31" i="12"/>
  <c r="AB8" i="15"/>
  <c r="D4" i="12"/>
  <c r="C5" i="12"/>
  <c r="D5" i="12" s="1"/>
  <c r="E5" i="12" s="1"/>
  <c r="AB18" i="15"/>
  <c r="Q9" i="16"/>
  <c r="Q15" i="16"/>
  <c r="Q21" i="16"/>
  <c r="AB6" i="15"/>
  <c r="C2" i="18"/>
  <c r="F9" i="12"/>
  <c r="G18" i="12"/>
  <c r="F25" i="12"/>
  <c r="G34" i="12"/>
  <c r="F41" i="12"/>
  <c r="D11" i="8" l="1"/>
  <c r="R11" i="8" s="1"/>
  <c r="S11" i="8" s="1"/>
  <c r="AG17" i="7"/>
  <c r="C19" i="8"/>
  <c r="R19" i="8" s="1"/>
  <c r="S19" i="8" s="1"/>
  <c r="F18" i="6"/>
  <c r="G36" i="6"/>
  <c r="D37" i="8"/>
  <c r="AG12" i="7"/>
  <c r="G28" i="6"/>
  <c r="F28" i="6"/>
  <c r="D29" i="8"/>
  <c r="R29" i="8" s="1"/>
  <c r="S29" i="8" s="1"/>
  <c r="G42" i="6"/>
  <c r="D43" i="8"/>
  <c r="I15" i="4"/>
  <c r="P15" i="4" s="1"/>
  <c r="F34" i="3"/>
  <c r="G34" i="3" s="1"/>
  <c r="I45" i="4"/>
  <c r="P45" i="4" s="1"/>
  <c r="F13" i="3"/>
  <c r="G13" i="3" s="1"/>
  <c r="I10" i="4"/>
  <c r="P10" i="4" s="1"/>
  <c r="F45" i="3"/>
  <c r="G45" i="3" s="1"/>
  <c r="F10" i="3"/>
  <c r="G10" i="3" s="1"/>
  <c r="F13" i="6"/>
  <c r="C14" i="8"/>
  <c r="R14" i="8" s="1"/>
  <c r="S14" i="8" s="1"/>
  <c r="AG21" i="11"/>
  <c r="E7" i="6"/>
  <c r="AG8" i="7"/>
  <c r="F17" i="6"/>
  <c r="C18" i="8"/>
  <c r="R18" i="8" s="1"/>
  <c r="S18" i="8" s="1"/>
  <c r="AG14" i="11"/>
  <c r="C43" i="8"/>
  <c r="R43" i="8" s="1"/>
  <c r="S43" i="8" s="1"/>
  <c r="F42" i="6"/>
  <c r="I7" i="4"/>
  <c r="P7" i="4" s="1"/>
  <c r="F7" i="3"/>
  <c r="G7" i="3" s="1"/>
  <c r="I43" i="4"/>
  <c r="P43" i="4" s="1"/>
  <c r="F40" i="3"/>
  <c r="G40" i="3" s="1"/>
  <c r="I3" i="4"/>
  <c r="P3" i="4" s="1"/>
  <c r="F3" i="3"/>
  <c r="G3" i="3" s="1"/>
  <c r="I14" i="4"/>
  <c r="P14" i="4" s="1"/>
  <c r="F39" i="3"/>
  <c r="G39" i="3" s="1"/>
  <c r="F23" i="3"/>
  <c r="G23" i="3" s="1"/>
  <c r="I36" i="4"/>
  <c r="P36" i="4" s="1"/>
  <c r="F12" i="3"/>
  <c r="G12" i="3" s="1"/>
  <c r="I12" i="4"/>
  <c r="P12" i="4" s="1"/>
  <c r="F9" i="3"/>
  <c r="G9" i="3" s="1"/>
  <c r="I9" i="4"/>
  <c r="P9" i="4" s="1"/>
  <c r="F33" i="3"/>
  <c r="G33" i="3" s="1"/>
  <c r="C20" i="8"/>
  <c r="R20" i="8" s="1"/>
  <c r="S20" i="8" s="1"/>
  <c r="F19" i="6"/>
  <c r="C7" i="8"/>
  <c r="R7" i="8" s="1"/>
  <c r="S7" i="8" s="1"/>
  <c r="F6" i="6"/>
  <c r="C35" i="8"/>
  <c r="R35" i="8" s="1"/>
  <c r="S35" i="8" s="1"/>
  <c r="F34" i="6"/>
  <c r="C45" i="8"/>
  <c r="R45" i="8" s="1"/>
  <c r="S45" i="8" s="1"/>
  <c r="F44" i="6"/>
  <c r="I11" i="4"/>
  <c r="P11" i="4" s="1"/>
  <c r="F11" i="3"/>
  <c r="G11" i="3" s="1"/>
  <c r="F6" i="3"/>
  <c r="G6" i="3" s="1"/>
  <c r="I6" i="4"/>
  <c r="P6" i="4" s="1"/>
  <c r="F38" i="3"/>
  <c r="G38" i="3" s="1"/>
  <c r="F15" i="6"/>
  <c r="C16" i="8"/>
  <c r="R16" i="8" s="1"/>
  <c r="S16" i="8" s="1"/>
  <c r="C27" i="8"/>
  <c r="R27" i="8" s="1"/>
  <c r="S27" i="8" s="1"/>
  <c r="F26" i="6"/>
  <c r="AG24" i="11"/>
  <c r="AG26" i="11"/>
  <c r="G5" i="12"/>
  <c r="F5" i="12"/>
  <c r="E5" i="6"/>
  <c r="AG6" i="7"/>
  <c r="E4" i="12"/>
  <c r="E19" i="2"/>
  <c r="E20" i="2"/>
  <c r="E18" i="2"/>
  <c r="AG31" i="11"/>
  <c r="AG25" i="11"/>
  <c r="D46" i="8"/>
  <c r="R46" i="8" s="1"/>
  <c r="S46" i="8" s="1"/>
  <c r="G45" i="6"/>
  <c r="F45" i="6"/>
  <c r="C39" i="8"/>
  <c r="R39" i="8" s="1"/>
  <c r="S39" i="8" s="1"/>
  <c r="F38" i="6"/>
  <c r="C17" i="8"/>
  <c r="R17" i="8" s="1"/>
  <c r="S17" i="8" s="1"/>
  <c r="F16" i="6"/>
  <c r="C41" i="8"/>
  <c r="R41" i="8" s="1"/>
  <c r="S41" i="8" s="1"/>
  <c r="F40" i="6"/>
  <c r="D10" i="8"/>
  <c r="R10" i="8" s="1"/>
  <c r="S10" i="8" s="1"/>
  <c r="G9" i="6"/>
  <c r="C15" i="8"/>
  <c r="R15" i="8" s="1"/>
  <c r="S15" i="8" s="1"/>
  <c r="F14" i="6"/>
  <c r="I51" i="3"/>
  <c r="F4" i="3"/>
  <c r="G4" i="3" s="1"/>
  <c r="F37" i="3"/>
  <c r="G37" i="3" s="1"/>
  <c r="I4" i="4"/>
  <c r="P4" i="4" s="1"/>
  <c r="F41" i="3"/>
  <c r="G41" i="3" s="1"/>
  <c r="I44" i="4"/>
  <c r="P44" i="4" s="1"/>
  <c r="E3" i="6"/>
  <c r="AG4" i="7"/>
  <c r="C47" i="8"/>
  <c r="R47" i="8" s="1"/>
  <c r="S47" i="8" s="1"/>
  <c r="F46" i="6"/>
  <c r="F12" i="6"/>
  <c r="C13" i="8"/>
  <c r="R13" i="8" s="1"/>
  <c r="S13" i="8" s="1"/>
  <c r="AG20" i="11"/>
  <c r="AG17" i="11"/>
  <c r="AG29" i="11"/>
  <c r="AG8" i="11"/>
  <c r="AG10" i="11"/>
  <c r="AG30" i="11"/>
  <c r="AG6" i="11"/>
  <c r="D42" i="8"/>
  <c r="R42" i="8" s="1"/>
  <c r="S42" i="8" s="1"/>
  <c r="G41" i="6"/>
  <c r="F41" i="6"/>
  <c r="C5" i="8"/>
  <c r="R5" i="8" s="1"/>
  <c r="S5" i="8" s="1"/>
  <c r="F4" i="6"/>
  <c r="AG23" i="11"/>
  <c r="C37" i="8"/>
  <c r="R37" i="8" s="1"/>
  <c r="S37" i="8" s="1"/>
  <c r="F36" i="6"/>
  <c r="E11" i="2"/>
  <c r="E10" i="2"/>
  <c r="AG12" i="11"/>
  <c r="AG18" i="11"/>
  <c r="AG9" i="11"/>
  <c r="AG11" i="11"/>
  <c r="AG22" i="11"/>
  <c r="D38" i="8"/>
  <c r="R38" i="8" s="1"/>
  <c r="S38" i="8" s="1"/>
  <c r="G37" i="6"/>
  <c r="F37" i="6"/>
  <c r="C31" i="8"/>
  <c r="R31" i="8" s="1"/>
  <c r="S31" i="8" s="1"/>
  <c r="F30" i="6"/>
  <c r="C33" i="8"/>
  <c r="R33" i="8" s="1"/>
  <c r="S33" i="8" s="1"/>
  <c r="F32" i="6"/>
  <c r="AG7" i="11"/>
  <c r="I13" i="4"/>
  <c r="P13" i="4" s="1"/>
  <c r="F32" i="3"/>
  <c r="G32" i="3" s="1"/>
  <c r="F8" i="3"/>
  <c r="G8" i="3" s="1"/>
  <c r="I8" i="4"/>
  <c r="P8" i="4" s="1"/>
  <c r="F22" i="3"/>
  <c r="G22" i="3" s="1"/>
  <c r="I30" i="4"/>
  <c r="P30" i="4" s="1"/>
  <c r="C23" i="8"/>
  <c r="R23" i="8" s="1"/>
  <c r="S23" i="8" s="1"/>
  <c r="F22" i="6"/>
  <c r="AG16" i="11"/>
  <c r="AG27" i="11"/>
  <c r="C3" i="8"/>
  <c r="R3" i="8" s="1"/>
  <c r="F2" i="6"/>
  <c r="C9" i="8"/>
  <c r="R9" i="8" s="1"/>
  <c r="S9" i="8" s="1"/>
  <c r="F8" i="6"/>
  <c r="D34" i="8"/>
  <c r="R34" i="8" s="1"/>
  <c r="S34" i="8" s="1"/>
  <c r="G33" i="6"/>
  <c r="F33" i="6"/>
  <c r="C12" i="8"/>
  <c r="R12" i="8" s="1"/>
  <c r="S12" i="8" s="1"/>
  <c r="F11" i="6"/>
  <c r="AG28" i="11"/>
  <c r="AG15" i="11"/>
  <c r="E23" i="2"/>
  <c r="F5" i="3"/>
  <c r="G5" i="3" s="1"/>
  <c r="I5" i="4"/>
  <c r="P5" i="4" s="1"/>
  <c r="I39" i="4"/>
  <c r="P39" i="4" s="1"/>
  <c r="F44" i="3"/>
  <c r="G44" i="3" s="1"/>
  <c r="C4" i="8" l="1"/>
  <c r="R4" i="8" s="1"/>
  <c r="S4" i="8" s="1"/>
  <c r="F3" i="6"/>
  <c r="S3" i="8"/>
  <c r="F4" i="12"/>
  <c r="G4" i="12"/>
  <c r="L33" i="3"/>
  <c r="K33" i="3"/>
  <c r="J33" i="3"/>
  <c r="I33" i="3"/>
  <c r="L37" i="3"/>
  <c r="I37" i="3"/>
  <c r="K37" i="3"/>
  <c r="J37" i="3"/>
  <c r="F5" i="6"/>
  <c r="C6" i="8"/>
  <c r="R6" i="8" s="1"/>
  <c r="S6" i="8" s="1"/>
  <c r="K3" i="3"/>
  <c r="G50" i="3"/>
  <c r="L51" i="3" s="1"/>
  <c r="L3" i="3"/>
  <c r="L27" i="3"/>
  <c r="K14" i="3"/>
  <c r="L46" i="3"/>
  <c r="L35" i="3"/>
  <c r="K15" i="3"/>
  <c r="J3" i="3"/>
  <c r="L43" i="3"/>
  <c r="G24" i="3"/>
  <c r="I3" i="3"/>
  <c r="K20" i="3"/>
  <c r="L15" i="3"/>
  <c r="L14" i="3"/>
  <c r="K19" i="3"/>
  <c r="L16" i="3"/>
  <c r="L18" i="3"/>
  <c r="K17" i="3"/>
  <c r="L17" i="3"/>
  <c r="K21" i="3"/>
  <c r="L29" i="3"/>
  <c r="L42" i="3"/>
  <c r="L21" i="3"/>
  <c r="L19" i="3"/>
  <c r="L20" i="3"/>
  <c r="K16" i="3"/>
  <c r="L28" i="3"/>
  <c r="L36" i="3"/>
  <c r="L30" i="3"/>
  <c r="K18" i="3"/>
  <c r="L31" i="3"/>
  <c r="K10" i="3"/>
  <c r="I10" i="3"/>
  <c r="L10" i="3"/>
  <c r="J10" i="3"/>
  <c r="J4" i="3"/>
  <c r="I4" i="3"/>
  <c r="L4" i="3"/>
  <c r="K4" i="3"/>
  <c r="I9" i="3"/>
  <c r="L9" i="3"/>
  <c r="K9" i="3"/>
  <c r="J9" i="3"/>
  <c r="L45" i="3"/>
  <c r="K45" i="3"/>
  <c r="J45" i="3"/>
  <c r="I45" i="3"/>
  <c r="J2" i="11"/>
  <c r="I5" i="3"/>
  <c r="L5" i="3"/>
  <c r="K5" i="3"/>
  <c r="J5" i="3"/>
  <c r="L38" i="3"/>
  <c r="K38" i="3"/>
  <c r="J38" i="3"/>
  <c r="I38" i="3"/>
  <c r="L40" i="3"/>
  <c r="I40" i="3"/>
  <c r="K40" i="3"/>
  <c r="K22" i="3"/>
  <c r="L22" i="3"/>
  <c r="J22" i="3"/>
  <c r="I22" i="3"/>
  <c r="L12" i="3"/>
  <c r="K12" i="3"/>
  <c r="J12" i="3"/>
  <c r="I12" i="3"/>
  <c r="C8" i="8"/>
  <c r="R8" i="8" s="1"/>
  <c r="S8" i="8" s="1"/>
  <c r="F7" i="6"/>
  <c r="I13" i="3"/>
  <c r="J13" i="3"/>
  <c r="L13" i="3"/>
  <c r="K13" i="3"/>
  <c r="K6" i="3"/>
  <c r="I6" i="3"/>
  <c r="J6" i="3"/>
  <c r="L6" i="3"/>
  <c r="K7" i="3"/>
  <c r="L7" i="3"/>
  <c r="I7" i="3"/>
  <c r="J7" i="3"/>
  <c r="J8" i="3"/>
  <c r="I8" i="3"/>
  <c r="L8" i="3"/>
  <c r="K8" i="3"/>
  <c r="K11" i="3"/>
  <c r="J11" i="3"/>
  <c r="I11" i="3"/>
  <c r="L11" i="3"/>
  <c r="K23" i="3"/>
  <c r="J23" i="3"/>
  <c r="I23" i="3"/>
  <c r="L23" i="3"/>
  <c r="I34" i="3"/>
  <c r="L34" i="3"/>
  <c r="K34" i="3"/>
  <c r="J34" i="3"/>
  <c r="K44" i="3"/>
  <c r="L44" i="3"/>
  <c r="I44" i="3"/>
  <c r="L32" i="3"/>
  <c r="J32" i="3"/>
  <c r="I32" i="3"/>
  <c r="K32" i="3"/>
  <c r="K27" i="3"/>
  <c r="K43" i="3"/>
  <c r="K35" i="3"/>
  <c r="G47" i="3"/>
  <c r="K46" i="3"/>
  <c r="K30" i="3"/>
  <c r="K29" i="3"/>
  <c r="K28" i="3"/>
  <c r="K36" i="3"/>
  <c r="K31" i="3"/>
  <c r="K42" i="3"/>
  <c r="L41" i="3"/>
  <c r="K41" i="3"/>
  <c r="I41" i="3"/>
  <c r="J39" i="3"/>
  <c r="I39" i="3"/>
  <c r="L39" i="3"/>
  <c r="K39" i="3"/>
  <c r="K24" i="3" l="1"/>
  <c r="I47" i="3"/>
  <c r="J48" i="3" s="1"/>
  <c r="L47" i="3"/>
  <c r="L24" i="3"/>
  <c r="K47" i="3"/>
  <c r="I50" i="3"/>
  <c r="I24" i="3"/>
  <c r="J47" i="3"/>
  <c r="E28" i="2"/>
  <c r="J3" i="11"/>
  <c r="E14" i="2" s="1"/>
  <c r="E15" i="2"/>
  <c r="J24" i="3" l="1"/>
  <c r="J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2" authorId="0" shapeId="0" xr:uid="{00000000-0006-0000-0200-000001000000}">
      <text>
        <r>
          <rPr>
            <sz val="10"/>
            <rFont val="Arial"/>
            <family val="2"/>
          </rPr>
          <t>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G5" authorId="0" shapeId="0" xr:uid="{00000000-0006-0000-0A00-000001000000}">
      <text>
        <r>
          <rPr>
            <sz val="10"/>
            <rFont val="Arial"/>
            <family val="2"/>
          </rPr>
          <t>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4" authorId="0" shapeId="0" xr:uid="{00000000-0006-0000-1100-000001000000}">
      <text>
        <r>
          <rPr>
            <sz val="10"/>
            <rFont val="Arial"/>
            <family val="2"/>
          </rPr>
          <t>Event must match a value in Journal col B exactly (case-sensitive) for the Event Due Date lookup to resolve -- e.g. 'DCA-CATCHUP-7', not 'Catchup 7' or 'DCA CATCHUP 7'. If Journal's event codes ever get renamed, update here too.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4" authorId="0" shapeId="0" xr:uid="{00000000-0006-0000-1200-000001000000}">
      <text>
        <r>
          <rPr>
            <sz val="10"/>
            <rFont val="Arial"/>
            <family val="2"/>
          </rPr>
          <t>Priority order, not a stable ticket ID -- fine to renumber when priorities change or a new item gets inserted partway down the list.</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futureMetadata>
  <valueMetadata count="4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valueMetadata>
</metadata>
</file>

<file path=xl/sharedStrings.xml><?xml version="1.0" encoding="utf-8"?>
<sst xmlns="http://schemas.openxmlformats.org/spreadsheetml/2006/main" count="2191" uniqueCount="864">
  <si>
    <t>THE LANDRY FAMILY EQUITY INVESTMENT OPERATING SYSTEM — 
STOCK SCORING &amp; PORTFOLIO RISK WORKBOOK</t>
  </si>
  <si>
    <t>Companion workbook to Landry System v1.03. Aligned to: Version 1.03 (50 Hard Rules, Parts 1–12).</t>
  </si>
  <si>
    <t>If the Word document's rule numbers ever change in a future revision, check this line and the rule</t>
  </si>
  <si>
    <t>references throughout this workbook before relying on them.</t>
  </si>
  <si>
    <t>HOW TO USE THIS WORKBOOK</t>
  </si>
  <si>
    <t>1. Market Data tab — enter or refresh price, volume, market cap, P/E, 52-week range, and dividend</t>
  </si>
  <si>
    <t>yield for each tracked ticker. Blue cells only. See that tab's note on optional live-data refresh.</t>
  </si>
  <si>
    <t>2. Scoring tab — during a scoring session, enter each Tier 1/2/3 indicator's score (1–5) and Confidence</t>
  </si>
  <si>
    <t>tag (H/M/L) per Part 2's rubrics. The Composite Score, decision classification, and hard-rule flags</t>
  </si>
  <si>
    <t>(Rules 1–4) calculate automatically.</t>
  </si>
  <si>
    <t>3. Dashboard tab — read-only summary of every tracked stock, sortable by Composite Score.</t>
  </si>
  <si>
    <t>4. Price History / Returns (Calc) / Correlation Matrix tabs — enter weekly closing prices for current</t>
  </si>
  <si>
    <t>holdings (ex-cash-sweep); pairwise correlation and the Rule 38 per-position violation flag calculate automatically.</t>
  </si>
  <si>
    <t>5. Portfolio Drawdown Log tab — enter portfolio value at each review date; running peak, drawdown %,</t>
  </si>
  <si>
    <t>and the Part 7 response status (Normal/Elevated/Severe/Critical) calculate automatically.</t>
  </si>
  <si>
    <t>RULE REFERENCE (Landry System v1.03)</t>
  </si>
  <si>
    <t>Rules 1–4 (Part 3) — Tier 1 floor of 3.0, mandatory review of any Tier 1 score of 1, automatic Avoid if</t>
  </si>
  <si>
    <t>two or more Tier 1 indicators score 2.0 or below, and the Strong Buy cap when two or more Tier 1</t>
  </si>
  <si>
    <t>indicators are tagged Low Confidence.</t>
  </si>
  <si>
    <t>Rule 38 (Part 7) — Correlation Cap: no position may carry pairwise correlation above 0.70 with more</t>
  </si>
  <si>
    <t>than one other holding at the same time.</t>
  </si>
  <si>
    <t>Rule 39 (Part 7) — Portfolio drawdown response levels apply automatically; only a documented Tier 1</t>
  </si>
  <si>
    <t>re-score restores normal sizing for an affected security.</t>
  </si>
  <si>
    <t>Rule 34 (Part 6, added 2026-09-13) — Early Partial Trim: a holding in Probationary Hold (50–64) whose</t>
  </si>
  <si>
    <t>triggering indicator(s) are reconfirmed unimproved before the 90-day re-score is trimmed by one-third; may recur up to 3x.</t>
  </si>
  <si>
    <t>Decision thresholds (Part 3): 80–100 Strong Buy | 65–79 Buy | 50–64 Watch List | 35–49 Avoid | &lt;35 Pass.</t>
  </si>
  <si>
    <t>Drawdown response (Part 7): 0–10% Normal | 10–20% Elevated | 20–30% Severe | 30%+ Critical.</t>
  </si>
  <si>
    <t>COLOR LEGEND</t>
  </si>
  <si>
    <t>Dark blue text on light blue fill = input cell (type here). Black text, no fill = calculated (do not overwrite -- formulas live here). Colored fill on Decision/Status/Recheck cells reflects the classification band (green/yellow/orange/red), separate from the input/formula distinction above.</t>
  </si>
  <si>
    <t>reflects the classification band.</t>
  </si>
  <si>
    <t>SCHEMA REFERENCE</t>
  </si>
  <si>
    <t>See the Schema Reference tab (last tab) for the exact column layout of every tab -- built for handoff to Claude Code or any future programmatic access.</t>
  </si>
  <si>
    <t>WORKFLOW POLICY (established 8/12/26)</t>
  </si>
  <si>
    <t>Watch List Tracker: entries added when a scored position (owned or candidate) lands in Probationary</t>
  </si>
  <si>
    <t>Hold/Exit Review, or an owned position's re-score triggers Rule 3. Claude flags it; the analyst confirms</t>
  </si>
  <si>
    <t>the classification and any remediation decision.</t>
  </si>
  <si>
    <t>Implied-Return Calculator: populated when a candidate moves from screened toward actual entry</t>
  </si>
  <si>
    <t>consideration (Rules 11-13 prep).</t>
  </si>
  <si>
    <t>Holding Monitor: populated during scheduled quarterly reviews / fundamental refreshes (see Journal for</t>
  </si>
  <si>
    <t>the standing calendar).</t>
  </si>
  <si>
    <t>Performance Tracking: populated the same moment a confirmed trade updates Current Positions.</t>
  </si>
  <si>
    <t>Journal: for decisions, reasoning, and corrections that don't have a natural home in a structured tab -- not a duplicate of what the Scoring/Correlation/Drawdown tabs already record as data.</t>
  </si>
  <si>
    <t>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</si>
  <si>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Monitor &amp; Recheck Triggers: col G (Price at Last Score) is stamped every time a ticker is re-scored on the Scoring tab -- not tied to a fixed review cadence, since re-scores happen for reasons beyond scheduled reviews (see Journal, e.g. VRTX 8/7/26). Col H (Current Price) is a live</t>
  </si>
  <si>
    <t>STOCKHISTORY formula, manual recalc. Col J (Next Earnings Date) is Claude-populated via yfinance on the same cadence as Price History, since Excel has no native earnings-date field without a 3rd-party add-in (confirmed 2026-08-26).</t>
  </si>
  <si>
    <t>Price History: ticker list tracks current holdings (ex-cash-sweep) exactly, added/removed when a</t>
  </si>
  <si>
    <t>position opens/fully exits. Weekly closes are Claude-populated (fetch_daily/weekly_closes in</t>
  </si>
  <si>
    <t>landry.data_auto, same tooling as Market Data) as of 2026-08-26 -- previously Alan pulled via</t>
  </si>
  <si>
    <t>yFinance and handed it to Claude to enter; now Claude fetches and writes directly, refreshed</t>
  </si>
  <si>
    <t>periodically, not live. Only write fully-completed weeks (week-ending Friday has occurred) --</t>
  </si>
  <si>
    <t>a partial current week resamples to a misleading "Friday" label before Friday actually happens.</t>
  </si>
  <si>
    <t>ACTION ITEMS — everything requiring your decision, pulled live from every other tab. Everything else in this workbook is reference; this is what to open.</t>
  </si>
  <si>
    <t>Refresh by opening the workbook (F9 recalculates); all cells below are live formulas, nothing here is typed.</t>
  </si>
  <si>
    <t>1. WATCH LIST — Rules 32-36 (see Watch List Tracker tab for detail)</t>
  </si>
  <si>
    <t>Deadlines passed (sell required within 30 days):</t>
  </si>
  <si>
    <t>Deadlines approaching (within 14 days):</t>
  </si>
  <si>
    <t>Recovered — ready to remove/reclassify:</t>
  </si>
  <si>
    <t>2. ACTIVE SELL TRIGGERS — Rules 22-31 (see Holding Monitor tab for detail)</t>
  </si>
  <si>
    <t>Holdings with action required within 30 days:</t>
  </si>
  <si>
    <t>Holdings under Hold Through (monitor only, no action):</t>
  </si>
  <si>
    <t>3. CORRELATION CAP — Rule 38 (see Correlation Matrix tab for detail)</t>
  </si>
  <si>
    <t>Rule 38 status:</t>
  </si>
  <si>
    <t>Positions exceeding cap:</t>
  </si>
  <si>
    <t>4. PORTFOLIO DRAWDOWN STATUS — Rule 39 (see Portfolio Drawdown Log tab for detail)</t>
  </si>
  <si>
    <t>Most recent recorded status:</t>
  </si>
  <si>
    <t>Most recent drawdown %:</t>
  </si>
  <si>
    <t>Required cash floor at this level:</t>
  </si>
  <si>
    <t>5. CANDIDATE SCORING FLAGS — Rules 1-4 (see Scoring tab for detail)</t>
  </si>
  <si>
    <t>Candidates failing the Tier 1 floor, 3.0 (Rule 1):</t>
  </si>
  <si>
    <t>Stocks flagged Avoid by Rule 3 (candidates and holdings):</t>
  </si>
  <si>
    <t>Candidates flagged for mandatory Tier 1 review (Rule 2):</t>
  </si>
  <si>
    <t>Candidates capped at Buy despite Strong Buy score (Rule 4):</t>
  </si>
  <si>
    <t>6. ENTRY AUTHORIZATION — Rules 5-13 (see Entry Checklist tab for detail)</t>
  </si>
  <si>
    <t>Candidates NOT authorized to enter (failing one or more Entry Rules):</t>
  </si>
  <si>
    <t>Candidates authorized, staged at reduced size (50%, per Rules 8-9):</t>
  </si>
  <si>
    <t>7. PIOTROSKI CROSS-CHECKS -- RETIRED 9/11/26. Tested on an 8-ticker diagnostic batch, dropped as redundant for how this system is actually used (see Journal row 42-43). Historical data left in place at Scoring cols AN-AS as a record of the experiment; no longer live-tallied here.</t>
  </si>
  <si>
    <t>Candidates flagged LOW CONF on Accruals (CFO does not exceed Net Income):</t>
  </si>
  <si>
    <t>Candidates with Debt/FCF trending up year-over-year:</t>
  </si>
  <si>
    <t>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</si>
  <si>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TAX-LOSS CARRYFORWARD (update annually)</t>
  </si>
  <si>
    <t>Account</t>
  </si>
  <si>
    <t>Ticker</t>
  </si>
  <si>
    <t>Description</t>
  </si>
  <si>
    <t>Asset Class</t>
  </si>
  <si>
    <t>Quantity</t>
  </si>
  <si>
    <t>Price
($)</t>
  </si>
  <si>
    <t>Market Value
($)</t>
  </si>
  <si>
    <t>Cost Basis
($)</t>
  </si>
  <si>
    <t>Unrealized G/L ($)</t>
  </si>
  <si>
    <t>Unrealized G/L (%)</t>
  </si>
  <si>
    <t>% of Account</t>
  </si>
  <si>
    <t>% of Combined Portfolio</t>
  </si>
  <si>
    <t>Classification / Notes (fill at review)</t>
  </si>
  <si>
    <t>Short-Term Loss Carryforward:</t>
  </si>
  <si>
    <t>JT ULTRA (Fidelity)</t>
  </si>
  <si>
    <t>ADBE</t>
  </si>
  <si>
    <t>Adobe Inc.</t>
  </si>
  <si>
    <t>Equity</t>
  </si>
  <si>
    <t>BOUGHT +20sh 8/7/26 @ $266.38 -- DCA tranche 1 diversifier add</t>
  </si>
  <si>
    <t>Long-Term Loss Carryforward:</t>
  </si>
  <si>
    <t>ANET</t>
  </si>
  <si>
    <t>Arista Networks</t>
  </si>
  <si>
    <t>ASML</t>
  </si>
  <si>
    <t>ASML Holding</t>
  </si>
  <si>
    <t>CRWD</t>
  </si>
  <si>
    <t>CrowdStrike Holdings</t>
  </si>
  <si>
    <t>KLAC</t>
  </si>
  <si>
    <t>KLA Corporation</t>
  </si>
  <si>
    <t>MU</t>
  </si>
  <si>
    <t>Micron Technology</t>
  </si>
  <si>
    <t>NVDA</t>
  </si>
  <si>
    <t>NVIDIA Corporation</t>
  </si>
  <si>
    <t>PLTR</t>
  </si>
  <si>
    <t>Palantir Technologies</t>
  </si>
  <si>
    <t>TSM</t>
  </si>
  <si>
    <t>Taiwan Semiconductor</t>
  </si>
  <si>
    <t>VRT</t>
  </si>
  <si>
    <t>Vertiv Holdings</t>
  </si>
  <si>
    <t>V</t>
  </si>
  <si>
    <t>Visa Inc.</t>
  </si>
  <si>
    <t>NEW position 9/8/26 -- DCA-TRANCHE-2, opened per Entry Checklist authorization (Composite 86.4, STRONG BUY). 2 lots: 25sh @ $368.38 + 25sh @ $369.565.</t>
  </si>
  <si>
    <t>FZDXX</t>
  </si>
  <si>
    <t>Fidelity Money Market Premium</t>
  </si>
  <si>
    <t>Cash</t>
  </si>
  <si>
    <t>FZFXX</t>
  </si>
  <si>
    <t>Fidelity Core Money Market</t>
  </si>
  <si>
    <t>DVY</t>
  </si>
  <si>
    <t>iShares Select Dividend ETF</t>
  </si>
  <si>
    <t>NEW position since 8/5/26 -- cash/dry powder per Alan 9/7/26, not a scored Landry position.</t>
  </si>
  <si>
    <t>VFLO</t>
  </si>
  <si>
    <t>VictoryShares Free Cash Flow ETF</t>
  </si>
  <si>
    <t>NEW to this account since 8/5/26 (already held in Self-Directed) -- cash/dry powder per Alan 9/7/26, not a scored Landry position.</t>
  </si>
  <si>
    <t>SCHD</t>
  </si>
  <si>
    <t>Schwab US Dividend Equity ETF</t>
  </si>
  <si>
    <t>VYM</t>
  </si>
  <si>
    <t>Vanguard High Dividend Yield ETF</t>
  </si>
  <si>
    <t>MLPI</t>
  </si>
  <si>
    <t>NEOS MLP &amp; Energy Income ETF</t>
  </si>
  <si>
    <t>SPMO</t>
  </si>
  <si>
    <t>Invesco S&amp;P 500 Momentum ETF</t>
  </si>
  <si>
    <t>GE</t>
  </si>
  <si>
    <t>GE Aerospace</t>
  </si>
  <si>
    <t>NEW position 9/30/26 -- DCA-CATCHUP-1, opened per Composite 84.2 STRONG BUY (rescored 9/13/26, reconfirmed fresh 9/29/26, zero Tier 1 drift). 75sh @ $314.71.</t>
  </si>
  <si>
    <t>NFLX</t>
  </si>
  <si>
    <t>Netflix, Inc.</t>
  </si>
  <si>
    <t>NEW position 9/30/26 -- DCA-CATCHUP-1, opened per Composite 83.8 STRONG BUY (rescored 9/13/26, reconfirmed fresh 9/29/26, zero Tier 1 drift). 300sh @ $69.795.</t>
  </si>
  <si>
    <t>Positions</t>
  </si>
  <si>
    <t>JT ULTRA (Fidelity) SUBTOTAL</t>
  </si>
  <si>
    <t>Excluding Cash</t>
  </si>
  <si>
    <t>Self-Directed (Chase)</t>
  </si>
  <si>
    <t>VMFXX</t>
  </si>
  <si>
    <t>Vanguard Federal Money Market</t>
  </si>
  <si>
    <t>JEPQ</t>
  </si>
  <si>
    <t>JPMorgan Nasdaq Equity Premium Income ETF</t>
  </si>
  <si>
    <t>Alternative Assets</t>
  </si>
  <si>
    <t>Qty 840.4-&gt;850.4sh since 8/5, likely DRIP reinvestment. Reclassified as cash/dry powder per Alan 9/7/26, not a scored Landry position.</t>
  </si>
  <si>
    <t>AVUV</t>
  </si>
  <si>
    <t>Avantis US Small Cap Value ETF</t>
  </si>
  <si>
    <t>BOUGHT +193.58sh 8/7/26 @ $126.66 -- consolidation target from CALF</t>
  </si>
  <si>
    <t>CALF</t>
  </si>
  <si>
    <t>Pacer US Small Cap Cash Cows ETF</t>
  </si>
  <si>
    <t>SOLD 8/7/26 -- confirmed: -409.55sh, $23,016.52 proceeds. Consolidated into AVUV.</t>
  </si>
  <si>
    <t>HELO</t>
  </si>
  <si>
    <t>JPMorgan Hedged Equity Laddered Overlay ETF</t>
  </si>
  <si>
    <t>BOUGHT +200sh since 8/5 (300-&gt;500sh) -- expanding income sleeve. Reclassified as cash/dry powder per Alan 9/7/26, not a scored Landry position.</t>
  </si>
  <si>
    <t>AVGO</t>
  </si>
  <si>
    <t>Broadcom Inc.</t>
  </si>
  <si>
    <t>VRTX</t>
  </si>
  <si>
    <t>Vertex Pharmaceuticals</t>
  </si>
  <si>
    <t>BOUGHT +15sh 9/8/26 @ ~$527.47 ($7,912.09) -- DCA-TRANCHE-2 diversifier add.</t>
  </si>
  <si>
    <t>PLD</t>
  </si>
  <si>
    <t>Prologis Inc.</t>
  </si>
  <si>
    <t>BOUGHT +64sh 8/7/26 @ $139.92 -- DCA tranche 1 diversifier add</t>
  </si>
  <si>
    <t>SFM</t>
  </si>
  <si>
    <t>Sprouts Farmers Market</t>
  </si>
  <si>
    <t>SOLD 08/07/26 -- confirmed: -65 sh, $5,601.58 proceeds. Rule 3 Avoid. Proceeds added to VMFXX.</t>
  </si>
  <si>
    <t>TSLA</t>
  </si>
  <si>
    <t>Tesla Inc.</t>
  </si>
  <si>
    <t>SOLD 08/07/26 -- confirmed: -15 sh, $4,783.25 proceeds. Rule 3 Avoid. Proceeds added to VMFXX.</t>
  </si>
  <si>
    <t>VGT</t>
  </si>
  <si>
    <t>Vanguard Information Technology ETF</t>
  </si>
  <si>
    <t>SOLD 8/7/26 -- confirmed: -40.18sh, $4,851.48 proceeds. Worst correlation offender (5 violations), cleared per plan.</t>
  </si>
  <si>
    <t>QACDS</t>
  </si>
  <si>
    <t>Schwab Cash Features (Sweep)</t>
  </si>
  <si>
    <t>ONON</t>
  </si>
  <si>
    <t>On Holding AG</t>
  </si>
  <si>
    <t>SOLD 08/07/26 -- confirmed: -100 sh, $3,764.92 proceeds. Rule 3 Avoid. Proceeds added to VMFXX.</t>
  </si>
  <si>
    <t>JEPI</t>
  </si>
  <si>
    <t>JPMorgan Equity Premium Income ETF</t>
  </si>
  <si>
    <t>Self-Directed (Chase) SUBTOTAL</t>
  </si>
  <si>
    <t>COMBINED PORTFOLIO TOTAL</t>
  </si>
  <si>
    <t>Cash / Cash Equivalents</t>
  </si>
  <si>
    <t>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</si>
  <si>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</si>
  <si>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</si>
  <si>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Category</t>
  </si>
  <si>
    <t>Last Score
Date</t>
  </si>
  <si>
    <t>Last
Composite</t>
  </si>
  <si>
    <t>Last Tier 1
Wtd Avg</t>
  </si>
  <si>
    <t>Last
Decision</t>
  </si>
  <si>
    <t>Price at
Last Score</t>
  </si>
  <si>
    <t>Current
Price</t>
  </si>
  <si>
    <t>% Price
Change</t>
  </si>
  <si>
    <t>Next/Last
Earnings Date</t>
  </si>
  <si>
    <t>Insider
Activity? (Y/N)</t>
  </si>
  <si>
    <t>Insider Note</t>
  </si>
  <si>
    <t>Analyst
Shift? (Y/N)</t>
  </si>
  <si>
    <t>Analyst Shift
Note</t>
  </si>
  <si>
    <t>Days Since
Last Score</t>
  </si>
  <si>
    <t>Recheck Status</t>
  </si>
  <si>
    <t>Notes</t>
  </si>
  <si>
    <t>Owned</t>
  </si>
  <si>
    <t>STRONG BUY</t>
  </si>
  <si>
    <t>N</t>
  </si>
  <si>
    <t>Y</t>
  </si>
  <si>
    <t>2026-09-03: Breithaupt Chantelle Yvette (Senior Vice President, CFO) sold $119,811, 1% of holding (+55 more in last 30d)</t>
  </si>
  <si>
    <t>BUY</t>
  </si>
  <si>
    <t>2026-09-04: Kurtz George (PRESIDENT AND CEO) sold $472,759, 0% of holding (+126 more in last 30d)</t>
  </si>
  <si>
    <t>2026-08-14: Lorig Brian (EVP, KLA Global Services) sold $12,401,634, 43% of holding (+7 more in last 30d)</t>
  </si>
  <si>
    <t>2026-08-25: MEHROTRA SANJAY (President and CEO) sold $138,116, 0% of holding (+26 more in last 30d)</t>
  </si>
  <si>
    <t>2026-09-02: STEVENS MARK A (Director) sold $98,470,906, 9% of holding (+9 more in last 30d)</t>
  </si>
  <si>
    <t>2026-09-03: Stat Lauren Elaina Friedman (Director) sold $244,915, 2% of holding (+20 more in last 30d)</t>
  </si>
  <si>
    <t>2026-09-04: Fang Shu-Hua (SVP and GC) bought $77,090, 16% of holding (+11 more in last 30d)</t>
  </si>
  <si>
    <t>2026-09-02: MONSER EDWARD L (Director) sold $219,497, 3% of holding (+7 more in last 30d)</t>
  </si>
  <si>
    <t>Re-scored 8/7/26: original Avoid was bad source data, corrected. See Journal.</t>
  </si>
  <si>
    <t>AAP</t>
  </si>
  <si>
    <t>Tier-1 Avoid (external)</t>
  </si>
  <si>
    <t>BABA</t>
  </si>
  <si>
    <t>2026-08-25: Tsai Joseph C (Other) bought $10,418,400, 1% of holding (+2 more in last 30d)</t>
  </si>
  <si>
    <t>CE</t>
  </si>
  <si>
    <t>CLF</t>
  </si>
  <si>
    <t>CMG</t>
  </si>
  <si>
    <t>Watch List</t>
  </si>
  <si>
    <t>COST</t>
  </si>
  <si>
    <t>CRK</t>
  </si>
  <si>
    <t>DEO</t>
  </si>
  <si>
    <t>DIS</t>
  </si>
  <si>
    <t>2026-08-20: Roeder Paul M (Sr EVP and Chief Comm Officer) sold $382,327, 100% of holding (+1 more in last 30d)</t>
  </si>
  <si>
    <t>DPZ</t>
  </si>
  <si>
    <t>EL</t>
  </si>
  <si>
    <t>2026-08-25: La Lande Rashida (Exec VP &amp; General Counsel) sold $553,896, 100% of holding</t>
  </si>
  <si>
    <t>ET</t>
  </si>
  <si>
    <t>2026-08-20: WARREN KELCY L (Other) bought $7,487,721, 0% of holding (+2 more in last 30d)</t>
  </si>
  <si>
    <t>ETN</t>
  </si>
  <si>
    <t>2026-08-13: Monesmith Heath B. (See Remarks below.) sold $8,261,224, 26% of holding (+1 more in last 30d)</t>
  </si>
  <si>
    <t>ETSY</t>
  </si>
  <si>
    <t>2026-08-19: Buckley Merilee (CHIEF ACCOUNTING OFFICER) sold $18,850, 59% of holding (+9 more in last 30d)</t>
  </si>
  <si>
    <t>2026-08-12: Giglietti Robert M. (Vice President) sold $1,976,639, 18% of holding (+7 more in last 30d)</t>
  </si>
  <si>
    <t>GOOS</t>
  </si>
  <si>
    <t>HRL</t>
  </si>
  <si>
    <t>LBRT</t>
  </si>
  <si>
    <t>2026-07-30: Murti Arjun N (Director) bought $250,009, 51% of holding</t>
  </si>
  <si>
    <t>LIN</t>
  </si>
  <si>
    <t>2026-08-19: Reynolds Paula Rosput (Director) bought $47,912, 14% of holding</t>
  </si>
  <si>
    <t>NEE</t>
  </si>
  <si>
    <t>2026-08-10: Neumann Spencer Adam (Chief Financial Officer) sold $700,907, 11% of holding (+6 more in last 30d)</t>
  </si>
  <si>
    <t>NKE</t>
  </si>
  <si>
    <t>2026-08-11: Montagne Amy (PRESIDENT, NIKE) sold $204,657, 8% of holding (+1 more in last 30d)</t>
  </si>
  <si>
    <t>Consensus declined 0.19 (1-5 scale) over 3 months (3.39 -&gt; 3.21, 39 analysts currently)</t>
  </si>
  <si>
    <t>NOV</t>
  </si>
  <si>
    <t>2026-07-31: HARRISON DAVID D (Other) sold $184,301, 7% of holding</t>
  </si>
  <si>
    <t>Consensus improved 0.21 (1-5 scale) over 3 months (3.19 -&gt; 3.40, 20 analysts currently)</t>
  </si>
  <si>
    <t>2026-08-17: Bernhard Olivier (Executive Officer) bought $1,993,790, 1% of holding (+1 more in last 30d)</t>
  </si>
  <si>
    <t>PG</t>
  </si>
  <si>
    <t>2026-08-24: Janzaruk Matthew W. (SVP - Chief Accounting Officer) sold $52,141, 22% of holding (+12 more in last 30d)</t>
  </si>
  <si>
    <t>PH</t>
  </si>
  <si>
    <t>2026-08-19: Scott Patrick (VP &amp; Pres-Fluid Conn. Grp.) sold $1,294,800, 25% of holding (+12 more in last 30d)</t>
  </si>
  <si>
    <t>PZZA</t>
  </si>
  <si>
    <t>Consensus declined 0.29 (1-5 scale) over 3 months (3.29 -&gt; 3.00, 14 analysts currently)</t>
  </si>
  <si>
    <t>2026-08-17: O'Leary Joseph D (Director) sold $214,440, 15% of holding (+2 more in last 30d)</t>
  </si>
  <si>
    <t>2026-09-02: MCINERNEY RYAN (Chief Executive Officer) sold $2,230,444, 28% of holding (+3 more in last 30d)</t>
  </si>
  <si>
    <t>VFC</t>
  </si>
  <si>
    <t>2026-08-17: Carucci Richard (Director) bought $294,600, 6% of holding (+1 more in last 30d)</t>
  </si>
  <si>
    <t>YUM</t>
  </si>
  <si>
    <t>2026-08-24: Skeans Tracy L (COO and CPO) sold $552,052, 100% of holding (+2 more in last 30d)</t>
  </si>
  <si>
    <t>KGS</t>
  </si>
  <si>
    <t>Diversification candidate (Energy -- gas compression services, contract-based revenue, not upstream E&amp;P). Fresh Tier 1 quant screen 9/11/26; Moat/Rev Visibility not yet assessed (Part 12).</t>
  </si>
  <si>
    <t>ABT</t>
  </si>
  <si>
    <t>Bench candidate (Healthcare / Medical Devices). Scored 9/13/26: BUY 70.8, Tier 1 avg 3.50. Relative Strength=1 -&gt; Rule 5 review before any purchase. Added to Monitor 10/4/26 (Open Items #28).</t>
  </si>
  <si>
    <t>SLB</t>
  </si>
  <si>
    <t>Bench candidate (Energy / Oil &amp; Gas Equipment &amp; Services). Scored 9/13/26: BUY 72.4, Tier 1 avg 3.50. Added to Monitor 10/4/26 (Open Items #28).</t>
  </si>
  <si>
    <t>VEEV</t>
  </si>
  <si>
    <t>2026-09-16: Schwenger Thomas D. (Pres. &amp; Chief Customer Officer) sold $265,200, 5% of holding (+1 more in last 30d)</t>
  </si>
  <si>
    <t>Bench candidate (Healthcare / Health Information Services). Scored 10/2/26: STRONG BUY 81.6, Tier 1 avg 4.29. Moat 4 approved; Alan leans 3 (78.6, BUY) -- re-evaluate at purchase (Open Items #24). Watch - Pending Earnings, re-look 11/18. Added to Monitor 10/4/26 (Open Items #28).</t>
  </si>
  <si>
    <t>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</si>
  <si>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Week Ending</t>
  </si>
  <si>
    <t>Weeks</t>
  </si>
  <si>
    <t>Company</t>
  </si>
  <si>
    <t>Date Scored</t>
  </si>
  <si>
    <t>Tier 1 Wtd Avg</t>
  </si>
  <si>
    <t>Composite Score</t>
  </si>
  <si>
    <t>Decision</t>
  </si>
  <si>
    <t>Rule 1</t>
  </si>
  <si>
    <t>Rule 2</t>
  </si>
  <si>
    <t>Rule 3</t>
  </si>
  <si>
    <t>Rule 4</t>
  </si>
  <si>
    <t>This tab mirrors the Scoring tab automatically — do not type here. You can sort this tab directly (Data &gt; Sort by Composite Score); Excel moves whole rows, so each row's links stay correct.</t>
  </si>
  <si>
    <t>Tickers</t>
  </si>
  <si>
    <t>TIER 1 — 70% of Decision</t>
  </si>
  <si>
    <t>TIER 2 — 25% of Decision</t>
  </si>
  <si>
    <t>TIER 3 — 5% of Decision</t>
  </si>
  <si>
    <t>RULE FLAGS (1–4)</t>
  </si>
  <si>
    <t>CLASSIFICATION</t>
  </si>
  <si>
    <t>PIOTROSKI-DERIVED CROSS-CHECKS 
(confidence-tagging inputs only — do not feed Composite Score)</t>
  </si>
  <si>
    <t>Date
Scored</t>
  </si>
  <si>
    <t>FCF Yield &amp;
Trend (20%)
Score</t>
  </si>
  <si>
    <t>Conf
(H/M/L)</t>
  </si>
  <si>
    <t>Rev Growth
Consist. (15%)
Score</t>
  </si>
  <si>
    <t>Moat
Quality (15%)
Score</t>
  </si>
  <si>
    <t>Rev
Visibility (10%)
Score</t>
  </si>
  <si>
    <t>FCF Margin
Trend (10%)
Score</t>
  </si>
  <si>
    <t>Confidence
(H/M/L)</t>
  </si>
  <si>
    <t>Tier 1
Wtd Avg
(÷0.70)</t>
  </si>
  <si>
    <t>Tier 1
Contrib.</t>
  </si>
  <si>
    <t>Mgmt Quality
&amp; Cap Alloc (8%)
Score</t>
  </si>
  <si>
    <t>ROIC vs
WACC (6%)
Score</t>
  </si>
  <si>
    <t>Rel Strength
vs SPY (3%)
Score</t>
  </si>
  <si>
    <t>Valuation
Multiples (8%)
Score</t>
  </si>
  <si>
    <t>Tier 2
Contrib.</t>
  </si>
  <si>
    <t>Technical
Trend (2%)
Score</t>
  </si>
  <si>
    <t>Analyst
Consensus (2%)
Score</t>
  </si>
  <si>
    <t>Volume &amp;
Accum. (1%)
Score</t>
  </si>
  <si>
    <t>Tier 3
Contrib.</t>
  </si>
  <si>
    <t>Composite
Score</t>
  </si>
  <si>
    <t>Rule 1
Tier1&lt;3.0</t>
  </si>
  <si>
    <t>Rule 2
Any=1</t>
  </si>
  <si>
    <t>Rule 3
2+≤2=
Avoid</t>
  </si>
  <si>
    <t>Rule 4
2+Low=
Cap Buy</t>
  </si>
  <si>
    <t>Sector</t>
  </si>
  <si>
    <t>Industry</t>
  </si>
  <si>
    <t>CFO
($)</t>
  </si>
  <si>
    <t>Net Income
($)</t>
  </si>
  <si>
    <t>Accruals
Check</t>
  </si>
  <si>
    <t>Debt/FCF
(current)</t>
  </si>
  <si>
    <t>Debt/FCF
(prior yr)</t>
  </si>
  <si>
    <t>Leverage
Trajectory</t>
  </si>
  <si>
    <t>M</t>
  </si>
  <si>
    <t>H</t>
  </si>
  <si>
    <t>L</t>
  </si>
  <si>
    <t>Technology</t>
  </si>
  <si>
    <t>Semiconductors</t>
  </si>
  <si>
    <t>Software - Infrastructure</t>
  </si>
  <si>
    <t>Healthcare</t>
  </si>
  <si>
    <t>Biotechnology</t>
  </si>
  <si>
    <t>Prologis Inc. (REIT-adapted)</t>
  </si>
  <si>
    <t>Real Estate</t>
  </si>
  <si>
    <t>REIT - Industrial</t>
  </si>
  <si>
    <t>Consumer Defensive</t>
  </si>
  <si>
    <t>Grocery Stores</t>
  </si>
  <si>
    <t>Consumer Cyclical</t>
  </si>
  <si>
    <t>Footwear &amp; Accessories</t>
  </si>
  <si>
    <t>Auto Manufacturers</t>
  </si>
  <si>
    <t>Software - Application</t>
  </si>
  <si>
    <t>Computer Hardware</t>
  </si>
  <si>
    <t>Semiconductor Equipment &amp; Materials</t>
  </si>
  <si>
    <t>Taiwan Semiconductor Mfg.</t>
  </si>
  <si>
    <t>Industrials</t>
  </si>
  <si>
    <t>Electrical Equipment &amp; Parts</t>
  </si>
  <si>
    <t>Costco Wholesale Corp.</t>
  </si>
  <si>
    <t>Discount Stores</t>
  </si>
  <si>
    <t>Financial Services</t>
  </si>
  <si>
    <t>Credit Services</t>
  </si>
  <si>
    <t>NextEra Energy Inc.</t>
  </si>
  <si>
    <t>Utilities</t>
  </si>
  <si>
    <t>Utilities - Regulated Electric</t>
  </si>
  <si>
    <t>Comstock Resources Inc.</t>
  </si>
  <si>
    <t>Energy</t>
  </si>
  <si>
    <t>Oil &amp; Gas E&amp;P</t>
  </si>
  <si>
    <t>Energy Transfer LP</t>
  </si>
  <si>
    <t>Oil &amp; Gas Midstream</t>
  </si>
  <si>
    <t>Liberty Energy Inc.</t>
  </si>
  <si>
    <t>Oil &amp; Gas Equipment &amp; Services</t>
  </si>
  <si>
    <t>NOV Inc.</t>
  </si>
  <si>
    <t>Celanese Corp.</t>
  </si>
  <si>
    <t>Basic Materials</t>
  </si>
  <si>
    <t>Chemicals</t>
  </si>
  <si>
    <t>Cleveland-Cliffs Inc.</t>
  </si>
  <si>
    <t>Steel</t>
  </si>
  <si>
    <t>Linde plc</t>
  </si>
  <si>
    <t>Specialty Chemicals</t>
  </si>
  <si>
    <t>Diageo plc</t>
  </si>
  <si>
    <t>Beverages - Wineries &amp; Distilleries</t>
  </si>
  <si>
    <t>Estee Lauder Companies</t>
  </si>
  <si>
    <t>Household &amp; Personal Products</t>
  </si>
  <si>
    <t>Hormel Foods Corp.</t>
  </si>
  <si>
    <t>Packaged Foods</t>
  </si>
  <si>
    <t>Procter &amp; Gamble Co.</t>
  </si>
  <si>
    <t>Chipotle Mexican Grill</t>
  </si>
  <si>
    <t>Restaurants</t>
  </si>
  <si>
    <t>Domino's Pizza Inc.</t>
  </si>
  <si>
    <t>Papa John's Intl.</t>
  </si>
  <si>
    <t>Yum! Brands Inc.</t>
  </si>
  <si>
    <t>Nike Inc.</t>
  </si>
  <si>
    <t>V.F. Corporation</t>
  </si>
  <si>
    <t>Apparel Manufacturing</t>
  </si>
  <si>
    <t>Canada Goose Holdings</t>
  </si>
  <si>
    <t>Advance Auto Parts Inc.</t>
  </si>
  <si>
    <t>Auto Parts</t>
  </si>
  <si>
    <t>Alibaba Group Holding Ltd.</t>
  </si>
  <si>
    <t>Internet Retail</t>
  </si>
  <si>
    <t>Etsy Inc.</t>
  </si>
  <si>
    <t>Aerospace &amp; Defense</t>
  </si>
  <si>
    <t>Parker-Hannifin Corporation</t>
  </si>
  <si>
    <t>Specialty Industrial Machinery</t>
  </si>
  <si>
    <t>Eaton Corporation plc</t>
  </si>
  <si>
    <t>The Walt Disney Company</t>
  </si>
  <si>
    <t>Communication Services</t>
  </si>
  <si>
    <t>Entertainment</t>
  </si>
  <si>
    <t>Kodiak Gas Services, Inc.</t>
  </si>
  <si>
    <t>Abbott Laboratories</t>
  </si>
  <si>
    <t>Medical Devices</t>
  </si>
  <si>
    <t>SLB N.V.</t>
  </si>
  <si>
    <t>Veeva Systems Inc.</t>
  </si>
  <si>
    <t>Health Information Services</t>
  </si>
  <si>
    <t>Part 4 Entry Rules (5-10, 13). Rules 5-7 pull from the Scoring tab; Rules 11-12 pull from the Implied-Return Calculator; Rules 8-9-10-13 are entered here. Keep this tab's row order matching Scoring/Dashboard/Implied-Return Calculator for the same stock (row 3 = same stock across all four).</t>
  </si>
  <si>
    <t>Rule 6
Composite
≥65?</t>
  </si>
  <si>
    <t>Rule 7
Tier1
≥3.0?</t>
  </si>
  <si>
    <t>Rule 8
No Tier1
=1?</t>
  </si>
  <si>
    <t>Rule 9
Above / reclaimed
200-wk MA?
(Y/N)</t>
  </si>
  <si>
    <t>Rule 10
Monthly MACD
positive / turning?
(Y/N)</t>
  </si>
  <si>
    <t>Staging
Result
(Rules 8-9)</t>
  </si>
  <si>
    <t>Rule 11
Binary event
risk present?
(Y/N)</t>
  </si>
  <si>
    <t>Risk included
in thesis?
(Y/N)</t>
  </si>
  <si>
    <t>Rule 11
Result</t>
  </si>
  <si>
    <t>Base Case
&gt;10%?</t>
  </si>
  <si>
    <t>Rule 12
Bear Case
≥0%?</t>
  </si>
  <si>
    <t>Rule 13
Scenario tags
OK?</t>
  </si>
  <si>
    <t>P/FCF
(current)</t>
  </si>
  <si>
    <t>Consensus FCF
growth, 2-yr
annualized</t>
  </si>
  <si>
    <t>Rule 14
Valuation
Ceiling</t>
  </si>
  <si>
    <t>ENTRY
AUTHORIZED?</t>
  </si>
  <si>
    <t>Recommended Action</t>
  </si>
  <si>
    <t>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</si>
  <si>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Price ($)</t>
  </si>
  <si>
    <t>Volume</t>
  </si>
  <si>
    <t>Market Cap ($M)</t>
  </si>
  <si>
    <t>P/E</t>
  </si>
  <si>
    <t>52-Wk Low</t>
  </si>
  <si>
    <t>52-Wk High</t>
  </si>
  <si>
    <t>Div Yield (%)</t>
  </si>
  <si>
    <t>Weekly return, calculated from Price History. Do not edit — formulas only.</t>
  </si>
  <si>
    <t>ADBE trend</t>
  </si>
  <si>
    <t>ANET trend</t>
  </si>
  <si>
    <t>ASML trend</t>
  </si>
  <si>
    <t>AVGO trend</t>
  </si>
  <si>
    <t>CRWD trend</t>
  </si>
  <si>
    <t>KLAC trend</t>
  </si>
  <si>
    <t>MU trend</t>
  </si>
  <si>
    <t>NVDA trend</t>
  </si>
  <si>
    <t>PLD trend</t>
  </si>
  <si>
    <t>PLTR trend</t>
  </si>
  <si>
    <t>TSM trend</t>
  </si>
  <si>
    <t>VRT trend</t>
  </si>
  <si>
    <t>VRTX trend</t>
  </si>
  <si>
    <t>AVUV trend</t>
  </si>
  <si>
    <t>HELO trend</t>
  </si>
  <si>
    <t>JEPQ trend</t>
  </si>
  <si>
    <t>SPMO trend</t>
  </si>
  <si>
    <t>VFLO trend</t>
  </si>
  <si>
    <t>V trend</t>
  </si>
  <si>
    <t>Pairwise correlation of weekly returns, 12-36 month window (Rule 38, Part 7). Covers stocks and held ETFs together. Recalculate quarterly.</t>
  </si>
  <si>
    <t>Positions exceeding cap (correlated &gt;0.70 with 2+ other holdings):</t>
  </si>
  <si>
    <t>Rule 38 status (no position may exceed 0.70 with more than one other holding):</t>
  </si>
  <si>
    <t>Positions &gt;0.70 with</t>
  </si>
  <si>
    <t>Portfolio-level drawdown tracking (Part 7, Rules 38-39). Enter Date and Portfolio Value; all other columns calculate automatically.</t>
  </si>
  <si>
    <t>Date</t>
  </si>
  <si>
    <t>Portfolio Value ($)</t>
  </si>
  <si>
    <t>Running Peak ($)</t>
  </si>
  <si>
    <t>Drawdown %</t>
  </si>
  <si>
    <t>Status</t>
  </si>
  <si>
    <t>Required Cash Floor</t>
  </si>
  <si>
    <t>New Position Initiation</t>
  </si>
  <si>
    <t>DCA-TRANCHE-2 prerequisite check, 9/7/26 -- see Journal.</t>
  </si>
  <si>
    <t>Corrected 10/4/26 to the 9/30 statements, net of $20,019.99 external withdrawals (Part 7); was 776,662.72 -- see Journal row 81.</t>
  </si>
  <si>
    <t>Tracks every holding in Probationary Hold (50-64) or Exit Review (35-49) per Part 6. The 90-day deadline and its consequence are calculated automatically — this tab is what makes Rules 32-36 enforceable rather than a manual judgment call.</t>
  </si>
  <si>
    <t>Status
(Probationary/
Exit Review)</t>
  </si>
  <si>
    <t>Entry Date
(band entered)</t>
  </si>
  <si>
    <t>Entry
Score</t>
  </si>
  <si>
    <t>Current
Score</t>
  </si>
  <si>
    <t>Current Score
Date</t>
  </si>
  <si>
    <t>Credible
Remediation Plan?
(Y/N)</t>
  </si>
  <si>
    <t>90-Day
Deadline</t>
  </si>
  <si>
    <t>Days
Remaining</t>
  </si>
  <si>
    <t>Action Status</t>
  </si>
  <si>
    <t>Remediation Plan Notes</t>
  </si>
  <si>
    <t>Trims Taken
(0-3, Rule 34)</t>
  </si>
  <si>
    <t>Exit Review</t>
  </si>
  <si>
    <t>Reclassified from Probationary Hold on 10/4/26. Rule 3 (FCF Yield &amp; Trend and FCF Margin Trend both scored 2 at the 9/13/26 held-position re-score) -&gt; automatic Avoid -&gt; Exit Review per Part 3's decision table; applied as written on 10/4/26 (Alan: stick with the rules as written; Journal row 89). SELL BY 10/13/26 (30 days from the 9/13 Rule 3 trip) unless a dated 90-day remediation plan with a credible, documented path back to 50+ is approved -- if approved, set col H to Y and record the plan here. No additions meanwhile. If the 30 days are counted from the 10/4 confirmation instead, the date is 11/3/26. Rule 34 (Early Partial Trim) covers Probationary Hold only, so it no longer applies here (Trims Taken stays 0). Earlier note: 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</si>
  <si>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Rule 3 (FCF Yield &amp; Trend and FCF Margin Trend both scored 2 at the 9/13/26 held-position re-score) -&gt; automatic Avoid -&gt; Exit Review per Part 3's decision table; applied as written on 10/4/26 (Alan: stick with the rules as written; Journal row 89). SELL BY 10/13/26 (30 days from the 9/13 Rule 3 trip) unless a dated 90-day remediation plan with a credible, documented path back to 50+ is approved -- if approved, set col H to Y and record the plan here. No additions meanwhile. If the 30 days are counted from the 10/4 confirmation instead, the date is 11/3/26.</t>
  </si>
  <si>
    <t>Standardized Implied-Return Methodology (Rule 12, Part 4): Expected annualized return = [(Year-5 equity value + cumulative distributions) ÷ current equity value]^(1/5) − 1. Run Base, Bear, and Bull cases together (Rule 13) — exactly one gets the Likely tag.</t>
  </si>
  <si>
    <t>BASE CASE</t>
  </si>
  <si>
    <t>BEAR CASE</t>
  </si>
  <si>
    <t>BULL CASE</t>
  </si>
  <si>
    <t>RULE 11 / 12 CHECKS</t>
  </si>
  <si>
    <t>Current
Price ($)</t>
  </si>
  <si>
    <t>Yr-5 FCF
/sh ($)</t>
  </si>
  <si>
    <t>Terminal
P/FCF</t>
  </si>
  <si>
    <t>Cum.
Distrib/sh</t>
  </si>
  <si>
    <t>Implied
Annual Return</t>
  </si>
  <si>
    <t>Tag (L/P/U)</t>
  </si>
  <si>
    <t>Base&gt;10%?</t>
  </si>
  <si>
    <t>Bear≥0%?</t>
  </si>
  <si>
    <t>Exactly 1
Likely?</t>
  </si>
  <si>
    <t>Costco Wholesale Corporation</t>
  </si>
  <si>
    <t>Possible</t>
  </si>
  <si>
    <t>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</si>
  <si>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</si>
  <si>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FUNDAMENTAL TRIGGERS (Rules 22-26) — flags if declined 2 consecutive periods</t>
  </si>
  <si>
    <t>VALUATION / SIZING TRIGGERS (Rules 27-31)</t>
  </si>
  <si>
    <t>Position Pct</t>
  </si>
  <si>
    <t>Max Full Pct</t>
  </si>
  <si>
    <t>FCF Yield
Prior</t>
  </si>
  <si>
    <t>FCF Yield
Current</t>
  </si>
  <si>
    <t>Flag</t>
  </si>
  <si>
    <t>Moat
Prior</t>
  </si>
  <si>
    <t>Moat
Current</t>
  </si>
  <si>
    <t>ROIC-WACC
Spread
Prior</t>
  </si>
  <si>
    <t>ROIC-WACC
Spread
Current</t>
  </si>
  <si>
    <t>Mgmt
Quality
Prior</t>
  </si>
  <si>
    <t>Mgmt
Quality
Current</t>
  </si>
  <si>
    <t>Rev Growth
Prior</t>
  </si>
  <si>
    <t>Rev Growth
Current</t>
  </si>
  <si>
    <t>Debt/FCF
(&gt;6x=
trigger)</t>
  </si>
  <si>
    <t>P/FCF
(&gt;50x+gr
&lt;15%)</t>
  </si>
  <si>
    <t>FCF Growth
%</t>
  </si>
  <si>
    <t>Implied Return
(&lt;7%=
trigger)</t>
  </si>
  <si>
    <t>Current
Tier</t>
  </si>
  <si>
    <t>Prior
Tier</t>
  </si>
  <si>
    <t>Valuation
Flags</t>
  </si>
  <si>
    <t>Hold Through
Applies? (Y/N)</t>
  </si>
  <si>
    <t>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</si>
  <si>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Entry
Date</t>
  </si>
  <si>
    <t>Entry
Price</t>
  </si>
  <si>
    <t>Entry
Confidence</t>
  </si>
  <si>
    <t>Entry
Decision Band</t>
  </si>
  <si>
    <t>SPY Price
at Entry</t>
  </si>
  <si>
    <t>Exit
Date</t>
  </si>
  <si>
    <t>Exit
Price</t>
  </si>
  <si>
    <t>Exit
Reason</t>
  </si>
  <si>
    <t>Total Return
Since Entry</t>
  </si>
  <si>
    <t>SPY Return
Same Period</t>
  </si>
  <si>
    <t>Excess
Return</t>
  </si>
  <si>
    <t>Strong Buy</t>
  </si>
  <si>
    <t>Held</t>
  </si>
  <si>
    <t>Buy</t>
  </si>
  <si>
    <t>Total Return Since Entry is a simple price return (excludes dividends unless you fold them into Current/Exit Price manually). At each annual review, snapshot the return here rather than trying to back-calculate historical 1/3/5-year prices Excel doesn't have.</t>
  </si>
  <si>
    <t>Freeform notes log — no required structure or length. Date and Ticker are there so you can sort or filter (Data &gt; Filter, or click the column dropdown arrows) by symbol or date range. 
Leave Ticker blank for portfolio-level or general notes.</t>
  </si>
  <si>
    <t>Sold -- Rule 3 Avoid (same-store sales growth collapsed 11.5%-&gt;1.6% YoY, FCF margin compressed), small gain, no credible remediation path identified.</t>
  </si>
  <si>
    <t>Sold -- Rule 3 Avoid confirmed on 2nd consecutive scoring pass. FCF negative funding AI/robotics capex; not the profile this System rewards. Small gain.</t>
  </si>
  <si>
    <t>Sold -- small position, clearing the deck rather than carrying a Tier 1 Avoid. Small gain, FCF trend declining despite strong revenue growth.</t>
  </si>
  <si>
    <t>RE-SCORED, NOT sold. Original Avoid call (8/6/26) was based on unreliable FCF data from MacroTrends. Reconstructed actual cash-flow-statement FCF: $3.19B (2024), $3.71B (2025), growing, ~31% margin -- 2023 was a one-year dip, not a trend. Corrected Composite = 75.6, BUY. Holding.</t>
  </si>
  <si>
    <t>SFM,TSLA,ONON</t>
  </si>
  <si>
    <t>Sells confirmed executed. Removed from Current Positions (qty/cost basis zeroed) and Monitor &amp; Recheck Triggers (marked Closed). Sale proceeds shown as estimates using last known market price -- true up cash balances with next fresh account export.</t>
  </si>
  <si>
    <t>Confirmed actual proceeds: ONON -100sh $3,764.92 | SFM -65sh $5,601.58 | TSLA -15sh $4,783.25. Total $14,149.75 added to VMFXX. Combined portfolio now $700,739.19.</t>
  </si>
  <si>
    <t>VGT,CALF,AVUV</t>
  </si>
  <si>
    <t>ETF cleanup executed: VGT sold (-40.18sh, $4,851.48, worst correlation offender). CALF sold (-409.55sh, $23,016.52), consolidated into AVUV (+193.58sh, $24,518.64) per correlation/flow/quality comparison. AVUV now 400.0sh, $51,496 combined value.</t>
  </si>
  <si>
    <t>PLD,VRTX,ADBE</t>
  </si>
  <si>
    <t>DCA tranche 1 executed, weighted toward diversifiers: PLD +64sh $8,954.88, VRTX +25sh $12,219.25, ADBE +20sh $5,327.60. Total $26,501.73 (target was $24,000, actual fills ran slightly over).</t>
  </si>
  <si>
    <t>Label corrected: VFLO is VictoryShares Free Cash Flow ETF (large-cap FCF-focused), not Vanguard US Multifactor ETF as previously mislabeled. Not redundant with AVUV/CALF as originally framed -- different market-cap segment. Kept on its own merits.</t>
  </si>
  <si>
    <t>DCA-TRANCHE-2</t>
  </si>
  <si>
    <t>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</si>
  <si>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QTR-REVIEW-1</t>
  </si>
  <si>
    <t>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</si>
  <si>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DCA-TRANCHE-3</t>
  </si>
  <si>
    <t>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</si>
  <si>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FUND-REFRESH-1</t>
  </si>
  <si>
    <t>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</si>
  <si>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DCA-TRANCHE-4</t>
  </si>
  <si>
    <t>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</si>
  <si>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QTR-REVIEW-2</t>
  </si>
  <si>
    <t>Standardized quarterly review, calendar quarter-end. Same actions as 9/30 (QTR-REVIEW-1): Portfolio Drawdown Log entry, Correlation Matrix refresh, Watch List 90-day deadline check.</t>
  </si>
  <si>
    <t>FUND-REFRESH-2</t>
  </si>
  <si>
    <t>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</si>
  <si>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DARRYL-SCREEN-METHOD</t>
  </si>
  <si>
    <t>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</si>
  <si>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ETF-CASH-BUCKET-TODO</t>
  </si>
  <si>
    <t>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</si>
  <si>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PRE-TRANCHE-SCORING-TODO</t>
  </si>
  <si>
    <t>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</si>
  <si>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DCA-CATCHUP-PLAN-V1</t>
  </si>
  <si>
    <t>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</si>
  <si>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DCA-CATCHUP-1-V1</t>
  </si>
  <si>
    <t>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</si>
  <si>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DCA-CATCHUP-2-V1</t>
  </si>
  <si>
    <t>DCA-CATCHUP-3-V1</t>
  </si>
  <si>
    <t>DCA-CATCHUP-4-V1</t>
  </si>
  <si>
    <t>DCA-CATCHUP-5-V1</t>
  </si>
  <si>
    <t>DCA-CATCHUP-6-V1</t>
  </si>
  <si>
    <t>DCA-CATCHUP-7-V1</t>
  </si>
  <si>
    <t>DCA-CATCHUP-8-V1</t>
  </si>
  <si>
    <t>DCA-CATCHUP-9-V1</t>
  </si>
  <si>
    <t>DCA-CATCHUP-10-V1</t>
  </si>
  <si>
    <t>DCA-CATCHUP-11-V1</t>
  </si>
  <si>
    <t>DCA-CATCHUP-12-V1</t>
  </si>
  <si>
    <t>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</si>
  <si>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VRTX,V,PLD</t>
  </si>
  <si>
    <t>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</si>
  <si>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DCA-ACCELERATION-POLICY</t>
  </si>
  <si>
    <t>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</si>
  <si>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ETF-CASH-BUCKET-TODO,PRE-TRANCHE-SCORING-TODO</t>
  </si>
  <si>
    <t>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</si>
  <si>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WILDCARD-ALLOCATION-TODO</t>
  </si>
  <si>
    <t>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</si>
  <si>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PIOTROSKI-DIAGNOSTIC-BATCH</t>
  </si>
  <si>
    <t>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</si>
  <si>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</si>
  <si>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</si>
  <si>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</si>
  <si>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PIOTROSKI-VERDICT</t>
  </si>
  <si>
    <t>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</si>
  <si>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DCA-CATCHUP-PLAN-2</t>
  </si>
  <si>
    <t>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</si>
  <si>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DCA-CATCHUP-1</t>
  </si>
  <si>
    <t>Target: $40,000-$50,000 (see DCA-CATCHUP-PLAN-2). Shifted from 9/22 (the plan's regular cadence date) to 9/30 -- Alan traveling abroad last week of September, no market access. Same prerequisite checklist as prior tranches.</t>
  </si>
  <si>
    <t>DCA-CATCHUP-2</t>
  </si>
  <si>
    <t>Target: $40,000-$50,000 (see DCA-CATCHUP-PLAN-2). Only 7 days after DCA-CATCHUP-1 (which itself shifted to 9/30) -- a shorter-than-usual gap, kept as-is rather than reflowing the whole schedule, same convention as prior holiday/weekend shifts. Same prerequisite checklist as prior tranches.</t>
  </si>
  <si>
    <t>DCA-CATCHUP-3</t>
  </si>
  <si>
    <t>Target: $40,000-$50,000 (see DCA-CATCHUP-PLAN-2). Same prerequisite checklist as prior tranches.</t>
  </si>
  <si>
    <t>DCA-CATCHUP-4</t>
  </si>
  <si>
    <t>Target: $40,000-$50,000 (see DCA-CATCHUP-PLAN-2). Rescheduled from 11/7 to 11/9: 11/7/2026 is a Saturday. Same prerequisite checklist as prior tranches.</t>
  </si>
  <si>
    <t>DCA-CATCHUP-5</t>
  </si>
  <si>
    <t>Target: $40,000-$50,000 (see DCA-CATCHUP-PLAN-2). Rescheduled from 11/22 to 11/23: 11/22/2026 is a Sunday. Same prerequisite checklist as prior tranches.</t>
  </si>
  <si>
    <t>DCA-CATCHUP-6</t>
  </si>
  <si>
    <t>DCA-CATCHUP-7</t>
  </si>
  <si>
    <t>DCA-CATCHUP-8</t>
  </si>
  <si>
    <t>Target: $40,000-$50,000 (see DCA-CATCHUP-PLAN-2). Last tranche of the revised catch-up cadence -- after this, downshift to steady-state twice-monthly tranches sized as a % of portfolio, same as originally planned. Same prerequisite checklist as prior tranches.</t>
  </si>
  <si>
    <t>LIN,ET,KGS</t>
  </si>
  <si>
    <t>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</si>
  <si>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DPZ,PG,GE</t>
  </si>
  <si>
    <t>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</si>
  <si>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NFLX,YUM</t>
  </si>
  <si>
    <t>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</si>
  <si>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V,SCORING-VERIFICATION-AUDIT</t>
  </si>
  <si>
    <t>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</si>
  <si>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NVDA,SPMO-SEQUENCING</t>
  </si>
  <si>
    <t>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</si>
  <si>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VRTX,ANET,KLAC,CRWD,ADBE,PLD,PLTR,AVGO,ASML,TSM,VRT,MU</t>
  </si>
  <si>
    <t>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</si>
  <si>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RULE-33-EARLY-PARTIAL-TRIM</t>
  </si>
  <si>
    <t>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</si>
  <si>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PYPL,XRAY,GXO</t>
  </si>
  <si>
    <t>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</si>
  <si>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ABT,SLB,CCI,SCORING-EXPORT-BUGS</t>
  </si>
  <si>
    <t>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</si>
  <si>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DCA-CATCHUP-1-PREP</t>
  </si>
  <si>
    <t>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</si>
  <si>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PROCESS-CHECKLIST-FRESH-CHECK-STEP</t>
  </si>
  <si>
    <t>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</si>
  <si>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</si>
  <si>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VRTX,PLD,ADBE</t>
  </si>
  <si>
    <t>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</si>
  <si>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</si>
  <si>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</si>
  <si>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</si>
  <si>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UNH,ACN</t>
  </si>
  <si>
    <t>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</si>
  <si>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SPOT,PFE,UPS</t>
  </si>
  <si>
    <t>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</si>
  <si>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</si>
  <si>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</si>
  <si>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AZN,OKE,INTU</t>
  </si>
  <si>
    <t>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</si>
  <si>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AZN,INTU</t>
  </si>
  <si>
    <t>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</si>
  <si>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CANDIDATE-SCREENING-PRIORITY</t>
  </si>
  <si>
    <t>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</si>
  <si>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</si>
  <si>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DB-PHASE-C-SWITCH-ON</t>
  </si>
  <si>
    <t>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</si>
  <si>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BSX,MIR,SUNB</t>
  </si>
  <si>
    <t>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</si>
  <si>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BAX,SWK,QXO,COLD,BE,SMR,CBRS,UBER,NTRA,VEEV,ICLR</t>
  </si>
  <si>
    <t>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</si>
  <si>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</si>
  <si>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QTR-REVIEW-1,STATEMENTS</t>
  </si>
  <si>
    <t>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</si>
  <si>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PRICE-HISTORY-REPAIR</t>
  </si>
  <si>
    <t>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</si>
  <si>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</si>
  <si>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WEEKLY-ROUTINE</t>
  </si>
  <si>
    <t>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</si>
  <si>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MARKET-DATA-MEMBERSHIP</t>
  </si>
  <si>
    <t>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</si>
  <si>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TEST-REPAIR</t>
  </si>
  <si>
    <t>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</si>
  <si>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MONITOR-MEMBERSHIP</t>
  </si>
  <si>
    <t>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</si>
  <si>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RULE-3-HOLDINGS-CORRECTION</t>
  </si>
  <si>
    <t>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</si>
  <si>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RULE-3-HOLDINGS</t>
  </si>
  <si>
    <t>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</si>
  <si>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</si>
  <si>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Steps currently overdue (event date passed, not marked Done):</t>
  </si>
  <si>
    <t>Event</t>
  </si>
  <si>
    <t>Step</t>
  </si>
  <si>
    <t>Done (Y/N)</t>
  </si>
  <si>
    <t>Date Done</t>
  </si>
  <si>
    <t>Event Due Date</t>
  </si>
  <si>
    <t>Portfolio Drawdown Log -- log quarter-end portfolio value, confirm regime</t>
  </si>
  <si>
    <t>Correlation Matrix -- `python -m landry prices rebuild` (restates every close for dividends; `prices status` first), then confirm Rule 38 status</t>
  </si>
  <si>
    <t>Watch List Tracker -- check all 90-day deadlines (Rule 34), flag any DEADLINE PASSED / APPROACHING</t>
  </si>
  <si>
    <t>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</si>
  <si>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Log any conversational (non-CLI-draft) scoring to landry_scores.json (source=manual, approved_by=Alan)</t>
  </si>
  <si>
    <t>Run `python -m landry audit`, confirm clean or explain any failures</t>
  </si>
  <si>
    <t>Run `python -m landry.xlsx_recalc` after any workbook edit</t>
  </si>
  <si>
    <t>Re-score Tier 1 indicators (FCF Yield, Revenue Growth, Moat, Rev Visibility, FCF Margin) for existing holdings using new Q3 results -- update Scoring tab for anything material</t>
  </si>
  <si>
    <t>Complete COST/Visa Entry Checklist work if not finished at 9/30 review</t>
  </si>
  <si>
    <t>Holding Monitor -- snapshot pre-refresh Tier 1 sub-scores into Prior columns, then populate Current columns with post-refresh values; also populate Position Pct, Max Full Pct, Debt/FCF, P/FCF, FCF Growth%, Implied Return, Current/Prior Tier</t>
  </si>
  <si>
    <t>Re-score Tier 1 indicators using Q4/FY results</t>
  </si>
  <si>
    <t>Holding Monitor -- shift each held ticker's Current columns into Prior, then populate Current with newly re-scored Tier 1 sub-scores and refreshed valuation/sizing metrics; review any TRIGGER/ACTION REQUIRED flags</t>
  </si>
  <si>
    <t>Pull fresh prices for all held positions -- update Current Positions col F</t>
  </si>
  <si>
    <t>Log this month's total portfolio value into Portfolio Drawdown Log -- note the resulting regime (Normal/Elevated/Severe/Critical)</t>
  </si>
  <si>
    <t>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</si>
  <si>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Scan Monitor &amp; Recheck Triggers Recheck Status -- re-score whatever's DUE before adding to it, not after</t>
  </si>
  <si>
    <t>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</si>
  <si>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Confirm Correlation Matrix status hasn't moved unfavorably before buying</t>
  </si>
  <si>
    <t>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</si>
  <si>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</si>
  <si>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</si>
  <si>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Open (unresolved) items:</t>
  </si>
  <si>
    <t>#</t>
  </si>
  <si>
    <t>Item</t>
  </si>
  <si>
    <t>Date Raised</t>
  </si>
  <si>
    <t>Date Resolved</t>
  </si>
  <si>
    <t>Piotroski: add 1-2 currently-held, Management-Quality-scored tickers to the diagnostic batch, specifically to make the Leverage Trajectory check testable (0 of the first 4 tickers had a Mgmt Quality score on record to compare against).</t>
  </si>
  <si>
    <t>Added MU and VRT -- both now testable, both agree with existing Mgmt Quality (no divergence). See Journal row 40.</t>
  </si>
  <si>
    <t>Piotroski: diagnose why VRTX's FY2025 CFO ($3.63B) came in under Net Income ($3.95B) -- one-time item vs. a genuine earnings-quality concern -- before treating that divergence as conclusive on its own.</t>
  </si>
  <si>
    <t>Growth/launch-driven working-capital build (Journavx launch), not an earnings-quality concern. See Journal row 41.</t>
  </si>
  <si>
    <t>Scoring completion queue: LIN, NFLX, DPZ, PG, GE cleared Tier 1 months ago. GE and NFLX fully completed (STRONG BUY); LIN, ET(added), DPZ, and PG all rechecked and parked below/at the 4.0 bar.</t>
  </si>
  <si>
    <t>See Journal rows 53-55.</t>
  </si>
  <si>
    <t>Implied-Return backfill: 16 pre-existing holdings (13 held, 3 sold) entered the portfolio before the Rules 11-13 gate existed and have never been run through it.</t>
  </si>
  <si>
    <t>Action Items E25/E26: same truncated-range bug already fixed in E28/E29 (Entry Authorization tallies) also exists here (Rule 2/4 candidate-flag tallies against Scoring, still capped at row 27).</t>
  </si>
  <si>
    <t>Holding Monitor's template caps at 20 tickers; Implied-Return Calculator extends to the full 45-ticker universe. Not urgent today (14 non-ETF holdings), but a real ceiling if holdings keep growing.</t>
  </si>
  <si>
    <t>Formalize how ETFs should be treated as portfolio positions. Current holdings are being treated as dry powder for now (a tactical decision), but the general policy question is still genuinely undecided.</t>
  </si>
  <si>
    <t>DPZ and PG both showed real deterioration (parked, same as LIN/ET); GE improved and was advanced to full Tier 2/3 (Composite 84.2, STRONG BUY). See Journal row 54.</t>
  </si>
  <si>
    <t>Database migration: Phase A shipped 8/18/26; Phases B/C (cutting the CLI/webapp over to the DB, generated-report export) were paused pending Tranche 2. That gate cleared 9/8/26 but resuming hasn't been asked for.</t>
  </si>
  <si>
    <t>Consider a 5-10% "wild card" portfolio allocation -- rule-disregarding, or governed by a new/separate rule set -- for exceptional opportunities outside the current Landry Strategy's normal gates. Genuinely undefined, discussion-only for now.</t>
  </si>
  <si>
    <t>See Journal row 38.</t>
  </si>
  <si>
    <t>Reconcile the Instructions tab's print layout with Alan's separately reformatted _copy version (one page wide). Recommended Alan do this directly on the live file to avoid cross-contamination from a _copy file.</t>
  </si>
  <si>
    <t>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</si>
  <si>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See Journal row 53.</t>
  </si>
  <si>
    <t>CMG, ETSY, PH, and ETN are the remaining names from the same stale 8/11-13 PENDING batch as the scoring completion queue (LIN/ET/DPZ/PG/GE/YUM). Deliberately not rechecked -- Alan's call, 9/13/26: 'only YUM worth a revisit at this point.' Not an oversight; revisit only if Alan raises it.</t>
  </si>
  <si>
    <t>Traced provenance: CMG and ETSY ARE Darryl-sourced and still unverified; PH/ETN are not Darryl-sourced. V (held position) also Darryl-sourced -- rechecked, fell to BUY from STRONG BUY. See Journal row 56.</t>
  </si>
  <si>
    <t>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</si>
  <si>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ADBE Moat Quality: holding at 4, flagged for revisit at next earnings (not before).</t>
  </si>
  <si>
    <t>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</si>
  <si>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UNH: quant screen clears (~3.33) but Fidelity scan found active CalPERS litigation (motion to dismiss denied in part 9/30/26) and a genuinely Bearish 1.5/10 analyst consensus -- flagged to score further only after the situation settles, not scored now.</t>
  </si>
  <si>
    <t>See Journal row 69. Revisit on a clearer CalPERS resolution or after Q3 earnings (10/13/26).</t>
  </si>
  <si>
    <t>ACN: quant screen marginal (~2.875, driven almost entirely by severe relative-strength weakness) but Fidelity scan found a Very Bullish 9.4/10 analyst consensus and a cheap relative valuation -- held open, no score until after Q4 earnings.</t>
  </si>
  <si>
    <t>See Journal row 69. Revisit after the 10/1/26 earnings print.</t>
  </si>
  <si>
    <t>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</si>
  <si>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</si>
  <si>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</si>
  <si>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</si>
  <si>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</si>
  <si>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</si>
  <si>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Portfolio Performance snapshot (simple): track in detail ONLY the System-selected equities in the portfolio over time -- excluding cash and cash equivalents.</t>
  </si>
  <si>
    <t>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</si>
  <si>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</si>
  <si>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</si>
  <si>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</si>
  <si>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</si>
  <si>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NTRA: quant screen clears the floor (~3.44) with no Rule 5 trigger, but Fidelity shows the INTU pattern: independent-firm Equity Summary Score Bearish 1.5 vs a 91% buy sell-side, +154% in a year, normalized FCF negative after SBC, no valuation anchor. Held at Watch - Pending Earnings.</t>
  </si>
  <si>
    <t>See Journal row 79. Revisit after Q3 earnings 11/4/26 (unconfirmed): look for normalized FCF (CFO - capex - SBC) turning positive and whether the bearish score eases before any Part 12 spend.</t>
  </si>
  <si>
    <t>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11-13), and the +0.51 correlation with ADBE (Rule 38 cap is 0.70).</t>
  </si>
  <si>
    <t>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</si>
  <si>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</si>
  <si>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See Journal row 82. Extends #13 (the ETF cluster) and the SPMO-first funding rule. The matrix is the source of record from 10/4/26; detail is the Correlation Matrix tab's AG column.</t>
  </si>
  <si>
    <t>Charts and trend columns for the seven tickers added to Price History after the original 19 (DVY, SCHD, VYM, MLPI, JEPI, GE, NFLX): none exist, so those names appear on the Correlation Matrix but not in Returns (Calc)'s chart block. Optional.</t>
  </si>
  <si>
    <t>See Journal row 82 and Schema Reference (Returns (Calc)). Needs new trend columns plus charts keyed to the new tickers' columns; the existing 19 are correct again.</t>
  </si>
  <si>
    <t>Price History holds 160 weeks, over Rule 38's 36-month (~156-week) maximum, and the Correlation Matrix ranges (rows 3-500) never roll, so the window only grows (~52 rows a year). Decide: roll it (drop the oldest row or use OFFSET-based ranges) or accept 3 years plus growth.</t>
  </si>
  <si>
    <t>See Journal row 82. Low urgency; `landry prices append` never deletes a row.</t>
  </si>
  <si>
    <t>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</si>
  <si>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Done 10/4/26: Market Data got ABT, SLB, VEEV and KGS (Journal row 85); Monitor got ABT, SLB and VEEV as rows 49-51 (Journal row 87). The weekly routine now refreshes all four in both tabs.</t>
  </si>
  <si>
    <t>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</si>
  <si>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Done 10/4/26: Alan chose to apply Rule 3 as written. Decision column now applies the Rule 3/1/4 gates; AVGO, VRTX and CRWD are in Exit Review (Journal row 89); the v1.05 clarification was drafted but not adopted. The follow-up with a date is #30.</t>
  </si>
  <si>
    <t>DUE 10/13/26: AVGO, VRTX and CRWD are in Exit Review under Rule 3 (applied as written 10/4/26). For each, EITHER approve a dated 90-day remediation plan with a credible, documented path (then set Watch List Tracker col H to Y and record the plan in col L) OR sell within 30 days. Sell-by date is 10/13/26 if counted from the 9/13 re-score that tripped the rule, 11/3/26 if counted from the 10/4 confirmation -- Alan to confirm which. No additions to these three meanwhile (relevant to DCA-CATCHUP-2, Wed 10/7).</t>
  </si>
  <si>
    <t>See Journal row 89 and Watch List Tracker rows 3-5; Action Items E5 counts them. Replaces the decision part of #29.</t>
  </si>
  <si>
    <t>SCHEMA REFERENCE — for future programmatic access (Claude Code or otherwise)</t>
  </si>
  <si>
    <t>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</si>
  <si>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Instructions</t>
  </si>
  <si>
    <t>Structure Type</t>
  </si>
  <si>
    <t>Table/Range Name</t>
  </si>
  <si>
    <t>Data Rows</t>
  </si>
  <si>
    <t>Key Reference</t>
  </si>
  <si>
    <t>Reference text (no data)</t>
  </si>
  <si>
    <t>n/a</t>
  </si>
  <si>
    <t>How-to and rule reference. No structured data.</t>
  </si>
  <si>
    <t>Action Items</t>
  </si>
  <si>
    <t>Formulas pulling from other tabs</t>
  </si>
  <si>
    <t>Rows 4-31, sections by row</t>
  </si>
  <si>
    <t>Read-only summary; do not write here, it recalculates from source tabs.</t>
  </si>
  <si>
    <t>Current Positions</t>
  </si>
  <si>
    <t>Table</t>
  </si>
  <si>
    <t>CurrentPositionsTable</t>
  </si>
  <si>
    <t>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</si>
  <si>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A=Account,B=Ticker,C=Description,D=AssetClass,E=Quantity,F=Price,G=MarketValue,H=CostBasis,I=UnrealizedGL$,J=UnrealizedGL%,K=%ofAccount,L=%ofCombined,M=Classification. Tax-loss carryforward reference cells at O2/P2 (Short-term), O3/P3 (Long-term) -- outside the table. Notes row (50) also outside the table, freeform.</t>
  </si>
  <si>
    <t>Monitor &amp; Recheck Triggers</t>
  </si>
  <si>
    <t>MonitorTable</t>
  </si>
  <si>
    <t>A2:Q51 (col N=Analyst Shift Note, mirrors K/L; RecheckStatus now P, Notes now Q; row 48 added 2026-09-11 for KGS and rows 49-51 on 2026-10-04 for ABT, SLB and VEEV, tracked non-owned candidates)</t>
  </si>
  <si>
    <t>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</si>
  <si>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Price History</t>
  </si>
  <si>
    <t>Fixed range, single header</t>
  </si>
  <si>
    <t>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</si>
  <si>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</si>
  <si>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Dashboard</t>
  </si>
  <si>
    <t>DashboardTable</t>
  </si>
  <si>
    <t>A1:J50 (header is row 1 here, not row 2 like most other tabs)</t>
  </si>
  <si>
    <t>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</si>
  <si>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Scoring</t>
  </si>
  <si>
    <t>Fixed range, 2-row merged header</t>
  </si>
  <si>
    <t>n/a (not a Table -- Tier1/2/3 group headers span multiple columns in row 1)</t>
  </si>
  <si>
    <t>Rows 3-47 populated (45 tickers), formulas/formatting run through row 60 for headroom; row 62 holds a visible-ticker-count subtotal (SUBTOTAL 103, respects collapsed groups).</t>
  </si>
  <si>
    <t>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</si>
  <si>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Entry Checklist</t>
  </si>
  <si>
    <t>EntryChecklistTable</t>
  </si>
  <si>
    <t>A2:S47</t>
  </si>
  <si>
    <t>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</si>
  <si>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Market Data</t>
  </si>
  <si>
    <t>Rows 3-42 (40 tickers: held equities/ETFs ex-cash + Tier-1-passed bench candidates), cols A-I. Refreshed in place each Saturday by `python -m landry weekly` (landry/market.py) -- not a live formula.</t>
  </si>
  <si>
    <t>A=Ticker,B=Company,C=Price,D=Volume,E=MarketCap,F=P/E,G=52wkLow,H=52wkHigh,I=DivYield. The tool never adds or removes rows; a provider gap keeps the cell (ETF market caps), except a yield the provider reports as nothing paid, which is cleared.</t>
  </si>
  <si>
    <t>Returns (Calc)</t>
  </si>
  <si>
    <t>Fixed range, formula-derived</t>
  </si>
  <si>
    <t>Rows 3-161, cols A-V and W-AO</t>
  </si>
  <si>
    <t>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</si>
  <si>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Correlation Matrix</t>
  </si>
  <si>
    <t>Fixed range, formula-derived headers</t>
  </si>
  <si>
    <t>Rows 1-27, cols A-AG</t>
  </si>
  <si>
    <t>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</si>
  <si>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Portfolio Drawdown Log</t>
  </si>
  <si>
    <t>DrawdownLogTable</t>
  </si>
  <si>
    <t>A2:H42 as of 2026-09-08; grows one row per quarterly review, re-verify against the live Table ref</t>
  </si>
  <si>
    <t>A=Date,B=PortfolioValue,C=RunningPeak,D=Drawdown%,E=Status,F=RequiredCashFloor,G=NewPositionInitiation,H=Notes. Enter Date + PortfolioValue only; C-G calculate automatically (Part 7, Rules 38-39 drawdown-response tiers).</t>
  </si>
  <si>
    <t>Watch List Tracker</t>
  </si>
  <si>
    <t>WatchListTable</t>
  </si>
  <si>
    <t>A2:L22</t>
  </si>
  <si>
    <t>A=Ticker,B=Company,C=Status,D=EntryDate,E=EntryScore,F=CurrentScore,G=CurrentScoreDate,H=CredibleRemediationPlan(Y/N),I=90DayDeadline,J=DaysRemaining,K=ActionStatus,L=Notes.</t>
  </si>
  <si>
    <t>Implied-Return Calculator</t>
  </si>
  <si>
    <t>n/a (Base/Bear/Bull scenario groups span multiple columns in row 2)</t>
  </si>
  <si>
    <t>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</si>
  <si>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A=Ticker,B=Company,C=Price. D-H=Base[FCF5,Mult,Dist,Return,Tag]. I-M=Bear[same]. N-R=Bull[same]. S=Base&gt;10%check,T=Bear&gt;=0%check,U=ExactlyOneLikelyCheck.</t>
  </si>
  <si>
    <t>Holding Monitor</t>
  </si>
  <si>
    <t>n/a (Fundamental-trigger group header spans multiple columns in row 2)</t>
  </si>
  <si>
    <t>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</si>
  <si>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A=Ticker,B=Company,C=PositionPct,D=MaxFullPct. E-S=5 fundamental indicators x [Prior,Current,Flag]. T=Debt/FCF,U=P/FCF,V=FCFGrowth,W=ImpliedReturn,X=CurrentTier,Y=PriorTier,Z=ValuationFlags,AA=HoldThroughY/N,AB=ActionStatus.</t>
  </si>
  <si>
    <t>Performance Tracking</t>
  </si>
  <si>
    <t>PerformanceTrackingTable</t>
  </si>
  <si>
    <t>A2:Q33</t>
  </si>
  <si>
    <t>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</si>
  <si>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Journal</t>
  </si>
  <si>
    <t>JournalTable</t>
  </si>
  <si>
    <t>A2:C302</t>
  </si>
  <si>
    <t>A=Date,B=Ticker,C=Notes. Freeform; filter/sort via the Table's built-in header dropdowns.</t>
  </si>
  <si>
    <t>Process Checklist</t>
  </si>
  <si>
    <t>ProcessChecklistTable</t>
  </si>
  <si>
    <t>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</si>
  <si>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</si>
  <si>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Open Items</t>
  </si>
  <si>
    <t>OpenItemsTable</t>
  </si>
  <si>
    <t>A4:F34 as of 2026-10-04 (30 items) -- grows as new open items get added, shrinks only if a row is deliberately removed (resolved items stay, marked Done, not deleted)</t>
  </si>
  <si>
    <t>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</si>
  <si>
    <t>Status
(Held / Exited)</t>
  </si>
  <si>
    <t>Current /
Exit Price</t>
  </si>
  <si>
    <t>SPY Price
(current / exit)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</si>
</sst>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_(* #,##0.00_);_(* \(#,##0.00\);_(* \-??_);_(@_)"/>
    <numFmt numFmtId="166" formatCode="\$#,##0.00"/>
    <numFmt numFmtId="167" formatCode="yyyy\-mm\-dd"/>
    <numFmt numFmtId="168" formatCode="mm/dd/yyyy"/>
    <numFmt numFmtId="169" formatCode="0.0"/>
    <numFmt numFmtId="170" formatCode="0.000"/>
    <numFmt numFmtId="171" formatCode="\$#,##0"/>
    <numFmt numFmtId="172" formatCode="0.0\x"/>
    <numFmt numFmtId="173" formatCode="yyyy\-mm\-dd\ h:mm:ss"/>
    <numFmt numFmtId="174" formatCode="#,##0.0000"/>
  </numFmts>
  <fonts count="66" x14ac:knownFonts="1">
    <font>
      <sz val="11"/>
      <color theme="1"/>
      <name val="Calibri"/>
      <family val="2"/>
      <charset val="1"/>
    </font>
    <font>
      <sz val="10"/>
      <name val="Arial"/>
      <family val="2"/>
    </font>
    <font>
      <b/>
      <sz val="13"/>
      <color rgb="FF1F3864"/>
      <name val="Arial"/>
      <family val="2"/>
      <charset val="1"/>
    </font>
    <font>
      <sz val="9"/>
      <color rgb="FF000000"/>
      <name val="Arial"/>
      <family val="2"/>
      <charset val="1"/>
    </font>
    <font>
      <i/>
      <sz val="9"/>
      <color rgb="FF000000"/>
      <name val="Arial"/>
      <family val="2"/>
      <charset val="1"/>
    </font>
    <font>
      <b/>
      <sz val="10"/>
      <color rgb="FF1F3864"/>
      <name val="Arial"/>
      <family val="2"/>
      <charset val="1"/>
    </font>
    <font>
      <sz val="9"/>
      <name val="Arial"/>
      <family val="2"/>
      <charset val="1"/>
    </font>
    <font>
      <b/>
      <sz val="14"/>
      <color rgb="FF1F3864"/>
      <name val="Arial"/>
      <family val="2"/>
      <charset val="1"/>
    </font>
    <font>
      <sz val="14"/>
      <color theme="1"/>
      <name val="Calibri"/>
      <family val="2"/>
      <charset val="1"/>
    </font>
    <font>
      <i/>
      <sz val="10"/>
      <color rgb="FF808080"/>
      <name val="Arial"/>
      <family val="2"/>
      <charset val="1"/>
    </font>
    <font>
      <b/>
      <sz val="11"/>
      <color rgb="FFFFFFFF"/>
      <name val="Arial"/>
      <family val="2"/>
      <charset val="1"/>
    </font>
    <font>
      <sz val="10"/>
      <color rgb="FF000000"/>
      <name val="Arial"/>
      <family val="2"/>
      <charset val="1"/>
    </font>
    <font>
      <b/>
      <sz val="10"/>
      <color rgb="FF000000"/>
      <name val="Arial"/>
      <family val="2"/>
      <charset val="1"/>
    </font>
    <font>
      <sz val="10"/>
      <color theme="1"/>
      <name val="Calibri"/>
      <family val="2"/>
      <charset val="1"/>
    </font>
    <font>
      <sz val="11"/>
      <color theme="1"/>
      <name val="Arial Narrow"/>
      <family val="2"/>
      <charset val="1"/>
    </font>
    <font>
      <i/>
      <sz val="10"/>
      <color rgb="FF000000"/>
      <name val="Arial Narrow"/>
      <family val="2"/>
      <charset val="1"/>
    </font>
    <font>
      <b/>
      <sz val="11"/>
      <color rgb="FFFFFFFF"/>
      <name val="Arial Narrow"/>
      <family val="2"/>
      <charset val="1"/>
    </font>
    <font>
      <sz val="8"/>
      <color rgb="FF002060"/>
      <name val="Arial Narrow"/>
      <family val="2"/>
      <charset val="1"/>
    </font>
    <font>
      <b/>
      <sz val="10"/>
      <color rgb="FF002060"/>
      <name val="Arial Narrow"/>
      <family val="2"/>
      <charset val="1"/>
    </font>
    <font>
      <sz val="10"/>
      <color rgb="FF002060"/>
      <name val="Arial Narrow"/>
      <family val="2"/>
      <charset val="1"/>
    </font>
    <font>
      <sz val="10"/>
      <name val="Arial Narrow"/>
      <family val="2"/>
      <charset val="1"/>
    </font>
    <font>
      <b/>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2"/>
    </font>
    <font>
      <b/>
      <sz val="11"/>
      <color theme="1"/>
      <name val="Calibri"/>
      <family val="2"/>
      <charset val="1"/>
    </font>
    <font>
      <i/>
      <sz val="11"/>
      <color rgb="FF000000"/>
      <name val="Arial Narrow"/>
      <family val="2"/>
      <charset val="1"/>
    </font>
    <font>
      <b/>
      <sz val="11"/>
      <color rgb="FF002060"/>
      <name val="Arial Narrow"/>
      <family val="2"/>
      <charset val="1"/>
    </font>
    <font>
      <sz val="11"/>
      <color rgb="FF000000"/>
      <name val="Arial Narrow"/>
      <family val="2"/>
      <charset val="1"/>
    </font>
    <font>
      <b/>
      <sz val="11"/>
      <color rgb="FF002060"/>
      <name val="Arial"/>
      <family val="2"/>
      <charset val="1"/>
    </font>
    <font>
      <sz val="10"/>
      <color rgb="FF002060"/>
      <name val="Arial"/>
      <family val="2"/>
      <charset val="1"/>
    </font>
    <font>
      <sz val="10"/>
      <color theme="1"/>
      <name val="Arial Narrow"/>
      <family val="2"/>
      <charset val="1"/>
    </font>
    <font>
      <i/>
      <sz val="12"/>
      <color rgb="FF000000"/>
      <name val="Arial Narrow"/>
      <family val="2"/>
      <charset val="1"/>
    </font>
    <font>
      <b/>
      <sz val="12"/>
      <color theme="1"/>
      <name val="Arial Narrow"/>
      <family val="2"/>
      <charset val="1"/>
    </font>
    <font>
      <b/>
      <sz val="12"/>
      <color rgb="FFFFFFFF"/>
      <name val="Arial Narrow"/>
      <family val="2"/>
      <charset val="1"/>
    </font>
    <font>
      <b/>
      <sz val="11"/>
      <color rgb="FF000000"/>
      <name val="Arial Narrow"/>
      <family val="2"/>
      <charset val="1"/>
    </font>
    <font>
      <b/>
      <sz val="16"/>
      <color rgb="FFFFFFFF"/>
      <name val="Arial Narrow"/>
      <family val="2"/>
      <charset val="1"/>
    </font>
    <font>
      <b/>
      <sz val="11"/>
      <color theme="1"/>
      <name val="Arial Narrow"/>
      <family val="2"/>
      <charset val="1"/>
    </font>
    <font>
      <b/>
      <sz val="10"/>
      <color rgb="FFFFFFFF"/>
      <name val="Arial Narrow"/>
      <family val="2"/>
      <charset val="1"/>
    </font>
    <font>
      <b/>
      <sz val="9"/>
      <color rgb="FFFFFFFF"/>
      <name val="Arial Narrow"/>
      <family val="2"/>
      <charset val="1"/>
    </font>
    <font>
      <sz val="11"/>
      <color rgb="FF002060"/>
      <name val="Arial Narrow"/>
      <family val="2"/>
      <charset val="1"/>
    </font>
    <font>
      <b/>
      <sz val="8"/>
      <color rgb="FF000000"/>
      <name val="Arial Narrow"/>
      <family val="2"/>
      <charset val="1"/>
    </font>
    <font>
      <b/>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sz val="10"/>
      <name val="Arial Narrow"/>
      <family val="2"/>
    </font>
    <font>
      <b/>
      <sz val="12"/>
      <color rgb="FF1F3864"/>
      <name val="Arial Narrow"/>
      <family val="2"/>
      <charset val="1"/>
    </font>
    <font>
      <sz val="11"/>
      <color rgb="FF002060"/>
      <name val="Arial Narrow"/>
      <family val="2"/>
    </font>
    <font>
      <sz val="11"/>
      <color rgb="FF000000"/>
      <name val="Arial Narrow"/>
      <family val="2"/>
    </font>
    <font>
      <b/>
      <sz val="11"/>
      <color rgb="FF000000"/>
      <name val="Arial Narrow"/>
      <family val="2"/>
    </font>
    <font>
      <b/>
      <i/>
      <sz val="11"/>
      <color rgb="FF000000"/>
      <name val="Arial Narrow"/>
      <family val="2"/>
      <charset val="1"/>
    </font>
    <font>
      <b/>
      <sz val="8"/>
      <color rgb="FF002060"/>
      <name val="Arial"/>
      <family val="2"/>
      <charset val="1"/>
    </font>
    <font>
      <sz val="8"/>
      <color rgb="FF002060"/>
      <name val="Arial"/>
      <family val="2"/>
      <charset val="1"/>
    </font>
    <font>
      <b/>
      <sz val="8"/>
      <color rgb="FF000000"/>
      <name val="Arial"/>
      <family val="2"/>
      <charset val="1"/>
    </font>
    <font>
      <b/>
      <sz val="8"/>
      <color rgb="FF002060"/>
      <name val="Arial Narrow"/>
      <family val="2"/>
      <charset val="1"/>
    </font>
    <font>
      <i/>
      <sz val="11"/>
      <color rgb="FF808080"/>
      <name val="Arial Narrow"/>
      <family val="2"/>
      <charset val="1"/>
    </font>
    <font>
      <sz val="10"/>
      <color rgb="FF002060"/>
      <name val="Arial Narrow"/>
      <family val="2"/>
    </font>
    <font>
      <b/>
      <sz val="12"/>
      <color rgb="FF1F3864"/>
      <name val="Arial"/>
      <family val="2"/>
      <charset val="1"/>
    </font>
    <font>
      <b/>
      <sz val="10"/>
      <color rgb="FFFFFFFF"/>
      <name val="Arial"/>
      <family val="2"/>
      <charset val="1"/>
    </font>
    <font>
      <b/>
      <sz val="9"/>
      <color rgb="FFFFFFFF"/>
      <name val="Arial"/>
      <family val="2"/>
      <charset val="1"/>
    </font>
    <font>
      <sz val="8"/>
      <color rgb="FF000000"/>
      <name val="Arial"/>
      <family val="2"/>
      <charset val="1"/>
    </font>
    <font>
      <i/>
      <sz val="10"/>
      <color rgb="FF000000"/>
      <name val="Arial Narrow"/>
      <family val="2"/>
    </font>
    <font>
      <sz val="11"/>
      <color theme="1"/>
      <name val="Arial Narrow"/>
      <family val="2"/>
    </font>
    <font>
      <b/>
      <sz val="12"/>
      <color rgb="FFFFFFFF"/>
      <name val="Arial Narrow"/>
      <family val="2"/>
    </font>
    <font>
      <sz val="10"/>
      <color rgb="FF000000"/>
      <name val="Arial Narrow"/>
      <family val="2"/>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9013336588644"/>
        <bgColor rgb="FFE2EFDA"/>
      </patternFill>
    </fill>
    <fill>
      <patternFill patternType="solid">
        <fgColor rgb="FFDDEBF7"/>
        <bgColor rgb="FFDCE6F1"/>
      </patternFill>
    </fill>
    <fill>
      <patternFill patternType="solid">
        <fgColor theme="2" tint="-9.9978637043366805E-2"/>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3">
    <border>
      <left/>
      <right/>
      <top/>
      <bottom/>
      <diagonal/>
    </border>
    <border>
      <left style="thin">
        <color rgb="FF999999"/>
      </left>
      <right style="thin">
        <color rgb="FF999999"/>
      </right>
      <top style="thin">
        <color rgb="FF999999"/>
      </top>
      <bottom style="thin">
        <color rgb="FF999999"/>
      </bottom>
      <diagonal/>
    </border>
    <border>
      <left/>
      <right/>
      <top style="medium">
        <color auto="1"/>
      </top>
      <bottom/>
      <diagonal/>
    </border>
    <border>
      <left style="thin">
        <color rgb="FF999999"/>
      </left>
      <right style="thin">
        <color rgb="FF999999"/>
      </right>
      <top style="thin">
        <color rgb="FF999999"/>
      </top>
      <bottom style="medium">
        <color auto="1"/>
      </bottom>
      <diagonal/>
    </border>
    <border>
      <left style="thin">
        <color rgb="FF999999"/>
      </left>
      <right style="thin">
        <color rgb="FF999999"/>
      </right>
      <top/>
      <bottom style="thin">
        <color rgb="FF999999"/>
      </bottom>
      <diagonal/>
    </border>
    <border>
      <left/>
      <right/>
      <top style="thin">
        <color rgb="FF999999"/>
      </top>
      <bottom style="thin">
        <color rgb="FF999999"/>
      </bottom>
      <diagonal/>
    </border>
    <border>
      <left/>
      <right/>
      <top/>
      <bottom style="thin">
        <color rgb="FF999999"/>
      </bottom>
      <diagonal/>
    </border>
    <border>
      <left/>
      <right/>
      <top style="dashed">
        <color auto="1"/>
      </top>
      <bottom style="dashed">
        <color auto="1"/>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style="thin">
        <color indexed="64"/>
      </left>
      <right style="thin">
        <color rgb="FF999999"/>
      </right>
      <top style="thin">
        <color rgb="FF999999"/>
      </top>
      <bottom style="thin">
        <color indexed="64"/>
      </bottom>
      <diagonal/>
    </border>
    <border>
      <left style="thin">
        <color rgb="FF999999"/>
      </left>
      <right style="thin">
        <color rgb="FF999999"/>
      </right>
      <top style="thin">
        <color rgb="FF999999"/>
      </top>
      <bottom style="thin">
        <color indexed="64"/>
      </bottom>
      <diagonal/>
    </border>
    <border>
      <left style="thin">
        <color rgb="FF999999"/>
      </left>
      <right/>
      <top style="thin">
        <color rgb="FF999999"/>
      </top>
      <bottom style="thin">
        <color rgb="FF999999"/>
      </bottom>
      <diagonal/>
    </border>
  </borders>
  <cellStyleXfs count="1">
    <xf numFmtId="0" fontId="0" fillId="0" borderId="0"/>
  </cellStyleXfs>
  <cellXfs count="242">
    <xf numFmtId="0" fontId="0" fillId="0" borderId="0" xfId="0"/>
    <xf numFmtId="0" fontId="0" fillId="0" borderId="0" xfId="0"/>
    <xf numFmtId="0" fontId="15" fillId="0" borderId="0" xfId="0" applyFont="1" applyAlignment="1">
      <alignment horizontal="left" vertical="center" wrapText="1"/>
    </xf>
    <xf numFmtId="0" fontId="11" fillId="0" borderId="0" xfId="0" applyFont="1" applyAlignment="1">
      <alignment horizontal="right" vertical="center" wrapText="1"/>
    </xf>
    <xf numFmtId="0" fontId="10" fillId="2" borderId="0" xfId="0" applyFont="1" applyFill="1" applyAlignment="1">
      <alignment wrapText="1"/>
    </xf>
    <xf numFmtId="0" fontId="11" fillId="0" borderId="0" xfId="0" applyFont="1" applyAlignment="1">
      <alignment horizontal="left" vertical="center"/>
    </xf>
    <xf numFmtId="164" fontId="12" fillId="0" borderId="1" xfId="0" applyNumberFormat="1" applyFont="1" applyBorder="1" applyAlignment="1">
      <alignment horizontal="center" vertical="center"/>
    </xf>
    <xf numFmtId="1" fontId="12" fillId="0" borderId="1" xfId="0" applyNumberFormat="1" applyFont="1" applyBorder="1" applyAlignment="1">
      <alignment horizontal="center" vertical="center"/>
    </xf>
    <xf numFmtId="2" fontId="12" fillId="0" borderId="1" xfId="0" applyNumberFormat="1" applyFont="1" applyBorder="1" applyAlignment="1">
      <alignment horizontal="center" vertical="center"/>
    </xf>
    <xf numFmtId="0" fontId="12" fillId="0" borderId="1" xfId="0" applyFont="1" applyBorder="1" applyAlignment="1">
      <alignment horizontal="center" vertical="center"/>
    </xf>
    <xf numFmtId="0" fontId="11" fillId="0" borderId="0" xfId="0" applyFont="1" applyAlignment="1">
      <alignment horizontal="right" vertical="center"/>
    </xf>
    <xf numFmtId="0" fontId="10" fillId="2" borderId="0" xfId="0" applyFont="1" applyFill="1"/>
    <xf numFmtId="0" fontId="9" fillId="0" borderId="0" xfId="0" applyFont="1"/>
    <xf numFmtId="0" fontId="7" fillId="0" borderId="0" xfId="0" applyFont="1" applyAlignment="1">
      <alignment wrapText="1"/>
    </xf>
    <xf numFmtId="0" fontId="2" fillId="0" borderId="0" xfId="0" applyFont="1" applyAlignment="1">
      <alignment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3" fillId="0" borderId="0" xfId="0" applyFont="1"/>
    <xf numFmtId="0" fontId="5" fillId="0" borderId="0" xfId="0" applyFont="1"/>
    <xf numFmtId="0" fontId="6" fillId="0" borderId="0" xfId="0" applyFont="1" applyAlignment="1">
      <alignment wrapText="1"/>
    </xf>
    <xf numFmtId="0" fontId="0" fillId="0" borderId="0" xfId="0" applyAlignment="1">
      <alignment wrapText="1"/>
    </xf>
    <xf numFmtId="0" fontId="8" fillId="0" borderId="0" xfId="0" applyFont="1"/>
    <xf numFmtId="0" fontId="12" fillId="0" borderId="1" xfId="0" applyFont="1" applyBorder="1" applyAlignment="1">
      <alignment horizontal="center" vertical="center"/>
    </xf>
    <xf numFmtId="0" fontId="13" fillId="0" borderId="0" xfId="0" applyFont="1"/>
    <xf numFmtId="164" fontId="12" fillId="0" borderId="1" xfId="0" applyNumberFormat="1" applyFont="1" applyBorder="1" applyAlignment="1">
      <alignment horizontal="center" vertical="center"/>
    </xf>
    <xf numFmtId="0" fontId="0" fillId="0" borderId="0" xfId="0" applyAlignment="1">
      <alignment horizontal="center"/>
    </xf>
    <xf numFmtId="0" fontId="14" fillId="0" borderId="0" xfId="0" applyFont="1"/>
    <xf numFmtId="0" fontId="16" fillId="3" borderId="0" xfId="0" applyFont="1" applyFill="1" applyAlignment="1">
      <alignment horizontal="center" vertical="top" wrapText="1"/>
    </xf>
    <xf numFmtId="0" fontId="17" fillId="0" borderId="0" xfId="0" applyFont="1"/>
    <xf numFmtId="0" fontId="18" fillId="0" borderId="0" xfId="0" applyFont="1" applyAlignment="1">
      <alignment horizontal="center"/>
    </xf>
    <xf numFmtId="0" fontId="19" fillId="0" borderId="0" xfId="0" applyFont="1"/>
    <xf numFmtId="0" fontId="19" fillId="0" borderId="0" xfId="0" applyFont="1" applyAlignment="1">
      <alignment horizontal="center"/>
    </xf>
    <xf numFmtId="165" fontId="20" fillId="0" borderId="0" xfId="0" applyNumberFormat="1" applyFont="1"/>
    <xf numFmtId="166" fontId="21" fillId="0" borderId="0" xfId="0" applyNumberFormat="1" applyFont="1"/>
    <xf numFmtId="4" fontId="19" fillId="0" borderId="0" xfId="0" applyNumberFormat="1" applyFont="1"/>
    <xf numFmtId="166" fontId="19" fillId="0" borderId="0" xfId="0" applyNumberFormat="1" applyFont="1"/>
    <xf numFmtId="164" fontId="22" fillId="0" borderId="0" xfId="0" applyNumberFormat="1" applyFont="1" applyAlignment="1">
      <alignment horizontal="center"/>
    </xf>
    <xf numFmtId="0" fontId="18" fillId="4" borderId="0" xfId="0" applyFont="1" applyFill="1" applyAlignment="1">
      <alignment horizontal="center"/>
    </xf>
    <xf numFmtId="0" fontId="23" fillId="0" borderId="2" xfId="0" applyFont="1" applyBorder="1" applyAlignment="1">
      <alignment horizontal="right"/>
    </xf>
    <xf numFmtId="0" fontId="18" fillId="0" borderId="2" xfId="0" applyFont="1" applyBorder="1" applyAlignment="1">
      <alignment horizontal="center"/>
    </xf>
    <xf numFmtId="0" fontId="18" fillId="0" borderId="2" xfId="0" applyFont="1" applyBorder="1" applyAlignment="1">
      <alignment horizontal="right"/>
    </xf>
    <xf numFmtId="0" fontId="19" fillId="0" borderId="2" xfId="0" applyFont="1" applyBorder="1" applyAlignment="1">
      <alignment horizontal="center"/>
    </xf>
    <xf numFmtId="165" fontId="20" fillId="0" borderId="2" xfId="0" applyNumberFormat="1" applyFont="1" applyBorder="1"/>
    <xf numFmtId="166" fontId="21" fillId="0" borderId="2" xfId="0" applyNumberFormat="1" applyFont="1" applyBorder="1"/>
    <xf numFmtId="4" fontId="18" fillId="0" borderId="2" xfId="0" applyNumberFormat="1" applyFont="1" applyBorder="1"/>
    <xf numFmtId="166" fontId="18" fillId="0" borderId="2" xfId="0" applyNumberFormat="1" applyFont="1" applyBorder="1"/>
    <xf numFmtId="164" fontId="21" fillId="0" borderId="2" xfId="0" applyNumberFormat="1" applyFont="1" applyBorder="1" applyAlignment="1">
      <alignment horizontal="center"/>
    </xf>
    <xf numFmtId="0" fontId="17" fillId="0" borderId="2" xfId="0" applyFont="1" applyBorder="1"/>
    <xf numFmtId="0" fontId="0" fillId="0" borderId="2" xfId="0" applyBorder="1"/>
    <xf numFmtId="0" fontId="24" fillId="0" borderId="0" xfId="0" applyFont="1" applyAlignment="1">
      <alignment horizontal="right"/>
    </xf>
    <xf numFmtId="164" fontId="24" fillId="0" borderId="0" xfId="0" applyNumberFormat="1" applyFont="1" applyAlignment="1">
      <alignment horizontal="center"/>
    </xf>
    <xf numFmtId="0" fontId="25" fillId="0" borderId="0" xfId="0" applyFont="1" applyAlignment="1">
      <alignment horizontal="center"/>
    </xf>
    <xf numFmtId="4" fontId="0" fillId="0" borderId="0" xfId="0" applyNumberFormat="1"/>
    <xf numFmtId="0" fontId="26" fillId="0" borderId="0" xfId="0" applyFont="1" applyAlignment="1">
      <alignment vertical="center" wrapText="1"/>
    </xf>
    <xf numFmtId="0" fontId="16" fillId="3" borderId="1" xfId="0" applyFont="1" applyFill="1" applyBorder="1" applyAlignment="1">
      <alignment horizontal="center" vertical="top" wrapText="1"/>
    </xf>
    <xf numFmtId="4" fontId="16" fillId="3" borderId="1" xfId="0" applyNumberFormat="1" applyFont="1" applyFill="1" applyBorder="1" applyAlignment="1">
      <alignment horizontal="center" vertical="top" wrapText="1"/>
    </xf>
    <xf numFmtId="0" fontId="0" fillId="0" borderId="0" xfId="0" applyAlignment="1">
      <alignment vertical="top"/>
    </xf>
    <xf numFmtId="0" fontId="27" fillId="5" borderId="1" xfId="0" applyFont="1" applyFill="1" applyBorder="1" applyAlignment="1">
      <alignment horizontal="center" vertical="center"/>
    </xf>
    <xf numFmtId="0" fontId="19" fillId="5" borderId="1" xfId="0" applyFont="1" applyFill="1" applyBorder="1" applyAlignment="1">
      <alignment horizontal="center" vertical="center"/>
    </xf>
    <xf numFmtId="167" fontId="19" fillId="5" borderId="1" xfId="0" applyNumberFormat="1" applyFont="1" applyFill="1" applyBorder="1" applyAlignment="1">
      <alignment horizontal="center" vertical="center"/>
    </xf>
    <xf numFmtId="0" fontId="28" fillId="0" borderId="1" xfId="0" applyFont="1" applyBorder="1" applyAlignment="1">
      <alignment horizontal="center" vertical="center"/>
    </xf>
    <xf numFmtId="4" fontId="19" fillId="5" borderId="1" xfId="0" applyNumberFormat="1" applyFont="1" applyFill="1" applyBorder="1" applyAlignment="1">
      <alignment horizontal="center" vertical="center"/>
    </xf>
    <xf numFmtId="166" fontId="19" fillId="5" borderId="1" xfId="0" applyNumberFormat="1" applyFont="1" applyFill="1" applyBorder="1" applyAlignment="1">
      <alignment horizontal="center" vertical="center"/>
    </xf>
    <xf numFmtId="164" fontId="21" fillId="0" borderId="1" xfId="0" applyNumberFormat="1" applyFont="1" applyBorder="1" applyAlignment="1">
      <alignment horizontal="center" vertical="center"/>
    </xf>
    <xf numFmtId="168" fontId="19" fillId="5" borderId="1" xfId="0" applyNumberFormat="1" applyFont="1" applyFill="1" applyBorder="1" applyAlignment="1">
      <alignment horizontal="center" vertical="center"/>
    </xf>
    <xf numFmtId="0" fontId="19" fillId="5" borderId="1" xfId="0" applyFont="1" applyFill="1" applyBorder="1" applyAlignment="1">
      <alignment horizontal="left" vertical="center"/>
    </xf>
    <xf numFmtId="1" fontId="22" fillId="0" borderId="1" xfId="0" applyNumberFormat="1" applyFont="1" applyBorder="1" applyAlignment="1">
      <alignment horizontal="center" vertical="center"/>
    </xf>
    <xf numFmtId="0" fontId="21" fillId="0" borderId="1" xfId="0" applyFont="1" applyBorder="1" applyAlignment="1">
      <alignment horizontal="center" vertical="center"/>
    </xf>
    <xf numFmtId="0" fontId="19" fillId="6" borderId="1" xfId="0" applyFont="1" applyFill="1" applyBorder="1" applyAlignment="1">
      <alignment horizontal="center" vertical="center"/>
    </xf>
    <xf numFmtId="0" fontId="19" fillId="6" borderId="1" xfId="0" applyFont="1" applyFill="1" applyBorder="1" applyAlignment="1">
      <alignment horizontal="left" vertical="center"/>
    </xf>
    <xf numFmtId="0" fontId="29" fillId="5" borderId="1" xfId="0" applyFont="1" applyFill="1" applyBorder="1" applyAlignment="1">
      <alignment horizontal="center" vertical="center"/>
    </xf>
    <xf numFmtId="0" fontId="30" fillId="5" borderId="1" xfId="0" applyFont="1" applyFill="1" applyBorder="1" applyAlignment="1">
      <alignment horizontal="left" vertical="center"/>
    </xf>
    <xf numFmtId="167" fontId="30" fillId="5" borderId="1" xfId="0" applyNumberFormat="1" applyFont="1" applyFill="1" applyBorder="1" applyAlignment="1">
      <alignment horizontal="center" vertical="center"/>
    </xf>
    <xf numFmtId="0" fontId="30" fillId="5" borderId="1" xfId="0" applyFont="1" applyFill="1" applyBorder="1" applyAlignment="1">
      <alignment horizontal="center" vertical="center"/>
    </xf>
    <xf numFmtId="4" fontId="30" fillId="5" borderId="1" xfId="0" applyNumberFormat="1" applyFont="1" applyFill="1" applyBorder="1" applyAlignment="1">
      <alignment horizontal="center" vertical="center"/>
    </xf>
    <xf numFmtId="166" fontId="30" fillId="5" borderId="1" xfId="0" applyNumberFormat="1" applyFont="1" applyFill="1" applyBorder="1" applyAlignment="1">
      <alignment horizontal="center" vertical="center"/>
    </xf>
    <xf numFmtId="168" fontId="30" fillId="5" borderId="1" xfId="0" applyNumberFormat="1" applyFont="1" applyFill="1" applyBorder="1" applyAlignment="1">
      <alignment horizontal="center" vertical="center"/>
    </xf>
    <xf numFmtId="1" fontId="11" fillId="0" borderId="1" xfId="0" applyNumberFormat="1" applyFont="1" applyBorder="1" applyAlignment="1">
      <alignment horizontal="center" vertical="center"/>
    </xf>
    <xf numFmtId="0" fontId="31" fillId="0" borderId="0" xfId="0" applyFont="1"/>
    <xf numFmtId="0" fontId="32" fillId="0" borderId="0" xfId="0" applyFont="1" applyAlignment="1">
      <alignment vertical="center"/>
    </xf>
    <xf numFmtId="0" fontId="15" fillId="0" borderId="0" xfId="0" applyFont="1" applyAlignment="1">
      <alignment vertical="center"/>
    </xf>
    <xf numFmtId="0" fontId="18" fillId="5" borderId="3" xfId="0" applyFont="1" applyFill="1" applyBorder="1" applyAlignment="1">
      <alignment horizontal="center" vertical="center" wrapText="1"/>
    </xf>
    <xf numFmtId="168" fontId="19" fillId="5" borderId="4" xfId="0" applyNumberFormat="1" applyFont="1" applyFill="1" applyBorder="1" applyAlignment="1">
      <alignment horizontal="center" vertical="center"/>
    </xf>
    <xf numFmtId="4" fontId="19" fillId="5" borderId="4" xfId="0" applyNumberFormat="1" applyFont="1" applyFill="1" applyBorder="1" applyAlignment="1">
      <alignment horizontal="center" vertical="center"/>
    </xf>
    <xf numFmtId="2" fontId="19" fillId="5" borderId="1" xfId="0" applyNumberFormat="1" applyFont="1" applyFill="1" applyBorder="1" applyAlignment="1">
      <alignment horizontal="center" vertical="center"/>
    </xf>
    <xf numFmtId="0" fontId="33" fillId="0" borderId="2" xfId="0" applyFont="1" applyBorder="1" applyAlignment="1">
      <alignment horizontal="center"/>
    </xf>
    <xf numFmtId="0" fontId="34" fillId="3" borderId="1" xfId="0" applyFont="1" applyFill="1" applyBorder="1" applyAlignment="1">
      <alignment horizontal="center" vertical="top" wrapText="1"/>
    </xf>
    <xf numFmtId="0" fontId="34" fillId="3" borderId="1" xfId="0" applyFont="1" applyFill="1" applyBorder="1" applyAlignment="1">
      <alignment horizontal="center" vertical="center" wrapText="1"/>
    </xf>
    <xf numFmtId="0" fontId="35" fillId="0" borderId="1" xfId="0" applyFont="1" applyBorder="1" applyAlignment="1">
      <alignment horizontal="center" vertical="center"/>
    </xf>
    <xf numFmtId="0" fontId="28" fillId="0" borderId="1" xfId="0" applyFont="1" applyBorder="1" applyAlignment="1">
      <alignment horizontal="left" vertical="center"/>
    </xf>
    <xf numFmtId="168" fontId="28" fillId="0" borderId="1" xfId="0" applyNumberFormat="1" applyFont="1" applyBorder="1" applyAlignment="1">
      <alignment horizontal="center" vertical="center"/>
    </xf>
    <xf numFmtId="2" fontId="28" fillId="0" borderId="1" xfId="0" applyNumberFormat="1" applyFont="1" applyBorder="1" applyAlignment="1">
      <alignment horizontal="center" vertical="center"/>
    </xf>
    <xf numFmtId="169" fontId="35" fillId="0" borderId="1" xfId="0" applyNumberFormat="1" applyFont="1" applyBorder="1" applyAlignment="1">
      <alignment horizontal="center" vertical="center"/>
    </xf>
    <xf numFmtId="0" fontId="33" fillId="0" borderId="0" xfId="0" applyFont="1"/>
    <xf numFmtId="0" fontId="34" fillId="7" borderId="1" xfId="0" applyFont="1" applyFill="1" applyBorder="1" applyAlignment="1">
      <alignment horizontal="center" vertical="center" wrapText="1"/>
    </xf>
    <xf numFmtId="0" fontId="38" fillId="3" borderId="1" xfId="0" applyFont="1" applyFill="1" applyBorder="1" applyAlignment="1">
      <alignment horizontal="center" vertical="top" wrapText="1"/>
    </xf>
    <xf numFmtId="0" fontId="16" fillId="7" borderId="1" xfId="0" applyFont="1" applyFill="1" applyBorder="1" applyAlignment="1">
      <alignment horizontal="center" vertical="top" wrapText="1"/>
    </xf>
    <xf numFmtId="0" fontId="16" fillId="3" borderId="1" xfId="0" applyFont="1" applyFill="1" applyBorder="1" applyAlignment="1">
      <alignment horizontal="center" vertical="center" wrapText="1"/>
    </xf>
    <xf numFmtId="0" fontId="39" fillId="7" borderId="1" xfId="0" applyFont="1" applyFill="1" applyBorder="1" applyAlignment="1">
      <alignment horizontal="center" vertical="center" wrapText="1"/>
    </xf>
    <xf numFmtId="0" fontId="40" fillId="5" borderId="1" xfId="0" applyFont="1" applyFill="1" applyBorder="1" applyAlignment="1">
      <alignment horizontal="left" vertical="center"/>
    </xf>
    <xf numFmtId="168" fontId="40" fillId="5" borderId="1" xfId="0" applyNumberFormat="1" applyFont="1" applyFill="1" applyBorder="1" applyAlignment="1">
      <alignment horizontal="center" vertical="center"/>
    </xf>
    <xf numFmtId="0" fontId="40" fillId="5" borderId="1" xfId="0" applyFont="1" applyFill="1" applyBorder="1" applyAlignment="1">
      <alignment horizontal="center" vertical="center"/>
    </xf>
    <xf numFmtId="170" fontId="28" fillId="0" borderId="1" xfId="0" applyNumberFormat="1" applyFont="1" applyBorder="1" applyAlignment="1">
      <alignment horizontal="center" vertical="center"/>
    </xf>
    <xf numFmtId="2" fontId="35"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23" fillId="5" borderId="1" xfId="0" applyFont="1" applyFill="1" applyBorder="1" applyAlignment="1">
      <alignment horizontal="center" vertical="center"/>
    </xf>
    <xf numFmtId="3" fontId="40" fillId="5" borderId="1" xfId="0" applyNumberFormat="1" applyFont="1" applyFill="1" applyBorder="1" applyAlignment="1">
      <alignment horizontal="center" vertical="center"/>
    </xf>
    <xf numFmtId="3" fontId="35" fillId="0" borderId="1" xfId="0" applyNumberFormat="1" applyFont="1" applyBorder="1" applyAlignment="1">
      <alignment horizontal="center" vertical="center"/>
    </xf>
    <xf numFmtId="2" fontId="40" fillId="5" borderId="1" xfId="0" applyNumberFormat="1" applyFont="1" applyFill="1" applyBorder="1" applyAlignment="1">
      <alignment horizontal="center" vertical="center"/>
    </xf>
    <xf numFmtId="0" fontId="41" fillId="0" borderId="1" xfId="0" applyFont="1" applyBorder="1" applyAlignment="1">
      <alignment horizontal="center" vertical="center"/>
    </xf>
    <xf numFmtId="167" fontId="40" fillId="5" borderId="1" xfId="0" applyNumberFormat="1" applyFont="1" applyFill="1" applyBorder="1" applyAlignment="1">
      <alignment horizontal="center" vertical="center"/>
    </xf>
    <xf numFmtId="0" fontId="42" fillId="0" borderId="1" xfId="0" applyFont="1" applyBorder="1" applyAlignment="1">
      <alignment horizontal="center" vertical="center"/>
    </xf>
    <xf numFmtId="0" fontId="43" fillId="0" borderId="0" xfId="0" applyFont="1"/>
    <xf numFmtId="0" fontId="33" fillId="0" borderId="0" xfId="0" applyFont="1" applyAlignment="1">
      <alignment horizontal="center"/>
    </xf>
    <xf numFmtId="167" fontId="0" fillId="0" borderId="0" xfId="0" applyNumberFormat="1"/>
    <xf numFmtId="0" fontId="15" fillId="0" borderId="0" xfId="0" applyFont="1"/>
    <xf numFmtId="0" fontId="15" fillId="0" borderId="0" xfId="0" applyFont="1" applyAlignment="1">
      <alignment horizontal="center"/>
    </xf>
    <xf numFmtId="0" fontId="38" fillId="3" borderId="0" xfId="0" applyFont="1" applyFill="1" applyAlignment="1">
      <alignment horizontal="center" vertical="top" wrapText="1"/>
    </xf>
    <xf numFmtId="0" fontId="21" fillId="0" borderId="0" xfId="0" applyFont="1"/>
    <xf numFmtId="0" fontId="21" fillId="0" borderId="0" xfId="0" applyFont="1" applyAlignment="1">
      <alignment horizontal="center"/>
    </xf>
    <xf numFmtId="0" fontId="0" fillId="0" borderId="0" xfId="0" applyAlignment="1">
      <alignment horizontal="left"/>
    </xf>
    <xf numFmtId="166" fontId="40" fillId="5" borderId="1" xfId="0" applyNumberFormat="1" applyFont="1" applyFill="1" applyBorder="1" applyAlignment="1">
      <alignment horizontal="center" vertical="center"/>
    </xf>
    <xf numFmtId="171" fontId="40" fillId="5" borderId="1" xfId="0" applyNumberFormat="1" applyFont="1" applyFill="1" applyBorder="1" applyAlignment="1">
      <alignment horizontal="center" vertical="center"/>
    </xf>
    <xf numFmtId="169" fontId="40" fillId="5" borderId="1" xfId="0" applyNumberFormat="1" applyFont="1" applyFill="1" applyBorder="1" applyAlignment="1">
      <alignment horizontal="center" vertical="center"/>
    </xf>
    <xf numFmtId="0" fontId="26" fillId="0" borderId="0" xfId="0" applyFont="1" applyAlignment="1">
      <alignment vertical="center"/>
    </xf>
    <xf numFmtId="0" fontId="16" fillId="0" borderId="0" xfId="0" applyFont="1"/>
    <xf numFmtId="0" fontId="16" fillId="3" borderId="1" xfId="0" applyFont="1" applyFill="1" applyBorder="1" applyAlignment="1">
      <alignment horizontal="center" vertical="center"/>
    </xf>
    <xf numFmtId="168" fontId="44" fillId="0" borderId="1" xfId="0" applyNumberFormat="1" applyFont="1" applyBorder="1" applyAlignment="1">
      <alignment horizontal="center" vertical="center"/>
    </xf>
    <xf numFmtId="164" fontId="44" fillId="0" borderId="1" xfId="0" applyNumberFormat="1" applyFont="1" applyBorder="1" applyAlignment="1">
      <alignment horizontal="center" vertical="center"/>
    </xf>
    <xf numFmtId="164" fontId="44" fillId="0" borderId="0" xfId="0" applyNumberFormat="1" applyFont="1"/>
    <xf numFmtId="4" fontId="45" fillId="0" borderId="1" xfId="0" applyNumberFormat="1" applyFont="1" applyBorder="1" applyAlignment="1">
      <alignment horizontal="center" vertical="center"/>
    </xf>
    <xf numFmtId="4" fontId="45" fillId="0" borderId="0" xfId="0" applyNumberFormat="1" applyFont="1"/>
    <xf numFmtId="0" fontId="24" fillId="0" borderId="0" xfId="0" applyFont="1"/>
    <xf numFmtId="0" fontId="46" fillId="0" borderId="0" xfId="0" applyFont="1" applyAlignment="1">
      <alignment horizontal="center"/>
    </xf>
    <xf numFmtId="0" fontId="34" fillId="3" borderId="0" xfId="0" applyFont="1" applyFill="1" applyAlignment="1">
      <alignment horizontal="center" vertical="center" wrapText="1"/>
    </xf>
    <xf numFmtId="0" fontId="0" fillId="3" borderId="0" xfId="0" applyFill="1"/>
    <xf numFmtId="0" fontId="47" fillId="8" borderId="0" xfId="0" applyFont="1" applyFill="1"/>
    <xf numFmtId="2" fontId="22" fillId="0" borderId="0" xfId="0" applyNumberFormat="1" applyFont="1" applyAlignment="1">
      <alignment horizontal="center"/>
    </xf>
    <xf numFmtId="0" fontId="22" fillId="0" borderId="0" xfId="0" applyFont="1"/>
    <xf numFmtId="168" fontId="48" fillId="5" borderId="1" xfId="0" applyNumberFormat="1" applyFont="1" applyFill="1" applyBorder="1" applyAlignment="1">
      <alignment horizontal="center" vertical="center"/>
    </xf>
    <xf numFmtId="171" fontId="48" fillId="5" borderId="1" xfId="0" applyNumberFormat="1" applyFont="1" applyFill="1" applyBorder="1" applyAlignment="1">
      <alignment horizontal="center" vertical="center"/>
    </xf>
    <xf numFmtId="171" fontId="49" fillId="0" borderId="1" xfId="0" applyNumberFormat="1" applyFont="1" applyBorder="1" applyAlignment="1">
      <alignment horizontal="center" vertical="center"/>
    </xf>
    <xf numFmtId="16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0" fontId="49" fillId="0" borderId="1" xfId="0" applyFont="1" applyBorder="1" applyAlignment="1">
      <alignment horizontal="center" vertical="center"/>
    </xf>
    <xf numFmtId="0" fontId="48" fillId="5" borderId="1" xfId="0" applyFont="1" applyFill="1" applyBorder="1" applyAlignment="1">
      <alignment horizontal="left" vertical="center"/>
    </xf>
    <xf numFmtId="168" fontId="23" fillId="5" borderId="1" xfId="0" applyNumberFormat="1" applyFont="1" applyFill="1" applyBorder="1" applyAlignment="1">
      <alignment horizontal="center" vertical="center"/>
    </xf>
    <xf numFmtId="1" fontId="44" fillId="0" borderId="1" xfId="0" applyNumberFormat="1" applyFont="1" applyBorder="1" applyAlignment="1">
      <alignment horizontal="center" vertical="center"/>
    </xf>
    <xf numFmtId="0" fontId="25" fillId="0" borderId="0" xfId="0" applyFont="1"/>
    <xf numFmtId="0" fontId="51" fillId="0" borderId="0" xfId="0" applyFont="1" applyAlignment="1">
      <alignment vertical="center"/>
    </xf>
    <xf numFmtId="172" fontId="19"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0" fontId="53" fillId="5" borderId="1" xfId="0" applyFont="1" applyFill="1" applyBorder="1" applyAlignment="1">
      <alignment horizontal="left" vertical="center"/>
    </xf>
    <xf numFmtId="166" fontId="53" fillId="5" borderId="1" xfId="0" applyNumberFormat="1" applyFont="1" applyFill="1" applyBorder="1" applyAlignment="1">
      <alignment horizontal="center" vertical="center"/>
    </xf>
    <xf numFmtId="172" fontId="53" fillId="5" borderId="1" xfId="0" applyNumberFormat="1" applyFont="1" applyFill="1" applyBorder="1" applyAlignment="1">
      <alignment horizontal="center" vertical="center"/>
    </xf>
    <xf numFmtId="164" fontId="54" fillId="0" borderId="1" xfId="0" applyNumberFormat="1" applyFont="1" applyBorder="1" applyAlignment="1">
      <alignment horizontal="center" vertical="center"/>
    </xf>
    <xf numFmtId="0" fontId="53" fillId="5" borderId="1" xfId="0" applyFont="1" applyFill="1" applyBorder="1" applyAlignment="1">
      <alignment horizontal="center" vertical="center"/>
    </xf>
    <xf numFmtId="0" fontId="55" fillId="5" borderId="1" xfId="0" applyFont="1" applyFill="1" applyBorder="1" applyAlignment="1">
      <alignment horizontal="center" vertical="center"/>
    </xf>
    <xf numFmtId="164" fontId="17" fillId="5" borderId="1" xfId="0" applyNumberFormat="1" applyFont="1" applyFill="1" applyBorder="1" applyAlignment="1">
      <alignment horizontal="center" vertical="center"/>
    </xf>
    <xf numFmtId="0" fontId="45" fillId="0" borderId="1" xfId="0" applyFont="1" applyBorder="1" applyAlignment="1">
      <alignment horizontal="center" vertical="center"/>
    </xf>
    <xf numFmtId="172" fontId="17" fillId="5" borderId="1" xfId="0" applyNumberFormat="1" applyFont="1" applyFill="1" applyBorder="1" applyAlignment="1">
      <alignment horizontal="center" vertical="center"/>
    </xf>
    <xf numFmtId="168" fontId="17" fillId="5" borderId="1" xfId="0" applyNumberFormat="1" applyFont="1" applyFill="1" applyBorder="1" applyAlignment="1">
      <alignment horizontal="center" vertical="center"/>
    </xf>
    <xf numFmtId="166" fontId="17" fillId="5" borderId="1" xfId="0" applyNumberFormat="1" applyFont="1" applyFill="1" applyBorder="1" applyAlignment="1">
      <alignment horizontal="center" vertical="center"/>
    </xf>
    <xf numFmtId="164" fontId="41" fillId="0" borderId="1" xfId="0" applyNumberFormat="1" applyFont="1" applyBorder="1" applyAlignment="1">
      <alignment horizontal="center" vertical="center"/>
    </xf>
    <xf numFmtId="0" fontId="0" fillId="0" borderId="0" xfId="0" applyAlignment="1">
      <alignment vertical="center"/>
    </xf>
    <xf numFmtId="168" fontId="57" fillId="11" borderId="1" xfId="0" applyNumberFormat="1" applyFont="1" applyFill="1" applyBorder="1" applyAlignment="1">
      <alignment horizontal="center" vertical="center"/>
    </xf>
    <xf numFmtId="0" fontId="48" fillId="11" borderId="1" xfId="0" applyFont="1" applyFill="1" applyBorder="1" applyAlignment="1">
      <alignment horizontal="center" vertical="center" wrapText="1"/>
    </xf>
    <xf numFmtId="0" fontId="57" fillId="11" borderId="1" xfId="0" applyFont="1" applyFill="1" applyBorder="1" applyAlignment="1">
      <alignment horizontal="left" vertical="top" wrapText="1"/>
    </xf>
    <xf numFmtId="0" fontId="46" fillId="0" borderId="0" xfId="0" applyFont="1"/>
    <xf numFmtId="0" fontId="22" fillId="0" borderId="0" xfId="0" applyFont="1" applyAlignment="1">
      <alignment vertical="top" wrapText="1"/>
    </xf>
    <xf numFmtId="173" fontId="22" fillId="0" borderId="0" xfId="0" applyNumberFormat="1" applyFont="1"/>
    <xf numFmtId="168" fontId="22" fillId="0" borderId="0" xfId="0" applyNumberFormat="1" applyFont="1"/>
    <xf numFmtId="0" fontId="60" fillId="3" borderId="0" xfId="0" applyFont="1" applyFill="1" applyAlignment="1">
      <alignment horizontal="center" vertical="center" wrapText="1"/>
    </xf>
    <xf numFmtId="0" fontId="61" fillId="0" borderId="0" xfId="0" applyFont="1" applyAlignment="1">
      <alignment horizontal="left" vertical="top" wrapText="1"/>
    </xf>
    <xf numFmtId="0" fontId="26" fillId="0" borderId="0" xfId="0" applyFont="1" applyAlignment="1">
      <alignment vertical="center" wrapText="1"/>
    </xf>
    <xf numFmtId="0" fontId="16" fillId="2" borderId="1" xfId="0" applyFont="1" applyFill="1" applyBorder="1" applyAlignment="1">
      <alignment horizontal="center" vertical="center" wrapText="1"/>
    </xf>
    <xf numFmtId="0" fontId="36" fillId="2" borderId="1" xfId="0" applyFont="1" applyFill="1" applyBorder="1" applyAlignment="1">
      <alignment horizontal="center" vertical="center" wrapText="1"/>
    </xf>
    <xf numFmtId="0" fontId="34" fillId="7" borderId="1" xfId="0" applyFont="1" applyFill="1" applyBorder="1" applyAlignment="1">
      <alignment horizontal="center" vertical="center" wrapText="1"/>
    </xf>
    <xf numFmtId="0" fontId="37" fillId="0" borderId="5" xfId="0" applyFont="1" applyBorder="1" applyAlignment="1">
      <alignment vertical="center" wrapText="1"/>
    </xf>
    <xf numFmtId="0" fontId="26" fillId="0" borderId="0" xfId="0" applyFont="1" applyAlignment="1">
      <alignment vertical="center"/>
    </xf>
    <xf numFmtId="0" fontId="15" fillId="0" borderId="0" xfId="0" applyFont="1"/>
    <xf numFmtId="0" fontId="32" fillId="0" borderId="0" xfId="0" applyFont="1" applyAlignment="1">
      <alignment vertical="center"/>
    </xf>
    <xf numFmtId="0" fontId="38" fillId="2" borderId="1" xfId="0" applyFont="1" applyFill="1" applyBorder="1" applyAlignment="1">
      <alignment horizontal="center" vertical="center" wrapText="1"/>
    </xf>
    <xf numFmtId="0" fontId="38" fillId="7" borderId="1" xfId="0" applyFont="1" applyFill="1" applyBorder="1" applyAlignment="1">
      <alignment horizontal="center" vertical="center" wrapText="1"/>
    </xf>
    <xf numFmtId="0" fontId="38" fillId="9" borderId="1" xfId="0" applyFont="1" applyFill="1" applyBorder="1" applyAlignment="1">
      <alignment horizontal="center" vertical="center" wrapText="1"/>
    </xf>
    <xf numFmtId="0" fontId="38" fillId="10" borderId="1" xfId="0" applyFont="1" applyFill="1" applyBorder="1" applyAlignment="1">
      <alignment horizontal="center" vertical="center" wrapText="1"/>
    </xf>
    <xf numFmtId="0" fontId="26" fillId="0" borderId="0" xfId="0" applyFont="1" applyAlignment="1">
      <alignment horizontal="left" vertical="center" wrapText="1"/>
    </xf>
    <xf numFmtId="0" fontId="34" fillId="10" borderId="1" xfId="0" applyFont="1" applyFill="1" applyBorder="1" applyAlignment="1">
      <alignment horizontal="center" vertical="center" wrapText="1"/>
    </xf>
    <xf numFmtId="0" fontId="26" fillId="0" borderId="6" xfId="0" applyFont="1" applyBorder="1" applyAlignment="1">
      <alignment horizontal="left" vertical="center" wrapText="1"/>
    </xf>
    <xf numFmtId="0" fontId="56" fillId="0" borderId="0" xfId="0" applyFont="1" applyAlignment="1">
      <alignment horizontal="left" vertical="center"/>
    </xf>
    <xf numFmtId="0" fontId="26" fillId="0" borderId="0" xfId="0" applyFont="1" applyAlignment="1">
      <alignment wrapText="1"/>
    </xf>
    <xf numFmtId="0" fontId="15" fillId="0" borderId="0" xfId="0" applyFont="1" applyAlignment="1">
      <alignment vertical="top" wrapText="1"/>
    </xf>
    <xf numFmtId="0" fontId="58" fillId="0" borderId="0" xfId="0" applyFont="1"/>
    <xf numFmtId="0" fontId="4" fillId="0" borderId="0" xfId="0" applyFont="1"/>
    <xf numFmtId="0" fontId="59" fillId="2" borderId="0" xfId="0" applyFont="1" applyFill="1"/>
    <xf numFmtId="0" fontId="61" fillId="0" borderId="0" xfId="0" applyFont="1" applyAlignment="1">
      <alignment horizontal="left" vertical="top" wrapText="1"/>
    </xf>
    <xf numFmtId="0" fontId="18" fillId="0" borderId="0" xfId="0" applyFont="1" applyFill="1" applyAlignment="1">
      <alignment horizontal="center"/>
    </xf>
    <xf numFmtId="0" fontId="56" fillId="0" borderId="0" xfId="0" applyFont="1" applyAlignment="1">
      <alignment horizontal="left" vertical="center" wrapText="1"/>
    </xf>
    <xf numFmtId="174" fontId="19" fillId="0" borderId="0" xfId="0" applyNumberFormat="1" applyFont="1"/>
    <xf numFmtId="174" fontId="19" fillId="0" borderId="2" xfId="0" applyNumberFormat="1" applyFont="1" applyBorder="1"/>
    <xf numFmtId="174" fontId="0" fillId="0" borderId="0" xfId="0" applyNumberFormat="1"/>
    <xf numFmtId="0" fontId="35" fillId="0" borderId="9" xfId="0" applyFont="1" applyBorder="1" applyAlignment="1">
      <alignment horizontal="center" vertical="center"/>
    </xf>
    <xf numFmtId="0" fontId="28" fillId="0" borderId="9" xfId="0" applyFont="1" applyBorder="1" applyAlignment="1">
      <alignment horizontal="left" vertical="center"/>
    </xf>
    <xf numFmtId="168" fontId="28" fillId="0" borderId="9" xfId="0" applyNumberFormat="1" applyFont="1" applyBorder="1" applyAlignment="1">
      <alignment horizontal="center" vertical="center"/>
    </xf>
    <xf numFmtId="2" fontId="28" fillId="0" borderId="9" xfId="0" applyNumberFormat="1" applyFont="1" applyBorder="1" applyAlignment="1">
      <alignment horizontal="center" vertical="center"/>
    </xf>
    <xf numFmtId="169" fontId="35" fillId="0" borderId="9" xfId="0" applyNumberFormat="1" applyFont="1" applyBorder="1" applyAlignment="1">
      <alignment horizontal="center" vertical="center"/>
    </xf>
    <xf numFmtId="0" fontId="28" fillId="0" borderId="9" xfId="0" applyFont="1" applyBorder="1" applyAlignment="1">
      <alignment horizontal="center" vertical="center"/>
    </xf>
    <xf numFmtId="0" fontId="35" fillId="0" borderId="8" xfId="0" applyFont="1" applyBorder="1" applyAlignment="1">
      <alignment horizontal="center"/>
    </xf>
    <xf numFmtId="0" fontId="49" fillId="0" borderId="8" xfId="0" applyFont="1" applyBorder="1"/>
    <xf numFmtId="0" fontId="49" fillId="0" borderId="8" xfId="0" applyFont="1" applyBorder="1" applyAlignment="1">
      <alignment horizontal="left"/>
    </xf>
    <xf numFmtId="168" fontId="28" fillId="0" borderId="10" xfId="0" applyNumberFormat="1" applyFont="1" applyBorder="1" applyAlignment="1">
      <alignment horizontal="center" vertical="center"/>
    </xf>
    <xf numFmtId="2" fontId="28" fillId="0" borderId="11" xfId="0" applyNumberFormat="1" applyFont="1" applyBorder="1" applyAlignment="1">
      <alignment horizontal="center" vertical="center"/>
    </xf>
    <xf numFmtId="169" fontId="35" fillId="0" borderId="11" xfId="0" applyNumberFormat="1" applyFont="1" applyBorder="1" applyAlignment="1">
      <alignment horizontal="center" vertical="center"/>
    </xf>
    <xf numFmtId="0" fontId="28" fillId="0" borderId="11" xfId="0" applyFont="1" applyBorder="1" applyAlignment="1">
      <alignment horizontal="center" vertical="center"/>
    </xf>
    <xf numFmtId="0" fontId="21" fillId="0" borderId="0" xfId="0" applyFont="1" applyAlignment="1">
      <alignment horizontal="left"/>
    </xf>
    <xf numFmtId="0" fontId="26" fillId="0" borderId="6" xfId="0" applyFont="1" applyBorder="1" applyAlignment="1">
      <alignment horizontal="left" vertical="top" wrapText="1"/>
    </xf>
    <xf numFmtId="168" fontId="42" fillId="0" borderId="1" xfId="0" applyNumberFormat="1" applyFont="1" applyBorder="1" applyAlignment="1">
      <alignment horizontal="center" vertical="center"/>
    </xf>
    <xf numFmtId="0" fontId="23" fillId="5" borderId="12" xfId="0" applyFont="1" applyFill="1" applyBorder="1" applyAlignment="1">
      <alignment horizontal="left" vertical="center" wrapText="1"/>
    </xf>
    <xf numFmtId="0" fontId="23" fillId="5" borderId="12" xfId="0" applyFont="1" applyFill="1" applyBorder="1" applyAlignment="1">
      <alignment horizontal="center" vertical="center"/>
    </xf>
    <xf numFmtId="0" fontId="23" fillId="0" borderId="8" xfId="0" applyFont="1" applyBorder="1" applyAlignment="1">
      <alignment horizontal="center" vertical="center"/>
    </xf>
    <xf numFmtId="0" fontId="0" fillId="0" borderId="8" xfId="0" applyBorder="1"/>
    <xf numFmtId="0" fontId="42" fillId="0" borderId="1" xfId="0" applyFont="1" applyBorder="1" applyAlignment="1">
      <alignment horizontal="center" vertical="center" wrapText="1"/>
    </xf>
    <xf numFmtId="0" fontId="53" fillId="5" borderId="12" xfId="0" applyFont="1" applyFill="1" applyBorder="1" applyAlignment="1">
      <alignment horizontal="center" vertical="center"/>
    </xf>
    <xf numFmtId="169" fontId="17" fillId="5" borderId="1" xfId="0" applyNumberFormat="1" applyFont="1" applyFill="1" applyBorder="1" applyAlignment="1">
      <alignment horizontal="center" vertical="center"/>
    </xf>
    <xf numFmtId="0" fontId="63" fillId="0" borderId="0" xfId="0" applyFont="1"/>
    <xf numFmtId="0" fontId="63" fillId="0" borderId="0" xfId="0" applyFont="1" applyAlignment="1">
      <alignment horizontal="center"/>
    </xf>
    <xf numFmtId="0" fontId="64" fillId="3" borderId="0" xfId="0" applyFont="1" applyFill="1" applyAlignment="1">
      <alignment horizontal="center" vertical="center" wrapText="1"/>
    </xf>
    <xf numFmtId="0" fontId="65" fillId="0" borderId="7" xfId="0" applyFont="1" applyBorder="1" applyAlignment="1">
      <alignment horizontal="center" vertical="center"/>
    </xf>
    <xf numFmtId="0" fontId="65" fillId="0" borderId="7" xfId="0" applyFont="1" applyBorder="1" applyAlignment="1">
      <alignment vertical="center" wrapText="1"/>
    </xf>
    <xf numFmtId="168" fontId="65" fillId="0" borderId="7" xfId="0" applyNumberFormat="1" applyFont="1" applyBorder="1" applyAlignment="1">
      <alignment horizontal="center" vertical="center"/>
    </xf>
    <xf numFmtId="0" fontId="63" fillId="0" borderId="7" xfId="0" applyFont="1" applyBorder="1" applyAlignment="1">
      <alignment vertical="center"/>
    </xf>
    <xf numFmtId="168" fontId="65" fillId="0" borderId="7" xfId="0" applyNumberFormat="1" applyFont="1" applyBorder="1" applyAlignment="1">
      <alignment vertical="center"/>
    </xf>
    <xf numFmtId="173" fontId="63" fillId="0" borderId="7" xfId="0" applyNumberFormat="1" applyFont="1" applyBorder="1" applyAlignment="1">
      <alignment horizontal="center" vertical="center"/>
    </xf>
    <xf numFmtId="0" fontId="63" fillId="0" borderId="7" xfId="0" applyFont="1" applyBorder="1" applyAlignment="1">
      <alignment horizontal="center" vertical="center"/>
    </xf>
    <xf numFmtId="0" fontId="62" fillId="0" borderId="0" xfId="0" applyFont="1" applyAlignment="1">
      <alignment horizontal="left" vertical="top" wrapText="1"/>
    </xf>
    <xf numFmtId="0" fontId="24" fillId="0" borderId="0" xfId="0" applyFont="1" applyAlignment="1">
      <alignment horizontal="left"/>
    </xf>
    <xf numFmtId="0" fontId="63" fillId="0" borderId="0" xfId="0" applyFont="1" applyAlignment="1">
      <alignment horizontal="left"/>
    </xf>
    <xf numFmtId="0" fontId="46" fillId="0" borderId="0" xfId="0" applyFont="1" applyAlignment="1">
      <alignment horizontal="left"/>
    </xf>
    <xf numFmtId="0" fontId="63" fillId="0" borderId="7" xfId="0" applyFont="1" applyBorder="1" applyAlignment="1">
      <alignment vertical="center" wrapText="1"/>
    </xf>
    <xf numFmtId="0" fontId="63" fillId="0" borderId="0" xfId="0" applyFont="1" applyAlignment="1">
      <alignment horizontal="left" wrapText="1"/>
    </xf>
    <xf numFmtId="0" fontId="63" fillId="0" borderId="0" xfId="0" applyFont="1" applyAlignment="1">
      <alignment wrapText="1"/>
    </xf>
  </cellXfs>
  <cellStyles count="1">
    <cellStyle name="Normal" xfId="0" builtinId="0"/>
  </cellStyles>
  <dxfs count="100">
    <dxf>
      <font>
        <strike val="0"/>
        <outline val="0"/>
        <shadow val="0"/>
        <u val="none"/>
        <vertAlign val="baseline"/>
        <name val="Arial Narrow"/>
        <family val="2"/>
        <scheme val="none"/>
      </font>
      <alignment horizontal="center" textRotation="0" indent="0" justifyLastLine="0" shrinkToFit="0" readingOrder="0"/>
    </dxf>
    <dxf>
      <font>
        <strike val="0"/>
        <outline val="0"/>
        <shadow val="0"/>
        <u val="none"/>
        <vertAlign val="baseline"/>
        <name val="Arial Narrow"/>
        <family val="2"/>
        <scheme val="none"/>
      </font>
      <alignment textRotation="0" wrapText="1" indent="0" justifyLastLine="0" shrinkToFit="0" readingOrder="0"/>
    </dxf>
    <dxf>
      <font>
        <strike val="0"/>
        <outline val="0"/>
        <shadow val="0"/>
        <u val="none"/>
        <vertAlign val="baseline"/>
        <name val="Arial Narrow"/>
        <family val="2"/>
        <scheme val="none"/>
      </font>
    </dxf>
    <dxf>
      <font>
        <strike val="0"/>
        <outline val="0"/>
        <shadow val="0"/>
        <u val="none"/>
        <vertAlign val="baseline"/>
        <name val="Arial Narrow"/>
        <family val="2"/>
        <scheme val="none"/>
      </font>
      <alignment horizontal="center" textRotation="0" indent="0" justifyLastLine="0" shrinkToFit="0" readingOrder="0"/>
    </dxf>
    <dxf>
      <font>
        <strike val="0"/>
        <outline val="0"/>
        <shadow val="0"/>
        <u val="none"/>
        <vertAlign val="baseline"/>
        <name val="Arial Narrow"/>
        <family val="2"/>
        <scheme val="none"/>
      </font>
    </dxf>
    <dxf>
      <font>
        <strike val="0"/>
        <outline val="0"/>
        <shadow val="0"/>
        <u val="none"/>
        <vertAlign val="baseline"/>
        <name val="Arial Narrow"/>
        <family val="2"/>
        <scheme val="none"/>
      </font>
    </dxf>
    <dxf>
      <font>
        <strike val="0"/>
        <outline val="0"/>
        <shadow val="0"/>
        <u val="none"/>
        <vertAlign val="baseline"/>
        <name val="Arial Narrow"/>
        <family val="2"/>
        <scheme val="none"/>
      </font>
    </dxf>
    <dxf>
      <font>
        <strike val="0"/>
        <outline val="0"/>
        <shadow val="0"/>
        <u val="none"/>
        <vertAlign val="baseline"/>
        <name val="Arial Narrow"/>
        <family val="2"/>
        <scheme val="none"/>
      </font>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i val="0"/>
        <strike val="0"/>
        <condense val="0"/>
        <extend val="0"/>
        <outline val="0"/>
        <shadow val="0"/>
        <u val="none"/>
        <vertAlign val="baseline"/>
        <sz val="10"/>
        <color rgb="FF000000"/>
        <name val="Arial Narrow"/>
        <family val="2"/>
        <charset val="1"/>
        <scheme val="none"/>
      </font>
      <alignment horizontal="left" vertical="bottom" textRotation="0" wrapText="0" indent="0" justifyLastLine="0" shrinkToFit="0" readingOrder="0"/>
    </dxf>
    <dxf>
      <font>
        <color rgb="FF9C0006"/>
      </font>
      <fill>
        <patternFill>
          <bgColor rgb="FFFFC7CE"/>
        </patternFill>
      </fill>
    </dxf>
    <dxf>
      <font>
        <color rgb="FF006100"/>
      </font>
      <fill>
        <patternFill>
          <bgColor rgb="FFC6EFCE"/>
        </patternFill>
      </fill>
    </dxf>
    <dxf>
      <font>
        <b/>
        <i val="0"/>
        <strike val="0"/>
        <condense val="0"/>
        <extend val="0"/>
        <outline val="0"/>
        <shadow val="0"/>
        <u val="none"/>
        <vertAlign val="baseline"/>
        <sz val="10"/>
        <color rgb="FF000000"/>
        <name val="Arial Narrow"/>
        <family val="2"/>
        <charset val="1"/>
        <scheme val="none"/>
      </font>
      <alignment horizontal="left" vertical="bottom" textRotation="0" wrapText="0" indent="0" justifyLastLine="0" shrinkToFit="0" readingOrder="0"/>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alignment horizontal="center" vertical="bottom" textRotation="0" wrapText="0" indent="0" justifyLastLine="0" shrinkToFit="0" readingOrder="0"/>
    </dxf>
    <dxf>
      <numFmt numFmtId="174" formatCode="#,##0.0000"/>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6500"/>
      </font>
      <fill>
        <patternFill>
          <bgColor rgb="FFFFEB9C"/>
        </patternFill>
      </fill>
    </dxf>
    <dxf>
      <font>
        <b/>
        <color rgb="FF006100"/>
      </font>
      <fill>
        <patternFill>
          <bgColor rgb="FFC6EFCE"/>
        </patternFill>
      </fill>
    </dxf>
    <dxf>
      <font>
        <b/>
        <color rgb="FF006100"/>
      </font>
      <fill>
        <patternFill>
          <bgColor rgb="FFC6EFCE"/>
        </patternFill>
      </fill>
    </dxf>
    <dxf>
      <font>
        <b/>
        <color rgb="FF9C0006"/>
      </font>
      <fill>
        <patternFill>
          <bgColor rgb="FFFFC7CE"/>
        </patternFill>
      </fill>
    </dxf>
    <dxf>
      <font>
        <b/>
        <color rgb="FFC65911"/>
      </font>
      <fill>
        <patternFill>
          <bgColor rgb="FFFCE4D6"/>
        </patternFill>
      </fill>
    </dxf>
    <dxf>
      <font>
        <b/>
        <color rgb="FF7F6000"/>
      </font>
      <fill>
        <patternFill>
          <bgColor rgb="FFFFF2CC"/>
        </patternFill>
      </fill>
    </dxf>
    <dxf>
      <font>
        <b/>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color rgb="FF9C6500"/>
      </font>
      <fill>
        <patternFill>
          <bgColor rgb="FFFFEB9C"/>
        </patternFill>
      </fill>
    </dxf>
    <dxf>
      <font>
        <color rgb="FF006100"/>
      </font>
      <fill>
        <patternFill>
          <bgColor rgb="FFC6EFCE"/>
        </patternFill>
      </fill>
    </dxf>
    <dxf>
      <font>
        <b/>
        <color rgb="FF9C6500"/>
      </font>
      <fill>
        <patternFill>
          <bgColor rgb="FFFFEB9C"/>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b/>
        <color rgb="FFC65911"/>
      </font>
      <fill>
        <patternFill>
          <bgColor rgb="FFFCE4D6"/>
        </patternFill>
      </fill>
    </dxf>
    <dxf>
      <font>
        <color rgb="FF9C0006"/>
      </font>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Array" Target="richData/rdarray.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layout/>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(Calc)'!$B$3:$B$500</c:f>
              <c:numCache>
                <c:formatCode>0.0%</c:formatCode>
                <c:ptCount val="498"/>
                <c:pt idx="0">
                  <c:v>-3.02331297623325E-2</c:v>
                </c:pt>
                <c:pt idx="1">
                  <c:v>-5.849093390524418E-3</c:v>
                </c:pt>
                <c:pt idx="2">
                  <c:v>3.2908413414394877E-2</c:v>
                </c:pt>
                <c:pt idx="3">
                  <c:v>4.1922989291410362E-2</c:v>
                </c:pt>
                <c:pt idx="4">
                  <c:v>-1.4213863984255282E-2</c:v>
                </c:pt>
                <c:pt idx="5">
                  <c:v>-6.0706891452233069E-2</c:v>
                </c:pt>
                <c:pt idx="6">
                  <c:v>0.10930488860899001</c:v>
                </c:pt>
                <c:pt idx="7">
                  <c:v>5.953943866870115E-2</c:v>
                </c:pt>
                <c:pt idx="8">
                  <c:v>9.1088711027760283E-3</c:v>
                </c:pt>
                <c:pt idx="9">
                  <c:v>2.7826635250389975E-2</c:v>
                </c:pt>
                <c:pt idx="10">
                  <c:v>-1.1236136448024681E-2</c:v>
                </c:pt>
                <c:pt idx="11">
                  <c:v>-4.0165232582820565E-3</c:v>
                </c:pt>
                <c:pt idx="12">
                  <c:v>-4.1523909444107554E-2</c:v>
                </c:pt>
                <c:pt idx="13">
                  <c:v>2.4064445508654497E-2</c:v>
                </c:pt>
                <c:pt idx="14">
                  <c:v>-3.5908141962421869E-3</c:v>
                </c:pt>
                <c:pt idx="15">
                  <c:v>-5.3637277908146208E-2</c:v>
                </c:pt>
                <c:pt idx="16">
                  <c:v>5.6571023733616554E-2</c:v>
                </c:pt>
                <c:pt idx="17">
                  <c:v>2.5161766185000101E-2</c:v>
                </c:pt>
                <c:pt idx="18">
                  <c:v>3.891750470116806E-3</c:v>
                </c:pt>
                <c:pt idx="19">
                  <c:v>3.3928949554509646E-2</c:v>
                </c:pt>
                <c:pt idx="20">
                  <c:v>-1.1894259247589578E-2</c:v>
                </c:pt>
                <c:pt idx="21">
                  <c:v>-0.12842588606686767</c:v>
                </c:pt>
                <c:pt idx="22">
                  <c:v>1.2402590275491399E-2</c:v>
                </c:pt>
                <c:pt idx="23">
                  <c:v>3.1602341717259064E-2</c:v>
                </c:pt>
                <c:pt idx="24">
                  <c:v>-3.3699402728880723E-2</c:v>
                </c:pt>
                <c:pt idx="25">
                  <c:v>-0.10736101796298658</c:v>
                </c:pt>
                <c:pt idx="26">
                  <c:v>1.4336189741298799E-2</c:v>
                </c:pt>
                <c:pt idx="27">
                  <c:v>1.0169762972453533E-2</c:v>
                </c:pt>
                <c:pt idx="28">
                  <c:v>-3.8604835513277869E-2</c:v>
                </c:pt>
                <c:pt idx="29">
                  <c:v>-2.2736642480211122E-2</c:v>
                </c:pt>
                <c:pt idx="30">
                  <c:v>-1.9131388554915696E-2</c:v>
                </c:pt>
                <c:pt idx="31">
                  <c:v>2.6966582082491142E-2</c:v>
                </c:pt>
                <c:pt idx="32">
                  <c:v>1.8050087947064197E-2</c:v>
                </c:pt>
                <c:pt idx="33">
                  <c:v>-8.0011518367681944E-3</c:v>
                </c:pt>
                <c:pt idx="34">
                  <c:v>2.3637230711812673E-3</c:v>
                </c:pt>
                <c:pt idx="35">
                  <c:v>-1.6548414455040072E-2</c:v>
                </c:pt>
                <c:pt idx="36">
                  <c:v>-6.4510022505942066E-2</c:v>
                </c:pt>
                <c:pt idx="37">
                  <c:v>4.6474503102797105E-2</c:v>
                </c:pt>
                <c:pt idx="38">
                  <c:v>0.12865522205272528</c:v>
                </c:pt>
                <c:pt idx="39">
                  <c:v>1.5476575736232068E-2</c:v>
                </c:pt>
                <c:pt idx="40">
                  <c:v>4.1429214157168381E-2</c:v>
                </c:pt>
                <c:pt idx="41">
                  <c:v>4.1041149152176493E-2</c:v>
                </c:pt>
                <c:pt idx="42">
                  <c:v>-3.3354082373690308E-2</c:v>
                </c:pt>
                <c:pt idx="43">
                  <c:v>-1.4399427600393477E-2</c:v>
                </c:pt>
                <c:pt idx="44">
                  <c:v>-1.55353901996369E-2</c:v>
                </c:pt>
                <c:pt idx="45">
                  <c:v>-2.9994100730034834E-2</c:v>
                </c:pt>
                <c:pt idx="46">
                  <c:v>1.9252332896212199E-2</c:v>
                </c:pt>
                <c:pt idx="47">
                  <c:v>3.1997016595189498E-2</c:v>
                </c:pt>
                <c:pt idx="48">
                  <c:v>8.7449860875219443E-3</c:v>
                </c:pt>
                <c:pt idx="49">
                  <c:v>2.8855454056958552E-2</c:v>
                </c:pt>
                <c:pt idx="50">
                  <c:v>-1.9150084434463199E-2</c:v>
                </c:pt>
                <c:pt idx="51">
                  <c:v>-4.7106015157700409E-2</c:v>
                </c:pt>
                <c:pt idx="52">
                  <c:v>-2.7138785925829412E-2</c:v>
                </c:pt>
                <c:pt idx="53">
                  <c:v>-1.305762971472324E-2</c:v>
                </c:pt>
                <c:pt idx="54">
                  <c:v>-1.6023900054318307E-2</c:v>
                </c:pt>
                <c:pt idx="55">
                  <c:v>-2.3264066874334577E-2</c:v>
                </c:pt>
                <c:pt idx="56">
                  <c:v>-1.049614468531801E-3</c:v>
                </c:pt>
                <c:pt idx="57">
                  <c:v>-2.2590422307536828E-2</c:v>
                </c:pt>
                <c:pt idx="58">
                  <c:v>-1.901926734474535E-3</c:v>
                </c:pt>
                <c:pt idx="59">
                  <c:v>2.4606462303231158E-2</c:v>
                </c:pt>
                <c:pt idx="60">
                  <c:v>1.7566911943074359E-2</c:v>
                </c:pt>
                <c:pt idx="61">
                  <c:v>1.7442437968095081E-2</c:v>
                </c:pt>
                <c:pt idx="62">
                  <c:v>7.3806502001365626E-3</c:v>
                </c:pt>
                <c:pt idx="63">
                  <c:v>7.1773302579807519E-2</c:v>
                </c:pt>
                <c:pt idx="64">
                  <c:v>-0.15782335069444453</c:v>
                </c:pt>
                <c:pt idx="65">
                  <c:v>-3.9768945006334655E-2</c:v>
                </c:pt>
                <c:pt idx="66">
                  <c:v>-1.5430373236129391E-3</c:v>
                </c:pt>
                <c:pt idx="67">
                  <c:v>-3.5634294929224208E-2</c:v>
                </c:pt>
                <c:pt idx="68">
                  <c:v>-5.7249692268388386E-2</c:v>
                </c:pt>
                <c:pt idx="69">
                  <c:v>5.9297398502167864E-2</c:v>
                </c:pt>
                <c:pt idx="70">
                  <c:v>1.2535175236633389E-2</c:v>
                </c:pt>
                <c:pt idx="71">
                  <c:v>4.7544673618447053E-3</c:v>
                </c:pt>
                <c:pt idx="72">
                  <c:v>-1.0012572865470304E-2</c:v>
                </c:pt>
                <c:pt idx="73">
                  <c:v>6.2553397834068436E-2</c:v>
                </c:pt>
                <c:pt idx="74">
                  <c:v>-3.4422809457580028E-2</c:v>
                </c:pt>
                <c:pt idx="75">
                  <c:v>-1.2963629816348576E-2</c:v>
                </c:pt>
                <c:pt idx="76">
                  <c:v>2.4717256475738747E-2</c:v>
                </c:pt>
                <c:pt idx="77">
                  <c:v>-0.12162883845126826</c:v>
                </c:pt>
                <c:pt idx="78">
                  <c:v>-1.8949181739879473E-2</c:v>
                </c:pt>
                <c:pt idx="79">
                  <c:v>-4.0024789547075112E-3</c:v>
                </c:pt>
                <c:pt idx="80">
                  <c:v>-9.4993648077571158E-2</c:v>
                </c:pt>
                <c:pt idx="81">
                  <c:v>9.7401667287364546E-3</c:v>
                </c:pt>
                <c:pt idx="82">
                  <c:v>-1.0412233665276549E-2</c:v>
                </c:pt>
                <c:pt idx="83">
                  <c:v>5.4243119266055073E-2</c:v>
                </c:pt>
                <c:pt idx="84">
                  <c:v>3.5760905036440693E-2</c:v>
                </c:pt>
                <c:pt idx="85">
                  <c:v>6.3276183474676451E-3</c:v>
                </c:pt>
                <c:pt idx="86">
                  <c:v>8.8316635357962969E-2</c:v>
                </c:pt>
                <c:pt idx="87">
                  <c:v>-2.2630834512022635E-2</c:v>
                </c:pt>
                <c:pt idx="88">
                  <c:v>1.8151046137997007E-2</c:v>
                </c:pt>
                <c:pt idx="89">
                  <c:v>4.4086824544076197E-3</c:v>
                </c:pt>
                <c:pt idx="90">
                  <c:v>-6.0539192171159995E-2</c:v>
                </c:pt>
                <c:pt idx="91">
                  <c:v>-3.7683823529411686E-2</c:v>
                </c:pt>
                <c:pt idx="92">
                  <c:v>2.3638968481375366E-2</c:v>
                </c:pt>
                <c:pt idx="93">
                  <c:v>-1.6898634113469591E-2</c:v>
                </c:pt>
                <c:pt idx="94">
                  <c:v>-4.207640188763806E-2</c:v>
                </c:pt>
                <c:pt idx="95">
                  <c:v>6.7152882895280541E-3</c:v>
                </c:pt>
                <c:pt idx="96">
                  <c:v>1.3532354629705479E-2</c:v>
                </c:pt>
                <c:pt idx="97">
                  <c:v>-6.187624750498999E-2</c:v>
                </c:pt>
                <c:pt idx="98">
                  <c:v>-1.9407705577918377E-2</c:v>
                </c:pt>
                <c:pt idx="99">
                  <c:v>4.0463275179592362E-2</c:v>
                </c:pt>
                <c:pt idx="100">
                  <c:v>2.0402987177680521E-2</c:v>
                </c:pt>
                <c:pt idx="101">
                  <c:v>-1.4885801872462578E-2</c:v>
                </c:pt>
                <c:pt idx="102">
                  <c:v>-2.1670871881132481E-2</c:v>
                </c:pt>
                <c:pt idx="103">
                  <c:v>1.1175745766112133E-3</c:v>
                </c:pt>
                <c:pt idx="104">
                  <c:v>4.734371422028838E-2</c:v>
                </c:pt>
                <c:pt idx="105">
                  <c:v>-1.5113418966930747E-2</c:v>
                </c:pt>
                <c:pt idx="106">
                  <c:v>-3.782223825512665E-2</c:v>
                </c:pt>
                <c:pt idx="107">
                  <c:v>-2.6619368979639013E-2</c:v>
                </c:pt>
                <c:pt idx="108">
                  <c:v>-1.2592219489792944E-2</c:v>
                </c:pt>
                <c:pt idx="109">
                  <c:v>6.0793374542399192E-2</c:v>
                </c:pt>
                <c:pt idx="110">
                  <c:v>-3.7367051369088022E-2</c:v>
                </c:pt>
                <c:pt idx="111">
                  <c:v>-3.9258323293467789E-2</c:v>
                </c:pt>
                <c:pt idx="112">
                  <c:v>1.2723658051689846E-2</c:v>
                </c:pt>
                <c:pt idx="113">
                  <c:v>-2.08993989912718E-2</c:v>
                </c:pt>
                <c:pt idx="114">
                  <c:v>-1.2523520157932122E-2</c:v>
                </c:pt>
                <c:pt idx="115">
                  <c:v>8.1623090619435734E-2</c:v>
                </c:pt>
                <c:pt idx="116">
                  <c:v>2.9370992895512149E-2</c:v>
                </c:pt>
                <c:pt idx="117">
                  <c:v>-1.599191987206483E-3</c:v>
                </c:pt>
                <c:pt idx="118">
                  <c:v>-5.788793345697707E-3</c:v>
                </c:pt>
                <c:pt idx="119">
                  <c:v>-5.7942340305257245E-2</c:v>
                </c:pt>
                <c:pt idx="120">
                  <c:v>1.950195019501777E-3</c:v>
                </c:pt>
                <c:pt idx="121">
                  <c:v>-0.11328043120227571</c:v>
                </c:pt>
                <c:pt idx="122">
                  <c:v>1.6716196136701278E-2</c:v>
                </c:pt>
                <c:pt idx="123">
                  <c:v>-2.5974025974025983E-2</c:v>
                </c:pt>
                <c:pt idx="124">
                  <c:v>-8.4808184143222554E-2</c:v>
                </c:pt>
                <c:pt idx="125">
                  <c:v>-1.6431924882629012E-2</c:v>
                </c:pt>
                <c:pt idx="126">
                  <c:v>-2.0305337727772099E-2</c:v>
                </c:pt>
                <c:pt idx="127">
                  <c:v>1.4693940682881657E-2</c:v>
                </c:pt>
                <c:pt idx="128">
                  <c:v>8.0827712358522819E-2</c:v>
                </c:pt>
                <c:pt idx="129">
                  <c:v>-0.12093646428319582</c:v>
                </c:pt>
                <c:pt idx="130">
                  <c:v>-4.6927643189474955E-3</c:v>
                </c:pt>
                <c:pt idx="131">
                  <c:v>-5.3636913157364519E-2</c:v>
                </c:pt>
                <c:pt idx="132">
                  <c:v>3.4406404360415532E-2</c:v>
                </c:pt>
                <c:pt idx="133">
                  <c:v>-7.2328338547669957E-2</c:v>
                </c:pt>
                <c:pt idx="134">
                  <c:v>8.4757044597293163E-2</c:v>
                </c:pt>
                <c:pt idx="135">
                  <c:v>4.0499079566373997E-3</c:v>
                </c:pt>
                <c:pt idx="136">
                  <c:v>2.1471642764015586E-2</c:v>
                </c:pt>
                <c:pt idx="137">
                  <c:v>9.2936061585098262E-3</c:v>
                </c:pt>
                <c:pt idx="138">
                  <c:v>-2.1498577300031574E-2</c:v>
                </c:pt>
                <c:pt idx="139">
                  <c:v>-1.1470113085621958E-2</c:v>
                </c:pt>
                <c:pt idx="140">
                  <c:v>5.9037424415754103E-2</c:v>
                </c:pt>
                <c:pt idx="141">
                  <c:v>-2.9975695382122525E-2</c:v>
                </c:pt>
                <c:pt idx="142">
                  <c:v>-0.18859370028635059</c:v>
                </c:pt>
                <c:pt idx="143">
                  <c:v>-4.3427114988726645E-2</c:v>
                </c:pt>
                <c:pt idx="144">
                  <c:v>3.8788686206189693E-2</c:v>
                </c:pt>
                <c:pt idx="145">
                  <c:v>8.3806047452276378E-2</c:v>
                </c:pt>
                <c:pt idx="146">
                  <c:v>1.7840888403422461E-2</c:v>
                </c:pt>
                <c:pt idx="147">
                  <c:v>6.0856734036844884E-2</c:v>
                </c:pt>
                <c:pt idx="148">
                  <c:v>-5.1169652265542598E-2</c:v>
                </c:pt>
                <c:pt idx="149">
                  <c:v>0.11238949846741586</c:v>
                </c:pt>
                <c:pt idx="150">
                  <c:v>5.9103070963619553E-2</c:v>
                </c:pt>
                <c:pt idx="151">
                  <c:v>-4.4870102937294432E-3</c:v>
                </c:pt>
                <c:pt idx="152">
                  <c:v>4.2724036057874448E-2</c:v>
                </c:pt>
                <c:pt idx="153">
                  <c:v>5.8917544496912333E-2</c:v>
                </c:pt>
                <c:pt idx="154">
                  <c:v>-8.579171240395167E-2</c:v>
                </c:pt>
                <c:pt idx="155">
                  <c:v>-5.3581479118982367E-2</c:v>
                </c:pt>
                <c:pt idx="156">
                  <c:v>-1.312294334535935E-2</c:v>
                </c:pt>
                <c:pt idx="157">
                  <c:v>-5.4033424393379326E-2</c:v>
                </c:pt>
                <c:pt idx="158">
                  <c:v>9.4279526054275031E-3</c:v>
                </c:pt>
                <c:pt idx="159">
                  <c:v>0</c:v>
                </c:pt>
              </c:numCache>
            </c:numRef>
          </c:val>
          <c:extLst>
            <c:ext xmlns:c16="http://schemas.microsoft.com/office/drawing/2014/chart" uri="{C3380CC4-5D6E-409C-BE32-E72D297353CC}">
              <c16:uniqueId val="{00000000-AEA9-F847-B295-BF1ABF7E910B}"/>
            </c:ext>
          </c:extLst>
        </c:ser>
        <c:dLbls>
          <c:showLegendKey val="0"/>
          <c:showVal val="0"/>
          <c:showCatName val="0"/>
          <c:showSerName val="0"/>
          <c:showPercent val="0"/>
          <c:showBubbleSize val="0"/>
        </c:dLbls>
        <c:gapWidth val="150"/>
        <c:axId val="98332883"/>
        <c:axId val="92263487"/>
      </c:barChart>
      <c:lineChart>
        <c:grouping val="standard"/>
        <c:varyColors val="0"/>
        <c:ser>
          <c:idx val="1"/>
          <c:order val="1"/>
          <c:tx>
            <c:strRef>
              <c:f>'Returns (Calc)'!$W$2</c:f>
              <c:strCache>
                <c:ptCount val="1"/>
                <c:pt idx="0">
                  <c:v>ADBE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(Calc)'!$W$3:$W$500</c:f>
              <c:numCache>
                <c:formatCode>#,##0.00</c:formatCode>
                <c:ptCount val="498"/>
                <c:pt idx="0">
                  <c:v>528.89</c:v>
                </c:pt>
                <c:pt idx="1">
                  <c:v>527.04696202531647</c:v>
                </c:pt>
                <c:pt idx="2">
                  <c:v>525.20392405063285</c:v>
                </c:pt>
                <c:pt idx="3">
                  <c:v>523.36088607594934</c:v>
                </c:pt>
                <c:pt idx="4">
                  <c:v>521.51784810126583</c:v>
                </c:pt>
                <c:pt idx="5">
                  <c:v>519.67481012658232</c:v>
                </c:pt>
                <c:pt idx="6">
                  <c:v>517.83177215189869</c:v>
                </c:pt>
                <c:pt idx="7">
                  <c:v>515.98873417721518</c:v>
                </c:pt>
                <c:pt idx="8">
                  <c:v>514.14569620253167</c:v>
                </c:pt>
                <c:pt idx="9">
                  <c:v>512.30265822784804</c:v>
                </c:pt>
                <c:pt idx="10">
                  <c:v>510.45962025316453</c:v>
                </c:pt>
                <c:pt idx="11">
                  <c:v>508.61658227848102</c:v>
                </c:pt>
                <c:pt idx="12">
                  <c:v>506.77354430379745</c:v>
                </c:pt>
                <c:pt idx="13">
                  <c:v>504.93050632911388</c:v>
                </c:pt>
                <c:pt idx="14">
                  <c:v>503.08746835443037</c:v>
                </c:pt>
                <c:pt idx="15">
                  <c:v>501.2444303797468</c:v>
                </c:pt>
                <c:pt idx="16">
                  <c:v>499.40139240506329</c:v>
                </c:pt>
                <c:pt idx="17">
                  <c:v>497.55835443037972</c:v>
                </c:pt>
                <c:pt idx="18">
                  <c:v>495.71531645569621</c:v>
                </c:pt>
                <c:pt idx="19">
                  <c:v>493.87227848101264</c:v>
                </c:pt>
                <c:pt idx="20">
                  <c:v>492.02924050632907</c:v>
                </c:pt>
                <c:pt idx="21">
                  <c:v>490.18620253164556</c:v>
                </c:pt>
                <c:pt idx="22">
                  <c:v>488.34316455696199</c:v>
                </c:pt>
                <c:pt idx="23">
                  <c:v>486.50012658227848</c:v>
                </c:pt>
                <c:pt idx="24">
                  <c:v>484.65708860759491</c:v>
                </c:pt>
                <c:pt idx="25">
                  <c:v>482.8140506329114</c:v>
                </c:pt>
                <c:pt idx="26">
                  <c:v>480.97101265822783</c:v>
                </c:pt>
                <c:pt idx="27">
                  <c:v>479.12797468354427</c:v>
                </c:pt>
                <c:pt idx="28">
                  <c:v>477.28493670886076</c:v>
                </c:pt>
                <c:pt idx="29">
                  <c:v>475.44189873417719</c:v>
                </c:pt>
                <c:pt idx="30">
                  <c:v>473.59886075949368</c:v>
                </c:pt>
                <c:pt idx="31">
                  <c:v>471.75582278481011</c:v>
                </c:pt>
                <c:pt idx="32">
                  <c:v>469.9127848101266</c:v>
                </c:pt>
                <c:pt idx="33">
                  <c:v>468.06974683544303</c:v>
                </c:pt>
                <c:pt idx="34">
                  <c:v>466.22670886075946</c:v>
                </c:pt>
                <c:pt idx="35">
                  <c:v>464.38367088607595</c:v>
                </c:pt>
                <c:pt idx="36">
                  <c:v>462.54063291139238</c:v>
                </c:pt>
                <c:pt idx="37">
                  <c:v>460.69759493670887</c:v>
                </c:pt>
                <c:pt idx="38">
                  <c:v>458.8545569620253</c:v>
                </c:pt>
                <c:pt idx="39">
                  <c:v>457.01151898734179</c:v>
                </c:pt>
                <c:pt idx="40">
                  <c:v>455.16848101265822</c:v>
                </c:pt>
                <c:pt idx="41">
                  <c:v>453.32544303797465</c:v>
                </c:pt>
                <c:pt idx="42">
                  <c:v>451.48240506329114</c:v>
                </c:pt>
                <c:pt idx="43">
                  <c:v>449.63936708860757</c:v>
                </c:pt>
                <c:pt idx="44">
                  <c:v>447.79632911392406</c:v>
                </c:pt>
                <c:pt idx="45">
                  <c:v>445.95329113924049</c:v>
                </c:pt>
                <c:pt idx="46">
                  <c:v>444.11025316455698</c:v>
                </c:pt>
                <c:pt idx="47">
                  <c:v>442.26721518987341</c:v>
                </c:pt>
                <c:pt idx="48">
                  <c:v>440.42417721518984</c:v>
                </c:pt>
                <c:pt idx="49">
                  <c:v>438.58113924050633</c:v>
                </c:pt>
                <c:pt idx="50">
                  <c:v>436.73810126582276</c:v>
                </c:pt>
                <c:pt idx="51">
                  <c:v>434.89506329113925</c:v>
                </c:pt>
                <c:pt idx="52">
                  <c:v>433.05202531645568</c:v>
                </c:pt>
                <c:pt idx="53">
                  <c:v>431.20898734177217</c:v>
                </c:pt>
                <c:pt idx="54">
                  <c:v>429.3659493670886</c:v>
                </c:pt>
                <c:pt idx="55">
                  <c:v>427.52291139240504</c:v>
                </c:pt>
                <c:pt idx="56">
                  <c:v>425.67987341772152</c:v>
                </c:pt>
                <c:pt idx="57">
                  <c:v>423.83683544303796</c:v>
                </c:pt>
                <c:pt idx="58">
                  <c:v>421.99379746835444</c:v>
                </c:pt>
                <c:pt idx="59">
                  <c:v>420.15075949367088</c:v>
                </c:pt>
                <c:pt idx="60">
                  <c:v>418.30772151898731</c:v>
                </c:pt>
                <c:pt idx="61">
                  <c:v>416.4646835443038</c:v>
                </c:pt>
                <c:pt idx="62">
                  <c:v>414.62164556962023</c:v>
                </c:pt>
                <c:pt idx="63">
                  <c:v>412.77860759493672</c:v>
                </c:pt>
                <c:pt idx="64">
                  <c:v>410.93556962025315</c:v>
                </c:pt>
                <c:pt idx="65">
                  <c:v>409.09253164556958</c:v>
                </c:pt>
                <c:pt idx="66">
                  <c:v>407.24949367088607</c:v>
                </c:pt>
                <c:pt idx="67">
                  <c:v>405.40645569620256</c:v>
                </c:pt>
                <c:pt idx="68">
                  <c:v>403.56341772151899</c:v>
                </c:pt>
                <c:pt idx="69">
                  <c:v>401.72037974683542</c:v>
                </c:pt>
                <c:pt idx="70">
                  <c:v>399.87734177215191</c:v>
                </c:pt>
                <c:pt idx="71">
                  <c:v>398.03430379746834</c:v>
                </c:pt>
                <c:pt idx="72">
                  <c:v>396.19126582278477</c:v>
                </c:pt>
                <c:pt idx="73">
                  <c:v>394.34822784810126</c:v>
                </c:pt>
                <c:pt idx="74">
                  <c:v>392.50518987341775</c:v>
                </c:pt>
                <c:pt idx="75">
                  <c:v>390.66215189873412</c:v>
                </c:pt>
                <c:pt idx="76">
                  <c:v>388.81911392405061</c:v>
                </c:pt>
                <c:pt idx="77">
                  <c:v>386.9760759493671</c:v>
                </c:pt>
                <c:pt idx="78">
                  <c:v>385.13303797468353</c:v>
                </c:pt>
                <c:pt idx="79">
                  <c:v>383.28999999999996</c:v>
                </c:pt>
                <c:pt idx="80">
                  <c:v>381.44696202531645</c:v>
                </c:pt>
                <c:pt idx="81">
                  <c:v>379.60392405063288</c:v>
                </c:pt>
                <c:pt idx="82">
                  <c:v>377.76088607594937</c:v>
                </c:pt>
                <c:pt idx="83">
                  <c:v>375.9178481012658</c:v>
                </c:pt>
                <c:pt idx="84">
                  <c:v>374.07481012658229</c:v>
                </c:pt>
                <c:pt idx="85">
                  <c:v>372.23177215189872</c:v>
                </c:pt>
                <c:pt idx="86">
                  <c:v>370.38873417721516</c:v>
                </c:pt>
                <c:pt idx="87">
                  <c:v>368.54569620253164</c:v>
                </c:pt>
                <c:pt idx="88">
                  <c:v>366.70265822784813</c:v>
                </c:pt>
                <c:pt idx="89">
                  <c:v>364.85962025316451</c:v>
                </c:pt>
                <c:pt idx="90">
                  <c:v>363.016582278481</c:v>
                </c:pt>
                <c:pt idx="91">
                  <c:v>361.17354430379748</c:v>
                </c:pt>
                <c:pt idx="92">
                  <c:v>359.33050632911392</c:v>
                </c:pt>
                <c:pt idx="93">
                  <c:v>357.48746835443035</c:v>
                </c:pt>
                <c:pt idx="94">
                  <c:v>355.64443037974684</c:v>
                </c:pt>
                <c:pt idx="95">
                  <c:v>353.80139240506327</c:v>
                </c:pt>
                <c:pt idx="96">
                  <c:v>351.95835443037976</c:v>
                </c:pt>
                <c:pt idx="97">
                  <c:v>350.11531645569619</c:v>
                </c:pt>
                <c:pt idx="98">
                  <c:v>348.27227848101268</c:v>
                </c:pt>
                <c:pt idx="99">
                  <c:v>346.42924050632911</c:v>
                </c:pt>
                <c:pt idx="100">
                  <c:v>344.58620253164554</c:v>
                </c:pt>
                <c:pt idx="101">
                  <c:v>342.74316455696203</c:v>
                </c:pt>
                <c:pt idx="102">
                  <c:v>340.90012658227852</c:v>
                </c:pt>
                <c:pt idx="103">
                  <c:v>339.05708860759489</c:v>
                </c:pt>
                <c:pt idx="104">
                  <c:v>337.21405063291138</c:v>
                </c:pt>
                <c:pt idx="105">
                  <c:v>335.37101265822787</c:v>
                </c:pt>
                <c:pt idx="106">
                  <c:v>333.5279746835443</c:v>
                </c:pt>
                <c:pt idx="107">
                  <c:v>331.68493670886073</c:v>
                </c:pt>
                <c:pt idx="108">
                  <c:v>329.84189873417722</c:v>
                </c:pt>
                <c:pt idx="109">
                  <c:v>327.99886075949365</c:v>
                </c:pt>
                <c:pt idx="110">
                  <c:v>326.15582278481008</c:v>
                </c:pt>
                <c:pt idx="111">
                  <c:v>324.31278481012657</c:v>
                </c:pt>
                <c:pt idx="112">
                  <c:v>322.46974683544306</c:v>
                </c:pt>
                <c:pt idx="113">
                  <c:v>320.62670886075949</c:v>
                </c:pt>
                <c:pt idx="114">
                  <c:v>318.78367088607592</c:v>
                </c:pt>
                <c:pt idx="115">
                  <c:v>316.94063291139241</c:v>
                </c:pt>
                <c:pt idx="116">
                  <c:v>315.0975949367089</c:v>
                </c:pt>
                <c:pt idx="117">
                  <c:v>313.25455696202528</c:v>
                </c:pt>
                <c:pt idx="118">
                  <c:v>311.41151898734176</c:v>
                </c:pt>
                <c:pt idx="119">
                  <c:v>309.56848101265825</c:v>
                </c:pt>
                <c:pt idx="120">
                  <c:v>307.72544303797463</c:v>
                </c:pt>
                <c:pt idx="121">
                  <c:v>305.88240506329112</c:v>
                </c:pt>
                <c:pt idx="122">
                  <c:v>304.03936708860761</c:v>
                </c:pt>
                <c:pt idx="123">
                  <c:v>302.19632911392404</c:v>
                </c:pt>
                <c:pt idx="124">
                  <c:v>300.35329113924053</c:v>
                </c:pt>
                <c:pt idx="125">
                  <c:v>298.51025316455696</c:v>
                </c:pt>
                <c:pt idx="126">
                  <c:v>296.66721518987345</c:v>
                </c:pt>
                <c:pt idx="127">
                  <c:v>294.82417721518982</c:v>
                </c:pt>
                <c:pt idx="128">
                  <c:v>292.98113924050631</c:v>
                </c:pt>
                <c:pt idx="129">
                  <c:v>291.1381012658228</c:v>
                </c:pt>
                <c:pt idx="130">
                  <c:v>289.29506329113923</c:v>
                </c:pt>
                <c:pt idx="131">
                  <c:v>287.45202531645566</c:v>
                </c:pt>
                <c:pt idx="132">
                  <c:v>285.60898734177215</c:v>
                </c:pt>
                <c:pt idx="133">
                  <c:v>283.76594936708864</c:v>
                </c:pt>
                <c:pt idx="134">
                  <c:v>281.92291139240507</c:v>
                </c:pt>
                <c:pt idx="135">
                  <c:v>280.0798734177215</c:v>
                </c:pt>
                <c:pt idx="136">
                  <c:v>278.23683544303799</c:v>
                </c:pt>
                <c:pt idx="137">
                  <c:v>276.39379746835442</c:v>
                </c:pt>
                <c:pt idx="138">
                  <c:v>274.55075949367085</c:v>
                </c:pt>
                <c:pt idx="139">
                  <c:v>272.70772151898734</c:v>
                </c:pt>
                <c:pt idx="140">
                  <c:v>270.86468354430377</c:v>
                </c:pt>
                <c:pt idx="141">
                  <c:v>269.02164556962026</c:v>
                </c:pt>
                <c:pt idx="142">
                  <c:v>267.17860759493669</c:v>
                </c:pt>
                <c:pt idx="143">
                  <c:v>265.33556962025318</c:v>
                </c:pt>
                <c:pt idx="144">
                  <c:v>263.49253164556961</c:v>
                </c:pt>
                <c:pt idx="145">
                  <c:v>261.64949367088605</c:v>
                </c:pt>
                <c:pt idx="146">
                  <c:v>259.80645569620253</c:v>
                </c:pt>
                <c:pt idx="147">
                  <c:v>257.96341772151897</c:v>
                </c:pt>
                <c:pt idx="148">
                  <c:v>256.12037974683545</c:v>
                </c:pt>
                <c:pt idx="149">
                  <c:v>254.27734177215189</c:v>
                </c:pt>
                <c:pt idx="150">
                  <c:v>252.43430379746832</c:v>
                </c:pt>
                <c:pt idx="151">
                  <c:v>250.59126582278481</c:v>
                </c:pt>
                <c:pt idx="152">
                  <c:v>248.74822784810124</c:v>
                </c:pt>
                <c:pt idx="153">
                  <c:v>246.90518987341773</c:v>
                </c:pt>
                <c:pt idx="154">
                  <c:v>245.06215189873421</c:v>
                </c:pt>
                <c:pt idx="155">
                  <c:v>243.21911392405065</c:v>
                </c:pt>
                <c:pt idx="156">
                  <c:v>241.37607594936708</c:v>
                </c:pt>
                <c:pt idx="157">
                  <c:v>239.53303797468351</c:v>
                </c:pt>
                <c:pt idx="158">
                  <c:v>237.69</c:v>
                </c:pt>
                <c:pt idx="159">
                  <c:v>235.84696202531649</c:v>
                </c:pt>
              </c:numCache>
            </c:numRef>
          </c:val>
          <c:smooth val="0"/>
          <c:extLst>
            <c:ext xmlns:c16="http://schemas.microsoft.com/office/drawing/2014/chart" uri="{C3380CC4-5D6E-409C-BE32-E72D297353CC}">
              <c16:uniqueId val="{00000001-AEA9-F847-B295-BF1ABF7E910B}"/>
            </c:ext>
          </c:extLst>
        </c:ser>
        <c:dLbls>
          <c:showLegendKey val="0"/>
          <c:showVal val="0"/>
          <c:showCatName val="0"/>
          <c:showSerName val="0"/>
          <c:showPercent val="0"/>
          <c:showBubbleSize val="0"/>
        </c:dLbls>
        <c:hiLowLines>
          <c:spPr>
            <a:ln w="0">
              <a:noFill/>
            </a:ln>
          </c:spPr>
        </c:hiLowLines>
        <c:marker val="1"/>
        <c:smooth val="0"/>
        <c:axId val="14687872"/>
        <c:axId val="18005383"/>
      </c:lineChart>
      <c:dateAx>
        <c:axId val="98332883"/>
        <c:scaling>
          <c:orientation val="minMax"/>
        </c:scaling>
        <c:delete val="1"/>
        <c:axPos val="b"/>
        <c:numFmt formatCode="mm/dd/yyyy" sourceLinked="1"/>
        <c:majorTickMark val="none"/>
        <c:minorTickMark val="none"/>
        <c:tickLblPos val="nextTo"/>
        <c:crossAx val="92263487"/>
        <c:crosses val="autoZero"/>
        <c:auto val="1"/>
        <c:lblOffset val="100"/>
        <c:baseTimeUnit val="days"/>
      </c:dateAx>
      <c:valAx>
        <c:axId val="922634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8332883"/>
        <c:crosses val="autoZero"/>
        <c:crossBetween val="between"/>
      </c:valAx>
      <c:dateAx>
        <c:axId val="14687872"/>
        <c:scaling>
          <c:orientation val="minMax"/>
        </c:scaling>
        <c:delete val="1"/>
        <c:axPos val="b"/>
        <c:numFmt formatCode="mm/dd/yyyy" sourceLinked="1"/>
        <c:majorTickMark val="none"/>
        <c:minorTickMark val="none"/>
        <c:tickLblPos val="nextTo"/>
        <c:crossAx val="18005383"/>
        <c:crosses val="autoZero"/>
        <c:auto val="1"/>
        <c:lblOffset val="100"/>
        <c:baseTimeUnit val="days"/>
      </c:dateAx>
      <c:valAx>
        <c:axId val="180053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468787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layout/>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(Calc)'!$C$3:$C$500</c:f>
              <c:numCache>
                <c:formatCode>0.0%</c:formatCode>
                <c:ptCount val="498"/>
                <c:pt idx="0">
                  <c:v>-2.3819835426591607E-2</c:v>
                </c:pt>
                <c:pt idx="1">
                  <c:v>1.9964507542147292E-2</c:v>
                </c:pt>
                <c:pt idx="2">
                  <c:v>5.5023923444976086E-2</c:v>
                </c:pt>
                <c:pt idx="3">
                  <c:v>-2.1645021645021578E-2</c:v>
                </c:pt>
                <c:pt idx="4">
                  <c:v>-1.9595448798988668E-2</c:v>
                </c:pt>
                <c:pt idx="5">
                  <c:v>-5.3298946915968259E-2</c:v>
                </c:pt>
                <c:pt idx="6">
                  <c:v>0.20590238365493763</c:v>
                </c:pt>
                <c:pt idx="7">
                  <c:v>-2.654367469879515E-2</c:v>
                </c:pt>
                <c:pt idx="8">
                  <c:v>3.7710307484045469E-2</c:v>
                </c:pt>
                <c:pt idx="9">
                  <c:v>1.7517704062616657E-2</c:v>
                </c:pt>
                <c:pt idx="10">
                  <c:v>-8.058608058608141E-3</c:v>
                </c:pt>
                <c:pt idx="11">
                  <c:v>3.4158050221565706E-2</c:v>
                </c:pt>
                <c:pt idx="12">
                  <c:v>5.1597928941260474E-2</c:v>
                </c:pt>
                <c:pt idx="13">
                  <c:v>1.1205432937181792E-2</c:v>
                </c:pt>
                <c:pt idx="14">
                  <c:v>-1.1417058428475513E-2</c:v>
                </c:pt>
                <c:pt idx="15">
                  <c:v>-1.9531250000000111E-2</c:v>
                </c:pt>
                <c:pt idx="16">
                  <c:v>9.1460245972631249E-2</c:v>
                </c:pt>
                <c:pt idx="17">
                  <c:v>4.5548325662593259E-2</c:v>
                </c:pt>
                <c:pt idx="18">
                  <c:v>3.3394049787491831E-3</c:v>
                </c:pt>
                <c:pt idx="19">
                  <c:v>3.2980332829046999E-2</c:v>
                </c:pt>
                <c:pt idx="20">
                  <c:v>3.4124194493263094E-2</c:v>
                </c:pt>
                <c:pt idx="21">
                  <c:v>-7.3219090780342722E-2</c:v>
                </c:pt>
                <c:pt idx="22">
                  <c:v>2.261613691931541E-2</c:v>
                </c:pt>
                <c:pt idx="23">
                  <c:v>7.4865511057979672E-2</c:v>
                </c:pt>
                <c:pt idx="24">
                  <c:v>-5.0743778673710604E-2</c:v>
                </c:pt>
                <c:pt idx="25">
                  <c:v>1.6842413591095617E-2</c:v>
                </c:pt>
                <c:pt idx="26">
                  <c:v>0.10341351001008192</c:v>
                </c:pt>
                <c:pt idx="27">
                  <c:v>-5.3648348779532729E-2</c:v>
                </c:pt>
                <c:pt idx="28">
                  <c:v>2.6206896551724146E-2</c:v>
                </c:pt>
                <c:pt idx="29">
                  <c:v>-8.8575268817204345E-2</c:v>
                </c:pt>
                <c:pt idx="30">
                  <c:v>-9.2759180061937729E-2</c:v>
                </c:pt>
                <c:pt idx="31">
                  <c:v>7.5747724317295262E-2</c:v>
                </c:pt>
                <c:pt idx="32">
                  <c:v>3.6566938652160541E-2</c:v>
                </c:pt>
                <c:pt idx="33">
                  <c:v>0.14446064139941717</c:v>
                </c:pt>
                <c:pt idx="34">
                  <c:v>1.8596357151955178E-2</c:v>
                </c:pt>
                <c:pt idx="35">
                  <c:v>-4.1640615230711497E-2</c:v>
                </c:pt>
                <c:pt idx="36">
                  <c:v>-2.9097077244258918E-2</c:v>
                </c:pt>
                <c:pt idx="37">
                  <c:v>-2.8222013170271509E-3</c:v>
                </c:pt>
                <c:pt idx="38">
                  <c:v>0.10673854447439357</c:v>
                </c:pt>
                <c:pt idx="39">
                  <c:v>2.7033609352167476E-2</c:v>
                </c:pt>
                <c:pt idx="40">
                  <c:v>3.8890206307801822E-2</c:v>
                </c:pt>
                <c:pt idx="41">
                  <c:v>4.4738644145172257E-2</c:v>
                </c:pt>
                <c:pt idx="42">
                  <c:v>-1.1688879178501255E-2</c:v>
                </c:pt>
                <c:pt idx="43">
                  <c:v>-8.6548026970266423E-2</c:v>
                </c:pt>
                <c:pt idx="44">
                  <c:v>-3.436592449177156E-2</c:v>
                </c:pt>
                <c:pt idx="45">
                  <c:v>3.7593984962414062E-4</c:v>
                </c:pt>
                <c:pt idx="46">
                  <c:v>5.1609670549918718E-2</c:v>
                </c:pt>
                <c:pt idx="47">
                  <c:v>5.384157236450271E-2</c:v>
                </c:pt>
                <c:pt idx="48">
                  <c:v>3.5040126596586063E-3</c:v>
                </c:pt>
                <c:pt idx="49">
                  <c:v>-4.8434332056770391E-3</c:v>
                </c:pt>
                <c:pt idx="50">
                  <c:v>-0.11058290888511602</c:v>
                </c:pt>
                <c:pt idx="51">
                  <c:v>0.1445660473402901</c:v>
                </c:pt>
                <c:pt idx="52">
                  <c:v>6.8601289748721372E-2</c:v>
                </c:pt>
                <c:pt idx="53">
                  <c:v>-1.0820934346061906E-2</c:v>
                </c:pt>
                <c:pt idx="54">
                  <c:v>4.1232775849374237E-2</c:v>
                </c:pt>
                <c:pt idx="55">
                  <c:v>5.2934639862612487E-2</c:v>
                </c:pt>
                <c:pt idx="56">
                  <c:v>-3.5786241964885335E-2</c:v>
                </c:pt>
                <c:pt idx="57">
                  <c:v>-1.9701492537313459E-2</c:v>
                </c:pt>
                <c:pt idx="58">
                  <c:v>2.0300446609833322E-4</c:v>
                </c:pt>
                <c:pt idx="59">
                  <c:v>1.5932616196468352E-2</c:v>
                </c:pt>
                <c:pt idx="60">
                  <c:v>-6.5028468684447116E-2</c:v>
                </c:pt>
                <c:pt idx="61">
                  <c:v>8.5683760683760823E-2</c:v>
                </c:pt>
                <c:pt idx="62">
                  <c:v>-1.5744932099981401E-3</c:v>
                </c:pt>
                <c:pt idx="63">
                  <c:v>6.6922925290755053E-2</c:v>
                </c:pt>
                <c:pt idx="64">
                  <c:v>3.8060046189376529E-2</c:v>
                </c:pt>
                <c:pt idx="65">
                  <c:v>3.9156358458662943E-3</c:v>
                </c:pt>
                <c:pt idx="66">
                  <c:v>1.9501817214786499E-3</c:v>
                </c:pt>
                <c:pt idx="67">
                  <c:v>1.9198442891267931E-2</c:v>
                </c:pt>
                <c:pt idx="68">
                  <c:v>-7.4652777777777235E-3</c:v>
                </c:pt>
                <c:pt idx="69">
                  <c:v>4.9064194507608905E-2</c:v>
                </c:pt>
                <c:pt idx="70">
                  <c:v>7.6865360566902741E-2</c:v>
                </c:pt>
                <c:pt idx="71">
                  <c:v>-0.10791979561817744</c:v>
                </c:pt>
                <c:pt idx="72">
                  <c:v>2.8117677688102027E-2</c:v>
                </c:pt>
                <c:pt idx="73">
                  <c:v>-9.7915083987507368E-2</c:v>
                </c:pt>
                <c:pt idx="74">
                  <c:v>-8.0190886123327476E-2</c:v>
                </c:pt>
                <c:pt idx="75">
                  <c:v>-5.3407934893184184E-2</c:v>
                </c:pt>
                <c:pt idx="76">
                  <c:v>-0.10413756045137024</c:v>
                </c:pt>
                <c:pt idx="77">
                  <c:v>1.7994241842611558E-3</c:v>
                </c:pt>
                <c:pt idx="78">
                  <c:v>-4.5503532511077527E-3</c:v>
                </c:pt>
                <c:pt idx="79">
                  <c:v>-6.2432334897149055E-2</c:v>
                </c:pt>
                <c:pt idx="80">
                  <c:v>-0.17410828842699499</c:v>
                </c:pt>
                <c:pt idx="81">
                  <c:v>0.12894205375174761</c:v>
                </c:pt>
                <c:pt idx="82">
                  <c:v>-2.0228429888537236E-2</c:v>
                </c:pt>
                <c:pt idx="83">
                  <c:v>9.4241573033707837E-2</c:v>
                </c:pt>
                <c:pt idx="84">
                  <c:v>0.16827108201771268</c:v>
                </c:pt>
                <c:pt idx="85">
                  <c:v>-4.9439683586025018E-2</c:v>
                </c:pt>
                <c:pt idx="86">
                  <c:v>0.11442441054091557</c:v>
                </c:pt>
                <c:pt idx="87">
                  <c:v>-5.4138145612943389E-2</c:v>
                </c:pt>
                <c:pt idx="88">
                  <c:v>-5.0000000000000044E-2</c:v>
                </c:pt>
                <c:pt idx="89">
                  <c:v>0.12246075715604809</c:v>
                </c:pt>
                <c:pt idx="90">
                  <c:v>-5.0385604113110549E-2</c:v>
                </c:pt>
                <c:pt idx="91">
                  <c:v>-6.6053059014618221E-2</c:v>
                </c:pt>
                <c:pt idx="92">
                  <c:v>0.15234782608695663</c:v>
                </c:pt>
                <c:pt idx="93">
                  <c:v>3.1492101821108731E-2</c:v>
                </c:pt>
                <c:pt idx="94">
                  <c:v>5.9012875536480713E-2</c:v>
                </c:pt>
                <c:pt idx="95">
                  <c:v>2.9566178502348883E-2</c:v>
                </c:pt>
                <c:pt idx="96">
                  <c:v>2.2365360529611689E-2</c:v>
                </c:pt>
                <c:pt idx="97">
                  <c:v>2.878893944697225E-2</c:v>
                </c:pt>
                <c:pt idx="98">
                  <c:v>0.18380539253210859</c:v>
                </c:pt>
                <c:pt idx="99">
                  <c:v>-1.35076878861905E-2</c:v>
                </c:pt>
                <c:pt idx="100">
                  <c:v>-2.949745083758204E-2</c:v>
                </c:pt>
                <c:pt idx="101">
                  <c:v>2.4765478424014997E-2</c:v>
                </c:pt>
                <c:pt idx="102">
                  <c:v>4.6136946173562565E-2</c:v>
                </c:pt>
                <c:pt idx="103">
                  <c:v>-2.4221211060553083E-2</c:v>
                </c:pt>
                <c:pt idx="104">
                  <c:v>7.3319463376139149E-2</c:v>
                </c:pt>
                <c:pt idx="105">
                  <c:v>-4.752356125927415E-2</c:v>
                </c:pt>
                <c:pt idx="106">
                  <c:v>2.1052631578947434E-2</c:v>
                </c:pt>
                <c:pt idx="107">
                  <c:v>5.9106529209622005E-2</c:v>
                </c:pt>
                <c:pt idx="108">
                  <c:v>-7.138221933809219E-2</c:v>
                </c:pt>
                <c:pt idx="109">
                  <c:v>7.4912648497554191E-2</c:v>
                </c:pt>
                <c:pt idx="110">
                  <c:v>2.5159277077103193E-2</c:v>
                </c:pt>
                <c:pt idx="111">
                  <c:v>-0.14610945526032082</c:v>
                </c:pt>
                <c:pt idx="112">
                  <c:v>-2.4359450427033025E-2</c:v>
                </c:pt>
                <c:pt idx="113">
                  <c:v>-0.10611250666057692</c:v>
                </c:pt>
                <c:pt idx="114">
                  <c:v>0.11283317721195596</c:v>
                </c:pt>
                <c:pt idx="115">
                  <c:v>-1.5993265993266004E-2</c:v>
                </c:pt>
                <c:pt idx="116">
                  <c:v>-2.9784586670814184E-2</c:v>
                </c:pt>
                <c:pt idx="117">
                  <c:v>5.0977877524847726E-2</c:v>
                </c:pt>
                <c:pt idx="118">
                  <c:v>5.4911531421597548E-3</c:v>
                </c:pt>
                <c:pt idx="119">
                  <c:v>1.3349514563106624E-2</c:v>
                </c:pt>
                <c:pt idx="120">
                  <c:v>-8.0164670658682602E-2</c:v>
                </c:pt>
                <c:pt idx="121">
                  <c:v>5.6473268776955132E-2</c:v>
                </c:pt>
                <c:pt idx="122">
                  <c:v>5.0142494030655405E-2</c:v>
                </c:pt>
                <c:pt idx="123">
                  <c:v>3.9606865189966367E-2</c:v>
                </c:pt>
                <c:pt idx="124">
                  <c:v>-2.998447862283049E-2</c:v>
                </c:pt>
                <c:pt idx="125">
                  <c:v>2.9820350570950671E-2</c:v>
                </c:pt>
                <c:pt idx="126">
                  <c:v>-6.2151281870188702E-2</c:v>
                </c:pt>
                <c:pt idx="127">
                  <c:v>5.3467881617592639E-3</c:v>
                </c:pt>
                <c:pt idx="128">
                  <c:v>-4.5692883895132042E-3</c:v>
                </c:pt>
                <c:pt idx="129">
                  <c:v>5.1170140717886614E-3</c:v>
                </c:pt>
                <c:pt idx="130">
                  <c:v>-1.7593771056374941E-2</c:v>
                </c:pt>
                <c:pt idx="131">
                  <c:v>-7.963725041914349E-2</c:v>
                </c:pt>
                <c:pt idx="132">
                  <c:v>4.8935994038254549E-2</c:v>
                </c:pt>
                <c:pt idx="133">
                  <c:v>0.16316703504894203</c:v>
                </c:pt>
                <c:pt idx="134">
                  <c:v>0.11455717678995581</c:v>
                </c:pt>
                <c:pt idx="135">
                  <c:v>7.7208792547037719E-2</c:v>
                </c:pt>
                <c:pt idx="136">
                  <c:v>-2.3797411112995381E-2</c:v>
                </c:pt>
                <c:pt idx="137">
                  <c:v>-0.17909669947886497</c:v>
                </c:pt>
                <c:pt idx="138">
                  <c:v>1.4107356986667874E-3</c:v>
                </c:pt>
                <c:pt idx="139">
                  <c:v>8.494752412481521E-2</c:v>
                </c:pt>
                <c:pt idx="140">
                  <c:v>3.5317795234694582E-2</c:v>
                </c:pt>
                <c:pt idx="141">
                  <c:v>-3.2608014046529021E-2</c:v>
                </c:pt>
                <c:pt idx="142">
                  <c:v>5.8144811045569345E-2</c:v>
                </c:pt>
                <c:pt idx="143">
                  <c:v>3.9389855427591103E-2</c:v>
                </c:pt>
                <c:pt idx="144">
                  <c:v>-7.1138091589556196E-2</c:v>
                </c:pt>
                <c:pt idx="145">
                  <c:v>1.5164974619289451E-2</c:v>
                </c:pt>
                <c:pt idx="146">
                  <c:v>0.16857303581473837</c:v>
                </c:pt>
                <c:pt idx="147">
                  <c:v>-9.8149336756525374E-2</c:v>
                </c:pt>
                <c:pt idx="148">
                  <c:v>3.1907953264930899E-2</c:v>
                </c:pt>
                <c:pt idx="149">
                  <c:v>3.6553824932467283E-2</c:v>
                </c:pt>
                <c:pt idx="150">
                  <c:v>4.6132520099805951E-2</c:v>
                </c:pt>
                <c:pt idx="151">
                  <c:v>5.3797636084168099E-2</c:v>
                </c:pt>
                <c:pt idx="152">
                  <c:v>-5.1151795594004512E-2</c:v>
                </c:pt>
                <c:pt idx="153">
                  <c:v>3.5674529552080614E-2</c:v>
                </c:pt>
                <c:pt idx="154">
                  <c:v>-8.1891698229091814E-3</c:v>
                </c:pt>
                <c:pt idx="155">
                  <c:v>2.9982454329652297E-2</c:v>
                </c:pt>
                <c:pt idx="156">
                  <c:v>-1.0020542111328634E-3</c:v>
                </c:pt>
                <c:pt idx="157">
                  <c:v>3.5909524048347574E-2</c:v>
                </c:pt>
                <c:pt idx="158">
                  <c:v>3.8731541999514896E-3</c:v>
                </c:pt>
                <c:pt idx="159">
                  <c:v>0</c:v>
                </c:pt>
              </c:numCache>
            </c:numRef>
          </c:val>
          <c:extLst>
            <c:ext xmlns:c16="http://schemas.microsoft.com/office/drawing/2014/chart" uri="{C3380CC4-5D6E-409C-BE32-E72D297353CC}">
              <c16:uniqueId val="{00000000-B9FF-5C4E-97F7-43233BA6717A}"/>
            </c:ext>
          </c:extLst>
        </c:ser>
        <c:dLbls>
          <c:showLegendKey val="0"/>
          <c:showVal val="0"/>
          <c:showCatName val="0"/>
          <c:showSerName val="0"/>
          <c:showPercent val="0"/>
          <c:showBubbleSize val="0"/>
        </c:dLbls>
        <c:gapWidth val="150"/>
        <c:axId val="11865675"/>
        <c:axId val="47061416"/>
      </c:barChart>
      <c:lineChart>
        <c:grouping val="standard"/>
        <c:varyColors val="0"/>
        <c:ser>
          <c:idx val="1"/>
          <c:order val="1"/>
          <c:tx>
            <c:strRef>
              <c:f>'Returns (Calc)'!$X$2</c:f>
              <c:strCache>
                <c:ptCount val="1"/>
                <c:pt idx="0">
                  <c:v>ANET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(Calc)'!$X$3:$X$500</c:f>
              <c:numCache>
                <c:formatCode>#,##0.00</c:formatCode>
                <c:ptCount val="498"/>
                <c:pt idx="0">
                  <c:v>46.18</c:v>
                </c:pt>
                <c:pt idx="1">
                  <c:v>47.200063291139237</c:v>
                </c:pt>
                <c:pt idx="2">
                  <c:v>48.220126582278482</c:v>
                </c:pt>
                <c:pt idx="3">
                  <c:v>49.240189873417719</c:v>
                </c:pt>
                <c:pt idx="4">
                  <c:v>50.260253164556964</c:v>
                </c:pt>
                <c:pt idx="5">
                  <c:v>51.280316455696202</c:v>
                </c:pt>
                <c:pt idx="6">
                  <c:v>52.300379746835446</c:v>
                </c:pt>
                <c:pt idx="7">
                  <c:v>53.320443037974684</c:v>
                </c:pt>
                <c:pt idx="8">
                  <c:v>54.340506329113921</c:v>
                </c:pt>
                <c:pt idx="9">
                  <c:v>55.360569620253166</c:v>
                </c:pt>
                <c:pt idx="10">
                  <c:v>56.380632911392404</c:v>
                </c:pt>
                <c:pt idx="11">
                  <c:v>57.400696202531648</c:v>
                </c:pt>
                <c:pt idx="12">
                  <c:v>58.420759493670886</c:v>
                </c:pt>
                <c:pt idx="13">
                  <c:v>59.440822784810123</c:v>
                </c:pt>
                <c:pt idx="14">
                  <c:v>60.460886075949361</c:v>
                </c:pt>
                <c:pt idx="15">
                  <c:v>61.480949367088606</c:v>
                </c:pt>
                <c:pt idx="16">
                  <c:v>62.50101265822785</c:v>
                </c:pt>
                <c:pt idx="17">
                  <c:v>63.521075949367088</c:v>
                </c:pt>
                <c:pt idx="18">
                  <c:v>64.541139240506325</c:v>
                </c:pt>
                <c:pt idx="19">
                  <c:v>65.561202531645563</c:v>
                </c:pt>
                <c:pt idx="20">
                  <c:v>66.581265822784815</c:v>
                </c:pt>
                <c:pt idx="21">
                  <c:v>67.601329113924052</c:v>
                </c:pt>
                <c:pt idx="22">
                  <c:v>68.62139240506329</c:v>
                </c:pt>
                <c:pt idx="23">
                  <c:v>69.641455696202527</c:v>
                </c:pt>
                <c:pt idx="24">
                  <c:v>70.661518987341765</c:v>
                </c:pt>
                <c:pt idx="25">
                  <c:v>71.681582278481017</c:v>
                </c:pt>
                <c:pt idx="26">
                  <c:v>72.701645569620254</c:v>
                </c:pt>
                <c:pt idx="27">
                  <c:v>73.721708860759492</c:v>
                </c:pt>
                <c:pt idx="28">
                  <c:v>74.741772151898729</c:v>
                </c:pt>
                <c:pt idx="29">
                  <c:v>75.761835443037967</c:v>
                </c:pt>
                <c:pt idx="30">
                  <c:v>76.781898734177219</c:v>
                </c:pt>
                <c:pt idx="31">
                  <c:v>77.801962025316456</c:v>
                </c:pt>
                <c:pt idx="32">
                  <c:v>78.822025316455694</c:v>
                </c:pt>
                <c:pt idx="33">
                  <c:v>79.842088607594931</c:v>
                </c:pt>
                <c:pt idx="34">
                  <c:v>80.862151898734169</c:v>
                </c:pt>
                <c:pt idx="35">
                  <c:v>81.882215189873421</c:v>
                </c:pt>
                <c:pt idx="36">
                  <c:v>82.902278481012658</c:v>
                </c:pt>
                <c:pt idx="37">
                  <c:v>83.922341772151896</c:v>
                </c:pt>
                <c:pt idx="38">
                  <c:v>84.942405063291133</c:v>
                </c:pt>
                <c:pt idx="39">
                  <c:v>85.962468354430371</c:v>
                </c:pt>
                <c:pt idx="40">
                  <c:v>86.982531645569622</c:v>
                </c:pt>
                <c:pt idx="41">
                  <c:v>88.002594936708846</c:v>
                </c:pt>
                <c:pt idx="42">
                  <c:v>89.022658227848098</c:v>
                </c:pt>
                <c:pt idx="43">
                  <c:v>90.042721518987335</c:v>
                </c:pt>
                <c:pt idx="44">
                  <c:v>91.062784810126573</c:v>
                </c:pt>
                <c:pt idx="45">
                  <c:v>92.082848101265824</c:v>
                </c:pt>
                <c:pt idx="46">
                  <c:v>93.102911392405062</c:v>
                </c:pt>
                <c:pt idx="47">
                  <c:v>94.1229746835443</c:v>
                </c:pt>
                <c:pt idx="48">
                  <c:v>95.143037974683551</c:v>
                </c:pt>
                <c:pt idx="49">
                  <c:v>96.163101265822775</c:v>
                </c:pt>
                <c:pt idx="50">
                  <c:v>97.183164556962026</c:v>
                </c:pt>
                <c:pt idx="51">
                  <c:v>98.203227848101264</c:v>
                </c:pt>
                <c:pt idx="52">
                  <c:v>99.223291139240501</c:v>
                </c:pt>
                <c:pt idx="53">
                  <c:v>100.24335443037975</c:v>
                </c:pt>
                <c:pt idx="54">
                  <c:v>101.26341772151898</c:v>
                </c:pt>
                <c:pt idx="55">
                  <c:v>102.28348101265823</c:v>
                </c:pt>
                <c:pt idx="56">
                  <c:v>103.30354430379745</c:v>
                </c:pt>
                <c:pt idx="57">
                  <c:v>104.3236075949367</c:v>
                </c:pt>
                <c:pt idx="58">
                  <c:v>105.34367088607594</c:v>
                </c:pt>
                <c:pt idx="59">
                  <c:v>106.36373417721518</c:v>
                </c:pt>
                <c:pt idx="60">
                  <c:v>107.38379746835443</c:v>
                </c:pt>
                <c:pt idx="61">
                  <c:v>108.40386075949365</c:v>
                </c:pt>
                <c:pt idx="62">
                  <c:v>109.42392405063291</c:v>
                </c:pt>
                <c:pt idx="63">
                  <c:v>110.44398734177216</c:v>
                </c:pt>
                <c:pt idx="64">
                  <c:v>111.46405063291138</c:v>
                </c:pt>
                <c:pt idx="65">
                  <c:v>112.48411392405063</c:v>
                </c:pt>
                <c:pt idx="66">
                  <c:v>113.50417721518986</c:v>
                </c:pt>
                <c:pt idx="67">
                  <c:v>114.52424050632911</c:v>
                </c:pt>
                <c:pt idx="68">
                  <c:v>115.54430379746836</c:v>
                </c:pt>
                <c:pt idx="69">
                  <c:v>116.56436708860758</c:v>
                </c:pt>
                <c:pt idx="70">
                  <c:v>117.58443037974683</c:v>
                </c:pt>
                <c:pt idx="71">
                  <c:v>118.60449367088609</c:v>
                </c:pt>
                <c:pt idx="72">
                  <c:v>119.62455696202531</c:v>
                </c:pt>
                <c:pt idx="73">
                  <c:v>120.64462025316456</c:v>
                </c:pt>
                <c:pt idx="74">
                  <c:v>121.66468354430378</c:v>
                </c:pt>
                <c:pt idx="75">
                  <c:v>122.68474683544304</c:v>
                </c:pt>
                <c:pt idx="76">
                  <c:v>123.70481012658226</c:v>
                </c:pt>
                <c:pt idx="77">
                  <c:v>124.72487341772151</c:v>
                </c:pt>
                <c:pt idx="78">
                  <c:v>125.74493670886076</c:v>
                </c:pt>
                <c:pt idx="79">
                  <c:v>126.76499999999999</c:v>
                </c:pt>
                <c:pt idx="80">
                  <c:v>127.78506329113924</c:v>
                </c:pt>
                <c:pt idx="81">
                  <c:v>128.80512658227846</c:v>
                </c:pt>
                <c:pt idx="82">
                  <c:v>129.82518987341771</c:v>
                </c:pt>
                <c:pt idx="83">
                  <c:v>130.84525316455696</c:v>
                </c:pt>
                <c:pt idx="84">
                  <c:v>131.86531645569619</c:v>
                </c:pt>
                <c:pt idx="85">
                  <c:v>132.88537974683544</c:v>
                </c:pt>
                <c:pt idx="86">
                  <c:v>133.90544303797466</c:v>
                </c:pt>
                <c:pt idx="87">
                  <c:v>134.92550632911392</c:v>
                </c:pt>
                <c:pt idx="88">
                  <c:v>135.94556962025317</c:v>
                </c:pt>
                <c:pt idx="89">
                  <c:v>136.96563291139239</c:v>
                </c:pt>
                <c:pt idx="90">
                  <c:v>137.98569620253164</c:v>
                </c:pt>
                <c:pt idx="91">
                  <c:v>139.00575949367089</c:v>
                </c:pt>
                <c:pt idx="92">
                  <c:v>140.02582278481012</c:v>
                </c:pt>
                <c:pt idx="93">
                  <c:v>141.04588607594937</c:v>
                </c:pt>
                <c:pt idx="94">
                  <c:v>142.06594936708859</c:v>
                </c:pt>
                <c:pt idx="95">
                  <c:v>143.08601265822784</c:v>
                </c:pt>
                <c:pt idx="96">
                  <c:v>144.1060759493671</c:v>
                </c:pt>
                <c:pt idx="97">
                  <c:v>145.12613924050632</c:v>
                </c:pt>
                <c:pt idx="98">
                  <c:v>146.14620253164557</c:v>
                </c:pt>
                <c:pt idx="99">
                  <c:v>147.16626582278479</c:v>
                </c:pt>
                <c:pt idx="100">
                  <c:v>148.18632911392405</c:v>
                </c:pt>
                <c:pt idx="101">
                  <c:v>149.20639240506327</c:v>
                </c:pt>
                <c:pt idx="102">
                  <c:v>150.22645569620252</c:v>
                </c:pt>
                <c:pt idx="103">
                  <c:v>151.24651898734177</c:v>
                </c:pt>
                <c:pt idx="104">
                  <c:v>152.26658227848102</c:v>
                </c:pt>
                <c:pt idx="105">
                  <c:v>153.28664556962025</c:v>
                </c:pt>
                <c:pt idx="106">
                  <c:v>154.3067088607595</c:v>
                </c:pt>
                <c:pt idx="107">
                  <c:v>155.32677215189872</c:v>
                </c:pt>
                <c:pt idx="108">
                  <c:v>156.34683544303795</c:v>
                </c:pt>
                <c:pt idx="109">
                  <c:v>157.3668987341772</c:v>
                </c:pt>
                <c:pt idx="110">
                  <c:v>158.38696202531645</c:v>
                </c:pt>
                <c:pt idx="111">
                  <c:v>159.4070253164557</c:v>
                </c:pt>
                <c:pt idx="112">
                  <c:v>160.42708860759492</c:v>
                </c:pt>
                <c:pt idx="113">
                  <c:v>161.44715189873418</c:v>
                </c:pt>
                <c:pt idx="114">
                  <c:v>162.4672151898734</c:v>
                </c:pt>
                <c:pt idx="115">
                  <c:v>163.48727848101265</c:v>
                </c:pt>
                <c:pt idx="116">
                  <c:v>164.50734177215188</c:v>
                </c:pt>
                <c:pt idx="117">
                  <c:v>165.52740506329113</c:v>
                </c:pt>
                <c:pt idx="118">
                  <c:v>166.54746835443038</c:v>
                </c:pt>
                <c:pt idx="119">
                  <c:v>167.56753164556963</c:v>
                </c:pt>
                <c:pt idx="120">
                  <c:v>168.58759493670885</c:v>
                </c:pt>
                <c:pt idx="121">
                  <c:v>169.60765822784811</c:v>
                </c:pt>
                <c:pt idx="122">
                  <c:v>170.62772151898733</c:v>
                </c:pt>
                <c:pt idx="123">
                  <c:v>171.64778481012658</c:v>
                </c:pt>
                <c:pt idx="124">
                  <c:v>172.6678481012658</c:v>
                </c:pt>
                <c:pt idx="125">
                  <c:v>173.68791139240506</c:v>
                </c:pt>
                <c:pt idx="126">
                  <c:v>174.70797468354431</c:v>
                </c:pt>
                <c:pt idx="127">
                  <c:v>175.72803797468356</c:v>
                </c:pt>
                <c:pt idx="128">
                  <c:v>176.74810126582278</c:v>
                </c:pt>
                <c:pt idx="129">
                  <c:v>177.76816455696201</c:v>
                </c:pt>
                <c:pt idx="130">
                  <c:v>178.78822784810126</c:v>
                </c:pt>
                <c:pt idx="131">
                  <c:v>179.80829113924048</c:v>
                </c:pt>
                <c:pt idx="132">
                  <c:v>180.82835443037973</c:v>
                </c:pt>
                <c:pt idx="133">
                  <c:v>181.84841772151898</c:v>
                </c:pt>
                <c:pt idx="134">
                  <c:v>182.86848101265824</c:v>
                </c:pt>
                <c:pt idx="135">
                  <c:v>183.88854430379746</c:v>
                </c:pt>
                <c:pt idx="136">
                  <c:v>184.90860759493671</c:v>
                </c:pt>
                <c:pt idx="137">
                  <c:v>185.92867088607593</c:v>
                </c:pt>
                <c:pt idx="138">
                  <c:v>186.94873417721519</c:v>
                </c:pt>
                <c:pt idx="139">
                  <c:v>187.96879746835441</c:v>
                </c:pt>
                <c:pt idx="140">
                  <c:v>188.98886075949366</c:v>
                </c:pt>
                <c:pt idx="141">
                  <c:v>190.00892405063291</c:v>
                </c:pt>
                <c:pt idx="142">
                  <c:v>191.02898734177217</c:v>
                </c:pt>
                <c:pt idx="143">
                  <c:v>192.04905063291139</c:v>
                </c:pt>
                <c:pt idx="144">
                  <c:v>193.06911392405064</c:v>
                </c:pt>
                <c:pt idx="145">
                  <c:v>194.08917721518986</c:v>
                </c:pt>
                <c:pt idx="146">
                  <c:v>195.10924050632912</c:v>
                </c:pt>
                <c:pt idx="147">
                  <c:v>196.12930379746834</c:v>
                </c:pt>
                <c:pt idx="148">
                  <c:v>197.14936708860759</c:v>
                </c:pt>
                <c:pt idx="149">
                  <c:v>198.16943037974684</c:v>
                </c:pt>
                <c:pt idx="150">
                  <c:v>199.18949367088607</c:v>
                </c:pt>
                <c:pt idx="151">
                  <c:v>200.20955696202532</c:v>
                </c:pt>
                <c:pt idx="152">
                  <c:v>201.22962025316454</c:v>
                </c:pt>
                <c:pt idx="153">
                  <c:v>202.24968354430379</c:v>
                </c:pt>
                <c:pt idx="154">
                  <c:v>203.26974683544302</c:v>
                </c:pt>
                <c:pt idx="155">
                  <c:v>204.28981012658227</c:v>
                </c:pt>
                <c:pt idx="156">
                  <c:v>205.30987341772152</c:v>
                </c:pt>
                <c:pt idx="157">
                  <c:v>206.32993670886077</c:v>
                </c:pt>
                <c:pt idx="158">
                  <c:v>207.35</c:v>
                </c:pt>
                <c:pt idx="159">
                  <c:v>208.37006329113925</c:v>
                </c:pt>
              </c:numCache>
            </c:numRef>
          </c:val>
          <c:smooth val="0"/>
          <c:extLst>
            <c:ext xmlns:c16="http://schemas.microsoft.com/office/drawing/2014/chart" uri="{C3380CC4-5D6E-409C-BE32-E72D297353CC}">
              <c16:uniqueId val="{00000001-B9FF-5C4E-97F7-43233BA6717A}"/>
            </c:ext>
          </c:extLst>
        </c:ser>
        <c:dLbls>
          <c:showLegendKey val="0"/>
          <c:showVal val="0"/>
          <c:showCatName val="0"/>
          <c:showSerName val="0"/>
          <c:showPercent val="0"/>
          <c:showBubbleSize val="0"/>
        </c:dLbls>
        <c:hiLowLines>
          <c:spPr>
            <a:ln w="0">
              <a:noFill/>
            </a:ln>
          </c:spPr>
        </c:hiLowLines>
        <c:marker val="1"/>
        <c:smooth val="0"/>
        <c:axId val="49608531"/>
        <c:axId val="3442834"/>
      </c:lineChart>
      <c:dateAx>
        <c:axId val="11865675"/>
        <c:scaling>
          <c:orientation val="minMax"/>
        </c:scaling>
        <c:delete val="1"/>
        <c:axPos val="b"/>
        <c:numFmt formatCode="mm/dd/yyyy" sourceLinked="1"/>
        <c:majorTickMark val="none"/>
        <c:minorTickMark val="none"/>
        <c:tickLblPos val="nextTo"/>
        <c:crossAx val="47061416"/>
        <c:crosses val="autoZero"/>
        <c:auto val="1"/>
        <c:lblOffset val="100"/>
        <c:baseTimeUnit val="days"/>
      </c:dateAx>
      <c:valAx>
        <c:axId val="470614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1865675"/>
        <c:crosses val="autoZero"/>
        <c:crossBetween val="between"/>
      </c:valAx>
      <c:dateAx>
        <c:axId val="49608531"/>
        <c:scaling>
          <c:orientation val="minMax"/>
        </c:scaling>
        <c:delete val="1"/>
        <c:axPos val="b"/>
        <c:numFmt formatCode="mm/dd/yyyy" sourceLinked="1"/>
        <c:majorTickMark val="none"/>
        <c:minorTickMark val="none"/>
        <c:tickLblPos val="nextTo"/>
        <c:crossAx val="3442834"/>
        <c:crosses val="autoZero"/>
        <c:auto val="1"/>
        <c:lblOffset val="100"/>
        <c:baseTimeUnit val="days"/>
      </c:dateAx>
      <c:valAx>
        <c:axId val="344283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9608531"/>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layout/>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(Calc)'!$D$3:$D$500</c:f>
              <c:numCache>
                <c:formatCode>0.0%</c:formatCode>
                <c:ptCount val="498"/>
                <c:pt idx="0">
                  <c:v>-1.6013470558924991E-2</c:v>
                </c:pt>
                <c:pt idx="1">
                  <c:v>2.6541409837783636E-3</c:v>
                </c:pt>
                <c:pt idx="2">
                  <c:v>1.4768116194423753E-2</c:v>
                </c:pt>
                <c:pt idx="3">
                  <c:v>4.0158574885442722E-3</c:v>
                </c:pt>
                <c:pt idx="4">
                  <c:v>-3.2767550382031607E-2</c:v>
                </c:pt>
                <c:pt idx="5">
                  <c:v>1.7071360407167724E-2</c:v>
                </c:pt>
                <c:pt idx="6">
                  <c:v>9.1604114539894477E-2</c:v>
                </c:pt>
                <c:pt idx="7">
                  <c:v>2.9383675028651579E-2</c:v>
                </c:pt>
                <c:pt idx="8">
                  <c:v>3.7513530230400383E-2</c:v>
                </c:pt>
                <c:pt idx="9">
                  <c:v>7.4222010253963688E-3</c:v>
                </c:pt>
                <c:pt idx="10">
                  <c:v>1.4794212504067872E-3</c:v>
                </c:pt>
                <c:pt idx="11">
                  <c:v>6.1009838390404525E-3</c:v>
                </c:pt>
                <c:pt idx="12">
                  <c:v>8.1181082708091656E-2</c:v>
                </c:pt>
                <c:pt idx="13">
                  <c:v>-5.7037318702801709E-4</c:v>
                </c:pt>
                <c:pt idx="14">
                  <c:v>5.8292795608336778E-3</c:v>
                </c:pt>
                <c:pt idx="15">
                  <c:v>-7.0788808883725296E-2</c:v>
                </c:pt>
                <c:pt idx="16">
                  <c:v>1.4044167890321591E-2</c:v>
                </c:pt>
                <c:pt idx="17">
                  <c:v>6.2552868141478646E-2</c:v>
                </c:pt>
                <c:pt idx="18">
                  <c:v>0.14503724093264259</c:v>
                </c:pt>
                <c:pt idx="19">
                  <c:v>2.6407890550429469E-2</c:v>
                </c:pt>
                <c:pt idx="20">
                  <c:v>6.8046657941264188E-2</c:v>
                </c:pt>
                <c:pt idx="21">
                  <c:v>-2.1756656526459528E-2</c:v>
                </c:pt>
                <c:pt idx="22">
                  <c:v>4.6371078512170705E-3</c:v>
                </c:pt>
                <c:pt idx="23">
                  <c:v>6.1808874840036276E-2</c:v>
                </c:pt>
                <c:pt idx="24">
                  <c:v>3.4302313603493673E-3</c:v>
                </c:pt>
                <c:pt idx="25">
                  <c:v>-5.4429171243494001E-2</c:v>
                </c:pt>
                <c:pt idx="26">
                  <c:v>4.2275999088037031E-2</c:v>
                </c:pt>
                <c:pt idx="27">
                  <c:v>-9.6871972750851576E-3</c:v>
                </c:pt>
                <c:pt idx="28">
                  <c:v>9.36122768819736E-3</c:v>
                </c:pt>
                <c:pt idx="29">
                  <c:v>-1.8079884955660042E-2</c:v>
                </c:pt>
                <c:pt idx="30">
                  <c:v>-0.10635904402088558</c:v>
                </c:pt>
                <c:pt idx="31">
                  <c:v>7.1360710638196823E-2</c:v>
                </c:pt>
                <c:pt idx="32">
                  <c:v>-1.8866042232444702E-2</c:v>
                </c:pt>
                <c:pt idx="33">
                  <c:v>3.1780642391513014E-2</c:v>
                </c:pt>
                <c:pt idx="34">
                  <c:v>-5.715787398988259E-3</c:v>
                </c:pt>
                <c:pt idx="35">
                  <c:v>3.3787057838861712E-2</c:v>
                </c:pt>
                <c:pt idx="36">
                  <c:v>4.314385546275723E-3</c:v>
                </c:pt>
                <c:pt idx="37">
                  <c:v>7.0886854694146129E-2</c:v>
                </c:pt>
                <c:pt idx="38">
                  <c:v>-5.0515055467514891E-4</c:v>
                </c:pt>
                <c:pt idx="39">
                  <c:v>8.463070687451113E-3</c:v>
                </c:pt>
                <c:pt idx="40">
                  <c:v>-1.3384039385631374E-2</c:v>
                </c:pt>
                <c:pt idx="41">
                  <c:v>5.0597105606517756E-2</c:v>
                </c:pt>
                <c:pt idx="42">
                  <c:v>1.0039722793678596E-2</c:v>
                </c:pt>
                <c:pt idx="43">
                  <c:v>-0.17497653463487894</c:v>
                </c:pt>
                <c:pt idx="44">
                  <c:v>-7.7931238480967169E-3</c:v>
                </c:pt>
                <c:pt idx="45">
                  <c:v>-8.7280565970669466E-2</c:v>
                </c:pt>
                <c:pt idx="46">
                  <c:v>6.3252974208866775E-2</c:v>
                </c:pt>
                <c:pt idx="47">
                  <c:v>6.75362729807647E-2</c:v>
                </c:pt>
                <c:pt idx="48">
                  <c:v>-1.241809810518868E-2</c:v>
                </c:pt>
                <c:pt idx="49">
                  <c:v>-3.7319287235233478E-3</c:v>
                </c:pt>
                <c:pt idx="50">
                  <c:v>-0.16714849769958495</c:v>
                </c:pt>
                <c:pt idx="51">
                  <c:v>8.4443123801291264E-2</c:v>
                </c:pt>
                <c:pt idx="52">
                  <c:v>-2.5818906464067815E-2</c:v>
                </c:pt>
                <c:pt idx="53">
                  <c:v>5.8171497244844383E-2</c:v>
                </c:pt>
                <c:pt idx="54">
                  <c:v>-1.0148972416542779E-2</c:v>
                </c:pt>
                <c:pt idx="55">
                  <c:v>9.2277271229266322E-3</c:v>
                </c:pt>
                <c:pt idx="56">
                  <c:v>-0.13967804748255386</c:v>
                </c:pt>
                <c:pt idx="57">
                  <c:v>-1.5983917676497872E-2</c:v>
                </c:pt>
                <c:pt idx="58">
                  <c:v>-4.9744989070960255E-2</c:v>
                </c:pt>
                <c:pt idx="59">
                  <c:v>-7.8027512591144488E-3</c:v>
                </c:pt>
                <c:pt idx="60">
                  <c:v>-1.6182798957512623E-2</c:v>
                </c:pt>
                <c:pt idx="61">
                  <c:v>2.1623952686052439E-2</c:v>
                </c:pt>
                <c:pt idx="62">
                  <c:v>2.0412470602424015E-2</c:v>
                </c:pt>
                <c:pt idx="63">
                  <c:v>3.2576899211062882E-2</c:v>
                </c:pt>
                <c:pt idx="64">
                  <c:v>1.354967020074116E-2</c:v>
                </c:pt>
                <c:pt idx="65">
                  <c:v>-1.7956464044721843E-2</c:v>
                </c:pt>
                <c:pt idx="66">
                  <c:v>1.12123738607941E-2</c:v>
                </c:pt>
                <c:pt idx="67">
                  <c:v>1.0803741506268949E-3</c:v>
                </c:pt>
                <c:pt idx="68">
                  <c:v>3.4506262247593122E-2</c:v>
                </c:pt>
                <c:pt idx="69">
                  <c:v>2.343106572228626E-2</c:v>
                </c:pt>
                <c:pt idx="70">
                  <c:v>-3.1840555801445847E-2</c:v>
                </c:pt>
                <c:pt idx="71">
                  <c:v>9.6418923599084216E-3</c:v>
                </c:pt>
                <c:pt idx="72">
                  <c:v>-1.5696820844938952E-2</c:v>
                </c:pt>
                <c:pt idx="73">
                  <c:v>3.4947098428983692E-2</c:v>
                </c:pt>
                <c:pt idx="74">
                  <c:v>-1.9072248262485991E-2</c:v>
                </c:pt>
                <c:pt idx="75">
                  <c:v>-3.8158400615147969E-2</c:v>
                </c:pt>
                <c:pt idx="76">
                  <c:v>3.2634298847949328E-2</c:v>
                </c:pt>
                <c:pt idx="77">
                  <c:v>-2.4884219257620743E-2</c:v>
                </c:pt>
                <c:pt idx="78">
                  <c:v>3.1048415680157149E-3</c:v>
                </c:pt>
                <c:pt idx="79">
                  <c:v>-5.8130989060689142E-2</c:v>
                </c:pt>
                <c:pt idx="80">
                  <c:v>-0.10233940066925762</c:v>
                </c:pt>
                <c:pt idx="81">
                  <c:v>0.10447836044198522</c:v>
                </c:pt>
                <c:pt idx="82">
                  <c:v>-4.2847845499538462E-2</c:v>
                </c:pt>
                <c:pt idx="83">
                  <c:v>5.7969639468690604E-2</c:v>
                </c:pt>
                <c:pt idx="84">
                  <c:v>2.2449406630197677E-2</c:v>
                </c:pt>
                <c:pt idx="85">
                  <c:v>2.2994386621447704E-2</c:v>
                </c:pt>
                <c:pt idx="86">
                  <c:v>5.9316100084308765E-2</c:v>
                </c:pt>
                <c:pt idx="87">
                  <c:v>-2.0854691631144506E-2</c:v>
                </c:pt>
                <c:pt idx="88">
                  <c:v>5.8413468161904181E-3</c:v>
                </c:pt>
                <c:pt idx="89">
                  <c:v>2.205177372962619E-2</c:v>
                </c:pt>
                <c:pt idx="90">
                  <c:v>1.060037523452162E-2</c:v>
                </c:pt>
                <c:pt idx="91">
                  <c:v>-5.8744745461538628E-3</c:v>
                </c:pt>
                <c:pt idx="92">
                  <c:v>5.2102230284921669E-2</c:v>
                </c:pt>
                <c:pt idx="93">
                  <c:v>-1.8256966807820296E-3</c:v>
                </c:pt>
                <c:pt idx="94">
                  <c:v>9.3611075828781143E-3</c:v>
                </c:pt>
                <c:pt idx="95">
                  <c:v>-8.3984547044685276E-2</c:v>
                </c:pt>
                <c:pt idx="96">
                  <c:v>-3.1761295728984895E-2</c:v>
                </c:pt>
                <c:pt idx="97">
                  <c:v>-2.766703083100408E-2</c:v>
                </c:pt>
                <c:pt idx="98">
                  <c:v>4.7102771008740607E-2</c:v>
                </c:pt>
                <c:pt idx="99">
                  <c:v>2.746693794506605E-2</c:v>
                </c:pt>
                <c:pt idx="100">
                  <c:v>1.7157195171572104E-2</c:v>
                </c:pt>
                <c:pt idx="101">
                  <c:v>-1.6254416961130835E-2</c:v>
                </c:pt>
                <c:pt idx="102">
                  <c:v>5.2618737800910864E-2</c:v>
                </c:pt>
                <c:pt idx="103">
                  <c:v>4.1154806974168734E-2</c:v>
                </c:pt>
                <c:pt idx="104">
                  <c:v>0.14533603779652204</c:v>
                </c:pt>
                <c:pt idx="105">
                  <c:v>2.0776415960261252E-2</c:v>
                </c:pt>
                <c:pt idx="106">
                  <c:v>8.482053126553768E-2</c:v>
                </c:pt>
                <c:pt idx="107">
                  <c:v>-9.304026446409952E-2</c:v>
                </c:pt>
                <c:pt idx="108">
                  <c:v>9.9423693095069154E-2</c:v>
                </c:pt>
                <c:pt idx="109">
                  <c:v>3.72605204737253E-3</c:v>
                </c:pt>
                <c:pt idx="110">
                  <c:v>2.711577060233461E-2</c:v>
                </c:pt>
                <c:pt idx="111">
                  <c:v>-3.9908174203401758E-2</c:v>
                </c:pt>
                <c:pt idx="112">
                  <c:v>-9.8112834700129214E-3</c:v>
                </c:pt>
                <c:pt idx="113">
                  <c:v>-4.013291158186727E-2</c:v>
                </c:pt>
                <c:pt idx="114">
                  <c:v>9.6657830448568127E-2</c:v>
                </c:pt>
                <c:pt idx="115">
                  <c:v>3.7234698036836544E-2</c:v>
                </c:pt>
                <c:pt idx="116">
                  <c:v>-1.6934592080130817E-2</c:v>
                </c:pt>
                <c:pt idx="117">
                  <c:v>-2.2971515692399302E-2</c:v>
                </c:pt>
                <c:pt idx="118">
                  <c:v>1.5842507397927585E-2</c:v>
                </c:pt>
                <c:pt idx="119">
                  <c:v>8.4861654895936889E-2</c:v>
                </c:pt>
                <c:pt idx="120">
                  <c:v>9.4602061784462288E-2</c:v>
                </c:pt>
                <c:pt idx="121">
                  <c:v>6.647788671625432E-2</c:v>
                </c:pt>
                <c:pt idx="122">
                  <c:v>2.2432270518538466E-2</c:v>
                </c:pt>
                <c:pt idx="123">
                  <c:v>2.4450231481481399E-2</c:v>
                </c:pt>
                <c:pt idx="124">
                  <c:v>-7.0258438073719232E-3</c:v>
                </c:pt>
                <c:pt idx="125">
                  <c:v>-3.2142222222222294E-3</c:v>
                </c:pt>
                <c:pt idx="126">
                  <c:v>4.4773244490736497E-2</c:v>
                </c:pt>
                <c:pt idx="127">
                  <c:v>-1.2946486490177489E-2</c:v>
                </c:pt>
                <c:pt idx="128">
                  <c:v>-0.10875595802231708</c:v>
                </c:pt>
                <c:pt idx="129">
                  <c:v>4.0905986090412405E-2</c:v>
                </c:pt>
                <c:pt idx="130">
                  <c:v>-2.1133167290569799E-2</c:v>
                </c:pt>
                <c:pt idx="131">
                  <c:v>-1.1221318219215681E-2</c:v>
                </c:pt>
                <c:pt idx="132">
                  <c:v>1.1333256288763138E-2</c:v>
                </c:pt>
                <c:pt idx="133">
                  <c:v>0.12226319077293435</c:v>
                </c:pt>
                <c:pt idx="134">
                  <c:v>-1.2497030173437951E-2</c:v>
                </c:pt>
                <c:pt idx="135">
                  <c:v>-1.4435569242613466E-3</c:v>
                </c:pt>
                <c:pt idx="136">
                  <c:v>-1.8903513602819721E-2</c:v>
                </c:pt>
                <c:pt idx="137">
                  <c:v>0.11562048302670536</c:v>
                </c:pt>
                <c:pt idx="138">
                  <c:v>-5.6661802812649431E-2</c:v>
                </c:pt>
                <c:pt idx="139">
                  <c:v>8.7287564922293281E-2</c:v>
                </c:pt>
                <c:pt idx="140">
                  <c:v>-1.2331446722140704E-2</c:v>
                </c:pt>
                <c:pt idx="141">
                  <c:v>1.7967566493654719E-2</c:v>
                </c:pt>
                <c:pt idx="142">
                  <c:v>0.13510447542723325</c:v>
                </c:pt>
                <c:pt idx="143">
                  <c:v>3.5489001364754857E-2</c:v>
                </c:pt>
                <c:pt idx="144">
                  <c:v>-6.9993098760371408E-2</c:v>
                </c:pt>
                <c:pt idx="145">
                  <c:v>-1.409920214249849E-2</c:v>
                </c:pt>
                <c:pt idx="146">
                  <c:v>1.5828820110580955E-2</c:v>
                </c:pt>
                <c:pt idx="147">
                  <c:v>-2.7676880222841316E-2</c:v>
                </c:pt>
                <c:pt idx="148">
                  <c:v>5.4431279077762351E-3</c:v>
                </c:pt>
                <c:pt idx="149">
                  <c:v>-7.1699661503743961E-2</c:v>
                </c:pt>
                <c:pt idx="150">
                  <c:v>6.8747697974217425E-2</c:v>
                </c:pt>
                <c:pt idx="151">
                  <c:v>5.9213436033521027E-2</c:v>
                </c:pt>
                <c:pt idx="152">
                  <c:v>-4.3555594117391849E-2</c:v>
                </c:pt>
                <c:pt idx="153">
                  <c:v>-3.8327210051254057E-2</c:v>
                </c:pt>
                <c:pt idx="154">
                  <c:v>1.1036694651447965E-2</c:v>
                </c:pt>
                <c:pt idx="155">
                  <c:v>-9.6683149841388927E-3</c:v>
                </c:pt>
                <c:pt idx="156">
                  <c:v>-1.0822587293175423E-2</c:v>
                </c:pt>
                <c:pt idx="157">
                  <c:v>3.810895756940802E-2</c:v>
                </c:pt>
                <c:pt idx="158">
                  <c:v>7.0742112687363079E-2</c:v>
                </c:pt>
                <c:pt idx="159">
                  <c:v>0</c:v>
                </c:pt>
              </c:numCache>
            </c:numRef>
          </c:val>
          <c:extLst>
            <c:ext xmlns:c16="http://schemas.microsoft.com/office/drawing/2014/chart" uri="{C3380CC4-5D6E-409C-BE32-E72D297353CC}">
              <c16:uniqueId val="{00000000-881E-4742-860E-B71C07972261}"/>
            </c:ext>
          </c:extLst>
        </c:ser>
        <c:dLbls>
          <c:showLegendKey val="0"/>
          <c:showVal val="0"/>
          <c:showCatName val="0"/>
          <c:showSerName val="0"/>
          <c:showPercent val="0"/>
          <c:showBubbleSize val="0"/>
        </c:dLbls>
        <c:gapWidth val="150"/>
        <c:axId val="78559535"/>
        <c:axId val="89028871"/>
      </c:barChart>
      <c:lineChart>
        <c:grouping val="standard"/>
        <c:varyColors val="0"/>
        <c:ser>
          <c:idx val="1"/>
          <c:order val="1"/>
          <c:tx>
            <c:strRef>
              <c:f>'Returns (Calc)'!$Y$2</c:f>
              <c:strCache>
                <c:ptCount val="1"/>
                <c:pt idx="0">
                  <c:v>ASML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(Calc)'!$Y$3:$Y$500</c:f>
              <c:numCache>
                <c:formatCode>#,##0.00</c:formatCode>
                <c:ptCount val="498"/>
                <c:pt idx="0">
                  <c:v>582.01</c:v>
                </c:pt>
                <c:pt idx="1">
                  <c:v>590.14481012658223</c:v>
                </c:pt>
                <c:pt idx="2">
                  <c:v>598.27962025316458</c:v>
                </c:pt>
                <c:pt idx="3">
                  <c:v>606.41443037974682</c:v>
                </c:pt>
                <c:pt idx="4">
                  <c:v>614.54924050632906</c:v>
                </c:pt>
                <c:pt idx="5">
                  <c:v>622.68405063291141</c:v>
                </c:pt>
                <c:pt idx="6">
                  <c:v>630.81886075949365</c:v>
                </c:pt>
                <c:pt idx="7">
                  <c:v>638.953670886076</c:v>
                </c:pt>
                <c:pt idx="8">
                  <c:v>647.08848101265824</c:v>
                </c:pt>
                <c:pt idx="9">
                  <c:v>655.22329113924047</c:v>
                </c:pt>
                <c:pt idx="10">
                  <c:v>663.35810126582282</c:v>
                </c:pt>
                <c:pt idx="11">
                  <c:v>671.49291139240506</c:v>
                </c:pt>
                <c:pt idx="12">
                  <c:v>679.6277215189873</c:v>
                </c:pt>
                <c:pt idx="13">
                  <c:v>687.76253164556965</c:v>
                </c:pt>
                <c:pt idx="14">
                  <c:v>695.89734177215189</c:v>
                </c:pt>
                <c:pt idx="15">
                  <c:v>704.03215189873413</c:v>
                </c:pt>
                <c:pt idx="16">
                  <c:v>712.16696202531648</c:v>
                </c:pt>
                <c:pt idx="17">
                  <c:v>720.30177215189872</c:v>
                </c:pt>
                <c:pt idx="18">
                  <c:v>728.43658227848096</c:v>
                </c:pt>
                <c:pt idx="19">
                  <c:v>736.57139240506331</c:v>
                </c:pt>
                <c:pt idx="20">
                  <c:v>744.70620253164554</c:v>
                </c:pt>
                <c:pt idx="21">
                  <c:v>752.84101265822778</c:v>
                </c:pt>
                <c:pt idx="22">
                  <c:v>760.97582278481013</c:v>
                </c:pt>
                <c:pt idx="23">
                  <c:v>769.11063291139237</c:v>
                </c:pt>
                <c:pt idx="24">
                  <c:v>777.24544303797461</c:v>
                </c:pt>
                <c:pt idx="25">
                  <c:v>785.38025316455696</c:v>
                </c:pt>
                <c:pt idx="26">
                  <c:v>793.5150632911392</c:v>
                </c:pt>
                <c:pt idx="27">
                  <c:v>801.64987341772144</c:v>
                </c:pt>
                <c:pt idx="28">
                  <c:v>809.78468354430379</c:v>
                </c:pt>
                <c:pt idx="29">
                  <c:v>817.91949367088603</c:v>
                </c:pt>
                <c:pt idx="30">
                  <c:v>826.05430379746838</c:v>
                </c:pt>
                <c:pt idx="31">
                  <c:v>834.18911392405062</c:v>
                </c:pt>
                <c:pt idx="32">
                  <c:v>842.32392405063297</c:v>
                </c:pt>
                <c:pt idx="33">
                  <c:v>850.45873417721521</c:v>
                </c:pt>
                <c:pt idx="34">
                  <c:v>858.59354430379744</c:v>
                </c:pt>
                <c:pt idx="35">
                  <c:v>866.7283544303798</c:v>
                </c:pt>
                <c:pt idx="36">
                  <c:v>874.86316455696192</c:v>
                </c:pt>
                <c:pt idx="37">
                  <c:v>882.99797468354427</c:v>
                </c:pt>
                <c:pt idx="38">
                  <c:v>891.13278481012662</c:v>
                </c:pt>
                <c:pt idx="39">
                  <c:v>899.26759493670886</c:v>
                </c:pt>
                <c:pt idx="40">
                  <c:v>907.4024050632911</c:v>
                </c:pt>
                <c:pt idx="41">
                  <c:v>915.53721518987345</c:v>
                </c:pt>
                <c:pt idx="42">
                  <c:v>923.67202531645569</c:v>
                </c:pt>
                <c:pt idx="43">
                  <c:v>931.80683544303793</c:v>
                </c:pt>
                <c:pt idx="44">
                  <c:v>939.94164556962028</c:v>
                </c:pt>
                <c:pt idx="45">
                  <c:v>948.07645569620252</c:v>
                </c:pt>
                <c:pt idx="46">
                  <c:v>956.21126582278475</c:v>
                </c:pt>
                <c:pt idx="47">
                  <c:v>964.3460759493671</c:v>
                </c:pt>
                <c:pt idx="48">
                  <c:v>972.48088607594934</c:v>
                </c:pt>
                <c:pt idx="49">
                  <c:v>980.61569620253158</c:v>
                </c:pt>
                <c:pt idx="50">
                  <c:v>988.75050632911393</c:v>
                </c:pt>
                <c:pt idx="51">
                  <c:v>996.88531645569628</c:v>
                </c:pt>
                <c:pt idx="52">
                  <c:v>1005.0201265822784</c:v>
                </c:pt>
                <c:pt idx="53">
                  <c:v>1013.1549367088608</c:v>
                </c:pt>
                <c:pt idx="54">
                  <c:v>1021.289746835443</c:v>
                </c:pt>
                <c:pt idx="55">
                  <c:v>1029.4245569620252</c:v>
                </c:pt>
                <c:pt idx="56">
                  <c:v>1037.5593670886076</c:v>
                </c:pt>
                <c:pt idx="57">
                  <c:v>1045.6941772151899</c:v>
                </c:pt>
                <c:pt idx="58">
                  <c:v>1053.8289873417721</c:v>
                </c:pt>
                <c:pt idx="59">
                  <c:v>1061.9637974683544</c:v>
                </c:pt>
                <c:pt idx="60">
                  <c:v>1070.0986075949368</c:v>
                </c:pt>
                <c:pt idx="61">
                  <c:v>1078.2334177215189</c:v>
                </c:pt>
                <c:pt idx="62">
                  <c:v>1086.3682278481012</c:v>
                </c:pt>
                <c:pt idx="63">
                  <c:v>1094.5030379746836</c:v>
                </c:pt>
                <c:pt idx="64">
                  <c:v>1102.6378481012657</c:v>
                </c:pt>
                <c:pt idx="65">
                  <c:v>1110.7726582278481</c:v>
                </c:pt>
                <c:pt idx="66">
                  <c:v>1118.9074683544304</c:v>
                </c:pt>
                <c:pt idx="67">
                  <c:v>1127.0422784810125</c:v>
                </c:pt>
                <c:pt idx="68">
                  <c:v>1135.1770886075949</c:v>
                </c:pt>
                <c:pt idx="69">
                  <c:v>1143.3118987341772</c:v>
                </c:pt>
                <c:pt idx="70">
                  <c:v>1151.4467088607594</c:v>
                </c:pt>
                <c:pt idx="71">
                  <c:v>1159.581518987342</c:v>
                </c:pt>
                <c:pt idx="72">
                  <c:v>1167.7163291139241</c:v>
                </c:pt>
                <c:pt idx="73">
                  <c:v>1175.8511392405062</c:v>
                </c:pt>
                <c:pt idx="74">
                  <c:v>1183.9859493670886</c:v>
                </c:pt>
                <c:pt idx="75">
                  <c:v>1192.1207594936709</c:v>
                </c:pt>
                <c:pt idx="76">
                  <c:v>1200.255569620253</c:v>
                </c:pt>
                <c:pt idx="77">
                  <c:v>1208.3903797468354</c:v>
                </c:pt>
                <c:pt idx="78">
                  <c:v>1216.5251898734177</c:v>
                </c:pt>
                <c:pt idx="79">
                  <c:v>1224.6599999999999</c:v>
                </c:pt>
                <c:pt idx="80">
                  <c:v>1232.7948101265824</c:v>
                </c:pt>
                <c:pt idx="81">
                  <c:v>1240.9296202531646</c:v>
                </c:pt>
                <c:pt idx="82">
                  <c:v>1249.0644303797467</c:v>
                </c:pt>
                <c:pt idx="83">
                  <c:v>1257.199240506329</c:v>
                </c:pt>
                <c:pt idx="84">
                  <c:v>1265.3340506329114</c:v>
                </c:pt>
                <c:pt idx="85">
                  <c:v>1273.4688607594935</c:v>
                </c:pt>
                <c:pt idx="86">
                  <c:v>1281.6036708860761</c:v>
                </c:pt>
                <c:pt idx="87">
                  <c:v>1289.7384810126582</c:v>
                </c:pt>
                <c:pt idx="88">
                  <c:v>1297.8732911392403</c:v>
                </c:pt>
                <c:pt idx="89">
                  <c:v>1306.0081012658229</c:v>
                </c:pt>
                <c:pt idx="90">
                  <c:v>1314.142911392405</c:v>
                </c:pt>
                <c:pt idx="91">
                  <c:v>1322.2777215189874</c:v>
                </c:pt>
                <c:pt idx="92">
                  <c:v>1330.4125316455695</c:v>
                </c:pt>
                <c:pt idx="93">
                  <c:v>1338.5473417721519</c:v>
                </c:pt>
                <c:pt idx="94">
                  <c:v>1346.682151898734</c:v>
                </c:pt>
                <c:pt idx="95">
                  <c:v>1354.8169620253166</c:v>
                </c:pt>
                <c:pt idx="96">
                  <c:v>1362.9517721518987</c:v>
                </c:pt>
                <c:pt idx="97">
                  <c:v>1371.0865822784808</c:v>
                </c:pt>
                <c:pt idx="98">
                  <c:v>1379.2213924050634</c:v>
                </c:pt>
                <c:pt idx="99">
                  <c:v>1387.3562025316455</c:v>
                </c:pt>
                <c:pt idx="100">
                  <c:v>1395.4910126582279</c:v>
                </c:pt>
                <c:pt idx="101">
                  <c:v>1403.62582278481</c:v>
                </c:pt>
                <c:pt idx="102">
                  <c:v>1411.7606329113923</c:v>
                </c:pt>
                <c:pt idx="103">
                  <c:v>1419.8954430379745</c:v>
                </c:pt>
                <c:pt idx="104">
                  <c:v>1428.0302531645568</c:v>
                </c:pt>
                <c:pt idx="105">
                  <c:v>1436.1650632911392</c:v>
                </c:pt>
                <c:pt idx="106">
                  <c:v>1444.2998734177213</c:v>
                </c:pt>
                <c:pt idx="107">
                  <c:v>1452.4346835443039</c:v>
                </c:pt>
                <c:pt idx="108">
                  <c:v>1460.569493670886</c:v>
                </c:pt>
                <c:pt idx="109">
                  <c:v>1468.7043037974681</c:v>
                </c:pt>
                <c:pt idx="110">
                  <c:v>1476.8391139240507</c:v>
                </c:pt>
                <c:pt idx="111">
                  <c:v>1484.9739240506328</c:v>
                </c:pt>
                <c:pt idx="112">
                  <c:v>1493.1087341772152</c:v>
                </c:pt>
                <c:pt idx="113">
                  <c:v>1501.2435443037975</c:v>
                </c:pt>
                <c:pt idx="114">
                  <c:v>1509.3783544303797</c:v>
                </c:pt>
                <c:pt idx="115">
                  <c:v>1517.513164556962</c:v>
                </c:pt>
                <c:pt idx="116">
                  <c:v>1525.6479746835444</c:v>
                </c:pt>
                <c:pt idx="117">
                  <c:v>1533.7827848101265</c:v>
                </c:pt>
                <c:pt idx="118">
                  <c:v>1541.9175949367088</c:v>
                </c:pt>
                <c:pt idx="119">
                  <c:v>1550.0524050632912</c:v>
                </c:pt>
                <c:pt idx="120">
                  <c:v>1558.1872151898733</c:v>
                </c:pt>
                <c:pt idx="121">
                  <c:v>1566.3220253164557</c:v>
                </c:pt>
                <c:pt idx="122">
                  <c:v>1574.456835443038</c:v>
                </c:pt>
                <c:pt idx="123">
                  <c:v>1582.5916455696201</c:v>
                </c:pt>
                <c:pt idx="124">
                  <c:v>1590.7264556962023</c:v>
                </c:pt>
                <c:pt idx="125">
                  <c:v>1598.8612658227848</c:v>
                </c:pt>
                <c:pt idx="126">
                  <c:v>1606.996075949367</c:v>
                </c:pt>
                <c:pt idx="127">
                  <c:v>1615.1308860759493</c:v>
                </c:pt>
                <c:pt idx="128">
                  <c:v>1623.2656962025317</c:v>
                </c:pt>
                <c:pt idx="129">
                  <c:v>1631.4005063291138</c:v>
                </c:pt>
                <c:pt idx="130">
                  <c:v>1639.5353164556961</c:v>
                </c:pt>
                <c:pt idx="131">
                  <c:v>1647.6701265822785</c:v>
                </c:pt>
                <c:pt idx="132">
                  <c:v>1655.8049367088609</c:v>
                </c:pt>
                <c:pt idx="133">
                  <c:v>1663.939746835443</c:v>
                </c:pt>
                <c:pt idx="134">
                  <c:v>1672.0745569620251</c:v>
                </c:pt>
                <c:pt idx="135">
                  <c:v>1680.2093670886077</c:v>
                </c:pt>
                <c:pt idx="136">
                  <c:v>1688.3441772151898</c:v>
                </c:pt>
                <c:pt idx="137">
                  <c:v>1696.4789873417722</c:v>
                </c:pt>
                <c:pt idx="138">
                  <c:v>1704.6137974683543</c:v>
                </c:pt>
                <c:pt idx="139">
                  <c:v>1712.7486075949366</c:v>
                </c:pt>
                <c:pt idx="140">
                  <c:v>1720.883417721519</c:v>
                </c:pt>
                <c:pt idx="141">
                  <c:v>1729.0182278481011</c:v>
                </c:pt>
                <c:pt idx="142">
                  <c:v>1737.1530379746837</c:v>
                </c:pt>
                <c:pt idx="143">
                  <c:v>1745.2878481012658</c:v>
                </c:pt>
                <c:pt idx="144">
                  <c:v>1753.4226582278479</c:v>
                </c:pt>
                <c:pt idx="145">
                  <c:v>1761.5574683544303</c:v>
                </c:pt>
                <c:pt idx="146">
                  <c:v>1769.6922784810126</c:v>
                </c:pt>
                <c:pt idx="147">
                  <c:v>1777.827088607595</c:v>
                </c:pt>
                <c:pt idx="148">
                  <c:v>1785.9618987341771</c:v>
                </c:pt>
                <c:pt idx="149">
                  <c:v>1794.0967088607595</c:v>
                </c:pt>
                <c:pt idx="150">
                  <c:v>1802.2315189873418</c:v>
                </c:pt>
                <c:pt idx="151">
                  <c:v>1810.3663291139239</c:v>
                </c:pt>
                <c:pt idx="152">
                  <c:v>1818.5011392405063</c:v>
                </c:pt>
                <c:pt idx="153">
                  <c:v>1826.6359493670886</c:v>
                </c:pt>
                <c:pt idx="154">
                  <c:v>1834.7707594936708</c:v>
                </c:pt>
                <c:pt idx="155">
                  <c:v>1842.9055696202531</c:v>
                </c:pt>
                <c:pt idx="156">
                  <c:v>1851.0403797468355</c:v>
                </c:pt>
                <c:pt idx="157">
                  <c:v>1859.1751898734178</c:v>
                </c:pt>
                <c:pt idx="158">
                  <c:v>1867.31</c:v>
                </c:pt>
                <c:pt idx="159">
                  <c:v>1875.4448101265821</c:v>
                </c:pt>
              </c:numCache>
            </c:numRef>
          </c:val>
          <c:smooth val="0"/>
          <c:extLst>
            <c:ext xmlns:c16="http://schemas.microsoft.com/office/drawing/2014/chart" uri="{C3380CC4-5D6E-409C-BE32-E72D297353CC}">
              <c16:uniqueId val="{00000001-881E-4742-860E-B71C07972261}"/>
            </c:ext>
          </c:extLst>
        </c:ser>
        <c:dLbls>
          <c:showLegendKey val="0"/>
          <c:showVal val="0"/>
          <c:showCatName val="0"/>
          <c:showSerName val="0"/>
          <c:showPercent val="0"/>
          <c:showBubbleSize val="0"/>
        </c:dLbls>
        <c:hiLowLines>
          <c:spPr>
            <a:ln w="0">
              <a:noFill/>
            </a:ln>
          </c:spPr>
        </c:hiLowLines>
        <c:marker val="1"/>
        <c:smooth val="0"/>
        <c:axId val="37757585"/>
        <c:axId val="67768732"/>
      </c:lineChart>
      <c:dateAx>
        <c:axId val="78559535"/>
        <c:scaling>
          <c:orientation val="minMax"/>
        </c:scaling>
        <c:delete val="1"/>
        <c:axPos val="b"/>
        <c:numFmt formatCode="mm/dd/yyyy" sourceLinked="1"/>
        <c:majorTickMark val="none"/>
        <c:minorTickMark val="none"/>
        <c:tickLblPos val="nextTo"/>
        <c:crossAx val="89028871"/>
        <c:crosses val="autoZero"/>
        <c:auto val="1"/>
        <c:lblOffset val="100"/>
        <c:baseTimeUnit val="days"/>
      </c:dateAx>
      <c:valAx>
        <c:axId val="890288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8559535"/>
        <c:crosses val="autoZero"/>
        <c:crossBetween val="between"/>
      </c:valAx>
      <c:dateAx>
        <c:axId val="37757585"/>
        <c:scaling>
          <c:orientation val="minMax"/>
        </c:scaling>
        <c:delete val="1"/>
        <c:axPos val="b"/>
        <c:numFmt formatCode="mm/dd/yyyy" sourceLinked="1"/>
        <c:majorTickMark val="none"/>
        <c:minorTickMark val="none"/>
        <c:tickLblPos val="nextTo"/>
        <c:crossAx val="67768732"/>
        <c:crosses val="autoZero"/>
        <c:auto val="1"/>
        <c:lblOffset val="100"/>
        <c:baseTimeUnit val="days"/>
      </c:dateAx>
      <c:valAx>
        <c:axId val="677687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757585"/>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layout/>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(Calc)'!$E$3:$E$500</c:f>
              <c:numCache>
                <c:formatCode>0.0%</c:formatCode>
                <c:ptCount val="498"/>
                <c:pt idx="0">
                  <c:v>-2.1219512195121859E-2</c:v>
                </c:pt>
                <c:pt idx="1">
                  <c:v>1.8689259905306788E-3</c:v>
                </c:pt>
                <c:pt idx="2">
                  <c:v>1.7659495087675614E-2</c:v>
                </c:pt>
                <c:pt idx="3">
                  <c:v>4.4849077355493039E-2</c:v>
                </c:pt>
                <c:pt idx="4">
                  <c:v>-3.3450292397660841E-2</c:v>
                </c:pt>
                <c:pt idx="5">
                  <c:v>-1.7909002904162641E-2</c:v>
                </c:pt>
                <c:pt idx="6">
                  <c:v>5.2858551010350086E-2</c:v>
                </c:pt>
                <c:pt idx="7">
                  <c:v>8.4727911059098826E-2</c:v>
                </c:pt>
                <c:pt idx="8">
                  <c:v>2.1145754666091365E-2</c:v>
                </c:pt>
                <c:pt idx="9">
                  <c:v>1.1621764395139955E-3</c:v>
                </c:pt>
                <c:pt idx="10">
                  <c:v>-4.9915576192486322E-2</c:v>
                </c:pt>
                <c:pt idx="11">
                  <c:v>1.5328223925358264E-2</c:v>
                </c:pt>
                <c:pt idx="12">
                  <c:v>0.19647740947379955</c:v>
                </c:pt>
                <c:pt idx="13">
                  <c:v>-2.377251531498592E-3</c:v>
                </c:pt>
                <c:pt idx="14">
                  <c:v>-5.0407845293739539E-3</c:v>
                </c:pt>
                <c:pt idx="15">
                  <c:v>-6.0058953574060436E-2</c:v>
                </c:pt>
                <c:pt idx="16">
                  <c:v>5.5664445315562361E-2</c:v>
                </c:pt>
                <c:pt idx="17">
                  <c:v>9.3483104344597168E-2</c:v>
                </c:pt>
                <c:pt idx="18">
                  <c:v>-5.1787078699380151E-3</c:v>
                </c:pt>
                <c:pt idx="19">
                  <c:v>1.6129032258064502E-2</c:v>
                </c:pt>
                <c:pt idx="20">
                  <c:v>4.8290921306794354E-2</c:v>
                </c:pt>
                <c:pt idx="21">
                  <c:v>-2.9642685467072494E-2</c:v>
                </c:pt>
                <c:pt idx="22">
                  <c:v>4.0868560105680185E-2</c:v>
                </c:pt>
                <c:pt idx="23">
                  <c:v>7.9321012136114755E-2</c:v>
                </c:pt>
                <c:pt idx="24">
                  <c:v>-6.4672594987873921E-2</c:v>
                </c:pt>
                <c:pt idx="25">
                  <c:v>-5.5944055944055826E-2</c:v>
                </c:pt>
                <c:pt idx="26">
                  <c:v>0.10020807324178094</c:v>
                </c:pt>
                <c:pt idx="27">
                  <c:v>-2.0727740373704617E-2</c:v>
                </c:pt>
                <c:pt idx="28">
                  <c:v>1.0583236770953963E-2</c:v>
                </c:pt>
                <c:pt idx="29">
                  <c:v>3.4398410029048421E-3</c:v>
                </c:pt>
                <c:pt idx="30">
                  <c:v>-0.10367943932353174</c:v>
                </c:pt>
                <c:pt idx="31">
                  <c:v>0.1156722760496347</c:v>
                </c:pt>
                <c:pt idx="32">
                  <c:v>-4.9059190980422107E-2</c:v>
                </c:pt>
                <c:pt idx="33">
                  <c:v>4.2778178322518512E-2</c:v>
                </c:pt>
                <c:pt idx="34">
                  <c:v>4.6861796112775744E-2</c:v>
                </c:pt>
                <c:pt idx="35">
                  <c:v>9.0261979892858335E-3</c:v>
                </c:pt>
                <c:pt idx="36">
                  <c:v>-5.6363636363636394E-2</c:v>
                </c:pt>
                <c:pt idx="37">
                  <c:v>5.8805394990365967E-2</c:v>
                </c:pt>
                <c:pt idx="38">
                  <c:v>0.23344009317222292</c:v>
                </c:pt>
                <c:pt idx="39">
                  <c:v>-4.4024786072587641E-2</c:v>
                </c:pt>
                <c:pt idx="40">
                  <c:v>-2.8952404469411719E-2</c:v>
                </c:pt>
                <c:pt idx="41">
                  <c:v>6.0902733630006312E-2</c:v>
                </c:pt>
                <c:pt idx="42">
                  <c:v>-1.5580057526365376E-3</c:v>
                </c:pt>
                <c:pt idx="43">
                  <c:v>-7.4780938662825647E-2</c:v>
                </c:pt>
                <c:pt idx="44">
                  <c:v>-3.6325895173845324E-2</c:v>
                </c:pt>
                <c:pt idx="45">
                  <c:v>-5.1494345718901546E-2</c:v>
                </c:pt>
                <c:pt idx="46">
                  <c:v>3.0870768575686602E-2</c:v>
                </c:pt>
                <c:pt idx="47">
                  <c:v>0.11778879250998231</c:v>
                </c:pt>
                <c:pt idx="48">
                  <c:v>3.8184393668780903E-3</c:v>
                </c:pt>
                <c:pt idx="49">
                  <c:v>-2.1289649671758948E-2</c:v>
                </c:pt>
                <c:pt idx="50">
                  <c:v>-0.15853811434302922</c:v>
                </c:pt>
                <c:pt idx="51">
                  <c:v>0.22401847575057765</c:v>
                </c:pt>
                <c:pt idx="52">
                  <c:v>2.3676202069385255E-2</c:v>
                </c:pt>
                <c:pt idx="53">
                  <c:v>9.2752244485403423E-3</c:v>
                </c:pt>
                <c:pt idx="54">
                  <c:v>2.2857142857142909E-2</c:v>
                </c:pt>
                <c:pt idx="55">
                  <c:v>2.7414617289638787E-2</c:v>
                </c:pt>
                <c:pt idx="56">
                  <c:v>-8.7448848029596515E-3</c:v>
                </c:pt>
                <c:pt idx="57">
                  <c:v>-3.8285358819204918E-2</c:v>
                </c:pt>
                <c:pt idx="58">
                  <c:v>-2.3638715747383299E-2</c:v>
                </c:pt>
                <c:pt idx="59">
                  <c:v>8.7147675258973711E-2</c:v>
                </c:pt>
                <c:pt idx="60">
                  <c:v>-0.10237659963436918</c:v>
                </c:pt>
                <c:pt idx="61">
                  <c:v>-3.7030179596371227E-3</c:v>
                </c:pt>
                <c:pt idx="62">
                  <c:v>-1.3070680790435607E-2</c:v>
                </c:pt>
                <c:pt idx="63">
                  <c:v>0.10764499121265381</c:v>
                </c:pt>
                <c:pt idx="64">
                  <c:v>0.25216750722502401</c:v>
                </c:pt>
                <c:pt idx="65">
                  <c:v>-1.7830474725075818E-2</c:v>
                </c:pt>
                <c:pt idx="66">
                  <c:v>9.7866654379578977E-2</c:v>
                </c:pt>
                <c:pt idx="67">
                  <c:v>-3.8066059512318007E-2</c:v>
                </c:pt>
                <c:pt idx="68">
                  <c:v>-3.5427574171029597E-2</c:v>
                </c:pt>
                <c:pt idx="69">
                  <c:v>5.853084856160673E-2</c:v>
                </c:pt>
                <c:pt idx="70">
                  <c:v>3.0595675583283466E-2</c:v>
                </c:pt>
                <c:pt idx="71">
                  <c:v>-9.5737623351853429E-2</c:v>
                </c:pt>
                <c:pt idx="72">
                  <c:v>1.6231830895501842E-2</c:v>
                </c:pt>
                <c:pt idx="73">
                  <c:v>3.6366917836033075E-2</c:v>
                </c:pt>
                <c:pt idx="74">
                  <c:v>-6.1735382472027589E-2</c:v>
                </c:pt>
                <c:pt idx="75">
                  <c:v>-8.7930954480070489E-2</c:v>
                </c:pt>
                <c:pt idx="76">
                  <c:v>-2.238502238502238E-2</c:v>
                </c:pt>
                <c:pt idx="77">
                  <c:v>2.9662781015820094E-3</c:v>
                </c:pt>
                <c:pt idx="78">
                  <c:v>-1.6914854978467231E-2</c:v>
                </c:pt>
                <c:pt idx="79">
                  <c:v>-0.1175911753839658</c:v>
                </c:pt>
                <c:pt idx="80">
                  <c:v>-0.13499611220766783</c:v>
                </c:pt>
                <c:pt idx="81">
                  <c:v>0.24367307426358731</c:v>
                </c:pt>
                <c:pt idx="82">
                  <c:v>-6.0157900589347335E-2</c:v>
                </c:pt>
                <c:pt idx="83">
                  <c:v>0.12470421202082349</c:v>
                </c:pt>
                <c:pt idx="84">
                  <c:v>5.8910162002945521E-2</c:v>
                </c:pt>
                <c:pt idx="85">
                  <c:v>2.2402145837472798E-2</c:v>
                </c:pt>
                <c:pt idx="86">
                  <c:v>9.7993489773113618E-2</c:v>
                </c:pt>
                <c:pt idx="87">
                  <c:v>4.8672566371688042E-4</c:v>
                </c:pt>
                <c:pt idx="88">
                  <c:v>5.8378665251426209E-2</c:v>
                </c:pt>
                <c:pt idx="89">
                  <c:v>2.0057665789143808E-2</c:v>
                </c:pt>
                <c:pt idx="90">
                  <c:v>7.1688992667240381E-3</c:v>
                </c:pt>
                <c:pt idx="91">
                  <c:v>7.5652810542583548E-3</c:v>
                </c:pt>
                <c:pt idx="92">
                  <c:v>7.7426126271596951E-2</c:v>
                </c:pt>
                <c:pt idx="93">
                  <c:v>2.165605095541423E-2</c:v>
                </c:pt>
                <c:pt idx="94">
                  <c:v>-2.8971688425994957E-3</c:v>
                </c:pt>
                <c:pt idx="95">
                  <c:v>3.2660267019750666E-2</c:v>
                </c:pt>
                <c:pt idx="96">
                  <c:v>2.4147879046906739E-2</c:v>
                </c:pt>
                <c:pt idx="97">
                  <c:v>-5.3208137715180515E-3</c:v>
                </c:pt>
                <c:pt idx="98">
                  <c:v>5.6569470666387067E-2</c:v>
                </c:pt>
                <c:pt idx="99">
                  <c:v>4.5003309066844466E-3</c:v>
                </c:pt>
                <c:pt idx="100">
                  <c:v>-4.0288575569903839E-2</c:v>
                </c:pt>
                <c:pt idx="101">
                  <c:v>1.1533312738132073E-2</c:v>
                </c:pt>
                <c:pt idx="102">
                  <c:v>0.12609861210085183</c:v>
                </c:pt>
                <c:pt idx="103">
                  <c:v>7.4581889407864921E-2</c:v>
                </c:pt>
                <c:pt idx="104">
                  <c:v>-4.1475042063937262E-2</c:v>
                </c:pt>
                <c:pt idx="105">
                  <c:v>-2.8524618940346969E-2</c:v>
                </c:pt>
                <c:pt idx="106">
                  <c:v>1.1473830030717336E-2</c:v>
                </c:pt>
                <c:pt idx="107">
                  <c:v>-4.0610950665435963E-2</c:v>
                </c:pt>
                <c:pt idx="108">
                  <c:v>7.6094714955156295E-2</c:v>
                </c:pt>
                <c:pt idx="109">
                  <c:v>1.3756308579668364E-2</c:v>
                </c:pt>
                <c:pt idx="110">
                  <c:v>4.3752844788347733E-2</c:v>
                </c:pt>
                <c:pt idx="111">
                  <c:v>-5.4647042790951117E-2</c:v>
                </c:pt>
                <c:pt idx="112">
                  <c:v>-1.9950987458555614E-2</c:v>
                </c:pt>
                <c:pt idx="113">
                  <c:v>-6.5895919748183429E-3</c:v>
                </c:pt>
                <c:pt idx="114">
                  <c:v>0.18448873226924101</c:v>
                </c:pt>
                <c:pt idx="115">
                  <c:v>-3.1575789394734821E-2</c:v>
                </c:pt>
                <c:pt idx="116">
                  <c:v>-7.7679677819083137E-2</c:v>
                </c:pt>
                <c:pt idx="117">
                  <c:v>-5.4356649032944127E-2</c:v>
                </c:pt>
                <c:pt idx="118">
                  <c:v>3.6554684031374851E-2</c:v>
                </c:pt>
                <c:pt idx="119">
                  <c:v>-1.282124500285553E-2</c:v>
                </c:pt>
                <c:pt idx="120">
                  <c:v>-7.6075323247808413E-3</c:v>
                </c:pt>
                <c:pt idx="121">
                  <c:v>1.9528972834324421E-2</c:v>
                </c:pt>
                <c:pt idx="122">
                  <c:v>-8.9999428212018895E-2</c:v>
                </c:pt>
                <c:pt idx="123">
                  <c:v>3.5124096764059143E-2</c:v>
                </c:pt>
                <c:pt idx="124">
                  <c:v>4.916838654850153E-3</c:v>
                </c:pt>
                <c:pt idx="125">
                  <c:v>-2.3286016309272184E-2</c:v>
                </c:pt>
                <c:pt idx="126">
                  <c:v>2.3006277250378737E-2</c:v>
                </c:pt>
                <c:pt idx="127">
                  <c:v>-3.93857872623401E-2</c:v>
                </c:pt>
                <c:pt idx="128">
                  <c:v>3.4203901825047289E-2</c:v>
                </c:pt>
                <c:pt idx="129">
                  <c:v>-2.519244226731987E-2</c:v>
                </c:pt>
                <c:pt idx="130">
                  <c:v>-3.6143450170105118E-2</c:v>
                </c:pt>
                <c:pt idx="131">
                  <c:v>-2.962986949904467E-2</c:v>
                </c:pt>
                <c:pt idx="132">
                  <c:v>4.6118934792765076E-2</c:v>
                </c:pt>
                <c:pt idx="133">
                  <c:v>0.18122368253158094</c:v>
                </c:pt>
                <c:pt idx="134">
                  <c:v>9.4169434767344518E-2</c:v>
                </c:pt>
                <c:pt idx="135">
                  <c:v>3.9885477342284537E-2</c:v>
                </c:pt>
                <c:pt idx="136">
                  <c:v>-3.4890344631158809E-3</c:v>
                </c:pt>
                <c:pt idx="137">
                  <c:v>2.0697868286292609E-2</c:v>
                </c:pt>
                <c:pt idx="138">
                  <c:v>-1.1177486348998955E-2</c:v>
                </c:pt>
                <c:pt idx="139">
                  <c:v>-2.6005899705014657E-2</c:v>
                </c:pt>
                <c:pt idx="140">
                  <c:v>7.8792430887020481E-2</c:v>
                </c:pt>
                <c:pt idx="141">
                  <c:v>-0.13661987647389107</c:v>
                </c:pt>
                <c:pt idx="142">
                  <c:v>-9.4948233702721874E-3</c:v>
                </c:pt>
                <c:pt idx="143">
                  <c:v>7.6634188617800802E-2</c:v>
                </c:pt>
                <c:pt idx="144">
                  <c:v>-0.11120868398585193</c:v>
                </c:pt>
                <c:pt idx="145">
                  <c:v>-1.2542540344714026E-2</c:v>
                </c:pt>
                <c:pt idx="146">
                  <c:v>0.10964729425498199</c:v>
                </c:pt>
                <c:pt idx="147">
                  <c:v>-7.283839294659844E-2</c:v>
                </c:pt>
                <c:pt idx="148">
                  <c:v>2.9905986600389012E-2</c:v>
                </c:pt>
                <c:pt idx="149">
                  <c:v>1.9253469034441029E-2</c:v>
                </c:pt>
                <c:pt idx="150">
                  <c:v>9.8849628123632849E-2</c:v>
                </c:pt>
                <c:pt idx="151">
                  <c:v>-8.1268443486814501E-2</c:v>
                </c:pt>
                <c:pt idx="152">
                  <c:v>-6.2455389007851525E-2</c:v>
                </c:pt>
                <c:pt idx="153">
                  <c:v>9.2446571319815263E-4</c:v>
                </c:pt>
                <c:pt idx="154">
                  <c:v>-2.9528414647397638E-2</c:v>
                </c:pt>
                <c:pt idx="155">
                  <c:v>1.1420573827851666E-2</c:v>
                </c:pt>
                <c:pt idx="156">
                  <c:v>-1.2094207511139432E-2</c:v>
                </c:pt>
                <c:pt idx="157">
                  <c:v>-1.1625952487673619E-2</c:v>
                </c:pt>
                <c:pt idx="158">
                  <c:v>6.6041211983787207E-3</c:v>
                </c:pt>
                <c:pt idx="159">
                  <c:v>0</c:v>
                </c:pt>
              </c:numCache>
            </c:numRef>
          </c:val>
          <c:extLst>
            <c:ext xmlns:c16="http://schemas.microsoft.com/office/drawing/2014/chart" uri="{C3380CC4-5D6E-409C-BE32-E72D297353CC}">
              <c16:uniqueId val="{00000000-189A-5C45-BF17-C9CA71AA7BD4}"/>
            </c:ext>
          </c:extLst>
        </c:ser>
        <c:dLbls>
          <c:showLegendKey val="0"/>
          <c:showVal val="0"/>
          <c:showCatName val="0"/>
          <c:showSerName val="0"/>
          <c:showPercent val="0"/>
          <c:showBubbleSize val="0"/>
        </c:dLbls>
        <c:gapWidth val="150"/>
        <c:axId val="71124475"/>
        <c:axId val="86399777"/>
      </c:barChart>
      <c:lineChart>
        <c:grouping val="standard"/>
        <c:varyColors val="0"/>
        <c:ser>
          <c:idx val="1"/>
          <c:order val="1"/>
          <c:tx>
            <c:strRef>
              <c:f>'Returns (Calc)'!$Z$2</c:f>
              <c:strCache>
                <c:ptCount val="1"/>
                <c:pt idx="0">
                  <c:v>AVGO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(Calc)'!$Z$3:$Z$500</c:f>
              <c:numCache>
                <c:formatCode>#,##0.00</c:formatCode>
                <c:ptCount val="498"/>
                <c:pt idx="0">
                  <c:v>82</c:v>
                </c:pt>
                <c:pt idx="1">
                  <c:v>83.728734177215188</c:v>
                </c:pt>
                <c:pt idx="2">
                  <c:v>85.457468354430375</c:v>
                </c:pt>
                <c:pt idx="3">
                  <c:v>87.186202531645563</c:v>
                </c:pt>
                <c:pt idx="4">
                  <c:v>88.914936708860765</c:v>
                </c:pt>
                <c:pt idx="5">
                  <c:v>90.643670886075952</c:v>
                </c:pt>
                <c:pt idx="6">
                  <c:v>92.37240506329114</c:v>
                </c:pt>
                <c:pt idx="7">
                  <c:v>94.101139240506328</c:v>
                </c:pt>
                <c:pt idx="8">
                  <c:v>95.829873417721515</c:v>
                </c:pt>
                <c:pt idx="9">
                  <c:v>97.558607594936703</c:v>
                </c:pt>
                <c:pt idx="10">
                  <c:v>99.287341772151905</c:v>
                </c:pt>
                <c:pt idx="11">
                  <c:v>101.01607594936709</c:v>
                </c:pt>
                <c:pt idx="12">
                  <c:v>102.74481012658228</c:v>
                </c:pt>
                <c:pt idx="13">
                  <c:v>104.47354430379747</c:v>
                </c:pt>
                <c:pt idx="14">
                  <c:v>106.20227848101266</c:v>
                </c:pt>
                <c:pt idx="15">
                  <c:v>107.93101265822784</c:v>
                </c:pt>
                <c:pt idx="16">
                  <c:v>109.65974683544303</c:v>
                </c:pt>
                <c:pt idx="17">
                  <c:v>111.38848101265823</c:v>
                </c:pt>
                <c:pt idx="18">
                  <c:v>113.11721518987342</c:v>
                </c:pt>
                <c:pt idx="19">
                  <c:v>114.84594936708861</c:v>
                </c:pt>
                <c:pt idx="20">
                  <c:v>116.5746835443038</c:v>
                </c:pt>
                <c:pt idx="21">
                  <c:v>118.30341772151898</c:v>
                </c:pt>
                <c:pt idx="22">
                  <c:v>120.03215189873418</c:v>
                </c:pt>
                <c:pt idx="23">
                  <c:v>121.76088607594937</c:v>
                </c:pt>
                <c:pt idx="24">
                  <c:v>123.48962025316456</c:v>
                </c:pt>
                <c:pt idx="25">
                  <c:v>125.21835443037975</c:v>
                </c:pt>
                <c:pt idx="26">
                  <c:v>126.94708860759494</c:v>
                </c:pt>
                <c:pt idx="27">
                  <c:v>128.67582278481012</c:v>
                </c:pt>
                <c:pt idx="28">
                  <c:v>130.40455696202531</c:v>
                </c:pt>
                <c:pt idx="29">
                  <c:v>132.1332911392405</c:v>
                </c:pt>
                <c:pt idx="30">
                  <c:v>133.86202531645569</c:v>
                </c:pt>
                <c:pt idx="31">
                  <c:v>135.59075949367087</c:v>
                </c:pt>
                <c:pt idx="32">
                  <c:v>137.31949367088606</c:v>
                </c:pt>
                <c:pt idx="33">
                  <c:v>139.04822784810125</c:v>
                </c:pt>
                <c:pt idx="34">
                  <c:v>140.77696202531646</c:v>
                </c:pt>
                <c:pt idx="35">
                  <c:v>142.50569620253165</c:v>
                </c:pt>
                <c:pt idx="36">
                  <c:v>144.23443037974684</c:v>
                </c:pt>
                <c:pt idx="37">
                  <c:v>145.96316455696203</c:v>
                </c:pt>
                <c:pt idx="38">
                  <c:v>147.69189873417722</c:v>
                </c:pt>
                <c:pt idx="39">
                  <c:v>149.4206329113924</c:v>
                </c:pt>
                <c:pt idx="40">
                  <c:v>151.14936708860759</c:v>
                </c:pt>
                <c:pt idx="41">
                  <c:v>152.87810126582278</c:v>
                </c:pt>
                <c:pt idx="42">
                  <c:v>154.60683544303797</c:v>
                </c:pt>
                <c:pt idx="43">
                  <c:v>156.33556962025315</c:v>
                </c:pt>
                <c:pt idx="44">
                  <c:v>158.06430379746837</c:v>
                </c:pt>
                <c:pt idx="45">
                  <c:v>159.79303797468356</c:v>
                </c:pt>
                <c:pt idx="46">
                  <c:v>161.52177215189874</c:v>
                </c:pt>
                <c:pt idx="47">
                  <c:v>163.25050632911393</c:v>
                </c:pt>
                <c:pt idx="48">
                  <c:v>164.97924050632912</c:v>
                </c:pt>
                <c:pt idx="49">
                  <c:v>166.70797468354431</c:v>
                </c:pt>
                <c:pt idx="50">
                  <c:v>168.4367088607595</c:v>
                </c:pt>
                <c:pt idx="51">
                  <c:v>170.16544303797468</c:v>
                </c:pt>
                <c:pt idx="52">
                  <c:v>171.89417721518987</c:v>
                </c:pt>
                <c:pt idx="53">
                  <c:v>173.62291139240506</c:v>
                </c:pt>
                <c:pt idx="54">
                  <c:v>175.35164556962025</c:v>
                </c:pt>
                <c:pt idx="55">
                  <c:v>177.08037974683543</c:v>
                </c:pt>
                <c:pt idx="56">
                  <c:v>178.80911392405062</c:v>
                </c:pt>
                <c:pt idx="57">
                  <c:v>180.53784810126581</c:v>
                </c:pt>
                <c:pt idx="58">
                  <c:v>182.266582278481</c:v>
                </c:pt>
                <c:pt idx="59">
                  <c:v>183.99531645569618</c:v>
                </c:pt>
                <c:pt idx="60">
                  <c:v>185.72405063291137</c:v>
                </c:pt>
                <c:pt idx="61">
                  <c:v>187.45278481012659</c:v>
                </c:pt>
                <c:pt idx="62">
                  <c:v>189.18151898734178</c:v>
                </c:pt>
                <c:pt idx="63">
                  <c:v>190.91025316455696</c:v>
                </c:pt>
                <c:pt idx="64">
                  <c:v>192.63898734177215</c:v>
                </c:pt>
                <c:pt idx="65">
                  <c:v>194.36772151898734</c:v>
                </c:pt>
                <c:pt idx="66">
                  <c:v>196.09645569620253</c:v>
                </c:pt>
                <c:pt idx="67">
                  <c:v>197.82518987341768</c:v>
                </c:pt>
                <c:pt idx="68">
                  <c:v>199.55392405063293</c:v>
                </c:pt>
                <c:pt idx="69">
                  <c:v>201.28265822784812</c:v>
                </c:pt>
                <c:pt idx="70">
                  <c:v>203.0113924050633</c:v>
                </c:pt>
                <c:pt idx="71">
                  <c:v>204.74012658227849</c:v>
                </c:pt>
                <c:pt idx="72">
                  <c:v>206.46886075949368</c:v>
                </c:pt>
                <c:pt idx="73">
                  <c:v>208.19759493670884</c:v>
                </c:pt>
                <c:pt idx="74">
                  <c:v>209.92632911392406</c:v>
                </c:pt>
                <c:pt idx="75">
                  <c:v>211.65506329113924</c:v>
                </c:pt>
                <c:pt idx="76">
                  <c:v>213.38379746835443</c:v>
                </c:pt>
                <c:pt idx="77">
                  <c:v>215.11253164556962</c:v>
                </c:pt>
                <c:pt idx="78">
                  <c:v>216.84126582278481</c:v>
                </c:pt>
                <c:pt idx="79">
                  <c:v>218.57</c:v>
                </c:pt>
                <c:pt idx="80">
                  <c:v>220.29873417721518</c:v>
                </c:pt>
                <c:pt idx="81">
                  <c:v>222.02746835443037</c:v>
                </c:pt>
                <c:pt idx="82">
                  <c:v>223.75620253164556</c:v>
                </c:pt>
                <c:pt idx="83">
                  <c:v>225.48493670886074</c:v>
                </c:pt>
                <c:pt idx="84">
                  <c:v>227.21367088607593</c:v>
                </c:pt>
                <c:pt idx="85">
                  <c:v>228.94240506329112</c:v>
                </c:pt>
                <c:pt idx="86">
                  <c:v>230.67113924050631</c:v>
                </c:pt>
                <c:pt idx="87">
                  <c:v>232.39987341772152</c:v>
                </c:pt>
                <c:pt idx="88">
                  <c:v>234.12860759493671</c:v>
                </c:pt>
                <c:pt idx="89">
                  <c:v>235.8573417721519</c:v>
                </c:pt>
                <c:pt idx="90">
                  <c:v>237.58607594936709</c:v>
                </c:pt>
                <c:pt idx="91">
                  <c:v>239.31481012658227</c:v>
                </c:pt>
                <c:pt idx="92">
                  <c:v>241.04354430379746</c:v>
                </c:pt>
                <c:pt idx="93">
                  <c:v>242.77227848101265</c:v>
                </c:pt>
                <c:pt idx="94">
                  <c:v>244.50101265822784</c:v>
                </c:pt>
                <c:pt idx="95">
                  <c:v>246.22974683544302</c:v>
                </c:pt>
                <c:pt idx="96">
                  <c:v>247.95848101265821</c:v>
                </c:pt>
                <c:pt idx="97">
                  <c:v>249.6872151898734</c:v>
                </c:pt>
                <c:pt idx="98">
                  <c:v>251.41594936708859</c:v>
                </c:pt>
                <c:pt idx="99">
                  <c:v>253.14468354430377</c:v>
                </c:pt>
                <c:pt idx="100">
                  <c:v>254.87341772151899</c:v>
                </c:pt>
                <c:pt idx="101">
                  <c:v>256.60215189873418</c:v>
                </c:pt>
                <c:pt idx="102">
                  <c:v>258.33088607594937</c:v>
                </c:pt>
                <c:pt idx="103">
                  <c:v>260.05962025316455</c:v>
                </c:pt>
                <c:pt idx="104">
                  <c:v>261.78835443037974</c:v>
                </c:pt>
                <c:pt idx="105">
                  <c:v>263.51708860759493</c:v>
                </c:pt>
                <c:pt idx="106">
                  <c:v>265.24582278481012</c:v>
                </c:pt>
                <c:pt idx="107">
                  <c:v>266.9745569620253</c:v>
                </c:pt>
                <c:pt idx="108">
                  <c:v>268.70329113924049</c:v>
                </c:pt>
                <c:pt idx="109">
                  <c:v>270.43202531645568</c:v>
                </c:pt>
                <c:pt idx="110">
                  <c:v>272.16075949367087</c:v>
                </c:pt>
                <c:pt idx="111">
                  <c:v>273.88949367088605</c:v>
                </c:pt>
                <c:pt idx="112">
                  <c:v>275.61822784810124</c:v>
                </c:pt>
                <c:pt idx="113">
                  <c:v>277.34696202531643</c:v>
                </c:pt>
                <c:pt idx="114">
                  <c:v>279.07569620253162</c:v>
                </c:pt>
                <c:pt idx="115">
                  <c:v>280.8044303797468</c:v>
                </c:pt>
                <c:pt idx="116">
                  <c:v>282.53316455696199</c:v>
                </c:pt>
                <c:pt idx="117">
                  <c:v>284.26189873417718</c:v>
                </c:pt>
                <c:pt idx="118">
                  <c:v>285.99063291139237</c:v>
                </c:pt>
                <c:pt idx="119">
                  <c:v>287.71936708860756</c:v>
                </c:pt>
                <c:pt idx="120">
                  <c:v>289.44810126582274</c:v>
                </c:pt>
                <c:pt idx="121">
                  <c:v>291.17683544303793</c:v>
                </c:pt>
                <c:pt idx="122">
                  <c:v>292.90556962025317</c:v>
                </c:pt>
                <c:pt idx="123">
                  <c:v>294.63430379746836</c:v>
                </c:pt>
                <c:pt idx="124">
                  <c:v>296.36303797468355</c:v>
                </c:pt>
                <c:pt idx="125">
                  <c:v>298.09177215189874</c:v>
                </c:pt>
                <c:pt idx="126">
                  <c:v>299.82050632911393</c:v>
                </c:pt>
                <c:pt idx="127">
                  <c:v>301.54924050632911</c:v>
                </c:pt>
                <c:pt idx="128">
                  <c:v>303.2779746835443</c:v>
                </c:pt>
                <c:pt idx="129">
                  <c:v>305.00670886075949</c:v>
                </c:pt>
                <c:pt idx="130">
                  <c:v>306.73544303797468</c:v>
                </c:pt>
                <c:pt idx="131">
                  <c:v>308.46417721518986</c:v>
                </c:pt>
                <c:pt idx="132">
                  <c:v>310.19291139240505</c:v>
                </c:pt>
                <c:pt idx="133">
                  <c:v>311.92164556962018</c:v>
                </c:pt>
                <c:pt idx="134">
                  <c:v>313.65037974683537</c:v>
                </c:pt>
                <c:pt idx="135">
                  <c:v>315.37911392405067</c:v>
                </c:pt>
                <c:pt idx="136">
                  <c:v>317.10784810126586</c:v>
                </c:pt>
                <c:pt idx="137">
                  <c:v>318.83658227848105</c:v>
                </c:pt>
                <c:pt idx="138">
                  <c:v>320.56531645569623</c:v>
                </c:pt>
                <c:pt idx="139">
                  <c:v>322.29405063291142</c:v>
                </c:pt>
                <c:pt idx="140">
                  <c:v>324.02278481012661</c:v>
                </c:pt>
                <c:pt idx="141">
                  <c:v>325.7515189873418</c:v>
                </c:pt>
                <c:pt idx="142">
                  <c:v>327.48025316455698</c:v>
                </c:pt>
                <c:pt idx="143">
                  <c:v>329.20898734177217</c:v>
                </c:pt>
                <c:pt idx="144">
                  <c:v>330.93772151898736</c:v>
                </c:pt>
                <c:pt idx="145">
                  <c:v>332.66645569620249</c:v>
                </c:pt>
                <c:pt idx="146">
                  <c:v>334.39518987341768</c:v>
                </c:pt>
                <c:pt idx="147">
                  <c:v>336.12392405063287</c:v>
                </c:pt>
                <c:pt idx="148">
                  <c:v>337.85265822784811</c:v>
                </c:pt>
                <c:pt idx="149">
                  <c:v>339.5813924050633</c:v>
                </c:pt>
                <c:pt idx="150">
                  <c:v>341.31012658227849</c:v>
                </c:pt>
                <c:pt idx="151">
                  <c:v>343.03886075949367</c:v>
                </c:pt>
                <c:pt idx="152">
                  <c:v>344.76759493670886</c:v>
                </c:pt>
                <c:pt idx="153">
                  <c:v>346.49632911392405</c:v>
                </c:pt>
                <c:pt idx="154">
                  <c:v>348.22506329113924</c:v>
                </c:pt>
                <c:pt idx="155">
                  <c:v>349.95379746835442</c:v>
                </c:pt>
                <c:pt idx="156">
                  <c:v>351.68253164556961</c:v>
                </c:pt>
                <c:pt idx="157">
                  <c:v>353.4112658227848</c:v>
                </c:pt>
                <c:pt idx="158">
                  <c:v>355.14</c:v>
                </c:pt>
                <c:pt idx="159">
                  <c:v>356.86873417721517</c:v>
                </c:pt>
              </c:numCache>
            </c:numRef>
          </c:val>
          <c:smooth val="0"/>
          <c:extLst>
            <c:ext xmlns:c16="http://schemas.microsoft.com/office/drawing/2014/chart" uri="{C3380CC4-5D6E-409C-BE32-E72D297353CC}">
              <c16:uniqueId val="{00000001-189A-5C45-BF17-C9CA71AA7BD4}"/>
            </c:ext>
          </c:extLst>
        </c:ser>
        <c:dLbls>
          <c:showLegendKey val="0"/>
          <c:showVal val="0"/>
          <c:showCatName val="0"/>
          <c:showSerName val="0"/>
          <c:showPercent val="0"/>
          <c:showBubbleSize val="0"/>
        </c:dLbls>
        <c:hiLowLines>
          <c:spPr>
            <a:ln w="0">
              <a:noFill/>
            </a:ln>
          </c:spPr>
        </c:hiLowLines>
        <c:marker val="1"/>
        <c:smooth val="0"/>
        <c:axId val="81876963"/>
        <c:axId val="3701940"/>
      </c:lineChart>
      <c:dateAx>
        <c:axId val="71124475"/>
        <c:scaling>
          <c:orientation val="minMax"/>
        </c:scaling>
        <c:delete val="1"/>
        <c:axPos val="b"/>
        <c:numFmt formatCode="mm/dd/yyyy" sourceLinked="1"/>
        <c:majorTickMark val="none"/>
        <c:minorTickMark val="none"/>
        <c:tickLblPos val="nextTo"/>
        <c:crossAx val="86399777"/>
        <c:crosses val="autoZero"/>
        <c:auto val="1"/>
        <c:lblOffset val="100"/>
        <c:baseTimeUnit val="days"/>
      </c:dateAx>
      <c:valAx>
        <c:axId val="863997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1124475"/>
        <c:crosses val="autoZero"/>
        <c:crossBetween val="between"/>
      </c:valAx>
      <c:dateAx>
        <c:axId val="81876963"/>
        <c:scaling>
          <c:orientation val="minMax"/>
        </c:scaling>
        <c:delete val="1"/>
        <c:axPos val="b"/>
        <c:numFmt formatCode="mm/dd/yyyy" sourceLinked="1"/>
        <c:majorTickMark val="none"/>
        <c:minorTickMark val="none"/>
        <c:tickLblPos val="nextTo"/>
        <c:crossAx val="3701940"/>
        <c:crosses val="autoZero"/>
        <c:auto val="1"/>
        <c:lblOffset val="100"/>
        <c:baseTimeUnit val="days"/>
      </c:dateAx>
      <c:valAx>
        <c:axId val="37019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76963"/>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layout/>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(Calc)'!$F$3:$F$500</c:f>
              <c:numCache>
                <c:formatCode>0.0%</c:formatCode>
                <c:ptCount val="498"/>
                <c:pt idx="0">
                  <c:v>-1.7408123791102459E-2</c:v>
                </c:pt>
                <c:pt idx="1">
                  <c:v>2.9773622047244208E-2</c:v>
                </c:pt>
                <c:pt idx="2">
                  <c:v>5.5436081242532964E-2</c:v>
                </c:pt>
                <c:pt idx="3">
                  <c:v>5.1165949739642169E-2</c:v>
                </c:pt>
                <c:pt idx="4">
                  <c:v>-3.7475769976308415E-2</c:v>
                </c:pt>
                <c:pt idx="5">
                  <c:v>-3.3117028417990579E-2</c:v>
                </c:pt>
                <c:pt idx="6">
                  <c:v>8.9099745429298771E-2</c:v>
                </c:pt>
                <c:pt idx="7">
                  <c:v>4.2923926901827336E-2</c:v>
                </c:pt>
                <c:pt idx="8">
                  <c:v>5.4808475957620395E-2</c:v>
                </c:pt>
                <c:pt idx="9">
                  <c:v>1.7384585667374886E-2</c:v>
                </c:pt>
                <c:pt idx="10">
                  <c:v>0.11562559331687861</c:v>
                </c:pt>
                <c:pt idx="11">
                  <c:v>3.1994554118447871E-2</c:v>
                </c:pt>
                <c:pt idx="12">
                  <c:v>7.2229551451187257E-2</c:v>
                </c:pt>
                <c:pt idx="13">
                  <c:v>-1.7071670255306093E-2</c:v>
                </c:pt>
                <c:pt idx="14">
                  <c:v>-1.2517602879048573E-3</c:v>
                </c:pt>
                <c:pt idx="15">
                  <c:v>-3.0706564311452356E-2</c:v>
                </c:pt>
                <c:pt idx="16">
                  <c:v>0.14498141263940534</c:v>
                </c:pt>
                <c:pt idx="17">
                  <c:v>2.5409373235460109E-2</c:v>
                </c:pt>
                <c:pt idx="18">
                  <c:v>-8.2599118942738858E-4</c:v>
                </c:pt>
                <c:pt idx="19">
                  <c:v>4.5604849820887416E-2</c:v>
                </c:pt>
                <c:pt idx="20">
                  <c:v>8.485966530504685E-2</c:v>
                </c:pt>
                <c:pt idx="21">
                  <c:v>-2.4292481476972938E-4</c:v>
                </c:pt>
                <c:pt idx="22">
                  <c:v>-5.3942412829546815E-2</c:v>
                </c:pt>
                <c:pt idx="23">
                  <c:v>1.001669449081799E-2</c:v>
                </c:pt>
                <c:pt idx="24">
                  <c:v>2.6191989828353357E-2</c:v>
                </c:pt>
                <c:pt idx="25">
                  <c:v>-2.2302069136414304E-2</c:v>
                </c:pt>
                <c:pt idx="26">
                  <c:v>3.7764541883158032E-2</c:v>
                </c:pt>
                <c:pt idx="27">
                  <c:v>-2.1248015630724093E-2</c:v>
                </c:pt>
                <c:pt idx="28">
                  <c:v>-1.5845290081098029E-2</c:v>
                </c:pt>
                <c:pt idx="29">
                  <c:v>-2.0537525354969444E-2</c:v>
                </c:pt>
                <c:pt idx="30">
                  <c:v>-8.5425834843386061E-2</c:v>
                </c:pt>
                <c:pt idx="31">
                  <c:v>7.5856212850268889E-2</c:v>
                </c:pt>
                <c:pt idx="32">
                  <c:v>2.0126282557221709E-2</c:v>
                </c:pt>
                <c:pt idx="33">
                  <c:v>3.4042553191489411E-2</c:v>
                </c:pt>
                <c:pt idx="34">
                  <c:v>7.8438708068337748E-2</c:v>
                </c:pt>
                <c:pt idx="35">
                  <c:v>1.6073080481036062E-2</c:v>
                </c:pt>
                <c:pt idx="36">
                  <c:v>-0.10754523728234899</c:v>
                </c:pt>
                <c:pt idx="37">
                  <c:v>0.11298138230043353</c:v>
                </c:pt>
                <c:pt idx="38">
                  <c:v>0.10403299725022919</c:v>
                </c:pt>
                <c:pt idx="39">
                  <c:v>-1.2453300124533051E-2</c:v>
                </c:pt>
                <c:pt idx="40">
                  <c:v>6.7255149222362753E-3</c:v>
                </c:pt>
                <c:pt idx="41">
                  <c:v>1.6910229645094033E-2</c:v>
                </c:pt>
                <c:pt idx="42">
                  <c:v>-4.711558201601318E-2</c:v>
                </c:pt>
                <c:pt idx="43">
                  <c:v>-0.17871377787353226</c:v>
                </c:pt>
                <c:pt idx="44">
                  <c:v>-0.16002098635886663</c:v>
                </c:pt>
                <c:pt idx="45">
                  <c:v>-0.14943785134291077</c:v>
                </c:pt>
                <c:pt idx="46">
                  <c:v>0.10556269506150184</c:v>
                </c:pt>
                <c:pt idx="47">
                  <c:v>9.0003321155762261E-2</c:v>
                </c:pt>
                <c:pt idx="48">
                  <c:v>3.427787934186477E-2</c:v>
                </c:pt>
                <c:pt idx="49">
                  <c:v>2.1063485049344521E-2</c:v>
                </c:pt>
                <c:pt idx="50">
                  <c:v>-0.11136757068667036</c:v>
                </c:pt>
                <c:pt idx="51">
                  <c:v>5.1623376623376682E-2</c:v>
                </c:pt>
                <c:pt idx="52">
                  <c:v>0.15714726767520837</c:v>
                </c:pt>
                <c:pt idx="53">
                  <c:v>-4.6691568836712882E-2</c:v>
                </c:pt>
                <c:pt idx="54">
                  <c:v>2.2390148334732851E-2</c:v>
                </c:pt>
                <c:pt idx="55">
                  <c:v>9.5674787845606346E-2</c:v>
                </c:pt>
                <c:pt idx="56">
                  <c:v>-3.1355402873204152E-2</c:v>
                </c:pt>
                <c:pt idx="57">
                  <c:v>-3.0822801134898103E-2</c:v>
                </c:pt>
                <c:pt idx="58">
                  <c:v>8.3832335329341312E-3</c:v>
                </c:pt>
                <c:pt idx="59">
                  <c:v>8.8809712325151891E-2</c:v>
                </c:pt>
                <c:pt idx="60">
                  <c:v>2.0361168343230984E-2</c:v>
                </c:pt>
                <c:pt idx="61">
                  <c:v>0.10547570970424025</c:v>
                </c:pt>
                <c:pt idx="62">
                  <c:v>-7.0699473514558964E-2</c:v>
                </c:pt>
                <c:pt idx="63">
                  <c:v>5.6885189039195261E-2</c:v>
                </c:pt>
                <c:pt idx="64">
                  <c:v>6.4544360573242088E-3</c:v>
                </c:pt>
                <c:pt idx="65">
                  <c:v>-1.5543478260869659E-2</c:v>
                </c:pt>
                <c:pt idx="66">
                  <c:v>-2.0094954179087909E-2</c:v>
                </c:pt>
                <c:pt idx="67">
                  <c:v>1.1267605633802802E-2</c:v>
                </c:pt>
                <c:pt idx="68">
                  <c:v>-2.8300835654596179E-2</c:v>
                </c:pt>
                <c:pt idx="69">
                  <c:v>2.3391812865497075E-2</c:v>
                </c:pt>
                <c:pt idx="70">
                  <c:v>5.0196078431372637E-2</c:v>
                </c:pt>
                <c:pt idx="71">
                  <c:v>6.1773178278032637E-2</c:v>
                </c:pt>
                <c:pt idx="72">
                  <c:v>5.9083601286173737E-2</c:v>
                </c:pt>
                <c:pt idx="73">
                  <c:v>7.1442125237191734E-2</c:v>
                </c:pt>
                <c:pt idx="74">
                  <c:v>-9.9707783582750453E-2</c:v>
                </c:pt>
                <c:pt idx="75">
                  <c:v>-4.1801908134159516E-2</c:v>
                </c:pt>
                <c:pt idx="76">
                  <c:v>-0.14411825087251084</c:v>
                </c:pt>
                <c:pt idx="77">
                  <c:v>6.0566082993523729E-2</c:v>
                </c:pt>
                <c:pt idx="78">
                  <c:v>2.4086848354630819E-2</c:v>
                </c:pt>
                <c:pt idx="79">
                  <c:v>-1.4134275618374548E-2</c:v>
                </c:pt>
                <c:pt idx="80">
                  <c:v>-9.9350358422939156E-2</c:v>
                </c:pt>
                <c:pt idx="81">
                  <c:v>0.17485387389628149</c:v>
                </c:pt>
                <c:pt idx="82">
                  <c:v>-6.033661479834751E-3</c:v>
                </c:pt>
                <c:pt idx="83">
                  <c:v>0.13120340788072404</c:v>
                </c:pt>
                <c:pt idx="84">
                  <c:v>3.6904537751835775E-2</c:v>
                </c:pt>
                <c:pt idx="85">
                  <c:v>-6.8095151625204298E-2</c:v>
                </c:pt>
                <c:pt idx="86">
                  <c:v>6.9953234606391135E-2</c:v>
                </c:pt>
                <c:pt idx="87">
                  <c:v>3.7151702786377916E-2</c:v>
                </c:pt>
                <c:pt idx="88">
                  <c:v>3.4591747146619722E-2</c:v>
                </c:pt>
                <c:pt idx="89">
                  <c:v>-6.2797012898846427E-3</c:v>
                </c:pt>
                <c:pt idx="90">
                  <c:v>2.6046114432109357E-2</c:v>
                </c:pt>
                <c:pt idx="91">
                  <c:v>-8.9887640449439754E-3</c:v>
                </c:pt>
                <c:pt idx="92">
                  <c:v>4.837490551776269E-2</c:v>
                </c:pt>
                <c:pt idx="93">
                  <c:v>2.9560201874549552E-2</c:v>
                </c:pt>
                <c:pt idx="94">
                  <c:v>-6.9327731092437062E-2</c:v>
                </c:pt>
                <c:pt idx="95">
                  <c:v>-5.1835130841902943E-3</c:v>
                </c:pt>
                <c:pt idx="96">
                  <c:v>-1.6892175813093435E-2</c:v>
                </c:pt>
                <c:pt idx="97">
                  <c:v>-4.5392374764917087E-2</c:v>
                </c:pt>
                <c:pt idx="98">
                  <c:v>-4.970000895495652E-2</c:v>
                </c:pt>
                <c:pt idx="99">
                  <c:v>8.0098002261590473E-3</c:v>
                </c:pt>
                <c:pt idx="100">
                  <c:v>-1.7107600261755618E-2</c:v>
                </c:pt>
                <c:pt idx="101">
                  <c:v>7.5137911356286669E-3</c:v>
                </c:pt>
                <c:pt idx="102">
                  <c:v>-1.43490984612481E-2</c:v>
                </c:pt>
                <c:pt idx="103">
                  <c:v>4.4248635188200325E-2</c:v>
                </c:pt>
                <c:pt idx="104">
                  <c:v>0.15234339172704758</c:v>
                </c:pt>
                <c:pt idx="105">
                  <c:v>-4.2024832855778405E-2</c:v>
                </c:pt>
                <c:pt idx="106">
                  <c:v>1.7530741110003412E-2</c:v>
                </c:pt>
                <c:pt idx="107">
                  <c:v>7.7570017147057246E-3</c:v>
                </c:pt>
                <c:pt idx="108">
                  <c:v>-1.83114568141306E-2</c:v>
                </c:pt>
                <c:pt idx="109">
                  <c:v>8.8065368108286801E-2</c:v>
                </c:pt>
                <c:pt idx="110">
                  <c:v>2.9735265114162024E-2</c:v>
                </c:pt>
                <c:pt idx="111">
                  <c:v>-5.8931860036832706E-3</c:v>
                </c:pt>
                <c:pt idx="112">
                  <c:v>-4.1496850685439624E-3</c:v>
                </c:pt>
                <c:pt idx="113">
                  <c:v>-8.7208869707567471E-2</c:v>
                </c:pt>
                <c:pt idx="114">
                  <c:v>3.7662020053802925E-2</c:v>
                </c:pt>
                <c:pt idx="115">
                  <c:v>5.6563752062219752E-3</c:v>
                </c:pt>
                <c:pt idx="116">
                  <c:v>-1.4217639246933755E-2</c:v>
                </c:pt>
                <c:pt idx="117">
                  <c:v>-4.6517156668515747E-2</c:v>
                </c:pt>
                <c:pt idx="118">
                  <c:v>-1.6622340425531679E-4</c:v>
                </c:pt>
                <c:pt idx="119">
                  <c:v>-5.7439733998337461E-2</c:v>
                </c:pt>
                <c:pt idx="120">
                  <c:v>3.7569450568833318E-2</c:v>
                </c:pt>
                <c:pt idx="121">
                  <c:v>-3.5529111772205746E-2</c:v>
                </c:pt>
                <c:pt idx="122">
                  <c:v>-3.0845157310301907E-3</c:v>
                </c:pt>
                <c:pt idx="123">
                  <c:v>-2.4487270155587049E-2</c:v>
                </c:pt>
                <c:pt idx="124">
                  <c:v>-0.10394200271862253</c:v>
                </c:pt>
                <c:pt idx="125">
                  <c:v>8.6266181229773586E-2</c:v>
                </c:pt>
                <c:pt idx="126">
                  <c:v>-9.5521832231635684E-2</c:v>
                </c:pt>
                <c:pt idx="127">
                  <c:v>-4.2717447246526041E-2</c:v>
                </c:pt>
                <c:pt idx="128">
                  <c:v>0.15322580645161299</c:v>
                </c:pt>
                <c:pt idx="129">
                  <c:v>2.9743589743589816E-2</c:v>
                </c:pt>
                <c:pt idx="130">
                  <c:v>-7.4157913799347996E-2</c:v>
                </c:pt>
                <c:pt idx="131">
                  <c:v>-9.6430317848410718E-2</c:v>
                </c:pt>
                <c:pt idx="132">
                  <c:v>7.9987011581339917E-2</c:v>
                </c:pt>
                <c:pt idx="133">
                  <c:v>-5.0410903988775346E-2</c:v>
                </c:pt>
                <c:pt idx="134">
                  <c:v>0.11862796833773093</c:v>
                </c:pt>
                <c:pt idx="135">
                  <c:v>5.6986508161147365E-2</c:v>
                </c:pt>
                <c:pt idx="136">
                  <c:v>1.6781219316254425E-2</c:v>
                </c:pt>
                <c:pt idx="137">
                  <c:v>0.15828285488543581</c:v>
                </c:pt>
                <c:pt idx="138">
                  <c:v>0.12566318023343959</c:v>
                </c:pt>
                <c:pt idx="139">
                  <c:v>0.11681928359816851</c:v>
                </c:pt>
                <c:pt idx="140">
                  <c:v>0.10176644360040998</c:v>
                </c:pt>
                <c:pt idx="141">
                  <c:v>-8.2024623803009677E-2</c:v>
                </c:pt>
                <c:pt idx="142">
                  <c:v>1.7525035765379116E-2</c:v>
                </c:pt>
                <c:pt idx="143">
                  <c:v>2.9876977152900608E-3</c:v>
                </c:pt>
                <c:pt idx="144">
                  <c:v>2.3713568132702534E-2</c:v>
                </c:pt>
                <c:pt idx="145">
                  <c:v>0.10674958635248455</c:v>
                </c:pt>
                <c:pt idx="146">
                  <c:v>-3.5055160325806689E-2</c:v>
                </c:pt>
                <c:pt idx="147">
                  <c:v>8.4944972753499437E-2</c:v>
                </c:pt>
                <c:pt idx="148">
                  <c:v>-9.7498522749655314E-2</c:v>
                </c:pt>
                <c:pt idx="149">
                  <c:v>4.1357485814055073E-2</c:v>
                </c:pt>
                <c:pt idx="150">
                  <c:v>0.12344126584931359</c:v>
                </c:pt>
                <c:pt idx="151">
                  <c:v>1.1799272455927712E-2</c:v>
                </c:pt>
                <c:pt idx="152">
                  <c:v>-0.11523392486748096</c:v>
                </c:pt>
                <c:pt idx="153">
                  <c:v>0.13779630112008334</c:v>
                </c:pt>
                <c:pt idx="154">
                  <c:v>-2.4267399267399292E-2</c:v>
                </c:pt>
                <c:pt idx="155">
                  <c:v>-2.9845143125293183E-2</c:v>
                </c:pt>
                <c:pt idx="156">
                  <c:v>0.14951146367418011</c:v>
                </c:pt>
                <c:pt idx="157">
                  <c:v>6.0929938985903487E-2</c:v>
                </c:pt>
                <c:pt idx="158">
                  <c:v>7.103478364335869E-2</c:v>
                </c:pt>
                <c:pt idx="159">
                  <c:v>0</c:v>
                </c:pt>
              </c:numCache>
            </c:numRef>
          </c:val>
          <c:extLst>
            <c:ext xmlns:c16="http://schemas.microsoft.com/office/drawing/2014/chart" uri="{C3380CC4-5D6E-409C-BE32-E72D297353CC}">
              <c16:uniqueId val="{00000000-AD45-604F-9265-B58C97344F22}"/>
            </c:ext>
          </c:extLst>
        </c:ser>
        <c:dLbls>
          <c:showLegendKey val="0"/>
          <c:showVal val="0"/>
          <c:showCatName val="0"/>
          <c:showSerName val="0"/>
          <c:showPercent val="0"/>
          <c:showBubbleSize val="0"/>
        </c:dLbls>
        <c:gapWidth val="150"/>
        <c:axId val="38230925"/>
        <c:axId val="72398756"/>
      </c:barChart>
      <c:lineChart>
        <c:grouping val="standard"/>
        <c:varyColors val="0"/>
        <c:ser>
          <c:idx val="1"/>
          <c:order val="1"/>
          <c:tx>
            <c:strRef>
              <c:f>'Returns (Calc)'!$AA$2</c:f>
              <c:strCache>
                <c:ptCount val="1"/>
                <c:pt idx="0">
                  <c:v>CRWD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(Calc)'!$AA$3:$AA$500</c:f>
              <c:numCache>
                <c:formatCode>#,##0.00</c:formatCode>
                <c:ptCount val="498"/>
                <c:pt idx="0">
                  <c:v>41.36</c:v>
                </c:pt>
                <c:pt idx="1">
                  <c:v>42.807341772151901</c:v>
                </c:pt>
                <c:pt idx="2">
                  <c:v>44.254683544303795</c:v>
                </c:pt>
                <c:pt idx="3">
                  <c:v>45.702025316455696</c:v>
                </c:pt>
                <c:pt idx="4">
                  <c:v>47.149367088607598</c:v>
                </c:pt>
                <c:pt idx="5">
                  <c:v>48.596708860759492</c:v>
                </c:pt>
                <c:pt idx="6">
                  <c:v>50.044050632911393</c:v>
                </c:pt>
                <c:pt idx="7">
                  <c:v>51.491392405063294</c:v>
                </c:pt>
                <c:pt idx="8">
                  <c:v>52.938734177215188</c:v>
                </c:pt>
                <c:pt idx="9">
                  <c:v>54.38607594936709</c:v>
                </c:pt>
                <c:pt idx="10">
                  <c:v>55.833417721518984</c:v>
                </c:pt>
                <c:pt idx="11">
                  <c:v>57.280759493670885</c:v>
                </c:pt>
                <c:pt idx="12">
                  <c:v>58.728101265822787</c:v>
                </c:pt>
                <c:pt idx="13">
                  <c:v>60.175443037974688</c:v>
                </c:pt>
                <c:pt idx="14">
                  <c:v>61.622784810126582</c:v>
                </c:pt>
                <c:pt idx="15">
                  <c:v>63.070126582278483</c:v>
                </c:pt>
                <c:pt idx="16">
                  <c:v>64.517468354430378</c:v>
                </c:pt>
                <c:pt idx="17">
                  <c:v>65.964810126582279</c:v>
                </c:pt>
                <c:pt idx="18">
                  <c:v>67.41215189873418</c:v>
                </c:pt>
                <c:pt idx="19">
                  <c:v>68.859493670886081</c:v>
                </c:pt>
                <c:pt idx="20">
                  <c:v>70.306835443037983</c:v>
                </c:pt>
                <c:pt idx="21">
                  <c:v>71.75417721518987</c:v>
                </c:pt>
                <c:pt idx="22">
                  <c:v>73.201518987341771</c:v>
                </c:pt>
                <c:pt idx="23">
                  <c:v>74.648860759493672</c:v>
                </c:pt>
                <c:pt idx="24">
                  <c:v>76.096202531645559</c:v>
                </c:pt>
                <c:pt idx="25">
                  <c:v>77.543544303797461</c:v>
                </c:pt>
                <c:pt idx="26">
                  <c:v>78.990886075949362</c:v>
                </c:pt>
                <c:pt idx="27">
                  <c:v>80.438227848101263</c:v>
                </c:pt>
                <c:pt idx="28">
                  <c:v>81.885569620253165</c:v>
                </c:pt>
                <c:pt idx="29">
                  <c:v>83.332911392405066</c:v>
                </c:pt>
                <c:pt idx="30">
                  <c:v>84.780253164556967</c:v>
                </c:pt>
                <c:pt idx="31">
                  <c:v>86.227594936708869</c:v>
                </c:pt>
                <c:pt idx="32">
                  <c:v>87.67493670886077</c:v>
                </c:pt>
                <c:pt idx="33">
                  <c:v>89.122278481012671</c:v>
                </c:pt>
                <c:pt idx="34">
                  <c:v>90.569620253164558</c:v>
                </c:pt>
                <c:pt idx="35">
                  <c:v>92.01696202531646</c:v>
                </c:pt>
                <c:pt idx="36">
                  <c:v>93.464303797468347</c:v>
                </c:pt>
                <c:pt idx="37">
                  <c:v>94.911645569620248</c:v>
                </c:pt>
                <c:pt idx="38">
                  <c:v>96.358987341772149</c:v>
                </c:pt>
                <c:pt idx="39">
                  <c:v>97.80632911392405</c:v>
                </c:pt>
                <c:pt idx="40">
                  <c:v>99.253670886075952</c:v>
                </c:pt>
                <c:pt idx="41">
                  <c:v>100.70101265822785</c:v>
                </c:pt>
                <c:pt idx="42">
                  <c:v>102.14835443037974</c:v>
                </c:pt>
                <c:pt idx="43">
                  <c:v>103.59569620253164</c:v>
                </c:pt>
                <c:pt idx="44">
                  <c:v>105.04303797468354</c:v>
                </c:pt>
                <c:pt idx="45">
                  <c:v>106.49037974683544</c:v>
                </c:pt>
                <c:pt idx="46">
                  <c:v>107.93772151898735</c:v>
                </c:pt>
                <c:pt idx="47">
                  <c:v>109.38506329113925</c:v>
                </c:pt>
                <c:pt idx="48">
                  <c:v>110.83240506329113</c:v>
                </c:pt>
                <c:pt idx="49">
                  <c:v>112.27974683544304</c:v>
                </c:pt>
                <c:pt idx="50">
                  <c:v>113.72708860759494</c:v>
                </c:pt>
                <c:pt idx="51">
                  <c:v>115.17443037974684</c:v>
                </c:pt>
                <c:pt idx="52">
                  <c:v>116.62177215189874</c:v>
                </c:pt>
                <c:pt idx="53">
                  <c:v>118.06911392405064</c:v>
                </c:pt>
                <c:pt idx="54">
                  <c:v>119.51645569620254</c:v>
                </c:pt>
                <c:pt idx="55">
                  <c:v>120.96379746835443</c:v>
                </c:pt>
                <c:pt idx="56">
                  <c:v>122.41113924050633</c:v>
                </c:pt>
                <c:pt idx="57">
                  <c:v>123.85848101265823</c:v>
                </c:pt>
                <c:pt idx="58">
                  <c:v>125.30582278481013</c:v>
                </c:pt>
                <c:pt idx="59">
                  <c:v>126.75316455696203</c:v>
                </c:pt>
                <c:pt idx="60">
                  <c:v>128.20050632911392</c:v>
                </c:pt>
                <c:pt idx="61">
                  <c:v>129.64784810126582</c:v>
                </c:pt>
                <c:pt idx="62">
                  <c:v>131.09518987341772</c:v>
                </c:pt>
                <c:pt idx="63">
                  <c:v>132.54253164556962</c:v>
                </c:pt>
                <c:pt idx="64">
                  <c:v>133.98987341772153</c:v>
                </c:pt>
                <c:pt idx="65">
                  <c:v>135.43721518987343</c:v>
                </c:pt>
                <c:pt idx="66">
                  <c:v>136.88455696202533</c:v>
                </c:pt>
                <c:pt idx="67">
                  <c:v>138.33189873417723</c:v>
                </c:pt>
                <c:pt idx="68">
                  <c:v>139.77924050632913</c:v>
                </c:pt>
                <c:pt idx="69">
                  <c:v>141.22658227848103</c:v>
                </c:pt>
                <c:pt idx="70">
                  <c:v>142.67392405063293</c:v>
                </c:pt>
                <c:pt idx="71">
                  <c:v>144.12126582278481</c:v>
                </c:pt>
                <c:pt idx="72">
                  <c:v>145.56860759493671</c:v>
                </c:pt>
                <c:pt idx="73">
                  <c:v>147.01594936708861</c:v>
                </c:pt>
                <c:pt idx="74">
                  <c:v>148.46329113924051</c:v>
                </c:pt>
                <c:pt idx="75">
                  <c:v>149.91063291139238</c:v>
                </c:pt>
                <c:pt idx="76">
                  <c:v>151.35797468354428</c:v>
                </c:pt>
                <c:pt idx="77">
                  <c:v>152.80531645569619</c:v>
                </c:pt>
                <c:pt idx="78">
                  <c:v>154.25265822784809</c:v>
                </c:pt>
                <c:pt idx="79">
                  <c:v>155.69999999999999</c:v>
                </c:pt>
                <c:pt idx="80">
                  <c:v>157.14734177215189</c:v>
                </c:pt>
                <c:pt idx="81">
                  <c:v>158.59468354430379</c:v>
                </c:pt>
                <c:pt idx="82">
                  <c:v>160.04202531645569</c:v>
                </c:pt>
                <c:pt idx="83">
                  <c:v>161.48936708860759</c:v>
                </c:pt>
                <c:pt idx="84">
                  <c:v>162.9367088607595</c:v>
                </c:pt>
                <c:pt idx="85">
                  <c:v>164.3840506329114</c:v>
                </c:pt>
                <c:pt idx="86">
                  <c:v>165.8313924050633</c:v>
                </c:pt>
                <c:pt idx="87">
                  <c:v>167.2787341772152</c:v>
                </c:pt>
                <c:pt idx="88">
                  <c:v>168.7260759493671</c:v>
                </c:pt>
                <c:pt idx="89">
                  <c:v>170.173417721519</c:v>
                </c:pt>
                <c:pt idx="90">
                  <c:v>171.6207594936709</c:v>
                </c:pt>
                <c:pt idx="91">
                  <c:v>173.0681012658228</c:v>
                </c:pt>
                <c:pt idx="92">
                  <c:v>174.51544303797471</c:v>
                </c:pt>
                <c:pt idx="93">
                  <c:v>175.96278481012661</c:v>
                </c:pt>
                <c:pt idx="94">
                  <c:v>177.41012658227851</c:v>
                </c:pt>
                <c:pt idx="95">
                  <c:v>178.85746835443041</c:v>
                </c:pt>
                <c:pt idx="96">
                  <c:v>180.30481012658225</c:v>
                </c:pt>
                <c:pt idx="97">
                  <c:v>181.75215189873416</c:v>
                </c:pt>
                <c:pt idx="98">
                  <c:v>183.19949367088606</c:v>
                </c:pt>
                <c:pt idx="99">
                  <c:v>184.64683544303796</c:v>
                </c:pt>
                <c:pt idx="100">
                  <c:v>186.09417721518986</c:v>
                </c:pt>
                <c:pt idx="101">
                  <c:v>187.54151898734176</c:v>
                </c:pt>
                <c:pt idx="102">
                  <c:v>188.98886075949366</c:v>
                </c:pt>
                <c:pt idx="103">
                  <c:v>190.43620253164556</c:v>
                </c:pt>
                <c:pt idx="104">
                  <c:v>191.88354430379746</c:v>
                </c:pt>
                <c:pt idx="105">
                  <c:v>193.33088607594937</c:v>
                </c:pt>
                <c:pt idx="106">
                  <c:v>194.77822784810127</c:v>
                </c:pt>
                <c:pt idx="107">
                  <c:v>196.22556962025317</c:v>
                </c:pt>
                <c:pt idx="108">
                  <c:v>197.67291139240507</c:v>
                </c:pt>
                <c:pt idx="109">
                  <c:v>199.12025316455697</c:v>
                </c:pt>
                <c:pt idx="110">
                  <c:v>200.56759493670887</c:v>
                </c:pt>
                <c:pt idx="111">
                  <c:v>202.01493670886077</c:v>
                </c:pt>
                <c:pt idx="112">
                  <c:v>203.46227848101267</c:v>
                </c:pt>
                <c:pt idx="113">
                  <c:v>204.90962025316458</c:v>
                </c:pt>
                <c:pt idx="114">
                  <c:v>206.35696202531648</c:v>
                </c:pt>
                <c:pt idx="115">
                  <c:v>207.80430379746838</c:v>
                </c:pt>
                <c:pt idx="116">
                  <c:v>209.25164556962028</c:v>
                </c:pt>
                <c:pt idx="117">
                  <c:v>210.69898734177218</c:v>
                </c:pt>
                <c:pt idx="118">
                  <c:v>212.14632911392408</c:v>
                </c:pt>
                <c:pt idx="119">
                  <c:v>213.59367088607598</c:v>
                </c:pt>
                <c:pt idx="120">
                  <c:v>215.04101265822788</c:v>
                </c:pt>
                <c:pt idx="121">
                  <c:v>216.48835443037979</c:v>
                </c:pt>
                <c:pt idx="122">
                  <c:v>217.93569620253163</c:v>
                </c:pt>
                <c:pt idx="123">
                  <c:v>219.38303797468353</c:v>
                </c:pt>
                <c:pt idx="124">
                  <c:v>220.83037974683543</c:v>
                </c:pt>
                <c:pt idx="125">
                  <c:v>222.27772151898733</c:v>
                </c:pt>
                <c:pt idx="126">
                  <c:v>223.72506329113924</c:v>
                </c:pt>
                <c:pt idx="127">
                  <c:v>225.17240506329114</c:v>
                </c:pt>
                <c:pt idx="128">
                  <c:v>226.61974683544304</c:v>
                </c:pt>
                <c:pt idx="129">
                  <c:v>228.06708860759494</c:v>
                </c:pt>
                <c:pt idx="130">
                  <c:v>229.51443037974684</c:v>
                </c:pt>
                <c:pt idx="131">
                  <c:v>230.96177215189874</c:v>
                </c:pt>
                <c:pt idx="132">
                  <c:v>232.40911392405064</c:v>
                </c:pt>
                <c:pt idx="133">
                  <c:v>233.85645569620254</c:v>
                </c:pt>
                <c:pt idx="134">
                  <c:v>235.30379746835445</c:v>
                </c:pt>
                <c:pt idx="135">
                  <c:v>236.75113924050635</c:v>
                </c:pt>
                <c:pt idx="136">
                  <c:v>238.19848101265825</c:v>
                </c:pt>
                <c:pt idx="137">
                  <c:v>239.64582278481015</c:v>
                </c:pt>
                <c:pt idx="138">
                  <c:v>241.09316455696205</c:v>
                </c:pt>
                <c:pt idx="139">
                  <c:v>242.54050632911395</c:v>
                </c:pt>
                <c:pt idx="140">
                  <c:v>243.98784810126585</c:v>
                </c:pt>
                <c:pt idx="141">
                  <c:v>245.43518987341776</c:v>
                </c:pt>
                <c:pt idx="142">
                  <c:v>246.8825316455696</c:v>
                </c:pt>
                <c:pt idx="143">
                  <c:v>248.3298734177215</c:v>
                </c:pt>
                <c:pt idx="144">
                  <c:v>249.7772151898734</c:v>
                </c:pt>
                <c:pt idx="145">
                  <c:v>251.2245569620253</c:v>
                </c:pt>
                <c:pt idx="146">
                  <c:v>252.6718987341772</c:v>
                </c:pt>
                <c:pt idx="147">
                  <c:v>254.11924050632911</c:v>
                </c:pt>
                <c:pt idx="148">
                  <c:v>255.56658227848101</c:v>
                </c:pt>
                <c:pt idx="149">
                  <c:v>257.01392405063291</c:v>
                </c:pt>
                <c:pt idx="150">
                  <c:v>258.46126582278481</c:v>
                </c:pt>
                <c:pt idx="151">
                  <c:v>259.90860759493671</c:v>
                </c:pt>
                <c:pt idx="152">
                  <c:v>261.35594936708861</c:v>
                </c:pt>
                <c:pt idx="153">
                  <c:v>262.80329113924051</c:v>
                </c:pt>
                <c:pt idx="154">
                  <c:v>264.25063291139242</c:v>
                </c:pt>
                <c:pt idx="155">
                  <c:v>265.69797468354432</c:v>
                </c:pt>
                <c:pt idx="156">
                  <c:v>267.14531645569622</c:v>
                </c:pt>
                <c:pt idx="157">
                  <c:v>268.59265822784812</c:v>
                </c:pt>
                <c:pt idx="158">
                  <c:v>270.04000000000002</c:v>
                </c:pt>
                <c:pt idx="159">
                  <c:v>271.48734177215192</c:v>
                </c:pt>
              </c:numCache>
            </c:numRef>
          </c:val>
          <c:smooth val="0"/>
          <c:extLst>
            <c:ext xmlns:c16="http://schemas.microsoft.com/office/drawing/2014/chart" uri="{C3380CC4-5D6E-409C-BE32-E72D297353CC}">
              <c16:uniqueId val="{00000001-AD45-604F-9265-B58C97344F22}"/>
            </c:ext>
          </c:extLst>
        </c:ser>
        <c:dLbls>
          <c:showLegendKey val="0"/>
          <c:showVal val="0"/>
          <c:showCatName val="0"/>
          <c:showSerName val="0"/>
          <c:showPercent val="0"/>
          <c:showBubbleSize val="0"/>
        </c:dLbls>
        <c:hiLowLines>
          <c:spPr>
            <a:ln w="0">
              <a:noFill/>
            </a:ln>
          </c:spPr>
        </c:hiLowLines>
        <c:marker val="1"/>
        <c:smooth val="0"/>
        <c:axId val="10179046"/>
        <c:axId val="83853558"/>
      </c:lineChart>
      <c:dateAx>
        <c:axId val="38230925"/>
        <c:scaling>
          <c:orientation val="minMax"/>
        </c:scaling>
        <c:delete val="1"/>
        <c:axPos val="b"/>
        <c:numFmt formatCode="mm/dd/yyyy" sourceLinked="1"/>
        <c:majorTickMark val="none"/>
        <c:minorTickMark val="none"/>
        <c:tickLblPos val="nextTo"/>
        <c:crossAx val="72398756"/>
        <c:crosses val="autoZero"/>
        <c:auto val="1"/>
        <c:lblOffset val="100"/>
        <c:baseTimeUnit val="days"/>
      </c:dateAx>
      <c:valAx>
        <c:axId val="723987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8230925"/>
        <c:crosses val="autoZero"/>
        <c:crossBetween val="between"/>
      </c:valAx>
      <c:dateAx>
        <c:axId val="10179046"/>
        <c:scaling>
          <c:orientation val="minMax"/>
        </c:scaling>
        <c:delete val="1"/>
        <c:axPos val="b"/>
        <c:numFmt formatCode="mm/dd/yyyy" sourceLinked="1"/>
        <c:majorTickMark val="none"/>
        <c:minorTickMark val="none"/>
        <c:tickLblPos val="nextTo"/>
        <c:crossAx val="83853558"/>
        <c:crosses val="autoZero"/>
        <c:auto val="1"/>
        <c:lblOffset val="100"/>
        <c:baseTimeUnit val="days"/>
      </c:dateAx>
      <c:valAx>
        <c:axId val="838535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017904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layout/>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(Calc)'!$G$3:$G$500</c:f>
              <c:numCache>
                <c:formatCode>0.0%</c:formatCode>
                <c:ptCount val="498"/>
                <c:pt idx="0">
                  <c:v>-5.1860202931229837E-3</c:v>
                </c:pt>
                <c:pt idx="1">
                  <c:v>1.5185856754306393E-2</c:v>
                </c:pt>
                <c:pt idx="2">
                  <c:v>2.031703505246707E-2</c:v>
                </c:pt>
                <c:pt idx="3">
                  <c:v>4.0262582056892704E-2</c:v>
                </c:pt>
                <c:pt idx="4">
                  <c:v>-5.006310475389153E-2</c:v>
                </c:pt>
                <c:pt idx="5">
                  <c:v>-9.7431355181576418E-3</c:v>
                </c:pt>
                <c:pt idx="6">
                  <c:v>9.1010733452594028E-2</c:v>
                </c:pt>
                <c:pt idx="7">
                  <c:v>6.9276491084238723E-2</c:v>
                </c:pt>
                <c:pt idx="8">
                  <c:v>2.204331991566022E-2</c:v>
                </c:pt>
                <c:pt idx="9">
                  <c:v>2.0442610652663173E-2</c:v>
                </c:pt>
                <c:pt idx="10">
                  <c:v>-1.1946333394596609E-2</c:v>
                </c:pt>
                <c:pt idx="11">
                  <c:v>-2.6599702380952328E-2</c:v>
                </c:pt>
                <c:pt idx="12">
                  <c:v>9.4783107204280626E-2</c:v>
                </c:pt>
                <c:pt idx="13">
                  <c:v>-4.1892127770990495E-3</c:v>
                </c:pt>
                <c:pt idx="14">
                  <c:v>-2.2787028921997798E-3</c:v>
                </c:pt>
                <c:pt idx="15">
                  <c:v>-6.3598032326071752E-2</c:v>
                </c:pt>
                <c:pt idx="16">
                  <c:v>2.9831144465290782E-2</c:v>
                </c:pt>
                <c:pt idx="17">
                  <c:v>9.3459646565859034E-2</c:v>
                </c:pt>
                <c:pt idx="18">
                  <c:v>-2.2159280239920087E-2</c:v>
                </c:pt>
                <c:pt idx="19">
                  <c:v>8.1785653433295025E-3</c:v>
                </c:pt>
                <c:pt idx="20">
                  <c:v>7.5376035152949106E-2</c:v>
                </c:pt>
                <c:pt idx="21">
                  <c:v>1.9959138771020069E-2</c:v>
                </c:pt>
                <c:pt idx="22">
                  <c:v>1.1248073959938099E-2</c:v>
                </c:pt>
                <c:pt idx="23">
                  <c:v>7.2984915435014619E-2</c:v>
                </c:pt>
                <c:pt idx="24">
                  <c:v>-2.5560920193126946E-2</c:v>
                </c:pt>
                <c:pt idx="25">
                  <c:v>-2.200524628388234E-2</c:v>
                </c:pt>
                <c:pt idx="26">
                  <c:v>3.904038146326938E-2</c:v>
                </c:pt>
                <c:pt idx="27">
                  <c:v>-1.6922415029399174E-2</c:v>
                </c:pt>
                <c:pt idx="28">
                  <c:v>-2.2465353756382034E-2</c:v>
                </c:pt>
                <c:pt idx="29">
                  <c:v>-2.9846291598268904E-3</c:v>
                </c:pt>
                <c:pt idx="30">
                  <c:v>-7.7383625205807549E-2</c:v>
                </c:pt>
                <c:pt idx="31">
                  <c:v>0.12443218689162894</c:v>
                </c:pt>
                <c:pt idx="32">
                  <c:v>-1.3706535853412194E-2</c:v>
                </c:pt>
                <c:pt idx="33">
                  <c:v>3.1158572264482043E-2</c:v>
                </c:pt>
                <c:pt idx="34">
                  <c:v>4.2984820541920765E-2</c:v>
                </c:pt>
                <c:pt idx="35">
                  <c:v>4.2029379760609498E-2</c:v>
                </c:pt>
                <c:pt idx="36">
                  <c:v>-2.5062002349562795E-2</c:v>
                </c:pt>
                <c:pt idx="37">
                  <c:v>1.2317579327888684E-2</c:v>
                </c:pt>
                <c:pt idx="38">
                  <c:v>7.2741700833223177E-2</c:v>
                </c:pt>
                <c:pt idx="39">
                  <c:v>-1.0109727530513979E-2</c:v>
                </c:pt>
                <c:pt idx="40">
                  <c:v>9.8393324199774757E-3</c:v>
                </c:pt>
                <c:pt idx="41">
                  <c:v>3.7247163295510477E-2</c:v>
                </c:pt>
                <c:pt idx="42">
                  <c:v>2.8537455410226897E-3</c:v>
                </c:pt>
                <c:pt idx="43">
                  <c:v>-0.11097936921982454</c:v>
                </c:pt>
                <c:pt idx="44">
                  <c:v>3.2675380101360396E-2</c:v>
                </c:pt>
                <c:pt idx="45">
                  <c:v>-0.11584657109647445</c:v>
                </c:pt>
                <c:pt idx="46">
                  <c:v>7.2597137014315027E-2</c:v>
                </c:pt>
                <c:pt idx="47">
                  <c:v>9.9550592400925897E-2</c:v>
                </c:pt>
                <c:pt idx="48">
                  <c:v>-2.1055239038890727E-3</c:v>
                </c:pt>
                <c:pt idx="49">
                  <c:v>1.8617351371479351E-3</c:v>
                </c:pt>
                <c:pt idx="50">
                  <c:v>-0.14234390485629334</c:v>
                </c:pt>
                <c:pt idx="51">
                  <c:v>6.9334103712263451E-2</c:v>
                </c:pt>
                <c:pt idx="52">
                  <c:v>9.8608672159936628E-3</c:v>
                </c:pt>
                <c:pt idx="53">
                  <c:v>3.1032637774210725E-2</c:v>
                </c:pt>
                <c:pt idx="54">
                  <c:v>6.3570316554228956E-3</c:v>
                </c:pt>
                <c:pt idx="55">
                  <c:v>2.0755446693309532E-2</c:v>
                </c:pt>
                <c:pt idx="56">
                  <c:v>-0.15584743622126807</c:v>
                </c:pt>
                <c:pt idx="57">
                  <c:v>-7.9293836026331777E-3</c:v>
                </c:pt>
                <c:pt idx="58">
                  <c:v>-5.579852209319891E-3</c:v>
                </c:pt>
                <c:pt idx="59">
                  <c:v>2.6994237185320014E-2</c:v>
                </c:pt>
                <c:pt idx="60">
                  <c:v>-0.10617247489663317</c:v>
                </c:pt>
                <c:pt idx="61">
                  <c:v>4.3779943829505896E-2</c:v>
                </c:pt>
                <c:pt idx="62">
                  <c:v>1.1712567268122864E-2</c:v>
                </c:pt>
                <c:pt idx="63">
                  <c:v>2.0337922403002029E-3</c:v>
                </c:pt>
                <c:pt idx="64">
                  <c:v>8.2747853239657498E-3</c:v>
                </c:pt>
                <c:pt idx="65">
                  <c:v>-3.7318055125425742E-2</c:v>
                </c:pt>
                <c:pt idx="66">
                  <c:v>2.4609940485764925E-2</c:v>
                </c:pt>
                <c:pt idx="67">
                  <c:v>1.883830455259039E-2</c:v>
                </c:pt>
                <c:pt idx="68">
                  <c:v>3.9753466872110899E-2</c:v>
                </c:pt>
                <c:pt idx="69">
                  <c:v>0.10892116182572598</c:v>
                </c:pt>
                <c:pt idx="70">
                  <c:v>-1.0156354403314194E-2</c:v>
                </c:pt>
                <c:pt idx="71">
                  <c:v>-1.5390846496557087E-2</c:v>
                </c:pt>
                <c:pt idx="72">
                  <c:v>1.2751953928424431E-2</c:v>
                </c:pt>
                <c:pt idx="73">
                  <c:v>4.0617384240455578E-3</c:v>
                </c:pt>
                <c:pt idx="74">
                  <c:v>4.7195253505933898E-3</c:v>
                </c:pt>
                <c:pt idx="75">
                  <c:v>-5.8113004965776427E-2</c:v>
                </c:pt>
                <c:pt idx="76">
                  <c:v>3.4197777144484576E-3</c:v>
                </c:pt>
                <c:pt idx="77">
                  <c:v>2.414086907128743E-3</c:v>
                </c:pt>
                <c:pt idx="78">
                  <c:v>-9.0664400056665873E-3</c:v>
                </c:pt>
                <c:pt idx="79">
                  <c:v>-4.6604717655468253E-2</c:v>
                </c:pt>
                <c:pt idx="80">
                  <c:v>-0.14409956515219668</c:v>
                </c:pt>
                <c:pt idx="81">
                  <c:v>0.16257883672039242</c:v>
                </c:pt>
                <c:pt idx="82">
                  <c:v>-5.3496081977094545E-2</c:v>
                </c:pt>
                <c:pt idx="83">
                  <c:v>9.4889348829804154E-2</c:v>
                </c:pt>
                <c:pt idx="84">
                  <c:v>5.0894285298823672E-3</c:v>
                </c:pt>
                <c:pt idx="85">
                  <c:v>4.4849537037037202E-3</c:v>
                </c:pt>
                <c:pt idx="86">
                  <c:v>0.12818666282586766</c:v>
                </c:pt>
                <c:pt idx="87">
                  <c:v>-4.0597472232860921E-2</c:v>
                </c:pt>
                <c:pt idx="88">
                  <c:v>-3.9920159680639777E-4</c:v>
                </c:pt>
                <c:pt idx="89">
                  <c:v>6.7492012779552635E-2</c:v>
                </c:pt>
                <c:pt idx="90">
                  <c:v>7.3824666417259044E-2</c:v>
                </c:pt>
                <c:pt idx="91">
                  <c:v>-2.0322842875391989E-2</c:v>
                </c:pt>
                <c:pt idx="92">
                  <c:v>4.6941678520625807E-2</c:v>
                </c:pt>
                <c:pt idx="93">
                  <c:v>3.8949275362319069E-2</c:v>
                </c:pt>
                <c:pt idx="94">
                  <c:v>0</c:v>
                </c:pt>
                <c:pt idx="95">
                  <c:v>7.0836965998255508E-3</c:v>
                </c:pt>
                <c:pt idx="96">
                  <c:v>-3.1165458283735514E-2</c:v>
                </c:pt>
                <c:pt idx="97">
                  <c:v>-1.7089243828884215E-2</c:v>
                </c:pt>
                <c:pt idx="98">
                  <c:v>3.1704545454545485E-2</c:v>
                </c:pt>
                <c:pt idx="99">
                  <c:v>-4.3506994162352708E-2</c:v>
                </c:pt>
                <c:pt idx="100">
                  <c:v>-3.2243205895901017E-3</c:v>
                </c:pt>
                <c:pt idx="101">
                  <c:v>1.9639556377080147E-3</c:v>
                </c:pt>
                <c:pt idx="102">
                  <c:v>3.7933817594834496E-2</c:v>
                </c:pt>
                <c:pt idx="103">
                  <c:v>6.5096645189957725E-2</c:v>
                </c:pt>
                <c:pt idx="104">
                  <c:v>8.3854818523154018E-2</c:v>
                </c:pt>
                <c:pt idx="105">
                  <c:v>1.8668206312548064E-2</c:v>
                </c:pt>
                <c:pt idx="106">
                  <c:v>3.4951823162667761E-2</c:v>
                </c:pt>
                <c:pt idx="107">
                  <c:v>-0.10779481562614091</c:v>
                </c:pt>
                <c:pt idx="108">
                  <c:v>0.12603580562659844</c:v>
                </c:pt>
                <c:pt idx="109">
                  <c:v>6.8865267557009391E-2</c:v>
                </c:pt>
                <c:pt idx="110">
                  <c:v>2.1929451763705865E-2</c:v>
                </c:pt>
                <c:pt idx="111">
                  <c:v>-1.2725609248939507E-2</c:v>
                </c:pt>
                <c:pt idx="112">
                  <c:v>-4.9536647009267187E-2</c:v>
                </c:pt>
                <c:pt idx="113">
                  <c:v>-3.1111505052295652E-2</c:v>
                </c:pt>
                <c:pt idx="114">
                  <c:v>7.1356691976946163E-2</c:v>
                </c:pt>
                <c:pt idx="115">
                  <c:v>3.321663393390839E-2</c:v>
                </c:pt>
                <c:pt idx="116">
                  <c:v>-1.6942148760330511E-2</c:v>
                </c:pt>
                <c:pt idx="117">
                  <c:v>4.3379571248423732E-2</c:v>
                </c:pt>
                <c:pt idx="118">
                  <c:v>2.7233905406494285E-2</c:v>
                </c:pt>
                <c:pt idx="119">
                  <c:v>-4.0003137500980168E-3</c:v>
                </c:pt>
                <c:pt idx="120">
                  <c:v>9.8440699322727809E-2</c:v>
                </c:pt>
                <c:pt idx="121">
                  <c:v>0.11987381703470024</c:v>
                </c:pt>
                <c:pt idx="122">
                  <c:v>-3.5083226632522391E-2</c:v>
                </c:pt>
                <c:pt idx="123">
                  <c:v>-5.6064225053078509E-2</c:v>
                </c:pt>
                <c:pt idx="124">
                  <c:v>1.0473044211710025E-2</c:v>
                </c:pt>
                <c:pt idx="125">
                  <c:v>1.4677239844184786E-2</c:v>
                </c:pt>
                <c:pt idx="126">
                  <c:v>2.3102762733941296E-2</c:v>
                </c:pt>
                <c:pt idx="127">
                  <c:v>1.9096756901634926E-2</c:v>
                </c:pt>
                <c:pt idx="128">
                  <c:v>-0.11808797422578743</c:v>
                </c:pt>
                <c:pt idx="129">
                  <c:v>5.5095802579587128E-2</c:v>
                </c:pt>
                <c:pt idx="130">
                  <c:v>5.6458451102317619E-2</c:v>
                </c:pt>
                <c:pt idx="131">
                  <c:v>-3.7054377633603086E-2</c:v>
                </c:pt>
                <c:pt idx="132">
                  <c:v>5.1052302563033836E-2</c:v>
                </c:pt>
                <c:pt idx="133">
                  <c:v>0.14532117367168929</c:v>
                </c:pt>
                <c:pt idx="134">
                  <c:v>3.1158040505452789E-2</c:v>
                </c:pt>
                <c:pt idx="135">
                  <c:v>8.0185775837949613E-2</c:v>
                </c:pt>
                <c:pt idx="136">
                  <c:v>-0.10790509738914211</c:v>
                </c:pt>
                <c:pt idx="137">
                  <c:v>8.2805876546077517E-2</c:v>
                </c:pt>
                <c:pt idx="138">
                  <c:v>-3.4697270338392205E-2</c:v>
                </c:pt>
                <c:pt idx="139">
                  <c:v>4.788888888888887E-2</c:v>
                </c:pt>
                <c:pt idx="140">
                  <c:v>1.7654543526667288E-2</c:v>
                </c:pt>
                <c:pt idx="141">
                  <c:v>3.9072675175826355E-3</c:v>
                </c:pt>
                <c:pt idx="142">
                  <c:v>0.31940840685002603</c:v>
                </c:pt>
                <c:pt idx="143">
                  <c:v>1.9744346116027378E-2</c:v>
                </c:pt>
                <c:pt idx="144">
                  <c:v>-4.2079685270181577E-2</c:v>
                </c:pt>
                <c:pt idx="145">
                  <c:v>-5.2665485585440486E-2</c:v>
                </c:pt>
                <c:pt idx="146">
                  <c:v>-1.7086025161509699E-2</c:v>
                </c:pt>
                <c:pt idx="147">
                  <c:v>-8.1077575023782766E-2</c:v>
                </c:pt>
                <c:pt idx="148">
                  <c:v>-1.0493623829466836E-2</c:v>
                </c:pt>
                <c:pt idx="149">
                  <c:v>-0.13158645615369979</c:v>
                </c:pt>
                <c:pt idx="150">
                  <c:v>8.3675592793384546E-2</c:v>
                </c:pt>
                <c:pt idx="151">
                  <c:v>2.8298549699327991E-2</c:v>
                </c:pt>
                <c:pt idx="152">
                  <c:v>-9.5827804806132955E-2</c:v>
                </c:pt>
                <c:pt idx="153">
                  <c:v>-4.5926409043969829E-2</c:v>
                </c:pt>
                <c:pt idx="154">
                  <c:v>5.7308875469978426E-2</c:v>
                </c:pt>
                <c:pt idx="155">
                  <c:v>-2.6724137931034564E-2</c:v>
                </c:pt>
                <c:pt idx="156">
                  <c:v>-2.020593445527008E-2</c:v>
                </c:pt>
                <c:pt idx="157">
                  <c:v>6.175490140685902E-2</c:v>
                </c:pt>
                <c:pt idx="158">
                  <c:v>0.10094721157939546</c:v>
                </c:pt>
                <c:pt idx="159">
                  <c:v>0</c:v>
                </c:pt>
              </c:numCache>
            </c:numRef>
          </c:val>
          <c:extLst>
            <c:ext xmlns:c16="http://schemas.microsoft.com/office/drawing/2014/chart" uri="{C3380CC4-5D6E-409C-BE32-E72D297353CC}">
              <c16:uniqueId val="{00000000-E3F4-3141-B2B2-C940E800CA10}"/>
            </c:ext>
          </c:extLst>
        </c:ser>
        <c:dLbls>
          <c:showLegendKey val="0"/>
          <c:showVal val="0"/>
          <c:showCatName val="0"/>
          <c:showSerName val="0"/>
          <c:showPercent val="0"/>
          <c:showBubbleSize val="0"/>
        </c:dLbls>
        <c:gapWidth val="150"/>
        <c:axId val="96700955"/>
        <c:axId val="48451678"/>
      </c:barChart>
      <c:lineChart>
        <c:grouping val="standard"/>
        <c:varyColors val="0"/>
        <c:ser>
          <c:idx val="1"/>
          <c:order val="1"/>
          <c:tx>
            <c:strRef>
              <c:f>'Returns (Calc)'!$AB$2</c:f>
              <c:strCache>
                <c:ptCount val="1"/>
                <c:pt idx="0">
                  <c:v>KLAC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(Calc)'!$AB$3:$AB$500</c:f>
              <c:numCache>
                <c:formatCode>#,##0.00</c:formatCode>
                <c:ptCount val="498"/>
                <c:pt idx="0">
                  <c:v>44.35</c:v>
                </c:pt>
                <c:pt idx="1">
                  <c:v>45.378734177215193</c:v>
                </c:pt>
                <c:pt idx="2">
                  <c:v>46.407468354430378</c:v>
                </c:pt>
                <c:pt idx="3">
                  <c:v>47.43620253164557</c:v>
                </c:pt>
                <c:pt idx="4">
                  <c:v>48.464936708860762</c:v>
                </c:pt>
                <c:pt idx="5">
                  <c:v>49.493670886075947</c:v>
                </c:pt>
                <c:pt idx="6">
                  <c:v>50.522405063291139</c:v>
                </c:pt>
                <c:pt idx="7">
                  <c:v>51.55113924050633</c:v>
                </c:pt>
                <c:pt idx="8">
                  <c:v>52.579873417721522</c:v>
                </c:pt>
                <c:pt idx="9">
                  <c:v>53.608607594936707</c:v>
                </c:pt>
                <c:pt idx="10">
                  <c:v>54.637341772151899</c:v>
                </c:pt>
                <c:pt idx="11">
                  <c:v>55.666075949367091</c:v>
                </c:pt>
                <c:pt idx="12">
                  <c:v>56.694810126582283</c:v>
                </c:pt>
                <c:pt idx="13">
                  <c:v>57.723544303797468</c:v>
                </c:pt>
                <c:pt idx="14">
                  <c:v>58.752278481012659</c:v>
                </c:pt>
                <c:pt idx="15">
                  <c:v>59.781012658227851</c:v>
                </c:pt>
                <c:pt idx="16">
                  <c:v>60.809746835443036</c:v>
                </c:pt>
                <c:pt idx="17">
                  <c:v>61.838481012658228</c:v>
                </c:pt>
                <c:pt idx="18">
                  <c:v>62.86721518987342</c:v>
                </c:pt>
                <c:pt idx="19">
                  <c:v>63.895949367088605</c:v>
                </c:pt>
                <c:pt idx="20">
                  <c:v>64.924683544303804</c:v>
                </c:pt>
                <c:pt idx="21">
                  <c:v>65.953417721518989</c:v>
                </c:pt>
                <c:pt idx="22">
                  <c:v>66.982151898734173</c:v>
                </c:pt>
                <c:pt idx="23">
                  <c:v>68.010886075949372</c:v>
                </c:pt>
                <c:pt idx="24">
                  <c:v>69.039620253164557</c:v>
                </c:pt>
                <c:pt idx="25">
                  <c:v>70.068354430379742</c:v>
                </c:pt>
                <c:pt idx="26">
                  <c:v>71.097088607594941</c:v>
                </c:pt>
                <c:pt idx="27">
                  <c:v>72.125822784810126</c:v>
                </c:pt>
                <c:pt idx="28">
                  <c:v>73.15455696202531</c:v>
                </c:pt>
                <c:pt idx="29">
                  <c:v>74.183291139240509</c:v>
                </c:pt>
                <c:pt idx="30">
                  <c:v>75.212025316455694</c:v>
                </c:pt>
                <c:pt idx="31">
                  <c:v>76.240759493670879</c:v>
                </c:pt>
                <c:pt idx="32">
                  <c:v>77.269493670886078</c:v>
                </c:pt>
                <c:pt idx="33">
                  <c:v>78.298227848101263</c:v>
                </c:pt>
                <c:pt idx="34">
                  <c:v>79.326962025316448</c:v>
                </c:pt>
                <c:pt idx="35">
                  <c:v>80.355696202531647</c:v>
                </c:pt>
                <c:pt idx="36">
                  <c:v>81.384430379746831</c:v>
                </c:pt>
                <c:pt idx="37">
                  <c:v>82.413164556962016</c:v>
                </c:pt>
                <c:pt idx="38">
                  <c:v>83.441898734177215</c:v>
                </c:pt>
                <c:pt idx="39">
                  <c:v>84.4706329113924</c:v>
                </c:pt>
                <c:pt idx="40">
                  <c:v>85.499367088607585</c:v>
                </c:pt>
                <c:pt idx="41">
                  <c:v>86.528101265822784</c:v>
                </c:pt>
                <c:pt idx="42">
                  <c:v>87.556835443037983</c:v>
                </c:pt>
                <c:pt idx="43">
                  <c:v>88.585569620253153</c:v>
                </c:pt>
                <c:pt idx="44">
                  <c:v>89.614303797468352</c:v>
                </c:pt>
                <c:pt idx="45">
                  <c:v>90.643037974683551</c:v>
                </c:pt>
                <c:pt idx="46">
                  <c:v>91.671772151898722</c:v>
                </c:pt>
                <c:pt idx="47">
                  <c:v>92.700506329113921</c:v>
                </c:pt>
                <c:pt idx="48">
                  <c:v>93.72924050632912</c:v>
                </c:pt>
                <c:pt idx="49">
                  <c:v>94.757974683544305</c:v>
                </c:pt>
                <c:pt idx="50">
                  <c:v>95.786708860759489</c:v>
                </c:pt>
                <c:pt idx="51">
                  <c:v>96.815443037974688</c:v>
                </c:pt>
                <c:pt idx="52">
                  <c:v>97.844177215189873</c:v>
                </c:pt>
                <c:pt idx="53">
                  <c:v>98.872911392405058</c:v>
                </c:pt>
                <c:pt idx="54">
                  <c:v>99.901645569620257</c:v>
                </c:pt>
                <c:pt idx="55">
                  <c:v>100.93037974683543</c:v>
                </c:pt>
                <c:pt idx="56">
                  <c:v>101.95911392405063</c:v>
                </c:pt>
                <c:pt idx="57">
                  <c:v>102.98784810126583</c:v>
                </c:pt>
                <c:pt idx="58">
                  <c:v>104.01658227848101</c:v>
                </c:pt>
                <c:pt idx="59">
                  <c:v>105.0453164556962</c:v>
                </c:pt>
                <c:pt idx="60">
                  <c:v>106.07405063291139</c:v>
                </c:pt>
                <c:pt idx="61">
                  <c:v>107.10278481012658</c:v>
                </c:pt>
                <c:pt idx="62">
                  <c:v>108.13151898734176</c:v>
                </c:pt>
                <c:pt idx="63">
                  <c:v>109.16025316455696</c:v>
                </c:pt>
                <c:pt idx="64">
                  <c:v>110.18898734177216</c:v>
                </c:pt>
                <c:pt idx="65">
                  <c:v>111.21772151898733</c:v>
                </c:pt>
                <c:pt idx="66">
                  <c:v>112.24645569620253</c:v>
                </c:pt>
                <c:pt idx="67">
                  <c:v>113.27518987341773</c:v>
                </c:pt>
                <c:pt idx="68">
                  <c:v>114.3039240506329</c:v>
                </c:pt>
                <c:pt idx="69">
                  <c:v>115.3326582278481</c:v>
                </c:pt>
                <c:pt idx="70">
                  <c:v>116.3613924050633</c:v>
                </c:pt>
                <c:pt idx="71">
                  <c:v>117.39012658227847</c:v>
                </c:pt>
                <c:pt idx="72">
                  <c:v>118.41886075949367</c:v>
                </c:pt>
                <c:pt idx="73">
                  <c:v>119.44759493670887</c:v>
                </c:pt>
                <c:pt idx="74">
                  <c:v>120.47632911392404</c:v>
                </c:pt>
                <c:pt idx="75">
                  <c:v>121.50506329113924</c:v>
                </c:pt>
                <c:pt idx="76">
                  <c:v>122.53379746835444</c:v>
                </c:pt>
                <c:pt idx="77">
                  <c:v>123.56253164556963</c:v>
                </c:pt>
                <c:pt idx="78">
                  <c:v>124.59126582278481</c:v>
                </c:pt>
                <c:pt idx="79">
                  <c:v>125.62</c:v>
                </c:pt>
                <c:pt idx="80">
                  <c:v>126.64873417721518</c:v>
                </c:pt>
                <c:pt idx="81">
                  <c:v>127.67746835443037</c:v>
                </c:pt>
                <c:pt idx="82">
                  <c:v>128.70620253164557</c:v>
                </c:pt>
                <c:pt idx="83">
                  <c:v>129.73493670886077</c:v>
                </c:pt>
                <c:pt idx="84">
                  <c:v>130.76367088607594</c:v>
                </c:pt>
                <c:pt idx="85">
                  <c:v>131.79240506329114</c:v>
                </c:pt>
                <c:pt idx="86">
                  <c:v>132.82113924050631</c:v>
                </c:pt>
                <c:pt idx="87">
                  <c:v>133.84987341772151</c:v>
                </c:pt>
                <c:pt idx="88">
                  <c:v>134.87860759493671</c:v>
                </c:pt>
                <c:pt idx="89">
                  <c:v>135.90734177215191</c:v>
                </c:pt>
                <c:pt idx="90">
                  <c:v>136.93607594936708</c:v>
                </c:pt>
                <c:pt idx="91">
                  <c:v>137.96481012658228</c:v>
                </c:pt>
                <c:pt idx="92">
                  <c:v>138.99354430379745</c:v>
                </c:pt>
                <c:pt idx="93">
                  <c:v>140.02227848101265</c:v>
                </c:pt>
                <c:pt idx="94">
                  <c:v>141.05101265822785</c:v>
                </c:pt>
                <c:pt idx="95">
                  <c:v>142.07974683544305</c:v>
                </c:pt>
                <c:pt idx="96">
                  <c:v>143.10848101265822</c:v>
                </c:pt>
                <c:pt idx="97">
                  <c:v>144.13721518987342</c:v>
                </c:pt>
                <c:pt idx="98">
                  <c:v>145.16594936708861</c:v>
                </c:pt>
                <c:pt idx="99">
                  <c:v>146.19468354430379</c:v>
                </c:pt>
                <c:pt idx="100">
                  <c:v>147.22341772151898</c:v>
                </c:pt>
                <c:pt idx="101">
                  <c:v>148.25215189873418</c:v>
                </c:pt>
                <c:pt idx="102">
                  <c:v>149.28088607594935</c:v>
                </c:pt>
                <c:pt idx="103">
                  <c:v>150.30962025316455</c:v>
                </c:pt>
                <c:pt idx="104">
                  <c:v>151.33835443037975</c:v>
                </c:pt>
                <c:pt idx="105">
                  <c:v>152.36708860759495</c:v>
                </c:pt>
                <c:pt idx="106">
                  <c:v>153.39582278481012</c:v>
                </c:pt>
                <c:pt idx="107">
                  <c:v>154.42455696202532</c:v>
                </c:pt>
                <c:pt idx="108">
                  <c:v>155.45329113924052</c:v>
                </c:pt>
                <c:pt idx="109">
                  <c:v>156.48202531645569</c:v>
                </c:pt>
                <c:pt idx="110">
                  <c:v>157.51075949367086</c:v>
                </c:pt>
                <c:pt idx="111">
                  <c:v>158.53949367088606</c:v>
                </c:pt>
                <c:pt idx="112">
                  <c:v>159.56822784810126</c:v>
                </c:pt>
                <c:pt idx="113">
                  <c:v>160.59696202531646</c:v>
                </c:pt>
                <c:pt idx="114">
                  <c:v>161.62569620253163</c:v>
                </c:pt>
                <c:pt idx="115">
                  <c:v>162.65443037974683</c:v>
                </c:pt>
                <c:pt idx="116">
                  <c:v>163.68316455696203</c:v>
                </c:pt>
                <c:pt idx="117">
                  <c:v>164.71189873417723</c:v>
                </c:pt>
                <c:pt idx="118">
                  <c:v>165.7406329113924</c:v>
                </c:pt>
                <c:pt idx="119">
                  <c:v>166.76936708860759</c:v>
                </c:pt>
                <c:pt idx="120">
                  <c:v>167.79810126582279</c:v>
                </c:pt>
                <c:pt idx="121">
                  <c:v>168.82683544303796</c:v>
                </c:pt>
                <c:pt idx="122">
                  <c:v>169.85556962025316</c:v>
                </c:pt>
                <c:pt idx="123">
                  <c:v>170.88430379746833</c:v>
                </c:pt>
                <c:pt idx="124">
                  <c:v>171.91303797468353</c:v>
                </c:pt>
                <c:pt idx="125">
                  <c:v>172.94177215189873</c:v>
                </c:pt>
                <c:pt idx="126">
                  <c:v>173.9705063291139</c:v>
                </c:pt>
                <c:pt idx="127">
                  <c:v>174.9992405063291</c:v>
                </c:pt>
                <c:pt idx="128">
                  <c:v>176.0279746835443</c:v>
                </c:pt>
                <c:pt idx="129">
                  <c:v>177.0567088607595</c:v>
                </c:pt>
                <c:pt idx="130">
                  <c:v>178.08544303797467</c:v>
                </c:pt>
                <c:pt idx="131">
                  <c:v>179.11417721518984</c:v>
                </c:pt>
                <c:pt idx="132">
                  <c:v>180.14291139240504</c:v>
                </c:pt>
                <c:pt idx="133">
                  <c:v>181.17164556962024</c:v>
                </c:pt>
                <c:pt idx="134">
                  <c:v>182.20037974683544</c:v>
                </c:pt>
                <c:pt idx="135">
                  <c:v>183.22911392405061</c:v>
                </c:pt>
                <c:pt idx="136">
                  <c:v>184.25784810126581</c:v>
                </c:pt>
                <c:pt idx="137">
                  <c:v>185.28658227848101</c:v>
                </c:pt>
                <c:pt idx="138">
                  <c:v>186.31531645569621</c:v>
                </c:pt>
                <c:pt idx="139">
                  <c:v>187.34405063291138</c:v>
                </c:pt>
                <c:pt idx="140">
                  <c:v>188.37278481012657</c:v>
                </c:pt>
                <c:pt idx="141">
                  <c:v>189.40151898734177</c:v>
                </c:pt>
                <c:pt idx="142">
                  <c:v>190.43025316455694</c:v>
                </c:pt>
                <c:pt idx="143">
                  <c:v>191.45898734177214</c:v>
                </c:pt>
                <c:pt idx="144">
                  <c:v>192.48772151898731</c:v>
                </c:pt>
                <c:pt idx="145">
                  <c:v>193.51645569620251</c:v>
                </c:pt>
                <c:pt idx="146">
                  <c:v>194.54518987341771</c:v>
                </c:pt>
                <c:pt idx="147">
                  <c:v>195.57392405063288</c:v>
                </c:pt>
                <c:pt idx="148">
                  <c:v>196.60265822784808</c:v>
                </c:pt>
                <c:pt idx="149">
                  <c:v>197.63139240506328</c:v>
                </c:pt>
                <c:pt idx="150">
                  <c:v>198.66012658227848</c:v>
                </c:pt>
                <c:pt idx="151">
                  <c:v>199.68886075949365</c:v>
                </c:pt>
                <c:pt idx="152">
                  <c:v>200.71759493670885</c:v>
                </c:pt>
                <c:pt idx="153">
                  <c:v>201.74632911392405</c:v>
                </c:pt>
                <c:pt idx="154">
                  <c:v>202.77506329113925</c:v>
                </c:pt>
                <c:pt idx="155">
                  <c:v>203.80379746835442</c:v>
                </c:pt>
                <c:pt idx="156">
                  <c:v>204.83253164556959</c:v>
                </c:pt>
                <c:pt idx="157">
                  <c:v>205.86126582278479</c:v>
                </c:pt>
                <c:pt idx="158">
                  <c:v>206.89</c:v>
                </c:pt>
                <c:pt idx="159">
                  <c:v>207.91873417721516</c:v>
                </c:pt>
              </c:numCache>
            </c:numRef>
          </c:val>
          <c:smooth val="0"/>
          <c:extLst>
            <c:ext xmlns:c16="http://schemas.microsoft.com/office/drawing/2014/chart" uri="{C3380CC4-5D6E-409C-BE32-E72D297353CC}">
              <c16:uniqueId val="{00000001-E3F4-3141-B2B2-C940E800CA10}"/>
            </c:ext>
          </c:extLst>
        </c:ser>
        <c:dLbls>
          <c:showLegendKey val="0"/>
          <c:showVal val="0"/>
          <c:showCatName val="0"/>
          <c:showSerName val="0"/>
          <c:showPercent val="0"/>
          <c:showBubbleSize val="0"/>
        </c:dLbls>
        <c:hiLowLines>
          <c:spPr>
            <a:ln w="0">
              <a:noFill/>
            </a:ln>
          </c:spPr>
        </c:hiLowLines>
        <c:marker val="1"/>
        <c:smooth val="0"/>
        <c:axId val="40617528"/>
        <c:axId val="69161031"/>
      </c:lineChart>
      <c:dateAx>
        <c:axId val="96700955"/>
        <c:scaling>
          <c:orientation val="minMax"/>
        </c:scaling>
        <c:delete val="1"/>
        <c:axPos val="b"/>
        <c:numFmt formatCode="mm/dd/yyyy" sourceLinked="1"/>
        <c:majorTickMark val="none"/>
        <c:minorTickMark val="none"/>
        <c:tickLblPos val="nextTo"/>
        <c:crossAx val="48451678"/>
        <c:crosses val="autoZero"/>
        <c:auto val="1"/>
        <c:lblOffset val="100"/>
        <c:baseTimeUnit val="days"/>
      </c:dateAx>
      <c:valAx>
        <c:axId val="484516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6700955"/>
        <c:crosses val="autoZero"/>
        <c:crossBetween val="between"/>
      </c:valAx>
      <c:dateAx>
        <c:axId val="40617528"/>
        <c:scaling>
          <c:orientation val="minMax"/>
        </c:scaling>
        <c:delete val="1"/>
        <c:axPos val="b"/>
        <c:numFmt formatCode="mm/dd/yyyy" sourceLinked="1"/>
        <c:majorTickMark val="none"/>
        <c:minorTickMark val="none"/>
        <c:tickLblPos val="nextTo"/>
        <c:crossAx val="69161031"/>
        <c:crosses val="autoZero"/>
        <c:auto val="1"/>
        <c:lblOffset val="100"/>
        <c:baseTimeUnit val="days"/>
      </c:dateAx>
      <c:valAx>
        <c:axId val="691610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0617528"/>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layout/>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(Calc)'!$H$3:$H$500</c:f>
              <c:numCache>
                <c:formatCode>0.0%</c:formatCode>
                <c:ptCount val="498"/>
                <c:pt idx="0">
                  <c:v>-1.432498914773539E-2</c:v>
                </c:pt>
                <c:pt idx="1">
                  <c:v>-1.2331180270111597E-2</c:v>
                </c:pt>
                <c:pt idx="2">
                  <c:v>3.0023781212841882E-2</c:v>
                </c:pt>
                <c:pt idx="3">
                  <c:v>-1.067821067821062E-2</c:v>
                </c:pt>
                <c:pt idx="4">
                  <c:v>-2.87339556592765E-2</c:v>
                </c:pt>
                <c:pt idx="5">
                  <c:v>-2.3426940982129496E-2</c:v>
                </c:pt>
                <c:pt idx="6">
                  <c:v>0.10564354913117024</c:v>
                </c:pt>
                <c:pt idx="7">
                  <c:v>3.8247566063977834E-2</c:v>
                </c:pt>
                <c:pt idx="8">
                  <c:v>2.920294708640303E-2</c:v>
                </c:pt>
                <c:pt idx="9">
                  <c:v>-8.8507093583234386E-3</c:v>
                </c:pt>
                <c:pt idx="10">
                  <c:v>-1.2212738017071678E-2</c:v>
                </c:pt>
                <c:pt idx="11">
                  <c:v>-1.2762563148098871E-2</c:v>
                </c:pt>
                <c:pt idx="12">
                  <c:v>8.5914354969027773E-2</c:v>
                </c:pt>
                <c:pt idx="13">
                  <c:v>6.25E-2</c:v>
                </c:pt>
                <c:pt idx="14">
                  <c:v>-1.2021475256769332E-2</c:v>
                </c:pt>
                <c:pt idx="15">
                  <c:v>-2.2090962787950419E-2</c:v>
                </c:pt>
                <c:pt idx="16">
                  <c:v>-1.2805025368446521E-2</c:v>
                </c:pt>
                <c:pt idx="17">
                  <c:v>6.2163485070974023E-2</c:v>
                </c:pt>
                <c:pt idx="18">
                  <c:v>6.2211981566822061E-3</c:v>
                </c:pt>
                <c:pt idx="19">
                  <c:v>-1.7861231967025493E-2</c:v>
                </c:pt>
                <c:pt idx="20">
                  <c:v>-1.0608533457682423E-2</c:v>
                </c:pt>
                <c:pt idx="21">
                  <c:v>-7.0814186402733625E-2</c:v>
                </c:pt>
                <c:pt idx="22">
                  <c:v>8.1790514836419081E-2</c:v>
                </c:pt>
                <c:pt idx="23">
                  <c:v>0.10631813386472855</c:v>
                </c:pt>
                <c:pt idx="24">
                  <c:v>2.5958889595253165E-2</c:v>
                </c:pt>
                <c:pt idx="25">
                  <c:v>-4.4717546215016002E-2</c:v>
                </c:pt>
                <c:pt idx="26">
                  <c:v>0.1818378378378378</c:v>
                </c:pt>
                <c:pt idx="27">
                  <c:v>7.0709842663739586E-2</c:v>
                </c:pt>
                <c:pt idx="28">
                  <c:v>4.8269970098248738E-2</c:v>
                </c:pt>
                <c:pt idx="29">
                  <c:v>-8.5574572127139481E-3</c:v>
                </c:pt>
                <c:pt idx="30">
                  <c:v>-0.12856555692560623</c:v>
                </c:pt>
                <c:pt idx="31">
                  <c:v>7.5558909536836083E-2</c:v>
                </c:pt>
                <c:pt idx="32">
                  <c:v>-1.2278547623224556E-3</c:v>
                </c:pt>
                <c:pt idx="33">
                  <c:v>5.7077625570776336E-2</c:v>
                </c:pt>
                <c:pt idx="34">
                  <c:v>3.3394251536800201E-2</c:v>
                </c:pt>
                <c:pt idx="35">
                  <c:v>3.3520900321543312E-2</c:v>
                </c:pt>
                <c:pt idx="36">
                  <c:v>-3.4689274325270247E-2</c:v>
                </c:pt>
                <c:pt idx="37">
                  <c:v>4.7538473934412906E-2</c:v>
                </c:pt>
                <c:pt idx="38">
                  <c:v>7.9532343665871919E-2</c:v>
                </c:pt>
                <c:pt idx="39">
                  <c:v>-1.2825080156750879E-2</c:v>
                </c:pt>
                <c:pt idx="40">
                  <c:v>-5.7452183327318718E-2</c:v>
                </c:pt>
                <c:pt idx="41">
                  <c:v>5.3602879240366441E-4</c:v>
                </c:pt>
                <c:pt idx="42">
                  <c:v>1.5766110515842646E-2</c:v>
                </c:pt>
                <c:pt idx="43">
                  <c:v>-0.14443942133815557</c:v>
                </c:pt>
                <c:pt idx="44">
                  <c:v>-4.2448260678115357E-2</c:v>
                </c:pt>
                <c:pt idx="45">
                  <c:v>-0.1527637266623747</c:v>
                </c:pt>
                <c:pt idx="46">
                  <c:v>4.1250542770299159E-3</c:v>
                </c:pt>
                <c:pt idx="47">
                  <c:v>0.16021621621621618</c:v>
                </c:pt>
                <c:pt idx="48">
                  <c:v>-4.7614610510622435E-2</c:v>
                </c:pt>
                <c:pt idx="49">
                  <c:v>-6.4279424713824418E-2</c:v>
                </c:pt>
                <c:pt idx="50">
                  <c:v>-0.10246758678377244</c:v>
                </c:pt>
                <c:pt idx="51">
                  <c:v>5.6034482758620774E-2</c:v>
                </c:pt>
                <c:pt idx="52">
                  <c:v>-3.5300606729179451E-3</c:v>
                </c:pt>
                <c:pt idx="53">
                  <c:v>0.1826635669212886</c:v>
                </c:pt>
                <c:pt idx="54">
                  <c:v>-4.8862679022746436E-2</c:v>
                </c:pt>
                <c:pt idx="55">
                  <c:v>4.6845782895384325E-2</c:v>
                </c:pt>
                <c:pt idx="56">
                  <c:v>3.9578828617091277E-2</c:v>
                </c:pt>
                <c:pt idx="57">
                  <c:v>-2.9119189726894534E-2</c:v>
                </c:pt>
                <c:pt idx="58">
                  <c:v>-7.5819672131147597E-2</c:v>
                </c:pt>
                <c:pt idx="59">
                  <c:v>0.1220520056440233</c:v>
                </c:pt>
                <c:pt idx="60">
                  <c:v>-0.13904607922392886</c:v>
                </c:pt>
                <c:pt idx="61">
                  <c:v>6.5310380803338619E-2</c:v>
                </c:pt>
                <c:pt idx="62">
                  <c:v>-4.563705807462537E-2</c:v>
                </c:pt>
                <c:pt idx="63">
                  <c:v>3.283735248845554E-2</c:v>
                </c:pt>
                <c:pt idx="64">
                  <c:v>1.3114754098360493E-2</c:v>
                </c:pt>
                <c:pt idx="65">
                  <c:v>-0.12072178091595565</c:v>
                </c:pt>
                <c:pt idx="66">
                  <c:v>-1.6506803479812482E-2</c:v>
                </c:pt>
                <c:pt idx="67">
                  <c:v>1.5309594012247629E-2</c:v>
                </c:pt>
                <c:pt idx="68">
                  <c:v>0.1053278230760637</c:v>
                </c:pt>
                <c:pt idx="69">
                  <c:v>6.4470493128536921E-2</c:v>
                </c:pt>
                <c:pt idx="70">
                  <c:v>-2.4207328650085458E-2</c:v>
                </c:pt>
                <c:pt idx="71">
                  <c:v>-0.11577001653857388</c:v>
                </c:pt>
                <c:pt idx="72">
                  <c:v>1.1662449114314022E-2</c:v>
                </c:pt>
                <c:pt idx="73">
                  <c:v>7.8194671016857065E-2</c:v>
                </c:pt>
                <c:pt idx="74">
                  <c:v>-6.8589872907001137E-3</c:v>
                </c:pt>
                <c:pt idx="75">
                  <c:v>-5.271176112126752E-2</c:v>
                </c:pt>
                <c:pt idx="76">
                  <c:v>-7.1834459097245285E-3</c:v>
                </c:pt>
                <c:pt idx="77">
                  <c:v>8.4233261339093035E-2</c:v>
                </c:pt>
                <c:pt idx="78">
                  <c:v>-6.015936254980081E-2</c:v>
                </c:pt>
                <c:pt idx="79">
                  <c:v>-6.6341670199236979E-2</c:v>
                </c:pt>
                <c:pt idx="80">
                  <c:v>-0.26719636776390454</c:v>
                </c:pt>
                <c:pt idx="81">
                  <c:v>7.4504337050805391E-2</c:v>
                </c:pt>
                <c:pt idx="82">
                  <c:v>-1.0667435490846366E-2</c:v>
                </c:pt>
                <c:pt idx="83">
                  <c:v>0.15955121666909511</c:v>
                </c:pt>
                <c:pt idx="84">
                  <c:v>1.1686353355114365E-2</c:v>
                </c:pt>
                <c:pt idx="85">
                  <c:v>6.3718792696559445E-2</c:v>
                </c:pt>
                <c:pt idx="86">
                  <c:v>0.14140588510042029</c:v>
                </c:pt>
                <c:pt idx="87">
                  <c:v>-4.7263427109974443E-2</c:v>
                </c:pt>
                <c:pt idx="88">
                  <c:v>1.1704069580156906E-2</c:v>
                </c:pt>
                <c:pt idx="89">
                  <c:v>0.14922521757588636</c:v>
                </c:pt>
                <c:pt idx="90">
                  <c:v>6.4924270410048113E-2</c:v>
                </c:pt>
                <c:pt idx="91">
                  <c:v>6.9204752406556214E-2</c:v>
                </c:pt>
                <c:pt idx="92">
                  <c:v>9.3276015897476583E-3</c:v>
                </c:pt>
                <c:pt idx="93">
                  <c:v>-1.9768563162970043E-2</c:v>
                </c:pt>
                <c:pt idx="94">
                  <c:v>1.9265453353008555E-2</c:v>
                </c:pt>
                <c:pt idx="95">
                  <c:v>-8.1396284082683179E-2</c:v>
                </c:pt>
                <c:pt idx="96">
                  <c:v>-2.7405656247263765E-2</c:v>
                </c:pt>
                <c:pt idx="97">
                  <c:v>-5.7346056895930864E-2</c:v>
                </c:pt>
                <c:pt idx="98">
                  <c:v>0.13360710533855413</c:v>
                </c:pt>
                <c:pt idx="99">
                  <c:v>1.6680707666385963E-2</c:v>
                </c:pt>
                <c:pt idx="100">
                  <c:v>-2.6433543254889114E-2</c:v>
                </c:pt>
                <c:pt idx="101">
                  <c:v>1.132011234998731E-2</c:v>
                </c:pt>
                <c:pt idx="102">
                  <c:v>0.10385456993772091</c:v>
                </c:pt>
                <c:pt idx="103">
                  <c:v>0.19685879841415055</c:v>
                </c:pt>
                <c:pt idx="104">
                  <c:v>3.4972607975538361E-2</c:v>
                </c:pt>
                <c:pt idx="105">
                  <c:v>-3.3544654397734908E-2</c:v>
                </c:pt>
                <c:pt idx="106">
                  <c:v>0.19507069163163915</c:v>
                </c:pt>
                <c:pt idx="107">
                  <c:v>-3.3200106581401601E-2</c:v>
                </c:pt>
                <c:pt idx="108">
                  <c:v>0.11443060302061525</c:v>
                </c:pt>
                <c:pt idx="109">
                  <c:v>8.2253437530912965E-2</c:v>
                </c:pt>
                <c:pt idx="110">
                  <c:v>2.1662629678716794E-2</c:v>
                </c:pt>
                <c:pt idx="111">
                  <c:v>6.3252068888391744E-2</c:v>
                </c:pt>
                <c:pt idx="112">
                  <c:v>3.7443729227144562E-2</c:v>
                </c:pt>
                <c:pt idx="113">
                  <c:v>-0.15986049718155648</c:v>
                </c:pt>
                <c:pt idx="114">
                  <c:v>0.14036781387266495</c:v>
                </c:pt>
                <c:pt idx="115">
                  <c:v>3.1322751322750975E-3</c:v>
                </c:pt>
                <c:pt idx="116">
                  <c:v>1.649858643824631E-2</c:v>
                </c:pt>
                <c:pt idx="117">
                  <c:v>0.1027812370278125</c:v>
                </c:pt>
                <c:pt idx="118">
                  <c:v>7.0955356470676634E-2</c:v>
                </c:pt>
                <c:pt idx="119">
                  <c:v>0.10801026325963936</c:v>
                </c:pt>
                <c:pt idx="120">
                  <c:v>9.4055322928562335E-2</c:v>
                </c:pt>
                <c:pt idx="121">
                  <c:v>5.1175737191568427E-2</c:v>
                </c:pt>
                <c:pt idx="122">
                  <c:v>0.1017267060186462</c:v>
                </c:pt>
                <c:pt idx="123">
                  <c:v>3.8105252616293495E-2</c:v>
                </c:pt>
                <c:pt idx="124">
                  <c:v>-4.8668724676828146E-2</c:v>
                </c:pt>
                <c:pt idx="125">
                  <c:v>4.2995487501901408E-2</c:v>
                </c:pt>
                <c:pt idx="126">
                  <c:v>4.0105002187545535E-2</c:v>
                </c:pt>
                <c:pt idx="127">
                  <c:v>-3.6899420452421006E-2</c:v>
                </c:pt>
                <c:pt idx="128">
                  <c:v>-0.10200664838764473</c:v>
                </c:pt>
                <c:pt idx="129">
                  <c:v>0.15077413602096801</c:v>
                </c:pt>
                <c:pt idx="130">
                  <c:v>-7.5841179647325729E-3</c:v>
                </c:pt>
                <c:pt idx="131">
                  <c:v>-0.15530213410306171</c:v>
                </c:pt>
                <c:pt idx="132">
                  <c:v>2.5656825948126238E-2</c:v>
                </c:pt>
                <c:pt idx="133">
                  <c:v>0.14842427221584997</c:v>
                </c:pt>
                <c:pt idx="134">
                  <c:v>8.1967992771027065E-2</c:v>
                </c:pt>
                <c:pt idx="135">
                  <c:v>9.1516483516483449E-2</c:v>
                </c:pt>
                <c:pt idx="136">
                  <c:v>9.1595521907216426E-2</c:v>
                </c:pt>
                <c:pt idx="137">
                  <c:v>0.37734491727076547</c:v>
                </c:pt>
                <c:pt idx="138">
                  <c:v>-2.9663854292219183E-2</c:v>
                </c:pt>
                <c:pt idx="139">
                  <c:v>3.63397971154511E-2</c:v>
                </c:pt>
                <c:pt idx="140">
                  <c:v>0.29294960579586626</c:v>
                </c:pt>
                <c:pt idx="141">
                  <c:v>-0.11018179945408668</c:v>
                </c:pt>
                <c:pt idx="142">
                  <c:v>0.13610686669444827</c:v>
                </c:pt>
                <c:pt idx="143">
                  <c:v>0.15523811464552795</c:v>
                </c:pt>
                <c:pt idx="144">
                  <c:v>-1.4640771903827732E-3</c:v>
                </c:pt>
                <c:pt idx="145">
                  <c:v>-0.13845216223855294</c:v>
                </c:pt>
                <c:pt idx="146">
                  <c:v>3.9880665566274232E-3</c:v>
                </c:pt>
                <c:pt idx="147">
                  <c:v>-0.13310527928111904</c:v>
                </c:pt>
                <c:pt idx="148">
                  <c:v>8.4810648448082837E-2</c:v>
                </c:pt>
                <c:pt idx="149">
                  <c:v>-0.1063249904989414</c:v>
                </c:pt>
                <c:pt idx="150">
                  <c:v>6.6267329258957952E-2</c:v>
                </c:pt>
                <c:pt idx="151">
                  <c:v>0.10721651834041723</c:v>
                </c:pt>
                <c:pt idx="152">
                  <c:v>-5.0223329148055829E-3</c:v>
                </c:pt>
                <c:pt idx="153">
                  <c:v>-3.5085541695111577E-2</c:v>
                </c:pt>
                <c:pt idx="154">
                  <c:v>8.9756233518427209E-2</c:v>
                </c:pt>
                <c:pt idx="155">
                  <c:v>-4.065552484285706E-2</c:v>
                </c:pt>
                <c:pt idx="156">
                  <c:v>4.1568402272214477E-2</c:v>
                </c:pt>
                <c:pt idx="157">
                  <c:v>6.5445953927938616E-2</c:v>
                </c:pt>
                <c:pt idx="158">
                  <c:v>-6.828177551095771E-3</c:v>
                </c:pt>
                <c:pt idx="159">
                  <c:v>0</c:v>
                </c:pt>
              </c:numCache>
            </c:numRef>
          </c:val>
          <c:extLst>
            <c:ext xmlns:c16="http://schemas.microsoft.com/office/drawing/2014/chart" uri="{C3380CC4-5D6E-409C-BE32-E72D297353CC}">
              <c16:uniqueId val="{00000000-FCD1-7844-9310-1415361B2CEA}"/>
            </c:ext>
          </c:extLst>
        </c:ser>
        <c:dLbls>
          <c:showLegendKey val="0"/>
          <c:showVal val="0"/>
          <c:showCatName val="0"/>
          <c:showSerName val="0"/>
          <c:showPercent val="0"/>
          <c:showBubbleSize val="0"/>
        </c:dLbls>
        <c:gapWidth val="150"/>
        <c:axId val="98429815"/>
        <c:axId val="80810908"/>
      </c:barChart>
      <c:lineChart>
        <c:grouping val="standard"/>
        <c:varyColors val="0"/>
        <c:ser>
          <c:idx val="1"/>
          <c:order val="1"/>
          <c:tx>
            <c:strRef>
              <c:f>'Returns (Calc)'!$AC$2</c:f>
              <c:strCache>
                <c:ptCount val="1"/>
                <c:pt idx="0">
                  <c:v>MU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(Calc)'!$AC$3:$AC$500</c:f>
              <c:numCache>
                <c:formatCode>#,##0.00</c:formatCode>
                <c:ptCount val="498"/>
                <c:pt idx="0">
                  <c:v>69.11</c:v>
                </c:pt>
                <c:pt idx="1">
                  <c:v>75.475696202531651</c:v>
                </c:pt>
                <c:pt idx="2">
                  <c:v>81.841392405063289</c:v>
                </c:pt>
                <c:pt idx="3">
                  <c:v>88.20708860759494</c:v>
                </c:pt>
                <c:pt idx="4">
                  <c:v>94.572784810126592</c:v>
                </c:pt>
                <c:pt idx="5">
                  <c:v>100.93848101265823</c:v>
                </c:pt>
                <c:pt idx="6">
                  <c:v>107.30417721518987</c:v>
                </c:pt>
                <c:pt idx="7">
                  <c:v>113.66987341772153</c:v>
                </c:pt>
                <c:pt idx="8">
                  <c:v>120.03556962025317</c:v>
                </c:pt>
                <c:pt idx="9">
                  <c:v>126.40126582278481</c:v>
                </c:pt>
                <c:pt idx="10">
                  <c:v>132.76696202531645</c:v>
                </c:pt>
                <c:pt idx="11">
                  <c:v>139.13265822784811</c:v>
                </c:pt>
                <c:pt idx="12">
                  <c:v>145.49835443037975</c:v>
                </c:pt>
                <c:pt idx="13">
                  <c:v>151.86405063291141</c:v>
                </c:pt>
                <c:pt idx="14">
                  <c:v>158.22974683544305</c:v>
                </c:pt>
                <c:pt idx="15">
                  <c:v>164.59544303797469</c:v>
                </c:pt>
                <c:pt idx="16">
                  <c:v>170.96113924050633</c:v>
                </c:pt>
                <c:pt idx="17">
                  <c:v>177.32683544303799</c:v>
                </c:pt>
                <c:pt idx="18">
                  <c:v>183.69253164556963</c:v>
                </c:pt>
                <c:pt idx="19">
                  <c:v>190.0582278481013</c:v>
                </c:pt>
                <c:pt idx="20">
                  <c:v>196.42392405063293</c:v>
                </c:pt>
                <c:pt idx="21">
                  <c:v>202.78962025316457</c:v>
                </c:pt>
                <c:pt idx="22">
                  <c:v>209.15531645569621</c:v>
                </c:pt>
                <c:pt idx="23">
                  <c:v>215.52101265822785</c:v>
                </c:pt>
                <c:pt idx="24">
                  <c:v>221.88670886075948</c:v>
                </c:pt>
                <c:pt idx="25">
                  <c:v>228.25240506329118</c:v>
                </c:pt>
                <c:pt idx="26">
                  <c:v>234.61810126582282</c:v>
                </c:pt>
                <c:pt idx="27">
                  <c:v>240.98379746835445</c:v>
                </c:pt>
                <c:pt idx="28">
                  <c:v>247.34949367088609</c:v>
                </c:pt>
                <c:pt idx="29">
                  <c:v>253.71518987341773</c:v>
                </c:pt>
                <c:pt idx="30">
                  <c:v>260.08088607594937</c:v>
                </c:pt>
                <c:pt idx="31">
                  <c:v>266.44658227848106</c:v>
                </c:pt>
                <c:pt idx="32">
                  <c:v>272.8122784810127</c:v>
                </c:pt>
                <c:pt idx="33">
                  <c:v>279.17797468354433</c:v>
                </c:pt>
                <c:pt idx="34">
                  <c:v>285.54367088607597</c:v>
                </c:pt>
                <c:pt idx="35">
                  <c:v>291.90936708860761</c:v>
                </c:pt>
                <c:pt idx="36">
                  <c:v>298.27506329113925</c:v>
                </c:pt>
                <c:pt idx="37">
                  <c:v>304.64075949367088</c:v>
                </c:pt>
                <c:pt idx="38">
                  <c:v>311.00645569620258</c:v>
                </c:pt>
                <c:pt idx="39">
                  <c:v>317.37215189873422</c:v>
                </c:pt>
                <c:pt idx="40">
                  <c:v>323.73784810126585</c:v>
                </c:pt>
                <c:pt idx="41">
                  <c:v>330.10354430379749</c:v>
                </c:pt>
                <c:pt idx="42">
                  <c:v>336.46924050632913</c:v>
                </c:pt>
                <c:pt idx="43">
                  <c:v>342.83493670886077</c:v>
                </c:pt>
                <c:pt idx="44">
                  <c:v>349.20063291139246</c:v>
                </c:pt>
                <c:pt idx="45">
                  <c:v>355.5663291139241</c:v>
                </c:pt>
                <c:pt idx="46">
                  <c:v>361.93202531645574</c:v>
                </c:pt>
                <c:pt idx="47">
                  <c:v>368.29772151898737</c:v>
                </c:pt>
                <c:pt idx="48">
                  <c:v>374.66341772151901</c:v>
                </c:pt>
                <c:pt idx="49">
                  <c:v>381.02911392405065</c:v>
                </c:pt>
                <c:pt idx="50">
                  <c:v>387.39481012658234</c:v>
                </c:pt>
                <c:pt idx="51">
                  <c:v>393.76050632911398</c:v>
                </c:pt>
                <c:pt idx="52">
                  <c:v>400.12620253164562</c:v>
                </c:pt>
                <c:pt idx="53">
                  <c:v>406.49189873417725</c:v>
                </c:pt>
                <c:pt idx="54">
                  <c:v>412.85759493670889</c:v>
                </c:pt>
                <c:pt idx="55">
                  <c:v>419.22329113924053</c:v>
                </c:pt>
                <c:pt idx="56">
                  <c:v>425.58898734177222</c:v>
                </c:pt>
                <c:pt idx="57">
                  <c:v>431.95468354430386</c:v>
                </c:pt>
                <c:pt idx="58">
                  <c:v>438.3203797468355</c:v>
                </c:pt>
                <c:pt idx="59">
                  <c:v>444.68607594936714</c:v>
                </c:pt>
                <c:pt idx="60">
                  <c:v>451.05177215189877</c:v>
                </c:pt>
                <c:pt idx="61">
                  <c:v>457.41746835443041</c:v>
                </c:pt>
                <c:pt idx="62">
                  <c:v>463.78316455696211</c:v>
                </c:pt>
                <c:pt idx="63">
                  <c:v>470.14886075949374</c:v>
                </c:pt>
                <c:pt idx="64">
                  <c:v>476.51455696202538</c:v>
                </c:pt>
                <c:pt idx="65">
                  <c:v>482.88025316455702</c:v>
                </c:pt>
                <c:pt idx="66">
                  <c:v>489.24594936708871</c:v>
                </c:pt>
                <c:pt idx="67">
                  <c:v>495.61164556962035</c:v>
                </c:pt>
                <c:pt idx="68">
                  <c:v>501.97734177215199</c:v>
                </c:pt>
                <c:pt idx="69">
                  <c:v>508.34303797468363</c:v>
                </c:pt>
                <c:pt idx="70">
                  <c:v>514.70873417721521</c:v>
                </c:pt>
                <c:pt idx="71">
                  <c:v>521.0744303797469</c:v>
                </c:pt>
                <c:pt idx="72">
                  <c:v>527.44012658227848</c:v>
                </c:pt>
                <c:pt idx="73">
                  <c:v>533.80582278481018</c:v>
                </c:pt>
                <c:pt idx="74">
                  <c:v>540.17151898734176</c:v>
                </c:pt>
                <c:pt idx="75">
                  <c:v>546.53721518987345</c:v>
                </c:pt>
                <c:pt idx="76">
                  <c:v>552.90291139240514</c:v>
                </c:pt>
                <c:pt idx="77">
                  <c:v>559.26860759493673</c:v>
                </c:pt>
                <c:pt idx="78">
                  <c:v>565.63430379746842</c:v>
                </c:pt>
                <c:pt idx="79">
                  <c:v>572</c:v>
                </c:pt>
                <c:pt idx="80">
                  <c:v>578.36569620253169</c:v>
                </c:pt>
                <c:pt idx="81">
                  <c:v>584.73139240506339</c:v>
                </c:pt>
                <c:pt idx="82">
                  <c:v>591.09708860759497</c:v>
                </c:pt>
                <c:pt idx="83">
                  <c:v>597.46278481012666</c:v>
                </c:pt>
                <c:pt idx="84">
                  <c:v>603.82848101265824</c:v>
                </c:pt>
                <c:pt idx="85">
                  <c:v>610.19417721518994</c:v>
                </c:pt>
                <c:pt idx="86">
                  <c:v>616.55987341772152</c:v>
                </c:pt>
                <c:pt idx="87">
                  <c:v>622.92556962025321</c:v>
                </c:pt>
                <c:pt idx="88">
                  <c:v>629.29126582278491</c:v>
                </c:pt>
                <c:pt idx="89">
                  <c:v>635.6569620253166</c:v>
                </c:pt>
                <c:pt idx="90">
                  <c:v>642.02265822784818</c:v>
                </c:pt>
                <c:pt idx="91">
                  <c:v>648.38835443037988</c:v>
                </c:pt>
                <c:pt idx="92">
                  <c:v>654.75405063291146</c:v>
                </c:pt>
                <c:pt idx="93">
                  <c:v>661.11974683544315</c:v>
                </c:pt>
                <c:pt idx="94">
                  <c:v>667.48544303797473</c:v>
                </c:pt>
                <c:pt idx="95">
                  <c:v>673.85113924050643</c:v>
                </c:pt>
                <c:pt idx="96">
                  <c:v>680.21683544303801</c:v>
                </c:pt>
                <c:pt idx="97">
                  <c:v>686.5825316455697</c:v>
                </c:pt>
                <c:pt idx="98">
                  <c:v>692.94822784810128</c:v>
                </c:pt>
                <c:pt idx="99">
                  <c:v>699.31392405063298</c:v>
                </c:pt>
                <c:pt idx="100">
                  <c:v>705.67962025316467</c:v>
                </c:pt>
                <c:pt idx="101">
                  <c:v>712.04531645569625</c:v>
                </c:pt>
                <c:pt idx="102">
                  <c:v>718.41101265822795</c:v>
                </c:pt>
                <c:pt idx="103">
                  <c:v>724.77670886075953</c:v>
                </c:pt>
                <c:pt idx="104">
                  <c:v>731.14240506329122</c:v>
                </c:pt>
                <c:pt idx="105">
                  <c:v>737.5081012658228</c:v>
                </c:pt>
                <c:pt idx="106">
                  <c:v>743.8737974683545</c:v>
                </c:pt>
                <c:pt idx="107">
                  <c:v>750.23949367088608</c:v>
                </c:pt>
                <c:pt idx="108">
                  <c:v>756.60518987341777</c:v>
                </c:pt>
                <c:pt idx="109">
                  <c:v>762.97088607594935</c:v>
                </c:pt>
                <c:pt idx="110">
                  <c:v>769.33658227848105</c:v>
                </c:pt>
                <c:pt idx="111">
                  <c:v>775.70227848101274</c:v>
                </c:pt>
                <c:pt idx="112">
                  <c:v>782.06797468354443</c:v>
                </c:pt>
                <c:pt idx="113">
                  <c:v>788.43367088607602</c:v>
                </c:pt>
                <c:pt idx="114">
                  <c:v>794.79936708860771</c:v>
                </c:pt>
                <c:pt idx="115">
                  <c:v>801.16506329113929</c:v>
                </c:pt>
                <c:pt idx="116">
                  <c:v>807.53075949367098</c:v>
                </c:pt>
                <c:pt idx="117">
                  <c:v>813.89645569620257</c:v>
                </c:pt>
                <c:pt idx="118">
                  <c:v>820.26215189873426</c:v>
                </c:pt>
                <c:pt idx="119">
                  <c:v>826.62784810126584</c:v>
                </c:pt>
                <c:pt idx="120">
                  <c:v>832.99354430379753</c:v>
                </c:pt>
                <c:pt idx="121">
                  <c:v>839.35924050632912</c:v>
                </c:pt>
                <c:pt idx="122">
                  <c:v>845.72493670886081</c:v>
                </c:pt>
                <c:pt idx="123">
                  <c:v>852.0906329113925</c:v>
                </c:pt>
                <c:pt idx="124">
                  <c:v>858.4563291139242</c:v>
                </c:pt>
                <c:pt idx="125">
                  <c:v>864.82202531645578</c:v>
                </c:pt>
                <c:pt idx="126">
                  <c:v>871.18772151898747</c:v>
                </c:pt>
                <c:pt idx="127">
                  <c:v>877.55341772151905</c:v>
                </c:pt>
                <c:pt idx="128">
                  <c:v>883.91911392405075</c:v>
                </c:pt>
                <c:pt idx="129">
                  <c:v>890.28481012658233</c:v>
                </c:pt>
                <c:pt idx="130">
                  <c:v>896.65050632911402</c:v>
                </c:pt>
                <c:pt idx="131">
                  <c:v>903.01620253164572</c:v>
                </c:pt>
                <c:pt idx="132">
                  <c:v>909.38189873417741</c:v>
                </c:pt>
                <c:pt idx="133">
                  <c:v>915.74759493670899</c:v>
                </c:pt>
                <c:pt idx="134">
                  <c:v>922.11329113924069</c:v>
                </c:pt>
                <c:pt idx="135">
                  <c:v>928.47898734177227</c:v>
                </c:pt>
                <c:pt idx="136">
                  <c:v>934.84468354430396</c:v>
                </c:pt>
                <c:pt idx="137">
                  <c:v>941.21037974683554</c:v>
                </c:pt>
                <c:pt idx="138">
                  <c:v>947.57607594936724</c:v>
                </c:pt>
                <c:pt idx="139">
                  <c:v>953.94177215189882</c:v>
                </c:pt>
                <c:pt idx="140">
                  <c:v>960.30746835443051</c:v>
                </c:pt>
                <c:pt idx="141">
                  <c:v>966.67316455696209</c:v>
                </c:pt>
                <c:pt idx="142">
                  <c:v>973.03886075949379</c:v>
                </c:pt>
                <c:pt idx="143">
                  <c:v>979.40455696202537</c:v>
                </c:pt>
                <c:pt idx="144">
                  <c:v>985.77025316455706</c:v>
                </c:pt>
                <c:pt idx="145">
                  <c:v>992.13594936708864</c:v>
                </c:pt>
                <c:pt idx="146">
                  <c:v>998.50164556962034</c:v>
                </c:pt>
                <c:pt idx="147">
                  <c:v>1004.8673417721519</c:v>
                </c:pt>
                <c:pt idx="148">
                  <c:v>1011.2330379746836</c:v>
                </c:pt>
                <c:pt idx="149">
                  <c:v>1017.5987341772152</c:v>
                </c:pt>
                <c:pt idx="150">
                  <c:v>1023.9644303797469</c:v>
                </c:pt>
                <c:pt idx="151">
                  <c:v>1030.3301265822784</c:v>
                </c:pt>
                <c:pt idx="152">
                  <c:v>1036.6958227848102</c:v>
                </c:pt>
                <c:pt idx="153">
                  <c:v>1043.061518987342</c:v>
                </c:pt>
                <c:pt idx="154">
                  <c:v>1049.4272151898736</c:v>
                </c:pt>
                <c:pt idx="155">
                  <c:v>1055.7929113924051</c:v>
                </c:pt>
                <c:pt idx="156">
                  <c:v>1062.1586075949367</c:v>
                </c:pt>
                <c:pt idx="157">
                  <c:v>1068.5243037974685</c:v>
                </c:pt>
                <c:pt idx="158">
                  <c:v>1074.8900000000001</c:v>
                </c:pt>
                <c:pt idx="159">
                  <c:v>1081.2556962025317</c:v>
                </c:pt>
              </c:numCache>
            </c:numRef>
          </c:val>
          <c:smooth val="0"/>
          <c:extLst>
            <c:ext xmlns:c16="http://schemas.microsoft.com/office/drawing/2014/chart" uri="{C3380CC4-5D6E-409C-BE32-E72D297353CC}">
              <c16:uniqueId val="{00000001-FCD1-7844-9310-1415361B2CEA}"/>
            </c:ext>
          </c:extLst>
        </c:ser>
        <c:dLbls>
          <c:showLegendKey val="0"/>
          <c:showVal val="0"/>
          <c:showCatName val="0"/>
          <c:showSerName val="0"/>
          <c:showPercent val="0"/>
          <c:showBubbleSize val="0"/>
        </c:dLbls>
        <c:hiLowLines>
          <c:spPr>
            <a:ln w="0">
              <a:noFill/>
            </a:ln>
          </c:spPr>
        </c:hiLowLines>
        <c:marker val="1"/>
        <c:smooth val="0"/>
        <c:axId val="83680608"/>
        <c:axId val="17879681"/>
      </c:lineChart>
      <c:dateAx>
        <c:axId val="98429815"/>
        <c:scaling>
          <c:orientation val="minMax"/>
        </c:scaling>
        <c:delete val="1"/>
        <c:axPos val="b"/>
        <c:numFmt formatCode="mm/dd/yyyy" sourceLinked="1"/>
        <c:majorTickMark val="none"/>
        <c:minorTickMark val="none"/>
        <c:tickLblPos val="nextTo"/>
        <c:crossAx val="80810908"/>
        <c:crosses val="autoZero"/>
        <c:auto val="1"/>
        <c:lblOffset val="100"/>
        <c:baseTimeUnit val="days"/>
      </c:dateAx>
      <c:valAx>
        <c:axId val="808109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8429815"/>
        <c:crosses val="autoZero"/>
        <c:crossBetween val="between"/>
      </c:valAx>
      <c:dateAx>
        <c:axId val="83680608"/>
        <c:scaling>
          <c:orientation val="minMax"/>
        </c:scaling>
        <c:delete val="1"/>
        <c:axPos val="b"/>
        <c:numFmt formatCode="mm/dd/yyyy" sourceLinked="1"/>
        <c:majorTickMark val="none"/>
        <c:minorTickMark val="none"/>
        <c:tickLblPos val="nextTo"/>
        <c:crossAx val="17879681"/>
        <c:crosses val="autoZero"/>
        <c:auto val="1"/>
        <c:lblOffset val="100"/>
        <c:baseTimeUnit val="days"/>
      </c:dateAx>
      <c:valAx>
        <c:axId val="1787968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3680608"/>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layout/>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(Calc)'!$I$3:$I$500</c:f>
              <c:numCache>
                <c:formatCode>0.0%</c:formatCode>
                <c:ptCount val="498"/>
                <c:pt idx="0">
                  <c:v>-5.2090472926662135E-2</c:v>
                </c:pt>
                <c:pt idx="1">
                  <c:v>4.5312123403229654E-2</c:v>
                </c:pt>
                <c:pt idx="2">
                  <c:v>5.210975328568157E-2</c:v>
                </c:pt>
                <c:pt idx="3">
                  <c:v>-6.5746219592374144E-3</c:v>
                </c:pt>
                <c:pt idx="4">
                  <c:v>-8.9786013677476295E-2</c:v>
                </c:pt>
                <c:pt idx="5">
                  <c:v>-2.1328162869607259E-2</c:v>
                </c:pt>
                <c:pt idx="6">
                  <c:v>0.11119366022783539</c:v>
                </c:pt>
                <c:pt idx="7">
                  <c:v>7.3991531089814933E-2</c:v>
                </c:pt>
                <c:pt idx="8">
                  <c:v>1.9921145465864321E-2</c:v>
                </c:pt>
                <c:pt idx="9">
                  <c:v>-3.0925737538148423E-2</c:v>
                </c:pt>
                <c:pt idx="10">
                  <c:v>-2.0995171110644528E-2</c:v>
                </c:pt>
                <c:pt idx="11">
                  <c:v>1.5869611837872499E-2</c:v>
                </c:pt>
                <c:pt idx="12">
                  <c:v>2.9132362254591593E-2</c:v>
                </c:pt>
                <c:pt idx="13">
                  <c:v>-1.2307692307692575E-3</c:v>
                </c:pt>
                <c:pt idx="14">
                  <c:v>1.4171287738755423E-2</c:v>
                </c:pt>
                <c:pt idx="15">
                  <c:v>-8.5054678007290274E-3</c:v>
                </c:pt>
                <c:pt idx="16">
                  <c:v>0.11417483660130712</c:v>
                </c:pt>
                <c:pt idx="17">
                  <c:v>8.7442713107241055E-2</c:v>
                </c:pt>
                <c:pt idx="18">
                  <c:v>2.5792312879298729E-2</c:v>
                </c:pt>
                <c:pt idx="19">
                  <c:v>8.4141331142152831E-2</c:v>
                </c:pt>
                <c:pt idx="20">
                  <c:v>9.0192511747764215E-2</c:v>
                </c:pt>
                <c:pt idx="21">
                  <c:v>6.6740823136819394E-3</c:v>
                </c:pt>
                <c:pt idx="22">
                  <c:v>8.5497237569060802E-2</c:v>
                </c:pt>
                <c:pt idx="23">
                  <c:v>4.389871484921759E-2</c:v>
                </c:pt>
                <c:pt idx="24">
                  <c:v>6.3871282301316334E-2</c:v>
                </c:pt>
                <c:pt idx="25">
                  <c:v>3.5517873510542142E-3</c:v>
                </c:pt>
                <c:pt idx="26">
                  <c:v>7.3410206644594078E-2</c:v>
                </c:pt>
                <c:pt idx="27">
                  <c:v>-4.1693256753882135E-2</c:v>
                </c:pt>
                <c:pt idx="28">
                  <c:v>-2.5971143174250755E-2</c:v>
                </c:pt>
                <c:pt idx="29">
                  <c:v>2.0510483135824931E-3</c:v>
                </c:pt>
                <c:pt idx="30">
                  <c:v>-0.13600181942233336</c:v>
                </c:pt>
                <c:pt idx="31">
                  <c:v>0.15148723348249526</c:v>
                </c:pt>
                <c:pt idx="32">
                  <c:v>1.2001371585324216E-2</c:v>
                </c:pt>
                <c:pt idx="33">
                  <c:v>1.2197876665913654E-2</c:v>
                </c:pt>
                <c:pt idx="34">
                  <c:v>2.9011381388083013E-2</c:v>
                </c:pt>
                <c:pt idx="35">
                  <c:v>0.15126870527000658</c:v>
                </c:pt>
                <c:pt idx="36">
                  <c:v>2.9669398135066416E-2</c:v>
                </c:pt>
                <c:pt idx="37">
                  <c:v>0.10263446761800221</c:v>
                </c:pt>
                <c:pt idx="38">
                  <c:v>9.1090094574415081E-2</c:v>
                </c:pt>
                <c:pt idx="39">
                  <c:v>-4.029805352798066E-2</c:v>
                </c:pt>
                <c:pt idx="40">
                  <c:v>-2.3926477578830596E-2</c:v>
                </c:pt>
                <c:pt idx="41">
                  <c:v>1.8506493506493582E-2</c:v>
                </c:pt>
                <c:pt idx="42">
                  <c:v>2.7095951546063146E-2</c:v>
                </c:pt>
                <c:pt idx="43">
                  <c:v>-8.7523277467411509E-2</c:v>
                </c:pt>
                <c:pt idx="44">
                  <c:v>-4.1241496598639404E-2</c:v>
                </c:pt>
                <c:pt idx="45">
                  <c:v>-5.1263858093126391E-2</c:v>
                </c:pt>
                <c:pt idx="46">
                  <c:v>-2.3464522763391615E-2</c:v>
                </c:pt>
                <c:pt idx="47">
                  <c:v>0.18935477694811409</c:v>
                </c:pt>
                <c:pt idx="48">
                  <c:v>3.8393432066967215E-2</c:v>
                </c:pt>
                <c:pt idx="49">
                  <c:v>-7.7280830943337597E-2</c:v>
                </c:pt>
                <c:pt idx="50">
                  <c:v>-0.13852486559139787</c:v>
                </c:pt>
                <c:pt idx="51">
                  <c:v>0.15826426133593374</c:v>
                </c:pt>
                <c:pt idx="52">
                  <c:v>-2.6014480552281505E-2</c:v>
                </c:pt>
                <c:pt idx="53">
                  <c:v>4.6590025066989282E-2</c:v>
                </c:pt>
                <c:pt idx="54">
                  <c:v>2.8989098116947609E-2</c:v>
                </c:pt>
                <c:pt idx="55">
                  <c:v>7.9059314551729543E-2</c:v>
                </c:pt>
                <c:pt idx="56">
                  <c:v>2.3728057125855351E-2</c:v>
                </c:pt>
                <c:pt idx="57">
                  <c:v>2.5648477802804548E-2</c:v>
                </c:pt>
                <c:pt idx="58">
                  <c:v>-4.3355058090110532E-2</c:v>
                </c:pt>
                <c:pt idx="59">
                  <c:v>9.0269549763033252E-2</c:v>
                </c:pt>
                <c:pt idx="60">
                  <c:v>-3.8239489234531021E-2</c:v>
                </c:pt>
                <c:pt idx="61">
                  <c:v>-2.1186440677967155E-4</c:v>
                </c:pt>
                <c:pt idx="62">
                  <c:v>-2.6064844246662444E-2</c:v>
                </c:pt>
                <c:pt idx="63">
                  <c:v>3.0388743835219056E-2</c:v>
                </c:pt>
                <c:pt idx="64">
                  <c:v>-5.7506862814105664E-2</c:v>
                </c:pt>
                <c:pt idx="65">
                  <c:v>3.360716952949927E-3</c:v>
                </c:pt>
                <c:pt idx="66">
                  <c:v>1.7119464086341685E-2</c:v>
                </c:pt>
                <c:pt idx="67">
                  <c:v>5.4445664105378766E-2</c:v>
                </c:pt>
                <c:pt idx="68">
                  <c:v>-5.9199111666319637E-2</c:v>
                </c:pt>
                <c:pt idx="69">
                  <c:v>1.3204485098849084E-2</c:v>
                </c:pt>
                <c:pt idx="70">
                  <c:v>3.567528212595561E-2</c:v>
                </c:pt>
                <c:pt idx="71">
                  <c:v>-0.15810193321616872</c:v>
                </c:pt>
                <c:pt idx="72">
                  <c:v>8.1329325317301304E-2</c:v>
                </c:pt>
                <c:pt idx="73">
                  <c:v>6.9420849420849473E-2</c:v>
                </c:pt>
                <c:pt idx="74">
                  <c:v>-3.184345440103975E-2</c:v>
                </c:pt>
                <c:pt idx="75">
                  <c:v>-7.0778639618138461E-2</c:v>
                </c:pt>
                <c:pt idx="76">
                  <c:v>-9.7840918211734462E-2</c:v>
                </c:pt>
                <c:pt idx="77">
                  <c:v>7.9715302491103035E-2</c:v>
                </c:pt>
                <c:pt idx="78">
                  <c:v>-3.2630191166776457E-2</c:v>
                </c:pt>
                <c:pt idx="79">
                  <c:v>-6.8228279386712165E-2</c:v>
                </c:pt>
                <c:pt idx="80">
                  <c:v>-0.14004936465856122</c:v>
                </c:pt>
                <c:pt idx="81">
                  <c:v>0.17625172743701523</c:v>
                </c:pt>
                <c:pt idx="82">
                  <c:v>-8.513330320831447E-2</c:v>
                </c:pt>
                <c:pt idx="83">
                  <c:v>9.3845697915637682E-2</c:v>
                </c:pt>
                <c:pt idx="84">
                  <c:v>3.1427797344892872E-2</c:v>
                </c:pt>
                <c:pt idx="85">
                  <c:v>1.8824971543647706E-2</c:v>
                </c:pt>
                <c:pt idx="86">
                  <c:v>0.16070814712959791</c:v>
                </c:pt>
                <c:pt idx="87">
                  <c:v>-3.0356878424403932E-2</c:v>
                </c:pt>
                <c:pt idx="88">
                  <c:v>2.9245571166768292E-2</c:v>
                </c:pt>
                <c:pt idx="89">
                  <c:v>4.874248831515704E-2</c:v>
                </c:pt>
                <c:pt idx="90">
                  <c:v>1.8392756083758233E-3</c:v>
                </c:pt>
                <c:pt idx="91">
                  <c:v>1.3274961163677323E-2</c:v>
                </c:pt>
                <c:pt idx="92">
                  <c:v>9.6585365853658622E-2</c:v>
                </c:pt>
                <c:pt idx="93">
                  <c:v>1.0104219623792376E-2</c:v>
                </c:pt>
                <c:pt idx="94">
                  <c:v>3.5042466184334931E-2</c:v>
                </c:pt>
                <c:pt idx="95">
                  <c:v>4.5404814004376348E-2</c:v>
                </c:pt>
                <c:pt idx="96">
                  <c:v>6.3375777661491828E-3</c:v>
                </c:pt>
                <c:pt idx="97">
                  <c:v>1.2710885139819439E-3</c:v>
                </c:pt>
                <c:pt idx="98">
                  <c:v>5.1644547028274701E-2</c:v>
                </c:pt>
                <c:pt idx="99">
                  <c:v>-1.229080932784643E-2</c:v>
                </c:pt>
                <c:pt idx="100">
                  <c:v>-1.3665907449586068E-2</c:v>
                </c:pt>
                <c:pt idx="101">
                  <c:v>-2.1402421852999232E-2</c:v>
                </c:pt>
                <c:pt idx="102">
                  <c:v>-4.1093525179855983E-2</c:v>
                </c:pt>
                <c:pt idx="103">
                  <c:v>6.4762019086489264E-2</c:v>
                </c:pt>
                <c:pt idx="104">
                  <c:v>-6.4825253664035909E-3</c:v>
                </c:pt>
                <c:pt idx="105">
                  <c:v>8.5673758865247862E-3</c:v>
                </c:pt>
                <c:pt idx="106">
                  <c:v>5.2936543654365398E-2</c:v>
                </c:pt>
                <c:pt idx="107">
                  <c:v>-2.3775177645990242E-2</c:v>
                </c:pt>
                <c:pt idx="108">
                  <c:v>3.2837127845875003E-4</c:v>
                </c:pt>
                <c:pt idx="109">
                  <c:v>1.657730605099017E-2</c:v>
                </c:pt>
                <c:pt idx="110">
                  <c:v>8.7185834992734357E-2</c:v>
                </c:pt>
                <c:pt idx="111">
                  <c:v>-7.0838077322904813E-2</c:v>
                </c:pt>
                <c:pt idx="112">
                  <c:v>1.0761854022376172E-2</c:v>
                </c:pt>
                <c:pt idx="113">
                  <c:v>-5.9403331224963107E-2</c:v>
                </c:pt>
                <c:pt idx="114">
                  <c:v>-1.0479125805547662E-2</c:v>
                </c:pt>
                <c:pt idx="115">
                  <c:v>3.0581039755351647E-2</c:v>
                </c:pt>
                <c:pt idx="116">
                  <c:v>-4.0498955929222813E-2</c:v>
                </c:pt>
                <c:pt idx="117">
                  <c:v>3.4133211156291088E-2</c:v>
                </c:pt>
                <c:pt idx="118">
                  <c:v>5.2721936091266519E-2</c:v>
                </c:pt>
                <c:pt idx="119">
                  <c:v>-8.8379188805303155E-3</c:v>
                </c:pt>
                <c:pt idx="120">
                  <c:v>-2.1124144153707336E-2</c:v>
                </c:pt>
                <c:pt idx="121">
                  <c:v>7.4282925771296249E-3</c:v>
                </c:pt>
                <c:pt idx="122">
                  <c:v>7.6964477933261222E-3</c:v>
                </c:pt>
                <c:pt idx="123">
                  <c:v>1.8426534209261325E-2</c:v>
                </c:pt>
                <c:pt idx="124">
                  <c:v>-2.9893014474512314E-2</c:v>
                </c:pt>
                <c:pt idx="125">
                  <c:v>-1.4055573575521674E-2</c:v>
                </c:pt>
                <c:pt idx="126">
                  <c:v>3.8381401469459453E-2</c:v>
                </c:pt>
                <c:pt idx="127">
                  <c:v>-6.6532896821206E-2</c:v>
                </c:pt>
                <c:pt idx="128">
                  <c:v>3.5071840705962476E-3</c:v>
                </c:pt>
                <c:pt idx="129">
                  <c:v>1.3754227733934643E-2</c:v>
                </c:pt>
                <c:pt idx="130">
                  <c:v>-4.18705516014235E-2</c:v>
                </c:pt>
                <c:pt idx="131">
                  <c:v>-3.0004062445592283E-2</c:v>
                </c:pt>
                <c:pt idx="132">
                  <c:v>5.8932631327031304E-2</c:v>
                </c:pt>
                <c:pt idx="133">
                  <c:v>6.3336911689925834E-2</c:v>
                </c:pt>
                <c:pt idx="134">
                  <c:v>6.9181721572795007E-2</c:v>
                </c:pt>
                <c:pt idx="135">
                  <c:v>3.2700526786601847E-2</c:v>
                </c:pt>
                <c:pt idx="136">
                  <c:v>-4.7160731472569828E-2</c:v>
                </c:pt>
                <c:pt idx="137">
                  <c:v>8.4393939393939466E-2</c:v>
                </c:pt>
                <c:pt idx="138">
                  <c:v>4.7040193749708914E-2</c:v>
                </c:pt>
                <c:pt idx="139">
                  <c:v>-4.4348561007072629E-2</c:v>
                </c:pt>
                <c:pt idx="140">
                  <c:v>-1.945633960156401E-2</c:v>
                </c:pt>
                <c:pt idx="141">
                  <c:v>-2.748504699515808E-2</c:v>
                </c:pt>
                <c:pt idx="142">
                  <c:v>4.393029726168507E-4</c:v>
                </c:pt>
                <c:pt idx="143">
                  <c:v>2.6785714285714191E-2</c:v>
                </c:pt>
                <c:pt idx="144">
                  <c:v>-8.6196246139225385E-2</c:v>
                </c:pt>
                <c:pt idx="145">
                  <c:v>1.1959856481722264E-2</c:v>
                </c:pt>
                <c:pt idx="146">
                  <c:v>8.2780946508401287E-2</c:v>
                </c:pt>
                <c:pt idx="147">
                  <c:v>-3.8629460895975631E-2</c:v>
                </c:pt>
                <c:pt idx="148">
                  <c:v>1.9893375456609741E-2</c:v>
                </c:pt>
                <c:pt idx="149">
                  <c:v>-2.942742364841977E-2</c:v>
                </c:pt>
                <c:pt idx="150">
                  <c:v>0.11559367675659504</c:v>
                </c:pt>
                <c:pt idx="151">
                  <c:v>5.3640874346252421E-3</c:v>
                </c:pt>
                <c:pt idx="152">
                  <c:v>-4.637410519763463E-2</c:v>
                </c:pt>
                <c:pt idx="153">
                  <c:v>1.3194703468854874E-2</c:v>
                </c:pt>
                <c:pt idx="154">
                  <c:v>5.8856012148543524E-2</c:v>
                </c:pt>
                <c:pt idx="155">
                  <c:v>-5.1325510647544537E-2</c:v>
                </c:pt>
                <c:pt idx="156">
                  <c:v>1.8232626322781664E-2</c:v>
                </c:pt>
                <c:pt idx="157">
                  <c:v>1.2597291582309822E-2</c:v>
                </c:pt>
                <c:pt idx="158">
                  <c:v>3.9454391966943669E-2</c:v>
                </c:pt>
                <c:pt idx="159">
                  <c:v>0</c:v>
                </c:pt>
              </c:numCache>
            </c:numRef>
          </c:val>
          <c:extLst>
            <c:ext xmlns:c16="http://schemas.microsoft.com/office/drawing/2014/chart" uri="{C3380CC4-5D6E-409C-BE32-E72D297353CC}">
              <c16:uniqueId val="{00000000-2943-454A-8BAB-E1A93B723A97}"/>
            </c:ext>
          </c:extLst>
        </c:ser>
        <c:dLbls>
          <c:showLegendKey val="0"/>
          <c:showVal val="0"/>
          <c:showCatName val="0"/>
          <c:showSerName val="0"/>
          <c:showPercent val="0"/>
          <c:showBubbleSize val="0"/>
        </c:dLbls>
        <c:gapWidth val="150"/>
        <c:axId val="52864046"/>
        <c:axId val="15546525"/>
      </c:barChart>
      <c:lineChart>
        <c:grouping val="standard"/>
        <c:varyColors val="0"/>
        <c:ser>
          <c:idx val="1"/>
          <c:order val="1"/>
          <c:tx>
            <c:strRef>
              <c:f>'Returns (Calc)'!$AD$2</c:f>
              <c:strCache>
                <c:ptCount val="1"/>
                <c:pt idx="0">
                  <c:v>NVDA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(Calc)'!$AD$3:$AD$500</c:f>
              <c:numCache>
                <c:formatCode>#,##0.00</c:formatCode>
                <c:ptCount val="498"/>
                <c:pt idx="0">
                  <c:v>43.77</c:v>
                </c:pt>
                <c:pt idx="1">
                  <c:v>44.973670886075951</c:v>
                </c:pt>
                <c:pt idx="2">
                  <c:v>46.177341772151905</c:v>
                </c:pt>
                <c:pt idx="3">
                  <c:v>47.381012658227853</c:v>
                </c:pt>
                <c:pt idx="4">
                  <c:v>48.5846835443038</c:v>
                </c:pt>
                <c:pt idx="5">
                  <c:v>49.788354430379748</c:v>
                </c:pt>
                <c:pt idx="6">
                  <c:v>50.992025316455695</c:v>
                </c:pt>
                <c:pt idx="7">
                  <c:v>52.19569620253165</c:v>
                </c:pt>
                <c:pt idx="8">
                  <c:v>53.399367088607598</c:v>
                </c:pt>
                <c:pt idx="9">
                  <c:v>54.603037974683545</c:v>
                </c:pt>
                <c:pt idx="10">
                  <c:v>55.806708860759493</c:v>
                </c:pt>
                <c:pt idx="11">
                  <c:v>57.01037974683544</c:v>
                </c:pt>
                <c:pt idx="12">
                  <c:v>58.214050632911395</c:v>
                </c:pt>
                <c:pt idx="13">
                  <c:v>59.417721518987342</c:v>
                </c:pt>
                <c:pt idx="14">
                  <c:v>60.62139240506329</c:v>
                </c:pt>
                <c:pt idx="15">
                  <c:v>61.825063291139244</c:v>
                </c:pt>
                <c:pt idx="16">
                  <c:v>63.028734177215192</c:v>
                </c:pt>
                <c:pt idx="17">
                  <c:v>64.232405063291139</c:v>
                </c:pt>
                <c:pt idx="18">
                  <c:v>65.436075949367094</c:v>
                </c:pt>
                <c:pt idx="19">
                  <c:v>66.639746835443034</c:v>
                </c:pt>
                <c:pt idx="20">
                  <c:v>67.843417721518989</c:v>
                </c:pt>
                <c:pt idx="21">
                  <c:v>69.047088607594929</c:v>
                </c:pt>
                <c:pt idx="22">
                  <c:v>70.250759493670884</c:v>
                </c:pt>
                <c:pt idx="23">
                  <c:v>71.454430379746839</c:v>
                </c:pt>
                <c:pt idx="24">
                  <c:v>72.658101265822779</c:v>
                </c:pt>
                <c:pt idx="25">
                  <c:v>73.861772151898734</c:v>
                </c:pt>
                <c:pt idx="26">
                  <c:v>75.065443037974688</c:v>
                </c:pt>
                <c:pt idx="27">
                  <c:v>76.269113924050629</c:v>
                </c:pt>
                <c:pt idx="28">
                  <c:v>77.472784810126569</c:v>
                </c:pt>
                <c:pt idx="29">
                  <c:v>78.676455696202538</c:v>
                </c:pt>
                <c:pt idx="30">
                  <c:v>79.880126582278479</c:v>
                </c:pt>
                <c:pt idx="31">
                  <c:v>81.083797468354419</c:v>
                </c:pt>
                <c:pt idx="32">
                  <c:v>82.287468354430388</c:v>
                </c:pt>
                <c:pt idx="33">
                  <c:v>83.491139240506328</c:v>
                </c:pt>
                <c:pt idx="34">
                  <c:v>84.694810126582269</c:v>
                </c:pt>
                <c:pt idx="35">
                  <c:v>85.898481012658223</c:v>
                </c:pt>
                <c:pt idx="36">
                  <c:v>87.102151898734178</c:v>
                </c:pt>
                <c:pt idx="37">
                  <c:v>88.305822784810118</c:v>
                </c:pt>
                <c:pt idx="38">
                  <c:v>89.509493670886073</c:v>
                </c:pt>
                <c:pt idx="39">
                  <c:v>90.713164556962028</c:v>
                </c:pt>
                <c:pt idx="40">
                  <c:v>91.916835443037968</c:v>
                </c:pt>
                <c:pt idx="41">
                  <c:v>93.120506329113923</c:v>
                </c:pt>
                <c:pt idx="42">
                  <c:v>94.324177215189877</c:v>
                </c:pt>
                <c:pt idx="43">
                  <c:v>95.527848101265818</c:v>
                </c:pt>
                <c:pt idx="44">
                  <c:v>96.731518987341758</c:v>
                </c:pt>
                <c:pt idx="45">
                  <c:v>97.935189873417713</c:v>
                </c:pt>
                <c:pt idx="46">
                  <c:v>99.138860759493667</c:v>
                </c:pt>
                <c:pt idx="47">
                  <c:v>100.34253164556961</c:v>
                </c:pt>
                <c:pt idx="48">
                  <c:v>101.54620253164558</c:v>
                </c:pt>
                <c:pt idx="49">
                  <c:v>102.74987341772152</c:v>
                </c:pt>
                <c:pt idx="50">
                  <c:v>103.95354430379746</c:v>
                </c:pt>
                <c:pt idx="51">
                  <c:v>105.15721518987341</c:v>
                </c:pt>
                <c:pt idx="52">
                  <c:v>106.36088607594937</c:v>
                </c:pt>
                <c:pt idx="53">
                  <c:v>107.56455696202531</c:v>
                </c:pt>
                <c:pt idx="54">
                  <c:v>108.76822784810128</c:v>
                </c:pt>
                <c:pt idx="55">
                  <c:v>109.97189873417722</c:v>
                </c:pt>
                <c:pt idx="56">
                  <c:v>111.17556962025316</c:v>
                </c:pt>
                <c:pt idx="57">
                  <c:v>112.3792405063291</c:v>
                </c:pt>
                <c:pt idx="58">
                  <c:v>113.58291139240507</c:v>
                </c:pt>
                <c:pt idx="59">
                  <c:v>114.78658227848101</c:v>
                </c:pt>
                <c:pt idx="60">
                  <c:v>115.99025316455695</c:v>
                </c:pt>
                <c:pt idx="61">
                  <c:v>117.19392405063292</c:v>
                </c:pt>
                <c:pt idx="62">
                  <c:v>118.39759493670886</c:v>
                </c:pt>
                <c:pt idx="63">
                  <c:v>119.6012658227848</c:v>
                </c:pt>
                <c:pt idx="64">
                  <c:v>120.80493670886077</c:v>
                </c:pt>
                <c:pt idx="65">
                  <c:v>122.00860759493671</c:v>
                </c:pt>
                <c:pt idx="66">
                  <c:v>123.21227848101265</c:v>
                </c:pt>
                <c:pt idx="67">
                  <c:v>124.41594936708859</c:v>
                </c:pt>
                <c:pt idx="68">
                  <c:v>125.61962025316456</c:v>
                </c:pt>
                <c:pt idx="69">
                  <c:v>126.8232911392405</c:v>
                </c:pt>
                <c:pt idx="70">
                  <c:v>128.02696202531644</c:v>
                </c:pt>
                <c:pt idx="71">
                  <c:v>129.23063291139241</c:v>
                </c:pt>
                <c:pt idx="72">
                  <c:v>130.43430379746835</c:v>
                </c:pt>
                <c:pt idx="73">
                  <c:v>131.63797468354429</c:v>
                </c:pt>
                <c:pt idx="74">
                  <c:v>132.84164556962025</c:v>
                </c:pt>
                <c:pt idx="75">
                  <c:v>134.0453164556962</c:v>
                </c:pt>
                <c:pt idx="76">
                  <c:v>135.24898734177214</c:v>
                </c:pt>
                <c:pt idx="77">
                  <c:v>136.4526582278481</c:v>
                </c:pt>
                <c:pt idx="78">
                  <c:v>137.65632911392404</c:v>
                </c:pt>
                <c:pt idx="79">
                  <c:v>138.85999999999999</c:v>
                </c:pt>
                <c:pt idx="80">
                  <c:v>140.06367088607593</c:v>
                </c:pt>
                <c:pt idx="81">
                  <c:v>141.26734177215189</c:v>
                </c:pt>
                <c:pt idx="82">
                  <c:v>142.47101265822783</c:v>
                </c:pt>
                <c:pt idx="83">
                  <c:v>143.6746835443038</c:v>
                </c:pt>
                <c:pt idx="84">
                  <c:v>144.87835443037974</c:v>
                </c:pt>
                <c:pt idx="85">
                  <c:v>146.08202531645568</c:v>
                </c:pt>
                <c:pt idx="86">
                  <c:v>147.28569620253162</c:v>
                </c:pt>
                <c:pt idx="87">
                  <c:v>148.48936708860759</c:v>
                </c:pt>
                <c:pt idx="88">
                  <c:v>149.69303797468353</c:v>
                </c:pt>
                <c:pt idx="89">
                  <c:v>150.89670886075947</c:v>
                </c:pt>
                <c:pt idx="90">
                  <c:v>152.10037974683542</c:v>
                </c:pt>
                <c:pt idx="91">
                  <c:v>153.30405063291138</c:v>
                </c:pt>
                <c:pt idx="92">
                  <c:v>154.50772151898732</c:v>
                </c:pt>
                <c:pt idx="93">
                  <c:v>155.71139240506329</c:v>
                </c:pt>
                <c:pt idx="94">
                  <c:v>156.91506329113923</c:v>
                </c:pt>
                <c:pt idx="95">
                  <c:v>158.11873417721517</c:v>
                </c:pt>
                <c:pt idx="96">
                  <c:v>159.32240506329114</c:v>
                </c:pt>
                <c:pt idx="97">
                  <c:v>160.52607594936708</c:v>
                </c:pt>
                <c:pt idx="98">
                  <c:v>161.72974683544302</c:v>
                </c:pt>
                <c:pt idx="99">
                  <c:v>162.93341772151896</c:v>
                </c:pt>
                <c:pt idx="100">
                  <c:v>164.1370886075949</c:v>
                </c:pt>
                <c:pt idx="101">
                  <c:v>165.34075949367087</c:v>
                </c:pt>
                <c:pt idx="102">
                  <c:v>166.54443037974681</c:v>
                </c:pt>
                <c:pt idx="103">
                  <c:v>167.74810126582278</c:v>
                </c:pt>
                <c:pt idx="104">
                  <c:v>168.95177215189872</c:v>
                </c:pt>
                <c:pt idx="105">
                  <c:v>170.15544303797466</c:v>
                </c:pt>
                <c:pt idx="106">
                  <c:v>171.35911392405063</c:v>
                </c:pt>
                <c:pt idx="107">
                  <c:v>172.56278481012657</c:v>
                </c:pt>
                <c:pt idx="108">
                  <c:v>173.76645569620254</c:v>
                </c:pt>
                <c:pt idx="109">
                  <c:v>174.97012658227848</c:v>
                </c:pt>
                <c:pt idx="110">
                  <c:v>176.17379746835442</c:v>
                </c:pt>
                <c:pt idx="111">
                  <c:v>177.37746835443036</c:v>
                </c:pt>
                <c:pt idx="112">
                  <c:v>178.5811392405063</c:v>
                </c:pt>
                <c:pt idx="113">
                  <c:v>179.78481012658227</c:v>
                </c:pt>
                <c:pt idx="114">
                  <c:v>180.98848101265821</c:v>
                </c:pt>
                <c:pt idx="115">
                  <c:v>182.19215189873418</c:v>
                </c:pt>
                <c:pt idx="116">
                  <c:v>183.39582278481012</c:v>
                </c:pt>
                <c:pt idx="117">
                  <c:v>184.59949367088606</c:v>
                </c:pt>
                <c:pt idx="118">
                  <c:v>185.80316455696203</c:v>
                </c:pt>
                <c:pt idx="119">
                  <c:v>187.00683544303797</c:v>
                </c:pt>
                <c:pt idx="120">
                  <c:v>188.21050632911391</c:v>
                </c:pt>
                <c:pt idx="121">
                  <c:v>189.41417721518988</c:v>
                </c:pt>
                <c:pt idx="122">
                  <c:v>190.61784810126582</c:v>
                </c:pt>
                <c:pt idx="123">
                  <c:v>191.82151898734176</c:v>
                </c:pt>
                <c:pt idx="124">
                  <c:v>193.0251898734177</c:v>
                </c:pt>
                <c:pt idx="125">
                  <c:v>194.22886075949367</c:v>
                </c:pt>
                <c:pt idx="126">
                  <c:v>195.43253164556961</c:v>
                </c:pt>
                <c:pt idx="127">
                  <c:v>196.63620253164555</c:v>
                </c:pt>
                <c:pt idx="128">
                  <c:v>197.83987341772152</c:v>
                </c:pt>
                <c:pt idx="129">
                  <c:v>199.04354430379746</c:v>
                </c:pt>
                <c:pt idx="130">
                  <c:v>200.2472151898734</c:v>
                </c:pt>
                <c:pt idx="131">
                  <c:v>201.45088607594937</c:v>
                </c:pt>
                <c:pt idx="132">
                  <c:v>202.65455696202531</c:v>
                </c:pt>
                <c:pt idx="133">
                  <c:v>203.85822784810128</c:v>
                </c:pt>
                <c:pt idx="134">
                  <c:v>205.06189873417719</c:v>
                </c:pt>
                <c:pt idx="135">
                  <c:v>206.26556962025316</c:v>
                </c:pt>
                <c:pt idx="136">
                  <c:v>207.4692405063291</c:v>
                </c:pt>
                <c:pt idx="137">
                  <c:v>208.67291139240504</c:v>
                </c:pt>
                <c:pt idx="138">
                  <c:v>209.87658227848101</c:v>
                </c:pt>
                <c:pt idx="139">
                  <c:v>211.08025316455695</c:v>
                </c:pt>
                <c:pt idx="140">
                  <c:v>212.28392405063289</c:v>
                </c:pt>
                <c:pt idx="141">
                  <c:v>213.48759493670886</c:v>
                </c:pt>
                <c:pt idx="142">
                  <c:v>214.6912658227848</c:v>
                </c:pt>
                <c:pt idx="143">
                  <c:v>215.89493670886077</c:v>
                </c:pt>
                <c:pt idx="144">
                  <c:v>217.09860759493671</c:v>
                </c:pt>
                <c:pt idx="145">
                  <c:v>218.30227848101265</c:v>
                </c:pt>
                <c:pt idx="146">
                  <c:v>219.50594936708859</c:v>
                </c:pt>
                <c:pt idx="147">
                  <c:v>220.70962025316453</c:v>
                </c:pt>
                <c:pt idx="148">
                  <c:v>221.9132911392405</c:v>
                </c:pt>
                <c:pt idx="149">
                  <c:v>223.11696202531644</c:v>
                </c:pt>
                <c:pt idx="150">
                  <c:v>224.32063291139238</c:v>
                </c:pt>
                <c:pt idx="151">
                  <c:v>225.52430379746835</c:v>
                </c:pt>
                <c:pt idx="152">
                  <c:v>226.72797468354429</c:v>
                </c:pt>
                <c:pt idx="153">
                  <c:v>227.93164556962026</c:v>
                </c:pt>
                <c:pt idx="154">
                  <c:v>229.1353164556962</c:v>
                </c:pt>
                <c:pt idx="155">
                  <c:v>230.33898734177214</c:v>
                </c:pt>
                <c:pt idx="156">
                  <c:v>231.54265822784811</c:v>
                </c:pt>
                <c:pt idx="157">
                  <c:v>232.74632911392405</c:v>
                </c:pt>
                <c:pt idx="158">
                  <c:v>233.95</c:v>
                </c:pt>
                <c:pt idx="159">
                  <c:v>235.15367088607593</c:v>
                </c:pt>
              </c:numCache>
            </c:numRef>
          </c:val>
          <c:smooth val="0"/>
          <c:extLst>
            <c:ext xmlns:c16="http://schemas.microsoft.com/office/drawing/2014/chart" uri="{C3380CC4-5D6E-409C-BE32-E72D297353CC}">
              <c16:uniqueId val="{00000001-2943-454A-8BAB-E1A93B723A97}"/>
            </c:ext>
          </c:extLst>
        </c:ser>
        <c:dLbls>
          <c:showLegendKey val="0"/>
          <c:showVal val="0"/>
          <c:showCatName val="0"/>
          <c:showSerName val="0"/>
          <c:showPercent val="0"/>
          <c:showBubbleSize val="0"/>
        </c:dLbls>
        <c:hiLowLines>
          <c:spPr>
            <a:ln w="0">
              <a:noFill/>
            </a:ln>
          </c:spPr>
        </c:hiLowLines>
        <c:marker val="1"/>
        <c:smooth val="0"/>
        <c:axId val="81250546"/>
        <c:axId val="95401715"/>
      </c:lineChart>
      <c:dateAx>
        <c:axId val="52864046"/>
        <c:scaling>
          <c:orientation val="minMax"/>
        </c:scaling>
        <c:delete val="1"/>
        <c:axPos val="b"/>
        <c:numFmt formatCode="mm/dd/yyyy" sourceLinked="1"/>
        <c:majorTickMark val="none"/>
        <c:minorTickMark val="none"/>
        <c:tickLblPos val="nextTo"/>
        <c:crossAx val="15546525"/>
        <c:crosses val="autoZero"/>
        <c:auto val="1"/>
        <c:lblOffset val="100"/>
        <c:baseTimeUnit val="days"/>
      </c:dateAx>
      <c:valAx>
        <c:axId val="155465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864046"/>
        <c:crosses val="autoZero"/>
        <c:crossBetween val="between"/>
      </c:valAx>
      <c:dateAx>
        <c:axId val="81250546"/>
        <c:scaling>
          <c:orientation val="minMax"/>
        </c:scaling>
        <c:delete val="1"/>
        <c:axPos val="b"/>
        <c:numFmt formatCode="mm/dd/yyyy" sourceLinked="1"/>
        <c:majorTickMark val="none"/>
        <c:minorTickMark val="none"/>
        <c:tickLblPos val="nextTo"/>
        <c:crossAx val="95401715"/>
        <c:crosses val="autoZero"/>
        <c:auto val="1"/>
        <c:lblOffset val="100"/>
        <c:baseTimeUnit val="days"/>
      </c:dateAx>
      <c:valAx>
        <c:axId val="954017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25054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layout/>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(Calc)'!$J$3:$J$500</c:f>
              <c:numCache>
                <c:formatCode>0.0%</c:formatCode>
                <c:ptCount val="498"/>
                <c:pt idx="0">
                  <c:v>-7.3944921316166035E-2</c:v>
                </c:pt>
                <c:pt idx="1">
                  <c:v>-1.6317466447813067E-2</c:v>
                </c:pt>
                <c:pt idx="2">
                  <c:v>-2.9446407538280317E-2</c:v>
                </c:pt>
                <c:pt idx="3">
                  <c:v>6.8770226537218093E-3</c:v>
                </c:pt>
                <c:pt idx="4">
                  <c:v>-6.588991562876656E-2</c:v>
                </c:pt>
                <c:pt idx="5">
                  <c:v>-4.9892473118279601E-2</c:v>
                </c:pt>
                <c:pt idx="6">
                  <c:v>9.4839293798098634E-2</c:v>
                </c:pt>
                <c:pt idx="7">
                  <c:v>-1.8709944180276938E-2</c:v>
                </c:pt>
                <c:pt idx="8">
                  <c:v>5.2775729484883405E-2</c:v>
                </c:pt>
                <c:pt idx="9">
                  <c:v>1.7510506303782369E-2</c:v>
                </c:pt>
                <c:pt idx="10">
                  <c:v>5.5856033041597142E-2</c:v>
                </c:pt>
                <c:pt idx="11">
                  <c:v>1.3504703362205328E-2</c:v>
                </c:pt>
                <c:pt idx="12">
                  <c:v>0.127366292960853</c:v>
                </c:pt>
                <c:pt idx="13">
                  <c:v>-1.385718943593095E-2</c:v>
                </c:pt>
                <c:pt idx="14">
                  <c:v>6.7779798313769568E-3</c:v>
                </c:pt>
                <c:pt idx="15">
                  <c:v>-2.0525451559934349E-2</c:v>
                </c:pt>
                <c:pt idx="16">
                  <c:v>7.5440067057837012E-3</c:v>
                </c:pt>
                <c:pt idx="17">
                  <c:v>-2.3627287853577372E-2</c:v>
                </c:pt>
                <c:pt idx="18">
                  <c:v>-1.218473074301285E-2</c:v>
                </c:pt>
                <c:pt idx="19">
                  <c:v>1.8718192012421087E-2</c:v>
                </c:pt>
                <c:pt idx="20">
                  <c:v>2.4978831498729814E-2</c:v>
                </c:pt>
                <c:pt idx="21">
                  <c:v>6.8566707971913221E-3</c:v>
                </c:pt>
                <c:pt idx="22">
                  <c:v>-1.3127666557268824E-3</c:v>
                </c:pt>
                <c:pt idx="23">
                  <c:v>1.0433782451528151E-2</c:v>
                </c:pt>
                <c:pt idx="24">
                  <c:v>3.4962192048133556E-3</c:v>
                </c:pt>
                <c:pt idx="25">
                  <c:v>-3.7757251660994973E-2</c:v>
                </c:pt>
                <c:pt idx="26">
                  <c:v>-3.0313236780060704E-3</c:v>
                </c:pt>
                <c:pt idx="27">
                  <c:v>1.2415540540540615E-2</c:v>
                </c:pt>
                <c:pt idx="28">
                  <c:v>-4.2128973054142094E-2</c:v>
                </c:pt>
                <c:pt idx="29">
                  <c:v>-4.5985020031353296E-2</c:v>
                </c:pt>
                <c:pt idx="30">
                  <c:v>-0.1303633375935731</c:v>
                </c:pt>
                <c:pt idx="31">
                  <c:v>5.5637203443208438E-3</c:v>
                </c:pt>
                <c:pt idx="32">
                  <c:v>1.7538365173817683E-2</c:v>
                </c:pt>
                <c:pt idx="33">
                  <c:v>1.5184159228480709E-2</c:v>
                </c:pt>
                <c:pt idx="34">
                  <c:v>3.7291561394643846E-2</c:v>
                </c:pt>
                <c:pt idx="35">
                  <c:v>-6.0600155884645401E-2</c:v>
                </c:pt>
                <c:pt idx="36">
                  <c:v>5.486413607135443E-2</c:v>
                </c:pt>
                <c:pt idx="37">
                  <c:v>-2.6546062334086296E-3</c:v>
                </c:pt>
                <c:pt idx="38">
                  <c:v>1.8927444794952786E-2</c:v>
                </c:pt>
                <c:pt idx="39">
                  <c:v>-1.731811145510842E-2</c:v>
                </c:pt>
                <c:pt idx="40">
                  <c:v>2.6582652357979741E-2</c:v>
                </c:pt>
                <c:pt idx="41">
                  <c:v>1.9180972475304481E-2</c:v>
                </c:pt>
                <c:pt idx="42">
                  <c:v>4.9684765220664451E-2</c:v>
                </c:pt>
                <c:pt idx="43">
                  <c:v>3.0031376064545201E-2</c:v>
                </c:pt>
                <c:pt idx="44">
                  <c:v>-8.7032201914708507E-3</c:v>
                </c:pt>
                <c:pt idx="45">
                  <c:v>1.0623353819139592E-2</c:v>
                </c:pt>
                <c:pt idx="46">
                  <c:v>-1.6766571105898631E-2</c:v>
                </c:pt>
                <c:pt idx="47">
                  <c:v>7.7752253048242181E-3</c:v>
                </c:pt>
                <c:pt idx="48">
                  <c:v>4.8921620199894766E-2</c:v>
                </c:pt>
                <c:pt idx="49">
                  <c:v>-8.1076563022400849E-3</c:v>
                </c:pt>
                <c:pt idx="50">
                  <c:v>-4.5504339765737312E-3</c:v>
                </c:pt>
                <c:pt idx="51">
                  <c:v>2.1586387877761792E-2</c:v>
                </c:pt>
                <c:pt idx="52">
                  <c:v>-2.7510772290354701E-2</c:v>
                </c:pt>
                <c:pt idx="53">
                  <c:v>9.3728698023176626E-4</c:v>
                </c:pt>
                <c:pt idx="54">
                  <c:v>-2.5197922873925194E-2</c:v>
                </c:pt>
                <c:pt idx="55">
                  <c:v>-1.7815037987948701E-2</c:v>
                </c:pt>
                <c:pt idx="56">
                  <c:v>1.8760558371121228E-2</c:v>
                </c:pt>
                <c:pt idx="57">
                  <c:v>-4.0495723511956738E-2</c:v>
                </c:pt>
                <c:pt idx="58">
                  <c:v>-3.5201018737493261E-2</c:v>
                </c:pt>
                <c:pt idx="59">
                  <c:v>2.1400961629112869E-2</c:v>
                </c:pt>
                <c:pt idx="60">
                  <c:v>-2.0767952741369777E-2</c:v>
                </c:pt>
                <c:pt idx="61">
                  <c:v>2.0925629182769301E-2</c:v>
                </c:pt>
                <c:pt idx="62">
                  <c:v>8.4941371987812264E-3</c:v>
                </c:pt>
                <c:pt idx="63">
                  <c:v>-4.0922823400164732E-2</c:v>
                </c:pt>
                <c:pt idx="64">
                  <c:v>-7.7319587628865705E-3</c:v>
                </c:pt>
                <c:pt idx="65">
                  <c:v>-6.2241462241462209E-2</c:v>
                </c:pt>
                <c:pt idx="66">
                  <c:v>1.8567911366434098E-2</c:v>
                </c:pt>
                <c:pt idx="67">
                  <c:v>3.7264578507401058E-3</c:v>
                </c:pt>
                <c:pt idx="68">
                  <c:v>-1.9265502709211346E-2</c:v>
                </c:pt>
                <c:pt idx="69">
                  <c:v>5.6783302639656252E-2</c:v>
                </c:pt>
                <c:pt idx="70">
                  <c:v>8.6358795623971307E-2</c:v>
                </c:pt>
                <c:pt idx="71">
                  <c:v>2.6735585063721867E-3</c:v>
                </c:pt>
                <c:pt idx="72">
                  <c:v>-1.5909696915829774E-2</c:v>
                </c:pt>
                <c:pt idx="73">
                  <c:v>2.980491329479773E-2</c:v>
                </c:pt>
                <c:pt idx="74">
                  <c:v>1.0524469391335334E-3</c:v>
                </c:pt>
                <c:pt idx="75">
                  <c:v>2.4356053968810354E-2</c:v>
                </c:pt>
                <c:pt idx="76">
                  <c:v>-3.2329798152582967E-2</c:v>
                </c:pt>
                <c:pt idx="77">
                  <c:v>-6.6908255258971261E-2</c:v>
                </c:pt>
                <c:pt idx="78">
                  <c:v>-2.2354835654068372E-2</c:v>
                </c:pt>
                <c:pt idx="79">
                  <c:v>1.8699738397442101E-2</c:v>
                </c:pt>
                <c:pt idx="80">
                  <c:v>-0.11061441887007795</c:v>
                </c:pt>
                <c:pt idx="81">
                  <c:v>-2.0425622928029186E-2</c:v>
                </c:pt>
                <c:pt idx="82">
                  <c:v>6.1026200873362413E-2</c:v>
                </c:pt>
                <c:pt idx="83">
                  <c:v>1.3375861714166604E-3</c:v>
                </c:pt>
                <c:pt idx="84">
                  <c:v>3.1031648170982473E-2</c:v>
                </c:pt>
                <c:pt idx="85">
                  <c:v>1.4251544747857281E-2</c:v>
                </c:pt>
                <c:pt idx="86">
                  <c:v>3.3998231305885973E-2</c:v>
                </c:pt>
                <c:pt idx="87">
                  <c:v>-5.8823529411764719E-2</c:v>
                </c:pt>
                <c:pt idx="88">
                  <c:v>4.3820678513731615E-2</c:v>
                </c:pt>
                <c:pt idx="89">
                  <c:v>1.7411491584446992E-3</c:v>
                </c:pt>
                <c:pt idx="90">
                  <c:v>-1.3904982618771711E-2</c:v>
                </c:pt>
                <c:pt idx="91">
                  <c:v>-5.3858206032120215E-3</c:v>
                </c:pt>
                <c:pt idx="92">
                  <c:v>-6.8917987594752095E-4</c:v>
                </c:pt>
                <c:pt idx="93">
                  <c:v>2.2758620689655285E-2</c:v>
                </c:pt>
                <c:pt idx="94">
                  <c:v>1.0596281668432628E-2</c:v>
                </c:pt>
                <c:pt idx="95">
                  <c:v>-2.1923553522066541E-2</c:v>
                </c:pt>
                <c:pt idx="96">
                  <c:v>3.2940259233992686E-2</c:v>
                </c:pt>
                <c:pt idx="97">
                  <c:v>-4.8778186621379449E-2</c:v>
                </c:pt>
                <c:pt idx="98">
                  <c:v>7.3398135290618782E-3</c:v>
                </c:pt>
                <c:pt idx="99">
                  <c:v>8.5663647105160834E-3</c:v>
                </c:pt>
                <c:pt idx="100">
                  <c:v>5.3402323538025875E-2</c:v>
                </c:pt>
                <c:pt idx="101">
                  <c:v>1.3345690454124259E-2</c:v>
                </c:pt>
                <c:pt idx="102">
                  <c:v>-1.097494055240622E-3</c:v>
                </c:pt>
                <c:pt idx="103">
                  <c:v>1.4924006592199168E-2</c:v>
                </c:pt>
                <c:pt idx="104">
                  <c:v>-7.2169598556607317E-3</c:v>
                </c:pt>
                <c:pt idx="105">
                  <c:v>5.9972739663789465E-3</c:v>
                </c:pt>
                <c:pt idx="106">
                  <c:v>2.520097552163314E-2</c:v>
                </c:pt>
                <c:pt idx="107">
                  <c:v>-4.9867841409691582E-2</c:v>
                </c:pt>
                <c:pt idx="108">
                  <c:v>0.11554154302670616</c:v>
                </c:pt>
                <c:pt idx="109">
                  <c:v>1.8952618453865311E-2</c:v>
                </c:pt>
                <c:pt idx="110">
                  <c:v>-1.851851851851849E-2</c:v>
                </c:pt>
                <c:pt idx="111">
                  <c:v>1.2218435707755049E-2</c:v>
                </c:pt>
                <c:pt idx="112">
                  <c:v>-2.2089012974215727E-2</c:v>
                </c:pt>
                <c:pt idx="113">
                  <c:v>2.4099420606264133E-2</c:v>
                </c:pt>
                <c:pt idx="114">
                  <c:v>2.1810429649065322E-2</c:v>
                </c:pt>
                <c:pt idx="115">
                  <c:v>-4.3331728454502061E-3</c:v>
                </c:pt>
                <c:pt idx="116">
                  <c:v>1.7246937459703515E-2</c:v>
                </c:pt>
                <c:pt idx="117">
                  <c:v>-1.5053081920456401E-2</c:v>
                </c:pt>
                <c:pt idx="118">
                  <c:v>1.1583011583011782E-2</c:v>
                </c:pt>
                <c:pt idx="119">
                  <c:v>2.703562340966803E-3</c:v>
                </c:pt>
                <c:pt idx="120">
                  <c:v>2.6962727993655733E-3</c:v>
                </c:pt>
                <c:pt idx="121">
                  <c:v>2.9421069281872825E-2</c:v>
                </c:pt>
                <c:pt idx="122">
                  <c:v>-4.5482483097725845E-2</c:v>
                </c:pt>
                <c:pt idx="123">
                  <c:v>2.6802962009014886E-2</c:v>
                </c:pt>
                <c:pt idx="124">
                  <c:v>4.8992709884769114E-2</c:v>
                </c:pt>
                <c:pt idx="125">
                  <c:v>1.4721267374084634E-2</c:v>
                </c:pt>
                <c:pt idx="126">
                  <c:v>1.8263495102732286E-2</c:v>
                </c:pt>
                <c:pt idx="127">
                  <c:v>7.5215158747377053E-3</c:v>
                </c:pt>
                <c:pt idx="128">
                  <c:v>-5.634914937908253E-2</c:v>
                </c:pt>
                <c:pt idx="129">
                  <c:v>-2.07667731629394E-2</c:v>
                </c:pt>
                <c:pt idx="130">
                  <c:v>-2.0508040083896395E-2</c:v>
                </c:pt>
                <c:pt idx="131">
                  <c:v>6.8998334522958338E-3</c:v>
                </c:pt>
                <c:pt idx="132">
                  <c:v>3.7807183364839236E-2</c:v>
                </c:pt>
                <c:pt idx="133">
                  <c:v>2.5576806314511202E-2</c:v>
                </c:pt>
                <c:pt idx="134">
                  <c:v>5.7648190631243823E-2</c:v>
                </c:pt>
                <c:pt idx="135">
                  <c:v>-2.071088720962766E-2</c:v>
                </c:pt>
                <c:pt idx="136">
                  <c:v>-4.7870820234353628E-3</c:v>
                </c:pt>
                <c:pt idx="137">
                  <c:v>1.8881470313733884E-2</c:v>
                </c:pt>
                <c:pt idx="138">
                  <c:v>-2.466178128523111E-2</c:v>
                </c:pt>
                <c:pt idx="139">
                  <c:v>3.8217020661754253E-2</c:v>
                </c:pt>
                <c:pt idx="140">
                  <c:v>-1.6700299213694314E-2</c:v>
                </c:pt>
                <c:pt idx="141">
                  <c:v>7.5012384120018982E-3</c:v>
                </c:pt>
                <c:pt idx="142">
                  <c:v>2.9079159935379462E-2</c:v>
                </c:pt>
                <c:pt idx="143">
                  <c:v>-4.8324346460992373E-2</c:v>
                </c:pt>
                <c:pt idx="144">
                  <c:v>-4.0163522914724581E-3</c:v>
                </c:pt>
                <c:pt idx="145">
                  <c:v>-3.8885288399221896E-3</c:v>
                </c:pt>
                <c:pt idx="146">
                  <c:v>1.0337598496349187E-2</c:v>
                </c:pt>
                <c:pt idx="147">
                  <c:v>6.3322839152833543E-2</c:v>
                </c:pt>
                <c:pt idx="148">
                  <c:v>-1.440010766435651E-2</c:v>
                </c:pt>
                <c:pt idx="149">
                  <c:v>-2.0482009967911496E-2</c:v>
                </c:pt>
                <c:pt idx="150">
                  <c:v>-3.0738133407681056E-2</c:v>
                </c:pt>
                <c:pt idx="151">
                  <c:v>6.1843808428014846E-3</c:v>
                </c:pt>
                <c:pt idx="152">
                  <c:v>5.4316752429961479E-3</c:v>
                </c:pt>
                <c:pt idx="153">
                  <c:v>-7.7480807506398186E-3</c:v>
                </c:pt>
                <c:pt idx="154">
                  <c:v>-2.3855577047066534E-2</c:v>
                </c:pt>
                <c:pt idx="155">
                  <c:v>-1.1595479230882E-2</c:v>
                </c:pt>
                <c:pt idx="156">
                  <c:v>1.1880011880012198E-3</c:v>
                </c:pt>
                <c:pt idx="157">
                  <c:v>-1.3274992583802936E-2</c:v>
                </c:pt>
                <c:pt idx="158">
                  <c:v>-3.1116121758737458E-2</c:v>
                </c:pt>
                <c:pt idx="159">
                  <c:v>0</c:v>
                </c:pt>
              </c:numCache>
            </c:numRef>
          </c:val>
          <c:extLst>
            <c:ext xmlns:c16="http://schemas.microsoft.com/office/drawing/2014/chart" uri="{C3380CC4-5D6E-409C-BE32-E72D297353CC}">
              <c16:uniqueId val="{00000000-74B2-C940-B527-9DB88DCED8CC}"/>
            </c:ext>
          </c:extLst>
        </c:ser>
        <c:dLbls>
          <c:showLegendKey val="0"/>
          <c:showVal val="0"/>
          <c:showCatName val="0"/>
          <c:showSerName val="0"/>
          <c:showPercent val="0"/>
          <c:showBubbleSize val="0"/>
        </c:dLbls>
        <c:gapWidth val="150"/>
        <c:axId val="38774628"/>
        <c:axId val="59396559"/>
      </c:barChart>
      <c:lineChart>
        <c:grouping val="standard"/>
        <c:varyColors val="0"/>
        <c:ser>
          <c:idx val="1"/>
          <c:order val="1"/>
          <c:tx>
            <c:strRef>
              <c:f>'Returns (Calc)'!$AE$2</c:f>
              <c:strCache>
                <c:ptCount val="1"/>
                <c:pt idx="0">
                  <c:v>PLD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(Calc)'!$AE$3:$AE$500</c:f>
              <c:numCache>
                <c:formatCode>#,##0.00</c:formatCode>
                <c:ptCount val="498"/>
                <c:pt idx="0">
                  <c:v>111.84</c:v>
                </c:pt>
                <c:pt idx="1">
                  <c:v>111.94803797468354</c:v>
                </c:pt>
                <c:pt idx="2">
                  <c:v>112.0560759493671</c:v>
                </c:pt>
                <c:pt idx="3">
                  <c:v>112.16411392405064</c:v>
                </c:pt>
                <c:pt idx="4">
                  <c:v>112.27215189873418</c:v>
                </c:pt>
                <c:pt idx="5">
                  <c:v>112.38018987341772</c:v>
                </c:pt>
                <c:pt idx="6">
                  <c:v>112.48822784810127</c:v>
                </c:pt>
                <c:pt idx="7">
                  <c:v>112.59626582278482</c:v>
                </c:pt>
                <c:pt idx="8">
                  <c:v>112.70430379746836</c:v>
                </c:pt>
                <c:pt idx="9">
                  <c:v>112.8123417721519</c:v>
                </c:pt>
                <c:pt idx="10">
                  <c:v>112.92037974683545</c:v>
                </c:pt>
                <c:pt idx="11">
                  <c:v>113.02841772151899</c:v>
                </c:pt>
                <c:pt idx="12">
                  <c:v>113.13645569620253</c:v>
                </c:pt>
                <c:pt idx="13">
                  <c:v>113.24449367088607</c:v>
                </c:pt>
                <c:pt idx="14">
                  <c:v>113.35253164556963</c:v>
                </c:pt>
                <c:pt idx="15">
                  <c:v>113.46056962025317</c:v>
                </c:pt>
                <c:pt idx="16">
                  <c:v>113.56860759493671</c:v>
                </c:pt>
                <c:pt idx="17">
                  <c:v>113.67664556962026</c:v>
                </c:pt>
                <c:pt idx="18">
                  <c:v>113.7846835443038</c:v>
                </c:pt>
                <c:pt idx="19">
                  <c:v>113.89272151898734</c:v>
                </c:pt>
                <c:pt idx="20">
                  <c:v>114.00075949367088</c:v>
                </c:pt>
                <c:pt idx="21">
                  <c:v>114.10879746835444</c:v>
                </c:pt>
                <c:pt idx="22">
                  <c:v>114.21683544303798</c:v>
                </c:pt>
                <c:pt idx="23">
                  <c:v>114.32487341772152</c:v>
                </c:pt>
                <c:pt idx="24">
                  <c:v>114.43291139240506</c:v>
                </c:pt>
                <c:pt idx="25">
                  <c:v>114.54094936708861</c:v>
                </c:pt>
                <c:pt idx="26">
                  <c:v>114.64898734177216</c:v>
                </c:pt>
                <c:pt idx="27">
                  <c:v>114.7570253164557</c:v>
                </c:pt>
                <c:pt idx="28">
                  <c:v>114.86506329113924</c:v>
                </c:pt>
                <c:pt idx="29">
                  <c:v>114.97310126582279</c:v>
                </c:pt>
                <c:pt idx="30">
                  <c:v>115.08113924050633</c:v>
                </c:pt>
                <c:pt idx="31">
                  <c:v>115.18917721518987</c:v>
                </c:pt>
                <c:pt idx="32">
                  <c:v>115.29721518987341</c:v>
                </c:pt>
                <c:pt idx="33">
                  <c:v>115.40525316455697</c:v>
                </c:pt>
                <c:pt idx="34">
                  <c:v>115.51329113924051</c:v>
                </c:pt>
                <c:pt idx="35">
                  <c:v>115.62132911392405</c:v>
                </c:pt>
                <c:pt idx="36">
                  <c:v>115.7293670886076</c:v>
                </c:pt>
                <c:pt idx="37">
                  <c:v>115.83740506329114</c:v>
                </c:pt>
                <c:pt idx="38">
                  <c:v>115.94544303797468</c:v>
                </c:pt>
                <c:pt idx="39">
                  <c:v>116.05348101265822</c:v>
                </c:pt>
                <c:pt idx="40">
                  <c:v>116.16151898734178</c:v>
                </c:pt>
                <c:pt idx="41">
                  <c:v>116.26955696202532</c:v>
                </c:pt>
                <c:pt idx="42">
                  <c:v>116.37759493670886</c:v>
                </c:pt>
                <c:pt idx="43">
                  <c:v>116.4856329113924</c:v>
                </c:pt>
                <c:pt idx="44">
                  <c:v>116.59367088607596</c:v>
                </c:pt>
                <c:pt idx="45">
                  <c:v>116.7017088607595</c:v>
                </c:pt>
                <c:pt idx="46">
                  <c:v>116.80974683544304</c:v>
                </c:pt>
                <c:pt idx="47">
                  <c:v>116.91778481012659</c:v>
                </c:pt>
                <c:pt idx="48">
                  <c:v>117.02582278481013</c:v>
                </c:pt>
                <c:pt idx="49">
                  <c:v>117.13386075949367</c:v>
                </c:pt>
                <c:pt idx="50">
                  <c:v>117.24189873417721</c:v>
                </c:pt>
                <c:pt idx="51">
                  <c:v>117.34993670886077</c:v>
                </c:pt>
                <c:pt idx="52">
                  <c:v>117.45797468354431</c:v>
                </c:pt>
                <c:pt idx="53">
                  <c:v>117.56601265822785</c:v>
                </c:pt>
                <c:pt idx="54">
                  <c:v>117.67405063291139</c:v>
                </c:pt>
                <c:pt idx="55">
                  <c:v>117.78208860759494</c:v>
                </c:pt>
                <c:pt idx="56">
                  <c:v>117.89012658227848</c:v>
                </c:pt>
                <c:pt idx="57">
                  <c:v>117.99816455696202</c:v>
                </c:pt>
                <c:pt idx="58">
                  <c:v>118.10620253164556</c:v>
                </c:pt>
                <c:pt idx="59">
                  <c:v>118.21424050632912</c:v>
                </c:pt>
                <c:pt idx="60">
                  <c:v>118.32227848101266</c:v>
                </c:pt>
                <c:pt idx="61">
                  <c:v>118.4303164556962</c:v>
                </c:pt>
                <c:pt idx="62">
                  <c:v>118.53835443037975</c:v>
                </c:pt>
                <c:pt idx="63">
                  <c:v>118.6463924050633</c:v>
                </c:pt>
                <c:pt idx="64">
                  <c:v>118.75443037974684</c:v>
                </c:pt>
                <c:pt idx="65">
                  <c:v>118.86246835443038</c:v>
                </c:pt>
                <c:pt idx="66">
                  <c:v>118.97050632911393</c:v>
                </c:pt>
                <c:pt idx="67">
                  <c:v>119.07854430379747</c:v>
                </c:pt>
                <c:pt idx="68">
                  <c:v>119.18658227848101</c:v>
                </c:pt>
                <c:pt idx="69">
                  <c:v>119.29462025316455</c:v>
                </c:pt>
                <c:pt idx="70">
                  <c:v>119.40265822784811</c:v>
                </c:pt>
                <c:pt idx="71">
                  <c:v>119.51069620253165</c:v>
                </c:pt>
                <c:pt idx="72">
                  <c:v>119.61873417721519</c:v>
                </c:pt>
                <c:pt idx="73">
                  <c:v>119.72677215189873</c:v>
                </c:pt>
                <c:pt idx="74">
                  <c:v>119.83481012658228</c:v>
                </c:pt>
                <c:pt idx="75">
                  <c:v>119.94284810126582</c:v>
                </c:pt>
                <c:pt idx="76">
                  <c:v>120.05088607594936</c:v>
                </c:pt>
                <c:pt idx="77">
                  <c:v>120.15892405063292</c:v>
                </c:pt>
                <c:pt idx="78">
                  <c:v>120.26696202531646</c:v>
                </c:pt>
                <c:pt idx="79">
                  <c:v>120.375</c:v>
                </c:pt>
                <c:pt idx="80">
                  <c:v>120.48303797468354</c:v>
                </c:pt>
                <c:pt idx="81">
                  <c:v>120.59107594936708</c:v>
                </c:pt>
                <c:pt idx="82">
                  <c:v>120.69911392405064</c:v>
                </c:pt>
                <c:pt idx="83">
                  <c:v>120.80715189873418</c:v>
                </c:pt>
                <c:pt idx="84">
                  <c:v>120.91518987341772</c:v>
                </c:pt>
                <c:pt idx="85">
                  <c:v>121.02322784810127</c:v>
                </c:pt>
                <c:pt idx="86">
                  <c:v>121.13126582278481</c:v>
                </c:pt>
                <c:pt idx="87">
                  <c:v>121.23930379746835</c:v>
                </c:pt>
                <c:pt idx="88">
                  <c:v>121.34734177215189</c:v>
                </c:pt>
                <c:pt idx="89">
                  <c:v>121.45537974683545</c:v>
                </c:pt>
                <c:pt idx="90">
                  <c:v>121.56341772151899</c:v>
                </c:pt>
                <c:pt idx="91">
                  <c:v>121.67145569620253</c:v>
                </c:pt>
                <c:pt idx="92">
                  <c:v>121.77949367088607</c:v>
                </c:pt>
                <c:pt idx="93">
                  <c:v>121.88753164556962</c:v>
                </c:pt>
                <c:pt idx="94">
                  <c:v>121.99556962025316</c:v>
                </c:pt>
                <c:pt idx="95">
                  <c:v>122.1036075949367</c:v>
                </c:pt>
                <c:pt idx="96">
                  <c:v>122.21164556962026</c:v>
                </c:pt>
                <c:pt idx="97">
                  <c:v>122.3196835443038</c:v>
                </c:pt>
                <c:pt idx="98">
                  <c:v>122.42772151898734</c:v>
                </c:pt>
                <c:pt idx="99">
                  <c:v>122.53575949367088</c:v>
                </c:pt>
                <c:pt idx="100">
                  <c:v>122.64379746835444</c:v>
                </c:pt>
                <c:pt idx="101">
                  <c:v>122.75183544303798</c:v>
                </c:pt>
                <c:pt idx="102">
                  <c:v>122.85987341772152</c:v>
                </c:pt>
                <c:pt idx="103">
                  <c:v>122.96791139240506</c:v>
                </c:pt>
                <c:pt idx="104">
                  <c:v>123.07594936708861</c:v>
                </c:pt>
                <c:pt idx="105">
                  <c:v>123.18398734177215</c:v>
                </c:pt>
                <c:pt idx="106">
                  <c:v>123.29202531645569</c:v>
                </c:pt>
                <c:pt idx="107">
                  <c:v>123.40006329113925</c:v>
                </c:pt>
                <c:pt idx="108">
                  <c:v>123.50810126582279</c:v>
                </c:pt>
                <c:pt idx="109">
                  <c:v>123.61613924050633</c:v>
                </c:pt>
                <c:pt idx="110">
                  <c:v>123.72417721518987</c:v>
                </c:pt>
                <c:pt idx="111">
                  <c:v>123.83221518987341</c:v>
                </c:pt>
                <c:pt idx="112">
                  <c:v>123.94025316455696</c:v>
                </c:pt>
                <c:pt idx="113">
                  <c:v>124.0482911392405</c:v>
                </c:pt>
                <c:pt idx="114">
                  <c:v>124.15632911392404</c:v>
                </c:pt>
                <c:pt idx="115">
                  <c:v>124.2643670886076</c:v>
                </c:pt>
                <c:pt idx="116">
                  <c:v>124.37240506329114</c:v>
                </c:pt>
                <c:pt idx="117">
                  <c:v>124.48044303797468</c:v>
                </c:pt>
                <c:pt idx="118">
                  <c:v>124.58848101265822</c:v>
                </c:pt>
                <c:pt idx="119">
                  <c:v>124.69651898734178</c:v>
                </c:pt>
                <c:pt idx="120">
                  <c:v>124.80455696202532</c:v>
                </c:pt>
                <c:pt idx="121">
                  <c:v>124.91259493670886</c:v>
                </c:pt>
                <c:pt idx="122">
                  <c:v>125.0206329113924</c:v>
                </c:pt>
                <c:pt idx="123">
                  <c:v>125.12867088607595</c:v>
                </c:pt>
                <c:pt idx="124">
                  <c:v>125.23670886075949</c:v>
                </c:pt>
                <c:pt idx="125">
                  <c:v>125.34474683544303</c:v>
                </c:pt>
                <c:pt idx="126">
                  <c:v>125.45278481012659</c:v>
                </c:pt>
                <c:pt idx="127">
                  <c:v>125.56082278481013</c:v>
                </c:pt>
                <c:pt idx="128">
                  <c:v>125.66886075949367</c:v>
                </c:pt>
                <c:pt idx="129">
                  <c:v>125.77689873417721</c:v>
                </c:pt>
                <c:pt idx="130">
                  <c:v>125.88493670886075</c:v>
                </c:pt>
                <c:pt idx="131">
                  <c:v>125.9929746835443</c:v>
                </c:pt>
                <c:pt idx="132">
                  <c:v>126.10101265822784</c:v>
                </c:pt>
                <c:pt idx="133">
                  <c:v>126.20905063291139</c:v>
                </c:pt>
                <c:pt idx="134">
                  <c:v>126.31708860759494</c:v>
                </c:pt>
                <c:pt idx="135">
                  <c:v>126.42512658227848</c:v>
                </c:pt>
                <c:pt idx="136">
                  <c:v>126.53316455696202</c:v>
                </c:pt>
                <c:pt idx="137">
                  <c:v>126.64120253164558</c:v>
                </c:pt>
                <c:pt idx="138">
                  <c:v>126.74924050632912</c:v>
                </c:pt>
                <c:pt idx="139">
                  <c:v>126.85727848101266</c:v>
                </c:pt>
                <c:pt idx="140">
                  <c:v>126.9653164556962</c:v>
                </c:pt>
                <c:pt idx="141">
                  <c:v>127.07335443037974</c:v>
                </c:pt>
                <c:pt idx="142">
                  <c:v>127.18139240506329</c:v>
                </c:pt>
                <c:pt idx="143">
                  <c:v>127.28943037974683</c:v>
                </c:pt>
                <c:pt idx="144">
                  <c:v>127.39746835443037</c:v>
                </c:pt>
                <c:pt idx="145">
                  <c:v>127.50550632911393</c:v>
                </c:pt>
                <c:pt idx="146">
                  <c:v>127.61354430379747</c:v>
                </c:pt>
                <c:pt idx="147">
                  <c:v>127.72158227848101</c:v>
                </c:pt>
                <c:pt idx="148">
                  <c:v>127.82962025316455</c:v>
                </c:pt>
                <c:pt idx="149">
                  <c:v>127.93765822784809</c:v>
                </c:pt>
                <c:pt idx="150">
                  <c:v>128.04569620253164</c:v>
                </c:pt>
                <c:pt idx="151">
                  <c:v>128.1537341772152</c:v>
                </c:pt>
                <c:pt idx="152">
                  <c:v>128.26177215189873</c:v>
                </c:pt>
                <c:pt idx="153">
                  <c:v>128.36981012658228</c:v>
                </c:pt>
                <c:pt idx="154">
                  <c:v>128.47784810126581</c:v>
                </c:pt>
                <c:pt idx="155">
                  <c:v>128.58588607594936</c:v>
                </c:pt>
                <c:pt idx="156">
                  <c:v>128.69392405063292</c:v>
                </c:pt>
                <c:pt idx="157">
                  <c:v>128.80196202531644</c:v>
                </c:pt>
                <c:pt idx="158">
                  <c:v>128.91</c:v>
                </c:pt>
                <c:pt idx="159">
                  <c:v>129.01803797468355</c:v>
                </c:pt>
              </c:numCache>
            </c:numRef>
          </c:val>
          <c:smooth val="0"/>
          <c:extLst>
            <c:ext xmlns:c16="http://schemas.microsoft.com/office/drawing/2014/chart" uri="{C3380CC4-5D6E-409C-BE32-E72D297353CC}">
              <c16:uniqueId val="{00000001-74B2-C940-B527-9DB88DCED8CC}"/>
            </c:ext>
          </c:extLst>
        </c:ser>
        <c:dLbls>
          <c:showLegendKey val="0"/>
          <c:showVal val="0"/>
          <c:showCatName val="0"/>
          <c:showSerName val="0"/>
          <c:showPercent val="0"/>
          <c:showBubbleSize val="0"/>
        </c:dLbls>
        <c:hiLowLines>
          <c:spPr>
            <a:ln w="0">
              <a:noFill/>
            </a:ln>
          </c:spPr>
        </c:hiLowLines>
        <c:marker val="1"/>
        <c:smooth val="0"/>
        <c:axId val="63458742"/>
        <c:axId val="49132522"/>
      </c:lineChart>
      <c:dateAx>
        <c:axId val="38774628"/>
        <c:scaling>
          <c:orientation val="minMax"/>
        </c:scaling>
        <c:delete val="1"/>
        <c:axPos val="b"/>
        <c:numFmt formatCode="mm/dd/yyyy" sourceLinked="1"/>
        <c:majorTickMark val="none"/>
        <c:minorTickMark val="none"/>
        <c:tickLblPos val="nextTo"/>
        <c:crossAx val="59396559"/>
        <c:crosses val="autoZero"/>
        <c:auto val="1"/>
        <c:lblOffset val="100"/>
        <c:baseTimeUnit val="days"/>
      </c:dateAx>
      <c:valAx>
        <c:axId val="593965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8774628"/>
        <c:crosses val="autoZero"/>
        <c:crossBetween val="between"/>
      </c:valAx>
      <c:dateAx>
        <c:axId val="63458742"/>
        <c:scaling>
          <c:orientation val="minMax"/>
        </c:scaling>
        <c:delete val="1"/>
        <c:axPos val="b"/>
        <c:numFmt formatCode="mm/dd/yyyy" sourceLinked="1"/>
        <c:majorTickMark val="none"/>
        <c:minorTickMark val="none"/>
        <c:tickLblPos val="nextTo"/>
        <c:crossAx val="49132522"/>
        <c:crosses val="autoZero"/>
        <c:auto val="1"/>
        <c:lblOffset val="100"/>
        <c:baseTimeUnit val="days"/>
      </c:dateAx>
      <c:valAx>
        <c:axId val="491325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345874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layout/>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(Calc)'!$K$3:$K$500</c:f>
              <c:numCache>
                <c:formatCode>0.0%</c:formatCode>
                <c:ptCount val="498"/>
                <c:pt idx="0">
                  <c:v>-7.8277886497064575E-2</c:v>
                </c:pt>
                <c:pt idx="1">
                  <c:v>0.13234253361641901</c:v>
                </c:pt>
                <c:pt idx="2">
                  <c:v>3.8124999999999964E-2</c:v>
                </c:pt>
                <c:pt idx="3">
                  <c:v>4.5153521974714117E-2</c:v>
                </c:pt>
                <c:pt idx="4">
                  <c:v>-7.2004608294930827E-2</c:v>
                </c:pt>
                <c:pt idx="5">
                  <c:v>-6.4556176288019795E-2</c:v>
                </c:pt>
                <c:pt idx="6">
                  <c:v>0.25348374253483752</c:v>
                </c:pt>
                <c:pt idx="7">
                  <c:v>4.1291688724192754E-2</c:v>
                </c:pt>
                <c:pt idx="8">
                  <c:v>4.1687849517030751E-2</c:v>
                </c:pt>
                <c:pt idx="9">
                  <c:v>-6.2957540263543166E-2</c:v>
                </c:pt>
                <c:pt idx="10">
                  <c:v>5.5729166666666607E-2</c:v>
                </c:pt>
                <c:pt idx="11">
                  <c:v>-0.12333497779970404</c:v>
                </c:pt>
                <c:pt idx="12">
                  <c:v>2.4198086662915008E-2</c:v>
                </c:pt>
                <c:pt idx="13">
                  <c:v>-4.3406593406593363E-2</c:v>
                </c:pt>
                <c:pt idx="14">
                  <c:v>-1.378518093049963E-2</c:v>
                </c:pt>
                <c:pt idx="15">
                  <c:v>-6.9306930693069368E-2</c:v>
                </c:pt>
                <c:pt idx="16">
                  <c:v>4.8811013767209088E-2</c:v>
                </c:pt>
                <c:pt idx="17">
                  <c:v>1.1933174224343368E-3</c:v>
                </c:pt>
                <c:pt idx="18">
                  <c:v>-2.5625744934445804E-2</c:v>
                </c:pt>
                <c:pt idx="19">
                  <c:v>4.0978593272171127E-2</c:v>
                </c:pt>
                <c:pt idx="20">
                  <c:v>0.43243243243243246</c:v>
                </c:pt>
                <c:pt idx="21">
                  <c:v>2.4610336341264194E-3</c:v>
                </c:pt>
                <c:pt idx="22">
                  <c:v>-6.0147299509001773E-2</c:v>
                </c:pt>
                <c:pt idx="23">
                  <c:v>8.5328689595124185E-2</c:v>
                </c:pt>
                <c:pt idx="24">
                  <c:v>4.4524669073405576E-2</c:v>
                </c:pt>
                <c:pt idx="25">
                  <c:v>-9.7926267281105983E-2</c:v>
                </c:pt>
                <c:pt idx="26">
                  <c:v>2.9374201787994991E-2</c:v>
                </c:pt>
                <c:pt idx="27">
                  <c:v>-4.8387096774193505E-2</c:v>
                </c:pt>
                <c:pt idx="28">
                  <c:v>-2.1729682746631784E-3</c:v>
                </c:pt>
                <c:pt idx="29">
                  <c:v>-1.2630662020905903E-2</c:v>
                </c:pt>
                <c:pt idx="30">
                  <c:v>-9.7044552271724815E-2</c:v>
                </c:pt>
                <c:pt idx="31">
                  <c:v>0.10014655593551547</c:v>
                </c:pt>
                <c:pt idx="32">
                  <c:v>3.5968028419182785E-2</c:v>
                </c:pt>
                <c:pt idx="33">
                  <c:v>-0.11701671667381042</c:v>
                </c:pt>
                <c:pt idx="34">
                  <c:v>5.6310679611650594E-2</c:v>
                </c:pt>
                <c:pt idx="35">
                  <c:v>-3.4466911764705843E-2</c:v>
                </c:pt>
                <c:pt idx="36">
                  <c:v>3.188957639219403E-2</c:v>
                </c:pt>
                <c:pt idx="37">
                  <c:v>7.5184501845018348E-2</c:v>
                </c:pt>
                <c:pt idx="38">
                  <c:v>1.1154011154011156E-2</c:v>
                </c:pt>
                <c:pt idx="39">
                  <c:v>1.1455239711497756E-2</c:v>
                </c:pt>
                <c:pt idx="40">
                  <c:v>6.25E-2</c:v>
                </c:pt>
                <c:pt idx="41">
                  <c:v>7.500986971970014E-2</c:v>
                </c:pt>
                <c:pt idx="42">
                  <c:v>3.084832904884327E-2</c:v>
                </c:pt>
                <c:pt idx="43">
                  <c:v>1.8168863555397152E-2</c:v>
                </c:pt>
                <c:pt idx="44">
                  <c:v>-4.8985304408677321E-2</c:v>
                </c:pt>
                <c:pt idx="45">
                  <c:v>-8.9771891096394496E-2</c:v>
                </c:pt>
                <c:pt idx="46">
                  <c:v>0.21301535974130981</c:v>
                </c:pt>
                <c:pt idx="47">
                  <c:v>6.8977007664111856E-2</c:v>
                </c:pt>
                <c:pt idx="48">
                  <c:v>-9.3516209476308676E-3</c:v>
                </c:pt>
                <c:pt idx="49">
                  <c:v>-9.4398993077406956E-3</c:v>
                </c:pt>
                <c:pt idx="50">
                  <c:v>-3.6531130876747198E-2</c:v>
                </c:pt>
                <c:pt idx="51">
                  <c:v>0.17342565117045838</c:v>
                </c:pt>
                <c:pt idx="52">
                  <c:v>4.5237426243326828E-2</c:v>
                </c:pt>
                <c:pt idx="53">
                  <c:v>-9.6774193548386789E-3</c:v>
                </c:pt>
                <c:pt idx="54">
                  <c:v>8.6047774158523271E-2</c:v>
                </c:pt>
                <c:pt idx="55">
                  <c:v>8.7478130467383064E-2</c:v>
                </c:pt>
                <c:pt idx="56">
                  <c:v>-1.2410940013789951E-2</c:v>
                </c:pt>
                <c:pt idx="57">
                  <c:v>4.3984175005818082E-2</c:v>
                </c:pt>
                <c:pt idx="58">
                  <c:v>-6.553722692822106E-2</c:v>
                </c:pt>
                <c:pt idx="59">
                  <c:v>0.39289122137404586</c:v>
                </c:pt>
                <c:pt idx="60">
                  <c:v>0.1263915053947593</c:v>
                </c:pt>
                <c:pt idx="61">
                  <c:v>-2.1590390755663713E-2</c:v>
                </c:pt>
                <c:pt idx="62">
                  <c:v>4.2424242424242475E-2</c:v>
                </c:pt>
                <c:pt idx="63">
                  <c:v>0.13804412641621955</c:v>
                </c:pt>
                <c:pt idx="64">
                  <c:v>-3.5368090123134577E-3</c:v>
                </c:pt>
                <c:pt idx="65">
                  <c:v>5.889312475351649E-2</c:v>
                </c:pt>
                <c:pt idx="66">
                  <c:v>-1.8249534450651805E-2</c:v>
                </c:pt>
                <c:pt idx="67">
                  <c:v>1.0242792109256493E-2</c:v>
                </c:pt>
                <c:pt idx="68">
                  <c:v>-0.15809237701840029</c:v>
                </c:pt>
                <c:pt idx="69">
                  <c:v>6.7053226286053924E-2</c:v>
                </c:pt>
                <c:pt idx="70">
                  <c:v>0.10045980214574346</c:v>
                </c:pt>
                <c:pt idx="71">
                  <c:v>4.4441630792605658E-2</c:v>
                </c:pt>
                <c:pt idx="72">
                  <c:v>0.34379924839374465</c:v>
                </c:pt>
                <c:pt idx="73">
                  <c:v>7.4966170500676554E-2</c:v>
                </c:pt>
                <c:pt idx="74">
                  <c:v>-0.14946290701577714</c:v>
                </c:pt>
                <c:pt idx="75">
                  <c:v>-0.16211149481993092</c:v>
                </c:pt>
                <c:pt idx="76">
                  <c:v>-1.1775788977863577E-4</c:v>
                </c:pt>
                <c:pt idx="77">
                  <c:v>1.5663643858202736E-2</c:v>
                </c:pt>
                <c:pt idx="78">
                  <c:v>5.4730983302411884E-2</c:v>
                </c:pt>
                <c:pt idx="79">
                  <c:v>-5.6178540017590151E-2</c:v>
                </c:pt>
                <c:pt idx="80">
                  <c:v>-0.13791496796738489</c:v>
                </c:pt>
                <c:pt idx="81">
                  <c:v>0.19645993784623683</c:v>
                </c:pt>
                <c:pt idx="82">
                  <c:v>5.9062676453980778E-2</c:v>
                </c:pt>
                <c:pt idx="83">
                  <c:v>0.20260183407976107</c:v>
                </c:pt>
                <c:pt idx="84">
                  <c:v>0.10196843411952483</c:v>
                </c:pt>
                <c:pt idx="85">
                  <c:v>-5.6163501770196356E-2</c:v>
                </c:pt>
                <c:pt idx="86">
                  <c:v>0.10417732310315442</c:v>
                </c:pt>
                <c:pt idx="87">
                  <c:v>-4.7946263125386079E-2</c:v>
                </c:pt>
                <c:pt idx="88">
                  <c:v>6.8688670829616383E-2</c:v>
                </c:pt>
                <c:pt idx="89">
                  <c:v>-3.0808923964182777E-2</c:v>
                </c:pt>
                <c:pt idx="90">
                  <c:v>7.5790792358283898E-2</c:v>
                </c:pt>
                <c:pt idx="91">
                  <c:v>-7.2780203784561515E-4</c:v>
                </c:pt>
                <c:pt idx="92">
                  <c:v>-4.7778587035688269E-2</c:v>
                </c:pt>
                <c:pt idx="93">
                  <c:v>2.7688542144714834E-2</c:v>
                </c:pt>
                <c:pt idx="94">
                  <c:v>5.760643048526326E-2</c:v>
                </c:pt>
                <c:pt idx="95">
                  <c:v>8.0365939479239978E-2</c:v>
                </c:pt>
                <c:pt idx="96">
                  <c:v>3.4392912975508061E-2</c:v>
                </c:pt>
                <c:pt idx="97">
                  <c:v>-2.8526448362720447E-2</c:v>
                </c:pt>
                <c:pt idx="98">
                  <c:v>0.21190121216049773</c:v>
                </c:pt>
                <c:pt idx="99">
                  <c:v>-5.2364142062473418E-2</c:v>
                </c:pt>
                <c:pt idx="100">
                  <c:v>-0.10402438336061404</c:v>
                </c:pt>
                <c:pt idx="101">
                  <c:v>-1.2788207131157914E-2</c:v>
                </c:pt>
                <c:pt idx="102">
                  <c:v>-2.2972369344649302E-2</c:v>
                </c:pt>
                <c:pt idx="103">
                  <c:v>0.1196525373914179</c:v>
                </c:pt>
                <c:pt idx="104">
                  <c:v>6.3932800559995284E-2</c:v>
                </c:pt>
                <c:pt idx="105">
                  <c:v>-2.6426887439004343E-2</c:v>
                </c:pt>
                <c:pt idx="106">
                  <c:v>-2.5342118601115016E-2</c:v>
                </c:pt>
                <c:pt idx="107">
                  <c:v>1.3693881088576942E-2</c:v>
                </c:pt>
                <c:pt idx="108">
                  <c:v>1.5446876424988654E-2</c:v>
                </c:pt>
                <c:pt idx="109">
                  <c:v>3.6373842267751755E-2</c:v>
                </c:pt>
                <c:pt idx="110">
                  <c:v>8.5793208037697077E-2</c:v>
                </c:pt>
                <c:pt idx="111">
                  <c:v>-0.1124357759265725</c:v>
                </c:pt>
                <c:pt idx="112">
                  <c:v>-2.2031135839937099E-2</c:v>
                </c:pt>
                <c:pt idx="113">
                  <c:v>-0.11010861444744557</c:v>
                </c:pt>
                <c:pt idx="114">
                  <c:v>8.782692928640623E-2</c:v>
                </c:pt>
                <c:pt idx="115">
                  <c:v>7.9014544375185514E-2</c:v>
                </c:pt>
                <c:pt idx="116">
                  <c:v>9.9581866197182567E-3</c:v>
                </c:pt>
                <c:pt idx="117">
                  <c:v>5.3440104592253679E-2</c:v>
                </c:pt>
                <c:pt idx="118">
                  <c:v>-2.4149343261971157E-2</c:v>
                </c:pt>
                <c:pt idx="119">
                  <c:v>-0.1104869906205288</c:v>
                </c:pt>
                <c:pt idx="120">
                  <c:v>5.7369236268318913E-2</c:v>
                </c:pt>
                <c:pt idx="121">
                  <c:v>-3.6790805115781144E-2</c:v>
                </c:pt>
                <c:pt idx="122">
                  <c:v>-7.9550772110436041E-3</c:v>
                </c:pt>
                <c:pt idx="123">
                  <c:v>-0.13567216981132069</c:v>
                </c:pt>
                <c:pt idx="124">
                  <c:v>-7.2924483252609251E-2</c:v>
                </c:pt>
                <c:pt idx="125">
                  <c:v>-3.303899926416487E-2</c:v>
                </c:pt>
                <c:pt idx="126">
                  <c:v>2.9145422722776093E-2</c:v>
                </c:pt>
                <c:pt idx="127">
                  <c:v>1.4418811002661958E-2</c:v>
                </c:pt>
                <c:pt idx="128">
                  <c:v>0.14556454552081055</c:v>
                </c:pt>
                <c:pt idx="129">
                  <c:v>-3.9513871214049479E-2</c:v>
                </c:pt>
                <c:pt idx="130">
                  <c:v>-1.7886717456110368E-3</c:v>
                </c:pt>
                <c:pt idx="131">
                  <c:v>-5.0570745951685758E-2</c:v>
                </c:pt>
                <c:pt idx="132">
                  <c:v>3.7746400111841272E-2</c:v>
                </c:pt>
                <c:pt idx="133">
                  <c:v>-0.13741075037047024</c:v>
                </c:pt>
                <c:pt idx="134">
                  <c:v>0.14313602998594388</c:v>
                </c:pt>
                <c:pt idx="135">
                  <c:v>-2.2542523396406722E-2</c:v>
                </c:pt>
                <c:pt idx="136">
                  <c:v>6.8488363966734411E-3</c:v>
                </c:pt>
                <c:pt idx="137">
                  <c:v>-4.3520510862774864E-2</c:v>
                </c:pt>
                <c:pt idx="138">
                  <c:v>-2.7648766328011609E-2</c:v>
                </c:pt>
                <c:pt idx="139">
                  <c:v>2.1568773789088613E-2</c:v>
                </c:pt>
                <c:pt idx="140">
                  <c:v>0.14362945645821146</c:v>
                </c:pt>
                <c:pt idx="141">
                  <c:v>-0.13421489715088786</c:v>
                </c:pt>
                <c:pt idx="142">
                  <c:v>-5.5633439090976178E-2</c:v>
                </c:pt>
                <c:pt idx="143">
                  <c:v>3.7502929916399808E-3</c:v>
                </c:pt>
                <c:pt idx="144">
                  <c:v>-0.12096209231727251</c:v>
                </c:pt>
                <c:pt idx="145">
                  <c:v>0.14495705304170725</c:v>
                </c:pt>
                <c:pt idx="146">
                  <c:v>-1.9412219644238227E-2</c:v>
                </c:pt>
                <c:pt idx="147">
                  <c:v>4.4088650524489292E-2</c:v>
                </c:pt>
                <c:pt idx="148">
                  <c:v>-7.1460945762199635E-2</c:v>
                </c:pt>
                <c:pt idx="149">
                  <c:v>1.138952164009055E-3</c:v>
                </c:pt>
                <c:pt idx="150">
                  <c:v>0.39777344384852897</c:v>
                </c:pt>
                <c:pt idx="151">
                  <c:v>1.1801639439567468E-2</c:v>
                </c:pt>
                <c:pt idx="152">
                  <c:v>3.3900252815444842E-2</c:v>
                </c:pt>
                <c:pt idx="153">
                  <c:v>3.528954095809711E-2</c:v>
                </c:pt>
                <c:pt idx="154">
                  <c:v>-6.4200976971388601E-2</c:v>
                </c:pt>
                <c:pt idx="155">
                  <c:v>-4.0727356163597905E-2</c:v>
                </c:pt>
                <c:pt idx="156">
                  <c:v>6.2249596364288617E-2</c:v>
                </c:pt>
                <c:pt idx="157">
                  <c:v>6.772123395631624E-2</c:v>
                </c:pt>
                <c:pt idx="158">
                  <c:v>-4.8505298676648767E-3</c:v>
                </c:pt>
                <c:pt idx="159">
                  <c:v>0</c:v>
                </c:pt>
              </c:numCache>
            </c:numRef>
          </c:val>
          <c:extLst>
            <c:ext xmlns:c16="http://schemas.microsoft.com/office/drawing/2014/chart" uri="{C3380CC4-5D6E-409C-BE32-E72D297353CC}">
              <c16:uniqueId val="{00000000-6E29-3C4D-A645-4B3B4FB78458}"/>
            </c:ext>
          </c:extLst>
        </c:ser>
        <c:dLbls>
          <c:showLegendKey val="0"/>
          <c:showVal val="0"/>
          <c:showCatName val="0"/>
          <c:showSerName val="0"/>
          <c:showPercent val="0"/>
          <c:showBubbleSize val="0"/>
        </c:dLbls>
        <c:gapWidth val="150"/>
        <c:axId val="39763698"/>
        <c:axId val="74783619"/>
      </c:barChart>
      <c:lineChart>
        <c:grouping val="standard"/>
        <c:varyColors val="0"/>
        <c:ser>
          <c:idx val="1"/>
          <c:order val="1"/>
          <c:tx>
            <c:strRef>
              <c:f>'Returns (Calc)'!$AF$2</c:f>
              <c:strCache>
                <c:ptCount val="1"/>
                <c:pt idx="0">
                  <c:v>PLTR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(Calc)'!$AF$3:$AF$500</c:f>
              <c:numCache>
                <c:formatCode>#,##0.00</c:formatCode>
                <c:ptCount val="498"/>
                <c:pt idx="0">
                  <c:v>15.33</c:v>
                </c:pt>
                <c:pt idx="1">
                  <c:v>16.427594936708861</c:v>
                </c:pt>
                <c:pt idx="2">
                  <c:v>17.525189873417723</c:v>
                </c:pt>
                <c:pt idx="3">
                  <c:v>18.622784810126582</c:v>
                </c:pt>
                <c:pt idx="4">
                  <c:v>19.720379746835441</c:v>
                </c:pt>
                <c:pt idx="5">
                  <c:v>20.817974683544303</c:v>
                </c:pt>
                <c:pt idx="6">
                  <c:v>21.915569620253166</c:v>
                </c:pt>
                <c:pt idx="7">
                  <c:v>23.013164556962025</c:v>
                </c:pt>
                <c:pt idx="8">
                  <c:v>24.110759493670884</c:v>
                </c:pt>
                <c:pt idx="9">
                  <c:v>25.208354430379746</c:v>
                </c:pt>
                <c:pt idx="10">
                  <c:v>26.305949367088608</c:v>
                </c:pt>
                <c:pt idx="11">
                  <c:v>27.403544303797467</c:v>
                </c:pt>
                <c:pt idx="12">
                  <c:v>28.50113924050633</c:v>
                </c:pt>
                <c:pt idx="13">
                  <c:v>29.598734177215192</c:v>
                </c:pt>
                <c:pt idx="14">
                  <c:v>30.696329113924051</c:v>
                </c:pt>
                <c:pt idx="15">
                  <c:v>31.79392405063291</c:v>
                </c:pt>
                <c:pt idx="16">
                  <c:v>32.891518987341769</c:v>
                </c:pt>
                <c:pt idx="17">
                  <c:v>33.989113924050635</c:v>
                </c:pt>
                <c:pt idx="18">
                  <c:v>35.086708860759494</c:v>
                </c:pt>
                <c:pt idx="19">
                  <c:v>36.184303797468353</c:v>
                </c:pt>
                <c:pt idx="20">
                  <c:v>37.281898734177211</c:v>
                </c:pt>
                <c:pt idx="21">
                  <c:v>38.379493670886077</c:v>
                </c:pt>
                <c:pt idx="22">
                  <c:v>39.477088607594936</c:v>
                </c:pt>
                <c:pt idx="23">
                  <c:v>40.574683544303795</c:v>
                </c:pt>
                <c:pt idx="24">
                  <c:v>41.672278481012661</c:v>
                </c:pt>
                <c:pt idx="25">
                  <c:v>42.76987341772152</c:v>
                </c:pt>
                <c:pt idx="26">
                  <c:v>43.867468354430379</c:v>
                </c:pt>
                <c:pt idx="27">
                  <c:v>44.965063291139238</c:v>
                </c:pt>
                <c:pt idx="28">
                  <c:v>46.062658227848097</c:v>
                </c:pt>
                <c:pt idx="29">
                  <c:v>47.160253164556956</c:v>
                </c:pt>
                <c:pt idx="30">
                  <c:v>48.257848101265814</c:v>
                </c:pt>
                <c:pt idx="31">
                  <c:v>49.35544303797468</c:v>
                </c:pt>
                <c:pt idx="32">
                  <c:v>50.453037974683539</c:v>
                </c:pt>
                <c:pt idx="33">
                  <c:v>51.550632911392398</c:v>
                </c:pt>
                <c:pt idx="34">
                  <c:v>52.648227848101264</c:v>
                </c:pt>
                <c:pt idx="35">
                  <c:v>53.745822784810123</c:v>
                </c:pt>
                <c:pt idx="36">
                  <c:v>54.843417721518982</c:v>
                </c:pt>
                <c:pt idx="37">
                  <c:v>55.941012658227848</c:v>
                </c:pt>
                <c:pt idx="38">
                  <c:v>57.0386075949367</c:v>
                </c:pt>
                <c:pt idx="39">
                  <c:v>58.136202531645566</c:v>
                </c:pt>
                <c:pt idx="40">
                  <c:v>59.233797468354425</c:v>
                </c:pt>
                <c:pt idx="41">
                  <c:v>60.331392405063283</c:v>
                </c:pt>
                <c:pt idx="42">
                  <c:v>61.428987341772149</c:v>
                </c:pt>
                <c:pt idx="43">
                  <c:v>62.526582278481008</c:v>
                </c:pt>
                <c:pt idx="44">
                  <c:v>63.624177215189867</c:v>
                </c:pt>
                <c:pt idx="45">
                  <c:v>64.721772151898733</c:v>
                </c:pt>
                <c:pt idx="46">
                  <c:v>65.819367088607592</c:v>
                </c:pt>
                <c:pt idx="47">
                  <c:v>66.916962025316451</c:v>
                </c:pt>
                <c:pt idx="48">
                  <c:v>68.014556962025324</c:v>
                </c:pt>
                <c:pt idx="49">
                  <c:v>69.112151898734183</c:v>
                </c:pt>
                <c:pt idx="50">
                  <c:v>70.209746835443042</c:v>
                </c:pt>
                <c:pt idx="51">
                  <c:v>71.307341772151901</c:v>
                </c:pt>
                <c:pt idx="52">
                  <c:v>72.40493670886076</c:v>
                </c:pt>
                <c:pt idx="53">
                  <c:v>73.502531645569618</c:v>
                </c:pt>
                <c:pt idx="54">
                  <c:v>74.600126582278477</c:v>
                </c:pt>
                <c:pt idx="55">
                  <c:v>75.697721518987336</c:v>
                </c:pt>
                <c:pt idx="56">
                  <c:v>76.795316455696195</c:v>
                </c:pt>
                <c:pt idx="57">
                  <c:v>77.892911392405054</c:v>
                </c:pt>
                <c:pt idx="58">
                  <c:v>78.990506329113913</c:v>
                </c:pt>
                <c:pt idx="59">
                  <c:v>80.088101265822772</c:v>
                </c:pt>
                <c:pt idx="60">
                  <c:v>81.185696202531631</c:v>
                </c:pt>
                <c:pt idx="61">
                  <c:v>82.283291139240504</c:v>
                </c:pt>
                <c:pt idx="62">
                  <c:v>83.380886075949363</c:v>
                </c:pt>
                <c:pt idx="63">
                  <c:v>84.478481012658222</c:v>
                </c:pt>
                <c:pt idx="64">
                  <c:v>85.57607594936708</c:v>
                </c:pt>
                <c:pt idx="65">
                  <c:v>86.673670886075939</c:v>
                </c:pt>
                <c:pt idx="66">
                  <c:v>87.771265822784798</c:v>
                </c:pt>
                <c:pt idx="67">
                  <c:v>88.868860759493671</c:v>
                </c:pt>
                <c:pt idx="68">
                  <c:v>89.96645569620253</c:v>
                </c:pt>
                <c:pt idx="69">
                  <c:v>91.064050632911389</c:v>
                </c:pt>
                <c:pt idx="70">
                  <c:v>92.161645569620248</c:v>
                </c:pt>
                <c:pt idx="71">
                  <c:v>93.259240506329107</c:v>
                </c:pt>
                <c:pt idx="72">
                  <c:v>94.356835443037966</c:v>
                </c:pt>
                <c:pt idx="73">
                  <c:v>95.454430379746839</c:v>
                </c:pt>
                <c:pt idx="74">
                  <c:v>96.552025316455698</c:v>
                </c:pt>
                <c:pt idx="75">
                  <c:v>97.649620253164542</c:v>
                </c:pt>
                <c:pt idx="76">
                  <c:v>98.747215189873401</c:v>
                </c:pt>
                <c:pt idx="77">
                  <c:v>99.84481012658226</c:v>
                </c:pt>
                <c:pt idx="78">
                  <c:v>100.94240506329113</c:v>
                </c:pt>
                <c:pt idx="79">
                  <c:v>102.03999999999999</c:v>
                </c:pt>
                <c:pt idx="80">
                  <c:v>103.13759493670885</c:v>
                </c:pt>
                <c:pt idx="81">
                  <c:v>104.23518987341771</c:v>
                </c:pt>
                <c:pt idx="82">
                  <c:v>105.33278481012657</c:v>
                </c:pt>
                <c:pt idx="83">
                  <c:v>106.43037974683543</c:v>
                </c:pt>
                <c:pt idx="84">
                  <c:v>107.5279746835443</c:v>
                </c:pt>
                <c:pt idx="85">
                  <c:v>108.62556962025316</c:v>
                </c:pt>
                <c:pt idx="86">
                  <c:v>109.72316455696202</c:v>
                </c:pt>
                <c:pt idx="87">
                  <c:v>110.82075949367088</c:v>
                </c:pt>
                <c:pt idx="88">
                  <c:v>111.91835443037974</c:v>
                </c:pt>
                <c:pt idx="89">
                  <c:v>113.0159493670886</c:v>
                </c:pt>
                <c:pt idx="90">
                  <c:v>114.11354430379747</c:v>
                </c:pt>
                <c:pt idx="91">
                  <c:v>115.21113924050633</c:v>
                </c:pt>
                <c:pt idx="92">
                  <c:v>116.30873417721519</c:v>
                </c:pt>
                <c:pt idx="93">
                  <c:v>117.40632911392404</c:v>
                </c:pt>
                <c:pt idx="94">
                  <c:v>118.5039240506329</c:v>
                </c:pt>
                <c:pt idx="95">
                  <c:v>119.60151898734176</c:v>
                </c:pt>
                <c:pt idx="96">
                  <c:v>120.69911392405064</c:v>
                </c:pt>
                <c:pt idx="97">
                  <c:v>121.79670886075948</c:v>
                </c:pt>
                <c:pt idx="98">
                  <c:v>122.89430379746835</c:v>
                </c:pt>
                <c:pt idx="99">
                  <c:v>123.9918987341772</c:v>
                </c:pt>
                <c:pt idx="100">
                  <c:v>125.08949367088607</c:v>
                </c:pt>
                <c:pt idx="101">
                  <c:v>126.18708860759493</c:v>
                </c:pt>
                <c:pt idx="102">
                  <c:v>127.2846835443038</c:v>
                </c:pt>
                <c:pt idx="103">
                  <c:v>128.38227848101266</c:v>
                </c:pt>
                <c:pt idx="104">
                  <c:v>129.47987341772154</c:v>
                </c:pt>
                <c:pt idx="105">
                  <c:v>130.57746835443038</c:v>
                </c:pt>
                <c:pt idx="106">
                  <c:v>131.67506329113925</c:v>
                </c:pt>
                <c:pt idx="107">
                  <c:v>132.7726582278481</c:v>
                </c:pt>
                <c:pt idx="108">
                  <c:v>133.87025316455694</c:v>
                </c:pt>
                <c:pt idx="109">
                  <c:v>134.96784810126582</c:v>
                </c:pt>
                <c:pt idx="110">
                  <c:v>136.06544303797466</c:v>
                </c:pt>
                <c:pt idx="111">
                  <c:v>137.16303797468353</c:v>
                </c:pt>
                <c:pt idx="112">
                  <c:v>138.26063291139241</c:v>
                </c:pt>
                <c:pt idx="113">
                  <c:v>139.35822784810128</c:v>
                </c:pt>
                <c:pt idx="114">
                  <c:v>140.45582278481012</c:v>
                </c:pt>
                <c:pt idx="115">
                  <c:v>141.553417721519</c:v>
                </c:pt>
                <c:pt idx="116">
                  <c:v>142.65101265822784</c:v>
                </c:pt>
                <c:pt idx="117">
                  <c:v>143.74860759493671</c:v>
                </c:pt>
                <c:pt idx="118">
                  <c:v>144.84620253164556</c:v>
                </c:pt>
                <c:pt idx="119">
                  <c:v>145.94379746835443</c:v>
                </c:pt>
                <c:pt idx="120">
                  <c:v>147.04139240506328</c:v>
                </c:pt>
                <c:pt idx="121">
                  <c:v>148.13898734177215</c:v>
                </c:pt>
                <c:pt idx="122">
                  <c:v>149.23658227848102</c:v>
                </c:pt>
                <c:pt idx="123">
                  <c:v>150.3341772151899</c:v>
                </c:pt>
                <c:pt idx="124">
                  <c:v>151.43177215189874</c:v>
                </c:pt>
                <c:pt idx="125">
                  <c:v>152.52936708860761</c:v>
                </c:pt>
                <c:pt idx="126">
                  <c:v>153.62696202531646</c:v>
                </c:pt>
                <c:pt idx="127">
                  <c:v>154.72455696202533</c:v>
                </c:pt>
                <c:pt idx="128">
                  <c:v>155.82215189873418</c:v>
                </c:pt>
                <c:pt idx="129">
                  <c:v>156.91974683544302</c:v>
                </c:pt>
                <c:pt idx="130">
                  <c:v>158.01734177215189</c:v>
                </c:pt>
                <c:pt idx="131">
                  <c:v>159.11493670886074</c:v>
                </c:pt>
                <c:pt idx="132">
                  <c:v>160.21253164556961</c:v>
                </c:pt>
                <c:pt idx="133">
                  <c:v>161.31012658227849</c:v>
                </c:pt>
                <c:pt idx="134">
                  <c:v>162.40772151898736</c:v>
                </c:pt>
                <c:pt idx="135">
                  <c:v>163.5053164556962</c:v>
                </c:pt>
                <c:pt idx="136">
                  <c:v>164.60291139240508</c:v>
                </c:pt>
                <c:pt idx="137">
                  <c:v>165.70050632911392</c:v>
                </c:pt>
                <c:pt idx="138">
                  <c:v>166.79810126582279</c:v>
                </c:pt>
                <c:pt idx="139">
                  <c:v>167.89569620253164</c:v>
                </c:pt>
                <c:pt idx="140">
                  <c:v>168.99329113924051</c:v>
                </c:pt>
                <c:pt idx="141">
                  <c:v>170.09088607594936</c:v>
                </c:pt>
                <c:pt idx="142">
                  <c:v>171.18848101265823</c:v>
                </c:pt>
                <c:pt idx="143">
                  <c:v>172.28607594936707</c:v>
                </c:pt>
                <c:pt idx="144">
                  <c:v>173.38367088607595</c:v>
                </c:pt>
                <c:pt idx="145">
                  <c:v>174.48126582278482</c:v>
                </c:pt>
                <c:pt idx="146">
                  <c:v>175.57886075949369</c:v>
                </c:pt>
                <c:pt idx="147">
                  <c:v>176.67645569620254</c:v>
                </c:pt>
                <c:pt idx="148">
                  <c:v>177.77405063291141</c:v>
                </c:pt>
                <c:pt idx="149">
                  <c:v>178.87164556962026</c:v>
                </c:pt>
                <c:pt idx="150">
                  <c:v>179.9692405063291</c:v>
                </c:pt>
                <c:pt idx="151">
                  <c:v>181.06683544303797</c:v>
                </c:pt>
                <c:pt idx="152">
                  <c:v>182.16443037974682</c:v>
                </c:pt>
                <c:pt idx="153">
                  <c:v>183.26202531645569</c:v>
                </c:pt>
                <c:pt idx="154">
                  <c:v>184.35962025316454</c:v>
                </c:pt>
                <c:pt idx="155">
                  <c:v>185.45721518987341</c:v>
                </c:pt>
                <c:pt idx="156">
                  <c:v>186.55481012658228</c:v>
                </c:pt>
                <c:pt idx="157">
                  <c:v>187.65240506329116</c:v>
                </c:pt>
                <c:pt idx="158">
                  <c:v>188.75</c:v>
                </c:pt>
                <c:pt idx="159">
                  <c:v>189.84759493670887</c:v>
                </c:pt>
              </c:numCache>
            </c:numRef>
          </c:val>
          <c:smooth val="0"/>
          <c:extLst>
            <c:ext xmlns:c16="http://schemas.microsoft.com/office/drawing/2014/chart" uri="{C3380CC4-5D6E-409C-BE32-E72D297353CC}">
              <c16:uniqueId val="{00000001-6E29-3C4D-A645-4B3B4FB78458}"/>
            </c:ext>
          </c:extLst>
        </c:ser>
        <c:dLbls>
          <c:showLegendKey val="0"/>
          <c:showVal val="0"/>
          <c:showCatName val="0"/>
          <c:showSerName val="0"/>
          <c:showPercent val="0"/>
          <c:showBubbleSize val="0"/>
        </c:dLbls>
        <c:hiLowLines>
          <c:spPr>
            <a:ln w="0">
              <a:noFill/>
            </a:ln>
          </c:spPr>
        </c:hiLowLines>
        <c:marker val="1"/>
        <c:smooth val="0"/>
        <c:axId val="18623135"/>
        <c:axId val="65195373"/>
      </c:lineChart>
      <c:dateAx>
        <c:axId val="39763698"/>
        <c:scaling>
          <c:orientation val="minMax"/>
        </c:scaling>
        <c:delete val="1"/>
        <c:axPos val="b"/>
        <c:numFmt formatCode="mm/dd/yyyy" sourceLinked="1"/>
        <c:majorTickMark val="none"/>
        <c:minorTickMark val="none"/>
        <c:tickLblPos val="nextTo"/>
        <c:crossAx val="74783619"/>
        <c:crosses val="autoZero"/>
        <c:auto val="1"/>
        <c:lblOffset val="100"/>
        <c:baseTimeUnit val="days"/>
      </c:dateAx>
      <c:valAx>
        <c:axId val="747836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3698"/>
        <c:crosses val="autoZero"/>
        <c:crossBetween val="between"/>
      </c:valAx>
      <c:dateAx>
        <c:axId val="18623135"/>
        <c:scaling>
          <c:orientation val="minMax"/>
        </c:scaling>
        <c:delete val="1"/>
        <c:axPos val="b"/>
        <c:numFmt formatCode="mm/dd/yyyy" sourceLinked="1"/>
        <c:majorTickMark val="none"/>
        <c:minorTickMark val="none"/>
        <c:tickLblPos val="nextTo"/>
        <c:crossAx val="65195373"/>
        <c:crosses val="autoZero"/>
        <c:auto val="1"/>
        <c:lblOffset val="100"/>
        <c:baseTimeUnit val="days"/>
      </c:dateAx>
      <c:valAx>
        <c:axId val="651953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8623135"/>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layout/>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(Calc)'!$L$3:$L$500</c:f>
              <c:numCache>
                <c:formatCode>0.0%</c:formatCode>
                <c:ptCount val="498"/>
                <c:pt idx="0">
                  <c:v>-4.0466472303206991E-2</c:v>
                </c:pt>
                <c:pt idx="1">
                  <c:v>1.4705882352941124E-2</c:v>
                </c:pt>
                <c:pt idx="2">
                  <c:v>2.7548209366391241E-2</c:v>
                </c:pt>
                <c:pt idx="3">
                  <c:v>1.3171698333138915E-2</c:v>
                </c:pt>
                <c:pt idx="4">
                  <c:v>9.3189139438565327E-3</c:v>
                </c:pt>
                <c:pt idx="5">
                  <c:v>-5.8246893878946771E-2</c:v>
                </c:pt>
                <c:pt idx="6">
                  <c:v>6.7417090292907211E-2</c:v>
                </c:pt>
                <c:pt idx="7">
                  <c:v>6.1571606758135999E-2</c:v>
                </c:pt>
                <c:pt idx="8">
                  <c:v>2.2003845332194016E-2</c:v>
                </c:pt>
                <c:pt idx="9">
                  <c:v>-1.7558528428093689E-2</c:v>
                </c:pt>
                <c:pt idx="10">
                  <c:v>7.3404255319149403E-3</c:v>
                </c:pt>
                <c:pt idx="11">
                  <c:v>1.8270144682648759E-2</c:v>
                </c:pt>
                <c:pt idx="12">
                  <c:v>2.665422111595106E-2</c:v>
                </c:pt>
                <c:pt idx="13">
                  <c:v>5.8591776947165553E-3</c:v>
                </c:pt>
                <c:pt idx="14">
                  <c:v>8.3358441297580743E-3</c:v>
                </c:pt>
                <c:pt idx="15">
                  <c:v>-4.2231075697211296E-2</c:v>
                </c:pt>
                <c:pt idx="16">
                  <c:v>1.6326955074875249E-2</c:v>
                </c:pt>
                <c:pt idx="17">
                  <c:v>0.12800573007264893</c:v>
                </c:pt>
                <c:pt idx="18">
                  <c:v>2.6850507982583594E-2</c:v>
                </c:pt>
                <c:pt idx="19">
                  <c:v>-1.2897526501766898E-2</c:v>
                </c:pt>
                <c:pt idx="20">
                  <c:v>0.14999105065330243</c:v>
                </c:pt>
                <c:pt idx="21">
                  <c:v>-4.8249027237354136E-2</c:v>
                </c:pt>
                <c:pt idx="22">
                  <c:v>2.240392477514308E-2</c:v>
                </c:pt>
                <c:pt idx="23">
                  <c:v>3.3749200255917877E-2</c:v>
                </c:pt>
                <c:pt idx="24">
                  <c:v>9.3145598019495734E-2</c:v>
                </c:pt>
                <c:pt idx="25">
                  <c:v>-6.4189667374380921E-2</c:v>
                </c:pt>
                <c:pt idx="26">
                  <c:v>3.0174695606140833E-2</c:v>
                </c:pt>
                <c:pt idx="27">
                  <c:v>-3.1933636764058138E-2</c:v>
                </c:pt>
                <c:pt idx="28">
                  <c:v>3.8977781148100243E-2</c:v>
                </c:pt>
                <c:pt idx="29">
                  <c:v>8.2475731698414823E-3</c:v>
                </c:pt>
                <c:pt idx="30">
                  <c:v>-0.10402490227305627</c:v>
                </c:pt>
                <c:pt idx="31">
                  <c:v>8.3057283671325921E-2</c:v>
                </c:pt>
                <c:pt idx="32">
                  <c:v>2.357329354718396E-2</c:v>
                </c:pt>
                <c:pt idx="33">
                  <c:v>5.4369215071787602E-2</c:v>
                </c:pt>
                <c:pt idx="34">
                  <c:v>1.6243865348724906E-2</c:v>
                </c:pt>
                <c:pt idx="35">
                  <c:v>5.4822473132907001E-2</c:v>
                </c:pt>
                <c:pt idx="36">
                  <c:v>-5.597111168429203E-2</c:v>
                </c:pt>
                <c:pt idx="37">
                  <c:v>8.838797814207644E-2</c:v>
                </c:pt>
                <c:pt idx="38">
                  <c:v>5.265470064014055E-2</c:v>
                </c:pt>
                <c:pt idx="39">
                  <c:v>8.4063673761403113E-3</c:v>
                </c:pt>
                <c:pt idx="40">
                  <c:v>-8.2771668440340118E-4</c:v>
                </c:pt>
                <c:pt idx="41">
                  <c:v>5.8579881656804833E-2</c:v>
                </c:pt>
                <c:pt idx="42">
                  <c:v>1.8222470653996625E-2</c:v>
                </c:pt>
                <c:pt idx="43">
                  <c:v>-0.11517347386912602</c:v>
                </c:pt>
                <c:pt idx="44">
                  <c:v>-2.3079786574016659E-2</c:v>
                </c:pt>
                <c:pt idx="45">
                  <c:v>-7.4622126254286769E-2</c:v>
                </c:pt>
                <c:pt idx="46">
                  <c:v>0.11516024981126893</c:v>
                </c:pt>
                <c:pt idx="47">
                  <c:v>4.4433503600221469E-2</c:v>
                </c:pt>
                <c:pt idx="48">
                  <c:v>-1.8678922868422654E-2</c:v>
                </c:pt>
                <c:pt idx="49">
                  <c:v>2.4618710219765916E-3</c:v>
                </c:pt>
                <c:pt idx="50">
                  <c:v>-8.6672656483977262E-2</c:v>
                </c:pt>
                <c:pt idx="51">
                  <c:v>0.1040136411332635</c:v>
                </c:pt>
                <c:pt idx="52">
                  <c:v>9.2075561363904601E-3</c:v>
                </c:pt>
                <c:pt idx="53">
                  <c:v>2.2308552592854358E-2</c:v>
                </c:pt>
                <c:pt idx="54">
                  <c:v>1.7964071856287456E-2</c:v>
                </c:pt>
                <c:pt idx="55">
                  <c:v>5.3223981900452522E-2</c:v>
                </c:pt>
                <c:pt idx="56">
                  <c:v>5.2252832823156625E-2</c:v>
                </c:pt>
                <c:pt idx="57">
                  <c:v>1.3269368173930873E-2</c:v>
                </c:pt>
                <c:pt idx="58">
                  <c:v>-5.1576508512138464E-2</c:v>
                </c:pt>
                <c:pt idx="59">
                  <c:v>4.2750929368029711E-2</c:v>
                </c:pt>
                <c:pt idx="60">
                  <c:v>-7.5477463712757764E-2</c:v>
                </c:pt>
                <c:pt idx="61">
                  <c:v>2.1869663416515195E-2</c:v>
                </c:pt>
                <c:pt idx="62">
                  <c:v>-2.8517520215633363E-2</c:v>
                </c:pt>
                <c:pt idx="63">
                  <c:v>9.9439542755673793E-2</c:v>
                </c:pt>
                <c:pt idx="64">
                  <c:v>-6.8641800837833111E-3</c:v>
                </c:pt>
                <c:pt idx="65">
                  <c:v>-1.8803679422676356E-2</c:v>
                </c:pt>
                <c:pt idx="66">
                  <c:v>2.2427098979644677E-2</c:v>
                </c:pt>
                <c:pt idx="67">
                  <c:v>3.4599797365754803E-2</c:v>
                </c:pt>
                <c:pt idx="68">
                  <c:v>-1.1261812662194393E-3</c:v>
                </c:pt>
                <c:pt idx="69">
                  <c:v>1.4999999999999902E-2</c:v>
                </c:pt>
                <c:pt idx="70">
                  <c:v>4.9067903023278348E-2</c:v>
                </c:pt>
                <c:pt idx="71">
                  <c:v>-5.6578583924132175E-2</c:v>
                </c:pt>
                <c:pt idx="72">
                  <c:v>-1.532230517737776E-2</c:v>
                </c:pt>
                <c:pt idx="73">
                  <c:v>-1.0753753902571939E-2</c:v>
                </c:pt>
                <c:pt idx="74">
                  <c:v>-2.7752730187355912E-2</c:v>
                </c:pt>
                <c:pt idx="75">
                  <c:v>-8.9344600164880439E-2</c:v>
                </c:pt>
                <c:pt idx="76">
                  <c:v>-1.9010976575761118E-2</c:v>
                </c:pt>
                <c:pt idx="77">
                  <c:v>-1.6956973122620789E-2</c:v>
                </c:pt>
                <c:pt idx="78">
                  <c:v>1.9068293827740002E-2</c:v>
                </c:pt>
                <c:pt idx="79">
                  <c:v>-6.4943289769128887E-2</c:v>
                </c:pt>
                <c:pt idx="80">
                  <c:v>-0.11163105720091127</c:v>
                </c:pt>
                <c:pt idx="81">
                  <c:v>7.0002772387025125E-2</c:v>
                </c:pt>
                <c:pt idx="82">
                  <c:v>-3.4006995724834788E-2</c:v>
                </c:pt>
                <c:pt idx="83">
                  <c:v>8.8043988466438572E-2</c:v>
                </c:pt>
                <c:pt idx="84">
                  <c:v>8.5911500061629509E-2</c:v>
                </c:pt>
                <c:pt idx="85">
                  <c:v>-1.538024971623142E-2</c:v>
                </c:pt>
                <c:pt idx="86">
                  <c:v>0.10023632486022249</c:v>
                </c:pt>
                <c:pt idx="87">
                  <c:v>-1.1525565800502902E-2</c:v>
                </c:pt>
                <c:pt idx="88">
                  <c:v>6.9959720161119066E-3</c:v>
                </c:pt>
                <c:pt idx="89">
                  <c:v>6.1368421052631517E-2</c:v>
                </c:pt>
                <c:pt idx="90">
                  <c:v>3.2579589407914389E-2</c:v>
                </c:pt>
                <c:pt idx="91">
                  <c:v>-7.5397397108966091E-3</c:v>
                </c:pt>
                <c:pt idx="92">
                  <c:v>9.0970676473434597E-2</c:v>
                </c:pt>
                <c:pt idx="93">
                  <c:v>2.7277565865341913E-2</c:v>
                </c:pt>
                <c:pt idx="94">
                  <c:v>-1.8738396442295246E-2</c:v>
                </c:pt>
                <c:pt idx="95">
                  <c:v>4.3384520614247357E-2</c:v>
                </c:pt>
                <c:pt idx="96">
                  <c:v>2.1633703032092111E-2</c:v>
                </c:pt>
                <c:pt idx="97">
                  <c:v>-4.230991496739045E-2</c:v>
                </c:pt>
                <c:pt idx="98">
                  <c:v>2.8145338562993061E-2</c:v>
                </c:pt>
                <c:pt idx="99">
                  <c:v>-1.2199211872222726E-2</c:v>
                </c:pt>
                <c:pt idx="100">
                  <c:v>-2.4657301701820677E-2</c:v>
                </c:pt>
                <c:pt idx="101">
                  <c:v>-9.0940736228353192E-3</c:v>
                </c:pt>
                <c:pt idx="102">
                  <c:v>5.4318710753963106E-2</c:v>
                </c:pt>
                <c:pt idx="103">
                  <c:v>6.5431070387338641E-2</c:v>
                </c:pt>
                <c:pt idx="104">
                  <c:v>2.4588561823228217E-2</c:v>
                </c:pt>
                <c:pt idx="105">
                  <c:v>3.2048836322014385E-2</c:v>
                </c:pt>
                <c:pt idx="106">
                  <c:v>6.8872458410351278E-2</c:v>
                </c:pt>
                <c:pt idx="107">
                  <c:v>-3.9463217237920567E-2</c:v>
                </c:pt>
                <c:pt idx="108">
                  <c:v>5.1382687599020427E-2</c:v>
                </c:pt>
                <c:pt idx="109">
                  <c:v>-4.1097297852665804E-4</c:v>
                </c:pt>
                <c:pt idx="110">
                  <c:v>1.8535649432966705E-2</c:v>
                </c:pt>
                <c:pt idx="111">
                  <c:v>-4.6353606027986993E-2</c:v>
                </c:pt>
                <c:pt idx="112">
                  <c:v>-5.855379188712595E-3</c:v>
                </c:pt>
                <c:pt idx="113">
                  <c:v>-3.4274765824581221E-2</c:v>
                </c:pt>
                <c:pt idx="114">
                  <c:v>5.9813358806672046E-2</c:v>
                </c:pt>
                <c:pt idx="115">
                  <c:v>1.0989391943423854E-2</c:v>
                </c:pt>
                <c:pt idx="116">
                  <c:v>-6.412234680931328E-3</c:v>
                </c:pt>
                <c:pt idx="117">
                  <c:v>-1.0560463832136935E-2</c:v>
                </c:pt>
                <c:pt idx="118">
                  <c:v>4.8064178583885786E-2</c:v>
                </c:pt>
                <c:pt idx="119">
                  <c:v>5.5378061767838105E-2</c:v>
                </c:pt>
                <c:pt idx="120">
                  <c:v>1.2581987891019164E-2</c:v>
                </c:pt>
                <c:pt idx="121">
                  <c:v>5.7986359814393929E-2</c:v>
                </c:pt>
                <c:pt idx="122">
                  <c:v>-2.1988049333294124E-2</c:v>
                </c:pt>
                <c:pt idx="123">
                  <c:v>-1.2881478360320164E-2</c:v>
                </c:pt>
                <c:pt idx="124">
                  <c:v>5.5338740167083289E-2</c:v>
                </c:pt>
                <c:pt idx="125">
                  <c:v>5.018345708259897E-2</c:v>
                </c:pt>
                <c:pt idx="126">
                  <c:v>1.1416781292984846E-2</c:v>
                </c:pt>
                <c:pt idx="127">
                  <c:v>1.0907112743098191E-2</c:v>
                </c:pt>
                <c:pt idx="128">
                  <c:v>-9.5275251574019282E-2</c:v>
                </c:pt>
                <c:pt idx="129">
                  <c:v>-1.7249070631969454E-3</c:v>
                </c:pt>
                <c:pt idx="130">
                  <c:v>-2.4071260464146427E-2</c:v>
                </c:pt>
                <c:pt idx="131">
                  <c:v>-7.6009646204094894E-3</c:v>
                </c:pt>
                <c:pt idx="132">
                  <c:v>3.7649953860350527E-2</c:v>
                </c:pt>
                <c:pt idx="133">
                  <c:v>9.3081164403865602E-2</c:v>
                </c:pt>
                <c:pt idx="134">
                  <c:v>-2.4407441557749987E-4</c:v>
                </c:pt>
                <c:pt idx="135">
                  <c:v>8.6260680862606742E-2</c:v>
                </c:pt>
                <c:pt idx="136">
                  <c:v>-1.1911599450618038E-2</c:v>
                </c:pt>
                <c:pt idx="137">
                  <c:v>3.5230489284270083E-2</c:v>
                </c:pt>
                <c:pt idx="138">
                  <c:v>-1.7796982569210584E-2</c:v>
                </c:pt>
                <c:pt idx="139">
                  <c:v>4.2253871200270687E-4</c:v>
                </c:pt>
                <c:pt idx="140">
                  <c:v>3.4434782608695702E-2</c:v>
                </c:pt>
                <c:pt idx="141">
                  <c:v>-7.8537803823615082E-3</c:v>
                </c:pt>
                <c:pt idx="142">
                  <c:v>2.3505773560241305E-2</c:v>
                </c:pt>
                <c:pt idx="143">
                  <c:v>9.0066225165562841E-2</c:v>
                </c:pt>
                <c:pt idx="144">
                  <c:v>-6.4420239541746249E-2</c:v>
                </c:pt>
                <c:pt idx="145">
                  <c:v>4.1976854750807036E-3</c:v>
                </c:pt>
                <c:pt idx="146">
                  <c:v>-1.1547344110862667E-4</c:v>
                </c:pt>
                <c:pt idx="147">
                  <c:v>-8.2342071832775088E-2</c:v>
                </c:pt>
                <c:pt idx="148">
                  <c:v>1.2660458092121685E-2</c:v>
                </c:pt>
                <c:pt idx="149">
                  <c:v>2.0878383416598201E-3</c:v>
                </c:pt>
                <c:pt idx="150">
                  <c:v>3.9065406652280643E-2</c:v>
                </c:pt>
                <c:pt idx="151">
                  <c:v>1.5014799961806435E-2</c:v>
                </c:pt>
                <c:pt idx="152">
                  <c:v>-1.7356129912278639E-2</c:v>
                </c:pt>
                <c:pt idx="153">
                  <c:v>-3.4224445348587373E-3</c:v>
                </c:pt>
                <c:pt idx="154">
                  <c:v>2.728146013448618E-2</c:v>
                </c:pt>
                <c:pt idx="155">
                  <c:v>1.0099121002431266E-2</c:v>
                </c:pt>
                <c:pt idx="156">
                  <c:v>5.9942603221625479E-3</c:v>
                </c:pt>
                <c:pt idx="157">
                  <c:v>3.667149791796076E-2</c:v>
                </c:pt>
                <c:pt idx="158">
                  <c:v>4.9199973369432382E-2</c:v>
                </c:pt>
                <c:pt idx="159">
                  <c:v>0</c:v>
                </c:pt>
              </c:numCache>
            </c:numRef>
          </c:val>
          <c:extLst>
            <c:ext xmlns:c16="http://schemas.microsoft.com/office/drawing/2014/chart" uri="{C3380CC4-5D6E-409C-BE32-E72D297353CC}">
              <c16:uniqueId val="{00000000-7404-AC47-B309-63AF5000121C}"/>
            </c:ext>
          </c:extLst>
        </c:ser>
        <c:dLbls>
          <c:showLegendKey val="0"/>
          <c:showVal val="0"/>
          <c:showCatName val="0"/>
          <c:showSerName val="0"/>
          <c:showPercent val="0"/>
          <c:showBubbleSize val="0"/>
        </c:dLbls>
        <c:gapWidth val="150"/>
        <c:axId val="38600401"/>
        <c:axId val="38762612"/>
      </c:barChart>
      <c:lineChart>
        <c:grouping val="standard"/>
        <c:varyColors val="0"/>
        <c:ser>
          <c:idx val="1"/>
          <c:order val="1"/>
          <c:tx>
            <c:strRef>
              <c:f>'Returns (Calc)'!$AG$2</c:f>
              <c:strCache>
                <c:ptCount val="1"/>
                <c:pt idx="0">
                  <c:v>TSM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(Calc)'!$AG$3:$AG$500</c:f>
              <c:numCache>
                <c:formatCode>#,##0.00</c:formatCode>
                <c:ptCount val="498"/>
                <c:pt idx="0">
                  <c:v>85.75</c:v>
                </c:pt>
                <c:pt idx="1">
                  <c:v>88.199556962025312</c:v>
                </c:pt>
                <c:pt idx="2">
                  <c:v>90.649113924050639</c:v>
                </c:pt>
                <c:pt idx="3">
                  <c:v>93.098670886075951</c:v>
                </c:pt>
                <c:pt idx="4">
                  <c:v>95.548227848101263</c:v>
                </c:pt>
                <c:pt idx="5">
                  <c:v>97.997784810126575</c:v>
                </c:pt>
                <c:pt idx="6">
                  <c:v>100.4473417721519</c:v>
                </c:pt>
                <c:pt idx="7">
                  <c:v>102.89689873417721</c:v>
                </c:pt>
                <c:pt idx="8">
                  <c:v>105.34645569620253</c:v>
                </c:pt>
                <c:pt idx="9">
                  <c:v>107.79601265822785</c:v>
                </c:pt>
                <c:pt idx="10">
                  <c:v>110.24556962025316</c:v>
                </c:pt>
                <c:pt idx="11">
                  <c:v>112.69512658227848</c:v>
                </c:pt>
                <c:pt idx="12">
                  <c:v>115.1446835443038</c:v>
                </c:pt>
                <c:pt idx="13">
                  <c:v>117.59424050632911</c:v>
                </c:pt>
                <c:pt idx="14">
                  <c:v>120.04379746835443</c:v>
                </c:pt>
                <c:pt idx="15">
                  <c:v>122.49335443037975</c:v>
                </c:pt>
                <c:pt idx="16">
                  <c:v>124.94291139240505</c:v>
                </c:pt>
                <c:pt idx="17">
                  <c:v>127.39246835443038</c:v>
                </c:pt>
                <c:pt idx="18">
                  <c:v>129.8420253164557</c:v>
                </c:pt>
                <c:pt idx="19">
                  <c:v>132.291582278481</c:v>
                </c:pt>
                <c:pt idx="20">
                  <c:v>134.74113924050633</c:v>
                </c:pt>
                <c:pt idx="21">
                  <c:v>137.19069620253163</c:v>
                </c:pt>
                <c:pt idx="22">
                  <c:v>139.64025316455695</c:v>
                </c:pt>
                <c:pt idx="23">
                  <c:v>142.08981012658228</c:v>
                </c:pt>
                <c:pt idx="24">
                  <c:v>144.53936708860761</c:v>
                </c:pt>
                <c:pt idx="25">
                  <c:v>146.9889240506329</c:v>
                </c:pt>
                <c:pt idx="26">
                  <c:v>149.43848101265823</c:v>
                </c:pt>
                <c:pt idx="27">
                  <c:v>151.88803797468353</c:v>
                </c:pt>
                <c:pt idx="28">
                  <c:v>154.33759493670885</c:v>
                </c:pt>
                <c:pt idx="29">
                  <c:v>156.78715189873418</c:v>
                </c:pt>
                <c:pt idx="30">
                  <c:v>159.23670886075951</c:v>
                </c:pt>
                <c:pt idx="31">
                  <c:v>161.6862658227848</c:v>
                </c:pt>
                <c:pt idx="32">
                  <c:v>164.1358227848101</c:v>
                </c:pt>
                <c:pt idx="33">
                  <c:v>166.58537974683543</c:v>
                </c:pt>
                <c:pt idx="34">
                  <c:v>169.03493670886076</c:v>
                </c:pt>
                <c:pt idx="35">
                  <c:v>171.48449367088608</c:v>
                </c:pt>
                <c:pt idx="36">
                  <c:v>173.93405063291138</c:v>
                </c:pt>
                <c:pt idx="37">
                  <c:v>176.38360759493671</c:v>
                </c:pt>
                <c:pt idx="38">
                  <c:v>178.833164556962</c:v>
                </c:pt>
                <c:pt idx="39">
                  <c:v>181.28272151898733</c:v>
                </c:pt>
                <c:pt idx="40">
                  <c:v>183.73227848101266</c:v>
                </c:pt>
                <c:pt idx="41">
                  <c:v>186.18183544303798</c:v>
                </c:pt>
                <c:pt idx="42">
                  <c:v>188.63139240506328</c:v>
                </c:pt>
                <c:pt idx="43">
                  <c:v>191.08094936708858</c:v>
                </c:pt>
                <c:pt idx="44">
                  <c:v>193.5305063291139</c:v>
                </c:pt>
                <c:pt idx="45">
                  <c:v>195.98006329113923</c:v>
                </c:pt>
                <c:pt idx="46">
                  <c:v>198.42962025316456</c:v>
                </c:pt>
                <c:pt idx="47">
                  <c:v>200.87917721518988</c:v>
                </c:pt>
                <c:pt idx="48">
                  <c:v>203.32873417721518</c:v>
                </c:pt>
                <c:pt idx="49">
                  <c:v>205.77829113924048</c:v>
                </c:pt>
                <c:pt idx="50">
                  <c:v>208.22784810126581</c:v>
                </c:pt>
                <c:pt idx="51">
                  <c:v>210.67740506329113</c:v>
                </c:pt>
                <c:pt idx="52">
                  <c:v>213.12696202531646</c:v>
                </c:pt>
                <c:pt idx="53">
                  <c:v>215.57651898734179</c:v>
                </c:pt>
                <c:pt idx="54">
                  <c:v>218.02607594936708</c:v>
                </c:pt>
                <c:pt idx="55">
                  <c:v>220.47563291139238</c:v>
                </c:pt>
                <c:pt idx="56">
                  <c:v>222.92518987341774</c:v>
                </c:pt>
                <c:pt idx="57">
                  <c:v>225.37474683544303</c:v>
                </c:pt>
                <c:pt idx="58">
                  <c:v>227.82430379746833</c:v>
                </c:pt>
                <c:pt idx="59">
                  <c:v>230.27386075949366</c:v>
                </c:pt>
                <c:pt idx="60">
                  <c:v>232.72341772151898</c:v>
                </c:pt>
                <c:pt idx="61">
                  <c:v>235.17297468354428</c:v>
                </c:pt>
                <c:pt idx="62">
                  <c:v>237.62253164556961</c:v>
                </c:pt>
                <c:pt idx="63">
                  <c:v>240.07208860759494</c:v>
                </c:pt>
                <c:pt idx="64">
                  <c:v>242.52164556962023</c:v>
                </c:pt>
                <c:pt idx="65">
                  <c:v>244.97120253164556</c:v>
                </c:pt>
                <c:pt idx="66">
                  <c:v>247.42075949367089</c:v>
                </c:pt>
                <c:pt idx="67">
                  <c:v>249.87031645569618</c:v>
                </c:pt>
                <c:pt idx="68">
                  <c:v>252.31987341772151</c:v>
                </c:pt>
                <c:pt idx="69">
                  <c:v>254.76943037974684</c:v>
                </c:pt>
                <c:pt idx="70">
                  <c:v>257.21898734177216</c:v>
                </c:pt>
                <c:pt idx="71">
                  <c:v>259.66854430379749</c:v>
                </c:pt>
                <c:pt idx="72">
                  <c:v>262.11810126582276</c:v>
                </c:pt>
                <c:pt idx="73">
                  <c:v>264.56765822784809</c:v>
                </c:pt>
                <c:pt idx="74">
                  <c:v>267.01721518987341</c:v>
                </c:pt>
                <c:pt idx="75">
                  <c:v>269.46677215189868</c:v>
                </c:pt>
                <c:pt idx="76">
                  <c:v>271.91632911392401</c:v>
                </c:pt>
                <c:pt idx="77">
                  <c:v>274.36588607594933</c:v>
                </c:pt>
                <c:pt idx="78">
                  <c:v>276.81544303797466</c:v>
                </c:pt>
                <c:pt idx="79">
                  <c:v>279.26499999999999</c:v>
                </c:pt>
                <c:pt idx="80">
                  <c:v>281.71455696202531</c:v>
                </c:pt>
                <c:pt idx="81">
                  <c:v>284.16411392405064</c:v>
                </c:pt>
                <c:pt idx="82">
                  <c:v>286.61367088607597</c:v>
                </c:pt>
                <c:pt idx="83">
                  <c:v>289.06322784810129</c:v>
                </c:pt>
                <c:pt idx="84">
                  <c:v>291.51278481012656</c:v>
                </c:pt>
                <c:pt idx="85">
                  <c:v>293.96234177215183</c:v>
                </c:pt>
                <c:pt idx="86">
                  <c:v>296.41189873417716</c:v>
                </c:pt>
                <c:pt idx="87">
                  <c:v>298.86145569620254</c:v>
                </c:pt>
                <c:pt idx="88">
                  <c:v>301.31101265822781</c:v>
                </c:pt>
                <c:pt idx="89">
                  <c:v>303.76056962025314</c:v>
                </c:pt>
                <c:pt idx="90">
                  <c:v>306.21012658227846</c:v>
                </c:pt>
                <c:pt idx="91">
                  <c:v>308.65968354430379</c:v>
                </c:pt>
                <c:pt idx="92">
                  <c:v>311.10924050632912</c:v>
                </c:pt>
                <c:pt idx="93">
                  <c:v>313.55879746835444</c:v>
                </c:pt>
                <c:pt idx="94">
                  <c:v>316.00835443037977</c:v>
                </c:pt>
                <c:pt idx="95">
                  <c:v>318.45791139240509</c:v>
                </c:pt>
                <c:pt idx="96">
                  <c:v>320.90746835443036</c:v>
                </c:pt>
                <c:pt idx="97">
                  <c:v>323.35702531645563</c:v>
                </c:pt>
                <c:pt idx="98">
                  <c:v>325.80658227848096</c:v>
                </c:pt>
                <c:pt idx="99">
                  <c:v>328.25613924050629</c:v>
                </c:pt>
                <c:pt idx="100">
                  <c:v>330.70569620253161</c:v>
                </c:pt>
                <c:pt idx="101">
                  <c:v>333.15525316455694</c:v>
                </c:pt>
                <c:pt idx="102">
                  <c:v>335.60481012658227</c:v>
                </c:pt>
                <c:pt idx="103">
                  <c:v>338.05436708860759</c:v>
                </c:pt>
                <c:pt idx="104">
                  <c:v>340.50392405063292</c:v>
                </c:pt>
                <c:pt idx="105">
                  <c:v>342.95348101265819</c:v>
                </c:pt>
                <c:pt idx="106">
                  <c:v>345.40303797468357</c:v>
                </c:pt>
                <c:pt idx="107">
                  <c:v>347.85259493670884</c:v>
                </c:pt>
                <c:pt idx="108">
                  <c:v>350.30215189873417</c:v>
                </c:pt>
                <c:pt idx="109">
                  <c:v>352.75170886075949</c:v>
                </c:pt>
                <c:pt idx="110">
                  <c:v>355.20126582278476</c:v>
                </c:pt>
                <c:pt idx="111">
                  <c:v>357.65082278481009</c:v>
                </c:pt>
                <c:pt idx="112">
                  <c:v>360.10037974683547</c:v>
                </c:pt>
                <c:pt idx="113">
                  <c:v>362.54993670886074</c:v>
                </c:pt>
                <c:pt idx="114">
                  <c:v>364.99949367088607</c:v>
                </c:pt>
                <c:pt idx="115">
                  <c:v>367.44905063291139</c:v>
                </c:pt>
                <c:pt idx="116">
                  <c:v>369.89860759493666</c:v>
                </c:pt>
                <c:pt idx="117">
                  <c:v>372.34816455696199</c:v>
                </c:pt>
                <c:pt idx="118">
                  <c:v>374.79772151898732</c:v>
                </c:pt>
                <c:pt idx="119">
                  <c:v>377.24727848101264</c:v>
                </c:pt>
                <c:pt idx="120">
                  <c:v>379.69683544303797</c:v>
                </c:pt>
                <c:pt idx="121">
                  <c:v>382.1463924050633</c:v>
                </c:pt>
                <c:pt idx="122">
                  <c:v>384.59594936708856</c:v>
                </c:pt>
                <c:pt idx="123">
                  <c:v>387.04550632911389</c:v>
                </c:pt>
                <c:pt idx="124">
                  <c:v>389.49506329113922</c:v>
                </c:pt>
                <c:pt idx="125">
                  <c:v>391.94462025316454</c:v>
                </c:pt>
                <c:pt idx="126">
                  <c:v>394.39417721518987</c:v>
                </c:pt>
                <c:pt idx="127">
                  <c:v>396.8437341772152</c:v>
                </c:pt>
                <c:pt idx="128">
                  <c:v>399.29329113924047</c:v>
                </c:pt>
                <c:pt idx="129">
                  <c:v>401.74284810126579</c:v>
                </c:pt>
                <c:pt idx="130">
                  <c:v>404.19240506329112</c:v>
                </c:pt>
                <c:pt idx="131">
                  <c:v>406.64196202531639</c:v>
                </c:pt>
                <c:pt idx="132">
                  <c:v>409.09151898734177</c:v>
                </c:pt>
                <c:pt idx="133">
                  <c:v>411.5410759493671</c:v>
                </c:pt>
                <c:pt idx="134">
                  <c:v>413.99063291139237</c:v>
                </c:pt>
                <c:pt idx="135">
                  <c:v>416.44018987341769</c:v>
                </c:pt>
                <c:pt idx="136">
                  <c:v>418.88974683544302</c:v>
                </c:pt>
                <c:pt idx="137">
                  <c:v>421.33930379746829</c:v>
                </c:pt>
                <c:pt idx="138">
                  <c:v>423.78886075949367</c:v>
                </c:pt>
                <c:pt idx="139">
                  <c:v>426.238417721519</c:v>
                </c:pt>
                <c:pt idx="140">
                  <c:v>428.68797468354427</c:v>
                </c:pt>
                <c:pt idx="141">
                  <c:v>431.1375316455696</c:v>
                </c:pt>
                <c:pt idx="142">
                  <c:v>433.58708860759492</c:v>
                </c:pt>
                <c:pt idx="143">
                  <c:v>436.03664556962019</c:v>
                </c:pt>
                <c:pt idx="144">
                  <c:v>438.48620253164552</c:v>
                </c:pt>
                <c:pt idx="145">
                  <c:v>440.9357594936709</c:v>
                </c:pt>
                <c:pt idx="146">
                  <c:v>443.38531645569617</c:v>
                </c:pt>
                <c:pt idx="147">
                  <c:v>445.8348734177215</c:v>
                </c:pt>
                <c:pt idx="148">
                  <c:v>448.28443037974682</c:v>
                </c:pt>
                <c:pt idx="149">
                  <c:v>450.73398734177209</c:v>
                </c:pt>
                <c:pt idx="150">
                  <c:v>453.18354430379742</c:v>
                </c:pt>
                <c:pt idx="151">
                  <c:v>455.6331012658228</c:v>
                </c:pt>
                <c:pt idx="152">
                  <c:v>458.08265822784807</c:v>
                </c:pt>
                <c:pt idx="153">
                  <c:v>460.5322151898734</c:v>
                </c:pt>
                <c:pt idx="154">
                  <c:v>462.98177215189872</c:v>
                </c:pt>
                <c:pt idx="155">
                  <c:v>465.43132911392399</c:v>
                </c:pt>
                <c:pt idx="156">
                  <c:v>467.88088607594932</c:v>
                </c:pt>
                <c:pt idx="157">
                  <c:v>470.3304430379747</c:v>
                </c:pt>
                <c:pt idx="158">
                  <c:v>472.78</c:v>
                </c:pt>
                <c:pt idx="159">
                  <c:v>475.2295569620253</c:v>
                </c:pt>
              </c:numCache>
            </c:numRef>
          </c:val>
          <c:smooth val="0"/>
          <c:extLst>
            <c:ext xmlns:c16="http://schemas.microsoft.com/office/drawing/2014/chart" uri="{C3380CC4-5D6E-409C-BE32-E72D297353CC}">
              <c16:uniqueId val="{00000001-7404-AC47-B309-63AF5000121C}"/>
            </c:ext>
          </c:extLst>
        </c:ser>
        <c:dLbls>
          <c:showLegendKey val="0"/>
          <c:showVal val="0"/>
          <c:showCatName val="0"/>
          <c:showSerName val="0"/>
          <c:showPercent val="0"/>
          <c:showBubbleSize val="0"/>
        </c:dLbls>
        <c:hiLowLines>
          <c:spPr>
            <a:ln w="0">
              <a:noFill/>
            </a:ln>
          </c:spPr>
        </c:hiLowLines>
        <c:marker val="1"/>
        <c:smooth val="0"/>
        <c:axId val="36025760"/>
        <c:axId val="49853768"/>
      </c:lineChart>
      <c:dateAx>
        <c:axId val="38600401"/>
        <c:scaling>
          <c:orientation val="minMax"/>
        </c:scaling>
        <c:delete val="1"/>
        <c:axPos val="b"/>
        <c:numFmt formatCode="mm/dd/yyyy" sourceLinked="1"/>
        <c:majorTickMark val="none"/>
        <c:minorTickMark val="none"/>
        <c:tickLblPos val="nextTo"/>
        <c:crossAx val="38762612"/>
        <c:crosses val="autoZero"/>
        <c:auto val="1"/>
        <c:lblOffset val="100"/>
        <c:baseTimeUnit val="days"/>
      </c:dateAx>
      <c:valAx>
        <c:axId val="387626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8600401"/>
        <c:crosses val="autoZero"/>
        <c:crossBetween val="between"/>
      </c:valAx>
      <c:dateAx>
        <c:axId val="36025760"/>
        <c:scaling>
          <c:orientation val="minMax"/>
        </c:scaling>
        <c:delete val="1"/>
        <c:axPos val="b"/>
        <c:numFmt formatCode="mm/dd/yyyy" sourceLinked="1"/>
        <c:majorTickMark val="none"/>
        <c:minorTickMark val="none"/>
        <c:tickLblPos val="nextTo"/>
        <c:crossAx val="49853768"/>
        <c:crosses val="autoZero"/>
        <c:auto val="1"/>
        <c:lblOffset val="100"/>
        <c:baseTimeUnit val="days"/>
      </c:dateAx>
      <c:valAx>
        <c:axId val="498537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6025760"/>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layout/>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(Calc)'!$M$3:$M$500</c:f>
              <c:numCache>
                <c:formatCode>0.0%</c:formatCode>
                <c:ptCount val="498"/>
                <c:pt idx="0">
                  <c:v>-4.4976328248290343E-2</c:v>
                </c:pt>
                <c:pt idx="1">
                  <c:v>2.0655466813549905E-2</c:v>
                </c:pt>
                <c:pt idx="2">
                  <c:v>6.907717215326481E-2</c:v>
                </c:pt>
                <c:pt idx="3">
                  <c:v>-1.6910651186269443E-2</c:v>
                </c:pt>
                <c:pt idx="4">
                  <c:v>-6.0333761232349237E-2</c:v>
                </c:pt>
                <c:pt idx="5">
                  <c:v>-8.7431693989070691E-3</c:v>
                </c:pt>
                <c:pt idx="6">
                  <c:v>0.11025358324145529</c:v>
                </c:pt>
                <c:pt idx="7">
                  <c:v>3.4508440913604721E-2</c:v>
                </c:pt>
                <c:pt idx="8">
                  <c:v>3.4797216222702154E-2</c:v>
                </c:pt>
                <c:pt idx="9">
                  <c:v>-1.3914656771799483E-2</c:v>
                </c:pt>
                <c:pt idx="10">
                  <c:v>5.7619943555973663E-2</c:v>
                </c:pt>
                <c:pt idx="11">
                  <c:v>4.4696464309539552E-2</c:v>
                </c:pt>
                <c:pt idx="12">
                  <c:v>1.2558535547041449E-2</c:v>
                </c:pt>
                <c:pt idx="13">
                  <c:v>2.2072734916964487E-2</c:v>
                </c:pt>
                <c:pt idx="14">
                  <c:v>-1.5425750719868403E-2</c:v>
                </c:pt>
                <c:pt idx="15">
                  <c:v>-3.5721746396490506E-2</c:v>
                </c:pt>
                <c:pt idx="16">
                  <c:v>6.9324090121317239E-2</c:v>
                </c:pt>
                <c:pt idx="17">
                  <c:v>8.3670988654781286E-2</c:v>
                </c:pt>
                <c:pt idx="18">
                  <c:v>-3.9259674705552916E-3</c:v>
                </c:pt>
                <c:pt idx="19">
                  <c:v>0.14996246246246248</c:v>
                </c:pt>
                <c:pt idx="20">
                  <c:v>3.3295250530439136E-2</c:v>
                </c:pt>
                <c:pt idx="21">
                  <c:v>-8.6874111514769758E-3</c:v>
                </c:pt>
                <c:pt idx="22">
                  <c:v>-4.3021032504779733E-3</c:v>
                </c:pt>
                <c:pt idx="23">
                  <c:v>0.12562009921587447</c:v>
                </c:pt>
                <c:pt idx="24">
                  <c:v>-1.7059994313335269E-2</c:v>
                </c:pt>
                <c:pt idx="25">
                  <c:v>6.8990454150998026E-2</c:v>
                </c:pt>
                <c:pt idx="26">
                  <c:v>0.11283994046813706</c:v>
                </c:pt>
                <c:pt idx="27">
                  <c:v>-9.9696048632218481E-3</c:v>
                </c:pt>
                <c:pt idx="28">
                  <c:v>4.4946579884563409E-2</c:v>
                </c:pt>
                <c:pt idx="29">
                  <c:v>-1.7040780350217499E-2</c:v>
                </c:pt>
                <c:pt idx="30">
                  <c:v>-0.10581061692969862</c:v>
                </c:pt>
                <c:pt idx="31">
                  <c:v>0.24628961091054946</c:v>
                </c:pt>
                <c:pt idx="32">
                  <c:v>-5.149662053427595E-3</c:v>
                </c:pt>
                <c:pt idx="33">
                  <c:v>2.5773751752399487E-2</c:v>
                </c:pt>
                <c:pt idx="34">
                  <c:v>1.4718250630782137E-2</c:v>
                </c:pt>
                <c:pt idx="35">
                  <c:v>9.666390385412349E-2</c:v>
                </c:pt>
                <c:pt idx="36">
                  <c:v>-7.6239962210675416E-2</c:v>
                </c:pt>
                <c:pt idx="37">
                  <c:v>-0.10595213745142151</c:v>
                </c:pt>
                <c:pt idx="38">
                  <c:v>4.3353923587279741E-2</c:v>
                </c:pt>
                <c:pt idx="39">
                  <c:v>-9.0998793991886595E-3</c:v>
                </c:pt>
                <c:pt idx="40">
                  <c:v>-4.470015490152679E-2</c:v>
                </c:pt>
                <c:pt idx="41">
                  <c:v>6.0111188325225884E-2</c:v>
                </c:pt>
                <c:pt idx="42">
                  <c:v>-2.2943297279580444E-2</c:v>
                </c:pt>
                <c:pt idx="43">
                  <c:v>-4.8641395504864238E-2</c:v>
                </c:pt>
                <c:pt idx="44">
                  <c:v>-9.6027268453220516E-2</c:v>
                </c:pt>
                <c:pt idx="45">
                  <c:v>-9.9336887270836005E-2</c:v>
                </c:pt>
                <c:pt idx="46">
                  <c:v>2.8872527789808089E-2</c:v>
                </c:pt>
                <c:pt idx="47">
                  <c:v>0.11140732425985678</c:v>
                </c:pt>
                <c:pt idx="48">
                  <c:v>-1.0983461684130669E-2</c:v>
                </c:pt>
                <c:pt idx="49">
                  <c:v>5.7058973704365634E-2</c:v>
                </c:pt>
                <c:pt idx="50">
                  <c:v>-0.13561164110614665</c:v>
                </c:pt>
                <c:pt idx="51">
                  <c:v>0.19488683989941324</c:v>
                </c:pt>
                <c:pt idx="52">
                  <c:v>0.10265403951829777</c:v>
                </c:pt>
                <c:pt idx="53">
                  <c:v>4.0928851659421062E-2</c:v>
                </c:pt>
                <c:pt idx="54">
                  <c:v>6.9063868799022154E-2</c:v>
                </c:pt>
                <c:pt idx="55">
                  <c:v>6.3077656026679252E-2</c:v>
                </c:pt>
                <c:pt idx="56">
                  <c:v>3.6748229810881217E-3</c:v>
                </c:pt>
                <c:pt idx="57">
                  <c:v>-7.1441328808719007E-4</c:v>
                </c:pt>
                <c:pt idx="58">
                  <c:v>-4.7006255585344103E-2</c:v>
                </c:pt>
                <c:pt idx="59">
                  <c:v>0.17638784696174037</c:v>
                </c:pt>
                <c:pt idx="60">
                  <c:v>-3.882024711040255E-2</c:v>
                </c:pt>
                <c:pt idx="61">
                  <c:v>0.1594791839442693</c:v>
                </c:pt>
                <c:pt idx="62">
                  <c:v>-8.9550103712180751E-2</c:v>
                </c:pt>
                <c:pt idx="63">
                  <c:v>4.933616152093645E-2</c:v>
                </c:pt>
                <c:pt idx="64">
                  <c:v>-6.0342891367822005E-2</c:v>
                </c:pt>
                <c:pt idx="65">
                  <c:v>-4.5574057843996485E-2</c:v>
                </c:pt>
                <c:pt idx="66">
                  <c:v>-4.1071875782619616E-2</c:v>
                </c:pt>
                <c:pt idx="67">
                  <c:v>9.1668843039958148E-2</c:v>
                </c:pt>
                <c:pt idx="68">
                  <c:v>2.5996810207336463E-2</c:v>
                </c:pt>
                <c:pt idx="69">
                  <c:v>5.3862894450489751E-2</c:v>
                </c:pt>
                <c:pt idx="70">
                  <c:v>7.6849325171472804E-2</c:v>
                </c:pt>
                <c:pt idx="71">
                  <c:v>-0.20026025614683929</c:v>
                </c:pt>
                <c:pt idx="72">
                  <c:v>3.7252719020296476E-2</c:v>
                </c:pt>
                <c:pt idx="73">
                  <c:v>-0.10980845442536336</c:v>
                </c:pt>
                <c:pt idx="74">
                  <c:v>-0.11157484696716735</c:v>
                </c:pt>
                <c:pt idx="75">
                  <c:v>-8.5603925253158186E-3</c:v>
                </c:pt>
                <c:pt idx="76">
                  <c:v>-0.10645466989575658</c:v>
                </c:pt>
                <c:pt idx="77">
                  <c:v>2.839971718123957E-2</c:v>
                </c:pt>
                <c:pt idx="78">
                  <c:v>1.3865016615102643E-2</c:v>
                </c:pt>
                <c:pt idx="79">
                  <c:v>-0.16229656419529837</c:v>
                </c:pt>
                <c:pt idx="80">
                  <c:v>-0.19981111710739341</c:v>
                </c:pt>
                <c:pt idx="81">
                  <c:v>0.1716405327937951</c:v>
                </c:pt>
                <c:pt idx="82">
                  <c:v>5.180601525399342E-2</c:v>
                </c:pt>
                <c:pt idx="83">
                  <c:v>0.18757695991243661</c:v>
                </c:pt>
                <c:pt idx="84">
                  <c:v>9.2626728110599243E-2</c:v>
                </c:pt>
                <c:pt idx="85">
                  <c:v>-9.9114297764656412E-3</c:v>
                </c:pt>
                <c:pt idx="86">
                  <c:v>0.12736954206602769</c:v>
                </c:pt>
                <c:pt idx="87">
                  <c:v>-1.7948233515964529E-2</c:v>
                </c:pt>
                <c:pt idx="88">
                  <c:v>3.6456329357445139E-2</c:v>
                </c:pt>
                <c:pt idx="89">
                  <c:v>6.8863109048723947E-2</c:v>
                </c:pt>
                <c:pt idx="90">
                  <c:v>-3.8117565338195769E-2</c:v>
                </c:pt>
                <c:pt idx="91">
                  <c:v>6.8604441234879854E-2</c:v>
                </c:pt>
                <c:pt idx="92">
                  <c:v>7.2731880385200176E-2</c:v>
                </c:pt>
                <c:pt idx="93">
                  <c:v>5.3547523427042165E-3</c:v>
                </c:pt>
                <c:pt idx="94">
                  <c:v>-3.5560429231612845E-2</c:v>
                </c:pt>
                <c:pt idx="95">
                  <c:v>4.6779826199951247E-2</c:v>
                </c:pt>
                <c:pt idx="96">
                  <c:v>6.5171851966793426E-2</c:v>
                </c:pt>
                <c:pt idx="97">
                  <c:v>2.9936630490203342E-2</c:v>
                </c:pt>
                <c:pt idx="98">
                  <c:v>-1.1739745403111734E-2</c:v>
                </c:pt>
                <c:pt idx="99">
                  <c:v>-4.9019607843137414E-2</c:v>
                </c:pt>
                <c:pt idx="100">
                  <c:v>-5.3352396719090867E-2</c:v>
                </c:pt>
                <c:pt idx="101">
                  <c:v>1.2559618441971399E-2</c:v>
                </c:pt>
                <c:pt idx="102">
                  <c:v>-2.7869367247605581E-2</c:v>
                </c:pt>
                <c:pt idx="103">
                  <c:v>8.7458612614067732E-2</c:v>
                </c:pt>
                <c:pt idx="104">
                  <c:v>6.5275508688548811E-2</c:v>
                </c:pt>
                <c:pt idx="105">
                  <c:v>-3.4715928895085346E-2</c:v>
                </c:pt>
                <c:pt idx="106">
                  <c:v>0.15570159601357703</c:v>
                </c:pt>
                <c:pt idx="107">
                  <c:v>5.4989689433231348E-2</c:v>
                </c:pt>
                <c:pt idx="108">
                  <c:v>2.9497127287804181E-2</c:v>
                </c:pt>
                <c:pt idx="109">
                  <c:v>6.9328577181980489E-2</c:v>
                </c:pt>
                <c:pt idx="110">
                  <c:v>3.6532874206391952E-2</c:v>
                </c:pt>
                <c:pt idx="111">
                  <c:v>-6.7687516221126343E-2</c:v>
                </c:pt>
                <c:pt idx="112">
                  <c:v>-4.9106397193920293E-2</c:v>
                </c:pt>
                <c:pt idx="113">
                  <c:v>-6.5167749868259239E-2</c:v>
                </c:pt>
                <c:pt idx="114">
                  <c:v>0.12495302517850448</c:v>
                </c:pt>
                <c:pt idx="115">
                  <c:v>5.166750180947588E-2</c:v>
                </c:pt>
                <c:pt idx="116">
                  <c:v>-0.14680501879400709</c:v>
                </c:pt>
                <c:pt idx="117">
                  <c:v>-8.997269793993512E-3</c:v>
                </c:pt>
                <c:pt idx="118">
                  <c:v>4.8525452382443213E-2</c:v>
                </c:pt>
                <c:pt idx="119">
                  <c:v>4.7951749671563348E-2</c:v>
                </c:pt>
                <c:pt idx="120">
                  <c:v>-6.8493931278135523E-2</c:v>
                </c:pt>
                <c:pt idx="121">
                  <c:v>8.1605187496176734E-2</c:v>
                </c:pt>
                <c:pt idx="122">
                  <c:v>3.138962728352479E-2</c:v>
                </c:pt>
                <c:pt idx="123">
                  <c:v>2.02347005922352E-2</c:v>
                </c:pt>
                <c:pt idx="124">
                  <c:v>5.0470303681805939E-2</c:v>
                </c:pt>
                <c:pt idx="125">
                  <c:v>0.19919156774457636</c:v>
                </c:pt>
                <c:pt idx="126">
                  <c:v>3.9296838332551154E-2</c:v>
                </c:pt>
                <c:pt idx="127">
                  <c:v>4.569340668363564E-2</c:v>
                </c:pt>
                <c:pt idx="128">
                  <c:v>-5.1431039221074948E-2</c:v>
                </c:pt>
                <c:pt idx="129">
                  <c:v>7.0733827242249747E-2</c:v>
                </c:pt>
                <c:pt idx="130">
                  <c:v>-1.1364514882102772E-2</c:v>
                </c:pt>
                <c:pt idx="131">
                  <c:v>-1.8767594619956141E-2</c:v>
                </c:pt>
                <c:pt idx="132">
                  <c:v>4.0683774306662368E-2</c:v>
                </c:pt>
                <c:pt idx="133">
                  <c:v>0.12945590994371492</c:v>
                </c:pt>
                <c:pt idx="134">
                  <c:v>4.1426537392365459E-2</c:v>
                </c:pt>
                <c:pt idx="135">
                  <c:v>5.2441406250000044E-2</c:v>
                </c:pt>
                <c:pt idx="136">
                  <c:v>1.5001082552349221E-2</c:v>
                </c:pt>
                <c:pt idx="137">
                  <c:v>3.5531448074110017E-2</c:v>
                </c:pt>
                <c:pt idx="138">
                  <c:v>9.1077629333176313E-2</c:v>
                </c:pt>
                <c:pt idx="139">
                  <c:v>-0.11721552444911931</c:v>
                </c:pt>
                <c:pt idx="140">
                  <c:v>-3.5868137239925435E-2</c:v>
                </c:pt>
                <c:pt idx="141">
                  <c:v>-4.8166809265772992E-2</c:v>
                </c:pt>
                <c:pt idx="142">
                  <c:v>7.8569763957785366E-3</c:v>
                </c:pt>
                <c:pt idx="143">
                  <c:v>9.9890991973045296E-2</c:v>
                </c:pt>
                <c:pt idx="144">
                  <c:v>-8.7365228098627568E-2</c:v>
                </c:pt>
                <c:pt idx="145">
                  <c:v>-1.1254442543109144E-2</c:v>
                </c:pt>
                <c:pt idx="146">
                  <c:v>6.0973174465819069E-2</c:v>
                </c:pt>
                <c:pt idx="147">
                  <c:v>-9.1881548403287439E-2</c:v>
                </c:pt>
                <c:pt idx="148">
                  <c:v>2.7634806038205895E-3</c:v>
                </c:pt>
                <c:pt idx="149">
                  <c:v>-0.16803885769403015</c:v>
                </c:pt>
                <c:pt idx="150">
                  <c:v>0.12761376340524189</c:v>
                </c:pt>
                <c:pt idx="151">
                  <c:v>7.8728013806778518E-2</c:v>
                </c:pt>
                <c:pt idx="152">
                  <c:v>-0.10852027096027506</c:v>
                </c:pt>
                <c:pt idx="153">
                  <c:v>-1.8595593569819435E-2</c:v>
                </c:pt>
                <c:pt idx="154">
                  <c:v>9.1199128472492452E-2</c:v>
                </c:pt>
                <c:pt idx="155">
                  <c:v>-8.364829209156377E-2</c:v>
                </c:pt>
                <c:pt idx="156">
                  <c:v>-2.9610894941634269E-2</c:v>
                </c:pt>
                <c:pt idx="157">
                  <c:v>1.5598059264605668E-2</c:v>
                </c:pt>
                <c:pt idx="158">
                  <c:v>-4.3430195830701512E-3</c:v>
                </c:pt>
                <c:pt idx="159">
                  <c:v>0</c:v>
                </c:pt>
              </c:numCache>
            </c:numRef>
          </c:val>
          <c:extLst>
            <c:ext xmlns:c16="http://schemas.microsoft.com/office/drawing/2014/chart" uri="{C3380CC4-5D6E-409C-BE32-E72D297353CC}">
              <c16:uniqueId val="{00000000-34C0-2C4B-B00A-DAE867277297}"/>
            </c:ext>
          </c:extLst>
        </c:ser>
        <c:dLbls>
          <c:showLegendKey val="0"/>
          <c:showVal val="0"/>
          <c:showCatName val="0"/>
          <c:showSerName val="0"/>
          <c:showPercent val="0"/>
          <c:showBubbleSize val="0"/>
        </c:dLbls>
        <c:gapWidth val="150"/>
        <c:axId val="26530768"/>
        <c:axId val="88135153"/>
      </c:barChart>
      <c:lineChart>
        <c:grouping val="standard"/>
        <c:varyColors val="0"/>
        <c:ser>
          <c:idx val="1"/>
          <c:order val="1"/>
          <c:tx>
            <c:strRef>
              <c:f>'Returns (Calc)'!$AH$2</c:f>
              <c:strCache>
                <c:ptCount val="1"/>
                <c:pt idx="0">
                  <c:v>VRT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(Calc)'!$AH$3:$AH$500</c:f>
              <c:numCache>
                <c:formatCode>#,##0.00</c:formatCode>
                <c:ptCount val="498"/>
                <c:pt idx="0">
                  <c:v>38.020000000000003</c:v>
                </c:pt>
                <c:pt idx="1">
                  <c:v>39.375443037974684</c:v>
                </c:pt>
                <c:pt idx="2">
                  <c:v>40.730886075949371</c:v>
                </c:pt>
                <c:pt idx="3">
                  <c:v>42.086329113924052</c:v>
                </c:pt>
                <c:pt idx="4">
                  <c:v>43.441772151898739</c:v>
                </c:pt>
                <c:pt idx="5">
                  <c:v>44.79721518987342</c:v>
                </c:pt>
                <c:pt idx="6">
                  <c:v>46.152658227848107</c:v>
                </c:pt>
                <c:pt idx="7">
                  <c:v>47.508101265822788</c:v>
                </c:pt>
                <c:pt idx="8">
                  <c:v>48.863544303797468</c:v>
                </c:pt>
                <c:pt idx="9">
                  <c:v>50.218987341772156</c:v>
                </c:pt>
                <c:pt idx="10">
                  <c:v>51.574430379746836</c:v>
                </c:pt>
                <c:pt idx="11">
                  <c:v>52.929873417721524</c:v>
                </c:pt>
                <c:pt idx="12">
                  <c:v>54.285316455696204</c:v>
                </c:pt>
                <c:pt idx="13">
                  <c:v>55.640759493670885</c:v>
                </c:pt>
                <c:pt idx="14">
                  <c:v>56.996202531645572</c:v>
                </c:pt>
                <c:pt idx="15">
                  <c:v>58.35164556962026</c:v>
                </c:pt>
                <c:pt idx="16">
                  <c:v>59.70708860759494</c:v>
                </c:pt>
                <c:pt idx="17">
                  <c:v>61.062531645569621</c:v>
                </c:pt>
                <c:pt idx="18">
                  <c:v>62.417974683544308</c:v>
                </c:pt>
                <c:pt idx="19">
                  <c:v>63.773417721518989</c:v>
                </c:pt>
                <c:pt idx="20">
                  <c:v>65.128860759493676</c:v>
                </c:pt>
                <c:pt idx="21">
                  <c:v>66.484303797468357</c:v>
                </c:pt>
                <c:pt idx="22">
                  <c:v>67.839746835443037</c:v>
                </c:pt>
                <c:pt idx="23">
                  <c:v>69.195189873417718</c:v>
                </c:pt>
                <c:pt idx="24">
                  <c:v>70.550632911392412</c:v>
                </c:pt>
                <c:pt idx="25">
                  <c:v>71.906075949367093</c:v>
                </c:pt>
                <c:pt idx="26">
                  <c:v>73.261518987341773</c:v>
                </c:pt>
                <c:pt idx="27">
                  <c:v>74.616962025316454</c:v>
                </c:pt>
                <c:pt idx="28">
                  <c:v>75.972405063291149</c:v>
                </c:pt>
                <c:pt idx="29">
                  <c:v>77.327848101265829</c:v>
                </c:pt>
                <c:pt idx="30">
                  <c:v>78.683291139240509</c:v>
                </c:pt>
                <c:pt idx="31">
                  <c:v>80.03873417721519</c:v>
                </c:pt>
                <c:pt idx="32">
                  <c:v>81.39417721518987</c:v>
                </c:pt>
                <c:pt idx="33">
                  <c:v>82.749620253164551</c:v>
                </c:pt>
                <c:pt idx="34">
                  <c:v>84.105063291139231</c:v>
                </c:pt>
                <c:pt idx="35">
                  <c:v>85.460506329113926</c:v>
                </c:pt>
                <c:pt idx="36">
                  <c:v>86.815949367088621</c:v>
                </c:pt>
                <c:pt idx="37">
                  <c:v>88.171392405063301</c:v>
                </c:pt>
                <c:pt idx="38">
                  <c:v>89.526835443037982</c:v>
                </c:pt>
                <c:pt idx="39">
                  <c:v>90.882278481012662</c:v>
                </c:pt>
                <c:pt idx="40">
                  <c:v>92.237721518987343</c:v>
                </c:pt>
                <c:pt idx="41">
                  <c:v>93.593164556962023</c:v>
                </c:pt>
                <c:pt idx="42">
                  <c:v>94.948607594936703</c:v>
                </c:pt>
                <c:pt idx="43">
                  <c:v>96.304050632911384</c:v>
                </c:pt>
                <c:pt idx="44">
                  <c:v>97.659493670886064</c:v>
                </c:pt>
                <c:pt idx="45">
                  <c:v>99.014936708860773</c:v>
                </c:pt>
                <c:pt idx="46">
                  <c:v>100.37037974683545</c:v>
                </c:pt>
                <c:pt idx="47">
                  <c:v>101.72582278481013</c:v>
                </c:pt>
                <c:pt idx="48">
                  <c:v>103.08126582278481</c:v>
                </c:pt>
                <c:pt idx="49">
                  <c:v>104.4367088607595</c:v>
                </c:pt>
                <c:pt idx="50">
                  <c:v>105.79215189873418</c:v>
                </c:pt>
                <c:pt idx="51">
                  <c:v>107.14759493670886</c:v>
                </c:pt>
                <c:pt idx="52">
                  <c:v>108.50303797468354</c:v>
                </c:pt>
                <c:pt idx="53">
                  <c:v>109.85848101265822</c:v>
                </c:pt>
                <c:pt idx="54">
                  <c:v>111.2139240506329</c:v>
                </c:pt>
                <c:pt idx="55">
                  <c:v>112.56936708860761</c:v>
                </c:pt>
                <c:pt idx="56">
                  <c:v>113.92481012658229</c:v>
                </c:pt>
                <c:pt idx="57">
                  <c:v>115.28025316455697</c:v>
                </c:pt>
                <c:pt idx="58">
                  <c:v>116.63569620253165</c:v>
                </c:pt>
                <c:pt idx="59">
                  <c:v>117.99113924050633</c:v>
                </c:pt>
                <c:pt idx="60">
                  <c:v>119.34658227848101</c:v>
                </c:pt>
                <c:pt idx="61">
                  <c:v>120.70202531645569</c:v>
                </c:pt>
                <c:pt idx="62">
                  <c:v>122.05746835443037</c:v>
                </c:pt>
                <c:pt idx="63">
                  <c:v>123.41291139240508</c:v>
                </c:pt>
                <c:pt idx="64">
                  <c:v>124.76835443037976</c:v>
                </c:pt>
                <c:pt idx="65">
                  <c:v>126.12379746835444</c:v>
                </c:pt>
                <c:pt idx="66">
                  <c:v>127.47924050632912</c:v>
                </c:pt>
                <c:pt idx="67">
                  <c:v>128.8346835443038</c:v>
                </c:pt>
                <c:pt idx="68">
                  <c:v>130.19012658227848</c:v>
                </c:pt>
                <c:pt idx="69">
                  <c:v>131.54556962025316</c:v>
                </c:pt>
                <c:pt idx="70">
                  <c:v>132.90101265822784</c:v>
                </c:pt>
                <c:pt idx="71">
                  <c:v>134.25645569620255</c:v>
                </c:pt>
                <c:pt idx="72">
                  <c:v>135.61189873417723</c:v>
                </c:pt>
                <c:pt idx="73">
                  <c:v>136.96734177215191</c:v>
                </c:pt>
                <c:pt idx="74">
                  <c:v>138.32278481012659</c:v>
                </c:pt>
                <c:pt idx="75">
                  <c:v>139.67822784810127</c:v>
                </c:pt>
                <c:pt idx="76">
                  <c:v>141.03367088607595</c:v>
                </c:pt>
                <c:pt idx="77">
                  <c:v>142.38911392405063</c:v>
                </c:pt>
                <c:pt idx="78">
                  <c:v>143.74455696202531</c:v>
                </c:pt>
                <c:pt idx="79">
                  <c:v>145.1</c:v>
                </c:pt>
                <c:pt idx="80">
                  <c:v>146.45544303797467</c:v>
                </c:pt>
                <c:pt idx="81">
                  <c:v>147.81088607594936</c:v>
                </c:pt>
                <c:pt idx="82">
                  <c:v>149.16632911392404</c:v>
                </c:pt>
                <c:pt idx="83">
                  <c:v>150.52177215189872</c:v>
                </c:pt>
                <c:pt idx="84">
                  <c:v>151.87721518987343</c:v>
                </c:pt>
                <c:pt idx="85">
                  <c:v>153.23265822784811</c:v>
                </c:pt>
                <c:pt idx="86">
                  <c:v>154.58810126582279</c:v>
                </c:pt>
                <c:pt idx="87">
                  <c:v>155.94354430379747</c:v>
                </c:pt>
                <c:pt idx="88">
                  <c:v>157.29898734177215</c:v>
                </c:pt>
                <c:pt idx="89">
                  <c:v>158.65443037974683</c:v>
                </c:pt>
                <c:pt idx="90">
                  <c:v>160.00987341772154</c:v>
                </c:pt>
                <c:pt idx="91">
                  <c:v>161.36531645569622</c:v>
                </c:pt>
                <c:pt idx="92">
                  <c:v>162.7207594936709</c:v>
                </c:pt>
                <c:pt idx="93">
                  <c:v>164.07620253164558</c:v>
                </c:pt>
                <c:pt idx="94">
                  <c:v>165.43164556962026</c:v>
                </c:pt>
                <c:pt idx="95">
                  <c:v>166.78708860759494</c:v>
                </c:pt>
                <c:pt idx="96">
                  <c:v>168.14253164556965</c:v>
                </c:pt>
                <c:pt idx="97">
                  <c:v>169.49797468354433</c:v>
                </c:pt>
                <c:pt idx="98">
                  <c:v>170.85341772151901</c:v>
                </c:pt>
                <c:pt idx="99">
                  <c:v>172.20886075949369</c:v>
                </c:pt>
                <c:pt idx="100">
                  <c:v>173.56430379746837</c:v>
                </c:pt>
                <c:pt idx="101">
                  <c:v>174.91974683544305</c:v>
                </c:pt>
                <c:pt idx="102">
                  <c:v>176.27518987341773</c:v>
                </c:pt>
                <c:pt idx="103">
                  <c:v>177.63063291139241</c:v>
                </c:pt>
                <c:pt idx="104">
                  <c:v>178.98607594936709</c:v>
                </c:pt>
                <c:pt idx="105">
                  <c:v>180.34151898734177</c:v>
                </c:pt>
                <c:pt idx="106">
                  <c:v>181.69696202531645</c:v>
                </c:pt>
                <c:pt idx="107">
                  <c:v>183.05240506329113</c:v>
                </c:pt>
                <c:pt idx="108">
                  <c:v>184.40784810126581</c:v>
                </c:pt>
                <c:pt idx="109">
                  <c:v>185.76329113924052</c:v>
                </c:pt>
                <c:pt idx="110">
                  <c:v>187.1187341772152</c:v>
                </c:pt>
                <c:pt idx="111">
                  <c:v>188.47417721518988</c:v>
                </c:pt>
                <c:pt idx="112">
                  <c:v>189.82962025316456</c:v>
                </c:pt>
                <c:pt idx="113">
                  <c:v>191.18506329113924</c:v>
                </c:pt>
                <c:pt idx="114">
                  <c:v>192.54050632911392</c:v>
                </c:pt>
                <c:pt idx="115">
                  <c:v>193.8959493670886</c:v>
                </c:pt>
                <c:pt idx="116">
                  <c:v>195.25139240506331</c:v>
                </c:pt>
                <c:pt idx="117">
                  <c:v>196.60683544303799</c:v>
                </c:pt>
                <c:pt idx="118">
                  <c:v>197.96227848101267</c:v>
                </c:pt>
                <c:pt idx="119">
                  <c:v>199.31772151898736</c:v>
                </c:pt>
                <c:pt idx="120">
                  <c:v>200.67316455696204</c:v>
                </c:pt>
                <c:pt idx="121">
                  <c:v>202.02860759493672</c:v>
                </c:pt>
                <c:pt idx="122">
                  <c:v>203.3840506329114</c:v>
                </c:pt>
                <c:pt idx="123">
                  <c:v>204.73949367088608</c:v>
                </c:pt>
                <c:pt idx="124">
                  <c:v>206.09493670886076</c:v>
                </c:pt>
                <c:pt idx="125">
                  <c:v>207.45037974683547</c:v>
                </c:pt>
                <c:pt idx="126">
                  <c:v>208.80582278481015</c:v>
                </c:pt>
                <c:pt idx="127">
                  <c:v>210.16126582278483</c:v>
                </c:pt>
                <c:pt idx="128">
                  <c:v>211.51670886075951</c:v>
                </c:pt>
                <c:pt idx="129">
                  <c:v>212.87215189873419</c:v>
                </c:pt>
                <c:pt idx="130">
                  <c:v>214.22759493670887</c:v>
                </c:pt>
                <c:pt idx="131">
                  <c:v>215.58303797468355</c:v>
                </c:pt>
                <c:pt idx="132">
                  <c:v>216.93848101265823</c:v>
                </c:pt>
                <c:pt idx="133">
                  <c:v>218.29392405063291</c:v>
                </c:pt>
                <c:pt idx="134">
                  <c:v>219.64936708860759</c:v>
                </c:pt>
                <c:pt idx="135">
                  <c:v>221.00481012658227</c:v>
                </c:pt>
                <c:pt idx="136">
                  <c:v>222.36025316455695</c:v>
                </c:pt>
                <c:pt idx="137">
                  <c:v>223.71569620253163</c:v>
                </c:pt>
                <c:pt idx="138">
                  <c:v>225.07113924050634</c:v>
                </c:pt>
                <c:pt idx="139">
                  <c:v>226.42658227848102</c:v>
                </c:pt>
                <c:pt idx="140">
                  <c:v>227.7820253164557</c:v>
                </c:pt>
                <c:pt idx="141">
                  <c:v>229.13746835443041</c:v>
                </c:pt>
                <c:pt idx="142">
                  <c:v>230.49291139240509</c:v>
                </c:pt>
                <c:pt idx="143">
                  <c:v>231.84835443037977</c:v>
                </c:pt>
                <c:pt idx="144">
                  <c:v>233.20379746835445</c:v>
                </c:pt>
                <c:pt idx="145">
                  <c:v>234.55924050632913</c:v>
                </c:pt>
                <c:pt idx="146">
                  <c:v>235.91468354430381</c:v>
                </c:pt>
                <c:pt idx="147">
                  <c:v>237.27012658227849</c:v>
                </c:pt>
                <c:pt idx="148">
                  <c:v>238.62556962025317</c:v>
                </c:pt>
                <c:pt idx="149">
                  <c:v>239.98101265822785</c:v>
                </c:pt>
                <c:pt idx="150">
                  <c:v>241.33645569620253</c:v>
                </c:pt>
                <c:pt idx="151">
                  <c:v>242.69189873417722</c:v>
                </c:pt>
                <c:pt idx="152">
                  <c:v>244.0473417721519</c:v>
                </c:pt>
                <c:pt idx="153">
                  <c:v>245.40278481012658</c:v>
                </c:pt>
                <c:pt idx="154">
                  <c:v>246.75822784810128</c:v>
                </c:pt>
                <c:pt idx="155">
                  <c:v>248.11367088607597</c:v>
                </c:pt>
                <c:pt idx="156">
                  <c:v>249.46911392405065</c:v>
                </c:pt>
                <c:pt idx="157">
                  <c:v>250.82455696202535</c:v>
                </c:pt>
                <c:pt idx="158">
                  <c:v>252.18</c:v>
                </c:pt>
                <c:pt idx="159">
                  <c:v>253.53544303797472</c:v>
                </c:pt>
              </c:numCache>
            </c:numRef>
          </c:val>
          <c:smooth val="0"/>
          <c:extLst>
            <c:ext xmlns:c16="http://schemas.microsoft.com/office/drawing/2014/chart" uri="{C3380CC4-5D6E-409C-BE32-E72D297353CC}">
              <c16:uniqueId val="{00000001-34C0-2C4B-B00A-DAE867277297}"/>
            </c:ext>
          </c:extLst>
        </c:ser>
        <c:dLbls>
          <c:showLegendKey val="0"/>
          <c:showVal val="0"/>
          <c:showCatName val="0"/>
          <c:showSerName val="0"/>
          <c:showPercent val="0"/>
          <c:showBubbleSize val="0"/>
        </c:dLbls>
        <c:hiLowLines>
          <c:spPr>
            <a:ln w="0">
              <a:noFill/>
            </a:ln>
          </c:spPr>
        </c:hiLowLines>
        <c:marker val="1"/>
        <c:smooth val="0"/>
        <c:axId val="62300359"/>
        <c:axId val="59690968"/>
      </c:lineChart>
      <c:dateAx>
        <c:axId val="26530768"/>
        <c:scaling>
          <c:orientation val="minMax"/>
        </c:scaling>
        <c:delete val="1"/>
        <c:axPos val="b"/>
        <c:numFmt formatCode="mm/dd/yyyy" sourceLinked="1"/>
        <c:majorTickMark val="none"/>
        <c:minorTickMark val="none"/>
        <c:tickLblPos val="nextTo"/>
        <c:crossAx val="88135153"/>
        <c:crosses val="autoZero"/>
        <c:auto val="1"/>
        <c:lblOffset val="100"/>
        <c:baseTimeUnit val="days"/>
      </c:dateAx>
      <c:valAx>
        <c:axId val="8813515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6530768"/>
        <c:crosses val="autoZero"/>
        <c:crossBetween val="between"/>
      </c:valAx>
      <c:dateAx>
        <c:axId val="62300359"/>
        <c:scaling>
          <c:orientation val="minMax"/>
        </c:scaling>
        <c:delete val="1"/>
        <c:axPos val="b"/>
        <c:numFmt formatCode="mm/dd/yyyy" sourceLinked="1"/>
        <c:majorTickMark val="none"/>
        <c:minorTickMark val="none"/>
        <c:tickLblPos val="nextTo"/>
        <c:crossAx val="59690968"/>
        <c:crosses val="autoZero"/>
        <c:auto val="1"/>
        <c:lblOffset val="100"/>
        <c:baseTimeUnit val="days"/>
      </c:dateAx>
      <c:valAx>
        <c:axId val="596909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2300359"/>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layout/>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(Calc)'!$N$3:$N$500</c:f>
              <c:numCache>
                <c:formatCode>0.0%</c:formatCode>
                <c:ptCount val="498"/>
                <c:pt idx="0">
                  <c:v>1.8056749785038129E-3</c:v>
                </c:pt>
                <c:pt idx="1">
                  <c:v>-5.1211627042027086E-3</c:v>
                </c:pt>
                <c:pt idx="2">
                  <c:v>3.7039167193880562E-2</c:v>
                </c:pt>
                <c:pt idx="3">
                  <c:v>2.8783761299983279E-2</c:v>
                </c:pt>
                <c:pt idx="4">
                  <c:v>-2.4636118598382661E-2</c:v>
                </c:pt>
                <c:pt idx="5">
                  <c:v>-1.8183827999779023E-2</c:v>
                </c:pt>
                <c:pt idx="6">
                  <c:v>5.8883134429182693E-2</c:v>
                </c:pt>
                <c:pt idx="7">
                  <c:v>-6.7783094098884389E-3</c:v>
                </c:pt>
                <c:pt idx="8">
                  <c:v>-6.1956376287970016E-2</c:v>
                </c:pt>
                <c:pt idx="9">
                  <c:v>7.2467902995720923E-3</c:v>
                </c:pt>
                <c:pt idx="10">
                  <c:v>-5.3251756174937936E-3</c:v>
                </c:pt>
                <c:pt idx="11">
                  <c:v>-2.8761817974713999E-3</c:v>
                </c:pt>
                <c:pt idx="12">
                  <c:v>0.17286877052691718</c:v>
                </c:pt>
                <c:pt idx="13">
                  <c:v>-1.3221973312554813E-2</c:v>
                </c:pt>
                <c:pt idx="14">
                  <c:v>4.0468846391117363E-3</c:v>
                </c:pt>
                <c:pt idx="15">
                  <c:v>2.3618176902848509E-2</c:v>
                </c:pt>
                <c:pt idx="16">
                  <c:v>4.057623049219683E-2</c:v>
                </c:pt>
                <c:pt idx="17">
                  <c:v>3.737886479003194E-3</c:v>
                </c:pt>
                <c:pt idx="18">
                  <c:v>-1.1148912693669133E-2</c:v>
                </c:pt>
                <c:pt idx="19">
                  <c:v>-1.2762396261942976E-2</c:v>
                </c:pt>
                <c:pt idx="20">
                  <c:v>-4.1678440237354897E-3</c:v>
                </c:pt>
                <c:pt idx="21">
                  <c:v>-1.6788441985293723E-3</c:v>
                </c:pt>
                <c:pt idx="22">
                  <c:v>1.8735196589294123E-2</c:v>
                </c:pt>
                <c:pt idx="23">
                  <c:v>6.161214573016105E-3</c:v>
                </c:pt>
                <c:pt idx="24">
                  <c:v>-4.4297069969498115E-2</c:v>
                </c:pt>
                <c:pt idx="25">
                  <c:v>-1.4265335235377985E-2</c:v>
                </c:pt>
                <c:pt idx="26">
                  <c:v>1.954916725943745E-2</c:v>
                </c:pt>
                <c:pt idx="27">
                  <c:v>5.6536592407254727E-3</c:v>
                </c:pt>
                <c:pt idx="28">
                  <c:v>-2.7128537594794278E-2</c:v>
                </c:pt>
                <c:pt idx="29">
                  <c:v>-2.4885041925885809E-2</c:v>
                </c:pt>
                <c:pt idx="30">
                  <c:v>-5.7243727146640833E-3</c:v>
                </c:pt>
                <c:pt idx="31">
                  <c:v>8.1160596530385209E-3</c:v>
                </c:pt>
                <c:pt idx="32">
                  <c:v>9.0570594746903765E-3</c:v>
                </c:pt>
                <c:pt idx="33">
                  <c:v>5.4103919417572532E-2</c:v>
                </c:pt>
                <c:pt idx="34">
                  <c:v>5.3053597615781323E-2</c:v>
                </c:pt>
                <c:pt idx="35">
                  <c:v>2.6369578401203908E-2</c:v>
                </c:pt>
                <c:pt idx="36">
                  <c:v>-3.5233614180982809E-3</c:v>
                </c:pt>
                <c:pt idx="37">
                  <c:v>6.0833662757499907E-2</c:v>
                </c:pt>
                <c:pt idx="38">
                  <c:v>-4.7822126531964493E-3</c:v>
                </c:pt>
                <c:pt idx="39">
                  <c:v>-2.5003640297048269E-2</c:v>
                </c:pt>
                <c:pt idx="40">
                  <c:v>2.1335153933321749E-5</c:v>
                </c:pt>
                <c:pt idx="41">
                  <c:v>1.2480798771121293E-2</c:v>
                </c:pt>
                <c:pt idx="42">
                  <c:v>2.9858608845902745E-2</c:v>
                </c:pt>
                <c:pt idx="43">
                  <c:v>5.7903998035764292E-3</c:v>
                </c:pt>
                <c:pt idx="44">
                  <c:v>7.5065606119169015E-3</c:v>
                </c:pt>
                <c:pt idx="45">
                  <c:v>-1.6153131688406708E-3</c:v>
                </c:pt>
                <c:pt idx="46">
                  <c:v>-5.2602839461230455E-2</c:v>
                </c:pt>
                <c:pt idx="47">
                  <c:v>1.9041519906073168E-2</c:v>
                </c:pt>
                <c:pt idx="48">
                  <c:v>8.1069191612375135E-3</c:v>
                </c:pt>
                <c:pt idx="49">
                  <c:v>3.0442191006566421E-2</c:v>
                </c:pt>
                <c:pt idx="50">
                  <c:v>-5.624231180302075E-2</c:v>
                </c:pt>
                <c:pt idx="51">
                  <c:v>3.7115384615384661E-2</c:v>
                </c:pt>
                <c:pt idx="52">
                  <c:v>-4.2132805900653048E-2</c:v>
                </c:pt>
                <c:pt idx="53">
                  <c:v>-4.3878516734062734E-3</c:v>
                </c:pt>
                <c:pt idx="54">
                  <c:v>-1.6354130660214294E-2</c:v>
                </c:pt>
                <c:pt idx="55">
                  <c:v>5.7982473479607277E-2</c:v>
                </c:pt>
                <c:pt idx="56">
                  <c:v>2.6779597683252998E-3</c:v>
                </c:pt>
                <c:pt idx="57">
                  <c:v>-1.0973084886128359E-2</c:v>
                </c:pt>
                <c:pt idx="58">
                  <c:v>-1.3774335356918521E-2</c:v>
                </c:pt>
                <c:pt idx="59">
                  <c:v>9.6833078621158197E-2</c:v>
                </c:pt>
                <c:pt idx="60">
                  <c:v>-9.8773077369663675E-2</c:v>
                </c:pt>
                <c:pt idx="61">
                  <c:v>-3.1629804595232902E-2</c:v>
                </c:pt>
                <c:pt idx="62">
                  <c:v>3.8051311617180561E-2</c:v>
                </c:pt>
                <c:pt idx="63">
                  <c:v>-1.28810373186935E-2</c:v>
                </c:pt>
                <c:pt idx="64">
                  <c:v>3.5273750270503612E-3</c:v>
                </c:pt>
                <c:pt idx="65">
                  <c:v>-0.14331615379639018</c:v>
                </c:pt>
                <c:pt idx="66">
                  <c:v>2.8922395348251806E-2</c:v>
                </c:pt>
                <c:pt idx="67">
                  <c:v>-4.0365984930031962E-3</c:v>
                </c:pt>
                <c:pt idx="68">
                  <c:v>6.0180295251897054E-3</c:v>
                </c:pt>
                <c:pt idx="69">
                  <c:v>3.0374059966793654E-2</c:v>
                </c:pt>
                <c:pt idx="70">
                  <c:v>4.1753554502369727E-2</c:v>
                </c:pt>
                <c:pt idx="71">
                  <c:v>5.0179700650561765E-2</c:v>
                </c:pt>
                <c:pt idx="72">
                  <c:v>1.6548258534049509E-2</c:v>
                </c:pt>
                <c:pt idx="73">
                  <c:v>-2.1989261058552811E-2</c:v>
                </c:pt>
                <c:pt idx="74">
                  <c:v>5.4989106753812633E-2</c:v>
                </c:pt>
                <c:pt idx="75">
                  <c:v>-9.1896580208160605E-3</c:v>
                </c:pt>
                <c:pt idx="76">
                  <c:v>1.7716084120135811E-2</c:v>
                </c:pt>
                <c:pt idx="77">
                  <c:v>3.3750435192201333E-2</c:v>
                </c:pt>
                <c:pt idx="78">
                  <c:v>-3.1103274758801369E-3</c:v>
                </c:pt>
                <c:pt idx="79">
                  <c:v>-2.0886327503974567E-2</c:v>
                </c:pt>
                <c:pt idx="80">
                  <c:v>-3.6676206133674283E-2</c:v>
                </c:pt>
                <c:pt idx="81">
                  <c:v>2.022670768193513E-2</c:v>
                </c:pt>
                <c:pt idx="82">
                  <c:v>1.0078063690058148E-2</c:v>
                </c:pt>
                <c:pt idx="83">
                  <c:v>9.6912696790021347E-3</c:v>
                </c:pt>
                <c:pt idx="84">
                  <c:v>1.4802365138506302E-2</c:v>
                </c:pt>
                <c:pt idx="85">
                  <c:v>-0.15197046792377522</c:v>
                </c:pt>
                <c:pt idx="86">
                  <c:v>3.2141932751358793E-2</c:v>
                </c:pt>
                <c:pt idx="87">
                  <c:v>-6.041262965918115E-3</c:v>
                </c:pt>
                <c:pt idx="88">
                  <c:v>1.3876146788990962E-2</c:v>
                </c:pt>
                <c:pt idx="89">
                  <c:v>1.9115484673679406E-2</c:v>
                </c:pt>
                <c:pt idx="90">
                  <c:v>1.0987791342952358E-2</c:v>
                </c:pt>
                <c:pt idx="91">
                  <c:v>-3.2012295531891555E-2</c:v>
                </c:pt>
                <c:pt idx="92">
                  <c:v>9.7534420577494174E-4</c:v>
                </c:pt>
                <c:pt idx="93">
                  <c:v>4.15137094946747E-2</c:v>
                </c:pt>
                <c:pt idx="94">
                  <c:v>2.0081806709890904E-2</c:v>
                </c:pt>
                <c:pt idx="95">
                  <c:v>-1.9281220006398647E-2</c:v>
                </c:pt>
                <c:pt idx="96">
                  <c:v>2.1400143537548155E-2</c:v>
                </c:pt>
                <c:pt idx="97">
                  <c:v>-1.6011923773022407E-2</c:v>
                </c:pt>
                <c:pt idx="98">
                  <c:v>-0.20684655832774324</c:v>
                </c:pt>
                <c:pt idx="99">
                  <c:v>7.1615649042396479E-2</c:v>
                </c:pt>
                <c:pt idx="100">
                  <c:v>5.9319229104610738E-3</c:v>
                </c:pt>
                <c:pt idx="101">
                  <c:v>-1.0376594452318311E-2</c:v>
                </c:pt>
                <c:pt idx="102">
                  <c:v>1.3042811109406305E-2</c:v>
                </c:pt>
                <c:pt idx="103">
                  <c:v>-4.0139351711603322E-3</c:v>
                </c:pt>
                <c:pt idx="104">
                  <c:v>-2.8920487668871786E-2</c:v>
                </c:pt>
                <c:pt idx="105">
                  <c:v>6.8385884318229451E-3</c:v>
                </c:pt>
                <c:pt idx="106">
                  <c:v>4.552289106652152E-2</c:v>
                </c:pt>
                <c:pt idx="107">
                  <c:v>1.1133151500124061E-2</c:v>
                </c:pt>
                <c:pt idx="108">
                  <c:v>2.2119228034036986E-2</c:v>
                </c:pt>
                <c:pt idx="109">
                  <c:v>1.0988220052301934E-2</c:v>
                </c:pt>
                <c:pt idx="110">
                  <c:v>9.919551958992967E-3</c:v>
                </c:pt>
                <c:pt idx="111">
                  <c:v>-3.7831614070540587E-2</c:v>
                </c:pt>
                <c:pt idx="112">
                  <c:v>6.7599579944806587E-2</c:v>
                </c:pt>
                <c:pt idx="113">
                  <c:v>-2.3767585496969001E-2</c:v>
                </c:pt>
                <c:pt idx="114">
                  <c:v>1.6051176305183379E-2</c:v>
                </c:pt>
                <c:pt idx="115">
                  <c:v>5.0437028666313166E-2</c:v>
                </c:pt>
                <c:pt idx="116">
                  <c:v>-7.5524721173267917E-3</c:v>
                </c:pt>
                <c:pt idx="117">
                  <c:v>9.2027254225288679E-3</c:v>
                </c:pt>
                <c:pt idx="118">
                  <c:v>1.4686540990793473E-2</c:v>
                </c:pt>
                <c:pt idx="119">
                  <c:v>-2.326636422553463E-2</c:v>
                </c:pt>
                <c:pt idx="120">
                  <c:v>2.5943865702342306E-2</c:v>
                </c:pt>
                <c:pt idx="121">
                  <c:v>-4.8506014745828496E-2</c:v>
                </c:pt>
                <c:pt idx="122">
                  <c:v>6.1287837592894689E-2</c:v>
                </c:pt>
                <c:pt idx="123">
                  <c:v>3.1809739330928011E-3</c:v>
                </c:pt>
                <c:pt idx="124">
                  <c:v>1.706746116194946E-2</c:v>
                </c:pt>
                <c:pt idx="125">
                  <c:v>2.8352025443588946E-2</c:v>
                </c:pt>
                <c:pt idx="126">
                  <c:v>-2.9645756607727947E-2</c:v>
                </c:pt>
                <c:pt idx="127">
                  <c:v>4.1790731809603798E-2</c:v>
                </c:pt>
                <c:pt idx="128">
                  <c:v>-8.0792222691866367E-2</c:v>
                </c:pt>
                <c:pt idx="129">
                  <c:v>2.7699314633558902E-2</c:v>
                </c:pt>
                <c:pt idx="130">
                  <c:v>-3.2684194826777979E-2</c:v>
                </c:pt>
                <c:pt idx="131">
                  <c:v>-4.6101321585903077E-2</c:v>
                </c:pt>
                <c:pt idx="132">
                  <c:v>1.3023298773870318E-2</c:v>
                </c:pt>
                <c:pt idx="133">
                  <c:v>-5.5617606163524957E-3</c:v>
                </c:pt>
                <c:pt idx="134">
                  <c:v>1.1300341531620406E-2</c:v>
                </c:pt>
                <c:pt idx="135">
                  <c:v>-2.4728014505892904E-2</c:v>
                </c:pt>
                <c:pt idx="136">
                  <c:v>-1.4803969415975282E-2</c:v>
                </c:pt>
                <c:pt idx="137">
                  <c:v>1.3917720324589489E-2</c:v>
                </c:pt>
                <c:pt idx="138">
                  <c:v>1.6588339304825173E-2</c:v>
                </c:pt>
                <c:pt idx="139">
                  <c:v>-5.5612770339855677E-3</c:v>
                </c:pt>
                <c:pt idx="140">
                  <c:v>2.9964098315382603E-2</c:v>
                </c:pt>
                <c:pt idx="141">
                  <c:v>-1.5864503731510826E-3</c:v>
                </c:pt>
                <c:pt idx="142">
                  <c:v>-4.2521764429424014E-3</c:v>
                </c:pt>
                <c:pt idx="143">
                  <c:v>1.5058548535724636E-2</c:v>
                </c:pt>
                <c:pt idx="144">
                  <c:v>8.7925957088767381E-2</c:v>
                </c:pt>
                <c:pt idx="145">
                  <c:v>7.4693694793829035E-2</c:v>
                </c:pt>
                <c:pt idx="146">
                  <c:v>-8.0770396182107351E-2</c:v>
                </c:pt>
                <c:pt idx="147">
                  <c:v>5.3565174395853177E-4</c:v>
                </c:pt>
                <c:pt idx="148">
                  <c:v>-1.7069906311129368E-2</c:v>
                </c:pt>
                <c:pt idx="149">
                  <c:v>-5.4466230936822679E-4</c:v>
                </c:pt>
                <c:pt idx="150">
                  <c:v>3.9761056382309645E-2</c:v>
                </c:pt>
                <c:pt idx="151">
                  <c:v>1.9513375128510146E-2</c:v>
                </c:pt>
                <c:pt idx="152">
                  <c:v>8.3638161146811552E-2</c:v>
                </c:pt>
                <c:pt idx="153">
                  <c:v>-1.1604780585712793E-2</c:v>
                </c:pt>
                <c:pt idx="154">
                  <c:v>8.1781092506783004E-3</c:v>
                </c:pt>
                <c:pt idx="155">
                  <c:v>-5.6178129348861017E-2</c:v>
                </c:pt>
                <c:pt idx="156">
                  <c:v>-1.3774639143256384E-2</c:v>
                </c:pt>
                <c:pt idx="157">
                  <c:v>3.5114293583035083E-2</c:v>
                </c:pt>
                <c:pt idx="158">
                  <c:v>-4.0783747315608521E-2</c:v>
                </c:pt>
                <c:pt idx="159">
                  <c:v>0</c:v>
                </c:pt>
              </c:numCache>
            </c:numRef>
          </c:val>
          <c:extLst>
            <c:ext xmlns:c16="http://schemas.microsoft.com/office/drawing/2014/chart" uri="{C3380CC4-5D6E-409C-BE32-E72D297353CC}">
              <c16:uniqueId val="{00000000-22DF-954B-A461-0E00BA18C07E}"/>
            </c:ext>
          </c:extLst>
        </c:ser>
        <c:dLbls>
          <c:showLegendKey val="0"/>
          <c:showVal val="0"/>
          <c:showCatName val="0"/>
          <c:showSerName val="0"/>
          <c:showPercent val="0"/>
          <c:showBubbleSize val="0"/>
        </c:dLbls>
        <c:gapWidth val="150"/>
        <c:axId val="35730029"/>
        <c:axId val="47091838"/>
      </c:barChart>
      <c:lineChart>
        <c:grouping val="standard"/>
        <c:varyColors val="0"/>
        <c:ser>
          <c:idx val="1"/>
          <c:order val="1"/>
          <c:tx>
            <c:strRef>
              <c:f>'Returns (Calc)'!$AI$2</c:f>
              <c:strCache>
                <c:ptCount val="1"/>
                <c:pt idx="0">
                  <c:v>VRTX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(Calc)'!$AI$3:$AI$500</c:f>
              <c:numCache>
                <c:formatCode>#,##0.00</c:formatCode>
                <c:ptCount val="498"/>
                <c:pt idx="0">
                  <c:v>348.9</c:v>
                </c:pt>
                <c:pt idx="1">
                  <c:v>349.88626582278476</c:v>
                </c:pt>
                <c:pt idx="2">
                  <c:v>350.87253164556961</c:v>
                </c:pt>
                <c:pt idx="3">
                  <c:v>351.8587974683544</c:v>
                </c:pt>
                <c:pt idx="4">
                  <c:v>352.84506329113924</c:v>
                </c:pt>
                <c:pt idx="5">
                  <c:v>353.83132911392403</c:v>
                </c:pt>
                <c:pt idx="6">
                  <c:v>354.81759493670882</c:v>
                </c:pt>
                <c:pt idx="7">
                  <c:v>355.80386075949366</c:v>
                </c:pt>
                <c:pt idx="8">
                  <c:v>356.79012658227845</c:v>
                </c:pt>
                <c:pt idx="9">
                  <c:v>357.77639240506329</c:v>
                </c:pt>
                <c:pt idx="10">
                  <c:v>358.76265822784808</c:v>
                </c:pt>
                <c:pt idx="11">
                  <c:v>359.74892405063287</c:v>
                </c:pt>
                <c:pt idx="12">
                  <c:v>360.73518987341771</c:v>
                </c:pt>
                <c:pt idx="13">
                  <c:v>361.7214556962025</c:v>
                </c:pt>
                <c:pt idx="14">
                  <c:v>362.70772151898734</c:v>
                </c:pt>
                <c:pt idx="15">
                  <c:v>363.69398734177213</c:v>
                </c:pt>
                <c:pt idx="16">
                  <c:v>364.68025316455692</c:v>
                </c:pt>
                <c:pt idx="17">
                  <c:v>365.66651898734176</c:v>
                </c:pt>
                <c:pt idx="18">
                  <c:v>366.65278481012655</c:v>
                </c:pt>
                <c:pt idx="19">
                  <c:v>367.63905063291139</c:v>
                </c:pt>
                <c:pt idx="20">
                  <c:v>368.62531645569618</c:v>
                </c:pt>
                <c:pt idx="21">
                  <c:v>369.61158227848102</c:v>
                </c:pt>
                <c:pt idx="22">
                  <c:v>370.59784810126581</c:v>
                </c:pt>
                <c:pt idx="23">
                  <c:v>371.5841139240506</c:v>
                </c:pt>
                <c:pt idx="24">
                  <c:v>372.57037974683544</c:v>
                </c:pt>
                <c:pt idx="25">
                  <c:v>373.55664556962023</c:v>
                </c:pt>
                <c:pt idx="26">
                  <c:v>374.54291139240502</c:v>
                </c:pt>
                <c:pt idx="27">
                  <c:v>375.52917721518986</c:v>
                </c:pt>
                <c:pt idx="28">
                  <c:v>376.51544303797465</c:v>
                </c:pt>
                <c:pt idx="29">
                  <c:v>377.50170886075949</c:v>
                </c:pt>
                <c:pt idx="30">
                  <c:v>378.48797468354428</c:v>
                </c:pt>
                <c:pt idx="31">
                  <c:v>379.47424050632912</c:v>
                </c:pt>
                <c:pt idx="32">
                  <c:v>380.46050632911391</c:v>
                </c:pt>
                <c:pt idx="33">
                  <c:v>381.4467721518987</c:v>
                </c:pt>
                <c:pt idx="34">
                  <c:v>382.43303797468354</c:v>
                </c:pt>
                <c:pt idx="35">
                  <c:v>383.41930379746833</c:v>
                </c:pt>
                <c:pt idx="36">
                  <c:v>384.40556962025312</c:v>
                </c:pt>
                <c:pt idx="37">
                  <c:v>385.39183544303796</c:v>
                </c:pt>
                <c:pt idx="38">
                  <c:v>386.37810126582275</c:v>
                </c:pt>
                <c:pt idx="39">
                  <c:v>387.36436708860759</c:v>
                </c:pt>
                <c:pt idx="40">
                  <c:v>388.35063291139238</c:v>
                </c:pt>
                <c:pt idx="41">
                  <c:v>389.33689873417723</c:v>
                </c:pt>
                <c:pt idx="42">
                  <c:v>390.32316455696201</c:v>
                </c:pt>
                <c:pt idx="43">
                  <c:v>391.3094303797468</c:v>
                </c:pt>
                <c:pt idx="44">
                  <c:v>392.29569620253164</c:v>
                </c:pt>
                <c:pt idx="45">
                  <c:v>393.28196202531643</c:v>
                </c:pt>
                <c:pt idx="46">
                  <c:v>394.26822784810128</c:v>
                </c:pt>
                <c:pt idx="47">
                  <c:v>395.25449367088606</c:v>
                </c:pt>
                <c:pt idx="48">
                  <c:v>396.24075949367091</c:v>
                </c:pt>
                <c:pt idx="49">
                  <c:v>397.22702531645569</c:v>
                </c:pt>
                <c:pt idx="50">
                  <c:v>398.21329113924048</c:v>
                </c:pt>
                <c:pt idx="51">
                  <c:v>399.19955696202533</c:v>
                </c:pt>
                <c:pt idx="52">
                  <c:v>400.18582278481011</c:v>
                </c:pt>
                <c:pt idx="53">
                  <c:v>401.1720886075949</c:v>
                </c:pt>
                <c:pt idx="54">
                  <c:v>402.15835443037975</c:v>
                </c:pt>
                <c:pt idx="55">
                  <c:v>403.14462025316453</c:v>
                </c:pt>
                <c:pt idx="56">
                  <c:v>404.13088607594938</c:v>
                </c:pt>
                <c:pt idx="57">
                  <c:v>405.11715189873416</c:v>
                </c:pt>
                <c:pt idx="58">
                  <c:v>406.10341772151901</c:v>
                </c:pt>
                <c:pt idx="59">
                  <c:v>407.0896835443038</c:v>
                </c:pt>
                <c:pt idx="60">
                  <c:v>408.07594936708858</c:v>
                </c:pt>
                <c:pt idx="61">
                  <c:v>409.06221518987343</c:v>
                </c:pt>
                <c:pt idx="62">
                  <c:v>410.04848101265821</c:v>
                </c:pt>
                <c:pt idx="63">
                  <c:v>411.034746835443</c:v>
                </c:pt>
                <c:pt idx="64">
                  <c:v>412.02101265822785</c:v>
                </c:pt>
                <c:pt idx="65">
                  <c:v>413.00727848101263</c:v>
                </c:pt>
                <c:pt idx="66">
                  <c:v>413.99354430379748</c:v>
                </c:pt>
                <c:pt idx="67">
                  <c:v>414.97981012658227</c:v>
                </c:pt>
                <c:pt idx="68">
                  <c:v>415.96607594936711</c:v>
                </c:pt>
                <c:pt idx="69">
                  <c:v>416.9523417721519</c:v>
                </c:pt>
                <c:pt idx="70">
                  <c:v>417.93860759493668</c:v>
                </c:pt>
                <c:pt idx="71">
                  <c:v>418.92487341772153</c:v>
                </c:pt>
                <c:pt idx="72">
                  <c:v>419.91113924050632</c:v>
                </c:pt>
                <c:pt idx="73">
                  <c:v>420.89740506329116</c:v>
                </c:pt>
                <c:pt idx="74">
                  <c:v>421.88367088607595</c:v>
                </c:pt>
                <c:pt idx="75">
                  <c:v>422.86993670886079</c:v>
                </c:pt>
                <c:pt idx="76">
                  <c:v>423.85620253164558</c:v>
                </c:pt>
                <c:pt idx="77">
                  <c:v>424.84246835443037</c:v>
                </c:pt>
                <c:pt idx="78">
                  <c:v>425.82873417721521</c:v>
                </c:pt>
                <c:pt idx="79">
                  <c:v>426.815</c:v>
                </c:pt>
                <c:pt idx="80">
                  <c:v>427.80126582278479</c:v>
                </c:pt>
                <c:pt idx="81">
                  <c:v>428.78753164556963</c:v>
                </c:pt>
                <c:pt idx="82">
                  <c:v>429.77379746835442</c:v>
                </c:pt>
                <c:pt idx="83">
                  <c:v>430.7600632911392</c:v>
                </c:pt>
                <c:pt idx="84">
                  <c:v>431.74632911392405</c:v>
                </c:pt>
                <c:pt idx="85">
                  <c:v>432.73259493670884</c:v>
                </c:pt>
                <c:pt idx="86">
                  <c:v>433.71886075949368</c:v>
                </c:pt>
                <c:pt idx="87">
                  <c:v>434.70512658227847</c:v>
                </c:pt>
                <c:pt idx="88">
                  <c:v>435.69139240506331</c:v>
                </c:pt>
                <c:pt idx="89">
                  <c:v>436.6776582278481</c:v>
                </c:pt>
                <c:pt idx="90">
                  <c:v>437.66392405063289</c:v>
                </c:pt>
                <c:pt idx="91">
                  <c:v>438.65018987341773</c:v>
                </c:pt>
                <c:pt idx="92">
                  <c:v>439.63645569620252</c:v>
                </c:pt>
                <c:pt idx="93">
                  <c:v>440.62272151898736</c:v>
                </c:pt>
                <c:pt idx="94">
                  <c:v>441.60898734177215</c:v>
                </c:pt>
                <c:pt idx="95">
                  <c:v>442.59525316455699</c:v>
                </c:pt>
                <c:pt idx="96">
                  <c:v>443.58151898734178</c:v>
                </c:pt>
                <c:pt idx="97">
                  <c:v>444.56778481012657</c:v>
                </c:pt>
                <c:pt idx="98">
                  <c:v>445.55405063291141</c:v>
                </c:pt>
                <c:pt idx="99">
                  <c:v>446.5403164556962</c:v>
                </c:pt>
                <c:pt idx="100">
                  <c:v>447.52658227848099</c:v>
                </c:pt>
                <c:pt idx="101">
                  <c:v>448.51284810126583</c:v>
                </c:pt>
                <c:pt idx="102">
                  <c:v>449.49911392405062</c:v>
                </c:pt>
                <c:pt idx="103">
                  <c:v>450.48537974683546</c:v>
                </c:pt>
                <c:pt idx="104">
                  <c:v>451.47164556962025</c:v>
                </c:pt>
                <c:pt idx="105">
                  <c:v>452.45791139240509</c:v>
                </c:pt>
                <c:pt idx="106">
                  <c:v>453.44417721518988</c:v>
                </c:pt>
                <c:pt idx="107">
                  <c:v>454.43044303797467</c:v>
                </c:pt>
                <c:pt idx="108">
                  <c:v>455.41670886075951</c:v>
                </c:pt>
                <c:pt idx="109">
                  <c:v>456.4029746835443</c:v>
                </c:pt>
                <c:pt idx="110">
                  <c:v>457.38924050632909</c:v>
                </c:pt>
                <c:pt idx="111">
                  <c:v>458.37550632911393</c:v>
                </c:pt>
                <c:pt idx="112">
                  <c:v>459.36177215189878</c:v>
                </c:pt>
                <c:pt idx="113">
                  <c:v>460.34803797468356</c:v>
                </c:pt>
                <c:pt idx="114">
                  <c:v>461.33430379746835</c:v>
                </c:pt>
                <c:pt idx="115">
                  <c:v>462.3205696202532</c:v>
                </c:pt>
                <c:pt idx="116">
                  <c:v>463.30683544303798</c:v>
                </c:pt>
                <c:pt idx="117">
                  <c:v>464.29310126582277</c:v>
                </c:pt>
                <c:pt idx="118">
                  <c:v>465.27936708860761</c:v>
                </c:pt>
                <c:pt idx="119">
                  <c:v>466.2656329113924</c:v>
                </c:pt>
                <c:pt idx="120">
                  <c:v>467.25189873417725</c:v>
                </c:pt>
                <c:pt idx="121">
                  <c:v>468.23816455696203</c:v>
                </c:pt>
                <c:pt idx="122">
                  <c:v>469.22443037974688</c:v>
                </c:pt>
                <c:pt idx="123">
                  <c:v>470.21069620253166</c:v>
                </c:pt>
                <c:pt idx="124">
                  <c:v>471.19696202531645</c:v>
                </c:pt>
                <c:pt idx="125">
                  <c:v>472.1832278481013</c:v>
                </c:pt>
                <c:pt idx="126">
                  <c:v>473.16949367088608</c:v>
                </c:pt>
                <c:pt idx="127">
                  <c:v>474.15575949367087</c:v>
                </c:pt>
                <c:pt idx="128">
                  <c:v>475.14202531645572</c:v>
                </c:pt>
                <c:pt idx="129">
                  <c:v>476.12829113924056</c:v>
                </c:pt>
                <c:pt idx="130">
                  <c:v>477.11455696202529</c:v>
                </c:pt>
                <c:pt idx="131">
                  <c:v>478.10082278481013</c:v>
                </c:pt>
                <c:pt idx="132">
                  <c:v>479.08708860759498</c:v>
                </c:pt>
                <c:pt idx="133">
                  <c:v>480.07335443037977</c:v>
                </c:pt>
                <c:pt idx="134">
                  <c:v>481.05962025316455</c:v>
                </c:pt>
                <c:pt idx="135">
                  <c:v>482.0458860759494</c:v>
                </c:pt>
                <c:pt idx="136">
                  <c:v>483.03215189873418</c:v>
                </c:pt>
                <c:pt idx="137">
                  <c:v>484.01841772151897</c:v>
                </c:pt>
                <c:pt idx="138">
                  <c:v>485.00468354430382</c:v>
                </c:pt>
                <c:pt idx="139">
                  <c:v>485.99094936708866</c:v>
                </c:pt>
                <c:pt idx="140">
                  <c:v>486.97721518987339</c:v>
                </c:pt>
                <c:pt idx="141">
                  <c:v>487.96348101265824</c:v>
                </c:pt>
                <c:pt idx="142">
                  <c:v>488.94974683544308</c:v>
                </c:pt>
                <c:pt idx="143">
                  <c:v>489.93601265822787</c:v>
                </c:pt>
                <c:pt idx="144">
                  <c:v>490.92227848101265</c:v>
                </c:pt>
                <c:pt idx="145">
                  <c:v>491.9085443037975</c:v>
                </c:pt>
                <c:pt idx="146">
                  <c:v>492.89481012658234</c:v>
                </c:pt>
                <c:pt idx="147">
                  <c:v>493.88107594936707</c:v>
                </c:pt>
                <c:pt idx="148">
                  <c:v>494.86734177215192</c:v>
                </c:pt>
                <c:pt idx="149">
                  <c:v>495.85360759493676</c:v>
                </c:pt>
                <c:pt idx="150">
                  <c:v>496.83987341772155</c:v>
                </c:pt>
                <c:pt idx="151">
                  <c:v>497.82613924050634</c:v>
                </c:pt>
                <c:pt idx="152">
                  <c:v>498.81240506329118</c:v>
                </c:pt>
                <c:pt idx="153">
                  <c:v>499.79867088607597</c:v>
                </c:pt>
                <c:pt idx="154">
                  <c:v>500.78493670886076</c:v>
                </c:pt>
                <c:pt idx="155">
                  <c:v>501.7712025316456</c:v>
                </c:pt>
                <c:pt idx="156">
                  <c:v>502.75746835443039</c:v>
                </c:pt>
                <c:pt idx="157">
                  <c:v>503.74373417721517</c:v>
                </c:pt>
                <c:pt idx="158">
                  <c:v>504.73</c:v>
                </c:pt>
                <c:pt idx="159">
                  <c:v>505.71626582278481</c:v>
                </c:pt>
              </c:numCache>
            </c:numRef>
          </c:val>
          <c:smooth val="0"/>
          <c:extLst>
            <c:ext xmlns:c16="http://schemas.microsoft.com/office/drawing/2014/chart" uri="{C3380CC4-5D6E-409C-BE32-E72D297353CC}">
              <c16:uniqueId val="{00000001-22DF-954B-A461-0E00BA18C07E}"/>
            </c:ext>
          </c:extLst>
        </c:ser>
        <c:dLbls>
          <c:showLegendKey val="0"/>
          <c:showVal val="0"/>
          <c:showCatName val="0"/>
          <c:showSerName val="0"/>
          <c:showPercent val="0"/>
          <c:showBubbleSize val="0"/>
        </c:dLbls>
        <c:hiLowLines>
          <c:spPr>
            <a:ln w="0">
              <a:noFill/>
            </a:ln>
          </c:spPr>
        </c:hiLowLines>
        <c:marker val="1"/>
        <c:smooth val="0"/>
        <c:axId val="29728418"/>
        <c:axId val="75590847"/>
      </c:lineChart>
      <c:dateAx>
        <c:axId val="35730029"/>
        <c:scaling>
          <c:orientation val="minMax"/>
        </c:scaling>
        <c:delete val="1"/>
        <c:axPos val="b"/>
        <c:numFmt formatCode="mm/dd/yyyy" sourceLinked="1"/>
        <c:majorTickMark val="none"/>
        <c:minorTickMark val="none"/>
        <c:tickLblPos val="nextTo"/>
        <c:crossAx val="47091838"/>
        <c:crosses val="autoZero"/>
        <c:auto val="1"/>
        <c:lblOffset val="100"/>
        <c:baseTimeUnit val="days"/>
      </c:dateAx>
      <c:valAx>
        <c:axId val="470918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5730029"/>
        <c:crosses val="autoZero"/>
        <c:crossBetween val="between"/>
      </c:valAx>
      <c:dateAx>
        <c:axId val="29728418"/>
        <c:scaling>
          <c:orientation val="minMax"/>
        </c:scaling>
        <c:delete val="1"/>
        <c:axPos val="b"/>
        <c:numFmt formatCode="mm/dd/yyyy" sourceLinked="1"/>
        <c:majorTickMark val="none"/>
        <c:minorTickMark val="none"/>
        <c:tickLblPos val="nextTo"/>
        <c:crossAx val="75590847"/>
        <c:crosses val="autoZero"/>
        <c:auto val="1"/>
        <c:lblOffset val="100"/>
        <c:baseTimeUnit val="days"/>
      </c:dateAx>
      <c:valAx>
        <c:axId val="755908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9728418"/>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layout/>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(Calc)'!$O$3:$O$500</c:f>
              <c:numCache>
                <c:formatCode>0.0%</c:formatCode>
                <c:ptCount val="498"/>
                <c:pt idx="0">
                  <c:v>-2.9212587969725146E-2</c:v>
                </c:pt>
                <c:pt idx="1">
                  <c:v>1.6413623307345082E-2</c:v>
                </c:pt>
                <c:pt idx="2">
                  <c:v>-3.0143991387431179E-2</c:v>
                </c:pt>
                <c:pt idx="3">
                  <c:v>2.6363257943666785E-3</c:v>
                </c:pt>
                <c:pt idx="4">
                  <c:v>-1.6745087185164764E-2</c:v>
                </c:pt>
                <c:pt idx="5">
                  <c:v>-1.5482054890921804E-2</c:v>
                </c:pt>
                <c:pt idx="6">
                  <c:v>7.1622587562544471E-2</c:v>
                </c:pt>
                <c:pt idx="7">
                  <c:v>-3.415154749199556E-2</c:v>
                </c:pt>
                <c:pt idx="8">
                  <c:v>5.5524861878452958E-2</c:v>
                </c:pt>
                <c:pt idx="9">
                  <c:v>1.3085579691196614E-4</c:v>
                </c:pt>
                <c:pt idx="10">
                  <c:v>3.3494701033625285E-2</c:v>
                </c:pt>
                <c:pt idx="11">
                  <c:v>8.3554880364604678E-3</c:v>
                </c:pt>
                <c:pt idx="12">
                  <c:v>5.4865034526051293E-2</c:v>
                </c:pt>
                <c:pt idx="13">
                  <c:v>2.7731492501785304E-2</c:v>
                </c:pt>
                <c:pt idx="14">
                  <c:v>-3.7058482918355118E-3</c:v>
                </c:pt>
                <c:pt idx="15">
                  <c:v>-2.592119028245965E-2</c:v>
                </c:pt>
                <c:pt idx="16">
                  <c:v>-1.1336515513126533E-2</c:v>
                </c:pt>
                <c:pt idx="17">
                  <c:v>3.0175015087507973E-3</c:v>
                </c:pt>
                <c:pt idx="18">
                  <c:v>2.3586040914560957E-2</c:v>
                </c:pt>
                <c:pt idx="19">
                  <c:v>-1.869268751469555E-2</c:v>
                </c:pt>
                <c:pt idx="20">
                  <c:v>8.9852641667664823E-3</c:v>
                </c:pt>
                <c:pt idx="21">
                  <c:v>7.1241985276655484E-3</c:v>
                </c:pt>
                <c:pt idx="22">
                  <c:v>-3.3011082291910521E-3</c:v>
                </c:pt>
                <c:pt idx="23">
                  <c:v>1.5732197776200607E-2</c:v>
                </c:pt>
                <c:pt idx="24">
                  <c:v>1.1645510655642344E-3</c:v>
                </c:pt>
                <c:pt idx="25">
                  <c:v>-8.4913341863440683E-3</c:v>
                </c:pt>
                <c:pt idx="26">
                  <c:v>2.7334584702017883E-2</c:v>
                </c:pt>
                <c:pt idx="27">
                  <c:v>2.8662784058467672E-2</c:v>
                </c:pt>
                <c:pt idx="28">
                  <c:v>-2.1536412078152711E-2</c:v>
                </c:pt>
                <c:pt idx="29">
                  <c:v>-3.0859995461765322E-2</c:v>
                </c:pt>
                <c:pt idx="30">
                  <c:v>-9.0142823694684404E-3</c:v>
                </c:pt>
                <c:pt idx="31">
                  <c:v>2.4808033077377445E-2</c:v>
                </c:pt>
                <c:pt idx="32">
                  <c:v>6.8011527377522807E-3</c:v>
                </c:pt>
                <c:pt idx="33">
                  <c:v>1.7288756583466736E-2</c:v>
                </c:pt>
                <c:pt idx="34">
                  <c:v>1.1029825548677596E-2</c:v>
                </c:pt>
                <c:pt idx="35">
                  <c:v>-1.4805744183457592E-2</c:v>
                </c:pt>
                <c:pt idx="36">
                  <c:v>1.0734463276836248E-2</c:v>
                </c:pt>
                <c:pt idx="37">
                  <c:v>-3.409726103968691E-2</c:v>
                </c:pt>
                <c:pt idx="38">
                  <c:v>-2.3842592592592582E-2</c:v>
                </c:pt>
                <c:pt idx="39">
                  <c:v>1.0789660896371789E-2</c:v>
                </c:pt>
                <c:pt idx="40">
                  <c:v>1.6656891495601123E-2</c:v>
                </c:pt>
                <c:pt idx="41">
                  <c:v>-1.6499365409022859E-2</c:v>
                </c:pt>
                <c:pt idx="42">
                  <c:v>5.5725011731581509E-2</c:v>
                </c:pt>
                <c:pt idx="43">
                  <c:v>2.6447383042560446E-2</c:v>
                </c:pt>
                <c:pt idx="44">
                  <c:v>3.6267186315903421E-2</c:v>
                </c:pt>
                <c:pt idx="45">
                  <c:v>-7.1458420392812361E-2</c:v>
                </c:pt>
                <c:pt idx="46">
                  <c:v>-1.7664266426642539E-2</c:v>
                </c:pt>
                <c:pt idx="47">
                  <c:v>2.8633604398121681E-2</c:v>
                </c:pt>
                <c:pt idx="48">
                  <c:v>3.1065582897227495E-2</c:v>
                </c:pt>
                <c:pt idx="49">
                  <c:v>5.399568034558655E-4</c:v>
                </c:pt>
                <c:pt idx="50">
                  <c:v>-5.6664867781975214E-2</c:v>
                </c:pt>
                <c:pt idx="51">
                  <c:v>2.8832951945080065E-2</c:v>
                </c:pt>
                <c:pt idx="52">
                  <c:v>3.0249110320284656E-2</c:v>
                </c:pt>
                <c:pt idx="53">
                  <c:v>4.3177892918833116E-4</c:v>
                </c:pt>
                <c:pt idx="54">
                  <c:v>2.8053517479498247E-3</c:v>
                </c:pt>
                <c:pt idx="55">
                  <c:v>1.1943189154293155E-2</c:v>
                </c:pt>
                <c:pt idx="56">
                  <c:v>1.254651780967575E-2</c:v>
                </c:pt>
                <c:pt idx="57">
                  <c:v>-3.328782946550457E-2</c:v>
                </c:pt>
                <c:pt idx="58">
                  <c:v>-2.3897458179448217E-3</c:v>
                </c:pt>
                <c:pt idx="59">
                  <c:v>8.8632404181184565E-2</c:v>
                </c:pt>
                <c:pt idx="60">
                  <c:v>-1.940388077615518E-2</c:v>
                </c:pt>
                <c:pt idx="61">
                  <c:v>3.6515707874337E-2</c:v>
                </c:pt>
                <c:pt idx="62">
                  <c:v>6.7900019681164103E-3</c:v>
                </c:pt>
                <c:pt idx="63">
                  <c:v>-2.0819079268888596E-2</c:v>
                </c:pt>
                <c:pt idx="64">
                  <c:v>-1.2377720103813217E-2</c:v>
                </c:pt>
                <c:pt idx="65">
                  <c:v>-5.387103294926221E-2</c:v>
                </c:pt>
                <c:pt idx="66">
                  <c:v>3.9525691699604515E-3</c:v>
                </c:pt>
                <c:pt idx="67">
                  <c:v>7.8740157480314821E-3</c:v>
                </c:pt>
                <c:pt idx="68">
                  <c:v>-2.6288006756756688E-2</c:v>
                </c:pt>
                <c:pt idx="69">
                  <c:v>4.889949040442354E-2</c:v>
                </c:pt>
                <c:pt idx="70">
                  <c:v>5.0651230101304012E-3</c:v>
                </c:pt>
                <c:pt idx="71">
                  <c:v>-1.5118790496760237E-2</c:v>
                </c:pt>
                <c:pt idx="72">
                  <c:v>-1.1591478696741819E-2</c:v>
                </c:pt>
                <c:pt idx="73">
                  <c:v>3.0639197041730792E-3</c:v>
                </c:pt>
                <c:pt idx="74">
                  <c:v>-3.6549399620813161E-2</c:v>
                </c:pt>
                <c:pt idx="75">
                  <c:v>-1.1260522575707865E-2</c:v>
                </c:pt>
                <c:pt idx="76">
                  <c:v>-4.4891640866873139E-2</c:v>
                </c:pt>
                <c:pt idx="77">
                  <c:v>-1.8754341282704257E-2</c:v>
                </c:pt>
                <c:pt idx="78">
                  <c:v>9.6743747050493933E-3</c:v>
                </c:pt>
                <c:pt idx="79">
                  <c:v>-4.6739892498246505E-3</c:v>
                </c:pt>
                <c:pt idx="80">
                  <c:v>-0.10471941770368631</c:v>
                </c:pt>
                <c:pt idx="81">
                  <c:v>1.2588512981903888E-2</c:v>
                </c:pt>
                <c:pt idx="82">
                  <c:v>1.8648018648018683E-2</c:v>
                </c:pt>
                <c:pt idx="83">
                  <c:v>2.8095601322146058E-2</c:v>
                </c:pt>
                <c:pt idx="84">
                  <c:v>3.3881538271299583E-2</c:v>
                </c:pt>
                <c:pt idx="85">
                  <c:v>1.1601483076187025E-2</c:v>
                </c:pt>
                <c:pt idx="86">
                  <c:v>4.8947741782927379E-2</c:v>
                </c:pt>
                <c:pt idx="87">
                  <c:v>-4.0013525698827768E-2</c:v>
                </c:pt>
                <c:pt idx="88">
                  <c:v>1.1741223435481896E-2</c:v>
                </c:pt>
                <c:pt idx="89">
                  <c:v>1.8451897412092411E-2</c:v>
                </c:pt>
                <c:pt idx="90">
                  <c:v>-6.0391978122151802E-3</c:v>
                </c:pt>
                <c:pt idx="91">
                  <c:v>1.7195918835262169E-3</c:v>
                </c:pt>
                <c:pt idx="92">
                  <c:v>2.5520714122224897E-2</c:v>
                </c:pt>
                <c:pt idx="93">
                  <c:v>4.1624818658631879E-2</c:v>
                </c:pt>
                <c:pt idx="94">
                  <c:v>-1.2856224555389817E-3</c:v>
                </c:pt>
                <c:pt idx="95">
                  <c:v>-1.1800042909246855E-2</c:v>
                </c:pt>
                <c:pt idx="96">
                  <c:v>1.4763352149370412E-2</c:v>
                </c:pt>
                <c:pt idx="97">
                  <c:v>-5.0278134360291049E-2</c:v>
                </c:pt>
                <c:pt idx="98">
                  <c:v>2.3316062176165664E-2</c:v>
                </c:pt>
                <c:pt idx="99">
                  <c:v>2.9829389102916881E-2</c:v>
                </c:pt>
                <c:pt idx="100">
                  <c:v>3.9760581445061893E-2</c:v>
                </c:pt>
                <c:pt idx="101">
                  <c:v>8.4292763157893802E-3</c:v>
                </c:pt>
                <c:pt idx="102">
                  <c:v>1.0907237512742141E-2</c:v>
                </c:pt>
                <c:pt idx="103">
                  <c:v>-7.9661187859232374E-3</c:v>
                </c:pt>
                <c:pt idx="104">
                  <c:v>5.6922138646067211E-3</c:v>
                </c:pt>
                <c:pt idx="105">
                  <c:v>3.0321406913280669E-3</c:v>
                </c:pt>
                <c:pt idx="106">
                  <c:v>1.108424022571608E-3</c:v>
                </c:pt>
                <c:pt idx="107">
                  <c:v>-5.4353296426774E-2</c:v>
                </c:pt>
                <c:pt idx="108">
                  <c:v>1.9584885577434763E-2</c:v>
                </c:pt>
                <c:pt idx="109">
                  <c:v>2.9439398684622642E-2</c:v>
                </c:pt>
                <c:pt idx="110">
                  <c:v>-2.1194605009633993E-2</c:v>
                </c:pt>
                <c:pt idx="111">
                  <c:v>-6.2163282221305849E-4</c:v>
                </c:pt>
                <c:pt idx="112">
                  <c:v>-1.4513788098693414E-3</c:v>
                </c:pt>
                <c:pt idx="113">
                  <c:v>-7.7865448504983448E-3</c:v>
                </c:pt>
                <c:pt idx="114">
                  <c:v>4.436538662760281E-2</c:v>
                </c:pt>
                <c:pt idx="115">
                  <c:v>1.7533313295261088E-2</c:v>
                </c:pt>
                <c:pt idx="116">
                  <c:v>2.146514375738473E-2</c:v>
                </c:pt>
                <c:pt idx="117">
                  <c:v>-9.0611143242721459E-3</c:v>
                </c:pt>
                <c:pt idx="118">
                  <c:v>-8.7548638132295409E-4</c:v>
                </c:pt>
                <c:pt idx="119">
                  <c:v>-5.5496056859116738E-3</c:v>
                </c:pt>
                <c:pt idx="120">
                  <c:v>4.082631682005089E-2</c:v>
                </c:pt>
                <c:pt idx="121">
                  <c:v>1.1005549807167725E-2</c:v>
                </c:pt>
                <c:pt idx="122">
                  <c:v>-1.8608113137341675E-4</c:v>
                </c:pt>
                <c:pt idx="123">
                  <c:v>7.2585147962032082E-3</c:v>
                </c:pt>
                <c:pt idx="124">
                  <c:v>5.413895048041395E-2</c:v>
                </c:pt>
                <c:pt idx="125">
                  <c:v>-2.5416301489920023E-3</c:v>
                </c:pt>
                <c:pt idx="126">
                  <c:v>5.6234074334418072E-3</c:v>
                </c:pt>
                <c:pt idx="127">
                  <c:v>-2.2193097422455232E-2</c:v>
                </c:pt>
                <c:pt idx="128">
                  <c:v>-3.8334375837726697E-2</c:v>
                </c:pt>
                <c:pt idx="129">
                  <c:v>-1.9141423527225476E-2</c:v>
                </c:pt>
                <c:pt idx="130">
                  <c:v>-1.9893899204245225E-3</c:v>
                </c:pt>
                <c:pt idx="131">
                  <c:v>2.9615567157095457E-2</c:v>
                </c:pt>
                <c:pt idx="132">
                  <c:v>2.0097722872683743E-2</c:v>
                </c:pt>
                <c:pt idx="133">
                  <c:v>2.9733393583371015E-2</c:v>
                </c:pt>
                <c:pt idx="134">
                  <c:v>2.4311040898718606E-2</c:v>
                </c:pt>
                <c:pt idx="135">
                  <c:v>1.2252591894439169E-2</c:v>
                </c:pt>
                <c:pt idx="136">
                  <c:v>8.379888268156277E-3</c:v>
                </c:pt>
                <c:pt idx="137">
                  <c:v>-1.0073029463610883E-3</c:v>
                </c:pt>
                <c:pt idx="138">
                  <c:v>-2.1594823964372845E-2</c:v>
                </c:pt>
                <c:pt idx="139">
                  <c:v>2.370319477842675E-2</c:v>
                </c:pt>
                <c:pt idx="140">
                  <c:v>1.677852348993536E-4</c:v>
                </c:pt>
                <c:pt idx="141">
                  <c:v>-2.9357490353967286E-3</c:v>
                </c:pt>
                <c:pt idx="142">
                  <c:v>4.2904012787078338E-2</c:v>
                </c:pt>
                <c:pt idx="143">
                  <c:v>-1.9117528434298703E-2</c:v>
                </c:pt>
                <c:pt idx="144">
                  <c:v>2.409539473684208E-2</c:v>
                </c:pt>
                <c:pt idx="145">
                  <c:v>-1.1402874809282926E-2</c:v>
                </c:pt>
                <c:pt idx="146">
                  <c:v>3.5740394768906114E-3</c:v>
                </c:pt>
                <c:pt idx="147">
                  <c:v>1.1250505868069638E-2</c:v>
                </c:pt>
                <c:pt idx="148">
                  <c:v>-5.6026892908589421E-4</c:v>
                </c:pt>
                <c:pt idx="149">
                  <c:v>0</c:v>
                </c:pt>
                <c:pt idx="150">
                  <c:v>1.2813325858893165E-2</c:v>
                </c:pt>
                <c:pt idx="151">
                  <c:v>1.4548904878627367E-2</c:v>
                </c:pt>
                <c:pt idx="152">
                  <c:v>-1.7691528329826123E-2</c:v>
                </c:pt>
                <c:pt idx="153">
                  <c:v>-6.9819105046018404E-3</c:v>
                </c:pt>
                <c:pt idx="154">
                  <c:v>1.0866091403004097E-2</c:v>
                </c:pt>
                <c:pt idx="155">
                  <c:v>-1.5965855200758772E-2</c:v>
                </c:pt>
                <c:pt idx="156">
                  <c:v>-2.0401606425702878E-2</c:v>
                </c:pt>
                <c:pt idx="157">
                  <c:v>-1.2709084945883853E-2</c:v>
                </c:pt>
                <c:pt idx="158">
                  <c:v>-3.1558840627854412E-3</c:v>
                </c:pt>
                <c:pt idx="159">
                  <c:v>0</c:v>
                </c:pt>
              </c:numCache>
            </c:numRef>
          </c:val>
          <c:extLst>
            <c:ext xmlns:c16="http://schemas.microsoft.com/office/drawing/2014/chart" uri="{C3380CC4-5D6E-409C-BE32-E72D297353CC}">
              <c16:uniqueId val="{00000000-A86C-244C-9B7E-14805DFD6BB2}"/>
            </c:ext>
          </c:extLst>
        </c:ser>
        <c:dLbls>
          <c:showLegendKey val="0"/>
          <c:showVal val="0"/>
          <c:showCatName val="0"/>
          <c:showSerName val="0"/>
          <c:showPercent val="0"/>
          <c:showBubbleSize val="0"/>
        </c:dLbls>
        <c:gapWidth val="150"/>
        <c:axId val="44802542"/>
        <c:axId val="78461884"/>
      </c:barChart>
      <c:lineChart>
        <c:grouping val="standard"/>
        <c:varyColors val="0"/>
        <c:ser>
          <c:idx val="1"/>
          <c:order val="1"/>
          <c:tx>
            <c:strRef>
              <c:f>'Returns (Calc)'!$AJ$2</c:f>
              <c:strCache>
                <c:ptCount val="1"/>
                <c:pt idx="0">
                  <c:v>AVUV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(Calc)'!$AJ$3:$AJ$500</c:f>
              <c:numCache>
                <c:formatCode>#,##0.00</c:formatCode>
                <c:ptCount val="498"/>
                <c:pt idx="0">
                  <c:v>75.31</c:v>
                </c:pt>
                <c:pt idx="1">
                  <c:v>75.59303797468354</c:v>
                </c:pt>
                <c:pt idx="2">
                  <c:v>75.876075949367092</c:v>
                </c:pt>
                <c:pt idx="3">
                  <c:v>76.159113924050629</c:v>
                </c:pt>
                <c:pt idx="4">
                  <c:v>76.442151898734181</c:v>
                </c:pt>
                <c:pt idx="5">
                  <c:v>76.725189873417719</c:v>
                </c:pt>
                <c:pt idx="6">
                  <c:v>77.008227848101271</c:v>
                </c:pt>
                <c:pt idx="7">
                  <c:v>77.291265822784808</c:v>
                </c:pt>
                <c:pt idx="8">
                  <c:v>77.57430379746836</c:v>
                </c:pt>
                <c:pt idx="9">
                  <c:v>77.857341772151898</c:v>
                </c:pt>
                <c:pt idx="10">
                  <c:v>78.14037974683545</c:v>
                </c:pt>
                <c:pt idx="11">
                  <c:v>78.423417721518987</c:v>
                </c:pt>
                <c:pt idx="12">
                  <c:v>78.706455696202539</c:v>
                </c:pt>
                <c:pt idx="13">
                  <c:v>78.989493670886077</c:v>
                </c:pt>
                <c:pt idx="14">
                  <c:v>79.272531645569629</c:v>
                </c:pt>
                <c:pt idx="15">
                  <c:v>79.555569620253166</c:v>
                </c:pt>
                <c:pt idx="16">
                  <c:v>79.838607594936718</c:v>
                </c:pt>
                <c:pt idx="17">
                  <c:v>80.121645569620256</c:v>
                </c:pt>
                <c:pt idx="18">
                  <c:v>80.404683544303793</c:v>
                </c:pt>
                <c:pt idx="19">
                  <c:v>80.687721518987345</c:v>
                </c:pt>
                <c:pt idx="20">
                  <c:v>80.970759493670883</c:v>
                </c:pt>
                <c:pt idx="21">
                  <c:v>81.253797468354435</c:v>
                </c:pt>
                <c:pt idx="22">
                  <c:v>81.536835443037972</c:v>
                </c:pt>
                <c:pt idx="23">
                  <c:v>81.819873417721524</c:v>
                </c:pt>
                <c:pt idx="24">
                  <c:v>82.102911392405062</c:v>
                </c:pt>
                <c:pt idx="25">
                  <c:v>82.385949367088614</c:v>
                </c:pt>
                <c:pt idx="26">
                  <c:v>82.668987341772151</c:v>
                </c:pt>
                <c:pt idx="27">
                  <c:v>82.952025316455703</c:v>
                </c:pt>
                <c:pt idx="28">
                  <c:v>83.235063291139241</c:v>
                </c:pt>
                <c:pt idx="29">
                  <c:v>83.518101265822793</c:v>
                </c:pt>
                <c:pt idx="30">
                  <c:v>83.80113924050633</c:v>
                </c:pt>
                <c:pt idx="31">
                  <c:v>84.084177215189868</c:v>
                </c:pt>
                <c:pt idx="32">
                  <c:v>84.36721518987342</c:v>
                </c:pt>
                <c:pt idx="33">
                  <c:v>84.650253164556972</c:v>
                </c:pt>
                <c:pt idx="34">
                  <c:v>84.933291139240509</c:v>
                </c:pt>
                <c:pt idx="35">
                  <c:v>85.216329113924047</c:v>
                </c:pt>
                <c:pt idx="36">
                  <c:v>85.499367088607599</c:v>
                </c:pt>
                <c:pt idx="37">
                  <c:v>85.782405063291137</c:v>
                </c:pt>
                <c:pt idx="38">
                  <c:v>86.065443037974688</c:v>
                </c:pt>
                <c:pt idx="39">
                  <c:v>86.348481012658226</c:v>
                </c:pt>
                <c:pt idx="40">
                  <c:v>86.631518987341778</c:v>
                </c:pt>
                <c:pt idx="41">
                  <c:v>86.914556962025316</c:v>
                </c:pt>
                <c:pt idx="42">
                  <c:v>87.197594936708867</c:v>
                </c:pt>
                <c:pt idx="43">
                  <c:v>87.480632911392405</c:v>
                </c:pt>
                <c:pt idx="44">
                  <c:v>87.763670886075943</c:v>
                </c:pt>
                <c:pt idx="45">
                  <c:v>88.046708860759495</c:v>
                </c:pt>
                <c:pt idx="46">
                  <c:v>88.329746835443046</c:v>
                </c:pt>
                <c:pt idx="47">
                  <c:v>88.612784810126584</c:v>
                </c:pt>
                <c:pt idx="48">
                  <c:v>88.895822784810122</c:v>
                </c:pt>
                <c:pt idx="49">
                  <c:v>89.178860759493674</c:v>
                </c:pt>
                <c:pt idx="50">
                  <c:v>89.461898734177225</c:v>
                </c:pt>
                <c:pt idx="51">
                  <c:v>89.744936708860763</c:v>
                </c:pt>
                <c:pt idx="52">
                  <c:v>90.027974683544301</c:v>
                </c:pt>
                <c:pt idx="53">
                  <c:v>90.311012658227853</c:v>
                </c:pt>
                <c:pt idx="54">
                  <c:v>90.59405063291139</c:v>
                </c:pt>
                <c:pt idx="55">
                  <c:v>90.877088607594942</c:v>
                </c:pt>
                <c:pt idx="56">
                  <c:v>91.16012658227848</c:v>
                </c:pt>
                <c:pt idx="57">
                  <c:v>91.443164556962031</c:v>
                </c:pt>
                <c:pt idx="58">
                  <c:v>91.726202531645569</c:v>
                </c:pt>
                <c:pt idx="59">
                  <c:v>92.009240506329121</c:v>
                </c:pt>
                <c:pt idx="60">
                  <c:v>92.292278481012659</c:v>
                </c:pt>
                <c:pt idx="61">
                  <c:v>92.57531645569621</c:v>
                </c:pt>
                <c:pt idx="62">
                  <c:v>92.858354430379748</c:v>
                </c:pt>
                <c:pt idx="63">
                  <c:v>93.1413924050633</c:v>
                </c:pt>
                <c:pt idx="64">
                  <c:v>93.424430379746838</c:v>
                </c:pt>
                <c:pt idx="65">
                  <c:v>93.707468354430375</c:v>
                </c:pt>
                <c:pt idx="66">
                  <c:v>93.990506329113927</c:v>
                </c:pt>
                <c:pt idx="67">
                  <c:v>94.273544303797465</c:v>
                </c:pt>
                <c:pt idx="68">
                  <c:v>94.556582278481017</c:v>
                </c:pt>
                <c:pt idx="69">
                  <c:v>94.839620253164554</c:v>
                </c:pt>
                <c:pt idx="70">
                  <c:v>95.122658227848106</c:v>
                </c:pt>
                <c:pt idx="71">
                  <c:v>95.405696202531644</c:v>
                </c:pt>
                <c:pt idx="72">
                  <c:v>95.688734177215196</c:v>
                </c:pt>
                <c:pt idx="73">
                  <c:v>95.971772151898733</c:v>
                </c:pt>
                <c:pt idx="74">
                  <c:v>96.254810126582271</c:v>
                </c:pt>
                <c:pt idx="75">
                  <c:v>96.537848101265823</c:v>
                </c:pt>
                <c:pt idx="76">
                  <c:v>96.820886075949375</c:v>
                </c:pt>
                <c:pt idx="77">
                  <c:v>97.103924050632912</c:v>
                </c:pt>
                <c:pt idx="78">
                  <c:v>97.38696202531645</c:v>
                </c:pt>
                <c:pt idx="79">
                  <c:v>97.67</c:v>
                </c:pt>
                <c:pt idx="80">
                  <c:v>97.953037974683554</c:v>
                </c:pt>
                <c:pt idx="81">
                  <c:v>98.236075949367091</c:v>
                </c:pt>
                <c:pt idx="82">
                  <c:v>98.519113924050629</c:v>
                </c:pt>
                <c:pt idx="83">
                  <c:v>98.802151898734181</c:v>
                </c:pt>
                <c:pt idx="84">
                  <c:v>99.085189873417733</c:v>
                </c:pt>
                <c:pt idx="85">
                  <c:v>99.36822784810127</c:v>
                </c:pt>
                <c:pt idx="86">
                  <c:v>99.651265822784808</c:v>
                </c:pt>
                <c:pt idx="87">
                  <c:v>99.93430379746836</c:v>
                </c:pt>
                <c:pt idx="88">
                  <c:v>100.2173417721519</c:v>
                </c:pt>
                <c:pt idx="89">
                  <c:v>100.50037974683545</c:v>
                </c:pt>
                <c:pt idx="90">
                  <c:v>100.78341772151899</c:v>
                </c:pt>
                <c:pt idx="91">
                  <c:v>101.06645569620254</c:v>
                </c:pt>
                <c:pt idx="92">
                  <c:v>101.34949367088608</c:v>
                </c:pt>
                <c:pt idx="93">
                  <c:v>101.63253164556963</c:v>
                </c:pt>
                <c:pt idx="94">
                  <c:v>101.91556962025317</c:v>
                </c:pt>
                <c:pt idx="95">
                  <c:v>102.1986075949367</c:v>
                </c:pt>
                <c:pt idx="96">
                  <c:v>102.48164556962026</c:v>
                </c:pt>
                <c:pt idx="97">
                  <c:v>102.76468354430381</c:v>
                </c:pt>
                <c:pt idx="98">
                  <c:v>103.04772151898734</c:v>
                </c:pt>
                <c:pt idx="99">
                  <c:v>103.33075949367088</c:v>
                </c:pt>
                <c:pt idx="100">
                  <c:v>103.61379746835443</c:v>
                </c:pt>
                <c:pt idx="101">
                  <c:v>103.89683544303799</c:v>
                </c:pt>
                <c:pt idx="102">
                  <c:v>104.17987341772152</c:v>
                </c:pt>
                <c:pt idx="103">
                  <c:v>104.46291139240506</c:v>
                </c:pt>
                <c:pt idx="104">
                  <c:v>104.74594936708861</c:v>
                </c:pt>
                <c:pt idx="105">
                  <c:v>105.02898734177215</c:v>
                </c:pt>
                <c:pt idx="106">
                  <c:v>105.3120253164557</c:v>
                </c:pt>
                <c:pt idx="107">
                  <c:v>105.59506329113924</c:v>
                </c:pt>
                <c:pt idx="108">
                  <c:v>105.87810126582279</c:v>
                </c:pt>
                <c:pt idx="109">
                  <c:v>106.16113924050633</c:v>
                </c:pt>
                <c:pt idx="110">
                  <c:v>106.44417721518988</c:v>
                </c:pt>
                <c:pt idx="111">
                  <c:v>106.72721518987342</c:v>
                </c:pt>
                <c:pt idx="112">
                  <c:v>107.01025316455696</c:v>
                </c:pt>
                <c:pt idx="113">
                  <c:v>107.29329113924051</c:v>
                </c:pt>
                <c:pt idx="114">
                  <c:v>107.57632911392406</c:v>
                </c:pt>
                <c:pt idx="115">
                  <c:v>107.8593670886076</c:v>
                </c:pt>
                <c:pt idx="116">
                  <c:v>108.14240506329114</c:v>
                </c:pt>
                <c:pt idx="117">
                  <c:v>108.42544303797469</c:v>
                </c:pt>
                <c:pt idx="118">
                  <c:v>108.70848101265824</c:v>
                </c:pt>
                <c:pt idx="119">
                  <c:v>108.99151898734178</c:v>
                </c:pt>
                <c:pt idx="120">
                  <c:v>109.27455696202531</c:v>
                </c:pt>
                <c:pt idx="121">
                  <c:v>109.55759493670885</c:v>
                </c:pt>
                <c:pt idx="122">
                  <c:v>109.84063291139242</c:v>
                </c:pt>
                <c:pt idx="123">
                  <c:v>110.12367088607596</c:v>
                </c:pt>
                <c:pt idx="124">
                  <c:v>110.40670886075949</c:v>
                </c:pt>
                <c:pt idx="125">
                  <c:v>110.68974683544303</c:v>
                </c:pt>
                <c:pt idx="126">
                  <c:v>110.97278481012658</c:v>
                </c:pt>
                <c:pt idx="127">
                  <c:v>111.25582278481014</c:v>
                </c:pt>
                <c:pt idx="128">
                  <c:v>111.53886075949367</c:v>
                </c:pt>
                <c:pt idx="129">
                  <c:v>111.82189873417721</c:v>
                </c:pt>
                <c:pt idx="130">
                  <c:v>112.10493670886075</c:v>
                </c:pt>
                <c:pt idx="131">
                  <c:v>112.38797468354431</c:v>
                </c:pt>
                <c:pt idx="132">
                  <c:v>112.67101265822785</c:v>
                </c:pt>
                <c:pt idx="133">
                  <c:v>112.95405063291139</c:v>
                </c:pt>
                <c:pt idx="134">
                  <c:v>113.23708860759493</c:v>
                </c:pt>
                <c:pt idx="135">
                  <c:v>113.52012658227848</c:v>
                </c:pt>
                <c:pt idx="136">
                  <c:v>113.80316455696203</c:v>
                </c:pt>
                <c:pt idx="137">
                  <c:v>114.08620253164557</c:v>
                </c:pt>
                <c:pt idx="138">
                  <c:v>114.36924050632911</c:v>
                </c:pt>
                <c:pt idx="139">
                  <c:v>114.65227848101266</c:v>
                </c:pt>
                <c:pt idx="140">
                  <c:v>114.93531645569621</c:v>
                </c:pt>
                <c:pt idx="141">
                  <c:v>115.21835443037975</c:v>
                </c:pt>
                <c:pt idx="142">
                  <c:v>115.50139240506329</c:v>
                </c:pt>
                <c:pt idx="143">
                  <c:v>115.78443037974684</c:v>
                </c:pt>
                <c:pt idx="144">
                  <c:v>116.06746835443039</c:v>
                </c:pt>
                <c:pt idx="145">
                  <c:v>116.35050632911393</c:v>
                </c:pt>
                <c:pt idx="146">
                  <c:v>116.63354430379746</c:v>
                </c:pt>
                <c:pt idx="147">
                  <c:v>116.91658227848102</c:v>
                </c:pt>
                <c:pt idx="148">
                  <c:v>117.19962025316455</c:v>
                </c:pt>
                <c:pt idx="149">
                  <c:v>117.48265822784811</c:v>
                </c:pt>
                <c:pt idx="150">
                  <c:v>117.76569620253164</c:v>
                </c:pt>
                <c:pt idx="151">
                  <c:v>118.0487341772152</c:v>
                </c:pt>
                <c:pt idx="152">
                  <c:v>118.33177215189873</c:v>
                </c:pt>
                <c:pt idx="153">
                  <c:v>118.61481012658228</c:v>
                </c:pt>
                <c:pt idx="154">
                  <c:v>118.89784810126582</c:v>
                </c:pt>
                <c:pt idx="155">
                  <c:v>119.18088607594936</c:v>
                </c:pt>
                <c:pt idx="156">
                  <c:v>119.46392405063291</c:v>
                </c:pt>
                <c:pt idx="157">
                  <c:v>119.74696202531646</c:v>
                </c:pt>
                <c:pt idx="158">
                  <c:v>120.03</c:v>
                </c:pt>
                <c:pt idx="159">
                  <c:v>120.31303797468354</c:v>
                </c:pt>
              </c:numCache>
            </c:numRef>
          </c:val>
          <c:smooth val="0"/>
          <c:extLst>
            <c:ext xmlns:c16="http://schemas.microsoft.com/office/drawing/2014/chart" uri="{C3380CC4-5D6E-409C-BE32-E72D297353CC}">
              <c16:uniqueId val="{00000001-A86C-244C-9B7E-14805DFD6BB2}"/>
            </c:ext>
          </c:extLst>
        </c:ser>
        <c:dLbls>
          <c:showLegendKey val="0"/>
          <c:showVal val="0"/>
          <c:showCatName val="0"/>
          <c:showSerName val="0"/>
          <c:showPercent val="0"/>
          <c:showBubbleSize val="0"/>
        </c:dLbls>
        <c:hiLowLines>
          <c:spPr>
            <a:ln w="0">
              <a:noFill/>
            </a:ln>
          </c:spPr>
        </c:hiLowLines>
        <c:marker val="1"/>
        <c:smooth val="0"/>
        <c:axId val="37966105"/>
        <c:axId val="61381207"/>
      </c:lineChart>
      <c:dateAx>
        <c:axId val="44802542"/>
        <c:scaling>
          <c:orientation val="minMax"/>
        </c:scaling>
        <c:delete val="1"/>
        <c:axPos val="b"/>
        <c:numFmt formatCode="mm/dd/yyyy" sourceLinked="1"/>
        <c:majorTickMark val="none"/>
        <c:minorTickMark val="none"/>
        <c:tickLblPos val="nextTo"/>
        <c:crossAx val="78461884"/>
        <c:crosses val="autoZero"/>
        <c:auto val="1"/>
        <c:lblOffset val="100"/>
        <c:baseTimeUnit val="days"/>
      </c:dateAx>
      <c:valAx>
        <c:axId val="784618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4802542"/>
        <c:crosses val="autoZero"/>
        <c:crossBetween val="between"/>
      </c:valAx>
      <c:dateAx>
        <c:axId val="37966105"/>
        <c:scaling>
          <c:orientation val="minMax"/>
        </c:scaling>
        <c:delete val="1"/>
        <c:axPos val="b"/>
        <c:numFmt formatCode="mm/dd/yyyy" sourceLinked="1"/>
        <c:majorTickMark val="none"/>
        <c:minorTickMark val="none"/>
        <c:tickLblPos val="nextTo"/>
        <c:crossAx val="61381207"/>
        <c:crosses val="autoZero"/>
        <c:auto val="1"/>
        <c:lblOffset val="100"/>
        <c:baseTimeUnit val="days"/>
      </c:dateAx>
      <c:valAx>
        <c:axId val="613812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966105"/>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layout/>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(Calc)'!$Q$3:$Q$500</c:f>
              <c:numCache>
                <c:formatCode>0.0%</c:formatCode>
                <c:ptCount val="498"/>
                <c:pt idx="0">
                  <c:v>0</c:v>
                </c:pt>
                <c:pt idx="1">
                  <c:v>0</c:v>
                </c:pt>
                <c:pt idx="2">
                  <c:v>3.2719836400818547E-3</c:v>
                </c:pt>
                <c:pt idx="3">
                  <c:v>3.4651447207501018E-3</c:v>
                </c:pt>
                <c:pt idx="4">
                  <c:v>-1.137517773715202E-2</c:v>
                </c:pt>
                <c:pt idx="5">
                  <c:v>-1.7259091843024543E-2</c:v>
                </c:pt>
                <c:pt idx="6">
                  <c:v>4.035124398912826E-2</c:v>
                </c:pt>
                <c:pt idx="7">
                  <c:v>1.0048231511254002E-2</c:v>
                </c:pt>
                <c:pt idx="8">
                  <c:v>1.2932749701551893E-2</c:v>
                </c:pt>
                <c:pt idx="9">
                  <c:v>4.3213514044393442E-3</c:v>
                </c:pt>
                <c:pt idx="10">
                  <c:v>9.7789947193427373E-4</c:v>
                </c:pt>
                <c:pt idx="11">
                  <c:v>3.71238765142623E-3</c:v>
                </c:pt>
                <c:pt idx="12">
                  <c:v>9.1493089351761814E-3</c:v>
                </c:pt>
                <c:pt idx="13">
                  <c:v>1.1574074074072183E-3</c:v>
                </c:pt>
                <c:pt idx="14">
                  <c:v>1.734104046242857E-3</c:v>
                </c:pt>
                <c:pt idx="15">
                  <c:v>-4.4239276783997195E-3</c:v>
                </c:pt>
                <c:pt idx="16">
                  <c:v>9.8531684698610622E-3</c:v>
                </c:pt>
                <c:pt idx="17">
                  <c:v>5.9307442127414234E-3</c:v>
                </c:pt>
                <c:pt idx="18">
                  <c:v>6.2761506276149959E-3</c:v>
                </c:pt>
                <c:pt idx="19">
                  <c:v>1.41750141750141E-2</c:v>
                </c:pt>
                <c:pt idx="20">
                  <c:v>4.2862467387254632E-3</c:v>
                </c:pt>
                <c:pt idx="21">
                  <c:v>-5.5668955279272181E-3</c:v>
                </c:pt>
                <c:pt idx="22">
                  <c:v>7.6506810972196693E-3</c:v>
                </c:pt>
                <c:pt idx="23">
                  <c:v>6.2962962962964664E-3</c:v>
                </c:pt>
                <c:pt idx="24">
                  <c:v>5.5207949944779955E-4</c:v>
                </c:pt>
                <c:pt idx="25">
                  <c:v>1.8392495861707658E-4</c:v>
                </c:pt>
                <c:pt idx="26">
                  <c:v>1.2136815005516777E-2</c:v>
                </c:pt>
                <c:pt idx="27">
                  <c:v>7.2674418604656843E-4</c:v>
                </c:pt>
                <c:pt idx="28">
                  <c:v>-3.8126361655773655E-3</c:v>
                </c:pt>
                <c:pt idx="29">
                  <c:v>-6.3787133223982551E-3</c:v>
                </c:pt>
                <c:pt idx="30">
                  <c:v>-1.9442406456346317E-2</c:v>
                </c:pt>
                <c:pt idx="31">
                  <c:v>2.0576131687242816E-2</c:v>
                </c:pt>
                <c:pt idx="32">
                  <c:v>4.2155425219940756E-3</c:v>
                </c:pt>
                <c:pt idx="33">
                  <c:v>1.5513779886840773E-2</c:v>
                </c:pt>
                <c:pt idx="34">
                  <c:v>1.078360891444996E-2</c:v>
                </c:pt>
                <c:pt idx="35">
                  <c:v>1.0668563300142431E-3</c:v>
                </c:pt>
                <c:pt idx="36">
                  <c:v>-2.6642984014209059E-3</c:v>
                </c:pt>
                <c:pt idx="37">
                  <c:v>1.1041852181656431E-2</c:v>
                </c:pt>
                <c:pt idx="38">
                  <c:v>9.1597674828254316E-3</c:v>
                </c:pt>
                <c:pt idx="39">
                  <c:v>3.1419095828242316E-3</c:v>
                </c:pt>
                <c:pt idx="40">
                  <c:v>4.1760918740212372E-3</c:v>
                </c:pt>
                <c:pt idx="41">
                  <c:v>7.1044879570265618E-3</c:v>
                </c:pt>
                <c:pt idx="42">
                  <c:v>3.4411562284928365E-3</c:v>
                </c:pt>
                <c:pt idx="43">
                  <c:v>-6.6872427983538651E-3</c:v>
                </c:pt>
                <c:pt idx="44">
                  <c:v>-4.1429311237700661E-3</c:v>
                </c:pt>
                <c:pt idx="45">
                  <c:v>-1.0747096550528634E-2</c:v>
                </c:pt>
                <c:pt idx="46">
                  <c:v>7.0089363939018767E-4</c:v>
                </c:pt>
                <c:pt idx="47">
                  <c:v>2.6090001751006842E-2</c:v>
                </c:pt>
                <c:pt idx="48">
                  <c:v>8.8737201365187701E-3</c:v>
                </c:pt>
                <c:pt idx="49">
                  <c:v>3.5520974289580121E-3</c:v>
                </c:pt>
                <c:pt idx="50">
                  <c:v>-2.696780718017866E-2</c:v>
                </c:pt>
                <c:pt idx="51">
                  <c:v>2.5983024424042878E-2</c:v>
                </c:pt>
                <c:pt idx="52">
                  <c:v>8.2728347121392432E-3</c:v>
                </c:pt>
                <c:pt idx="53">
                  <c:v>6.8653717347622045E-3</c:v>
                </c:pt>
                <c:pt idx="54">
                  <c:v>1.3304506901712365E-3</c:v>
                </c:pt>
                <c:pt idx="55">
                  <c:v>8.1381830260753851E-3</c:v>
                </c:pt>
                <c:pt idx="56">
                  <c:v>8.2372322899506578E-3</c:v>
                </c:pt>
                <c:pt idx="57">
                  <c:v>-2.7777777777777679E-3</c:v>
                </c:pt>
                <c:pt idx="58">
                  <c:v>-8.8481074881205934E-3</c:v>
                </c:pt>
                <c:pt idx="59">
                  <c:v>2.4301537444205712E-2</c:v>
                </c:pt>
                <c:pt idx="60">
                  <c:v>-9.5222724338283049E-3</c:v>
                </c:pt>
                <c:pt idx="61">
                  <c:v>7.4955189832166536E-3</c:v>
                </c:pt>
                <c:pt idx="62">
                  <c:v>6.145883875141589E-3</c:v>
                </c:pt>
                <c:pt idx="63">
                  <c:v>3.6971547982638242E-3</c:v>
                </c:pt>
                <c:pt idx="64">
                  <c:v>-1.7616912235746129E-3</c:v>
                </c:pt>
                <c:pt idx="65">
                  <c:v>-1.2193165409914886E-2</c:v>
                </c:pt>
                <c:pt idx="66">
                  <c:v>6.4966704563911293E-3</c:v>
                </c:pt>
                <c:pt idx="67">
                  <c:v>-4.0342101016620502E-3</c:v>
                </c:pt>
                <c:pt idx="68">
                  <c:v>-1.2151652624756926E-2</c:v>
                </c:pt>
                <c:pt idx="69">
                  <c:v>1.7221584385763489E-2</c:v>
                </c:pt>
                <c:pt idx="70">
                  <c:v>1.0319251854240541E-2</c:v>
                </c:pt>
                <c:pt idx="71">
                  <c:v>-8.6179380785189608E-3</c:v>
                </c:pt>
                <c:pt idx="72">
                  <c:v>-6.4391500321958617E-4</c:v>
                </c:pt>
                <c:pt idx="73">
                  <c:v>1.0470360824742286E-2</c:v>
                </c:pt>
                <c:pt idx="74">
                  <c:v>-8.9271480950102733E-3</c:v>
                </c:pt>
                <c:pt idx="75">
                  <c:v>-6.4339713688273958E-3</c:v>
                </c:pt>
                <c:pt idx="76">
                  <c:v>-1.748421563865965E-2</c:v>
                </c:pt>
                <c:pt idx="77">
                  <c:v>-1.4170374031965749E-2</c:v>
                </c:pt>
                <c:pt idx="78">
                  <c:v>-2.0056827678421874E-3</c:v>
                </c:pt>
                <c:pt idx="79">
                  <c:v>-1.1555853290906026E-2</c:v>
                </c:pt>
                <c:pt idx="80">
                  <c:v>-3.8800406641816387E-2</c:v>
                </c:pt>
                <c:pt idx="81">
                  <c:v>1.8861272695223086E-2</c:v>
                </c:pt>
                <c:pt idx="82">
                  <c:v>-6.0553633217992342E-3</c:v>
                </c:pt>
                <c:pt idx="83">
                  <c:v>1.7754569190600478E-2</c:v>
                </c:pt>
                <c:pt idx="84">
                  <c:v>1.641867624422777E-2</c:v>
                </c:pt>
                <c:pt idx="85">
                  <c:v>-2.5239777889953796E-3</c:v>
                </c:pt>
                <c:pt idx="86">
                  <c:v>2.9352226720647856E-2</c:v>
                </c:pt>
                <c:pt idx="87">
                  <c:v>-1.6551950180268893E-2</c:v>
                </c:pt>
                <c:pt idx="88">
                  <c:v>1.0831528078653507E-2</c:v>
                </c:pt>
                <c:pt idx="89">
                  <c:v>9.7263435542367382E-3</c:v>
                </c:pt>
                <c:pt idx="90">
                  <c:v>-1.6326530612242873E-4</c:v>
                </c:pt>
                <c:pt idx="91">
                  <c:v>8.1645983017630819E-4</c:v>
                </c:pt>
                <c:pt idx="92">
                  <c:v>1.2400065263501459E-2</c:v>
                </c:pt>
                <c:pt idx="93">
                  <c:v>6.6075745366640515E-3</c:v>
                </c:pt>
                <c:pt idx="94">
                  <c:v>1.6010246557798258E-3</c:v>
                </c:pt>
                <c:pt idx="95">
                  <c:v>3.5166240409207905E-3</c:v>
                </c:pt>
                <c:pt idx="96">
                  <c:v>2.2300095571838874E-3</c:v>
                </c:pt>
                <c:pt idx="97">
                  <c:v>-1.0489510489510523E-2</c:v>
                </c:pt>
                <c:pt idx="98">
                  <c:v>1.1564407324124559E-2</c:v>
                </c:pt>
                <c:pt idx="99">
                  <c:v>7.3039060019053359E-3</c:v>
                </c:pt>
                <c:pt idx="100">
                  <c:v>3.6254728877680442E-3</c:v>
                </c:pt>
                <c:pt idx="101">
                  <c:v>1.5705983979885652E-4</c:v>
                </c:pt>
                <c:pt idx="102">
                  <c:v>2.1984924623115187E-3</c:v>
                </c:pt>
                <c:pt idx="103">
                  <c:v>8.4612973989344198E-3</c:v>
                </c:pt>
                <c:pt idx="104">
                  <c:v>2.0198881292727844E-3</c:v>
                </c:pt>
                <c:pt idx="105">
                  <c:v>3.1012560086840502E-4</c:v>
                </c:pt>
                <c:pt idx="106">
                  <c:v>3.2553092543790019E-3</c:v>
                </c:pt>
                <c:pt idx="107">
                  <c:v>-1.2669962917181699E-2</c:v>
                </c:pt>
                <c:pt idx="108">
                  <c:v>9.8591549295774517E-3</c:v>
                </c:pt>
                <c:pt idx="109">
                  <c:v>1.0072834340616899E-2</c:v>
                </c:pt>
                <c:pt idx="110">
                  <c:v>6.1368517950288748E-4</c:v>
                </c:pt>
                <c:pt idx="111">
                  <c:v>-5.0597976080956064E-3</c:v>
                </c:pt>
                <c:pt idx="112">
                  <c:v>1.5410695022344267E-3</c:v>
                </c:pt>
                <c:pt idx="113">
                  <c:v>-8.9244499153715573E-3</c:v>
                </c:pt>
                <c:pt idx="114">
                  <c:v>2.1735755317497274E-2</c:v>
                </c:pt>
                <c:pt idx="115">
                  <c:v>2.2792888618750062E-3</c:v>
                </c:pt>
                <c:pt idx="116">
                  <c:v>-1.2128562765312267E-3</c:v>
                </c:pt>
                <c:pt idx="117">
                  <c:v>2.2768670309654127E-3</c:v>
                </c:pt>
                <c:pt idx="118">
                  <c:v>1.0601241859760746E-2</c:v>
                </c:pt>
                <c:pt idx="119">
                  <c:v>-8.242169938558308E-3</c:v>
                </c:pt>
                <c:pt idx="120">
                  <c:v>9.0661831368992196E-3</c:v>
                </c:pt>
                <c:pt idx="121">
                  <c:v>-4.4923629829289879E-3</c:v>
                </c:pt>
                <c:pt idx="122">
                  <c:v>-3.0084235860428077E-4</c:v>
                </c:pt>
                <c:pt idx="123">
                  <c:v>3.6111947035812886E-3</c:v>
                </c:pt>
                <c:pt idx="124">
                  <c:v>2.8485757121439192E-3</c:v>
                </c:pt>
                <c:pt idx="125">
                  <c:v>-8.6709523097622254E-3</c:v>
                </c:pt>
                <c:pt idx="126">
                  <c:v>6.7863067410647293E-3</c:v>
                </c:pt>
                <c:pt idx="127">
                  <c:v>-5.6920311563811721E-3</c:v>
                </c:pt>
                <c:pt idx="128">
                  <c:v>-1.1298583910816506E-2</c:v>
                </c:pt>
                <c:pt idx="129">
                  <c:v>-1.3408502209355411E-2</c:v>
                </c:pt>
                <c:pt idx="130">
                  <c:v>-1.1119691119691133E-2</c:v>
                </c:pt>
                <c:pt idx="131">
                  <c:v>-1.2806496954552604E-2</c:v>
                </c:pt>
                <c:pt idx="132">
                  <c:v>1.1707008384749251E-2</c:v>
                </c:pt>
                <c:pt idx="133">
                  <c:v>2.0328381548084362E-2</c:v>
                </c:pt>
                <c:pt idx="134">
                  <c:v>2.5747126436781675E-2</c:v>
                </c:pt>
                <c:pt idx="135">
                  <c:v>2.2411474675032572E-3</c:v>
                </c:pt>
                <c:pt idx="136">
                  <c:v>4.0250447227190289E-3</c:v>
                </c:pt>
                <c:pt idx="137">
                  <c:v>1.9302152932443306E-3</c:v>
                </c:pt>
                <c:pt idx="138">
                  <c:v>2.9638411381149865E-4</c:v>
                </c:pt>
                <c:pt idx="139">
                  <c:v>7.407407407407085E-4</c:v>
                </c:pt>
                <c:pt idx="140">
                  <c:v>4.2931162102146647E-3</c:v>
                </c:pt>
                <c:pt idx="141">
                  <c:v>-1.0465801886792581E-2</c:v>
                </c:pt>
                <c:pt idx="142">
                  <c:v>4.468940861015458E-4</c:v>
                </c:pt>
                <c:pt idx="143">
                  <c:v>8.3382966051221974E-3</c:v>
                </c:pt>
                <c:pt idx="144">
                  <c:v>-1.0779681039574829E-2</c:v>
                </c:pt>
                <c:pt idx="145">
                  <c:v>7.6130765785940024E-3</c:v>
                </c:pt>
                <c:pt idx="146">
                  <c:v>1.0962962962962841E-2</c:v>
                </c:pt>
                <c:pt idx="147">
                  <c:v>-9.2321219226260132E-3</c:v>
                </c:pt>
                <c:pt idx="148">
                  <c:v>-1.7748853719864455E-3</c:v>
                </c:pt>
                <c:pt idx="149">
                  <c:v>1.2890798636835177E-2</c:v>
                </c:pt>
                <c:pt idx="150">
                  <c:v>2.062609713282626E-2</c:v>
                </c:pt>
                <c:pt idx="151">
                  <c:v>4.1565142611439398E-3</c:v>
                </c:pt>
                <c:pt idx="152">
                  <c:v>-1.0562375107051269E-2</c:v>
                </c:pt>
                <c:pt idx="153">
                  <c:v>4.0392383150607003E-3</c:v>
                </c:pt>
                <c:pt idx="154">
                  <c:v>4.310344827587187E-4</c:v>
                </c:pt>
                <c:pt idx="155">
                  <c:v>-6.8935803532957918E-3</c:v>
                </c:pt>
                <c:pt idx="156">
                  <c:v>-2.3138105567608314E-3</c:v>
                </c:pt>
                <c:pt idx="157">
                  <c:v>8.5519640527613738E-3</c:v>
                </c:pt>
                <c:pt idx="158">
                  <c:v>-2.2995113538372136E-3</c:v>
                </c:pt>
                <c:pt idx="159">
                  <c:v>0</c:v>
                </c:pt>
              </c:numCache>
            </c:numRef>
          </c:val>
          <c:extLst>
            <c:ext xmlns:c16="http://schemas.microsoft.com/office/drawing/2014/chart" uri="{C3380CC4-5D6E-409C-BE32-E72D297353CC}">
              <c16:uniqueId val="{00000000-B35D-BC45-B38E-770BF1182830}"/>
            </c:ext>
          </c:extLst>
        </c:ser>
        <c:dLbls>
          <c:showLegendKey val="0"/>
          <c:showVal val="0"/>
          <c:showCatName val="0"/>
          <c:showSerName val="0"/>
          <c:showPercent val="0"/>
          <c:showBubbleSize val="0"/>
        </c:dLbls>
        <c:gapWidth val="150"/>
        <c:axId val="57594578"/>
        <c:axId val="56448788"/>
      </c:barChart>
      <c:lineChart>
        <c:grouping val="standard"/>
        <c:varyColors val="0"/>
        <c:ser>
          <c:idx val="1"/>
          <c:order val="1"/>
          <c:tx>
            <c:strRef>
              <c:f>'Returns (Calc)'!$AK$2</c:f>
              <c:strCache>
                <c:ptCount val="1"/>
                <c:pt idx="0">
                  <c:v>HELO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(Calc)'!$AK$3:$AK$500</c:f>
              <c:numCache>
                <c:formatCode>#,##0.00</c:formatCode>
                <c:ptCount val="498"/>
                <c:pt idx="0">
                  <c:v>0</c:v>
                </c:pt>
                <c:pt idx="1">
                  <c:v>0.43936708860759494</c:v>
                </c:pt>
                <c:pt idx="2">
                  <c:v>0.87873417721518987</c:v>
                </c:pt>
                <c:pt idx="3">
                  <c:v>1.3181012658227849</c:v>
                </c:pt>
                <c:pt idx="4">
                  <c:v>1.7574683544303797</c:v>
                </c:pt>
                <c:pt idx="5">
                  <c:v>2.1968354430379748</c:v>
                </c:pt>
                <c:pt idx="6">
                  <c:v>2.6362025316455697</c:v>
                </c:pt>
                <c:pt idx="7">
                  <c:v>3.0755696202531646</c:v>
                </c:pt>
                <c:pt idx="8">
                  <c:v>3.5149367088607595</c:v>
                </c:pt>
                <c:pt idx="9">
                  <c:v>3.9543037974683544</c:v>
                </c:pt>
                <c:pt idx="10">
                  <c:v>4.3936708860759497</c:v>
                </c:pt>
                <c:pt idx="11">
                  <c:v>4.8330379746835446</c:v>
                </c:pt>
                <c:pt idx="12">
                  <c:v>5.2724050632911394</c:v>
                </c:pt>
                <c:pt idx="13">
                  <c:v>5.7117721518987343</c:v>
                </c:pt>
                <c:pt idx="14">
                  <c:v>6.1511392405063292</c:v>
                </c:pt>
                <c:pt idx="15">
                  <c:v>6.5905063291139241</c:v>
                </c:pt>
                <c:pt idx="16">
                  <c:v>7.029873417721519</c:v>
                </c:pt>
                <c:pt idx="17">
                  <c:v>7.4692405063291147</c:v>
                </c:pt>
                <c:pt idx="18">
                  <c:v>7.9086075949367087</c:v>
                </c:pt>
                <c:pt idx="19">
                  <c:v>8.3479746835443045</c:v>
                </c:pt>
                <c:pt idx="20">
                  <c:v>8.7873417721518994</c:v>
                </c:pt>
                <c:pt idx="21">
                  <c:v>9.2267088607594925</c:v>
                </c:pt>
                <c:pt idx="22">
                  <c:v>9.6660759493670891</c:v>
                </c:pt>
                <c:pt idx="23">
                  <c:v>10.105443037974684</c:v>
                </c:pt>
                <c:pt idx="24">
                  <c:v>10.544810126582279</c:v>
                </c:pt>
                <c:pt idx="25">
                  <c:v>10.984177215189874</c:v>
                </c:pt>
                <c:pt idx="26">
                  <c:v>11.423544303797469</c:v>
                </c:pt>
                <c:pt idx="27">
                  <c:v>11.862911392405064</c:v>
                </c:pt>
                <c:pt idx="28">
                  <c:v>12.302278481012658</c:v>
                </c:pt>
                <c:pt idx="29">
                  <c:v>12.741645569620253</c:v>
                </c:pt>
                <c:pt idx="30">
                  <c:v>13.181012658227848</c:v>
                </c:pt>
                <c:pt idx="31">
                  <c:v>13.620379746835443</c:v>
                </c:pt>
                <c:pt idx="32">
                  <c:v>14.059746835443038</c:v>
                </c:pt>
                <c:pt idx="33">
                  <c:v>14.499113924050635</c:v>
                </c:pt>
                <c:pt idx="34">
                  <c:v>14.938481012658229</c:v>
                </c:pt>
                <c:pt idx="35">
                  <c:v>15.377848101265824</c:v>
                </c:pt>
                <c:pt idx="36">
                  <c:v>15.817215189873417</c:v>
                </c:pt>
                <c:pt idx="37">
                  <c:v>16.256582278481012</c:v>
                </c:pt>
                <c:pt idx="38">
                  <c:v>16.695949367088609</c:v>
                </c:pt>
                <c:pt idx="39">
                  <c:v>17.135316455696202</c:v>
                </c:pt>
                <c:pt idx="40">
                  <c:v>17.574683544303799</c:v>
                </c:pt>
                <c:pt idx="41">
                  <c:v>18.014050632911395</c:v>
                </c:pt>
                <c:pt idx="42">
                  <c:v>18.453417721518985</c:v>
                </c:pt>
                <c:pt idx="43">
                  <c:v>18.892784810126582</c:v>
                </c:pt>
                <c:pt idx="44">
                  <c:v>19.332151898734178</c:v>
                </c:pt>
                <c:pt idx="45">
                  <c:v>19.771518987341771</c:v>
                </c:pt>
                <c:pt idx="46">
                  <c:v>20.210886075949368</c:v>
                </c:pt>
                <c:pt idx="47">
                  <c:v>20.650253164556965</c:v>
                </c:pt>
                <c:pt idx="48">
                  <c:v>21.089620253164558</c:v>
                </c:pt>
                <c:pt idx="49">
                  <c:v>21.528987341772151</c:v>
                </c:pt>
                <c:pt idx="50">
                  <c:v>21.968354430379748</c:v>
                </c:pt>
                <c:pt idx="51">
                  <c:v>22.407721518987341</c:v>
                </c:pt>
                <c:pt idx="52">
                  <c:v>22.847088607594937</c:v>
                </c:pt>
                <c:pt idx="53">
                  <c:v>23.286455696202534</c:v>
                </c:pt>
                <c:pt idx="54">
                  <c:v>23.725822784810127</c:v>
                </c:pt>
                <c:pt idx="55">
                  <c:v>24.16518987341772</c:v>
                </c:pt>
                <c:pt idx="56">
                  <c:v>24.604556962025317</c:v>
                </c:pt>
                <c:pt idx="57">
                  <c:v>25.043924050632913</c:v>
                </c:pt>
                <c:pt idx="58">
                  <c:v>25.483291139240507</c:v>
                </c:pt>
                <c:pt idx="59">
                  <c:v>25.922658227848103</c:v>
                </c:pt>
                <c:pt idx="60">
                  <c:v>26.362025316455696</c:v>
                </c:pt>
                <c:pt idx="61">
                  <c:v>26.801392405063289</c:v>
                </c:pt>
                <c:pt idx="62">
                  <c:v>27.240759493670886</c:v>
                </c:pt>
                <c:pt idx="63">
                  <c:v>27.680126582278483</c:v>
                </c:pt>
                <c:pt idx="64">
                  <c:v>28.119493670886076</c:v>
                </c:pt>
                <c:pt idx="65">
                  <c:v>28.558860759493673</c:v>
                </c:pt>
                <c:pt idx="66">
                  <c:v>28.998227848101269</c:v>
                </c:pt>
                <c:pt idx="67">
                  <c:v>29.437594936708862</c:v>
                </c:pt>
                <c:pt idx="68">
                  <c:v>29.876962025316459</c:v>
                </c:pt>
                <c:pt idx="69">
                  <c:v>30.316329113924052</c:v>
                </c:pt>
                <c:pt idx="70">
                  <c:v>30.755696202531649</c:v>
                </c:pt>
                <c:pt idx="71">
                  <c:v>31.195063291139238</c:v>
                </c:pt>
                <c:pt idx="72">
                  <c:v>31.634430379746835</c:v>
                </c:pt>
                <c:pt idx="73">
                  <c:v>32.073797468354428</c:v>
                </c:pt>
                <c:pt idx="74">
                  <c:v>32.513164556962025</c:v>
                </c:pt>
                <c:pt idx="75">
                  <c:v>32.952531645569621</c:v>
                </c:pt>
                <c:pt idx="76">
                  <c:v>33.391898734177218</c:v>
                </c:pt>
                <c:pt idx="77">
                  <c:v>33.831265822784808</c:v>
                </c:pt>
                <c:pt idx="78">
                  <c:v>34.270632911392404</c:v>
                </c:pt>
                <c:pt idx="79">
                  <c:v>34.71</c:v>
                </c:pt>
                <c:pt idx="80">
                  <c:v>35.149367088607598</c:v>
                </c:pt>
                <c:pt idx="81">
                  <c:v>35.588734177215194</c:v>
                </c:pt>
                <c:pt idx="82">
                  <c:v>36.028101265822791</c:v>
                </c:pt>
                <c:pt idx="83">
                  <c:v>36.46746835443038</c:v>
                </c:pt>
                <c:pt idx="84">
                  <c:v>36.90683544303797</c:v>
                </c:pt>
                <c:pt idx="85">
                  <c:v>37.346202531645567</c:v>
                </c:pt>
                <c:pt idx="86">
                  <c:v>37.785569620253163</c:v>
                </c:pt>
                <c:pt idx="87">
                  <c:v>38.22493670886076</c:v>
                </c:pt>
                <c:pt idx="88">
                  <c:v>38.664303797468357</c:v>
                </c:pt>
                <c:pt idx="89">
                  <c:v>39.103670886075953</c:v>
                </c:pt>
                <c:pt idx="90">
                  <c:v>39.543037974683543</c:v>
                </c:pt>
                <c:pt idx="91">
                  <c:v>39.982405063291139</c:v>
                </c:pt>
                <c:pt idx="92">
                  <c:v>40.421772151898736</c:v>
                </c:pt>
                <c:pt idx="93">
                  <c:v>40.861139240506333</c:v>
                </c:pt>
                <c:pt idx="94">
                  <c:v>41.300506329113929</c:v>
                </c:pt>
                <c:pt idx="95">
                  <c:v>41.739873417721519</c:v>
                </c:pt>
                <c:pt idx="96">
                  <c:v>42.179240506329116</c:v>
                </c:pt>
                <c:pt idx="97">
                  <c:v>42.618607594936705</c:v>
                </c:pt>
                <c:pt idx="98">
                  <c:v>43.057974683544302</c:v>
                </c:pt>
                <c:pt idx="99">
                  <c:v>43.497341772151898</c:v>
                </c:pt>
                <c:pt idx="100">
                  <c:v>43.936708860759495</c:v>
                </c:pt>
                <c:pt idx="101">
                  <c:v>44.376075949367092</c:v>
                </c:pt>
                <c:pt idx="102">
                  <c:v>44.815443037974681</c:v>
                </c:pt>
                <c:pt idx="103">
                  <c:v>45.254810126582278</c:v>
                </c:pt>
                <c:pt idx="104">
                  <c:v>45.694177215189875</c:v>
                </c:pt>
                <c:pt idx="105">
                  <c:v>46.133544303797471</c:v>
                </c:pt>
                <c:pt idx="106">
                  <c:v>46.572911392405068</c:v>
                </c:pt>
                <c:pt idx="107">
                  <c:v>47.012278481012665</c:v>
                </c:pt>
                <c:pt idx="108">
                  <c:v>47.451645569620254</c:v>
                </c:pt>
                <c:pt idx="109">
                  <c:v>47.891012658227844</c:v>
                </c:pt>
                <c:pt idx="110">
                  <c:v>48.33037974683544</c:v>
                </c:pt>
                <c:pt idx="111">
                  <c:v>48.769746835443037</c:v>
                </c:pt>
                <c:pt idx="112">
                  <c:v>49.209113924050634</c:v>
                </c:pt>
                <c:pt idx="113">
                  <c:v>49.64848101265823</c:v>
                </c:pt>
                <c:pt idx="114">
                  <c:v>50.087848101265827</c:v>
                </c:pt>
                <c:pt idx="115">
                  <c:v>50.527215189873417</c:v>
                </c:pt>
                <c:pt idx="116">
                  <c:v>50.966582278481013</c:v>
                </c:pt>
                <c:pt idx="117">
                  <c:v>51.40594936708861</c:v>
                </c:pt>
                <c:pt idx="118">
                  <c:v>51.845316455696207</c:v>
                </c:pt>
                <c:pt idx="119">
                  <c:v>52.284683544303796</c:v>
                </c:pt>
                <c:pt idx="120">
                  <c:v>52.724050632911393</c:v>
                </c:pt>
                <c:pt idx="121">
                  <c:v>53.163417721518982</c:v>
                </c:pt>
                <c:pt idx="122">
                  <c:v>53.602784810126579</c:v>
                </c:pt>
                <c:pt idx="123">
                  <c:v>54.042151898734176</c:v>
                </c:pt>
                <c:pt idx="124">
                  <c:v>54.481518987341772</c:v>
                </c:pt>
                <c:pt idx="125">
                  <c:v>54.920886075949369</c:v>
                </c:pt>
                <c:pt idx="126">
                  <c:v>55.360253164556966</c:v>
                </c:pt>
                <c:pt idx="127">
                  <c:v>55.799620253164555</c:v>
                </c:pt>
                <c:pt idx="128">
                  <c:v>56.238987341772152</c:v>
                </c:pt>
                <c:pt idx="129">
                  <c:v>56.678354430379748</c:v>
                </c:pt>
                <c:pt idx="130">
                  <c:v>57.117721518987345</c:v>
                </c:pt>
                <c:pt idx="131">
                  <c:v>57.557088607594942</c:v>
                </c:pt>
                <c:pt idx="132">
                  <c:v>57.996455696202538</c:v>
                </c:pt>
                <c:pt idx="133">
                  <c:v>58.435822784810128</c:v>
                </c:pt>
                <c:pt idx="134">
                  <c:v>58.875189873417725</c:v>
                </c:pt>
                <c:pt idx="135">
                  <c:v>59.314556962025321</c:v>
                </c:pt>
                <c:pt idx="136">
                  <c:v>59.753924050632918</c:v>
                </c:pt>
                <c:pt idx="137">
                  <c:v>60.193291139240515</c:v>
                </c:pt>
                <c:pt idx="138">
                  <c:v>60.632658227848104</c:v>
                </c:pt>
                <c:pt idx="139">
                  <c:v>61.072025316455701</c:v>
                </c:pt>
                <c:pt idx="140">
                  <c:v>61.511392405063297</c:v>
                </c:pt>
                <c:pt idx="141">
                  <c:v>61.95075949367088</c:v>
                </c:pt>
                <c:pt idx="142">
                  <c:v>62.390126582278477</c:v>
                </c:pt>
                <c:pt idx="143">
                  <c:v>62.829493670886073</c:v>
                </c:pt>
                <c:pt idx="144">
                  <c:v>63.26886075949367</c:v>
                </c:pt>
                <c:pt idx="145">
                  <c:v>63.708227848101266</c:v>
                </c:pt>
                <c:pt idx="146">
                  <c:v>64.147594936708856</c:v>
                </c:pt>
                <c:pt idx="147">
                  <c:v>64.586962025316453</c:v>
                </c:pt>
                <c:pt idx="148">
                  <c:v>65.026329113924049</c:v>
                </c:pt>
                <c:pt idx="149">
                  <c:v>65.465696202531646</c:v>
                </c:pt>
                <c:pt idx="150">
                  <c:v>65.905063291139243</c:v>
                </c:pt>
                <c:pt idx="151">
                  <c:v>66.344430379746839</c:v>
                </c:pt>
                <c:pt idx="152">
                  <c:v>66.783797468354436</c:v>
                </c:pt>
                <c:pt idx="153">
                  <c:v>67.223164556962033</c:v>
                </c:pt>
                <c:pt idx="154">
                  <c:v>67.662531645569615</c:v>
                </c:pt>
                <c:pt idx="155">
                  <c:v>68.101898734177212</c:v>
                </c:pt>
                <c:pt idx="156">
                  <c:v>68.541265822784808</c:v>
                </c:pt>
                <c:pt idx="157">
                  <c:v>68.980632911392405</c:v>
                </c:pt>
                <c:pt idx="158">
                  <c:v>69.42</c:v>
                </c:pt>
                <c:pt idx="159">
                  <c:v>69.859367088607598</c:v>
                </c:pt>
              </c:numCache>
            </c:numRef>
          </c:val>
          <c:smooth val="0"/>
          <c:extLst>
            <c:ext xmlns:c16="http://schemas.microsoft.com/office/drawing/2014/chart" uri="{C3380CC4-5D6E-409C-BE32-E72D297353CC}">
              <c16:uniqueId val="{00000001-B35D-BC45-B38E-770BF1182830}"/>
            </c:ext>
          </c:extLst>
        </c:ser>
        <c:dLbls>
          <c:showLegendKey val="0"/>
          <c:showVal val="0"/>
          <c:showCatName val="0"/>
          <c:showSerName val="0"/>
          <c:showPercent val="0"/>
          <c:showBubbleSize val="0"/>
        </c:dLbls>
        <c:hiLowLines>
          <c:spPr>
            <a:ln w="0">
              <a:noFill/>
            </a:ln>
          </c:spPr>
        </c:hiLowLines>
        <c:marker val="1"/>
        <c:smooth val="0"/>
        <c:axId val="48033938"/>
        <c:axId val="12537567"/>
      </c:lineChart>
      <c:dateAx>
        <c:axId val="57594578"/>
        <c:scaling>
          <c:orientation val="minMax"/>
        </c:scaling>
        <c:delete val="1"/>
        <c:axPos val="b"/>
        <c:numFmt formatCode="mm/dd/yyyy" sourceLinked="1"/>
        <c:majorTickMark val="none"/>
        <c:minorTickMark val="none"/>
        <c:tickLblPos val="nextTo"/>
        <c:crossAx val="56448788"/>
        <c:crosses val="autoZero"/>
        <c:auto val="1"/>
        <c:lblOffset val="100"/>
        <c:baseTimeUnit val="days"/>
      </c:dateAx>
      <c:valAx>
        <c:axId val="564487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7594578"/>
        <c:crosses val="autoZero"/>
        <c:crossBetween val="between"/>
      </c:valAx>
      <c:dateAx>
        <c:axId val="48033938"/>
        <c:scaling>
          <c:orientation val="minMax"/>
        </c:scaling>
        <c:delete val="1"/>
        <c:axPos val="b"/>
        <c:numFmt formatCode="mm/dd/yyyy" sourceLinked="1"/>
        <c:majorTickMark val="none"/>
        <c:minorTickMark val="none"/>
        <c:tickLblPos val="nextTo"/>
        <c:crossAx val="12537567"/>
        <c:crosses val="autoZero"/>
        <c:auto val="1"/>
        <c:lblOffset val="100"/>
        <c:baseTimeUnit val="days"/>
      </c:dateAx>
      <c:valAx>
        <c:axId val="125375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8033938"/>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layout/>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(Calc)'!$R$3:$R$500</c:f>
              <c:numCache>
                <c:formatCode>0.0%</c:formatCode>
                <c:ptCount val="498"/>
                <c:pt idx="0">
                  <c:v>-2.6972157772621852E-2</c:v>
                </c:pt>
                <c:pt idx="1">
                  <c:v>5.9612518628915367E-4</c:v>
                </c:pt>
                <c:pt idx="2">
                  <c:v>1.3106940720881699E-2</c:v>
                </c:pt>
                <c:pt idx="3">
                  <c:v>2.646280505733678E-3</c:v>
                </c:pt>
                <c:pt idx="4">
                  <c:v>-1.9648093841642233E-2</c:v>
                </c:pt>
                <c:pt idx="5">
                  <c:v>-2.0939276099312121E-2</c:v>
                </c:pt>
                <c:pt idx="6">
                  <c:v>5.7439657806293898E-2</c:v>
                </c:pt>
                <c:pt idx="7">
                  <c:v>2.080323605894252E-2</c:v>
                </c:pt>
                <c:pt idx="8">
                  <c:v>9.3405038211151759E-3</c:v>
                </c:pt>
                <c:pt idx="9">
                  <c:v>5.328098710039475E-3</c:v>
                </c:pt>
                <c:pt idx="10">
                  <c:v>1.9525801952580135E-3</c:v>
                </c:pt>
                <c:pt idx="11">
                  <c:v>7.2383073496657957E-3</c:v>
                </c:pt>
                <c:pt idx="12">
                  <c:v>1.5201768933112092E-2</c:v>
                </c:pt>
                <c:pt idx="13">
                  <c:v>2.9948271167983265E-3</c:v>
                </c:pt>
                <c:pt idx="14">
                  <c:v>3.2573289902280145E-3</c:v>
                </c:pt>
                <c:pt idx="15">
                  <c:v>-1.5692640692640647E-2</c:v>
                </c:pt>
                <c:pt idx="16">
                  <c:v>2.7487630566245258E-2</c:v>
                </c:pt>
                <c:pt idx="17">
                  <c:v>1.7656500802568198E-2</c:v>
                </c:pt>
                <c:pt idx="18">
                  <c:v>7.8864353312304569E-3</c:v>
                </c:pt>
                <c:pt idx="19">
                  <c:v>9.650495565988404E-3</c:v>
                </c:pt>
                <c:pt idx="20">
                  <c:v>1.0591578403513324E-2</c:v>
                </c:pt>
                <c:pt idx="21">
                  <c:v>-3.323108384457929E-3</c:v>
                </c:pt>
                <c:pt idx="22">
                  <c:v>1.2567324955116588E-2</c:v>
                </c:pt>
                <c:pt idx="23">
                  <c:v>1.2664640324214771E-2</c:v>
                </c:pt>
                <c:pt idx="24">
                  <c:v>-1.5007503751874873E-3</c:v>
                </c:pt>
                <c:pt idx="25">
                  <c:v>-5.2605210420841875E-3</c:v>
                </c:pt>
                <c:pt idx="26">
                  <c:v>2.5686225132208307E-2</c:v>
                </c:pt>
                <c:pt idx="27">
                  <c:v>-4.9103854652576828E-4</c:v>
                </c:pt>
                <c:pt idx="28">
                  <c:v>-4.1758781626136665E-3</c:v>
                </c:pt>
                <c:pt idx="29">
                  <c:v>-3.453379378391741E-3</c:v>
                </c:pt>
                <c:pt idx="30">
                  <c:v>-4.8019801980197951E-2</c:v>
                </c:pt>
                <c:pt idx="31">
                  <c:v>3.5881435257410388E-2</c:v>
                </c:pt>
                <c:pt idx="32">
                  <c:v>1.0040160642570184E-2</c:v>
                </c:pt>
                <c:pt idx="33">
                  <c:v>1.391650099403563E-2</c:v>
                </c:pt>
                <c:pt idx="34">
                  <c:v>1.2009803921568585E-2</c:v>
                </c:pt>
                <c:pt idx="35">
                  <c:v>4.6015984499878648E-3</c:v>
                </c:pt>
                <c:pt idx="36">
                  <c:v>-3.3751205400190942E-3</c:v>
                </c:pt>
                <c:pt idx="37">
                  <c:v>1.4029995162070596E-2</c:v>
                </c:pt>
                <c:pt idx="38">
                  <c:v>1.2643129770992356E-2</c:v>
                </c:pt>
                <c:pt idx="39">
                  <c:v>9.4228504122484402E-4</c:v>
                </c:pt>
                <c:pt idx="40">
                  <c:v>4.7069898799716459E-3</c:v>
                </c:pt>
                <c:pt idx="41">
                  <c:v>1.4523307566174815E-2</c:v>
                </c:pt>
                <c:pt idx="42">
                  <c:v>-6.9268067420924506E-4</c:v>
                </c:pt>
                <c:pt idx="43">
                  <c:v>-2.957486136783738E-2</c:v>
                </c:pt>
                <c:pt idx="44">
                  <c:v>-2.261904761904765E-2</c:v>
                </c:pt>
                <c:pt idx="45">
                  <c:v>-2.655298416565155E-2</c:v>
                </c:pt>
                <c:pt idx="46">
                  <c:v>2.752752752752663E-3</c:v>
                </c:pt>
                <c:pt idx="47">
                  <c:v>4.217619166458686E-2</c:v>
                </c:pt>
                <c:pt idx="48">
                  <c:v>8.3812260536397787E-3</c:v>
                </c:pt>
                <c:pt idx="49">
                  <c:v>3.3246259795773891E-3</c:v>
                </c:pt>
                <c:pt idx="50">
                  <c:v>-4.0236686390532572E-2</c:v>
                </c:pt>
                <c:pt idx="51">
                  <c:v>4.636251541307046E-2</c:v>
                </c:pt>
                <c:pt idx="52">
                  <c:v>1.2491161913740223E-2</c:v>
                </c:pt>
                <c:pt idx="53">
                  <c:v>6.9832402234635271E-3</c:v>
                </c:pt>
                <c:pt idx="54">
                  <c:v>2.3116042533517511E-3</c:v>
                </c:pt>
                <c:pt idx="55">
                  <c:v>8.9944649446493941E-3</c:v>
                </c:pt>
                <c:pt idx="56">
                  <c:v>7.5428571428570734E-3</c:v>
                </c:pt>
                <c:pt idx="57">
                  <c:v>2.2686025408349408E-3</c:v>
                </c:pt>
                <c:pt idx="58">
                  <c:v>-8.3748302399274666E-3</c:v>
                </c:pt>
                <c:pt idx="59">
                  <c:v>3.8575667655786239E-2</c:v>
                </c:pt>
                <c:pt idx="60">
                  <c:v>-1.6483516483516536E-2</c:v>
                </c:pt>
                <c:pt idx="61">
                  <c:v>1.7206703910614518E-2</c:v>
                </c:pt>
                <c:pt idx="62">
                  <c:v>9.2267135325130312E-3</c:v>
                </c:pt>
                <c:pt idx="63">
                  <c:v>1.8502394427514224E-2</c:v>
                </c:pt>
                <c:pt idx="64">
                  <c:v>3.8469758495405237E-3</c:v>
                </c:pt>
                <c:pt idx="65">
                  <c:v>-1.1070896316797918E-2</c:v>
                </c:pt>
                <c:pt idx="66">
                  <c:v>9.2572658772873684E-3</c:v>
                </c:pt>
                <c:pt idx="67">
                  <c:v>-3.4129692832765013E-3</c:v>
                </c:pt>
                <c:pt idx="68">
                  <c:v>-1.9263698630136994E-2</c:v>
                </c:pt>
                <c:pt idx="69">
                  <c:v>2.3134002618943716E-2</c:v>
                </c:pt>
                <c:pt idx="70">
                  <c:v>1.3865187713310467E-2</c:v>
                </c:pt>
                <c:pt idx="71">
                  <c:v>-1.0309278350515538E-2</c:v>
                </c:pt>
                <c:pt idx="72">
                  <c:v>2.5510204081631294E-3</c:v>
                </c:pt>
                <c:pt idx="73">
                  <c:v>1.929601357082289E-2</c:v>
                </c:pt>
                <c:pt idx="74">
                  <c:v>-1.2065737466195103E-2</c:v>
                </c:pt>
                <c:pt idx="75">
                  <c:v>-2.7584754685196944E-2</c:v>
                </c:pt>
                <c:pt idx="76">
                  <c:v>-3.1398873971416275E-2</c:v>
                </c:pt>
                <c:pt idx="77">
                  <c:v>-2.123854236530287E-2</c:v>
                </c:pt>
                <c:pt idx="78">
                  <c:v>3.6546368204659618E-3</c:v>
                </c:pt>
                <c:pt idx="79">
                  <c:v>-1.8889394629039602E-2</c:v>
                </c:pt>
                <c:pt idx="80">
                  <c:v>-9.0930178612850909E-2</c:v>
                </c:pt>
                <c:pt idx="81">
                  <c:v>6.3026282214850626E-2</c:v>
                </c:pt>
                <c:pt idx="82">
                  <c:v>-1.6082573211713691E-2</c:v>
                </c:pt>
                <c:pt idx="83">
                  <c:v>4.8060502561600327E-2</c:v>
                </c:pt>
                <c:pt idx="84">
                  <c:v>1.9785847299813808E-2</c:v>
                </c:pt>
                <c:pt idx="85">
                  <c:v>2.7391006619492675E-3</c:v>
                </c:pt>
                <c:pt idx="86">
                  <c:v>1.7300250398361028E-2</c:v>
                </c:pt>
                <c:pt idx="87">
                  <c:v>-9.1743119266054496E-3</c:v>
                </c:pt>
                <c:pt idx="88">
                  <c:v>1.129177958446248E-2</c:v>
                </c:pt>
                <c:pt idx="89">
                  <c:v>1.3175524787851556E-2</c:v>
                </c:pt>
                <c:pt idx="90">
                  <c:v>-1.9836896627726253E-3</c:v>
                </c:pt>
                <c:pt idx="91">
                  <c:v>3.0918727915194566E-3</c:v>
                </c:pt>
                <c:pt idx="92">
                  <c:v>2.8841919859092791E-2</c:v>
                </c:pt>
                <c:pt idx="93">
                  <c:v>7.0618446394179468E-3</c:v>
                </c:pt>
                <c:pt idx="94">
                  <c:v>3.612409689757623E-3</c:v>
                </c:pt>
                <c:pt idx="95">
                  <c:v>6.1401651492696274E-3</c:v>
                </c:pt>
                <c:pt idx="96">
                  <c:v>7.1548821548821362E-3</c:v>
                </c:pt>
                <c:pt idx="97">
                  <c:v>-1.5252820727120753E-2</c:v>
                </c:pt>
                <c:pt idx="98">
                  <c:v>2.8219817525992008E-2</c:v>
                </c:pt>
                <c:pt idx="99">
                  <c:v>8.6669418076765758E-3</c:v>
                </c:pt>
                <c:pt idx="100">
                  <c:v>-2.4549918166940632E-3</c:v>
                </c:pt>
                <c:pt idx="101">
                  <c:v>2.0508613617731264E-4</c:v>
                </c:pt>
                <c:pt idx="102">
                  <c:v>9.8421160549517772E-3</c:v>
                </c:pt>
                <c:pt idx="103">
                  <c:v>1.3604060913705585E-2</c:v>
                </c:pt>
                <c:pt idx="104">
                  <c:v>1.1017628205128194E-2</c:v>
                </c:pt>
                <c:pt idx="105">
                  <c:v>1.5851000594411246E-3</c:v>
                </c:pt>
                <c:pt idx="106">
                  <c:v>8.3086053412462224E-3</c:v>
                </c:pt>
                <c:pt idx="107">
                  <c:v>-1.6676476358642334E-2</c:v>
                </c:pt>
                <c:pt idx="108">
                  <c:v>2.0550678371907383E-2</c:v>
                </c:pt>
                <c:pt idx="109">
                  <c:v>1.8572825024437911E-2</c:v>
                </c:pt>
                <c:pt idx="110">
                  <c:v>9.4049904030710785E-3</c:v>
                </c:pt>
                <c:pt idx="111">
                  <c:v>-1.5592317931165667E-2</c:v>
                </c:pt>
                <c:pt idx="112">
                  <c:v>1.9316206297081973E-3</c:v>
                </c:pt>
                <c:pt idx="113">
                  <c:v>-2.7376132639290396E-2</c:v>
                </c:pt>
                <c:pt idx="114">
                  <c:v>4.5787908820614343E-2</c:v>
                </c:pt>
                <c:pt idx="115">
                  <c:v>9.6664139499622603E-3</c:v>
                </c:pt>
                <c:pt idx="116">
                  <c:v>-1.0887929416181774E-2</c:v>
                </c:pt>
                <c:pt idx="117">
                  <c:v>7.4017840197380114E-3</c:v>
                </c:pt>
                <c:pt idx="118">
                  <c:v>1.2434061793519247E-2</c:v>
                </c:pt>
                <c:pt idx="119">
                  <c:v>-1.1537030145143401E-2</c:v>
                </c:pt>
                <c:pt idx="120">
                  <c:v>1.8448795180723065E-2</c:v>
                </c:pt>
                <c:pt idx="121">
                  <c:v>-4.0665434380776633E-3</c:v>
                </c:pt>
                <c:pt idx="122">
                  <c:v>5.1967334818112665E-3</c:v>
                </c:pt>
                <c:pt idx="123">
                  <c:v>3.5081240768095601E-3</c:v>
                </c:pt>
                <c:pt idx="124">
                  <c:v>-1.5455381784728717E-2</c:v>
                </c:pt>
                <c:pt idx="125">
                  <c:v>-9.3440478415249828E-3</c:v>
                </c:pt>
                <c:pt idx="126">
                  <c:v>1.1129975476325216E-2</c:v>
                </c:pt>
                <c:pt idx="127">
                  <c:v>-1.8656716417910779E-3</c:v>
                </c:pt>
                <c:pt idx="128">
                  <c:v>-1.1962616822429939E-2</c:v>
                </c:pt>
                <c:pt idx="129">
                  <c:v>-5.107832009080493E-3</c:v>
                </c:pt>
                <c:pt idx="130">
                  <c:v>-1.4071116181783694E-2</c:v>
                </c:pt>
                <c:pt idx="131">
                  <c:v>-2.9315332690453277E-2</c:v>
                </c:pt>
                <c:pt idx="132">
                  <c:v>3.7552155771905404E-2</c:v>
                </c:pt>
                <c:pt idx="133">
                  <c:v>3.6384527001148914E-2</c:v>
                </c:pt>
                <c:pt idx="134">
                  <c:v>1.8107908351810975E-2</c:v>
                </c:pt>
                <c:pt idx="135">
                  <c:v>5.6261343012702358E-3</c:v>
                </c:pt>
                <c:pt idx="136">
                  <c:v>7.9408049088613986E-3</c:v>
                </c:pt>
                <c:pt idx="137">
                  <c:v>1.271262309758292E-2</c:v>
                </c:pt>
                <c:pt idx="138">
                  <c:v>2.652050919377702E-3</c:v>
                </c:pt>
                <c:pt idx="139">
                  <c:v>7.4061012167165874E-3</c:v>
                </c:pt>
                <c:pt idx="140">
                  <c:v>1.5578505163661882E-2</c:v>
                </c:pt>
                <c:pt idx="141">
                  <c:v>-2.792140641158225E-2</c:v>
                </c:pt>
                <c:pt idx="142">
                  <c:v>1.6312056737588732E-2</c:v>
                </c:pt>
                <c:pt idx="143">
                  <c:v>2.4773203070481475E-2</c:v>
                </c:pt>
                <c:pt idx="144">
                  <c:v>-3.1324480762683016E-2</c:v>
                </c:pt>
                <c:pt idx="145">
                  <c:v>1.001757469244291E-2</c:v>
                </c:pt>
                <c:pt idx="146">
                  <c:v>1.8792413433095456E-2</c:v>
                </c:pt>
                <c:pt idx="147">
                  <c:v>-3.2963279248505506E-2</c:v>
                </c:pt>
                <c:pt idx="148">
                  <c:v>-9.3606499470151316E-3</c:v>
                </c:pt>
                <c:pt idx="149">
                  <c:v>4.9919771795328138E-3</c:v>
                </c:pt>
                <c:pt idx="150">
                  <c:v>3.8140855064750845E-2</c:v>
                </c:pt>
                <c:pt idx="151">
                  <c:v>1.3157894736842035E-2</c:v>
                </c:pt>
                <c:pt idx="152">
                  <c:v>-1.1469050430089389E-2</c:v>
                </c:pt>
                <c:pt idx="153">
                  <c:v>5.2891997952568826E-3</c:v>
                </c:pt>
                <c:pt idx="154">
                  <c:v>6.7888662593347249E-3</c:v>
                </c:pt>
                <c:pt idx="155">
                  <c:v>-1.5171948752529252E-3</c:v>
                </c:pt>
                <c:pt idx="156">
                  <c:v>7.5975012662503616E-3</c:v>
                </c:pt>
                <c:pt idx="157">
                  <c:v>1.6588471849865893E-2</c:v>
                </c:pt>
                <c:pt idx="158">
                  <c:v>6.0985660128562991E-3</c:v>
                </c:pt>
                <c:pt idx="159">
                  <c:v>0</c:v>
                </c:pt>
              </c:numCache>
            </c:numRef>
          </c:val>
          <c:extLst>
            <c:ext xmlns:c16="http://schemas.microsoft.com/office/drawing/2014/chart" uri="{C3380CC4-5D6E-409C-BE32-E72D297353CC}">
              <c16:uniqueId val="{00000000-D5B8-0048-AAE5-6AEE16A43FA9}"/>
            </c:ext>
          </c:extLst>
        </c:ser>
        <c:dLbls>
          <c:showLegendKey val="0"/>
          <c:showVal val="0"/>
          <c:showCatName val="0"/>
          <c:showSerName val="0"/>
          <c:showPercent val="0"/>
          <c:showBubbleSize val="0"/>
        </c:dLbls>
        <c:gapWidth val="150"/>
        <c:axId val="70889403"/>
        <c:axId val="4347135"/>
      </c:barChart>
      <c:lineChart>
        <c:grouping val="standard"/>
        <c:varyColors val="0"/>
        <c:ser>
          <c:idx val="1"/>
          <c:order val="1"/>
          <c:tx>
            <c:strRef>
              <c:f>'Returns (Calc)'!$AL$2</c:f>
              <c:strCache>
                <c:ptCount val="1"/>
                <c:pt idx="0">
                  <c:v>JEPQ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(Calc)'!$AL$3:$AL$500</c:f>
              <c:numCache>
                <c:formatCode>#,##0.00</c:formatCode>
                <c:ptCount val="498"/>
                <c:pt idx="0">
                  <c:v>34.479999999999997</c:v>
                </c:pt>
                <c:pt idx="1">
                  <c:v>34.648101265822781</c:v>
                </c:pt>
                <c:pt idx="2">
                  <c:v>34.816202531645565</c:v>
                </c:pt>
                <c:pt idx="3">
                  <c:v>34.98430379746835</c:v>
                </c:pt>
                <c:pt idx="4">
                  <c:v>35.152405063291134</c:v>
                </c:pt>
                <c:pt idx="5">
                  <c:v>35.320506329113918</c:v>
                </c:pt>
                <c:pt idx="6">
                  <c:v>35.488607594936703</c:v>
                </c:pt>
                <c:pt idx="7">
                  <c:v>35.656708860759494</c:v>
                </c:pt>
                <c:pt idx="8">
                  <c:v>35.824810126582278</c:v>
                </c:pt>
                <c:pt idx="9">
                  <c:v>35.992911392405063</c:v>
                </c:pt>
                <c:pt idx="10">
                  <c:v>36.161012658227847</c:v>
                </c:pt>
                <c:pt idx="11">
                  <c:v>36.329113924050631</c:v>
                </c:pt>
                <c:pt idx="12">
                  <c:v>36.497215189873415</c:v>
                </c:pt>
                <c:pt idx="13">
                  <c:v>36.6653164556962</c:v>
                </c:pt>
                <c:pt idx="14">
                  <c:v>36.833417721518984</c:v>
                </c:pt>
                <c:pt idx="15">
                  <c:v>37.001518987341768</c:v>
                </c:pt>
                <c:pt idx="16">
                  <c:v>37.169620253164553</c:v>
                </c:pt>
                <c:pt idx="17">
                  <c:v>37.337721518987337</c:v>
                </c:pt>
                <c:pt idx="18">
                  <c:v>37.505822784810121</c:v>
                </c:pt>
                <c:pt idx="19">
                  <c:v>37.673924050632905</c:v>
                </c:pt>
                <c:pt idx="20">
                  <c:v>37.84202531645569</c:v>
                </c:pt>
                <c:pt idx="21">
                  <c:v>38.010126582278481</c:v>
                </c:pt>
                <c:pt idx="22">
                  <c:v>38.178227848101265</c:v>
                </c:pt>
                <c:pt idx="23">
                  <c:v>38.34632911392405</c:v>
                </c:pt>
                <c:pt idx="24">
                  <c:v>38.514430379746834</c:v>
                </c:pt>
                <c:pt idx="25">
                  <c:v>38.682531645569618</c:v>
                </c:pt>
                <c:pt idx="26">
                  <c:v>38.850632911392402</c:v>
                </c:pt>
                <c:pt idx="27">
                  <c:v>39.018734177215187</c:v>
                </c:pt>
                <c:pt idx="28">
                  <c:v>39.186835443037971</c:v>
                </c:pt>
                <c:pt idx="29">
                  <c:v>39.354936708860755</c:v>
                </c:pt>
                <c:pt idx="30">
                  <c:v>39.52303797468354</c:v>
                </c:pt>
                <c:pt idx="31">
                  <c:v>39.691139240506324</c:v>
                </c:pt>
                <c:pt idx="32">
                  <c:v>39.859240506329108</c:v>
                </c:pt>
                <c:pt idx="33">
                  <c:v>40.0273417721519</c:v>
                </c:pt>
                <c:pt idx="34">
                  <c:v>40.195443037974684</c:v>
                </c:pt>
                <c:pt idx="35">
                  <c:v>40.363544303797468</c:v>
                </c:pt>
                <c:pt idx="36">
                  <c:v>40.531645569620252</c:v>
                </c:pt>
                <c:pt idx="37">
                  <c:v>40.699746835443037</c:v>
                </c:pt>
                <c:pt idx="38">
                  <c:v>40.867848101265821</c:v>
                </c:pt>
                <c:pt idx="39">
                  <c:v>41.035949367088605</c:v>
                </c:pt>
                <c:pt idx="40">
                  <c:v>41.20405063291139</c:v>
                </c:pt>
                <c:pt idx="41">
                  <c:v>41.372151898734174</c:v>
                </c:pt>
                <c:pt idx="42">
                  <c:v>41.540253164556958</c:v>
                </c:pt>
                <c:pt idx="43">
                  <c:v>41.708354430379742</c:v>
                </c:pt>
                <c:pt idx="44">
                  <c:v>41.876455696202527</c:v>
                </c:pt>
                <c:pt idx="45">
                  <c:v>42.044556962025311</c:v>
                </c:pt>
                <c:pt idx="46">
                  <c:v>42.212658227848102</c:v>
                </c:pt>
                <c:pt idx="47">
                  <c:v>42.380759493670887</c:v>
                </c:pt>
                <c:pt idx="48">
                  <c:v>42.548860759493671</c:v>
                </c:pt>
                <c:pt idx="49">
                  <c:v>42.716962025316455</c:v>
                </c:pt>
                <c:pt idx="50">
                  <c:v>42.88506329113924</c:v>
                </c:pt>
                <c:pt idx="51">
                  <c:v>43.053164556962024</c:v>
                </c:pt>
                <c:pt idx="52">
                  <c:v>43.221265822784808</c:v>
                </c:pt>
                <c:pt idx="53">
                  <c:v>43.389367088607592</c:v>
                </c:pt>
                <c:pt idx="54">
                  <c:v>43.557468354430377</c:v>
                </c:pt>
                <c:pt idx="55">
                  <c:v>43.725569620253161</c:v>
                </c:pt>
                <c:pt idx="56">
                  <c:v>43.893670886075945</c:v>
                </c:pt>
                <c:pt idx="57">
                  <c:v>44.06177215189873</c:v>
                </c:pt>
                <c:pt idx="58">
                  <c:v>44.229873417721514</c:v>
                </c:pt>
                <c:pt idx="59">
                  <c:v>44.397974683544305</c:v>
                </c:pt>
                <c:pt idx="60">
                  <c:v>44.566075949367089</c:v>
                </c:pt>
                <c:pt idx="61">
                  <c:v>44.734177215189874</c:v>
                </c:pt>
                <c:pt idx="62">
                  <c:v>44.902278481012658</c:v>
                </c:pt>
                <c:pt idx="63">
                  <c:v>45.070379746835442</c:v>
                </c:pt>
                <c:pt idx="64">
                  <c:v>45.238481012658227</c:v>
                </c:pt>
                <c:pt idx="65">
                  <c:v>45.406582278481011</c:v>
                </c:pt>
                <c:pt idx="66">
                  <c:v>45.574683544303795</c:v>
                </c:pt>
                <c:pt idx="67">
                  <c:v>45.742784810126579</c:v>
                </c:pt>
                <c:pt idx="68">
                  <c:v>45.910886075949364</c:v>
                </c:pt>
                <c:pt idx="69">
                  <c:v>46.078987341772148</c:v>
                </c:pt>
                <c:pt idx="70">
                  <c:v>46.247088607594932</c:v>
                </c:pt>
                <c:pt idx="71">
                  <c:v>46.415189873417717</c:v>
                </c:pt>
                <c:pt idx="72">
                  <c:v>46.583291139240501</c:v>
                </c:pt>
                <c:pt idx="73">
                  <c:v>46.751392405063285</c:v>
                </c:pt>
                <c:pt idx="74">
                  <c:v>46.919493670886069</c:v>
                </c:pt>
                <c:pt idx="75">
                  <c:v>47.087594936708861</c:v>
                </c:pt>
                <c:pt idx="76">
                  <c:v>47.255696202531645</c:v>
                </c:pt>
                <c:pt idx="77">
                  <c:v>47.423797468354429</c:v>
                </c:pt>
                <c:pt idx="78">
                  <c:v>47.591898734177214</c:v>
                </c:pt>
                <c:pt idx="79">
                  <c:v>47.76</c:v>
                </c:pt>
                <c:pt idx="80">
                  <c:v>47.928101265822782</c:v>
                </c:pt>
                <c:pt idx="81">
                  <c:v>48.096202531645567</c:v>
                </c:pt>
                <c:pt idx="82">
                  <c:v>48.264303797468351</c:v>
                </c:pt>
                <c:pt idx="83">
                  <c:v>48.432405063291135</c:v>
                </c:pt>
                <c:pt idx="84">
                  <c:v>48.600506329113919</c:v>
                </c:pt>
                <c:pt idx="85">
                  <c:v>48.768607594936711</c:v>
                </c:pt>
                <c:pt idx="86">
                  <c:v>48.936708860759495</c:v>
                </c:pt>
                <c:pt idx="87">
                  <c:v>49.104810126582279</c:v>
                </c:pt>
                <c:pt idx="88">
                  <c:v>49.272911392405064</c:v>
                </c:pt>
                <c:pt idx="89">
                  <c:v>49.441012658227848</c:v>
                </c:pt>
                <c:pt idx="90">
                  <c:v>49.609113924050632</c:v>
                </c:pt>
                <c:pt idx="91">
                  <c:v>49.777215189873417</c:v>
                </c:pt>
                <c:pt idx="92">
                  <c:v>49.945316455696201</c:v>
                </c:pt>
                <c:pt idx="93">
                  <c:v>50.113417721518985</c:v>
                </c:pt>
                <c:pt idx="94">
                  <c:v>50.281518987341769</c:v>
                </c:pt>
                <c:pt idx="95">
                  <c:v>50.449620253164554</c:v>
                </c:pt>
                <c:pt idx="96">
                  <c:v>50.617721518987338</c:v>
                </c:pt>
                <c:pt idx="97">
                  <c:v>50.785822784810122</c:v>
                </c:pt>
                <c:pt idx="98">
                  <c:v>50.953924050632907</c:v>
                </c:pt>
                <c:pt idx="99">
                  <c:v>51.122025316455691</c:v>
                </c:pt>
                <c:pt idx="100">
                  <c:v>51.290126582278475</c:v>
                </c:pt>
                <c:pt idx="101">
                  <c:v>51.458227848101266</c:v>
                </c:pt>
                <c:pt idx="102">
                  <c:v>51.626329113924051</c:v>
                </c:pt>
                <c:pt idx="103">
                  <c:v>51.794430379746835</c:v>
                </c:pt>
                <c:pt idx="104">
                  <c:v>51.962531645569619</c:v>
                </c:pt>
                <c:pt idx="105">
                  <c:v>52.130632911392404</c:v>
                </c:pt>
                <c:pt idx="106">
                  <c:v>52.298734177215188</c:v>
                </c:pt>
                <c:pt idx="107">
                  <c:v>52.466835443037972</c:v>
                </c:pt>
                <c:pt idx="108">
                  <c:v>52.634936708860764</c:v>
                </c:pt>
                <c:pt idx="109">
                  <c:v>52.803037974683548</c:v>
                </c:pt>
                <c:pt idx="110">
                  <c:v>52.971139240506332</c:v>
                </c:pt>
                <c:pt idx="111">
                  <c:v>53.139240506329116</c:v>
                </c:pt>
                <c:pt idx="112">
                  <c:v>53.307341772151901</c:v>
                </c:pt>
                <c:pt idx="113">
                  <c:v>53.475443037974685</c:v>
                </c:pt>
                <c:pt idx="114">
                  <c:v>53.643544303797469</c:v>
                </c:pt>
                <c:pt idx="115">
                  <c:v>53.811645569620254</c:v>
                </c:pt>
                <c:pt idx="116">
                  <c:v>53.979746835443038</c:v>
                </c:pt>
                <c:pt idx="117">
                  <c:v>54.147848101265822</c:v>
                </c:pt>
                <c:pt idx="118">
                  <c:v>54.315949367088606</c:v>
                </c:pt>
                <c:pt idx="119">
                  <c:v>54.484050632911391</c:v>
                </c:pt>
                <c:pt idx="120">
                  <c:v>54.652151898734175</c:v>
                </c:pt>
                <c:pt idx="121">
                  <c:v>54.820253164556959</c:v>
                </c:pt>
                <c:pt idx="122">
                  <c:v>54.988354430379744</c:v>
                </c:pt>
                <c:pt idx="123">
                  <c:v>55.156455696202528</c:v>
                </c:pt>
                <c:pt idx="124">
                  <c:v>55.324556962025312</c:v>
                </c:pt>
                <c:pt idx="125">
                  <c:v>55.492658227848096</c:v>
                </c:pt>
                <c:pt idx="126">
                  <c:v>55.660759493670881</c:v>
                </c:pt>
                <c:pt idx="127">
                  <c:v>55.828860759493665</c:v>
                </c:pt>
                <c:pt idx="128">
                  <c:v>55.996962025316449</c:v>
                </c:pt>
                <c:pt idx="129">
                  <c:v>56.165063291139234</c:v>
                </c:pt>
                <c:pt idx="130">
                  <c:v>56.333164556962025</c:v>
                </c:pt>
                <c:pt idx="131">
                  <c:v>56.501265822784809</c:v>
                </c:pt>
                <c:pt idx="132">
                  <c:v>56.669367088607594</c:v>
                </c:pt>
                <c:pt idx="133">
                  <c:v>56.837468354430385</c:v>
                </c:pt>
                <c:pt idx="134">
                  <c:v>57.005569620253169</c:v>
                </c:pt>
                <c:pt idx="135">
                  <c:v>57.173670886075953</c:v>
                </c:pt>
                <c:pt idx="136">
                  <c:v>57.341772151898738</c:v>
                </c:pt>
                <c:pt idx="137">
                  <c:v>57.509873417721522</c:v>
                </c:pt>
                <c:pt idx="138">
                  <c:v>57.677974683544306</c:v>
                </c:pt>
                <c:pt idx="139">
                  <c:v>57.846075949367091</c:v>
                </c:pt>
                <c:pt idx="140">
                  <c:v>58.014177215189875</c:v>
                </c:pt>
                <c:pt idx="141">
                  <c:v>58.182278481012659</c:v>
                </c:pt>
                <c:pt idx="142">
                  <c:v>58.350379746835443</c:v>
                </c:pt>
                <c:pt idx="143">
                  <c:v>58.518481012658228</c:v>
                </c:pt>
                <c:pt idx="144">
                  <c:v>58.686582278481012</c:v>
                </c:pt>
                <c:pt idx="145">
                  <c:v>58.854683544303796</c:v>
                </c:pt>
                <c:pt idx="146">
                  <c:v>59.022784810126581</c:v>
                </c:pt>
                <c:pt idx="147">
                  <c:v>59.190886075949365</c:v>
                </c:pt>
                <c:pt idx="148">
                  <c:v>59.358987341772149</c:v>
                </c:pt>
                <c:pt idx="149">
                  <c:v>59.527088607594933</c:v>
                </c:pt>
                <c:pt idx="150">
                  <c:v>59.695189873417718</c:v>
                </c:pt>
                <c:pt idx="151">
                  <c:v>59.863291139240502</c:v>
                </c:pt>
                <c:pt idx="152">
                  <c:v>60.031392405063286</c:v>
                </c:pt>
                <c:pt idx="153">
                  <c:v>60.199493670886071</c:v>
                </c:pt>
                <c:pt idx="154">
                  <c:v>60.367594936708855</c:v>
                </c:pt>
                <c:pt idx="155">
                  <c:v>60.535696202531639</c:v>
                </c:pt>
                <c:pt idx="156">
                  <c:v>60.703797468354431</c:v>
                </c:pt>
                <c:pt idx="157">
                  <c:v>60.871898734177208</c:v>
                </c:pt>
                <c:pt idx="158">
                  <c:v>61.04</c:v>
                </c:pt>
                <c:pt idx="159">
                  <c:v>61.208101265822776</c:v>
                </c:pt>
              </c:numCache>
            </c:numRef>
          </c:val>
          <c:smooth val="0"/>
          <c:extLst>
            <c:ext xmlns:c16="http://schemas.microsoft.com/office/drawing/2014/chart" uri="{C3380CC4-5D6E-409C-BE32-E72D297353CC}">
              <c16:uniqueId val="{00000001-D5B8-0048-AAE5-6AEE16A43FA9}"/>
            </c:ext>
          </c:extLst>
        </c:ser>
        <c:dLbls>
          <c:showLegendKey val="0"/>
          <c:showVal val="0"/>
          <c:showCatName val="0"/>
          <c:showSerName val="0"/>
          <c:showPercent val="0"/>
          <c:showBubbleSize val="0"/>
        </c:dLbls>
        <c:hiLowLines>
          <c:spPr>
            <a:ln w="0">
              <a:noFill/>
            </a:ln>
          </c:spPr>
        </c:hiLowLines>
        <c:marker val="1"/>
        <c:smooth val="0"/>
        <c:axId val="29054856"/>
        <c:axId val="36413030"/>
      </c:lineChart>
      <c:dateAx>
        <c:axId val="70889403"/>
        <c:scaling>
          <c:orientation val="minMax"/>
        </c:scaling>
        <c:delete val="1"/>
        <c:axPos val="b"/>
        <c:numFmt formatCode="mm/dd/yyyy" sourceLinked="1"/>
        <c:majorTickMark val="none"/>
        <c:minorTickMark val="none"/>
        <c:tickLblPos val="nextTo"/>
        <c:crossAx val="4347135"/>
        <c:crosses val="autoZero"/>
        <c:auto val="1"/>
        <c:lblOffset val="100"/>
        <c:baseTimeUnit val="days"/>
      </c:dateAx>
      <c:valAx>
        <c:axId val="43471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0889403"/>
        <c:crosses val="autoZero"/>
        <c:crossBetween val="between"/>
      </c:valAx>
      <c:dateAx>
        <c:axId val="29054856"/>
        <c:scaling>
          <c:orientation val="minMax"/>
        </c:scaling>
        <c:delete val="1"/>
        <c:axPos val="b"/>
        <c:numFmt formatCode="mm/dd/yyyy" sourceLinked="1"/>
        <c:majorTickMark val="none"/>
        <c:minorTickMark val="none"/>
        <c:tickLblPos val="nextTo"/>
        <c:crossAx val="36413030"/>
        <c:crosses val="autoZero"/>
        <c:auto val="1"/>
        <c:lblOffset val="100"/>
        <c:baseTimeUnit val="days"/>
      </c:dateAx>
      <c:valAx>
        <c:axId val="364130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905485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layout/>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(Calc)'!$S$3:$S$500</c:f>
              <c:numCache>
                <c:formatCode>0.0%</c:formatCode>
                <c:ptCount val="498"/>
                <c:pt idx="0">
                  <c:v>-2.4292903001908783E-2</c:v>
                </c:pt>
                <c:pt idx="1">
                  <c:v>-3.0232971723278546E-3</c:v>
                </c:pt>
                <c:pt idx="2">
                  <c:v>1.1059579022475896E-2</c:v>
                </c:pt>
                <c:pt idx="3">
                  <c:v>5.6457304163726185E-3</c:v>
                </c:pt>
                <c:pt idx="4">
                  <c:v>-2.8947368421052611E-2</c:v>
                </c:pt>
                <c:pt idx="5">
                  <c:v>-2.0234869015356871E-2</c:v>
                </c:pt>
                <c:pt idx="6">
                  <c:v>5.8454729854324317E-2</c:v>
                </c:pt>
                <c:pt idx="7">
                  <c:v>2.9442508710801452E-2</c:v>
                </c:pt>
                <c:pt idx="8">
                  <c:v>2.1661871721103232E-2</c:v>
                </c:pt>
                <c:pt idx="9">
                  <c:v>5.4662912042406919E-3</c:v>
                </c:pt>
                <c:pt idx="10">
                  <c:v>-2.1416803953872021E-3</c:v>
                </c:pt>
                <c:pt idx="11">
                  <c:v>3.6321611358758332E-3</c:v>
                </c:pt>
                <c:pt idx="12">
                  <c:v>3.4216153972692842E-2</c:v>
                </c:pt>
                <c:pt idx="13">
                  <c:v>1.4951487195800972E-2</c:v>
                </c:pt>
                <c:pt idx="14">
                  <c:v>7.0521861777150807E-3</c:v>
                </c:pt>
                <c:pt idx="15">
                  <c:v>-1.0270774976657404E-2</c:v>
                </c:pt>
                <c:pt idx="16">
                  <c:v>3.0974842767295563E-2</c:v>
                </c:pt>
                <c:pt idx="17">
                  <c:v>2.1198718926338289E-2</c:v>
                </c:pt>
                <c:pt idx="18">
                  <c:v>1.6129032258064724E-2</c:v>
                </c:pt>
                <c:pt idx="19">
                  <c:v>4.5708406819517933E-2</c:v>
                </c:pt>
                <c:pt idx="20">
                  <c:v>2.3893183415319541E-2</c:v>
                </c:pt>
                <c:pt idx="21">
                  <c:v>8.3733699382291249E-3</c:v>
                </c:pt>
                <c:pt idx="22">
                  <c:v>2.232507487067803E-2</c:v>
                </c:pt>
                <c:pt idx="23">
                  <c:v>2.8095872170439407E-2</c:v>
                </c:pt>
                <c:pt idx="24">
                  <c:v>3.8855070586714113E-3</c:v>
                </c:pt>
                <c:pt idx="25">
                  <c:v>-5.1606244355567599E-3</c:v>
                </c:pt>
                <c:pt idx="26">
                  <c:v>3.0086888860070049E-2</c:v>
                </c:pt>
                <c:pt idx="27">
                  <c:v>-7.5538209744430151E-3</c:v>
                </c:pt>
                <c:pt idx="28">
                  <c:v>2.9176709374603149E-3</c:v>
                </c:pt>
                <c:pt idx="29">
                  <c:v>-1.4039969643308892E-2</c:v>
                </c:pt>
                <c:pt idx="30">
                  <c:v>-5.6831302116741589E-2</c:v>
                </c:pt>
                <c:pt idx="31">
                  <c:v>3.0059847660500738E-2</c:v>
                </c:pt>
                <c:pt idx="32">
                  <c:v>9.7715568466920644E-3</c:v>
                </c:pt>
                <c:pt idx="33">
                  <c:v>2.2230940238001873E-2</c:v>
                </c:pt>
                <c:pt idx="34">
                  <c:v>1.5095305104259937E-2</c:v>
                </c:pt>
                <c:pt idx="35">
                  <c:v>1.953371140516702E-2</c:v>
                </c:pt>
                <c:pt idx="36">
                  <c:v>-1.1001236093943101E-2</c:v>
                </c:pt>
                <c:pt idx="37">
                  <c:v>3.0371203599550034E-2</c:v>
                </c:pt>
                <c:pt idx="38">
                  <c:v>4.2212518195051008E-2</c:v>
                </c:pt>
                <c:pt idx="39">
                  <c:v>-8.1471135940414108E-4</c:v>
                </c:pt>
                <c:pt idx="40">
                  <c:v>1.8637157833432116E-3</c:v>
                </c:pt>
                <c:pt idx="41">
                  <c:v>3.1042901988140859E-2</c:v>
                </c:pt>
                <c:pt idx="42">
                  <c:v>-2.0297699594046259E-3</c:v>
                </c:pt>
                <c:pt idx="43">
                  <c:v>-4.0451977401129935E-2</c:v>
                </c:pt>
                <c:pt idx="44">
                  <c:v>-1.8841262364578504E-2</c:v>
                </c:pt>
                <c:pt idx="45">
                  <c:v>-2.9764762361977781E-2</c:v>
                </c:pt>
                <c:pt idx="46">
                  <c:v>1.7318159327065707E-2</c:v>
                </c:pt>
                <c:pt idx="47">
                  <c:v>5.7028210116731648E-2</c:v>
                </c:pt>
                <c:pt idx="48">
                  <c:v>1.3804210284136476E-2</c:v>
                </c:pt>
                <c:pt idx="49">
                  <c:v>-3.9714058776806338E-3</c:v>
                </c:pt>
                <c:pt idx="50">
                  <c:v>-5.9808612440191422E-2</c:v>
                </c:pt>
                <c:pt idx="51">
                  <c:v>6.1553374530473715E-2</c:v>
                </c:pt>
                <c:pt idx="52">
                  <c:v>1.6208195411482773E-2</c:v>
                </c:pt>
                <c:pt idx="53">
                  <c:v>-1.3478602718185462E-3</c:v>
                </c:pt>
                <c:pt idx="54">
                  <c:v>1.4958947250027999E-2</c:v>
                </c:pt>
                <c:pt idx="55">
                  <c:v>2.1609042553191626E-2</c:v>
                </c:pt>
                <c:pt idx="56">
                  <c:v>4.3388653867013627E-3</c:v>
                </c:pt>
                <c:pt idx="57">
                  <c:v>-1.4688411275515678E-2</c:v>
                </c:pt>
                <c:pt idx="58">
                  <c:v>-1.3701633234681543E-2</c:v>
                </c:pt>
                <c:pt idx="59">
                  <c:v>5.9791064681040229E-2</c:v>
                </c:pt>
                <c:pt idx="60">
                  <c:v>-3.0830536912751616E-2</c:v>
                </c:pt>
                <c:pt idx="61">
                  <c:v>1.785327851114471E-2</c:v>
                </c:pt>
                <c:pt idx="62">
                  <c:v>1.3075369405761705E-2</c:v>
                </c:pt>
                <c:pt idx="63">
                  <c:v>1.9307450157397765E-2</c:v>
                </c:pt>
                <c:pt idx="64">
                  <c:v>-9.3679225859584214E-3</c:v>
                </c:pt>
                <c:pt idx="65">
                  <c:v>-2.2446222591707476E-2</c:v>
                </c:pt>
                <c:pt idx="66">
                  <c:v>1.265015414053372E-2</c:v>
                </c:pt>
                <c:pt idx="67">
                  <c:v>3.0442998110433717E-3</c:v>
                </c:pt>
                <c:pt idx="68">
                  <c:v>-1.3500784929356247E-2</c:v>
                </c:pt>
                <c:pt idx="69">
                  <c:v>3.2145130490133678E-2</c:v>
                </c:pt>
                <c:pt idx="70">
                  <c:v>2.7135368485969869E-2</c:v>
                </c:pt>
                <c:pt idx="71">
                  <c:v>-1.2708896227359268E-2</c:v>
                </c:pt>
                <c:pt idx="72">
                  <c:v>1.9866207176160611E-2</c:v>
                </c:pt>
                <c:pt idx="73">
                  <c:v>1.0137149672033274E-2</c:v>
                </c:pt>
                <c:pt idx="74">
                  <c:v>-3.0598189689098776E-2</c:v>
                </c:pt>
                <c:pt idx="75">
                  <c:v>-1.1164112453060371E-3</c:v>
                </c:pt>
                <c:pt idx="76">
                  <c:v>-5.2631578947368474E-2</c:v>
                </c:pt>
                <c:pt idx="77">
                  <c:v>-7.1857571857572022E-3</c:v>
                </c:pt>
                <c:pt idx="78">
                  <c:v>3.7809225451010953E-3</c:v>
                </c:pt>
                <c:pt idx="79">
                  <c:v>-1.9694360740421857E-2</c:v>
                </c:pt>
                <c:pt idx="80">
                  <c:v>-0.10703699637720931</c:v>
                </c:pt>
                <c:pt idx="81">
                  <c:v>9.1099090238504932E-2</c:v>
                </c:pt>
                <c:pt idx="82">
                  <c:v>-1.7352112676056408E-2</c:v>
                </c:pt>
                <c:pt idx="83">
                  <c:v>6.5244811374842504E-2</c:v>
                </c:pt>
                <c:pt idx="84">
                  <c:v>4.0258342303552075E-2</c:v>
                </c:pt>
                <c:pt idx="85">
                  <c:v>6.9329470198675747E-3</c:v>
                </c:pt>
                <c:pt idx="86">
                  <c:v>6.8235535916144396E-2</c:v>
                </c:pt>
                <c:pt idx="87">
                  <c:v>-2.2318422318422404E-2</c:v>
                </c:pt>
                <c:pt idx="88">
                  <c:v>2.4303847289186331E-2</c:v>
                </c:pt>
                <c:pt idx="89">
                  <c:v>1.4889529298751203E-2</c:v>
                </c:pt>
                <c:pt idx="90">
                  <c:v>-7.0989115002366709E-3</c:v>
                </c:pt>
                <c:pt idx="91">
                  <c:v>7.0543374642515477E-3</c:v>
                </c:pt>
                <c:pt idx="92">
                  <c:v>4.8182506626277988E-2</c:v>
                </c:pt>
                <c:pt idx="93">
                  <c:v>5.960444324031311E-3</c:v>
                </c:pt>
                <c:pt idx="94">
                  <c:v>-3.0523386300386202E-3</c:v>
                </c:pt>
                <c:pt idx="95">
                  <c:v>1.4858171994597047E-2</c:v>
                </c:pt>
                <c:pt idx="96">
                  <c:v>1.055900621118E-2</c:v>
                </c:pt>
                <c:pt idx="97">
                  <c:v>-1.5716919834928511E-2</c:v>
                </c:pt>
                <c:pt idx="98">
                  <c:v>3.4968777876895674E-2</c:v>
                </c:pt>
                <c:pt idx="99">
                  <c:v>1.0343044302707494E-3</c:v>
                </c:pt>
                <c:pt idx="100">
                  <c:v>-6.8021353538832985E-3</c:v>
                </c:pt>
                <c:pt idx="101">
                  <c:v>-2.6007802340699548E-4</c:v>
                </c:pt>
                <c:pt idx="102">
                  <c:v>4.9427679500519961E-3</c:v>
                </c:pt>
                <c:pt idx="103">
                  <c:v>2.9251876779704977E-2</c:v>
                </c:pt>
                <c:pt idx="104">
                  <c:v>1.2072434607645954E-2</c:v>
                </c:pt>
                <c:pt idx="105">
                  <c:v>-9.52617627567931E-3</c:v>
                </c:pt>
                <c:pt idx="106">
                  <c:v>-4.0980178974658887E-3</c:v>
                </c:pt>
                <c:pt idx="107">
                  <c:v>-1.3184413839435583E-2</c:v>
                </c:pt>
                <c:pt idx="108">
                  <c:v>1.6168836694749222E-2</c:v>
                </c:pt>
                <c:pt idx="109">
                  <c:v>1.0719370236998538E-2</c:v>
                </c:pt>
                <c:pt idx="110">
                  <c:v>-8.2856906123085494E-5</c:v>
                </c:pt>
                <c:pt idx="111">
                  <c:v>-2.601922439509452E-2</c:v>
                </c:pt>
                <c:pt idx="112">
                  <c:v>-5.9554194316828735E-3</c:v>
                </c:pt>
                <c:pt idx="113">
                  <c:v>-2.9955494693598039E-2</c:v>
                </c:pt>
                <c:pt idx="114">
                  <c:v>5.090877007234873E-2</c:v>
                </c:pt>
                <c:pt idx="115">
                  <c:v>6.1287885148182397E-3</c:v>
                </c:pt>
                <c:pt idx="116">
                  <c:v>-1.4519359145527488E-2</c:v>
                </c:pt>
                <c:pt idx="117">
                  <c:v>3.640982218459099E-3</c:v>
                </c:pt>
                <c:pt idx="118">
                  <c:v>1.7970134143254768E-2</c:v>
                </c:pt>
                <c:pt idx="119">
                  <c:v>-1.4089176197579989E-2</c:v>
                </c:pt>
                <c:pt idx="120">
                  <c:v>2.9421654337593584E-3</c:v>
                </c:pt>
                <c:pt idx="121">
                  <c:v>-2.5144581342717576E-4</c:v>
                </c:pt>
                <c:pt idx="122">
                  <c:v>-1.7270288397049027E-2</c:v>
                </c:pt>
                <c:pt idx="123">
                  <c:v>1.6464767104589662E-2</c:v>
                </c:pt>
                <c:pt idx="124">
                  <c:v>-2.5178346621901326E-4</c:v>
                </c:pt>
                <c:pt idx="125">
                  <c:v>-1.32639355271994E-2</c:v>
                </c:pt>
                <c:pt idx="126">
                  <c:v>1.4463161476943931E-2</c:v>
                </c:pt>
                <c:pt idx="127">
                  <c:v>-4.0254948004024849E-3</c:v>
                </c:pt>
                <c:pt idx="128">
                  <c:v>-1.0357022566520713E-2</c:v>
                </c:pt>
                <c:pt idx="129">
                  <c:v>-1.7357270484131715E-2</c:v>
                </c:pt>
                <c:pt idx="130">
                  <c:v>-2.0694432418391195E-2</c:v>
                </c:pt>
                <c:pt idx="131">
                  <c:v>-2.7763041556145063E-2</c:v>
                </c:pt>
                <c:pt idx="132">
                  <c:v>4.0196435067297198E-2</c:v>
                </c:pt>
                <c:pt idx="133">
                  <c:v>7.4925686308795258E-2</c:v>
                </c:pt>
                <c:pt idx="134">
                  <c:v>4.0178934526230226E-2</c:v>
                </c:pt>
                <c:pt idx="135">
                  <c:v>2.5099695050433857E-2</c:v>
                </c:pt>
                <c:pt idx="136">
                  <c:v>2.2120518688024449E-2</c:v>
                </c:pt>
                <c:pt idx="137">
                  <c:v>6.9850746268656838E-2</c:v>
                </c:pt>
                <c:pt idx="138">
                  <c:v>-2.3018973214286031E-3</c:v>
                </c:pt>
                <c:pt idx="139">
                  <c:v>1.0137733342655331E-2</c:v>
                </c:pt>
                <c:pt idx="140">
                  <c:v>3.8967331118494153E-2</c:v>
                </c:pt>
                <c:pt idx="141">
                  <c:v>-4.1902604756511974E-2</c:v>
                </c:pt>
                <c:pt idx="142">
                  <c:v>5.6876651369767828E-2</c:v>
                </c:pt>
                <c:pt idx="143">
                  <c:v>4.8618421052631478E-2</c:v>
                </c:pt>
                <c:pt idx="144">
                  <c:v>-3.4130121086642817E-2</c:v>
                </c:pt>
                <c:pt idx="145">
                  <c:v>-2.1890224098733202E-2</c:v>
                </c:pt>
                <c:pt idx="146">
                  <c:v>1.9391685482799792E-2</c:v>
                </c:pt>
                <c:pt idx="147">
                  <c:v>-6.410423452768732E-2</c:v>
                </c:pt>
                <c:pt idx="148">
                  <c:v>1.8167896422107921E-2</c:v>
                </c:pt>
                <c:pt idx="149">
                  <c:v>-1.825391399466747E-2</c:v>
                </c:pt>
                <c:pt idx="150">
                  <c:v>4.0738161559888519E-2</c:v>
                </c:pt>
                <c:pt idx="151">
                  <c:v>2.415523586483781E-2</c:v>
                </c:pt>
                <c:pt idx="152">
                  <c:v>-2.9857572193910831E-2</c:v>
                </c:pt>
                <c:pt idx="153">
                  <c:v>-1.3132197454374106E-2</c:v>
                </c:pt>
                <c:pt idx="154">
                  <c:v>2.0062781493107584E-2</c:v>
                </c:pt>
                <c:pt idx="155">
                  <c:v>-9.4327000267594441E-3</c:v>
                </c:pt>
                <c:pt idx="156">
                  <c:v>6.0782062537989567E-3</c:v>
                </c:pt>
                <c:pt idx="157">
                  <c:v>2.6515405786399882E-2</c:v>
                </c:pt>
                <c:pt idx="158">
                  <c:v>2.0272037666753118E-3</c:v>
                </c:pt>
                <c:pt idx="159">
                  <c:v>0</c:v>
                </c:pt>
              </c:numCache>
            </c:numRef>
          </c:val>
          <c:extLst>
            <c:ext xmlns:c16="http://schemas.microsoft.com/office/drawing/2014/chart" uri="{C3380CC4-5D6E-409C-BE32-E72D297353CC}">
              <c16:uniqueId val="{00000000-98CB-8440-AEFA-E4DA459130A9}"/>
            </c:ext>
          </c:extLst>
        </c:ser>
        <c:dLbls>
          <c:showLegendKey val="0"/>
          <c:showVal val="0"/>
          <c:showCatName val="0"/>
          <c:showSerName val="0"/>
          <c:showPercent val="0"/>
          <c:showBubbleSize val="0"/>
        </c:dLbls>
        <c:gapWidth val="150"/>
        <c:axId val="98096482"/>
        <c:axId val="59264062"/>
      </c:barChart>
      <c:lineChart>
        <c:grouping val="standard"/>
        <c:varyColors val="0"/>
        <c:ser>
          <c:idx val="1"/>
          <c:order val="1"/>
          <c:tx>
            <c:strRef>
              <c:f>'Returns (Calc)'!$AM$2</c:f>
              <c:strCache>
                <c:ptCount val="1"/>
                <c:pt idx="0">
                  <c:v>SPMO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(Calc)'!$AM$3:$AM$500</c:f>
              <c:numCache>
                <c:formatCode>#,##0.00</c:formatCode>
                <c:ptCount val="498"/>
                <c:pt idx="0">
                  <c:v>57.63</c:v>
                </c:pt>
                <c:pt idx="1">
                  <c:v>58.235063291139241</c:v>
                </c:pt>
                <c:pt idx="2">
                  <c:v>58.840126582278486</c:v>
                </c:pt>
                <c:pt idx="3">
                  <c:v>59.445189873417725</c:v>
                </c:pt>
                <c:pt idx="4">
                  <c:v>60.050253164556963</c:v>
                </c:pt>
                <c:pt idx="5">
                  <c:v>60.655316455696209</c:v>
                </c:pt>
                <c:pt idx="6">
                  <c:v>61.260379746835447</c:v>
                </c:pt>
                <c:pt idx="7">
                  <c:v>61.865443037974686</c:v>
                </c:pt>
                <c:pt idx="8">
                  <c:v>62.470506329113924</c:v>
                </c:pt>
                <c:pt idx="9">
                  <c:v>63.075569620253169</c:v>
                </c:pt>
                <c:pt idx="10">
                  <c:v>63.680632911392408</c:v>
                </c:pt>
                <c:pt idx="11">
                  <c:v>64.285696202531653</c:v>
                </c:pt>
                <c:pt idx="12">
                  <c:v>64.890759493670885</c:v>
                </c:pt>
                <c:pt idx="13">
                  <c:v>65.49582278481013</c:v>
                </c:pt>
                <c:pt idx="14">
                  <c:v>66.100886075949376</c:v>
                </c:pt>
                <c:pt idx="15">
                  <c:v>66.705949367088607</c:v>
                </c:pt>
                <c:pt idx="16">
                  <c:v>67.311012658227853</c:v>
                </c:pt>
                <c:pt idx="17">
                  <c:v>67.916075949367084</c:v>
                </c:pt>
                <c:pt idx="18">
                  <c:v>68.521139240506329</c:v>
                </c:pt>
                <c:pt idx="19">
                  <c:v>69.126202531645575</c:v>
                </c:pt>
                <c:pt idx="20">
                  <c:v>69.73126582278482</c:v>
                </c:pt>
                <c:pt idx="21">
                  <c:v>70.336329113924052</c:v>
                </c:pt>
                <c:pt idx="22">
                  <c:v>70.941392405063297</c:v>
                </c:pt>
                <c:pt idx="23">
                  <c:v>71.546455696202528</c:v>
                </c:pt>
                <c:pt idx="24">
                  <c:v>72.151518987341774</c:v>
                </c:pt>
                <c:pt idx="25">
                  <c:v>72.756582278481019</c:v>
                </c:pt>
                <c:pt idx="26">
                  <c:v>73.361645569620251</c:v>
                </c:pt>
                <c:pt idx="27">
                  <c:v>73.966708860759496</c:v>
                </c:pt>
                <c:pt idx="28">
                  <c:v>74.571772151898728</c:v>
                </c:pt>
                <c:pt idx="29">
                  <c:v>75.176835443037973</c:v>
                </c:pt>
                <c:pt idx="30">
                  <c:v>75.781898734177219</c:v>
                </c:pt>
                <c:pt idx="31">
                  <c:v>76.38696202531645</c:v>
                </c:pt>
                <c:pt idx="32">
                  <c:v>76.992025316455695</c:v>
                </c:pt>
                <c:pt idx="33">
                  <c:v>77.597088607594941</c:v>
                </c:pt>
                <c:pt idx="34">
                  <c:v>78.202151898734172</c:v>
                </c:pt>
                <c:pt idx="35">
                  <c:v>78.807215189873418</c:v>
                </c:pt>
                <c:pt idx="36">
                  <c:v>79.412278481012663</c:v>
                </c:pt>
                <c:pt idx="37">
                  <c:v>80.017341772151894</c:v>
                </c:pt>
                <c:pt idx="38">
                  <c:v>80.62240506329114</c:v>
                </c:pt>
                <c:pt idx="39">
                  <c:v>81.227468354430385</c:v>
                </c:pt>
                <c:pt idx="40">
                  <c:v>81.832531645569617</c:v>
                </c:pt>
                <c:pt idx="41">
                  <c:v>82.437594936708862</c:v>
                </c:pt>
                <c:pt idx="42">
                  <c:v>83.042658227848108</c:v>
                </c:pt>
                <c:pt idx="43">
                  <c:v>83.647721518987339</c:v>
                </c:pt>
                <c:pt idx="44">
                  <c:v>84.252784810126585</c:v>
                </c:pt>
                <c:pt idx="45">
                  <c:v>84.85784810126583</c:v>
                </c:pt>
                <c:pt idx="46">
                  <c:v>85.462911392405061</c:v>
                </c:pt>
                <c:pt idx="47">
                  <c:v>86.067974683544307</c:v>
                </c:pt>
                <c:pt idx="48">
                  <c:v>86.673037974683538</c:v>
                </c:pt>
                <c:pt idx="49">
                  <c:v>87.278101265822784</c:v>
                </c:pt>
                <c:pt idx="50">
                  <c:v>87.883164556962029</c:v>
                </c:pt>
                <c:pt idx="51">
                  <c:v>88.488227848101261</c:v>
                </c:pt>
                <c:pt idx="52">
                  <c:v>89.093291139240506</c:v>
                </c:pt>
                <c:pt idx="53">
                  <c:v>89.698354430379737</c:v>
                </c:pt>
                <c:pt idx="54">
                  <c:v>90.303417721518997</c:v>
                </c:pt>
                <c:pt idx="55">
                  <c:v>90.908481012658228</c:v>
                </c:pt>
                <c:pt idx="56">
                  <c:v>91.51354430379746</c:v>
                </c:pt>
                <c:pt idx="57">
                  <c:v>92.118607594936719</c:v>
                </c:pt>
                <c:pt idx="58">
                  <c:v>92.723670886075951</c:v>
                </c:pt>
                <c:pt idx="59">
                  <c:v>93.328734177215182</c:v>
                </c:pt>
                <c:pt idx="60">
                  <c:v>93.933797468354442</c:v>
                </c:pt>
                <c:pt idx="61">
                  <c:v>94.538860759493673</c:v>
                </c:pt>
                <c:pt idx="62">
                  <c:v>95.143924050632904</c:v>
                </c:pt>
                <c:pt idx="63">
                  <c:v>95.74898734177215</c:v>
                </c:pt>
                <c:pt idx="64">
                  <c:v>96.354050632911395</c:v>
                </c:pt>
                <c:pt idx="65">
                  <c:v>96.959113924050627</c:v>
                </c:pt>
                <c:pt idx="66">
                  <c:v>97.564177215189872</c:v>
                </c:pt>
                <c:pt idx="67">
                  <c:v>98.169240506329118</c:v>
                </c:pt>
                <c:pt idx="68">
                  <c:v>98.774303797468349</c:v>
                </c:pt>
                <c:pt idx="69">
                  <c:v>99.379367088607594</c:v>
                </c:pt>
                <c:pt idx="70">
                  <c:v>99.98443037974684</c:v>
                </c:pt>
                <c:pt idx="71">
                  <c:v>100.58949367088607</c:v>
                </c:pt>
                <c:pt idx="72">
                  <c:v>101.19455696202532</c:v>
                </c:pt>
                <c:pt idx="73">
                  <c:v>101.79962025316456</c:v>
                </c:pt>
                <c:pt idx="74">
                  <c:v>102.40468354430379</c:v>
                </c:pt>
                <c:pt idx="75">
                  <c:v>103.00974683544304</c:v>
                </c:pt>
                <c:pt idx="76">
                  <c:v>103.61481012658228</c:v>
                </c:pt>
                <c:pt idx="77">
                  <c:v>104.21987341772152</c:v>
                </c:pt>
                <c:pt idx="78">
                  <c:v>104.82493670886075</c:v>
                </c:pt>
                <c:pt idx="79">
                  <c:v>105.43</c:v>
                </c:pt>
                <c:pt idx="80">
                  <c:v>106.03506329113924</c:v>
                </c:pt>
                <c:pt idx="81">
                  <c:v>106.64012658227848</c:v>
                </c:pt>
                <c:pt idx="82">
                  <c:v>107.24518987341773</c:v>
                </c:pt>
                <c:pt idx="83">
                  <c:v>107.85025316455696</c:v>
                </c:pt>
                <c:pt idx="84">
                  <c:v>108.45531645569621</c:v>
                </c:pt>
                <c:pt idx="85">
                  <c:v>109.06037974683544</c:v>
                </c:pt>
                <c:pt idx="86">
                  <c:v>109.66544303797468</c:v>
                </c:pt>
                <c:pt idx="87">
                  <c:v>110.27050632911391</c:v>
                </c:pt>
                <c:pt idx="88">
                  <c:v>110.87556962025316</c:v>
                </c:pt>
                <c:pt idx="89">
                  <c:v>111.48063291139241</c:v>
                </c:pt>
                <c:pt idx="90">
                  <c:v>112.08569620253165</c:v>
                </c:pt>
                <c:pt idx="91">
                  <c:v>112.6907594936709</c:v>
                </c:pt>
                <c:pt idx="92">
                  <c:v>113.29582278481013</c:v>
                </c:pt>
                <c:pt idx="93">
                  <c:v>113.90088607594936</c:v>
                </c:pt>
                <c:pt idx="94">
                  <c:v>114.50594936708862</c:v>
                </c:pt>
                <c:pt idx="95">
                  <c:v>115.11101265822785</c:v>
                </c:pt>
                <c:pt idx="96">
                  <c:v>115.71607594936708</c:v>
                </c:pt>
                <c:pt idx="97">
                  <c:v>116.32113924050633</c:v>
                </c:pt>
                <c:pt idx="98">
                  <c:v>116.92620253164557</c:v>
                </c:pt>
                <c:pt idx="99">
                  <c:v>117.5312658227848</c:v>
                </c:pt>
                <c:pt idx="100">
                  <c:v>118.13632911392406</c:v>
                </c:pt>
                <c:pt idx="101">
                  <c:v>118.74139240506329</c:v>
                </c:pt>
                <c:pt idx="102">
                  <c:v>119.34645569620253</c:v>
                </c:pt>
                <c:pt idx="103">
                  <c:v>119.95151898734177</c:v>
                </c:pt>
                <c:pt idx="104">
                  <c:v>120.55658227848102</c:v>
                </c:pt>
                <c:pt idx="105">
                  <c:v>121.16164556962025</c:v>
                </c:pt>
                <c:pt idx="106">
                  <c:v>121.76670886075948</c:v>
                </c:pt>
                <c:pt idx="107">
                  <c:v>122.37177215189874</c:v>
                </c:pt>
                <c:pt idx="108">
                  <c:v>122.97683544303797</c:v>
                </c:pt>
                <c:pt idx="109">
                  <c:v>123.5818987341772</c:v>
                </c:pt>
                <c:pt idx="110">
                  <c:v>124.18696202531646</c:v>
                </c:pt>
                <c:pt idx="111">
                  <c:v>124.79202531645569</c:v>
                </c:pt>
                <c:pt idx="112">
                  <c:v>125.39708860759492</c:v>
                </c:pt>
                <c:pt idx="113">
                  <c:v>126.00215189873418</c:v>
                </c:pt>
                <c:pt idx="114">
                  <c:v>126.60721518987341</c:v>
                </c:pt>
                <c:pt idx="115">
                  <c:v>127.21227848101267</c:v>
                </c:pt>
                <c:pt idx="116">
                  <c:v>127.81734177215191</c:v>
                </c:pt>
                <c:pt idx="117">
                  <c:v>128.42240506329114</c:v>
                </c:pt>
                <c:pt idx="118">
                  <c:v>129.02746835443037</c:v>
                </c:pt>
                <c:pt idx="119">
                  <c:v>129.63253164556963</c:v>
                </c:pt>
                <c:pt idx="120">
                  <c:v>130.23759493670886</c:v>
                </c:pt>
                <c:pt idx="121">
                  <c:v>130.84265822784809</c:v>
                </c:pt>
                <c:pt idx="122">
                  <c:v>131.44772151898735</c:v>
                </c:pt>
                <c:pt idx="123">
                  <c:v>132.05278481012658</c:v>
                </c:pt>
                <c:pt idx="124">
                  <c:v>132.65784810126581</c:v>
                </c:pt>
                <c:pt idx="125">
                  <c:v>133.26291139240507</c:v>
                </c:pt>
                <c:pt idx="126">
                  <c:v>133.8679746835443</c:v>
                </c:pt>
                <c:pt idx="127">
                  <c:v>134.47303797468354</c:v>
                </c:pt>
                <c:pt idx="128">
                  <c:v>135.0781012658228</c:v>
                </c:pt>
                <c:pt idx="129">
                  <c:v>135.68316455696203</c:v>
                </c:pt>
                <c:pt idx="130">
                  <c:v>136.28822784810126</c:v>
                </c:pt>
                <c:pt idx="131">
                  <c:v>136.89329113924049</c:v>
                </c:pt>
                <c:pt idx="132">
                  <c:v>137.49835443037975</c:v>
                </c:pt>
                <c:pt idx="133">
                  <c:v>138.10341772151898</c:v>
                </c:pt>
                <c:pt idx="134">
                  <c:v>138.70848101265824</c:v>
                </c:pt>
                <c:pt idx="135">
                  <c:v>139.31354430379747</c:v>
                </c:pt>
                <c:pt idx="136">
                  <c:v>139.9186075949367</c:v>
                </c:pt>
                <c:pt idx="137">
                  <c:v>140.52367088607593</c:v>
                </c:pt>
                <c:pt idx="138">
                  <c:v>141.12873417721519</c:v>
                </c:pt>
                <c:pt idx="139">
                  <c:v>141.73379746835442</c:v>
                </c:pt>
                <c:pt idx="140">
                  <c:v>142.33886075949368</c:v>
                </c:pt>
                <c:pt idx="141">
                  <c:v>142.94392405063292</c:v>
                </c:pt>
                <c:pt idx="142">
                  <c:v>143.54898734177215</c:v>
                </c:pt>
                <c:pt idx="143">
                  <c:v>144.15405063291138</c:v>
                </c:pt>
                <c:pt idx="144">
                  <c:v>144.75911392405064</c:v>
                </c:pt>
                <c:pt idx="145">
                  <c:v>145.36417721518987</c:v>
                </c:pt>
                <c:pt idx="146">
                  <c:v>145.9692405063291</c:v>
                </c:pt>
                <c:pt idx="147">
                  <c:v>146.57430379746836</c:v>
                </c:pt>
                <c:pt idx="148">
                  <c:v>147.17936708860759</c:v>
                </c:pt>
                <c:pt idx="149">
                  <c:v>147.78443037974682</c:v>
                </c:pt>
                <c:pt idx="150">
                  <c:v>148.38949367088608</c:v>
                </c:pt>
                <c:pt idx="151">
                  <c:v>148.99455696202531</c:v>
                </c:pt>
                <c:pt idx="152">
                  <c:v>149.59962025316455</c:v>
                </c:pt>
                <c:pt idx="153">
                  <c:v>150.2046835443038</c:v>
                </c:pt>
                <c:pt idx="154">
                  <c:v>150.80974683544304</c:v>
                </c:pt>
                <c:pt idx="155">
                  <c:v>151.41481012658227</c:v>
                </c:pt>
                <c:pt idx="156">
                  <c:v>152.0198734177215</c:v>
                </c:pt>
                <c:pt idx="157">
                  <c:v>152.62493670886076</c:v>
                </c:pt>
                <c:pt idx="158">
                  <c:v>153.22999999999999</c:v>
                </c:pt>
                <c:pt idx="159">
                  <c:v>153.83506329113925</c:v>
                </c:pt>
              </c:numCache>
            </c:numRef>
          </c:val>
          <c:smooth val="0"/>
          <c:extLst>
            <c:ext xmlns:c16="http://schemas.microsoft.com/office/drawing/2014/chart" uri="{C3380CC4-5D6E-409C-BE32-E72D297353CC}">
              <c16:uniqueId val="{00000001-98CB-8440-AEFA-E4DA459130A9}"/>
            </c:ext>
          </c:extLst>
        </c:ser>
        <c:dLbls>
          <c:showLegendKey val="0"/>
          <c:showVal val="0"/>
          <c:showCatName val="0"/>
          <c:showSerName val="0"/>
          <c:showPercent val="0"/>
          <c:showBubbleSize val="0"/>
        </c:dLbls>
        <c:hiLowLines>
          <c:spPr>
            <a:ln w="0">
              <a:noFill/>
            </a:ln>
          </c:spPr>
        </c:hiLowLines>
        <c:marker val="1"/>
        <c:smooth val="0"/>
        <c:axId val="75394241"/>
        <c:axId val="76248906"/>
      </c:lineChart>
      <c:dateAx>
        <c:axId val="98096482"/>
        <c:scaling>
          <c:orientation val="minMax"/>
        </c:scaling>
        <c:delete val="1"/>
        <c:axPos val="b"/>
        <c:numFmt formatCode="mm/dd/yyyy" sourceLinked="1"/>
        <c:majorTickMark val="none"/>
        <c:minorTickMark val="none"/>
        <c:tickLblPos val="nextTo"/>
        <c:crossAx val="59264062"/>
        <c:crosses val="autoZero"/>
        <c:auto val="1"/>
        <c:lblOffset val="100"/>
        <c:baseTimeUnit val="days"/>
      </c:dateAx>
      <c:valAx>
        <c:axId val="592640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8096482"/>
        <c:crosses val="autoZero"/>
        <c:crossBetween val="between"/>
      </c:valAx>
      <c:dateAx>
        <c:axId val="75394241"/>
        <c:scaling>
          <c:orientation val="minMax"/>
        </c:scaling>
        <c:delete val="1"/>
        <c:axPos val="b"/>
        <c:numFmt formatCode="mm/dd/yyyy" sourceLinked="1"/>
        <c:majorTickMark val="none"/>
        <c:minorTickMark val="none"/>
        <c:tickLblPos val="nextTo"/>
        <c:crossAx val="76248906"/>
        <c:crosses val="autoZero"/>
        <c:auto val="1"/>
        <c:lblOffset val="100"/>
        <c:baseTimeUnit val="days"/>
      </c:dateAx>
      <c:valAx>
        <c:axId val="762489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5394241"/>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layout/>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(Calc)'!$T$3:$T$500</c:f>
              <c:numCache>
                <c:formatCode>0.0%</c:formatCode>
                <c:ptCount val="498"/>
                <c:pt idx="0">
                  <c:v>-1.465927099841513E-2</c:v>
                </c:pt>
                <c:pt idx="1">
                  <c:v>2.8146361077603377E-3</c:v>
                </c:pt>
                <c:pt idx="2">
                  <c:v>-1.8845228548516557E-2</c:v>
                </c:pt>
                <c:pt idx="3">
                  <c:v>1.4303228442991367E-2</c:v>
                </c:pt>
                <c:pt idx="4">
                  <c:v>-1.248992747784039E-2</c:v>
                </c:pt>
                <c:pt idx="5">
                  <c:v>-3.3047735618115137E-2</c:v>
                </c:pt>
                <c:pt idx="6">
                  <c:v>5.8649789029535881E-2</c:v>
                </c:pt>
                <c:pt idx="7">
                  <c:v>-6.3770426464726526E-3</c:v>
                </c:pt>
                <c:pt idx="8">
                  <c:v>2.5671881267549157E-2</c:v>
                </c:pt>
                <c:pt idx="9">
                  <c:v>7.0394994133751165E-3</c:v>
                </c:pt>
                <c:pt idx="10">
                  <c:v>1.3592233009708687E-2</c:v>
                </c:pt>
                <c:pt idx="11">
                  <c:v>8.8122605363982753E-3</c:v>
                </c:pt>
                <c:pt idx="12">
                  <c:v>2.7725028484618219E-2</c:v>
                </c:pt>
                <c:pt idx="13">
                  <c:v>1.2195121951219523E-2</c:v>
                </c:pt>
                <c:pt idx="14">
                  <c:v>-2.1905805038335835E-3</c:v>
                </c:pt>
                <c:pt idx="15">
                  <c:v>7.3179656055621933E-4</c:v>
                </c:pt>
                <c:pt idx="16">
                  <c:v>-2.1937842778794181E-3</c:v>
                </c:pt>
                <c:pt idx="17">
                  <c:v>-9.5272993770610936E-3</c:v>
                </c:pt>
                <c:pt idx="18">
                  <c:v>8.1391046984831128E-3</c:v>
                </c:pt>
                <c:pt idx="19">
                  <c:v>9.5412844036697475E-3</c:v>
                </c:pt>
                <c:pt idx="20">
                  <c:v>5.0890585241729624E-3</c:v>
                </c:pt>
                <c:pt idx="21">
                  <c:v>8.3182640144665587E-3</c:v>
                </c:pt>
                <c:pt idx="22">
                  <c:v>2.1879483500717445E-2</c:v>
                </c:pt>
                <c:pt idx="23">
                  <c:v>2.1762021762021799E-2</c:v>
                </c:pt>
                <c:pt idx="24">
                  <c:v>1.9924424596358792E-2</c:v>
                </c:pt>
                <c:pt idx="25">
                  <c:v>1.5493432132030804E-2</c:v>
                </c:pt>
                <c:pt idx="26">
                  <c:v>2.4212271973466093E-2</c:v>
                </c:pt>
                <c:pt idx="27">
                  <c:v>1.5544041450777257E-2</c:v>
                </c:pt>
                <c:pt idx="28">
                  <c:v>-2.5510204081632404E-3</c:v>
                </c:pt>
                <c:pt idx="29">
                  <c:v>-2.5575447570332477E-2</c:v>
                </c:pt>
                <c:pt idx="30">
                  <c:v>-1.7716535433070835E-2</c:v>
                </c:pt>
                <c:pt idx="31">
                  <c:v>1.2358049432197538E-2</c:v>
                </c:pt>
                <c:pt idx="32">
                  <c:v>-1.5506433520290241E-2</c:v>
                </c:pt>
                <c:pt idx="33">
                  <c:v>2.2453083109919669E-2</c:v>
                </c:pt>
                <c:pt idx="34">
                  <c:v>9.5050803015404028E-3</c:v>
                </c:pt>
                <c:pt idx="35">
                  <c:v>-1.7207792207792227E-2</c:v>
                </c:pt>
                <c:pt idx="36">
                  <c:v>1.156260323752889E-2</c:v>
                </c:pt>
                <c:pt idx="37">
                  <c:v>-2.1227955584585345E-2</c:v>
                </c:pt>
                <c:pt idx="38">
                  <c:v>-2.0020020020019569E-3</c:v>
                </c:pt>
                <c:pt idx="39">
                  <c:v>9.6957539284519001E-3</c:v>
                </c:pt>
                <c:pt idx="40">
                  <c:v>-6.6225165562913135E-3</c:v>
                </c:pt>
                <c:pt idx="41">
                  <c:v>-1.966666666666661E-2</c:v>
                </c:pt>
                <c:pt idx="42">
                  <c:v>3.8422305338320362E-2</c:v>
                </c:pt>
                <c:pt idx="43">
                  <c:v>1.5062213490504295E-2</c:v>
                </c:pt>
                <c:pt idx="44">
                  <c:v>1.806451612903226E-2</c:v>
                </c:pt>
                <c:pt idx="45">
                  <c:v>-2.8833967046894782E-2</c:v>
                </c:pt>
                <c:pt idx="46">
                  <c:v>-9.7879282218593655E-4</c:v>
                </c:pt>
                <c:pt idx="47">
                  <c:v>1.6329196603527052E-2</c:v>
                </c:pt>
                <c:pt idx="48">
                  <c:v>3.2776349614395794E-2</c:v>
                </c:pt>
                <c:pt idx="49">
                  <c:v>3.1113876789048422E-3</c:v>
                </c:pt>
                <c:pt idx="50">
                  <c:v>-4.1253101736972719E-2</c:v>
                </c:pt>
                <c:pt idx="51">
                  <c:v>2.5558071821417006E-2</c:v>
                </c:pt>
                <c:pt idx="52">
                  <c:v>1.7350157728706739E-2</c:v>
                </c:pt>
                <c:pt idx="53">
                  <c:v>2.1705426356588564E-3</c:v>
                </c:pt>
                <c:pt idx="54">
                  <c:v>1.8564356435643692E-2</c:v>
                </c:pt>
                <c:pt idx="55">
                  <c:v>4.2527339003646247E-3</c:v>
                </c:pt>
                <c:pt idx="56">
                  <c:v>-4.8396854204477702E-3</c:v>
                </c:pt>
                <c:pt idx="57">
                  <c:v>-1.9148936170212627E-2</c:v>
                </c:pt>
                <c:pt idx="58">
                  <c:v>6.197706848465323E-4</c:v>
                </c:pt>
                <c:pt idx="59">
                  <c:v>7.7423350882626307E-2</c:v>
                </c:pt>
                <c:pt idx="60">
                  <c:v>-1.5234262719172165E-2</c:v>
                </c:pt>
                <c:pt idx="61">
                  <c:v>3.8528896672504365E-2</c:v>
                </c:pt>
                <c:pt idx="62">
                  <c:v>1.9673974142777606E-3</c:v>
                </c:pt>
                <c:pt idx="63">
                  <c:v>-8.4151472650773051E-4</c:v>
                </c:pt>
                <c:pt idx="64">
                  <c:v>-4.1549691184727622E-2</c:v>
                </c:pt>
                <c:pt idx="65">
                  <c:v>-3.0462800234329235E-2</c:v>
                </c:pt>
                <c:pt idx="66">
                  <c:v>9.3655589123866623E-3</c:v>
                </c:pt>
                <c:pt idx="67">
                  <c:v>7.4827895839568725E-3</c:v>
                </c:pt>
                <c:pt idx="68">
                  <c:v>0</c:v>
                </c:pt>
                <c:pt idx="69">
                  <c:v>3.8621509209744609E-2</c:v>
                </c:pt>
                <c:pt idx="70">
                  <c:v>2.5743707093819346E-3</c:v>
                </c:pt>
                <c:pt idx="71">
                  <c:v>-1.0271041369472211E-2</c:v>
                </c:pt>
                <c:pt idx="72">
                  <c:v>-7.4949553185355011E-3</c:v>
                </c:pt>
                <c:pt idx="73">
                  <c:v>1.1617775196050006E-2</c:v>
                </c:pt>
                <c:pt idx="74">
                  <c:v>-3.445305770887086E-3</c:v>
                </c:pt>
                <c:pt idx="75">
                  <c:v>-4.6096225871508079E-3</c:v>
                </c:pt>
                <c:pt idx="76">
                  <c:v>-1.4471780028943559E-2</c:v>
                </c:pt>
                <c:pt idx="77">
                  <c:v>-1.8795888399412597E-2</c:v>
                </c:pt>
                <c:pt idx="78">
                  <c:v>1.7060760251421669E-2</c:v>
                </c:pt>
                <c:pt idx="79">
                  <c:v>-1.6480282519128808E-2</c:v>
                </c:pt>
                <c:pt idx="80">
                  <c:v>-9.245960502693007E-2</c:v>
                </c:pt>
                <c:pt idx="81">
                  <c:v>2.1101219914276381E-2</c:v>
                </c:pt>
                <c:pt idx="82">
                  <c:v>6.780755569906427E-3</c:v>
                </c:pt>
                <c:pt idx="83">
                  <c:v>3.303399615137903E-2</c:v>
                </c:pt>
                <c:pt idx="84">
                  <c:v>1.9248680533995532E-2</c:v>
                </c:pt>
                <c:pt idx="85">
                  <c:v>-1.5229972586048302E-3</c:v>
                </c:pt>
                <c:pt idx="86">
                  <c:v>4.3014032946918856E-2</c:v>
                </c:pt>
                <c:pt idx="87">
                  <c:v>-3.4805498683825653E-2</c:v>
                </c:pt>
                <c:pt idx="88">
                  <c:v>7.8787878787878185E-3</c:v>
                </c:pt>
                <c:pt idx="89">
                  <c:v>2.3451593505712687E-2</c:v>
                </c:pt>
                <c:pt idx="90">
                  <c:v>1.3219741480611225E-2</c:v>
                </c:pt>
                <c:pt idx="91">
                  <c:v>-1.1597564511451885E-3</c:v>
                </c:pt>
                <c:pt idx="92">
                  <c:v>8.7082728592162706E-3</c:v>
                </c:pt>
                <c:pt idx="93">
                  <c:v>1.2374100719424463E-2</c:v>
                </c:pt>
                <c:pt idx="94">
                  <c:v>2.5582717453098702E-3</c:v>
                </c:pt>
                <c:pt idx="95">
                  <c:v>-2.1264530762687861E-2</c:v>
                </c:pt>
                <c:pt idx="96">
                  <c:v>2.2016222479721792E-2</c:v>
                </c:pt>
                <c:pt idx="97">
                  <c:v>-4.1950113378684928E-2</c:v>
                </c:pt>
                <c:pt idx="98">
                  <c:v>1.0059171597633254E-2</c:v>
                </c:pt>
                <c:pt idx="99">
                  <c:v>3.9543057996485054E-2</c:v>
                </c:pt>
                <c:pt idx="100">
                  <c:v>2.5922795153564326E-2</c:v>
                </c:pt>
                <c:pt idx="101">
                  <c:v>9.0634441087615869E-3</c:v>
                </c:pt>
                <c:pt idx="102">
                  <c:v>7.6211213935766242E-3</c:v>
                </c:pt>
                <c:pt idx="103">
                  <c:v>8.103727714747766E-4</c:v>
                </c:pt>
                <c:pt idx="104">
                  <c:v>-1.3495276653170407E-3</c:v>
                </c:pt>
                <c:pt idx="105">
                  <c:v>7.8378378378378688E-3</c:v>
                </c:pt>
                <c:pt idx="106">
                  <c:v>3.4861893268973709E-3</c:v>
                </c:pt>
                <c:pt idx="107">
                  <c:v>-3.3137359700694868E-2</c:v>
                </c:pt>
                <c:pt idx="108">
                  <c:v>1.4096185737976663E-2</c:v>
                </c:pt>
                <c:pt idx="109">
                  <c:v>2.5892613791223873E-2</c:v>
                </c:pt>
                <c:pt idx="110">
                  <c:v>-6.1105207226356262E-3</c:v>
                </c:pt>
                <c:pt idx="111">
                  <c:v>2.1384656508955935E-3</c:v>
                </c:pt>
                <c:pt idx="112">
                  <c:v>1.1202987463323488E-2</c:v>
                </c:pt>
                <c:pt idx="113">
                  <c:v>-2.0047480875758361E-2</c:v>
                </c:pt>
                <c:pt idx="114">
                  <c:v>3.4185733512786198E-2</c:v>
                </c:pt>
                <c:pt idx="115">
                  <c:v>1.5616866215512726E-2</c:v>
                </c:pt>
                <c:pt idx="116">
                  <c:v>1.0763710917478075E-2</c:v>
                </c:pt>
                <c:pt idx="117">
                  <c:v>-4.3103448275860767E-3</c:v>
                </c:pt>
                <c:pt idx="118">
                  <c:v>6.620830150241952E-3</c:v>
                </c:pt>
                <c:pt idx="119">
                  <c:v>-9.3599797622060388E-3</c:v>
                </c:pt>
                <c:pt idx="120">
                  <c:v>2.5791624106231037E-2</c:v>
                </c:pt>
                <c:pt idx="121">
                  <c:v>-2.0413243714214602E-2</c:v>
                </c:pt>
                <c:pt idx="122">
                  <c:v>6.3532401524777349E-3</c:v>
                </c:pt>
                <c:pt idx="123">
                  <c:v>-9.8484848484848841E-3</c:v>
                </c:pt>
                <c:pt idx="124">
                  <c:v>2.4483550114766661E-2</c:v>
                </c:pt>
                <c:pt idx="125">
                  <c:v>-4.2320139407518997E-3</c:v>
                </c:pt>
                <c:pt idx="126">
                  <c:v>2.0000000000000018E-3</c:v>
                </c:pt>
                <c:pt idx="127">
                  <c:v>3.493013972055925E-3</c:v>
                </c:pt>
                <c:pt idx="128">
                  <c:v>-9.1994032819492366E-3</c:v>
                </c:pt>
                <c:pt idx="129">
                  <c:v>-2.1580928481806705E-2</c:v>
                </c:pt>
                <c:pt idx="130">
                  <c:v>1.0259040779687645E-3</c:v>
                </c:pt>
                <c:pt idx="131">
                  <c:v>-1.2298232129131503E-2</c:v>
                </c:pt>
                <c:pt idx="132">
                  <c:v>2.8015564202334753E-2</c:v>
                </c:pt>
                <c:pt idx="133">
                  <c:v>-4.2896795357053596E-3</c:v>
                </c:pt>
                <c:pt idx="134">
                  <c:v>5.347187024835276E-2</c:v>
                </c:pt>
                <c:pt idx="135">
                  <c:v>-5.5328361799373837E-3</c:v>
                </c:pt>
                <c:pt idx="136">
                  <c:v>2.564102564102555E-2</c:v>
                </c:pt>
                <c:pt idx="137">
                  <c:v>2.4528301886792336E-2</c:v>
                </c:pt>
                <c:pt idx="138">
                  <c:v>-2.5782688766114115E-2</c:v>
                </c:pt>
                <c:pt idx="139">
                  <c:v>3.969754253308122E-2</c:v>
                </c:pt>
                <c:pt idx="140">
                  <c:v>5.4090909090909189E-2</c:v>
                </c:pt>
                <c:pt idx="141">
                  <c:v>-1.1211729193618014E-2</c:v>
                </c:pt>
                <c:pt idx="142">
                  <c:v>6.1055385957260455E-3</c:v>
                </c:pt>
                <c:pt idx="143">
                  <c:v>-2.232336367576937E-2</c:v>
                </c:pt>
                <c:pt idx="144">
                  <c:v>2.0616271336732384E-2</c:v>
                </c:pt>
                <c:pt idx="145">
                  <c:v>1.7593397046046899E-2</c:v>
                </c:pt>
                <c:pt idx="146">
                  <c:v>8.9647812166488983E-3</c:v>
                </c:pt>
                <c:pt idx="147">
                  <c:v>8.6735773217685441E-3</c:v>
                </c:pt>
                <c:pt idx="148">
                  <c:v>6.9211409395972812E-3</c:v>
                </c:pt>
                <c:pt idx="149">
                  <c:v>3.33263903353469E-2</c:v>
                </c:pt>
                <c:pt idx="150">
                  <c:v>3.5275146139891245E-2</c:v>
                </c:pt>
                <c:pt idx="151">
                  <c:v>4.3613707165109039E-2</c:v>
                </c:pt>
                <c:pt idx="152">
                  <c:v>3.2462686567164223E-2</c:v>
                </c:pt>
                <c:pt idx="153">
                  <c:v>3.7947235272857149E-3</c:v>
                </c:pt>
                <c:pt idx="154">
                  <c:v>-6.6606660666066464E-3</c:v>
                </c:pt>
                <c:pt idx="155">
                  <c:v>-2.3559260601667242E-2</c:v>
                </c:pt>
                <c:pt idx="156">
                  <c:v>-1.6332590942836012E-2</c:v>
                </c:pt>
                <c:pt idx="157">
                  <c:v>-2.6415094339622636E-2</c:v>
                </c:pt>
                <c:pt idx="158">
                  <c:v>4.2635658914729202E-3</c:v>
                </c:pt>
                <c:pt idx="159">
                  <c:v>0</c:v>
                </c:pt>
              </c:numCache>
            </c:numRef>
          </c:val>
          <c:extLst>
            <c:ext xmlns:c16="http://schemas.microsoft.com/office/drawing/2014/chart" uri="{C3380CC4-5D6E-409C-BE32-E72D297353CC}">
              <c16:uniqueId val="{00000000-CA17-A442-A72E-1039C33F414C}"/>
            </c:ext>
          </c:extLst>
        </c:ser>
        <c:dLbls>
          <c:showLegendKey val="0"/>
          <c:showVal val="0"/>
          <c:showCatName val="0"/>
          <c:showSerName val="0"/>
          <c:showPercent val="0"/>
          <c:showBubbleSize val="0"/>
        </c:dLbls>
        <c:gapWidth val="150"/>
        <c:axId val="87426374"/>
        <c:axId val="33393618"/>
      </c:barChart>
      <c:lineChart>
        <c:grouping val="standard"/>
        <c:varyColors val="0"/>
        <c:ser>
          <c:idx val="1"/>
          <c:order val="1"/>
          <c:tx>
            <c:strRef>
              <c:f>'Returns (Calc)'!$AN$2</c:f>
              <c:strCache>
                <c:ptCount val="1"/>
                <c:pt idx="0">
                  <c:v>VFLO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(Calc)'!$AN$3:$AN$500</c:f>
              <c:numCache>
                <c:formatCode>#,##0.00</c:formatCode>
                <c:ptCount val="498"/>
                <c:pt idx="0">
                  <c:v>25.24</c:v>
                </c:pt>
                <c:pt idx="1">
                  <c:v>25.408227848101266</c:v>
                </c:pt>
                <c:pt idx="2">
                  <c:v>25.57645569620253</c:v>
                </c:pt>
                <c:pt idx="3">
                  <c:v>25.744683544303797</c:v>
                </c:pt>
                <c:pt idx="4">
                  <c:v>25.912911392405061</c:v>
                </c:pt>
                <c:pt idx="5">
                  <c:v>26.081139240506328</c:v>
                </c:pt>
                <c:pt idx="6">
                  <c:v>26.249367088607592</c:v>
                </c:pt>
                <c:pt idx="7">
                  <c:v>26.417594936708859</c:v>
                </c:pt>
                <c:pt idx="8">
                  <c:v>26.585822784810127</c:v>
                </c:pt>
                <c:pt idx="9">
                  <c:v>26.75405063291139</c:v>
                </c:pt>
                <c:pt idx="10">
                  <c:v>26.922278481012658</c:v>
                </c:pt>
                <c:pt idx="11">
                  <c:v>27.090506329113921</c:v>
                </c:pt>
                <c:pt idx="12">
                  <c:v>27.258734177215189</c:v>
                </c:pt>
                <c:pt idx="13">
                  <c:v>27.426962025316456</c:v>
                </c:pt>
                <c:pt idx="14">
                  <c:v>27.59518987341772</c:v>
                </c:pt>
                <c:pt idx="15">
                  <c:v>27.763417721518987</c:v>
                </c:pt>
                <c:pt idx="16">
                  <c:v>27.931645569620251</c:v>
                </c:pt>
                <c:pt idx="17">
                  <c:v>28.099873417721518</c:v>
                </c:pt>
                <c:pt idx="18">
                  <c:v>28.268101265822782</c:v>
                </c:pt>
                <c:pt idx="19">
                  <c:v>28.436329113924049</c:v>
                </c:pt>
                <c:pt idx="20">
                  <c:v>28.604556962025313</c:v>
                </c:pt>
                <c:pt idx="21">
                  <c:v>28.772784810126581</c:v>
                </c:pt>
                <c:pt idx="22">
                  <c:v>28.941012658227848</c:v>
                </c:pt>
                <c:pt idx="23">
                  <c:v>29.109240506329112</c:v>
                </c:pt>
                <c:pt idx="24">
                  <c:v>29.277468354430379</c:v>
                </c:pt>
                <c:pt idx="25">
                  <c:v>29.445696202531643</c:v>
                </c:pt>
                <c:pt idx="26">
                  <c:v>29.61392405063291</c:v>
                </c:pt>
                <c:pt idx="27">
                  <c:v>29.782151898734178</c:v>
                </c:pt>
                <c:pt idx="28">
                  <c:v>29.950379746835441</c:v>
                </c:pt>
                <c:pt idx="29">
                  <c:v>30.118607594936709</c:v>
                </c:pt>
                <c:pt idx="30">
                  <c:v>30.286835443037972</c:v>
                </c:pt>
                <c:pt idx="31">
                  <c:v>30.45506329113924</c:v>
                </c:pt>
                <c:pt idx="32">
                  <c:v>30.623291139240507</c:v>
                </c:pt>
                <c:pt idx="33">
                  <c:v>30.791518987341771</c:v>
                </c:pt>
                <c:pt idx="34">
                  <c:v>30.959746835443035</c:v>
                </c:pt>
                <c:pt idx="35">
                  <c:v>31.127974683544302</c:v>
                </c:pt>
                <c:pt idx="36">
                  <c:v>31.296202531645569</c:v>
                </c:pt>
                <c:pt idx="37">
                  <c:v>31.464430379746833</c:v>
                </c:pt>
                <c:pt idx="38">
                  <c:v>31.632658227848101</c:v>
                </c:pt>
                <c:pt idx="39">
                  <c:v>31.800886075949364</c:v>
                </c:pt>
                <c:pt idx="40">
                  <c:v>31.969113924050632</c:v>
                </c:pt>
                <c:pt idx="41">
                  <c:v>32.137341772151899</c:v>
                </c:pt>
                <c:pt idx="42">
                  <c:v>32.305569620253166</c:v>
                </c:pt>
                <c:pt idx="43">
                  <c:v>32.473797468354427</c:v>
                </c:pt>
                <c:pt idx="44">
                  <c:v>32.642025316455694</c:v>
                </c:pt>
                <c:pt idx="45">
                  <c:v>32.810253164556961</c:v>
                </c:pt>
                <c:pt idx="46">
                  <c:v>32.978481012658229</c:v>
                </c:pt>
                <c:pt idx="47">
                  <c:v>33.146708860759489</c:v>
                </c:pt>
                <c:pt idx="48">
                  <c:v>33.314936708860756</c:v>
                </c:pt>
                <c:pt idx="49">
                  <c:v>33.483164556962024</c:v>
                </c:pt>
                <c:pt idx="50">
                  <c:v>33.651392405063291</c:v>
                </c:pt>
                <c:pt idx="51">
                  <c:v>33.819620253164558</c:v>
                </c:pt>
                <c:pt idx="52">
                  <c:v>33.987848101265826</c:v>
                </c:pt>
                <c:pt idx="53">
                  <c:v>34.156075949367086</c:v>
                </c:pt>
                <c:pt idx="54">
                  <c:v>34.324303797468353</c:v>
                </c:pt>
                <c:pt idx="55">
                  <c:v>34.49253164556962</c:v>
                </c:pt>
                <c:pt idx="56">
                  <c:v>34.660759493670881</c:v>
                </c:pt>
                <c:pt idx="57">
                  <c:v>34.828987341772148</c:v>
                </c:pt>
                <c:pt idx="58">
                  <c:v>34.997215189873415</c:v>
                </c:pt>
                <c:pt idx="59">
                  <c:v>35.165443037974683</c:v>
                </c:pt>
                <c:pt idx="60">
                  <c:v>35.33367088607595</c:v>
                </c:pt>
                <c:pt idx="61">
                  <c:v>35.501898734177217</c:v>
                </c:pt>
                <c:pt idx="62">
                  <c:v>35.670126582278478</c:v>
                </c:pt>
                <c:pt idx="63">
                  <c:v>35.838354430379745</c:v>
                </c:pt>
                <c:pt idx="64">
                  <c:v>36.006582278481012</c:v>
                </c:pt>
                <c:pt idx="65">
                  <c:v>36.17481012658228</c:v>
                </c:pt>
                <c:pt idx="66">
                  <c:v>36.34303797468354</c:v>
                </c:pt>
                <c:pt idx="67">
                  <c:v>36.511265822784807</c:v>
                </c:pt>
                <c:pt idx="68">
                  <c:v>36.679493670886075</c:v>
                </c:pt>
                <c:pt idx="69">
                  <c:v>36.847721518987342</c:v>
                </c:pt>
                <c:pt idx="70">
                  <c:v>37.015949367088609</c:v>
                </c:pt>
                <c:pt idx="71">
                  <c:v>37.184177215189877</c:v>
                </c:pt>
                <c:pt idx="72">
                  <c:v>37.352405063291137</c:v>
                </c:pt>
                <c:pt idx="73">
                  <c:v>37.520632911392404</c:v>
                </c:pt>
                <c:pt idx="74">
                  <c:v>37.688860759493672</c:v>
                </c:pt>
                <c:pt idx="75">
                  <c:v>37.857088607594939</c:v>
                </c:pt>
                <c:pt idx="76">
                  <c:v>38.025316455696199</c:v>
                </c:pt>
                <c:pt idx="77">
                  <c:v>38.193544303797466</c:v>
                </c:pt>
                <c:pt idx="78">
                  <c:v>38.361772151898734</c:v>
                </c:pt>
                <c:pt idx="79">
                  <c:v>38.53</c:v>
                </c:pt>
                <c:pt idx="80">
                  <c:v>38.698227848101268</c:v>
                </c:pt>
                <c:pt idx="81">
                  <c:v>38.866455696202529</c:v>
                </c:pt>
                <c:pt idx="82">
                  <c:v>39.034683544303796</c:v>
                </c:pt>
                <c:pt idx="83">
                  <c:v>39.202911392405063</c:v>
                </c:pt>
                <c:pt idx="84">
                  <c:v>39.371139240506331</c:v>
                </c:pt>
                <c:pt idx="85">
                  <c:v>39.539367088607591</c:v>
                </c:pt>
                <c:pt idx="86">
                  <c:v>39.707594936708858</c:v>
                </c:pt>
                <c:pt idx="87">
                  <c:v>39.875822784810126</c:v>
                </c:pt>
                <c:pt idx="88">
                  <c:v>40.044050632911393</c:v>
                </c:pt>
                <c:pt idx="89">
                  <c:v>40.21227848101266</c:v>
                </c:pt>
                <c:pt idx="90">
                  <c:v>40.380506329113928</c:v>
                </c:pt>
                <c:pt idx="91">
                  <c:v>40.548734177215188</c:v>
                </c:pt>
                <c:pt idx="92">
                  <c:v>40.716962025316455</c:v>
                </c:pt>
                <c:pt idx="93">
                  <c:v>40.885189873417723</c:v>
                </c:pt>
                <c:pt idx="94">
                  <c:v>41.053417721518983</c:v>
                </c:pt>
                <c:pt idx="95">
                  <c:v>41.22164556962025</c:v>
                </c:pt>
                <c:pt idx="96">
                  <c:v>41.389873417721518</c:v>
                </c:pt>
                <c:pt idx="97">
                  <c:v>41.558101265822785</c:v>
                </c:pt>
                <c:pt idx="98">
                  <c:v>41.726329113924052</c:v>
                </c:pt>
                <c:pt idx="99">
                  <c:v>41.89455696202532</c:v>
                </c:pt>
                <c:pt idx="100">
                  <c:v>42.06278481012658</c:v>
                </c:pt>
                <c:pt idx="101">
                  <c:v>42.231012658227854</c:v>
                </c:pt>
                <c:pt idx="102">
                  <c:v>42.399240506329114</c:v>
                </c:pt>
                <c:pt idx="103">
                  <c:v>42.567468354430375</c:v>
                </c:pt>
                <c:pt idx="104">
                  <c:v>42.735696202531642</c:v>
                </c:pt>
                <c:pt idx="105">
                  <c:v>42.903924050632909</c:v>
                </c:pt>
                <c:pt idx="106">
                  <c:v>43.072151898734177</c:v>
                </c:pt>
                <c:pt idx="107">
                  <c:v>43.240379746835444</c:v>
                </c:pt>
                <c:pt idx="108">
                  <c:v>43.408607594936711</c:v>
                </c:pt>
                <c:pt idx="109">
                  <c:v>43.576835443037979</c:v>
                </c:pt>
                <c:pt idx="110">
                  <c:v>43.745063291139239</c:v>
                </c:pt>
                <c:pt idx="111">
                  <c:v>43.913291139240506</c:v>
                </c:pt>
                <c:pt idx="112">
                  <c:v>44.081518987341767</c:v>
                </c:pt>
                <c:pt idx="113">
                  <c:v>44.249746835443034</c:v>
                </c:pt>
                <c:pt idx="114">
                  <c:v>44.417974683544301</c:v>
                </c:pt>
                <c:pt idx="115">
                  <c:v>44.586202531645569</c:v>
                </c:pt>
                <c:pt idx="116">
                  <c:v>44.754430379746836</c:v>
                </c:pt>
                <c:pt idx="117">
                  <c:v>44.922658227848103</c:v>
                </c:pt>
                <c:pt idx="118">
                  <c:v>45.090886075949371</c:v>
                </c:pt>
                <c:pt idx="119">
                  <c:v>45.259113924050638</c:v>
                </c:pt>
                <c:pt idx="120">
                  <c:v>45.427341772151898</c:v>
                </c:pt>
                <c:pt idx="121">
                  <c:v>45.595569620253166</c:v>
                </c:pt>
                <c:pt idx="122">
                  <c:v>45.763797468354426</c:v>
                </c:pt>
                <c:pt idx="123">
                  <c:v>45.932025316455693</c:v>
                </c:pt>
                <c:pt idx="124">
                  <c:v>46.10025316455696</c:v>
                </c:pt>
                <c:pt idx="125">
                  <c:v>46.268481012658228</c:v>
                </c:pt>
                <c:pt idx="126">
                  <c:v>46.436708860759495</c:v>
                </c:pt>
                <c:pt idx="127">
                  <c:v>46.604936708860762</c:v>
                </c:pt>
                <c:pt idx="128">
                  <c:v>46.77316455696203</c:v>
                </c:pt>
                <c:pt idx="129">
                  <c:v>46.94139240506329</c:v>
                </c:pt>
                <c:pt idx="130">
                  <c:v>47.109620253164557</c:v>
                </c:pt>
                <c:pt idx="131">
                  <c:v>47.277848101265818</c:v>
                </c:pt>
                <c:pt idx="132">
                  <c:v>47.446075949367085</c:v>
                </c:pt>
                <c:pt idx="133">
                  <c:v>47.614303797468352</c:v>
                </c:pt>
                <c:pt idx="134">
                  <c:v>47.78253164556962</c:v>
                </c:pt>
                <c:pt idx="135">
                  <c:v>47.950759493670887</c:v>
                </c:pt>
                <c:pt idx="136">
                  <c:v>48.118987341772154</c:v>
                </c:pt>
                <c:pt idx="137">
                  <c:v>48.287215189873422</c:v>
                </c:pt>
                <c:pt idx="138">
                  <c:v>48.455443037974689</c:v>
                </c:pt>
                <c:pt idx="139">
                  <c:v>48.623670886075949</c:v>
                </c:pt>
                <c:pt idx="140">
                  <c:v>48.791898734177217</c:v>
                </c:pt>
                <c:pt idx="141">
                  <c:v>48.960126582278477</c:v>
                </c:pt>
                <c:pt idx="142">
                  <c:v>49.128354430379744</c:v>
                </c:pt>
                <c:pt idx="143">
                  <c:v>49.296582278481011</c:v>
                </c:pt>
                <c:pt idx="144">
                  <c:v>49.464810126582279</c:v>
                </c:pt>
                <c:pt idx="145">
                  <c:v>49.633037974683546</c:v>
                </c:pt>
                <c:pt idx="146">
                  <c:v>49.801265822784814</c:v>
                </c:pt>
                <c:pt idx="147">
                  <c:v>49.969493670886081</c:v>
                </c:pt>
                <c:pt idx="148">
                  <c:v>50.137721518987341</c:v>
                </c:pt>
                <c:pt idx="149">
                  <c:v>50.305949367088601</c:v>
                </c:pt>
                <c:pt idx="150">
                  <c:v>50.474177215189876</c:v>
                </c:pt>
                <c:pt idx="151">
                  <c:v>50.642405063291136</c:v>
                </c:pt>
                <c:pt idx="152">
                  <c:v>50.810632911392403</c:v>
                </c:pt>
                <c:pt idx="153">
                  <c:v>50.978860759493671</c:v>
                </c:pt>
                <c:pt idx="154">
                  <c:v>51.147088607594938</c:v>
                </c:pt>
                <c:pt idx="155">
                  <c:v>51.315316455696205</c:v>
                </c:pt>
                <c:pt idx="156">
                  <c:v>51.483544303797473</c:v>
                </c:pt>
                <c:pt idx="157">
                  <c:v>51.65177215189874</c:v>
                </c:pt>
                <c:pt idx="158">
                  <c:v>51.82</c:v>
                </c:pt>
                <c:pt idx="159">
                  <c:v>51.988227848101268</c:v>
                </c:pt>
              </c:numCache>
            </c:numRef>
          </c:val>
          <c:smooth val="0"/>
          <c:extLst>
            <c:ext xmlns:c16="http://schemas.microsoft.com/office/drawing/2014/chart" uri="{C3380CC4-5D6E-409C-BE32-E72D297353CC}">
              <c16:uniqueId val="{00000001-CA17-A442-A72E-1039C33F414C}"/>
            </c:ext>
          </c:extLst>
        </c:ser>
        <c:dLbls>
          <c:showLegendKey val="0"/>
          <c:showVal val="0"/>
          <c:showCatName val="0"/>
          <c:showSerName val="0"/>
          <c:showPercent val="0"/>
          <c:showBubbleSize val="0"/>
        </c:dLbls>
        <c:hiLowLines>
          <c:spPr>
            <a:ln w="0">
              <a:noFill/>
            </a:ln>
          </c:spPr>
        </c:hiLowLines>
        <c:marker val="1"/>
        <c:smooth val="0"/>
        <c:axId val="18454821"/>
        <c:axId val="82374243"/>
      </c:lineChart>
      <c:dateAx>
        <c:axId val="87426374"/>
        <c:scaling>
          <c:orientation val="minMax"/>
        </c:scaling>
        <c:delete val="1"/>
        <c:axPos val="b"/>
        <c:numFmt formatCode="mm/dd/yyyy" sourceLinked="1"/>
        <c:majorTickMark val="none"/>
        <c:minorTickMark val="none"/>
        <c:tickLblPos val="nextTo"/>
        <c:crossAx val="33393618"/>
        <c:crosses val="autoZero"/>
        <c:auto val="1"/>
        <c:lblOffset val="100"/>
        <c:baseTimeUnit val="days"/>
      </c:dateAx>
      <c:valAx>
        <c:axId val="333936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7426374"/>
        <c:crosses val="autoZero"/>
        <c:crossBetween val="between"/>
      </c:valAx>
      <c:dateAx>
        <c:axId val="18454821"/>
        <c:scaling>
          <c:orientation val="minMax"/>
        </c:scaling>
        <c:delete val="1"/>
        <c:axPos val="b"/>
        <c:numFmt formatCode="mm/dd/yyyy" sourceLinked="1"/>
        <c:majorTickMark val="none"/>
        <c:minorTickMark val="none"/>
        <c:tickLblPos val="nextTo"/>
        <c:crossAx val="82374243"/>
        <c:crosses val="autoZero"/>
        <c:auto val="1"/>
        <c:lblOffset val="100"/>
        <c:baseTimeUnit val="days"/>
      </c:dateAx>
      <c:valAx>
        <c:axId val="823742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8454821"/>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layout/>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(Calc)'!$V$3:$V$500</c:f>
              <c:numCache>
                <c:formatCode>0.0%</c:formatCode>
                <c:ptCount val="498"/>
                <c:pt idx="0">
                  <c:v>-2.482705937274543E-2</c:v>
                </c:pt>
                <c:pt idx="1">
                  <c:v>-2.1585864740186311E-2</c:v>
                </c:pt>
                <c:pt idx="2">
                  <c:v>2.1884174005871504E-2</c:v>
                </c:pt>
                <c:pt idx="3">
                  <c:v>1.1186558718551343E-2</c:v>
                </c:pt>
                <c:pt idx="4">
                  <c:v>-1.8036244673066193E-2</c:v>
                </c:pt>
                <c:pt idx="5">
                  <c:v>-1.7622304050499804E-2</c:v>
                </c:pt>
                <c:pt idx="6">
                  <c:v>6.2516733601071017E-2</c:v>
                </c:pt>
                <c:pt idx="7">
                  <c:v>8.9034479862246663E-3</c:v>
                </c:pt>
                <c:pt idx="8">
                  <c:v>1.7566498772010108E-2</c:v>
                </c:pt>
                <c:pt idx="9">
                  <c:v>1.9022294947842022E-2</c:v>
                </c:pt>
                <c:pt idx="10">
                  <c:v>8.4303492573263306E-3</c:v>
                </c:pt>
                <c:pt idx="11">
                  <c:v>-2.7468152866242379E-3</c:v>
                </c:pt>
                <c:pt idx="12">
                  <c:v>8.9417588120235258E-3</c:v>
                </c:pt>
                <c:pt idx="13">
                  <c:v>1.5430267062312986E-3</c:v>
                </c:pt>
                <c:pt idx="14">
                  <c:v>7.4267203918780833E-3</c:v>
                </c:pt>
                <c:pt idx="15">
                  <c:v>-2.5096070896400979E-3</c:v>
                </c:pt>
                <c:pt idx="16">
                  <c:v>1.7218334774746324E-2</c:v>
                </c:pt>
                <c:pt idx="17">
                  <c:v>2.5506260627608635E-2</c:v>
                </c:pt>
                <c:pt idx="18">
                  <c:v>-1.0928549894483108E-2</c:v>
                </c:pt>
                <c:pt idx="19">
                  <c:v>3.4481444791587323E-2</c:v>
                </c:pt>
                <c:pt idx="20">
                  <c:v>-8.4711428676664813E-4</c:v>
                </c:pt>
                <c:pt idx="21">
                  <c:v>7.7042170451195879E-3</c:v>
                </c:pt>
                <c:pt idx="22">
                  <c:v>1.8070746607162347E-2</c:v>
                </c:pt>
                <c:pt idx="23">
                  <c:v>-1.5450397039272756E-3</c:v>
                </c:pt>
                <c:pt idx="24">
                  <c:v>-1.1011947603281946E-2</c:v>
                </c:pt>
                <c:pt idx="25">
                  <c:v>1.069791136016307E-2</c:v>
                </c:pt>
                <c:pt idx="26">
                  <c:v>7.9205069124443916E-4</c:v>
                </c:pt>
                <c:pt idx="27">
                  <c:v>-1.4749262536873253E-2</c:v>
                </c:pt>
                <c:pt idx="28">
                  <c:v>-6.973857163721231E-3</c:v>
                </c:pt>
                <c:pt idx="29">
                  <c:v>-4.2284075449499081E-3</c:v>
                </c:pt>
                <c:pt idx="30">
                  <c:v>-2.2413411121778304E-2</c:v>
                </c:pt>
                <c:pt idx="31">
                  <c:v>1.7563739376770471E-2</c:v>
                </c:pt>
                <c:pt idx="32">
                  <c:v>-2.1937639198218117E-2</c:v>
                </c:pt>
                <c:pt idx="33">
                  <c:v>4.5618429541917971E-2</c:v>
                </c:pt>
                <c:pt idx="34">
                  <c:v>-4.3555587818955299E-4</c:v>
                </c:pt>
                <c:pt idx="35">
                  <c:v>-2.0044300809760607E-2</c:v>
                </c:pt>
                <c:pt idx="36">
                  <c:v>-7.3739207766703174E-3</c:v>
                </c:pt>
                <c:pt idx="37">
                  <c:v>2.2771390174705086E-2</c:v>
                </c:pt>
                <c:pt idx="38">
                  <c:v>-2.8724724432440341E-2</c:v>
                </c:pt>
                <c:pt idx="39">
                  <c:v>1.6835143361767502E-2</c:v>
                </c:pt>
                <c:pt idx="40">
                  <c:v>-4.6343176022764943E-2</c:v>
                </c:pt>
                <c:pt idx="41">
                  <c:v>3.0071691532648659E-2</c:v>
                </c:pt>
                <c:pt idx="42">
                  <c:v>-1.707986907941772E-2</c:v>
                </c:pt>
                <c:pt idx="43">
                  <c:v>-1.0716882918052617E-3</c:v>
                </c:pt>
                <c:pt idx="44">
                  <c:v>-2.2606230123759508E-2</c:v>
                </c:pt>
                <c:pt idx="45">
                  <c:v>2.7480497079462207E-2</c:v>
                </c:pt>
                <c:pt idx="46">
                  <c:v>-2.3655093475772659E-2</c:v>
                </c:pt>
                <c:pt idx="47">
                  <c:v>2.9347401328644107E-2</c:v>
                </c:pt>
                <c:pt idx="48">
                  <c:v>2.2778178505000746E-4</c:v>
                </c:pt>
                <c:pt idx="49">
                  <c:v>3.3400387140850807E-2</c:v>
                </c:pt>
                <c:pt idx="50">
                  <c:v>1.0834833070114458E-2</c:v>
                </c:pt>
                <c:pt idx="51">
                  <c:v>2.8558971005014033E-2</c:v>
                </c:pt>
                <c:pt idx="52">
                  <c:v>-8.9727285572981375E-3</c:v>
                </c:pt>
                <c:pt idx="53">
                  <c:v>-3.3720681542739106E-2</c:v>
                </c:pt>
                <c:pt idx="54">
                  <c:v>1.0033938320791025E-2</c:v>
                </c:pt>
                <c:pt idx="55">
                  <c:v>-3.2870708546395289E-4</c:v>
                </c:pt>
                <c:pt idx="56">
                  <c:v>4.5997588688758251E-2</c:v>
                </c:pt>
                <c:pt idx="57">
                  <c:v>-3.0562347188264005E-2</c:v>
                </c:pt>
                <c:pt idx="58">
                  <c:v>3.1958205728697564E-2</c:v>
                </c:pt>
                <c:pt idx="59">
                  <c:v>5.8934431953075794E-2</c:v>
                </c:pt>
                <c:pt idx="60">
                  <c:v>7.6491922189252382E-3</c:v>
                </c:pt>
                <c:pt idx="61">
                  <c:v>9.1617040769564895E-4</c:v>
                </c:pt>
                <c:pt idx="62">
                  <c:v>1.6639424648578149E-2</c:v>
                </c:pt>
                <c:pt idx="63">
                  <c:v>-1.2926460657898931E-2</c:v>
                </c:pt>
                <c:pt idx="64">
                  <c:v>1.1988142163729121E-2</c:v>
                </c:pt>
                <c:pt idx="65">
                  <c:v>9.4640270400772053E-3</c:v>
                </c:pt>
                <c:pt idx="66">
                  <c:v>2.9656557925954452E-3</c:v>
                </c:pt>
                <c:pt idx="67">
                  <c:v>-1.1763957776929845E-2</c:v>
                </c:pt>
                <c:pt idx="68">
                  <c:v>-2.2842802908435655E-2</c:v>
                </c:pt>
                <c:pt idx="69">
                  <c:v>3.8686948505202157E-2</c:v>
                </c:pt>
                <c:pt idx="70">
                  <c:v>3.3093479570165174E-2</c:v>
                </c:pt>
                <c:pt idx="71">
                  <c:v>3.5132398514927443E-2</c:v>
                </c:pt>
                <c:pt idx="72">
                  <c:v>1.820014228124256E-2</c:v>
                </c:pt>
                <c:pt idx="73">
                  <c:v>1.8369723435225582E-2</c:v>
                </c:pt>
                <c:pt idx="74">
                  <c:v>-1.4922386438352309E-2</c:v>
                </c:pt>
                <c:pt idx="75">
                  <c:v>4.0657012681737825E-2</c:v>
                </c:pt>
                <c:pt idx="76">
                  <c:v>-4.7936419408811992E-2</c:v>
                </c:pt>
                <c:pt idx="77">
                  <c:v>-3.916112591898302E-2</c:v>
                </c:pt>
                <c:pt idx="78">
                  <c:v>1.1644921351054771E-2</c:v>
                </c:pt>
                <c:pt idx="79">
                  <c:v>2.1424697161453565E-2</c:v>
                </c:pt>
                <c:pt idx="80">
                  <c:v>-8.6674336961973131E-2</c:v>
                </c:pt>
                <c:pt idx="81">
                  <c:v>6.4730772957782845E-2</c:v>
                </c:pt>
                <c:pt idx="82">
                  <c:v>-1.1376391711919398E-2</c:v>
                </c:pt>
                <c:pt idx="83">
                  <c:v>1.6877378176015645E-2</c:v>
                </c:pt>
                <c:pt idx="84">
                  <c:v>3.708733176413781E-2</c:v>
                </c:pt>
                <c:pt idx="85">
                  <c:v>1.4199668286437594E-2</c:v>
                </c:pt>
                <c:pt idx="86">
                  <c:v>3.7412135991966577E-2</c:v>
                </c:pt>
                <c:pt idx="87">
                  <c:v>-3.1721009983683102E-2</c:v>
                </c:pt>
                <c:pt idx="88">
                  <c:v>3.2960127956129348E-2</c:v>
                </c:pt>
                <c:pt idx="89">
                  <c:v>1.3769839075374657E-2</c:v>
                </c:pt>
                <c:pt idx="90">
                  <c:v>-4.691250272747105E-2</c:v>
                </c:pt>
                <c:pt idx="91">
                  <c:v>-4.0493360805860745E-2</c:v>
                </c:pt>
                <c:pt idx="92">
                  <c:v>2.9675803036177673E-2</c:v>
                </c:pt>
                <c:pt idx="93">
                  <c:v>2.9399837793998351E-2</c:v>
                </c:pt>
                <c:pt idx="94">
                  <c:v>-3.0473564253355456E-2</c:v>
                </c:pt>
                <c:pt idx="95">
                  <c:v>3.2214998839099618E-3</c:v>
                </c:pt>
                <c:pt idx="96">
                  <c:v>2.2912025920675649E-2</c:v>
                </c:pt>
                <c:pt idx="97">
                  <c:v>-4.9548912582369375E-2</c:v>
                </c:pt>
                <c:pt idx="98">
                  <c:v>-7.5877049424227794E-3</c:v>
                </c:pt>
                <c:pt idx="99">
                  <c:v>2.4646198129047781E-2</c:v>
                </c:pt>
                <c:pt idx="100">
                  <c:v>1.6152630654883815E-2</c:v>
                </c:pt>
                <c:pt idx="101">
                  <c:v>4.9818579738525326E-3</c:v>
                </c:pt>
                <c:pt idx="102">
                  <c:v>-2.432734462305508E-2</c:v>
                </c:pt>
                <c:pt idx="103">
                  <c:v>-1.104258443465489E-2</c:v>
                </c:pt>
                <c:pt idx="104">
                  <c:v>6.4144443784521776E-3</c:v>
                </c:pt>
                <c:pt idx="105">
                  <c:v>-1.2422543523163077E-2</c:v>
                </c:pt>
                <c:pt idx="106">
                  <c:v>3.6959574531656214E-2</c:v>
                </c:pt>
                <c:pt idx="107">
                  <c:v>-1.7691465452659427E-2</c:v>
                </c:pt>
                <c:pt idx="108">
                  <c:v>-5.1038366772263588E-3</c:v>
                </c:pt>
                <c:pt idx="109">
                  <c:v>1.6038681526033383E-2</c:v>
                </c:pt>
                <c:pt idx="110">
                  <c:v>-1.9093494283558665E-2</c:v>
                </c:pt>
                <c:pt idx="111">
                  <c:v>-1.3874097739912439E-2</c:v>
                </c:pt>
                <c:pt idx="112">
                  <c:v>-1.5899205039748066E-2</c:v>
                </c:pt>
                <c:pt idx="113">
                  <c:v>-6.1880810852005252E-3</c:v>
                </c:pt>
                <c:pt idx="114">
                  <c:v>1.9692043432918194E-2</c:v>
                </c:pt>
                <c:pt idx="115">
                  <c:v>-9.5656359042233241E-3</c:v>
                </c:pt>
                <c:pt idx="116">
                  <c:v>5.0082002065237274E-2</c:v>
                </c:pt>
                <c:pt idx="117">
                  <c:v>4.1070137382501759E-3</c:v>
                </c:pt>
                <c:pt idx="118">
                  <c:v>1.6447273669959905E-2</c:v>
                </c:pt>
                <c:pt idx="119">
                  <c:v>-2.4002493765585942E-2</c:v>
                </c:pt>
                <c:pt idx="120">
                  <c:v>9.4944978368805E-3</c:v>
                </c:pt>
                <c:pt idx="121">
                  <c:v>-6.1378278877128434E-2</c:v>
                </c:pt>
                <c:pt idx="122">
                  <c:v>-6.4656493227920331E-3</c:v>
                </c:pt>
                <c:pt idx="123">
                  <c:v>-1.3323875026986953E-2</c:v>
                </c:pt>
                <c:pt idx="124">
                  <c:v>3.0289768997530553E-2</c:v>
                </c:pt>
                <c:pt idx="125">
                  <c:v>-5.0819174757281593E-2</c:v>
                </c:pt>
                <c:pt idx="126">
                  <c:v>2.1863512865590407E-2</c:v>
                </c:pt>
                <c:pt idx="127">
                  <c:v>-2.5024242234664706E-3</c:v>
                </c:pt>
                <c:pt idx="128">
                  <c:v>-8.6863808836902257E-3</c:v>
                </c:pt>
                <c:pt idx="129">
                  <c:v>-3.2202960900923672E-2</c:v>
                </c:pt>
                <c:pt idx="130">
                  <c:v>-1.7977381185853458E-2</c:v>
                </c:pt>
                <c:pt idx="131">
                  <c:v>-2.0236985754227055E-2</c:v>
                </c:pt>
                <c:pt idx="132">
                  <c:v>1.7869275716809296E-2</c:v>
                </c:pt>
                <c:pt idx="133">
                  <c:v>1.1848341232227444E-2</c:v>
                </c:pt>
                <c:pt idx="134">
                  <c:v>4.15938252465613E-2</c:v>
                </c:pt>
                <c:pt idx="135">
                  <c:v>-2.3972385838241794E-2</c:v>
                </c:pt>
                <c:pt idx="136">
                  <c:v>6.0121345835631557E-2</c:v>
                </c:pt>
                <c:pt idx="137">
                  <c:v>-2.8156944359429503E-2</c:v>
                </c:pt>
                <c:pt idx="138">
                  <c:v>2.3965484663349468E-2</c:v>
                </c:pt>
                <c:pt idx="139">
                  <c:v>9.5955712747961552E-3</c:v>
                </c:pt>
                <c:pt idx="140">
                  <c:v>-7.6766076705150343E-3</c:v>
                </c:pt>
                <c:pt idx="141">
                  <c:v>-8.534151957022118E-3</c:v>
                </c:pt>
                <c:pt idx="142">
                  <c:v>-3.6535901167291662E-3</c:v>
                </c:pt>
                <c:pt idx="143">
                  <c:v>1.5040865160508288E-2</c:v>
                </c:pt>
                <c:pt idx="144">
                  <c:v>2.7492881854085827E-2</c:v>
                </c:pt>
                <c:pt idx="145">
                  <c:v>7.7023926581448521E-2</c:v>
                </c:pt>
                <c:pt idx="146">
                  <c:v>-3.6352570132241468E-2</c:v>
                </c:pt>
                <c:pt idx="147">
                  <c:v>2.7503445107946778E-2</c:v>
                </c:pt>
                <c:pt idx="148">
                  <c:v>-7.8792958927074164E-3</c:v>
                </c:pt>
                <c:pt idx="149">
                  <c:v>2.9204686267883417E-2</c:v>
                </c:pt>
                <c:pt idx="150">
                  <c:v>-9.9055958407443523E-3</c:v>
                </c:pt>
                <c:pt idx="151">
                  <c:v>6.4118508691926035E-3</c:v>
                </c:pt>
                <c:pt idx="152">
                  <c:v>1.8920774406151475E-2</c:v>
                </c:pt>
                <c:pt idx="153">
                  <c:v>2.8460543337645472E-2</c:v>
                </c:pt>
                <c:pt idx="154">
                  <c:v>-1.7112159329140564E-2</c:v>
                </c:pt>
                <c:pt idx="155">
                  <c:v>-1.2317700695870126E-2</c:v>
                </c:pt>
                <c:pt idx="156">
                  <c:v>-5.8307463895261868E-3</c:v>
                </c:pt>
                <c:pt idx="157">
                  <c:v>-2.4708789269326514E-3</c:v>
                </c:pt>
                <c:pt idx="158">
                  <c:v>-1.8291687081495867E-2</c:v>
                </c:pt>
                <c:pt idx="159">
                  <c:v>0</c:v>
                </c:pt>
              </c:numCache>
            </c:numRef>
          </c:val>
          <c:extLst>
            <c:ext xmlns:c16="http://schemas.microsoft.com/office/drawing/2014/chart" uri="{C3380CC4-5D6E-409C-BE32-E72D297353CC}">
              <c16:uniqueId val="{00000000-10D8-174E-A30B-EDC0FA9313A7}"/>
            </c:ext>
          </c:extLst>
        </c:ser>
        <c:dLbls>
          <c:showLegendKey val="0"/>
          <c:showVal val="0"/>
          <c:showCatName val="0"/>
          <c:showSerName val="0"/>
          <c:showPercent val="0"/>
          <c:showBubbleSize val="0"/>
        </c:dLbls>
        <c:gapWidth val="150"/>
        <c:axId val="81775362"/>
        <c:axId val="83667326"/>
      </c:barChart>
      <c:lineChart>
        <c:grouping val="standard"/>
        <c:varyColors val="0"/>
        <c:ser>
          <c:idx val="1"/>
          <c:order val="1"/>
          <c:tx>
            <c:strRef>
              <c:f>'Returns (Calc)'!$AO$2</c:f>
              <c:strCache>
                <c:ptCount val="1"/>
                <c:pt idx="0">
                  <c:v>V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(Calc)'!$AO$3:$AO$500</c:f>
              <c:numCache>
                <c:formatCode>#,##0.00</c:formatCode>
                <c:ptCount val="498"/>
                <c:pt idx="0">
                  <c:v>235.63</c:v>
                </c:pt>
                <c:pt idx="1">
                  <c:v>236.42132911392406</c:v>
                </c:pt>
                <c:pt idx="2">
                  <c:v>237.2126582278481</c:v>
                </c:pt>
                <c:pt idx="3">
                  <c:v>238.00398734177216</c:v>
                </c:pt>
                <c:pt idx="4">
                  <c:v>238.7953164556962</c:v>
                </c:pt>
                <c:pt idx="5">
                  <c:v>239.58664556962026</c:v>
                </c:pt>
                <c:pt idx="6">
                  <c:v>240.37797468354429</c:v>
                </c:pt>
                <c:pt idx="7">
                  <c:v>241.16930379746836</c:v>
                </c:pt>
                <c:pt idx="8">
                  <c:v>241.96063291139239</c:v>
                </c:pt>
                <c:pt idx="9">
                  <c:v>242.75196202531646</c:v>
                </c:pt>
                <c:pt idx="10">
                  <c:v>243.54329113924049</c:v>
                </c:pt>
                <c:pt idx="11">
                  <c:v>244.33462025316456</c:v>
                </c:pt>
                <c:pt idx="12">
                  <c:v>245.12594936708859</c:v>
                </c:pt>
                <c:pt idx="13">
                  <c:v>245.91727848101266</c:v>
                </c:pt>
                <c:pt idx="14">
                  <c:v>246.70860759493669</c:v>
                </c:pt>
                <c:pt idx="15">
                  <c:v>247.49993670886076</c:v>
                </c:pt>
                <c:pt idx="16">
                  <c:v>248.29126582278479</c:v>
                </c:pt>
                <c:pt idx="17">
                  <c:v>249.08259493670886</c:v>
                </c:pt>
                <c:pt idx="18">
                  <c:v>249.87392405063292</c:v>
                </c:pt>
                <c:pt idx="19">
                  <c:v>250.66525316455696</c:v>
                </c:pt>
                <c:pt idx="20">
                  <c:v>251.45658227848102</c:v>
                </c:pt>
                <c:pt idx="21">
                  <c:v>252.24791139240506</c:v>
                </c:pt>
                <c:pt idx="22">
                  <c:v>253.03924050632912</c:v>
                </c:pt>
                <c:pt idx="23">
                  <c:v>253.83056962025316</c:v>
                </c:pt>
                <c:pt idx="24">
                  <c:v>254.62189873417722</c:v>
                </c:pt>
                <c:pt idx="25">
                  <c:v>255.41322784810126</c:v>
                </c:pt>
                <c:pt idx="26">
                  <c:v>256.20455696202532</c:v>
                </c:pt>
                <c:pt idx="27">
                  <c:v>256.99588607594939</c:v>
                </c:pt>
                <c:pt idx="28">
                  <c:v>257.78721518987339</c:v>
                </c:pt>
                <c:pt idx="29">
                  <c:v>258.57854430379746</c:v>
                </c:pt>
                <c:pt idx="30">
                  <c:v>259.36987341772152</c:v>
                </c:pt>
                <c:pt idx="31">
                  <c:v>260.16120253164559</c:v>
                </c:pt>
                <c:pt idx="32">
                  <c:v>260.95253164556959</c:v>
                </c:pt>
                <c:pt idx="33">
                  <c:v>261.74386075949366</c:v>
                </c:pt>
                <c:pt idx="34">
                  <c:v>262.53518987341772</c:v>
                </c:pt>
                <c:pt idx="35">
                  <c:v>263.32651898734179</c:v>
                </c:pt>
                <c:pt idx="36">
                  <c:v>264.11784810126585</c:v>
                </c:pt>
                <c:pt idx="37">
                  <c:v>264.90917721518986</c:v>
                </c:pt>
                <c:pt idx="38">
                  <c:v>265.70050632911392</c:v>
                </c:pt>
                <c:pt idx="39">
                  <c:v>266.49183544303798</c:v>
                </c:pt>
                <c:pt idx="40">
                  <c:v>267.28316455696205</c:v>
                </c:pt>
                <c:pt idx="41">
                  <c:v>268.07449367088606</c:v>
                </c:pt>
                <c:pt idx="42">
                  <c:v>268.86582278481012</c:v>
                </c:pt>
                <c:pt idx="43">
                  <c:v>269.65715189873418</c:v>
                </c:pt>
                <c:pt idx="44">
                  <c:v>270.44848101265825</c:v>
                </c:pt>
                <c:pt idx="45">
                  <c:v>271.23981012658226</c:v>
                </c:pt>
                <c:pt idx="46">
                  <c:v>272.03113924050632</c:v>
                </c:pt>
                <c:pt idx="47">
                  <c:v>272.82246835443038</c:v>
                </c:pt>
                <c:pt idx="48">
                  <c:v>273.61379746835445</c:v>
                </c:pt>
                <c:pt idx="49">
                  <c:v>274.40512658227851</c:v>
                </c:pt>
                <c:pt idx="50">
                  <c:v>275.19645569620252</c:v>
                </c:pt>
                <c:pt idx="51">
                  <c:v>275.98778481012658</c:v>
                </c:pt>
                <c:pt idx="52">
                  <c:v>276.77911392405065</c:v>
                </c:pt>
                <c:pt idx="53">
                  <c:v>277.57044303797471</c:v>
                </c:pt>
                <c:pt idx="54">
                  <c:v>278.36177215189872</c:v>
                </c:pt>
                <c:pt idx="55">
                  <c:v>279.15310126582278</c:v>
                </c:pt>
                <c:pt idx="56">
                  <c:v>279.94443037974685</c:v>
                </c:pt>
                <c:pt idx="57">
                  <c:v>280.73575949367091</c:v>
                </c:pt>
                <c:pt idx="58">
                  <c:v>281.52708860759492</c:v>
                </c:pt>
                <c:pt idx="59">
                  <c:v>282.31841772151898</c:v>
                </c:pt>
                <c:pt idx="60">
                  <c:v>283.10974683544305</c:v>
                </c:pt>
                <c:pt idx="61">
                  <c:v>283.90107594936711</c:v>
                </c:pt>
                <c:pt idx="62">
                  <c:v>284.69240506329118</c:v>
                </c:pt>
                <c:pt idx="63">
                  <c:v>285.48373417721518</c:v>
                </c:pt>
                <c:pt idx="64">
                  <c:v>286.27506329113925</c:v>
                </c:pt>
                <c:pt idx="65">
                  <c:v>287.06639240506331</c:v>
                </c:pt>
                <c:pt idx="66">
                  <c:v>287.85772151898732</c:v>
                </c:pt>
                <c:pt idx="67">
                  <c:v>288.64905063291138</c:v>
                </c:pt>
                <c:pt idx="68">
                  <c:v>289.44037974683545</c:v>
                </c:pt>
                <c:pt idx="69">
                  <c:v>290.23170886075951</c:v>
                </c:pt>
                <c:pt idx="70">
                  <c:v>291.02303797468358</c:v>
                </c:pt>
                <c:pt idx="71">
                  <c:v>291.81436708860758</c:v>
                </c:pt>
                <c:pt idx="72">
                  <c:v>292.60569620253165</c:v>
                </c:pt>
                <c:pt idx="73">
                  <c:v>293.39702531645571</c:v>
                </c:pt>
                <c:pt idx="74">
                  <c:v>294.18835443037977</c:v>
                </c:pt>
                <c:pt idx="75">
                  <c:v>294.97968354430378</c:v>
                </c:pt>
                <c:pt idx="76">
                  <c:v>295.77101265822785</c:v>
                </c:pt>
                <c:pt idx="77">
                  <c:v>296.56234177215191</c:v>
                </c:pt>
                <c:pt idx="78">
                  <c:v>297.35367088607597</c:v>
                </c:pt>
                <c:pt idx="79">
                  <c:v>298.14499999999998</c:v>
                </c:pt>
                <c:pt idx="80">
                  <c:v>298.93632911392405</c:v>
                </c:pt>
                <c:pt idx="81">
                  <c:v>299.72765822784811</c:v>
                </c:pt>
                <c:pt idx="82">
                  <c:v>300.51898734177217</c:v>
                </c:pt>
                <c:pt idx="83">
                  <c:v>301.31031645569624</c:v>
                </c:pt>
                <c:pt idx="84">
                  <c:v>302.10164556962025</c:v>
                </c:pt>
                <c:pt idx="85">
                  <c:v>302.89297468354431</c:v>
                </c:pt>
                <c:pt idx="86">
                  <c:v>303.68430379746837</c:v>
                </c:pt>
                <c:pt idx="87">
                  <c:v>304.47563291139238</c:v>
                </c:pt>
                <c:pt idx="88">
                  <c:v>305.2669620253165</c:v>
                </c:pt>
                <c:pt idx="89">
                  <c:v>306.05829113924051</c:v>
                </c:pt>
                <c:pt idx="90">
                  <c:v>306.84962025316457</c:v>
                </c:pt>
                <c:pt idx="91">
                  <c:v>307.64094936708864</c:v>
                </c:pt>
                <c:pt idx="92">
                  <c:v>308.43227848101264</c:v>
                </c:pt>
                <c:pt idx="93">
                  <c:v>309.22360759493671</c:v>
                </c:pt>
                <c:pt idx="94">
                  <c:v>310.01493670886077</c:v>
                </c:pt>
                <c:pt idx="95">
                  <c:v>310.80626582278484</c:v>
                </c:pt>
                <c:pt idx="96">
                  <c:v>311.5975949367089</c:v>
                </c:pt>
                <c:pt idx="97">
                  <c:v>312.38892405063291</c:v>
                </c:pt>
                <c:pt idx="98">
                  <c:v>313.18025316455697</c:v>
                </c:pt>
                <c:pt idx="99">
                  <c:v>313.97158227848104</c:v>
                </c:pt>
                <c:pt idx="100">
                  <c:v>314.7629113924051</c:v>
                </c:pt>
                <c:pt idx="101">
                  <c:v>315.55424050632911</c:v>
                </c:pt>
                <c:pt idx="102">
                  <c:v>316.34556962025317</c:v>
                </c:pt>
                <c:pt idx="103">
                  <c:v>317.13689873417724</c:v>
                </c:pt>
                <c:pt idx="104">
                  <c:v>317.9282278481013</c:v>
                </c:pt>
                <c:pt idx="105">
                  <c:v>318.71955696202531</c:v>
                </c:pt>
                <c:pt idx="106">
                  <c:v>319.51088607594937</c:v>
                </c:pt>
                <c:pt idx="107">
                  <c:v>320.30221518987344</c:v>
                </c:pt>
                <c:pt idx="108">
                  <c:v>321.0935443037975</c:v>
                </c:pt>
                <c:pt idx="109">
                  <c:v>321.88487341772156</c:v>
                </c:pt>
                <c:pt idx="110">
                  <c:v>322.67620253164557</c:v>
                </c:pt>
                <c:pt idx="111">
                  <c:v>323.46753164556964</c:v>
                </c:pt>
                <c:pt idx="112">
                  <c:v>324.2588607594937</c:v>
                </c:pt>
                <c:pt idx="113">
                  <c:v>325.05018987341771</c:v>
                </c:pt>
                <c:pt idx="114">
                  <c:v>325.84151898734177</c:v>
                </c:pt>
                <c:pt idx="115">
                  <c:v>326.63284810126584</c:v>
                </c:pt>
                <c:pt idx="116">
                  <c:v>327.4241772151899</c:v>
                </c:pt>
                <c:pt idx="117">
                  <c:v>328.21550632911396</c:v>
                </c:pt>
                <c:pt idx="118">
                  <c:v>329.00683544303797</c:v>
                </c:pt>
                <c:pt idx="119">
                  <c:v>329.79816455696204</c:v>
                </c:pt>
                <c:pt idx="120">
                  <c:v>330.5894936708861</c:v>
                </c:pt>
                <c:pt idx="121">
                  <c:v>331.38082278481011</c:v>
                </c:pt>
                <c:pt idx="122">
                  <c:v>332.17215189873423</c:v>
                </c:pt>
                <c:pt idx="123">
                  <c:v>332.96348101265824</c:v>
                </c:pt>
                <c:pt idx="124">
                  <c:v>333.7548101265823</c:v>
                </c:pt>
                <c:pt idx="125">
                  <c:v>334.54613924050636</c:v>
                </c:pt>
                <c:pt idx="126">
                  <c:v>335.33746835443037</c:v>
                </c:pt>
                <c:pt idx="127">
                  <c:v>336.12879746835443</c:v>
                </c:pt>
                <c:pt idx="128">
                  <c:v>336.9201265822785</c:v>
                </c:pt>
                <c:pt idx="129">
                  <c:v>337.71145569620256</c:v>
                </c:pt>
                <c:pt idx="130">
                  <c:v>338.50278481012663</c:v>
                </c:pt>
                <c:pt idx="131">
                  <c:v>339.29411392405063</c:v>
                </c:pt>
                <c:pt idx="132">
                  <c:v>340.0854430379747</c:v>
                </c:pt>
                <c:pt idx="133">
                  <c:v>340.87677215189876</c:v>
                </c:pt>
                <c:pt idx="134">
                  <c:v>341.66810126582283</c:v>
                </c:pt>
                <c:pt idx="135">
                  <c:v>342.45943037974683</c:v>
                </c:pt>
                <c:pt idx="136">
                  <c:v>343.2507594936709</c:v>
                </c:pt>
                <c:pt idx="137">
                  <c:v>344.04208860759496</c:v>
                </c:pt>
                <c:pt idx="138">
                  <c:v>344.83341772151903</c:v>
                </c:pt>
                <c:pt idx="139">
                  <c:v>345.62474683544303</c:v>
                </c:pt>
                <c:pt idx="140">
                  <c:v>346.4160759493671</c:v>
                </c:pt>
                <c:pt idx="141">
                  <c:v>347.20740506329116</c:v>
                </c:pt>
                <c:pt idx="142">
                  <c:v>347.99873417721523</c:v>
                </c:pt>
                <c:pt idx="143">
                  <c:v>348.79006329113929</c:v>
                </c:pt>
                <c:pt idx="144">
                  <c:v>349.5813924050633</c:v>
                </c:pt>
                <c:pt idx="145">
                  <c:v>350.37272151898736</c:v>
                </c:pt>
                <c:pt idx="146">
                  <c:v>351.16405063291143</c:v>
                </c:pt>
                <c:pt idx="147">
                  <c:v>351.95537974683543</c:v>
                </c:pt>
                <c:pt idx="148">
                  <c:v>352.74670886075955</c:v>
                </c:pt>
                <c:pt idx="149">
                  <c:v>353.53803797468356</c:v>
                </c:pt>
                <c:pt idx="150">
                  <c:v>354.32936708860763</c:v>
                </c:pt>
                <c:pt idx="151">
                  <c:v>355.12069620253169</c:v>
                </c:pt>
                <c:pt idx="152">
                  <c:v>355.9120253164557</c:v>
                </c:pt>
                <c:pt idx="153">
                  <c:v>356.70335443037976</c:v>
                </c:pt>
                <c:pt idx="154">
                  <c:v>357.49468354430383</c:v>
                </c:pt>
                <c:pt idx="155">
                  <c:v>358.28601265822789</c:v>
                </c:pt>
                <c:pt idx="156">
                  <c:v>359.07734177215195</c:v>
                </c:pt>
                <c:pt idx="157">
                  <c:v>359.86867088607596</c:v>
                </c:pt>
                <c:pt idx="158">
                  <c:v>360.66</c:v>
                </c:pt>
                <c:pt idx="159">
                  <c:v>361.45132911392409</c:v>
                </c:pt>
              </c:numCache>
            </c:numRef>
          </c:val>
          <c:smooth val="0"/>
          <c:extLst>
            <c:ext xmlns:c16="http://schemas.microsoft.com/office/drawing/2014/chart" uri="{C3380CC4-5D6E-409C-BE32-E72D297353CC}">
              <c16:uniqueId val="{00000001-10D8-174E-A30B-EDC0FA9313A7}"/>
            </c:ext>
          </c:extLst>
        </c:ser>
        <c:dLbls>
          <c:showLegendKey val="0"/>
          <c:showVal val="0"/>
          <c:showCatName val="0"/>
          <c:showSerName val="0"/>
          <c:showPercent val="0"/>
          <c:showBubbleSize val="0"/>
        </c:dLbls>
        <c:hiLowLines>
          <c:spPr>
            <a:ln w="0">
              <a:noFill/>
            </a:ln>
          </c:spPr>
        </c:hiLowLines>
        <c:marker val="1"/>
        <c:smooth val="0"/>
        <c:axId val="49877897"/>
        <c:axId val="16232028"/>
      </c:lineChart>
      <c:dateAx>
        <c:axId val="81775362"/>
        <c:scaling>
          <c:orientation val="minMax"/>
        </c:scaling>
        <c:delete val="1"/>
        <c:axPos val="b"/>
        <c:numFmt formatCode="mm/dd/yyyy" sourceLinked="1"/>
        <c:majorTickMark val="none"/>
        <c:minorTickMark val="none"/>
        <c:tickLblPos val="nextTo"/>
        <c:crossAx val="83667326"/>
        <c:crosses val="autoZero"/>
        <c:auto val="1"/>
        <c:lblOffset val="100"/>
        <c:baseTimeUnit val="days"/>
      </c:dateAx>
      <c:valAx>
        <c:axId val="836673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775362"/>
        <c:crosses val="autoZero"/>
        <c:crossBetween val="between"/>
      </c:valAx>
      <c:dateAx>
        <c:axId val="49877897"/>
        <c:scaling>
          <c:orientation val="minMax"/>
        </c:scaling>
        <c:delete val="1"/>
        <c:axPos val="b"/>
        <c:numFmt formatCode="mm/dd/yyyy" sourceLinked="1"/>
        <c:majorTickMark val="none"/>
        <c:minorTickMark val="none"/>
        <c:tickLblPos val="nextTo"/>
        <c:crossAx val="16232028"/>
        <c:crosses val="autoZero"/>
        <c:auto val="1"/>
        <c:lblOffset val="100"/>
        <c:baseTimeUnit val="days"/>
      </c:dateAx>
      <c:valAx>
        <c:axId val="162320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987789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163</xdr:row>
      <xdr:rowOff>0</xdr:rowOff>
    </xdr:from>
    <xdr:to>
      <xdr:col>5</xdr:col>
      <xdr:colOff>327600</xdr:colOff>
      <xdr:row>174</xdr:row>
      <xdr:rowOff>150480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349200</xdr:colOff>
      <xdr:row>174</xdr:row>
      <xdr:rowOff>150480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115200</xdr:colOff>
      <xdr:row>174</xdr:row>
      <xdr:rowOff>150480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367560</xdr:colOff>
      <xdr:row>174</xdr:row>
      <xdr:rowOff>150480</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327600</xdr:colOff>
      <xdr:row>190</xdr:row>
      <xdr:rowOff>150480</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349200</xdr:colOff>
      <xdr:row>190</xdr:row>
      <xdr:rowOff>150480</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115200</xdr:colOff>
      <xdr:row>190</xdr:row>
      <xdr:rowOff>150480</xdr:rowOff>
    </xdr:to>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367560</xdr:colOff>
      <xdr:row>190</xdr:row>
      <xdr:rowOff>150480</xdr:rowOff>
    </xdr:to>
    <xdr:graphicFrame macro="">
      <xdr:nvGraphicFramePr>
        <xdr:cNvPr id="9" name="Chart 8">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327600</xdr:colOff>
      <xdr:row>206</xdr:row>
      <xdr:rowOff>149760</xdr:rowOff>
    </xdr:to>
    <xdr:graphicFrame macro="">
      <xdr:nvGraphicFramePr>
        <xdr:cNvPr id="10" name="Chart 9">
          <a:extLst>
            <a:ext uri="{FF2B5EF4-FFF2-40B4-BE49-F238E27FC236}">
              <a16:creationId xmlns:a16="http://schemas.microsoft.com/office/drawing/2014/main" id="{00000000-0008-0000-09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349200</xdr:colOff>
      <xdr:row>206</xdr:row>
      <xdr:rowOff>149760</xdr:rowOff>
    </xdr:to>
    <xdr:graphicFrame macro="">
      <xdr:nvGraphicFramePr>
        <xdr:cNvPr id="11" name="Chart 10">
          <a:extLst>
            <a:ext uri="{FF2B5EF4-FFF2-40B4-BE49-F238E27FC236}">
              <a16:creationId xmlns:a16="http://schemas.microsoft.com/office/drawing/2014/main" id="{00000000-0008-0000-09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115200</xdr:colOff>
      <xdr:row>206</xdr:row>
      <xdr:rowOff>149760</xdr:rowOff>
    </xdr:to>
    <xdr:graphicFrame macro="">
      <xdr:nvGraphicFramePr>
        <xdr:cNvPr id="12" name="Chart 11">
          <a:extLst>
            <a:ext uri="{FF2B5EF4-FFF2-40B4-BE49-F238E27FC236}">
              <a16:creationId xmlns:a16="http://schemas.microsoft.com/office/drawing/2014/main" id="{00000000-0008-0000-09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367560</xdr:colOff>
      <xdr:row>206</xdr:row>
      <xdr:rowOff>149760</xdr:rowOff>
    </xdr:to>
    <xdr:graphicFrame macro="">
      <xdr:nvGraphicFramePr>
        <xdr:cNvPr id="13" name="Chart 12">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327600</xdr:colOff>
      <xdr:row>222</xdr:row>
      <xdr:rowOff>150480</xdr:rowOff>
    </xdr:to>
    <xdr:graphicFrame macro="">
      <xdr:nvGraphicFramePr>
        <xdr:cNvPr id="14" name="Chart 13">
          <a:extLst>
            <a:ext uri="{FF2B5EF4-FFF2-40B4-BE49-F238E27FC236}">
              <a16:creationId xmlns:a16="http://schemas.microsoft.com/office/drawing/2014/main" id="{00000000-0008-0000-09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349200</xdr:colOff>
      <xdr:row>222</xdr:row>
      <xdr:rowOff>150480</xdr:rowOff>
    </xdr:to>
    <xdr:graphicFrame macro="">
      <xdr:nvGraphicFramePr>
        <xdr:cNvPr id="15" name="Chart 14">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115200</xdr:colOff>
      <xdr:row>222</xdr:row>
      <xdr:rowOff>150480</xdr:rowOff>
    </xdr:to>
    <xdr:graphicFrame macro="">
      <xdr:nvGraphicFramePr>
        <xdr:cNvPr id="16" name="Chart 15">
          <a:extLst>
            <a:ext uri="{FF2B5EF4-FFF2-40B4-BE49-F238E27FC236}">
              <a16:creationId xmlns:a16="http://schemas.microsoft.com/office/drawing/2014/main" id="{00000000-0008-0000-09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367560</xdr:colOff>
      <xdr:row>222</xdr:row>
      <xdr:rowOff>150480</xdr:rowOff>
    </xdr:to>
    <xdr:graphicFrame macro="">
      <xdr:nvGraphicFramePr>
        <xdr:cNvPr id="17" name="Chart 16">
          <a:extLst>
            <a:ext uri="{FF2B5EF4-FFF2-40B4-BE49-F238E27FC236}">
              <a16:creationId xmlns:a16="http://schemas.microsoft.com/office/drawing/2014/main" id="{00000000-0008-0000-09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327600</xdr:colOff>
      <xdr:row>238</xdr:row>
      <xdr:rowOff>150480</xdr:rowOff>
    </xdr:to>
    <xdr:graphicFrame macro="">
      <xdr:nvGraphicFramePr>
        <xdr:cNvPr id="18" name="Chart 17">
          <a:extLst>
            <a:ext uri="{FF2B5EF4-FFF2-40B4-BE49-F238E27FC236}">
              <a16:creationId xmlns:a16="http://schemas.microsoft.com/office/drawing/2014/main" id="{00000000-0008-0000-09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349200</xdr:colOff>
      <xdr:row>238</xdr:row>
      <xdr:rowOff>150480</xdr:rowOff>
    </xdr:to>
    <xdr:graphicFrame macro="">
      <xdr:nvGraphicFramePr>
        <xdr:cNvPr id="19" name="Chart 18">
          <a:extLst>
            <a:ext uri="{FF2B5EF4-FFF2-40B4-BE49-F238E27FC236}">
              <a16:creationId xmlns:a16="http://schemas.microsoft.com/office/drawing/2014/main" id="{00000000-0008-0000-09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383040</xdr:colOff>
      <xdr:row>252</xdr:row>
      <xdr:rowOff>150480</xdr:rowOff>
    </xdr:to>
    <xdr:graphicFrame macro="">
      <xdr:nvGraphicFramePr>
        <xdr:cNvPr id="20" name="Chart 19">
          <a:extLst>
            <a:ext uri="{FF2B5EF4-FFF2-40B4-BE49-F238E27FC236}">
              <a16:creationId xmlns:a16="http://schemas.microsoft.com/office/drawing/2014/main" id="{00000000-0008-0000-09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50">
  <a r="1" c="3">
    <v t="i">0</v>
    <v t="i">1</v>
    <v t="i">2</v>
  </a>
  <a r="1" c="3">
    <v>29.61</v>
    <v>30.2</v>
    <v>30.85</v>
  </a>
  <a r="1" c="3">
    <v>312.29000000000002</v>
    <v>312.39</v>
    <v>309.56</v>
  </a>
  <a r="1" c="3">
    <v>354.81</v>
    <v>354.11</v>
    <v>370.59</v>
  </a>
  <a r="1" c="3">
    <v>187.05</v>
    <v>190.04</v>
    <v>188.75</v>
  </a>
  <a r="1" c="3">
    <v>1065.1099999999999</v>
    <v>1097.3900000000001</v>
    <v>1074.8900000000001</v>
  </a>
  <a r="1" c="3">
    <v>228.38</v>
    <v>230.86</v>
    <v>233.95</v>
  </a>
  <a r="1" c="3">
    <v>12.32</v>
    <v>12.84</v>
    <v>12.78</v>
  </a>
  <a r="1" c="3">
    <v>31.95</v>
    <v>32.32</v>
    <v>32.36</v>
  </a>
  <a r="1" c="3">
    <v>241.31</v>
    <v>246.12</v>
    <v>252.18</v>
  </a>
  <a r="1" c="3">
    <v>92.77</v>
    <v>90.19</v>
    <v>91.97</v>
  </a>
  <a r="1" c="3">
    <v>429.71</v>
    <v>437.28</v>
    <v>436.11</v>
  </a>
  <a r="1" c="3">
    <v>19.77</v>
    <v>20.100000000000001</v>
    <v>20.47</v>
  </a>
  <a r="1" c="3">
    <v>0.48499999999999999</v>
    <v>0.44500000000000001</v>
    <v>0.44</v>
  </a>
  <a r="1" c="3">
    <v>129.84</v>
    <v>128.18</v>
    <v>128.91</v>
  </a>
  <a r="1" c="3">
    <v>299.61</v>
    <v>295</v>
    <v>297.61500000000001</v>
  </a>
  <a r="1" c="3">
    <v>955.42</v>
    <v>965.88</v>
    <v>972.55</v>
  </a>
  <a r="1" c="3">
    <v>44.37</v>
    <v>44.2</v>
    <v>44.19</v>
  </a>
  <a r="1" c="3">
    <v>38.909999999999997</v>
    <v>38.74</v>
    <v>38.68</v>
  </a>
  <a r="1" c="3">
    <v>456.19</v>
    <v>459.2</v>
    <v>472.78</v>
  </a>
  <a r="1" c="3">
    <v>107.54</v>
    <v>107.45</v>
    <v>105.85</v>
  </a>
  <a r="1" c="3">
    <v>203.59</v>
    <v>204.49</v>
    <v>207.35</v>
  </a>
  <a r="1" c="3">
    <v>71.489999999999995</v>
    <v>72.84</v>
    <v>72.77</v>
  </a>
  <a r="1" c="3">
    <v>104.9</v>
    <v>101.33</v>
    <v>102.19</v>
  </a>
  <a r="1" c="3">
    <v>264.75</v>
    <v>266.08999999999997</v>
    <v>270.04000000000002</v>
  </a>
  <a r="1" c="3">
    <v>35.4</v>
    <v>35.15</v>
    <v>33.869999999999997</v>
  </a>
  <a r="1" c="3">
    <v>7.78</v>
    <v>7.76</v>
    <v>7.66</v>
  </a>
  <a r="1" c="3">
    <v>145.28</v>
    <v>143.94999999999999</v>
    <v>144.91</v>
  </a>
  <a r="1" c="3">
    <v>66.349999999999994</v>
    <v>64.48</v>
    <v>64.47</v>
  </a>
  <a r="1" c="3">
    <v>359.33</v>
    <v>359.85</v>
    <v>360.66</v>
  </a>
  <a r="1" c="3">
    <v>11.01</v>
    <v>11.47</v>
    <v>11.32</v>
  </a>
  <a r="1" c="3">
    <v>351.19</v>
    <v>343.64</v>
    <v>355.14</v>
  </a>
  <a r="1" c="3">
    <v>98.83</v>
    <v>96.69</v>
    <v>97.5</v>
  </a>
  <a r="1" c="3">
    <v>194.93</v>
    <v>200.33</v>
    <v>206.89</v>
  </a>
  <a r="1" c="3">
    <v>522.80999999999995</v>
    <v>506.74</v>
    <v>504.73</v>
  </a>
  <a r="1" c="3">
    <v>136.34</v>
    <v>136.69</v>
    <v>136.12</v>
  </a>
  <a r="1" c="3">
    <v>239.94</v>
    <v>241.28</v>
    <v>237.69</v>
  </a>
  <a r="1" c="3">
    <v>285.45</v>
    <v>281.93</v>
    <v>273.33</v>
  </a>
  <a r="1" c="3">
    <v>1811.67</v>
    <v>1808.49</v>
    <v>1867.31</v>
  </a>
  <a r="1" c="3">
    <v>18.73</v>
    <v>18.91</v>
    <v>18.8</v>
  </a>
  <a r="1" c="3">
    <v>19.940000000000001</v>
    <v>19.96</v>
    <v>20.25</v>
  </a>
  <a r="1" c="3">
    <v>69.58</v>
    <v>67.849999999999994</v>
    <v>67.06</v>
  </a>
  <a r="1" c="3">
    <v>52.97</v>
    <v>53.56</v>
    <v>54.33</v>
  </a>
  <a r="1" c="3">
    <v>75.739999999999995</v>
    <v>76.349999999999994</v>
    <v>76.83</v>
  </a>
  <a r="1" c="3">
    <v>18.22</v>
    <v>18.47</v>
    <v>19.309999999999999</v>
  </a>
  <a r="1" c="3">
    <v>19.704999999999998</v>
    <v>19.600000000000001</v>
    <v>19.43</v>
  </a>
  <a r="1" c="3">
    <v>85.6</v>
    <v>84.42</v>
    <v>84.75</v>
  </a>
  <a r="1" c="3">
    <v>910.34</v>
    <v>914.94</v>
    <v>920.65</v>
  </a>
  <a r="1" c="3">
    <v>48.72</v>
    <v>48.66</v>
    <v>48.74</v>
  </a>
  <a r="1" c="3">
    <v>14.06</v>
    <v>14.41</v>
    <v>14.33</v>
  </a>
</arrayData>
</file>

<file path=xl/richData/rdrichvalue.xml><?xml version="1.0" encoding="utf-8"?>
<rvData xmlns="http://schemas.microsoft.com/office/spreadsheetml/2017/richdata" count="98">
  <rv s="0">
    <fb>237.69</fb>
    <v>0</v>
  </rv>
  <rv s="0">
    <fb>207.35</fb>
    <v>0</v>
  </rv>
  <rv s="0">
    <fb>1867.31</fb>
    <v>0</v>
  </rv>
  <rv s="0">
    <fb>270.04000000000002</fb>
    <v>0</v>
  </rv>
  <rv s="0">
    <fb>206.89</fb>
    <v>0</v>
  </rv>
  <rv s="0">
    <fb>1074.8900000000001</fb>
    <v>0</v>
  </rv>
  <rv s="0">
    <fb>233.95</fb>
    <v>0</v>
  </rv>
  <rv s="0">
    <fb>188.75</fb>
    <v>0</v>
  </rv>
  <rv s="0">
    <fb>472.78</fb>
    <v>0</v>
  </rv>
  <rv s="0">
    <fb>252.18</fb>
    <v>0</v>
  </rv>
  <rv s="0">
    <fb>360.66</fb>
    <v>0</v>
  </rv>
  <rv s="0">
    <fb>309.56</fb>
    <v>0</v>
  </rv>
  <rv s="0">
    <fb>67.06</fb>
    <v>0</v>
  </rv>
  <rv s="0">
    <fb>355.14</fb>
    <v>0</v>
  </rv>
  <rv s="0">
    <fb>504.73</fb>
    <v>0</v>
  </rv>
  <rv s="0">
    <fb>128.91</fb>
    <v>0</v>
  </rv>
  <rv s="0">
    <fb>64.47</fb>
    <v>0</v>
  </rv>
  <rv s="0">
    <fb>370.59</fb>
    <v>0</v>
  </rv>
  <rv s="0">
    <fb>30.85</fb>
    <v>0</v>
  </rv>
  <rv s="0">
    <fb>38.68</fb>
    <v>0</v>
  </rv>
  <rv s="0">
    <fb>105.85</fb>
    <v>0</v>
  </rv>
  <rv s="0">
    <fb>44.19</fb>
    <v>0</v>
  </rv>
  <rv s="0">
    <fb>11.32</fb>
    <v>0</v>
  </rv>
  <rv s="0">
    <fb>32.36</fb>
    <v>0</v>
  </rv>
  <rv s="0">
    <fb>920.65</fb>
    <v>0</v>
  </rv>
  <rv s="0">
    <fb>12.78</fb>
    <v>0</v>
  </rv>
  <rv s="0">
    <fb>84.75</fb>
    <v>0</v>
  </rv>
  <rv s="0">
    <fb>102.19</fb>
    <v>0</v>
  </rv>
  <rv s="0">
    <fb>297.61500000000001</fb>
    <v>0</v>
  </rv>
  <rv s="0">
    <fb>91.97</fb>
    <v>0</v>
  </rv>
  <rv s="0">
    <fb>20.47</fb>
    <v>0</v>
  </rv>
  <rv s="0">
    <fb>436.11</fb>
    <v>0</v>
  </rv>
  <rv s="0">
    <fb>72.77</fb>
    <v>0</v>
  </rv>
  <rv s="0">
    <fb>7.66</fb>
    <v>0</v>
  </rv>
  <rv s="0">
    <fb>20.25</fb>
    <v>0</v>
  </rv>
  <rv s="0">
    <fb>19.309999999999999</fb>
    <v>0</v>
  </rv>
  <rv s="0">
    <fb>0.44</fb>
    <v>1</v>
  </rv>
  <rv s="0">
    <fb>76.83</fb>
    <v>0</v>
  </rv>
  <rv s="0">
    <fb>33.869999999999997</fb>
    <v>0</v>
  </rv>
  <rv s="0">
    <fb>18.8</fb>
    <v>0</v>
  </rv>
  <rv s="0">
    <fb>144.91</fb>
    <v>0</v>
  </rv>
  <rv s="0">
    <fb>972.55</fb>
    <v>0</v>
  </rv>
  <rv s="0">
    <fb>19.43</fb>
    <v>0</v>
  </rv>
  <rv s="0">
    <fb>14.33</fb>
    <v>0</v>
  </rv>
  <rv s="0">
    <fb>136.12</fb>
    <v>0</v>
  </rv>
  <rv s="0">
    <fb>54.33</fb>
    <v>0</v>
  </rv>
  <rv s="0">
    <fb>97.5</fb>
    <v>0</v>
  </rv>
  <rv s="0">
    <fb>48.74</fb>
    <v>0</v>
  </rv>
  <rv s="0">
    <fb>273.33</fb>
    <v>0</v>
  </rv>
  <rv s="1">
    <v>2</v>
    <v>ONON</v>
    <v>Daily</v>
    <v>46295</v>
    <v>46300</v>
    <v>0</v>
    <v>1</v>
    <v>639264960000000000,639268038469948695,0</v>
    <v>0</v>
    <v>c38lp2</v>
    <v>XNYS:ONON</v>
    <v>1</v>
  </rv>
  <rv s="1">
    <v>2</v>
    <v>GE</v>
    <v>Daily</v>
    <v>46295</v>
    <v>46300</v>
    <v>0</v>
    <v>1</v>
    <v>639264960000000000,639268038469822403,0</v>
    <v>0</v>
    <v>a1tr1h</v>
    <v>XNYS:GE</v>
    <v>2</v>
  </rv>
  <rv s="1">
    <v>2</v>
    <v>TSLA</v>
    <v>Daily</v>
    <v>46295</v>
    <v>46300</v>
    <v>0</v>
    <v>1</v>
    <v>639264960000000000,639268038469578801,0</v>
    <v>0</v>
    <v>a24kar</v>
    <v>XNAS:TSLA</v>
    <v>3</v>
  </rv>
  <rv s="1">
    <v>2</v>
    <v>PLTR</v>
    <v>Daily</v>
    <v>46295</v>
    <v>46300</v>
    <v>0</v>
    <v>1</v>
    <v>639264960000000000,639268038469045295,0</v>
    <v>0</v>
    <v>bvsk7w</v>
    <v>XNAS:PLTR</v>
    <v>4</v>
  </rv>
  <rv s="1">
    <v>2</v>
    <v>MU</v>
    <v>Daily</v>
    <v>46295</v>
    <v>46300</v>
    <v>0</v>
    <v>1</v>
    <v>639264960000000000,639268038470422480,0</v>
    <v>0</v>
    <v>a1y4oc</v>
    <v>XNAS:MU</v>
    <v>5</v>
  </rv>
  <rv s="1">
    <v>2</v>
    <v>NVDA</v>
    <v>Daily</v>
    <v>46295</v>
    <v>46300</v>
    <v>0</v>
    <v>1</v>
    <v>639264960000000000,639268038469375322,0</v>
    <v>0</v>
    <v>a1yv52</v>
    <v>XNAS:NVDA</v>
    <v>6</v>
  </rv>
  <rv s="1">
    <v>2</v>
    <v>CRK</v>
    <v>Daily</v>
    <v>46295</v>
    <v>46300</v>
    <v>0</v>
    <v>1</v>
    <v>639264960000000000,639268038468988079,0</v>
    <v>0</v>
    <v>a1qbur</v>
    <v>XNYS:CRK</v>
    <v>7</v>
  </rv>
  <rv s="1">
    <v>2</v>
    <v>CMG</v>
    <v>Daily</v>
    <v>46295</v>
    <v>46300</v>
    <v>0</v>
    <v>1</v>
    <v>639264960000000000,639268038469685488,0</v>
    <v>0</v>
    <v>a1pxbh</v>
    <v>XNYS:CMG</v>
    <v>8</v>
  </rv>
  <rv s="1">
    <v>2</v>
    <v>VRT</v>
    <v>Daily</v>
    <v>46295</v>
    <v>46300</v>
    <v>0</v>
    <v>1</v>
    <v>639264960000000000,639268038469298716,0</v>
    <v>0</v>
    <v>b19hc7</v>
    <v>XNYS:VRT</v>
    <v>9</v>
  </rv>
  <rv s="1">
    <v>2</v>
    <v>EL</v>
    <v>Daily</v>
    <v>46295</v>
    <v>46300</v>
    <v>0</v>
    <v>1</v>
    <v>639264960000000000,639268038468817506,0</v>
    <v>0</v>
    <v>a1ruc7</v>
    <v>XNYS:EL</v>
    <v>10</v>
  </rv>
  <rv s="1">
    <v>2</v>
    <v>ETN</v>
    <v>Daily</v>
    <v>46295</v>
    <v>46300</v>
    <v>0</v>
    <v>1</v>
    <v>639264960000000000,639268038471095262,0</v>
    <v>0</v>
    <v>a1safr</v>
    <v>XNYS:ETN</v>
    <v>11</v>
  </rv>
  <rv s="1">
    <v>2</v>
    <v>ET</v>
    <v>Daily</v>
    <v>46295</v>
    <v>46300</v>
    <v>0</v>
    <v>1</v>
    <v>639264960000000000,639268038470761989,0</v>
    <v>0</v>
    <v>a1s9ur</v>
    <v>XNYS:ET</v>
    <v>12</v>
  </rv>
  <rv s="1">
    <v>3</v>
    <v>LIN</v>
    <v>Daily</v>
    <v>46295</v>
    <v>46300</v>
    <v>0</v>
    <v>1</v>
    <v>639264960000000000,639268038470648710,0</v>
    <v>0</v>
    <v>aa7f7w</v>
    <v>XASX:LIN</v>
    <v>13</v>
  </rv>
  <rv s="1">
    <v>2</v>
    <v>PLD</v>
    <v>Daily</v>
    <v>46295</v>
    <v>46300</v>
    <v>0</v>
    <v>1</v>
    <v>639264960000000000,639268038469265308,0</v>
    <v>0</v>
    <v>a1zy3m</v>
    <v>XNYS:PLD</v>
    <v>14</v>
  </rv>
  <rv s="1">
    <v>2</v>
    <v>DPZ</v>
    <v>Daily</v>
    <v>46295</v>
    <v>46300</v>
    <v>0</v>
    <v>1</v>
    <v>639264960000000000,639268038469805360,0</v>
    <v>0</v>
    <v>a1r9lh</v>
    <v>XNAS:DPZ</v>
    <v>15</v>
  </rv>
  <rv s="1">
    <v>2</v>
    <v>PH</v>
    <v>Daily</v>
    <v>46295</v>
    <v>46300</v>
    <v>0</v>
    <v>1</v>
    <v>639264960000000000,639268038470535528,0</v>
    <v>0</v>
    <v>a1ztzr</v>
    <v>XNYS:PH</v>
    <v>16</v>
  </rv>
  <rv s="1">
    <v>2</v>
    <v>CE</v>
    <v>Daily</v>
    <v>46295</v>
    <v>46300</v>
    <v>0</v>
    <v>1</v>
    <v>639264960000000000,639268038468938796,0</v>
    <v>0</v>
    <v>a1pffr</v>
    <v>XNYS:CE</v>
    <v>17</v>
  </rv>
  <rv s="1">
    <v>2</v>
    <v>AAP</v>
    <v>Daily</v>
    <v>46295</v>
    <v>46300</v>
    <v>0</v>
    <v>1</v>
    <v>639264960000000000,639268038470281974,0</v>
    <v>0</v>
    <v>a1mor7</v>
    <v>XNYS:AAP</v>
    <v>18</v>
  </rv>
  <rv s="1">
    <v>2</v>
    <v>TSM</v>
    <v>Daily</v>
    <v>46295</v>
    <v>46300</v>
    <v>0</v>
    <v>1</v>
    <v>639264960000000000,639268038470991721,0</v>
    <v>0</v>
    <v>a24kjc</v>
    <v>XNYS:TSM</v>
    <v>19</v>
  </rv>
  <rv s="1">
    <v>2</v>
    <v>BABA</v>
    <v>Daily</v>
    <v>46295</v>
    <v>46300</v>
    <v>0</v>
    <v>1</v>
    <v>639264960000000000,639268038469128824,0</v>
    <v>0</v>
    <v>a1o4mw</v>
    <v>XNYS:BABA</v>
    <v>20</v>
  </rv>
  <rv s="1">
    <v>2</v>
    <v>ANET</v>
    <v>Daily</v>
    <v>46295</v>
    <v>46300</v>
    <v>0</v>
    <v>1</v>
    <v>639264960000000000,639268038469575325,0</v>
    <v>0</v>
    <v>a1nihw</v>
    <v>XNYS:ANET</v>
    <v>21</v>
  </rv>
  <rv s="1">
    <v>2</v>
    <v>ETSY</v>
    <v>Daily</v>
    <v>46295</v>
    <v>46300</v>
    <v>0</v>
    <v>1</v>
    <v>639264960000000000,639268038470165478,0</v>
    <v>0</v>
    <v>a1sar7</v>
    <v>XNYS:ETSY</v>
    <v>22</v>
  </rv>
  <rv s="1">
    <v>2</v>
    <v>DIS</v>
    <v>Daily</v>
    <v>46295</v>
    <v>46300</v>
    <v>0</v>
    <v>1</v>
    <v>639264960000000000,639268038470057560,0</v>
    <v>0</v>
    <v>a1r2z2</v>
    <v>XNYS:DIS</v>
    <v>23</v>
  </rv>
  <rv s="1">
    <v>2</v>
    <v>CRWD</v>
    <v>Daily</v>
    <v>46295</v>
    <v>46300</v>
    <v>0</v>
    <v>1</v>
    <v>639264960000000000,639268038469484650,0</v>
    <v>0</v>
    <v>bq8rqh</v>
    <v>XNAS:CRWD</v>
    <v>24</v>
  </rv>
  <rv s="1">
    <v>2</v>
    <v>NKE</v>
    <v>Daily</v>
    <v>46295</v>
    <v>46300</v>
    <v>0</v>
    <v>1</v>
    <v>639264960000000000,639268038469700826,0</v>
    <v>0</v>
    <v>a1yjxm</v>
    <v>XNYS:NKE</v>
    <v>25</v>
  </rv>
  <rv s="1">
    <v>2</v>
    <v>GOOS</v>
    <v>Daily</v>
    <v>46295</v>
    <v>46300</v>
    <v>0</v>
    <v>1</v>
    <v>639264960000000000,639268038469435205,0</v>
    <v>0</v>
    <v>a1u3ur</v>
    <v>XNYS:GOOS</v>
    <v>26</v>
  </rv>
  <rv s="1">
    <v>2</v>
    <v>PG</v>
    <v>Daily</v>
    <v>46295</v>
    <v>46300</v>
    <v>0</v>
    <v>1</v>
    <v>639264960000000000,639268038469068082,0</v>
    <v>0</v>
    <v>a1zsjc</v>
    <v>XNYS:PG</v>
    <v>27</v>
  </rv>
  <rv s="1">
    <v>2</v>
    <v>SFM</v>
    <v>Daily</v>
    <v>46295</v>
    <v>46300</v>
    <v>0</v>
    <v>1</v>
    <v>639264960000000000,639268038469401854,0</v>
    <v>0</v>
    <v>a22t2w</v>
    <v>XNAS:SFM</v>
    <v>28</v>
  </rv>
  <rv s="1">
    <v>2</v>
    <v>V</v>
    <v>Daily</v>
    <v>46295</v>
    <v>46300</v>
    <v>0</v>
    <v>1</v>
    <v>639264960000000000,639268038469270849,0</v>
    <v>0</v>
    <v>a256cw</v>
    <v>XNYS:V</v>
    <v>29</v>
  </rv>
  <rv s="1">
    <v>2</v>
    <v>CLF</v>
    <v>Daily</v>
    <v>46295</v>
    <v>46300</v>
    <v>0</v>
    <v>1</v>
    <v>639264960000000000,639268038470872418,0</v>
    <v>0</v>
    <v>a1ptbh</v>
    <v>XNYS:CLF</v>
    <v>30</v>
  </rv>
  <rv s="1">
    <v>2</v>
    <v>AVGO</v>
    <v>Daily</v>
    <v>46295</v>
    <v>46300</v>
    <v>0</v>
    <v>1</v>
    <v>639264960000000000,639268038469064651,0</v>
    <v>0</v>
    <v>a1nz8m</v>
    <v>XNAS:AVGO</v>
    <v>31</v>
  </rv>
  <rv s="1">
    <v>2</v>
    <v>ABT</v>
    <v>Daily</v>
    <v>46295</v>
    <v>46300</v>
    <v>0</v>
    <v>1</v>
    <v>639264960000000000,639268038468629186,0</v>
    <v>0</v>
    <v>a1mrar</v>
    <v>XNYS:ABT</v>
    <v>32</v>
  </rv>
  <rv s="1">
    <v>2</v>
    <v>KLAC</v>
    <v>Daily</v>
    <v>46295</v>
    <v>46300</v>
    <v>0</v>
    <v>1</v>
    <v>639264960000000000,639268038468511131,0</v>
    <v>0</v>
    <v>a1wjkr</v>
    <v>XNAS:KLAC</v>
    <v>33</v>
  </rv>
  <rv s="1">
    <v>2</v>
    <v>VRTX</v>
    <v>Daily</v>
    <v>46295</v>
    <v>46300</v>
    <v>0</v>
    <v>1</v>
    <v>639264960000000000,639268038469777550,0</v>
    <v>0</v>
    <v>a25k5r</v>
    <v>XNAS:VRTX</v>
    <v>34</v>
  </rv>
  <rv s="1">
    <v>2</v>
    <v>YUM</v>
    <v>Daily</v>
    <v>46295</v>
    <v>46300</v>
    <v>0</v>
    <v>1</v>
    <v>639264960000000000,639268038468741134,0</v>
    <v>0</v>
    <v>a26em7</v>
    <v>XNYS:YUM</v>
    <v>35</v>
  </rv>
  <rv s="1">
    <v>2</v>
    <v>ADBE</v>
    <v>Daily</v>
    <v>46295</v>
    <v>46300</v>
    <v>0</v>
    <v>1</v>
    <v>639264960000000000,639268038469187541,0</v>
    <v>0</v>
    <v>a1mv7w</v>
    <v>XNAS:ADBE</v>
    <v>36</v>
  </rv>
  <rv s="1">
    <v>2</v>
    <v>VEEV</v>
    <v>Daily</v>
    <v>46295</v>
    <v>46300</v>
    <v>0</v>
    <v>1</v>
    <v>639264960000000000,639268038469341590,0</v>
    <v>0</v>
    <v>a259jc</v>
    <v>XNYS:VEEV</v>
    <v>37</v>
  </rv>
  <rv s="1">
    <v>2</v>
    <v>ASML</v>
    <v>Daily</v>
    <v>46295</v>
    <v>46300</v>
    <v>0</v>
    <v>1</v>
    <v>639264960000000000,639268038469165319,0</v>
    <v>0</v>
    <v>a1ntlh</v>
    <v>XNAS:ASML</v>
    <v>38</v>
  </rv>
  <rv s="1">
    <v>2</v>
    <v>NOV</v>
    <v>Daily</v>
    <v>46295</v>
    <v>46300</v>
    <v>0</v>
    <v>1</v>
    <v>639264960000000000,639268038468850849,0</v>
    <v>0</v>
    <v>a1yo1h</v>
    <v>XNYS:NOV</v>
    <v>39</v>
  </rv>
  <rv s="1">
    <v>2</v>
    <v>HRL</v>
    <v>Daily</v>
    <v>46295</v>
    <v>46300</v>
    <v>0</v>
    <v>1</v>
    <v>639264960000000000,639268038469235319,0</v>
    <v>0</v>
    <v>a1uv7w</v>
    <v>XNYS:HRL</v>
    <v>40</v>
  </rv>
  <rv s="1">
    <v>2</v>
    <v>NFLX</v>
    <v>Daily</v>
    <v>46295</v>
    <v>46300</v>
    <v>0</v>
    <v>1</v>
    <v>639264960000000000,639268038469549218,0</v>
    <v>0</v>
    <v>a1ygoc</v>
    <v>XNAS:NFLX</v>
    <v>41</v>
  </rv>
  <rv s="1">
    <v>2</v>
    <v>KGS</v>
    <v>Daily</v>
    <v>46295</v>
    <v>46300</v>
    <v>0</v>
    <v>1</v>
    <v>639264960000000000,639268038468960132,0</v>
    <v>0</v>
    <v>ca71m7</v>
    <v>XNYS:KGS</v>
    <v>42</v>
  </rv>
  <rv s="1">
    <v>2</v>
    <v>NEE</v>
    <v>Daily</v>
    <v>46295</v>
    <v>46300</v>
    <v>0</v>
    <v>1</v>
    <v>639264960000000000,639268038468702380,0</v>
    <v>0</v>
    <v>a1ye2w</v>
    <v>XNYS:NEE</v>
    <v>43</v>
  </rv>
  <rv s="1">
    <v>2</v>
    <v>LBRT</v>
    <v>Daily</v>
    <v>46295</v>
    <v>46300</v>
    <v>0</v>
    <v>1</v>
    <v>639264960000000000,639268038469552397,0</v>
    <v>0</v>
    <v>ayam52</v>
    <v>XNYS:LBRT</v>
    <v>44</v>
  </rv>
  <rv s="1">
    <v>2</v>
    <v>PZZA</v>
    <v>Daily</v>
    <v>46295</v>
    <v>46300</v>
    <v>0</v>
    <v>1</v>
    <v>639264960000000000,639268038469444651,0</v>
    <v>0</v>
    <v>a21j9c</v>
    <v>XNAS:PZZA</v>
    <v>45</v>
  </rv>
  <rv s="1">
    <v>2</v>
    <v>DEO</v>
    <v>Daily</v>
    <v>46295</v>
    <v>46300</v>
    <v>0</v>
    <v>1</v>
    <v>639264960000000000,639268038469668080,0</v>
    <v>0</v>
    <v>a1qwoc</v>
    <v>XNYS:DEO</v>
    <v>46</v>
  </rv>
  <rv s="1">
    <v>2</v>
    <v>COST</v>
    <v>Daily</v>
    <v>46295</v>
    <v>46300</v>
    <v>0</v>
    <v>1</v>
    <v>639264960000000000,639268038468958797,0</v>
    <v>0</v>
    <v>a1q6k2</v>
    <v>XNAS:COST</v>
    <v>47</v>
  </rv>
  <rv s="1">
    <v>2</v>
    <v>SLB</v>
    <v>Daily</v>
    <v>46295</v>
    <v>46300</v>
    <v>0</v>
    <v>1</v>
    <v>639264960000000000,639268038468848074,0</v>
    <v>0</v>
    <v>a232mw</v>
    <v>XNYS:SLB</v>
    <v>48</v>
  </rv>
  <rv s="1">
    <v>2</v>
    <v>VFC</v>
    <v>Daily</v>
    <v>46295</v>
    <v>46300</v>
    <v>0</v>
    <v>1</v>
    <v>639264960000000000,639268038468710834,0</v>
    <v>0</v>
    <v>a25afr</v>
    <v>XNYS:VFC</v>
    <v>49</v>
  </rv>
</rvData>
</file>

<file path=xl/richData/rdrichvaluestructure.xml><?xml version="1.0" encoding="utf-8"?>
<rvStructures xmlns="http://schemas.microsoft.com/office/spreadsheetml/2017/richdata" count="2">
  <s t="_formattednumber">
    <k n="_Format" t="spb"/>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Data count="4">
    <spb s="0">
      <v>1</v>
    </spb>
    <spb s="0">
      <v>2</v>
    </spb>
    <spb s="1">
      <v>3</v>
      <v>1</v>
    </spb>
    <spb s="1">
      <v>3</v>
      <v>2</v>
    </spb>
  </spbData>
</supportingPropertyBags>
</file>

<file path=xl/richData/rdsupportingpropertybagstructure.xml><?xml version="1.0" encoding="utf-8"?>
<spbStructures xmlns="http://schemas.microsoft.com/office/spreadsheetml/2017/richdata2" count="2">
  <s>
    <k n="_Self"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2">
    <x:dxf>
      <x:numFmt numFmtId="19" formatCode="m/d/yy"/>
    </x:dxf>
    <x:dxf>
      <x:numFmt numFmtId="0" formatCode="General"/>
    </x:dxf>
  </dxfs>
  <richProperties>
    <rPr n="NumberFormat" t="s"/>
  </richProperties>
  <richStyles>
    <rSty dxfid="1">
      <rpv i="0">_([$$-en-US]* #,##0.00_);_([$$-en-US]* (#,##0.00);_([$$-en-US]* "-"??_);_(@_)</rpv>
    </rSty>
    <rSty dxfid="1">
      <rpv i="0">_([$$-en-AU]* #,##0.00_);_([$$-en-AU]* (#,##0.00);_([$$-en-AU]* "-"??_);_(@_)</rpv>
    </rSty>
    <rSty dxfid="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PositionsTable" displayName="CurrentPositionsTable" ref="A2:M51" totalsRowShown="0">
  <tableColumns count="13">
    <tableColumn id="1" xr3:uid="{00000000-0010-0000-0000-000001000000}" name="Account"/>
    <tableColumn id="2" xr3:uid="{00000000-0010-0000-0000-000002000000}" name="Ticker"/>
    <tableColumn id="3" xr3:uid="{00000000-0010-0000-0000-000003000000}" name="Description"/>
    <tableColumn id="4" xr3:uid="{00000000-0010-0000-0000-000004000000}" name="Asset Class"/>
    <tableColumn id="5" xr3:uid="{00000000-0010-0000-0000-000005000000}" name="Quantity" dataDxfId="28"/>
    <tableColumn id="6" xr3:uid="{00000000-0010-0000-0000-000006000000}" name="Price_x000a_($)"/>
    <tableColumn id="7" xr3:uid="{00000000-0010-0000-0000-000007000000}" name="Market Value_x000a_($)"/>
    <tableColumn id="8" xr3:uid="{00000000-0010-0000-0000-000008000000}" name="Cost Basis_x000a_($)"/>
    <tableColumn id="9" xr3:uid="{00000000-0010-0000-0000-000009000000}" name="Unrealized G/L ($)"/>
    <tableColumn id="10" xr3:uid="{00000000-0010-0000-0000-00000A000000}" name="Unrealized G/L (%)"/>
    <tableColumn id="11" xr3:uid="{00000000-0010-0000-0000-00000B000000}" name="% of Account"/>
    <tableColumn id="12" xr3:uid="{00000000-0010-0000-0000-00000C000000}" name="% of Combined Portfolio"/>
    <tableColumn id="13" xr3:uid="{00000000-0010-0000-0000-00000D000000}" name="Classification / Notes (fill at revie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MonitorTable" displayName="MonitorTable" ref="A2:Q51" totalsRowShown="0">
  <autoFilter ref="A2:Q51" xr:uid="{00000000-0009-0000-0100-000006000000}"/>
  <tableColumns count="17">
    <tableColumn id="1" xr3:uid="{00000000-0010-0000-0100-000001000000}" name="Ticker"/>
    <tableColumn id="2" xr3:uid="{00000000-0010-0000-0100-000002000000}" name="Category"/>
    <tableColumn id="3" xr3:uid="{00000000-0010-0000-0100-000003000000}" name="Last Score_x000a_Date"/>
    <tableColumn id="4" xr3:uid="{00000000-0010-0000-0100-000004000000}" name="Last_x000a_Composite"/>
    <tableColumn id="5" xr3:uid="{00000000-0010-0000-0100-000005000000}" name="Last Tier 1_x000a_Wtd Avg"/>
    <tableColumn id="6" xr3:uid="{00000000-0010-0000-0100-000006000000}" name="Last_x000a_Decision"/>
    <tableColumn id="7" xr3:uid="{00000000-0010-0000-0100-000007000000}" name="Price at_x000a_Last Score"/>
    <tableColumn id="8" xr3:uid="{00000000-0010-0000-0100-000008000000}" name="Current_x000a_Price"/>
    <tableColumn id="9" xr3:uid="{00000000-0010-0000-0100-000009000000}" name="% Price_x000a_Change"/>
    <tableColumn id="10" xr3:uid="{00000000-0010-0000-0100-00000A000000}" name="Next/Last_x000a_Earnings Date"/>
    <tableColumn id="11" xr3:uid="{00000000-0010-0000-0100-00000B000000}" name="Insider_x000a_Activity? (Y/N)"/>
    <tableColumn id="12" xr3:uid="{00000000-0010-0000-0100-00000C000000}" name="Insider Note"/>
    <tableColumn id="13" xr3:uid="{00000000-0010-0000-0100-00000D000000}" name="Analyst_x000a_Shift? (Y/N)"/>
    <tableColumn id="14" xr3:uid="{00000000-0010-0000-0100-00000E000000}" name="Analyst Shift_x000a_Note"/>
    <tableColumn id="15" xr3:uid="{00000000-0010-0000-0100-00000F000000}" name="Days Since_x000a_Last Score"/>
    <tableColumn id="16" xr3:uid="{00000000-0010-0000-0100-000010000000}" name="Recheck Status"/>
    <tableColumn id="17" xr3:uid="{00000000-0010-0000-0100-000011000000}" name="Note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DashboardTable" displayName="DashboardTable" ref="A1:J50" totalsRowShown="0">
  <tableColumns count="10">
    <tableColumn id="1" xr3:uid="{00000000-0010-0000-0200-000001000000}" name="Ticker"/>
    <tableColumn id="2" xr3:uid="{00000000-0010-0000-0200-000002000000}" name="Company"/>
    <tableColumn id="3" xr3:uid="{00000000-0010-0000-0200-000003000000}" name="Date Scored"/>
    <tableColumn id="4" xr3:uid="{00000000-0010-0000-0200-000004000000}" name="Tier 1 Wtd Avg"/>
    <tableColumn id="5" xr3:uid="{00000000-0010-0000-0200-000005000000}" name="Composite Score"/>
    <tableColumn id="6" xr3:uid="{00000000-0010-0000-0200-000006000000}" name="Decision"/>
    <tableColumn id="7" xr3:uid="{00000000-0010-0000-0200-000007000000}" name="Rule 1"/>
    <tableColumn id="8" xr3:uid="{00000000-0010-0000-0200-000008000000}" name="Rule 2"/>
    <tableColumn id="9" xr3:uid="{00000000-0010-0000-0200-000009000000}" name="Rule 3"/>
    <tableColumn id="10" xr3:uid="{00000000-0010-0000-0200-00000A000000}" name="Rule 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tryChecklistTable" displayName="EntryChecklistTable" ref="A2:S47" totalsRowShown="0">
  <tableColumns count="19">
    <tableColumn id="1" xr3:uid="{00000000-0010-0000-0300-000001000000}" name="Ticker" dataDxfId="27"/>
    <tableColumn id="2" xr3:uid="{00000000-0010-0000-0300-000002000000}" name="Company"/>
    <tableColumn id="3" xr3:uid="{00000000-0010-0000-0300-000003000000}" name="Rule 6_x000a_Composite_x000a_≥65?"/>
    <tableColumn id="4" xr3:uid="{00000000-0010-0000-0300-000004000000}" name="Rule 7_x000a_Tier1_x000a_≥3.0?"/>
    <tableColumn id="5" xr3:uid="{00000000-0010-0000-0300-000005000000}" name="Rule 8_x000a_No Tier1_x000a_=1?"/>
    <tableColumn id="6" xr3:uid="{00000000-0010-0000-0300-000006000000}" name="Rule 9_x000a_Above / reclaimed_x000a_200-wk MA?_x000a_(Y/N)"/>
    <tableColumn id="7" xr3:uid="{00000000-0010-0000-0300-000007000000}" name="Rule 10_x000a_Monthly MACD_x000a_positive / turning?_x000a_(Y/N)"/>
    <tableColumn id="8" xr3:uid="{00000000-0010-0000-0300-000008000000}" name="Staging_x000a_Result_x000a_(Rules 8-9)"/>
    <tableColumn id="9" xr3:uid="{00000000-0010-0000-0300-000009000000}" name="Rule 11_x000a_Binary event_x000a_risk present?_x000a_(Y/N)"/>
    <tableColumn id="10" xr3:uid="{00000000-0010-0000-0300-00000A000000}" name="Risk included_x000a_in thesis?_x000a_(Y/N)"/>
    <tableColumn id="11" xr3:uid="{00000000-0010-0000-0300-00000B000000}" name="Rule 11_x000a_Result" dataDxfId="18"/>
    <tableColumn id="12" xr3:uid="{00000000-0010-0000-0300-00000C000000}" name="Base Case_x000a_&gt;10%?"/>
    <tableColumn id="13" xr3:uid="{00000000-0010-0000-0300-00000D000000}" name="Rule 12_x000a_Bear Case_x000a_≥0%?"/>
    <tableColumn id="14" xr3:uid="{00000000-0010-0000-0300-00000E000000}" name="Rule 13_x000a_Scenario tags_x000a_OK?"/>
    <tableColumn id="15" xr3:uid="{00000000-0010-0000-0300-00000F000000}" name="P/FCF_x000a_(current)"/>
    <tableColumn id="16" xr3:uid="{00000000-0010-0000-0300-000010000000}" name="Consensus FCF_x000a_growth, 2-yr_x000a_annualized"/>
    <tableColumn id="17" xr3:uid="{00000000-0010-0000-0300-000011000000}" name="Rule 14_x000a_Valuation_x000a_Ceiling" dataDxfId="21"/>
    <tableColumn id="18" xr3:uid="{00000000-0010-0000-0300-000012000000}" name="ENTRY_x000a_AUTHORIZED?"/>
    <tableColumn id="19" xr3:uid="{00000000-0010-0000-0300-000013000000}" name="Recommended Actio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DrawdownLogTable" displayName="DrawdownLogTable" ref="A2:H42" totalsRowShown="0">
  <autoFilter ref="A2:H42" xr:uid="{00000000-0009-0000-0100-000003000000}"/>
  <tableColumns count="8">
    <tableColumn id="1" xr3:uid="{00000000-0010-0000-0400-000001000000}" name="Date"/>
    <tableColumn id="2" xr3:uid="{00000000-0010-0000-0400-000002000000}" name="Portfolio Value ($)"/>
    <tableColumn id="3" xr3:uid="{00000000-0010-0000-0400-000003000000}" name="Running Peak ($)"/>
    <tableColumn id="4" xr3:uid="{00000000-0010-0000-0400-000004000000}" name="Drawdown %"/>
    <tableColumn id="5" xr3:uid="{00000000-0010-0000-0400-000005000000}" name="Status"/>
    <tableColumn id="6" xr3:uid="{00000000-0010-0000-0400-000006000000}" name="Required Cash Floor"/>
    <tableColumn id="7" xr3:uid="{00000000-0010-0000-0400-000007000000}" name="New Position Initiation"/>
    <tableColumn id="8" xr3:uid="{00000000-0010-0000-0400-000008000000}" name="Note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5000000}" name="WatchListTable" displayName="WatchListTable" ref="A2:M22" totalsRowShown="0">
  <tableColumns count="13">
    <tableColumn id="1" xr3:uid="{00000000-0010-0000-0500-000001000000}" name="Ticker"/>
    <tableColumn id="2" xr3:uid="{00000000-0010-0000-0500-000002000000}" name="Company"/>
    <tableColumn id="3" xr3:uid="{00000000-0010-0000-0500-000003000000}" name="Status_x000a_(Probationary/_x000a_Exit Review)"/>
    <tableColumn id="4" xr3:uid="{00000000-0010-0000-0500-000004000000}" name="Entry Date_x000a_(band entered)"/>
    <tableColumn id="5" xr3:uid="{00000000-0010-0000-0500-000005000000}" name="Entry_x000a_Score"/>
    <tableColumn id="6" xr3:uid="{00000000-0010-0000-0500-000006000000}" name="Current_x000a_Score"/>
    <tableColumn id="7" xr3:uid="{00000000-0010-0000-0500-000007000000}" name="Current Score_x000a_Date"/>
    <tableColumn id="8" xr3:uid="{00000000-0010-0000-0500-000008000000}" name="Credible_x000a_Remediation Plan?_x000a_(Y/N)"/>
    <tableColumn id="9" xr3:uid="{00000000-0010-0000-0500-000009000000}" name="90-Day_x000a_Deadline" dataDxfId="17"/>
    <tableColumn id="10" xr3:uid="{00000000-0010-0000-0500-00000A000000}" name="Days_x000a_Remaining"/>
    <tableColumn id="11" xr3:uid="{00000000-0010-0000-0500-00000B000000}" name="Action Status"/>
    <tableColumn id="12" xr3:uid="{00000000-0010-0000-0500-00000C000000}" name="Remediation Plan Notes"/>
    <tableColumn id="13" xr3:uid="{00000000-0010-0000-0500-00000D000000}" name="Trims Taken_x000a_(0-3, Rule 34)" dataDxfId="16"/>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6000000}" name="PerformanceTrackingTable" displayName="PerformanceTrackingTable" ref="A2:Q33" totalsRowShown="0">
  <autoFilter ref="A2:Q33" xr:uid="{00000000-0009-0000-0100-000008000000}"/>
  <tableColumns count="17">
    <tableColumn id="1" xr3:uid="{00000000-0010-0000-0600-000001000000}" name="Ticker"/>
    <tableColumn id="2" xr3:uid="{00000000-0010-0000-0600-000002000000}" name="Company"/>
    <tableColumn id="3" xr3:uid="{00000000-0010-0000-0600-000003000000}" name="Entry_x000a_Date"/>
    <tableColumn id="4" xr3:uid="{00000000-0010-0000-0600-000004000000}" name="Entry_x000a_Price"/>
    <tableColumn id="5" xr3:uid="{00000000-0010-0000-0600-000005000000}" name="Entry_x000a_Score"/>
    <tableColumn id="6" xr3:uid="{00000000-0010-0000-0600-000006000000}" name="Entry_x000a_Confidence"/>
    <tableColumn id="7" xr3:uid="{00000000-0010-0000-0600-000007000000}" name="Entry_x000a_Decision Band"/>
    <tableColumn id="8" xr3:uid="{00000000-0010-0000-0600-000008000000}" name="SPY Price_x000a_at Entry"/>
    <tableColumn id="9" xr3:uid="{00000000-0010-0000-0600-000009000000}" name="Status_x000a_(Held / Exited)"/>
    <tableColumn id="10" xr3:uid="{00000000-0010-0000-0600-00000A000000}" name="Exit_x000a_Date"/>
    <tableColumn id="11" xr3:uid="{00000000-0010-0000-0600-00000B000000}" name="Exit_x000a_Price"/>
    <tableColumn id="12" xr3:uid="{00000000-0010-0000-0600-00000C000000}" name="Exit_x000a_Reason"/>
    <tableColumn id="13" xr3:uid="{00000000-0010-0000-0600-00000D000000}" name="Current /_x000a_Exit Price"/>
    <tableColumn id="14" xr3:uid="{00000000-0010-0000-0600-00000E000000}" name="SPY Price_x000a_(current / exit)"/>
    <tableColumn id="15" xr3:uid="{00000000-0010-0000-0600-00000F000000}" name="Total Return_x000a_Since Entry"/>
    <tableColumn id="16" xr3:uid="{00000000-0010-0000-0600-000010000000}" name="SPY Return_x000a_Same Period"/>
    <tableColumn id="17" xr3:uid="{00000000-0010-0000-0600-000011000000}" name="Excess_x000a_Retur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JournalTable" displayName="JournalTable" ref="A2:C302" totalsRowShown="0">
  <autoFilter ref="A2:C302" xr:uid="{00000000-0009-0000-0100-000005000000}"/>
  <tableColumns count="3">
    <tableColumn id="1" xr3:uid="{00000000-0010-0000-0700-000001000000}" name="Date"/>
    <tableColumn id="2" xr3:uid="{00000000-0010-0000-0700-000002000000}" name="Ticker"/>
    <tableColumn id="3" xr3:uid="{00000000-0010-0000-0700-000003000000}" name="Notes"/>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ocessChecklistTable" displayName="ProcessChecklistTable" ref="A4:F117" totalsRowShown="0">
  <tableColumns count="6">
    <tableColumn id="1" xr3:uid="{00000000-0010-0000-0800-000001000000}" name="Event"/>
    <tableColumn id="2" xr3:uid="{00000000-0010-0000-0800-000002000000}" name="Step"/>
    <tableColumn id="3" xr3:uid="{00000000-0010-0000-0800-000003000000}" name="Done (Y/N)"/>
    <tableColumn id="4" xr3:uid="{00000000-0010-0000-0800-000004000000}" name="Date Done"/>
    <tableColumn id="5" xr3:uid="{00000000-0010-0000-0800-000005000000}" name="Event Due Date"/>
    <tableColumn id="6" xr3:uid="{00000000-0010-0000-0800-000006000000}" name="Statu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9000000}" name="OpenItemsTable" displayName="OpenItemsTable" ref="A4:F34" totalsRowShown="0" headerRowDxfId="6" dataDxfId="5">
  <tableColumns count="6">
    <tableColumn id="1" xr3:uid="{00000000-0010-0000-0900-000001000000}" name="#" dataDxfId="3"/>
    <tableColumn id="2" xr3:uid="{00000000-0010-0000-0900-000002000000}" name="Item" dataDxfId="4"/>
    <tableColumn id="3" xr3:uid="{00000000-0010-0000-0900-000003000000}" name="Done (Y/N)" dataDxfId="7"/>
    <tableColumn id="4" xr3:uid="{00000000-0010-0000-0900-000004000000}" name="Date Raised" dataDxfId="2"/>
    <tableColumn id="5" xr3:uid="{00000000-0010-0000-0900-000005000000}" name="Date Resolved" dataDxfId="0"/>
    <tableColumn id="6" xr3:uid="{00000000-0010-0000-0900-000006000000}" name="Notes" dataDxfId="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10.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59"/>
  <sheetViews>
    <sheetView showGridLines="0" zoomScaleNormal="100" workbookViewId="0">
      <selection activeCell="A2" sqref="A2"/>
    </sheetView>
  </sheetViews>
  <sheetFormatPr baseColWidth="10" defaultColWidth="8.6640625" defaultRowHeight="15" x14ac:dyDescent="0.2"/>
  <cols>
    <col min="1" max="1" width="100" customWidth="1"/>
  </cols>
  <sheetData>
    <row r="1" spans="1:1" ht="29.25" customHeight="1" x14ac:dyDescent="0.2">
      <c r="A1" s="14" t="s">
        <v>0</v>
      </c>
    </row>
    <row r="2" spans="1:1" ht="14.25" customHeight="1" x14ac:dyDescent="0.2">
      <c r="A2" s="15"/>
    </row>
    <row r="3" spans="1:1" ht="14.25" customHeight="1" x14ac:dyDescent="0.2">
      <c r="A3" s="16" t="s">
        <v>1</v>
      </c>
    </row>
    <row r="4" spans="1:1" ht="14.25" customHeight="1" x14ac:dyDescent="0.2">
      <c r="A4" s="15" t="s">
        <v>2</v>
      </c>
    </row>
    <row r="5" spans="1:1" ht="14.25" customHeight="1" x14ac:dyDescent="0.2">
      <c r="A5" s="15" t="s">
        <v>3</v>
      </c>
    </row>
    <row r="6" spans="1:1" ht="14.25" customHeight="1" x14ac:dyDescent="0.2">
      <c r="A6" s="15"/>
    </row>
    <row r="7" spans="1:1" ht="14.25" customHeight="1" x14ac:dyDescent="0.2">
      <c r="A7" s="17" t="s">
        <v>4</v>
      </c>
    </row>
    <row r="8" spans="1:1" ht="14.25" customHeight="1" x14ac:dyDescent="0.2">
      <c r="A8" s="15" t="s">
        <v>5</v>
      </c>
    </row>
    <row r="9" spans="1:1" ht="14.25" customHeight="1" x14ac:dyDescent="0.2">
      <c r="A9" s="15" t="s">
        <v>6</v>
      </c>
    </row>
    <row r="10" spans="1:1" ht="14.25" customHeight="1" x14ac:dyDescent="0.2">
      <c r="A10" s="15" t="s">
        <v>7</v>
      </c>
    </row>
    <row r="11" spans="1:1" ht="14.25" customHeight="1" x14ac:dyDescent="0.2">
      <c r="A11" s="15" t="s">
        <v>8</v>
      </c>
    </row>
    <row r="12" spans="1:1" ht="14.25" customHeight="1" x14ac:dyDescent="0.2">
      <c r="A12" s="15" t="s">
        <v>9</v>
      </c>
    </row>
    <row r="13" spans="1:1" ht="14.25" customHeight="1" x14ac:dyDescent="0.2">
      <c r="A13" s="15" t="s">
        <v>10</v>
      </c>
    </row>
    <row r="14" spans="1:1" ht="14.25" customHeight="1" x14ac:dyDescent="0.2">
      <c r="A14" s="15" t="s">
        <v>11</v>
      </c>
    </row>
    <row r="15" spans="1:1" ht="14.25" customHeight="1" x14ac:dyDescent="0.2">
      <c r="A15" s="15" t="s">
        <v>12</v>
      </c>
    </row>
    <row r="16" spans="1:1" ht="14.25" customHeight="1" x14ac:dyDescent="0.2">
      <c r="A16" s="15" t="s">
        <v>13</v>
      </c>
    </row>
    <row r="17" spans="1:1" ht="14.25" customHeight="1" x14ac:dyDescent="0.2">
      <c r="A17" s="15" t="s">
        <v>14</v>
      </c>
    </row>
    <row r="18" spans="1:1" ht="14.25" customHeight="1" x14ac:dyDescent="0.2">
      <c r="A18" s="15"/>
    </row>
    <row r="19" spans="1:1" ht="14.25" customHeight="1" x14ac:dyDescent="0.2">
      <c r="A19" s="17" t="s">
        <v>15</v>
      </c>
    </row>
    <row r="20" spans="1:1" ht="14.25" customHeight="1" x14ac:dyDescent="0.2">
      <c r="A20" s="15" t="s">
        <v>16</v>
      </c>
    </row>
    <row r="21" spans="1:1" ht="14.25" customHeight="1" x14ac:dyDescent="0.2">
      <c r="A21" s="15" t="s">
        <v>17</v>
      </c>
    </row>
    <row r="22" spans="1:1" ht="14.25" customHeight="1" x14ac:dyDescent="0.2">
      <c r="A22" s="15" t="s">
        <v>18</v>
      </c>
    </row>
    <row r="23" spans="1:1" ht="14.25" customHeight="1" x14ac:dyDescent="0.2">
      <c r="A23" s="15" t="s">
        <v>19</v>
      </c>
    </row>
    <row r="24" spans="1:1" ht="14.25" customHeight="1" x14ac:dyDescent="0.2">
      <c r="A24" s="15" t="s">
        <v>20</v>
      </c>
    </row>
    <row r="25" spans="1:1" ht="14.25" customHeight="1" x14ac:dyDescent="0.2">
      <c r="A25" s="15" t="s">
        <v>21</v>
      </c>
    </row>
    <row r="26" spans="1:1" ht="14.25" customHeight="1" x14ac:dyDescent="0.2">
      <c r="A26" s="15" t="s">
        <v>22</v>
      </c>
    </row>
    <row r="27" spans="1:1" ht="14.25" customHeight="1" x14ac:dyDescent="0.2">
      <c r="A27" s="18" t="s">
        <v>23</v>
      </c>
    </row>
    <row r="28" spans="1:1" ht="14.25" customHeight="1" x14ac:dyDescent="0.2">
      <c r="A28" s="18" t="s">
        <v>24</v>
      </c>
    </row>
    <row r="29" spans="1:1" ht="14.25" customHeight="1" x14ac:dyDescent="0.2">
      <c r="A29" s="15" t="s">
        <v>25</v>
      </c>
    </row>
    <row r="30" spans="1:1" ht="14.25" customHeight="1" x14ac:dyDescent="0.2">
      <c r="A30" s="15" t="s">
        <v>26</v>
      </c>
    </row>
    <row r="31" spans="1:1" ht="32.25" customHeight="1" x14ac:dyDescent="0.2">
      <c r="A31" s="15"/>
    </row>
    <row r="32" spans="1:1" ht="14.25" customHeight="1" x14ac:dyDescent="0.2">
      <c r="A32" s="17" t="s">
        <v>27</v>
      </c>
    </row>
    <row r="33" spans="1:1" ht="32.25" customHeight="1" x14ac:dyDescent="0.2">
      <c r="A33" s="15" t="s">
        <v>28</v>
      </c>
    </row>
    <row r="34" spans="1:1" ht="14.25" customHeight="1" x14ac:dyDescent="0.2">
      <c r="A34" s="15" t="s">
        <v>29</v>
      </c>
    </row>
    <row r="35" spans="1:1" ht="21.75" customHeight="1" x14ac:dyDescent="0.2"/>
    <row r="36" spans="1:1" ht="14.25" customHeight="1" x14ac:dyDescent="0.2">
      <c r="A36" s="19" t="s">
        <v>30</v>
      </c>
    </row>
    <row r="37" spans="1:1" ht="14.25" customHeight="1" x14ac:dyDescent="0.2">
      <c r="A37" s="20" t="s">
        <v>31</v>
      </c>
    </row>
    <row r="38" spans="1:1" ht="14.25" customHeight="1" x14ac:dyDescent="0.2">
      <c r="A38" s="15"/>
    </row>
    <row r="39" spans="1:1" ht="14.25" customHeight="1" x14ac:dyDescent="0.2">
      <c r="A39" s="17" t="s">
        <v>32</v>
      </c>
    </row>
    <row r="40" spans="1:1" ht="14.25" customHeight="1" x14ac:dyDescent="0.2">
      <c r="A40" s="15" t="s">
        <v>33</v>
      </c>
    </row>
    <row r="41" spans="1:1" ht="14.25" customHeight="1" x14ac:dyDescent="0.2">
      <c r="A41" s="15" t="s">
        <v>34</v>
      </c>
    </row>
    <row r="42" spans="1:1" ht="14.25" customHeight="1" x14ac:dyDescent="0.2">
      <c r="A42" s="15" t="s">
        <v>35</v>
      </c>
    </row>
    <row r="43" spans="1:1" ht="14.25" customHeight="1" x14ac:dyDescent="0.2">
      <c r="A43" s="15" t="s">
        <v>36</v>
      </c>
    </row>
    <row r="44" spans="1:1" ht="14.25" customHeight="1" x14ac:dyDescent="0.2">
      <c r="A44" s="15" t="s">
        <v>37</v>
      </c>
    </row>
    <row r="45" spans="1:1" ht="14.25" customHeight="1" x14ac:dyDescent="0.2">
      <c r="A45" s="15" t="s">
        <v>38</v>
      </c>
    </row>
    <row r="46" spans="1:1" ht="21.75" customHeight="1" x14ac:dyDescent="0.2">
      <c r="A46" s="15" t="s">
        <v>39</v>
      </c>
    </row>
    <row r="47" spans="1:1" ht="14.25" customHeight="1" x14ac:dyDescent="0.2">
      <c r="A47" s="15" t="s">
        <v>40</v>
      </c>
    </row>
    <row r="48" spans="1:1" ht="42.75" customHeight="1" x14ac:dyDescent="0.2">
      <c r="A48" s="15" t="s">
        <v>41</v>
      </c>
    </row>
    <row r="49" spans="1:1" ht="14.25" customHeight="1" x14ac:dyDescent="0.2">
      <c r="A49" s="15"/>
    </row>
    <row r="50" spans="1:1" ht="45.75" customHeight="1" x14ac:dyDescent="0.2">
      <c r="A50" s="15" t="s">
        <v>42</v>
      </c>
    </row>
    <row r="51" spans="1:1" ht="34.5" customHeight="1" x14ac:dyDescent="0.2">
      <c r="A51" s="15"/>
    </row>
    <row r="52" spans="1:1" ht="14.25" customHeight="1" x14ac:dyDescent="0.2">
      <c r="A52" s="21" t="s">
        <v>43</v>
      </c>
    </row>
    <row r="53" spans="1:1" ht="14.25" customHeight="1" x14ac:dyDescent="0.2">
      <c r="A53" s="21" t="s">
        <v>44</v>
      </c>
    </row>
    <row r="54" spans="1:1" ht="14.25" customHeight="1" x14ac:dyDescent="0.2">
      <c r="A54" t="s">
        <v>45</v>
      </c>
    </row>
    <row r="55" spans="1:1" ht="14.25" customHeight="1" x14ac:dyDescent="0.2">
      <c r="A55" t="s">
        <v>46</v>
      </c>
    </row>
    <row r="56" spans="1:1" ht="14.25" customHeight="1" x14ac:dyDescent="0.2">
      <c r="A56" t="s">
        <v>47</v>
      </c>
    </row>
    <row r="57" spans="1:1" ht="14.25" customHeight="1" x14ac:dyDescent="0.2">
      <c r="A57" t="s">
        <v>48</v>
      </c>
    </row>
    <row r="58" spans="1:1" ht="14.25" customHeight="1" x14ac:dyDescent="0.2">
      <c r="A58" t="s">
        <v>49</v>
      </c>
    </row>
    <row r="59" spans="1:1" ht="14.25" customHeight="1" x14ac:dyDescent="0.2">
      <c r="A59" t="s">
        <v>50</v>
      </c>
    </row>
  </sheetData>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3"/>
  <sheetViews>
    <sheetView showGridLines="0" tabSelected="1" zoomScaleNormal="100" workbookViewId="0">
      <selection activeCell="E5" sqref="E5:F5"/>
    </sheetView>
  </sheetViews>
  <sheetFormatPr baseColWidth="10" defaultColWidth="8.6640625" defaultRowHeight="15" x14ac:dyDescent="0.2"/>
  <cols>
    <col min="1" max="1" width="22" customWidth="1"/>
    <col min="2" max="4" width="12" customWidth="1"/>
    <col min="5" max="5" width="11.83203125" customWidth="1"/>
    <col min="6" max="6" width="8" customWidth="1"/>
  </cols>
  <sheetData>
    <row r="1" spans="1:6" s="22" customFormat="1" ht="54" customHeight="1" x14ac:dyDescent="0.25">
      <c r="A1" s="13" t="s">
        <v>51</v>
      </c>
      <c r="B1" s="13"/>
      <c r="C1" s="13"/>
      <c r="D1" s="13"/>
      <c r="E1" s="13"/>
      <c r="F1" s="13"/>
    </row>
    <row r="2" spans="1:6" ht="15" customHeight="1" x14ac:dyDescent="0.2">
      <c r="A2" s="12" t="s">
        <v>52</v>
      </c>
      <c r="B2" s="12"/>
      <c r="C2" s="12"/>
      <c r="D2" s="12"/>
      <c r="E2" s="12"/>
      <c r="F2" s="12"/>
    </row>
    <row r="4" spans="1:6" ht="15" customHeight="1" x14ac:dyDescent="0.2">
      <c r="A4" s="11" t="s">
        <v>53</v>
      </c>
      <c r="B4" s="11"/>
      <c r="C4" s="11"/>
      <c r="D4" s="11"/>
      <c r="E4" s="11"/>
      <c r="F4" s="11"/>
    </row>
    <row r="5" spans="1:6" ht="15" customHeight="1" x14ac:dyDescent="0.2">
      <c r="A5" s="10" t="s">
        <v>54</v>
      </c>
      <c r="B5" s="10"/>
      <c r="C5" s="10"/>
      <c r="D5" s="10"/>
      <c r="E5" s="9">
        <f>COUNTIF('Watch List Tracker'!K3:K22,"*SELL WITHIN 30 DAYS*")</f>
        <v>3</v>
      </c>
      <c r="F5" s="9"/>
    </row>
    <row r="6" spans="1:6" ht="15" customHeight="1" x14ac:dyDescent="0.2">
      <c r="A6" s="10" t="s">
        <v>55</v>
      </c>
      <c r="B6" s="10"/>
      <c r="C6" s="10"/>
      <c r="D6" s="10"/>
      <c r="E6" s="9">
        <f>COUNTIF('Watch List Tracker'!K3:K22,"DEADLINE APPROACHING")</f>
        <v>0</v>
      </c>
      <c r="F6" s="9"/>
    </row>
    <row r="7" spans="1:6" ht="15" customHeight="1" x14ac:dyDescent="0.2">
      <c r="A7" s="10" t="s">
        <v>56</v>
      </c>
      <c r="B7" s="10"/>
      <c r="C7" s="10"/>
      <c r="D7" s="10"/>
      <c r="E7" s="9">
        <f>COUNTIF('Watch List Tracker'!K3:K22,"*RECOVERED*")</f>
        <v>0</v>
      </c>
      <c r="F7" s="9"/>
    </row>
    <row r="8" spans="1:6" ht="15" customHeight="1" x14ac:dyDescent="0.2">
      <c r="A8" s="24"/>
      <c r="B8" s="24"/>
      <c r="C8" s="24"/>
      <c r="D8" s="24"/>
    </row>
    <row r="9" spans="1:6" ht="15" customHeight="1" x14ac:dyDescent="0.2">
      <c r="A9" s="11" t="s">
        <v>57</v>
      </c>
      <c r="B9" s="11"/>
      <c r="C9" s="11"/>
      <c r="D9" s="11"/>
      <c r="E9" s="11"/>
      <c r="F9" s="11"/>
    </row>
    <row r="10" spans="1:6" ht="15" customHeight="1" x14ac:dyDescent="0.2">
      <c r="A10" s="10" t="s">
        <v>58</v>
      </c>
      <c r="B10" s="10"/>
      <c r="C10" s="10"/>
      <c r="D10" s="10"/>
      <c r="E10" s="9">
        <f>COUNTIF('Holding Monitor'!AB4:AB23,"*ACTION REQUIRED*")</f>
        <v>0</v>
      </c>
      <c r="F10" s="9"/>
    </row>
    <row r="11" spans="1:6" ht="15" customHeight="1" x14ac:dyDescent="0.2">
      <c r="A11" s="10" t="s">
        <v>59</v>
      </c>
      <c r="B11" s="10"/>
      <c r="C11" s="10"/>
      <c r="D11" s="10"/>
      <c r="E11" s="9">
        <f>COUNTIF('Holding Monitor'!AB4:AB23,"*Hold Through*")</f>
        <v>0</v>
      </c>
      <c r="F11" s="9"/>
    </row>
    <row r="12" spans="1:6" ht="15" customHeight="1" x14ac:dyDescent="0.2">
      <c r="A12" s="24"/>
      <c r="B12" s="24"/>
      <c r="C12" s="24"/>
      <c r="D12" s="24"/>
    </row>
    <row r="13" spans="1:6" ht="15" customHeight="1" x14ac:dyDescent="0.2">
      <c r="A13" s="11" t="s">
        <v>60</v>
      </c>
      <c r="B13" s="11"/>
      <c r="C13" s="11"/>
      <c r="D13" s="11"/>
      <c r="E13" s="11"/>
      <c r="F13" s="11"/>
    </row>
    <row r="14" spans="1:6" ht="15" customHeight="1" x14ac:dyDescent="0.2">
      <c r="A14" s="10" t="s">
        <v>61</v>
      </c>
      <c r="B14" s="10"/>
      <c r="C14" s="10"/>
      <c r="D14" s="10"/>
      <c r="E14" s="8" t="str">
        <f>'Correlation Matrix'!J3</f>
        <v>REVIEW REQUIRED</v>
      </c>
      <c r="F14" s="8"/>
    </row>
    <row r="15" spans="1:6" ht="15" customHeight="1" x14ac:dyDescent="0.2">
      <c r="A15" s="10" t="s">
        <v>62</v>
      </c>
      <c r="B15" s="10"/>
      <c r="C15" s="10"/>
      <c r="D15" s="10"/>
      <c r="E15" s="7">
        <f>'Correlation Matrix'!J2</f>
        <v>11</v>
      </c>
      <c r="F15" s="7"/>
    </row>
    <row r="16" spans="1:6" ht="15" customHeight="1" x14ac:dyDescent="0.2">
      <c r="A16" s="24"/>
      <c r="B16" s="24"/>
      <c r="C16" s="24"/>
      <c r="D16" s="24"/>
    </row>
    <row r="17" spans="1:6" ht="15" customHeight="1" x14ac:dyDescent="0.2">
      <c r="A17" s="11" t="s">
        <v>63</v>
      </c>
      <c r="B17" s="11"/>
      <c r="C17" s="11"/>
      <c r="D17" s="11"/>
      <c r="E17" s="11"/>
      <c r="F17" s="11"/>
    </row>
    <row r="18" spans="1:6" ht="15" customHeight="1" x14ac:dyDescent="0.2">
      <c r="A18" s="10" t="s">
        <v>64</v>
      </c>
      <c r="B18" s="10"/>
      <c r="C18" s="10"/>
      <c r="D18" s="10"/>
      <c r="E18" s="9" t="str">
        <f>IFERROR(INDEX('Portfolio Drawdown Log'!E3:E42,COUNT('Portfolio Drawdown Log'!D3:D42)),"No entries yet")</f>
        <v>Normal</v>
      </c>
      <c r="F18" s="9"/>
    </row>
    <row r="19" spans="1:6" ht="15" customHeight="1" x14ac:dyDescent="0.2">
      <c r="A19" s="10" t="s">
        <v>65</v>
      </c>
      <c r="B19" s="10"/>
      <c r="C19" s="10"/>
      <c r="D19" s="10"/>
      <c r="E19" s="6">
        <f>IFERROR(INDEX('Portfolio Drawdown Log'!D3:D42,COUNT('Portfolio Drawdown Log'!D3:D42)),"")</f>
        <v>-1.2866310610887499E-2</v>
      </c>
      <c r="F19" s="6"/>
    </row>
    <row r="20" spans="1:6" ht="15" customHeight="1" x14ac:dyDescent="0.2">
      <c r="A20" s="10" t="s">
        <v>66</v>
      </c>
      <c r="B20" s="10"/>
      <c r="C20" s="10"/>
      <c r="D20" s="10"/>
      <c r="E20" s="9" t="str">
        <f>IFERROR(INDEX('Portfolio Drawdown Log'!F3:F42,COUNT('Portfolio Drawdown Log'!D3:D42)),"")</f>
        <v>5-15%</v>
      </c>
      <c r="F20" s="9"/>
    </row>
    <row r="21" spans="1:6" ht="15" customHeight="1" x14ac:dyDescent="0.2">
      <c r="A21" s="24"/>
      <c r="B21" s="24"/>
      <c r="C21" s="24"/>
      <c r="D21" s="24"/>
    </row>
    <row r="22" spans="1:6" ht="15" customHeight="1" x14ac:dyDescent="0.2">
      <c r="A22" s="11" t="s">
        <v>67</v>
      </c>
      <c r="B22" s="11"/>
      <c r="C22" s="11"/>
      <c r="D22" s="11"/>
      <c r="E22" s="11"/>
      <c r="F22" s="11"/>
    </row>
    <row r="23" spans="1:6" ht="15" customHeight="1" x14ac:dyDescent="0.2">
      <c r="A23" s="10" t="s">
        <v>68</v>
      </c>
      <c r="B23" s="10"/>
      <c r="C23" s="10"/>
      <c r="D23" s="10"/>
      <c r="E23" s="9">
        <f>COUNTIF(Scoring!AH3:AH60,"FAIL")</f>
        <v>19</v>
      </c>
      <c r="F23" s="9"/>
    </row>
    <row r="24" spans="1:6" ht="15" customHeight="1" x14ac:dyDescent="0.2">
      <c r="A24" s="10" t="s">
        <v>69</v>
      </c>
      <c r="B24" s="10"/>
      <c r="C24" s="10"/>
      <c r="D24" s="10"/>
      <c r="E24" s="9">
        <f>COUNTIF(Scoring!AJ3:AJ60,"AVOID")</f>
        <v>23</v>
      </c>
      <c r="F24" s="9"/>
    </row>
    <row r="25" spans="1:6" ht="15" customHeight="1" x14ac:dyDescent="0.2">
      <c r="A25" s="10" t="s">
        <v>70</v>
      </c>
      <c r="B25" s="10"/>
      <c r="C25" s="10"/>
      <c r="D25" s="10"/>
      <c r="E25" s="9">
        <f>COUNTIF(Scoring!AI3:AI60,"REVIEW")</f>
        <v>14</v>
      </c>
      <c r="F25" s="9"/>
    </row>
    <row r="26" spans="1:6" ht="15" customHeight="1" x14ac:dyDescent="0.2">
      <c r="A26" s="10" t="s">
        <v>71</v>
      </c>
      <c r="B26" s="10"/>
      <c r="C26" s="10"/>
      <c r="D26" s="10"/>
      <c r="E26" s="9">
        <f>COUNTIF(Scoring!AK3:AK60,"CAP AT BUY")</f>
        <v>0</v>
      </c>
      <c r="F26" s="9"/>
    </row>
    <row r="27" spans="1:6" ht="15" customHeight="1" x14ac:dyDescent="0.2">
      <c r="A27" s="11" t="s">
        <v>72</v>
      </c>
      <c r="B27" s="11"/>
      <c r="C27" s="11"/>
      <c r="D27" s="11"/>
      <c r="E27" s="11"/>
      <c r="F27" s="11"/>
    </row>
    <row r="28" spans="1:6" ht="15" customHeight="1" x14ac:dyDescent="0.2">
      <c r="A28" s="5" t="s">
        <v>73</v>
      </c>
      <c r="B28" s="5"/>
      <c r="C28" s="5"/>
      <c r="D28" s="5"/>
      <c r="E28" s="9">
        <f>COUNTIF('Entry Checklist'!R3:R47,"NO*")</f>
        <v>1</v>
      </c>
      <c r="F28" s="9"/>
    </row>
    <row r="29" spans="1:6" ht="15" customHeight="1" x14ac:dyDescent="0.2">
      <c r="A29" s="5" t="s">
        <v>74</v>
      </c>
      <c r="B29" s="5"/>
      <c r="C29" s="5"/>
      <c r="D29" s="5"/>
      <c r="E29" s="9">
        <f>COUNTIF('Entry Checklist'!H3:H47,"*50%*")</f>
        <v>0</v>
      </c>
      <c r="F29" s="9"/>
    </row>
    <row r="30" spans="1:6" ht="15" customHeight="1" x14ac:dyDescent="0.2">
      <c r="A30" s="24"/>
      <c r="B30" s="24"/>
      <c r="C30" s="24"/>
      <c r="D30" s="24"/>
    </row>
    <row r="31" spans="1:6" ht="55.5" customHeight="1" x14ac:dyDescent="0.2">
      <c r="A31" s="4" t="s">
        <v>75</v>
      </c>
      <c r="B31" s="4"/>
      <c r="C31" s="4"/>
      <c r="D31" s="4"/>
      <c r="E31" s="4"/>
      <c r="F31" s="4"/>
    </row>
    <row r="32" spans="1:6" ht="29.25" customHeight="1" x14ac:dyDescent="0.2">
      <c r="A32" s="3" t="s">
        <v>76</v>
      </c>
      <c r="B32" s="3"/>
      <c r="C32" s="3"/>
      <c r="D32" s="3"/>
      <c r="E32" s="9">
        <f>COUNTIF(Scoring!AP3:AP60,"LOW CONF")</f>
        <v>2</v>
      </c>
      <c r="F32" s="9"/>
    </row>
    <row r="33" spans="1:6" ht="15" customHeight="1" x14ac:dyDescent="0.2">
      <c r="A33" s="10" t="s">
        <v>77</v>
      </c>
      <c r="B33" s="10"/>
      <c r="C33" s="10"/>
      <c r="D33" s="10"/>
      <c r="E33" s="9">
        <f>COUNTIF(Scoring!AS3:AS60,"Increased")</f>
        <v>5</v>
      </c>
      <c r="F33" s="9"/>
    </row>
    <row r="34" spans="1:6" ht="15" customHeight="1" x14ac:dyDescent="0.2">
      <c r="A34" s="24"/>
      <c r="B34" s="24"/>
      <c r="C34" s="24"/>
      <c r="D34" s="24"/>
    </row>
    <row r="35" spans="1:6" ht="15" customHeight="1" x14ac:dyDescent="0.2">
      <c r="A35" s="24"/>
      <c r="B35" s="24"/>
      <c r="C35" s="24"/>
      <c r="D35" s="24"/>
    </row>
    <row r="36" spans="1:6" ht="15" customHeight="1" x14ac:dyDescent="0.2">
      <c r="A36" s="24"/>
      <c r="B36" s="24"/>
      <c r="C36" s="24"/>
      <c r="D36" s="24"/>
    </row>
    <row r="37" spans="1:6" ht="15" customHeight="1" x14ac:dyDescent="0.2">
      <c r="A37" s="24"/>
      <c r="B37" s="24"/>
      <c r="C37" s="24"/>
      <c r="D37" s="24"/>
    </row>
    <row r="38" spans="1:6" ht="15" customHeight="1" x14ac:dyDescent="0.2">
      <c r="A38" s="24"/>
      <c r="B38" s="24"/>
      <c r="C38" s="24"/>
      <c r="D38" s="24"/>
    </row>
    <row r="39" spans="1:6" ht="15" customHeight="1" x14ac:dyDescent="0.2">
      <c r="A39" s="24"/>
      <c r="B39" s="24"/>
      <c r="C39" s="24"/>
      <c r="D39" s="24"/>
    </row>
    <row r="40" spans="1:6" ht="15" customHeight="1" x14ac:dyDescent="0.2">
      <c r="A40" s="24"/>
      <c r="B40" s="24"/>
      <c r="C40" s="24"/>
      <c r="D40" s="24"/>
    </row>
    <row r="41" spans="1:6" ht="15" customHeight="1" x14ac:dyDescent="0.2">
      <c r="A41" s="24"/>
      <c r="B41" s="24"/>
      <c r="C41" s="24"/>
      <c r="D41" s="24"/>
    </row>
    <row r="42" spans="1:6" ht="15" customHeight="1" x14ac:dyDescent="0.2">
      <c r="A42" s="24"/>
      <c r="B42" s="24"/>
      <c r="C42" s="24"/>
      <c r="D42" s="24"/>
    </row>
    <row r="43" spans="1:6" ht="15" customHeight="1" x14ac:dyDescent="0.2">
      <c r="A43" s="24"/>
      <c r="B43" s="24"/>
      <c r="C43" s="24"/>
      <c r="D43" s="24"/>
    </row>
  </sheetData>
  <mergeCells count="45">
    <mergeCell ref="A32:D32"/>
    <mergeCell ref="E32:F32"/>
    <mergeCell ref="A33:D33"/>
    <mergeCell ref="E33:F33"/>
    <mergeCell ref="A28:D28"/>
    <mergeCell ref="E28:F28"/>
    <mergeCell ref="A29:D29"/>
    <mergeCell ref="E29:F29"/>
    <mergeCell ref="A31:F31"/>
    <mergeCell ref="A25:D25"/>
    <mergeCell ref="E25:F25"/>
    <mergeCell ref="A26:D26"/>
    <mergeCell ref="E26:F26"/>
    <mergeCell ref="A27:F27"/>
    <mergeCell ref="A22:F22"/>
    <mergeCell ref="A23:D23"/>
    <mergeCell ref="E23:F23"/>
    <mergeCell ref="A24:D24"/>
    <mergeCell ref="E24:F24"/>
    <mergeCell ref="A18:D18"/>
    <mergeCell ref="E18:F18"/>
    <mergeCell ref="A19:D19"/>
    <mergeCell ref="E19:F19"/>
    <mergeCell ref="A20:D20"/>
    <mergeCell ref="E20:F20"/>
    <mergeCell ref="A14:D14"/>
    <mergeCell ref="E14:F14"/>
    <mergeCell ref="A15:D15"/>
    <mergeCell ref="E15:F15"/>
    <mergeCell ref="A17:F17"/>
    <mergeCell ref="A10:D10"/>
    <mergeCell ref="E10:F10"/>
    <mergeCell ref="A11:D11"/>
    <mergeCell ref="E11:F11"/>
    <mergeCell ref="A13:F13"/>
    <mergeCell ref="A6:D6"/>
    <mergeCell ref="E6:F6"/>
    <mergeCell ref="A7:D7"/>
    <mergeCell ref="E7:F7"/>
    <mergeCell ref="A9:F9"/>
    <mergeCell ref="A1:F1"/>
    <mergeCell ref="A2:F2"/>
    <mergeCell ref="A4:F4"/>
    <mergeCell ref="A5:D5"/>
    <mergeCell ref="E5:F5"/>
  </mergeCells>
  <conditionalFormatting sqref="E5">
    <cfRule type="cellIs" dxfId="99" priority="2" operator="greaterThan">
      <formula>0</formula>
    </cfRule>
  </conditionalFormatting>
  <conditionalFormatting sqref="E10">
    <cfRule type="cellIs" dxfId="98" priority="3" operator="greaterThan">
      <formula>0</formula>
    </cfRule>
  </conditionalFormatting>
  <conditionalFormatting sqref="E23:E24">
    <cfRule type="cellIs" dxfId="97" priority="4" operator="greaterThan">
      <formula>0</formula>
    </cfRule>
  </conditionalFormatting>
  <conditionalFormatting sqref="E28">
    <cfRule type="cellIs" dxfId="96" priority="5" operator="greaterThan">
      <formula>0</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52"/>
  <sheetViews>
    <sheetView zoomScaleNormal="100" workbookViewId="0">
      <pane xSplit="2" ySplit="2" topLeftCell="C3" activePane="bottomRight" state="frozen"/>
      <selection pane="topRight" activeCell="G1" sqref="G1"/>
      <selection pane="bottomLeft" activeCell="A32" sqref="A32"/>
      <selection pane="bottomRight" activeCell="D22" sqref="D22:D23"/>
    </sheetView>
  </sheetViews>
  <sheetFormatPr baseColWidth="10" defaultColWidth="8.6640625" defaultRowHeight="15" outlineLevelRow="2" x14ac:dyDescent="0.2"/>
  <cols>
    <col min="1" max="1" width="11" customWidth="1"/>
    <col min="2" max="2" width="9" style="26" customWidth="1"/>
    <col min="3" max="3" width="30" customWidth="1"/>
    <col min="4" max="4" width="11.1640625" style="26" customWidth="1"/>
    <col min="5" max="5" width="11.83203125" customWidth="1"/>
    <col min="6" max="6" width="10" style="27" customWidth="1"/>
    <col min="7" max="7" width="13.6640625" customWidth="1"/>
    <col min="8" max="8" width="13" customWidth="1"/>
    <col min="9" max="9" width="9.83203125" customWidth="1"/>
    <col min="10" max="10" width="11" style="26" customWidth="1"/>
    <col min="11" max="11" width="8.6640625" style="26"/>
    <col min="12" max="12" width="13" style="26" customWidth="1"/>
    <col min="13" max="13" width="34" customWidth="1"/>
    <col min="15" max="15" width="26" customWidth="1"/>
    <col min="16" max="16" width="13" customWidth="1"/>
  </cols>
  <sheetData>
    <row r="1" spans="1:16" ht="52.5" customHeight="1" x14ac:dyDescent="0.2">
      <c r="A1" s="2" t="s">
        <v>78</v>
      </c>
      <c r="B1" s="2"/>
      <c r="C1" s="2"/>
      <c r="D1" s="2"/>
      <c r="E1" s="2"/>
      <c r="F1" s="2"/>
      <c r="G1" s="2"/>
      <c r="H1" s="2"/>
      <c r="I1" s="2"/>
      <c r="J1" s="2"/>
      <c r="K1" s="2"/>
      <c r="L1" s="2"/>
      <c r="M1" s="2"/>
      <c r="O1" s="1" t="s">
        <v>79</v>
      </c>
      <c r="P1" s="1"/>
    </row>
    <row r="2" spans="1:16" ht="26.25" customHeight="1" x14ac:dyDescent="0.2">
      <c r="A2" s="28" t="s">
        <v>80</v>
      </c>
      <c r="B2" s="28" t="s">
        <v>81</v>
      </c>
      <c r="C2" s="28" t="s">
        <v>82</v>
      </c>
      <c r="D2" s="28" t="s">
        <v>83</v>
      </c>
      <c r="E2" s="28" t="s">
        <v>84</v>
      </c>
      <c r="F2" s="28" t="s">
        <v>85</v>
      </c>
      <c r="G2" s="28" t="s">
        <v>86</v>
      </c>
      <c r="H2" s="28" t="s">
        <v>87</v>
      </c>
      <c r="I2" s="28" t="s">
        <v>88</v>
      </c>
      <c r="J2" s="28" t="s">
        <v>89</v>
      </c>
      <c r="K2" s="28" t="s">
        <v>90</v>
      </c>
      <c r="L2" s="28" t="s">
        <v>91</v>
      </c>
      <c r="M2" s="28" t="s">
        <v>92</v>
      </c>
      <c r="O2" t="s">
        <v>93</v>
      </c>
    </row>
    <row r="3" spans="1:16" ht="15" customHeight="1" x14ac:dyDescent="0.2">
      <c r="A3" s="29" t="s">
        <v>94</v>
      </c>
      <c r="B3" s="30" t="s">
        <v>95</v>
      </c>
      <c r="C3" s="31" t="s">
        <v>96</v>
      </c>
      <c r="D3" s="32" t="s">
        <v>97</v>
      </c>
      <c r="E3" s="199">
        <v>65</v>
      </c>
      <c r="F3" s="33" vm="1">
        <f ca="1">IF(IFERROR(INDEX('Monitor &amp; Recheck Triggers'!$H$3:$H$51,MATCH($B3,'Monitor &amp; Recheck Triggers'!$A$3:$A$51,0)),"")="",266.51,INDEX('Monitor &amp; Recheck Triggers'!$H$3:$H$51,MATCH($B3,'Monitor &amp; Recheck Triggers'!$A$3:$A$51,0)))</f>
        <v>237.69</v>
      </c>
      <c r="G3" s="34">
        <f t="shared" ref="G3:G23" ca="1" si="0">E3*F3</f>
        <v>15449.85</v>
      </c>
      <c r="H3" s="35">
        <v>19163.84</v>
      </c>
      <c r="I3" s="36">
        <f t="shared" ref="I3:I23" ca="1" si="1">G3-H3</f>
        <v>-3713.99</v>
      </c>
      <c r="J3" s="37">
        <f t="shared" ref="J3:J23" ca="1" si="2">IF(H3=0,"",G3/H3-1)</f>
        <v>-0.19380197288226153</v>
      </c>
      <c r="K3" s="37">
        <f ca="1">IFERROR(G3/SUM(G3:G23),"")</f>
        <v>3.6803514580892323E-2</v>
      </c>
      <c r="L3" s="37">
        <f ca="1">IFERROR(G3/(SUM(G3:G23,G27:G46)),"")</f>
        <v>2.0921862035722539E-2</v>
      </c>
      <c r="M3" s="29" t="s">
        <v>98</v>
      </c>
      <c r="O3" t="s">
        <v>99</v>
      </c>
    </row>
    <row r="4" spans="1:16" ht="15" customHeight="1" x14ac:dyDescent="0.2">
      <c r="A4" s="29" t="s">
        <v>94</v>
      </c>
      <c r="B4" s="30" t="s">
        <v>100</v>
      </c>
      <c r="C4" s="31" t="s">
        <v>101</v>
      </c>
      <c r="D4" s="32" t="s">
        <v>97</v>
      </c>
      <c r="E4" s="199">
        <v>70</v>
      </c>
      <c r="F4" s="33" vm="2">
        <f ca="1">IF(IFERROR(INDEX('Monitor &amp; Recheck Triggers'!$H$3:$H$51,MATCH($B4,'Monitor &amp; Recheck Triggers'!$A$3:$A$51,0)),"")="",193.78,INDEX('Monitor &amp; Recheck Triggers'!$H$3:$H$51,MATCH($B4,'Monitor &amp; Recheck Triggers'!$A$3:$A$51,0)))</f>
        <v>207.35</v>
      </c>
      <c r="G4" s="34">
        <f t="shared" ca="1" si="0"/>
        <v>14514.5</v>
      </c>
      <c r="H4" s="35">
        <v>10182.200000000001</v>
      </c>
      <c r="I4" s="36">
        <f t="shared" ca="1" si="1"/>
        <v>4332.2999999999993</v>
      </c>
      <c r="J4" s="37">
        <f t="shared" ca="1" si="2"/>
        <v>0.42547779458270307</v>
      </c>
      <c r="K4" s="37">
        <f ca="1">IFERROR(G4/SUM(G3:G23),"")</f>
        <v>3.4575391501170664E-2</v>
      </c>
      <c r="L4" s="37">
        <f ca="1">IFERROR(G4/(SUM(G3:G23,G27:G46)),"")</f>
        <v>1.9655230731527799E-2</v>
      </c>
      <c r="M4" s="29"/>
    </row>
    <row r="5" spans="1:16" ht="15" customHeight="1" x14ac:dyDescent="0.2">
      <c r="A5" s="29" t="s">
        <v>94</v>
      </c>
      <c r="B5" s="30" t="s">
        <v>102</v>
      </c>
      <c r="C5" s="31" t="s">
        <v>103</v>
      </c>
      <c r="D5" s="32" t="s">
        <v>97</v>
      </c>
      <c r="E5" s="199">
        <v>7</v>
      </c>
      <c r="F5" s="33" vm="3">
        <f ca="1">IF(IFERROR(INDEX('Monitor &amp; Recheck Triggers'!$H$3:$H$51,MATCH($B5,'Monitor &amp; Recheck Triggers'!$A$3:$A$51,0)),"")="",1714.88,INDEX('Monitor &amp; Recheck Triggers'!$H$3:$H$51,MATCH($B5,'Monitor &amp; Recheck Triggers'!$A$3:$A$51,0)))</f>
        <v>1867.31</v>
      </c>
      <c r="G5" s="34">
        <f t="shared" ca="1" si="0"/>
        <v>13071.17</v>
      </c>
      <c r="H5" s="35">
        <v>9989.8799999999992</v>
      </c>
      <c r="I5" s="36">
        <f t="shared" ca="1" si="1"/>
        <v>3081.2900000000009</v>
      </c>
      <c r="J5" s="37">
        <f t="shared" ca="1" si="2"/>
        <v>0.30844114243614551</v>
      </c>
      <c r="K5" s="37">
        <f ca="1">IFERROR(G5/SUM(G3:G23),"")</f>
        <v>3.1137195227417893E-2</v>
      </c>
      <c r="L5" s="37">
        <f ca="1">IFERROR(G5/(SUM(G3:G23,G27:G46)),"")</f>
        <v>1.77007035916514E-2</v>
      </c>
      <c r="M5" s="29"/>
    </row>
    <row r="6" spans="1:16" ht="15" customHeight="1" x14ac:dyDescent="0.2">
      <c r="A6" s="29" t="s">
        <v>94</v>
      </c>
      <c r="B6" s="30" t="s">
        <v>104</v>
      </c>
      <c r="C6" s="31" t="s">
        <v>105</v>
      </c>
      <c r="D6" s="32" t="s">
        <v>97</v>
      </c>
      <c r="E6" s="199">
        <v>40</v>
      </c>
      <c r="F6" s="33" vm="4">
        <f ca="1">IF(IFERROR(INDEX('Monitor &amp; Recheck Triggers'!$H$3:$H$51,MATCH($B6,'Monitor &amp; Recheck Triggers'!$A$3:$A$51,0)),"")="",213.1,INDEX('Monitor &amp; Recheck Triggers'!$H$3:$H$51,MATCH($B6,'Monitor &amp; Recheck Triggers'!$A$3:$A$51,0)))</f>
        <v>270.04000000000002</v>
      </c>
      <c r="G6" s="34">
        <f t="shared" ca="1" si="0"/>
        <v>10801.6</v>
      </c>
      <c r="H6" s="35">
        <v>4991.3500000000004</v>
      </c>
      <c r="I6" s="36">
        <f t="shared" ca="1" si="1"/>
        <v>5810.25</v>
      </c>
      <c r="J6" s="37">
        <f t="shared" ca="1" si="2"/>
        <v>1.1640638304266382</v>
      </c>
      <c r="K6" s="37">
        <f ca="1">IFERROR(G6/SUM(G3:G23),"")</f>
        <v>2.5730789819769548E-2</v>
      </c>
      <c r="L6" s="37">
        <f ca="1">IFERROR(G6/(SUM(G3:G23,G27:G46)),"")</f>
        <v>1.4627299615534169E-2</v>
      </c>
      <c r="M6" s="29"/>
    </row>
    <row r="7" spans="1:16" ht="15" customHeight="1" x14ac:dyDescent="0.2">
      <c r="A7" s="29" t="s">
        <v>94</v>
      </c>
      <c r="B7" s="30" t="s">
        <v>106</v>
      </c>
      <c r="C7" s="31" t="s">
        <v>107</v>
      </c>
      <c r="D7" s="32" t="s">
        <v>97</v>
      </c>
      <c r="E7" s="199">
        <v>100</v>
      </c>
      <c r="F7" s="33" vm="5">
        <f ca="1">IF(IFERROR(INDEX('Monitor &amp; Recheck Triggers'!$H$3:$H$51,MATCH($B7,'Monitor &amp; Recheck Triggers'!$A$3:$A$51,0)),"")="",185.6,INDEX('Monitor &amp; Recheck Triggers'!$H$3:$H$51,MATCH($B7,'Monitor &amp; Recheck Triggers'!$A$3:$A$51,0)))</f>
        <v>206.89</v>
      </c>
      <c r="G7" s="34">
        <f t="shared" ca="1" si="0"/>
        <v>20689</v>
      </c>
      <c r="H7" s="35">
        <v>15412.54</v>
      </c>
      <c r="I7" s="36">
        <f t="shared" ca="1" si="1"/>
        <v>5276.4599999999991</v>
      </c>
      <c r="J7" s="37">
        <f t="shared" ca="1" si="2"/>
        <v>0.3423485032317839</v>
      </c>
      <c r="K7" s="37">
        <f ca="1">IFERROR(G7/SUM(G3:G23),"")</f>
        <v>4.9283838559214574E-2</v>
      </c>
      <c r="L7" s="37">
        <f ca="1">IFERROR(G7/(SUM(G3:G23,G27:G46)),"")</f>
        <v>2.8016608812193231E-2</v>
      </c>
      <c r="M7" s="29"/>
    </row>
    <row r="8" spans="1:16" ht="15" customHeight="1" x14ac:dyDescent="0.2">
      <c r="A8" s="29" t="s">
        <v>94</v>
      </c>
      <c r="B8" s="30" t="s">
        <v>108</v>
      </c>
      <c r="C8" s="31" t="s">
        <v>109</v>
      </c>
      <c r="D8" s="32" t="s">
        <v>97</v>
      </c>
      <c r="E8" s="199">
        <v>7</v>
      </c>
      <c r="F8" s="33" vm="6">
        <f ca="1">IF(IFERROR(INDEX('Monitor &amp; Recheck Triggers'!$H$3:$H$51,MATCH($B8,'Monitor &amp; Recheck Triggers'!$A$3:$A$51,0)),"")="",1016.59,INDEX('Monitor &amp; Recheck Triggers'!$H$3:$H$51,MATCH($B8,'Monitor &amp; Recheck Triggers'!$A$3:$A$51,0)))</f>
        <v>1074.8900000000001</v>
      </c>
      <c r="G8" s="34">
        <f t="shared" ca="1" si="0"/>
        <v>7524.2300000000005</v>
      </c>
      <c r="H8" s="35">
        <v>5836.11</v>
      </c>
      <c r="I8" s="36">
        <f t="shared" ca="1" si="1"/>
        <v>1688.1200000000008</v>
      </c>
      <c r="J8" s="37">
        <f t="shared" ca="1" si="2"/>
        <v>0.28925431494608578</v>
      </c>
      <c r="K8" s="37">
        <f ca="1">IFERROR(G8/SUM(G3:G23),"")</f>
        <v>1.7923676185528498E-2</v>
      </c>
      <c r="L8" s="37">
        <f ca="1">IFERROR(G8/(SUM(G3:G23,G27:G46)),"")</f>
        <v>1.0189154068488989E-2</v>
      </c>
      <c r="M8" s="29"/>
    </row>
    <row r="9" spans="1:16" ht="15" customHeight="1" x14ac:dyDescent="0.2">
      <c r="A9" s="29" t="s">
        <v>94</v>
      </c>
      <c r="B9" s="30" t="s">
        <v>110</v>
      </c>
      <c r="C9" s="31" t="s">
        <v>111</v>
      </c>
      <c r="D9" s="32" t="s">
        <v>97</v>
      </c>
      <c r="E9" s="199">
        <v>155</v>
      </c>
      <c r="F9" s="33" vm="7">
        <f ca="1">IF(IFERROR(INDEX('Monitor &amp; Recheck Triggers'!$H$3:$H$51,MATCH($B9,'Monitor &amp; Recheck Triggers'!$A$3:$A$51,0)),"")="",230.36,INDEX('Monitor &amp; Recheck Triggers'!$H$3:$H$51,MATCH($B9,'Monitor &amp; Recheck Triggers'!$A$3:$A$51,0)))</f>
        <v>233.95</v>
      </c>
      <c r="G9" s="34">
        <f t="shared" ca="1" si="0"/>
        <v>36262.25</v>
      </c>
      <c r="H9" s="35">
        <v>26639.79</v>
      </c>
      <c r="I9" s="36">
        <f t="shared" ca="1" si="1"/>
        <v>9622.4599999999991</v>
      </c>
      <c r="J9" s="37">
        <f t="shared" ca="1" si="2"/>
        <v>0.36120630080041916</v>
      </c>
      <c r="K9" s="37">
        <f ca="1">IFERROR(G9/SUM(G3:G23),"")</f>
        <v>8.6381307689780973E-2</v>
      </c>
      <c r="L9" s="37">
        <f ca="1">IFERROR(G9/(SUM(G3:G23,G27:G46)),"")</f>
        <v>4.9105576533421333E-2</v>
      </c>
      <c r="M9" s="29"/>
    </row>
    <row r="10" spans="1:16" ht="15" customHeight="1" x14ac:dyDescent="0.2">
      <c r="A10" s="29" t="s">
        <v>94</v>
      </c>
      <c r="B10" s="30" t="s">
        <v>112</v>
      </c>
      <c r="C10" s="31" t="s">
        <v>113</v>
      </c>
      <c r="D10" s="32" t="s">
        <v>97</v>
      </c>
      <c r="E10" s="199">
        <v>70</v>
      </c>
      <c r="F10" s="33" vm="8">
        <f ca="1">IF(IFERROR(INDEX('Monitor &amp; Recheck Triggers'!$H$3:$H$51,MATCH($B10,'Monitor &amp; Recheck Triggers'!$A$3:$A$51,0)),"")="",174.33,INDEX('Monitor &amp; Recheck Triggers'!$H$3:$H$51,MATCH($B10,'Monitor &amp; Recheck Triggers'!$A$3:$A$51,0)))</f>
        <v>188.75</v>
      </c>
      <c r="G10" s="34">
        <f t="shared" ca="1" si="0"/>
        <v>13212.5</v>
      </c>
      <c r="H10" s="35">
        <v>11612.3</v>
      </c>
      <c r="I10" s="36">
        <f t="shared" ca="1" si="1"/>
        <v>1600.2000000000007</v>
      </c>
      <c r="J10" s="37">
        <f t="shared" ca="1" si="2"/>
        <v>0.13780215805654361</v>
      </c>
      <c r="K10" s="37">
        <f ca="1">IFERROR(G10/SUM(G3:G23),"")</f>
        <v>3.1473861325517064E-2</v>
      </c>
      <c r="L10" s="37">
        <f ca="1">IFERROR(G10/(SUM(G3:G23,G27:G46)),"")</f>
        <v>1.7892089706177342E-2</v>
      </c>
      <c r="M10" s="29"/>
    </row>
    <row r="11" spans="1:16" ht="15" customHeight="1" x14ac:dyDescent="0.2">
      <c r="A11" s="29" t="s">
        <v>94</v>
      </c>
      <c r="B11" s="30" t="s">
        <v>114</v>
      </c>
      <c r="C11" s="31" t="s">
        <v>115</v>
      </c>
      <c r="D11" s="32" t="s">
        <v>97</v>
      </c>
      <c r="E11" s="199">
        <v>25</v>
      </c>
      <c r="F11" s="33" vm="9">
        <f ca="1">IF(IFERROR(INDEX('Monitor &amp; Recheck Triggers'!$H$3:$H$51,MATCH($B11,'Monitor &amp; Recheck Triggers'!$A$3:$A$51,0)),"")="",428.91,INDEX('Monitor &amp; Recheck Triggers'!$H$3:$H$51,MATCH($B11,'Monitor &amp; Recheck Triggers'!$A$3:$A$51,0)))</f>
        <v>472.78</v>
      </c>
      <c r="G11" s="34">
        <f t="shared" ca="1" si="0"/>
        <v>11819.5</v>
      </c>
      <c r="H11" s="35">
        <v>6069.64</v>
      </c>
      <c r="I11" s="36">
        <f t="shared" ca="1" si="1"/>
        <v>5749.86</v>
      </c>
      <c r="J11" s="37">
        <f t="shared" ca="1" si="2"/>
        <v>0.94731483251065951</v>
      </c>
      <c r="K11" s="37">
        <f ca="1">IFERROR(G11/SUM(G3:G23),"")</f>
        <v>2.8155557535436061E-2</v>
      </c>
      <c r="L11" s="37">
        <f ca="1">IFERROR(G11/(SUM(G3:G23,G27:G46)),"")</f>
        <v>1.6005718394108845E-2</v>
      </c>
      <c r="M11" s="29"/>
    </row>
    <row r="12" spans="1:16" ht="15" customHeight="1" x14ac:dyDescent="0.2">
      <c r="A12" s="29" t="s">
        <v>94</v>
      </c>
      <c r="B12" s="30" t="s">
        <v>116</v>
      </c>
      <c r="C12" s="31" t="s">
        <v>117</v>
      </c>
      <c r="D12" s="32" t="s">
        <v>97</v>
      </c>
      <c r="E12" s="199">
        <v>30</v>
      </c>
      <c r="F12" s="33" vm="10">
        <f ca="1">IF(IFERROR(INDEX('Monitor &amp; Recheck Triggers'!$H$3:$H$51,MATCH($B12,'Monitor &amp; Recheck Triggers'!$A$3:$A$51,0)),"")="",280.53,INDEX('Monitor &amp; Recheck Triggers'!$H$3:$H$51,MATCH($B12,'Monitor &amp; Recheck Triggers'!$A$3:$A$51,0)))</f>
        <v>252.18</v>
      </c>
      <c r="G12" s="34">
        <f t="shared" ca="1" si="0"/>
        <v>7565.4000000000005</v>
      </c>
      <c r="H12" s="35">
        <v>7876.8</v>
      </c>
      <c r="I12" s="36">
        <f t="shared" ca="1" si="1"/>
        <v>-311.39999999999964</v>
      </c>
      <c r="J12" s="37">
        <f t="shared" ca="1" si="2"/>
        <v>-3.9533820840950584E-2</v>
      </c>
      <c r="K12" s="37">
        <f ca="1">IFERROR(G12/SUM(G3:G23),"")</f>
        <v>1.8021748380099664E-2</v>
      </c>
      <c r="L12" s="37">
        <f ca="1">IFERROR(G12/(SUM(G3:G23,G27:G46)),"")</f>
        <v>1.0244905616886591E-2</v>
      </c>
      <c r="M12" s="29"/>
    </row>
    <row r="13" spans="1:16" ht="15" customHeight="1" x14ac:dyDescent="0.2">
      <c r="A13" s="29" t="s">
        <v>94</v>
      </c>
      <c r="B13" s="30" t="s">
        <v>118</v>
      </c>
      <c r="C13" s="31" t="s">
        <v>119</v>
      </c>
      <c r="D13" s="32" t="s">
        <v>97</v>
      </c>
      <c r="E13" s="199">
        <v>50</v>
      </c>
      <c r="F13" s="33" vm="11">
        <f ca="1">IF(IFERROR(INDEX('Monitor &amp; Recheck Triggers'!$H$3:$H$51,MATCH($B13,'Monitor &amp; Recheck Triggers'!$A$3:$A$51,0)),"")="",367.68,INDEX('Monitor &amp; Recheck Triggers'!$H$3:$H$51,MATCH($B13,'Monitor &amp; Recheck Triggers'!$A$3:$A$51,0)))</f>
        <v>360.66</v>
      </c>
      <c r="G13" s="34">
        <f t="shared" ca="1" si="0"/>
        <v>18033</v>
      </c>
      <c r="H13" s="35">
        <v>18448.63</v>
      </c>
      <c r="I13" s="36">
        <f t="shared" ca="1" si="1"/>
        <v>-415.63000000000102</v>
      </c>
      <c r="J13" s="37">
        <f t="shared" ca="1" si="2"/>
        <v>-2.2529044162086898E-2</v>
      </c>
      <c r="K13" s="37">
        <f ca="1">IFERROR(G13/SUM(G3:G23),"")</f>
        <v>4.2956907571091711E-2</v>
      </c>
      <c r="L13" s="37">
        <f ca="1">IFERROR(G13/(SUM(G3:G23,G27:G46)),"")</f>
        <v>2.4419909454796294E-2</v>
      </c>
      <c r="M13" s="29" t="s">
        <v>120</v>
      </c>
    </row>
    <row r="14" spans="1:16" ht="15" customHeight="1" x14ac:dyDescent="0.2">
      <c r="A14" s="29" t="s">
        <v>94</v>
      </c>
      <c r="B14" s="38" t="s">
        <v>121</v>
      </c>
      <c r="C14" s="31" t="s">
        <v>122</v>
      </c>
      <c r="D14" s="32" t="s">
        <v>123</v>
      </c>
      <c r="E14" s="199">
        <v>38154.18</v>
      </c>
      <c r="F14" s="33">
        <v>1</v>
      </c>
      <c r="G14" s="34">
        <f t="shared" si="0"/>
        <v>38154.18</v>
      </c>
      <c r="H14" s="35">
        <v>38154.18</v>
      </c>
      <c r="I14" s="36">
        <f t="shared" si="1"/>
        <v>0</v>
      </c>
      <c r="J14" s="37">
        <f t="shared" si="2"/>
        <v>0</v>
      </c>
      <c r="K14" s="37">
        <f ca="1">IFERROR(G14/SUM(G3:G23),"")</f>
        <v>9.0888126418831913E-2</v>
      </c>
      <c r="L14" s="37">
        <f ca="1">IFERROR(G14/(SUM(G3:G23,G27:G46)),"")</f>
        <v>5.1667588361448434E-2</v>
      </c>
      <c r="M14" s="29"/>
    </row>
    <row r="15" spans="1:16" ht="15" customHeight="1" x14ac:dyDescent="0.2">
      <c r="A15" s="29" t="s">
        <v>94</v>
      </c>
      <c r="B15" s="38" t="s">
        <v>124</v>
      </c>
      <c r="C15" s="31" t="s">
        <v>125</v>
      </c>
      <c r="D15" s="32" t="s">
        <v>123</v>
      </c>
      <c r="E15" s="199">
        <v>1174.01</v>
      </c>
      <c r="F15" s="33">
        <v>1</v>
      </c>
      <c r="G15" s="34">
        <f t="shared" si="0"/>
        <v>1174.01</v>
      </c>
      <c r="H15" s="35">
        <v>1174.01</v>
      </c>
      <c r="I15" s="36">
        <f t="shared" si="1"/>
        <v>0</v>
      </c>
      <c r="J15" s="37">
        <f t="shared" si="2"/>
        <v>0</v>
      </c>
      <c r="K15" s="37">
        <f ca="1">IFERROR(G15/SUM(G3:G23),"")</f>
        <v>2.7966416601529075E-3</v>
      </c>
      <c r="L15" s="37">
        <f ca="1">IFERROR(G15/(SUM(G3:G23,G27:G46)),"")</f>
        <v>1.5898196583499914E-3</v>
      </c>
      <c r="M15" s="29"/>
    </row>
    <row r="16" spans="1:16" ht="15" customHeight="1" x14ac:dyDescent="0.2">
      <c r="A16" s="29" t="s">
        <v>94</v>
      </c>
      <c r="B16" s="38" t="s">
        <v>126</v>
      </c>
      <c r="C16" s="31" t="s">
        <v>127</v>
      </c>
      <c r="D16" s="32" t="s">
        <v>97</v>
      </c>
      <c r="E16" s="199">
        <v>150</v>
      </c>
      <c r="F16" s="33">
        <f>IF(IFERROR(INDEX('Monitor &amp; Recheck Triggers'!$H$3:$H$51,MATCH($B16,'Monitor &amp; Recheck Triggers'!$A$3:$A$51,0)),"")="",164.25,INDEX('Monitor &amp; Recheck Triggers'!$H$3:$H$51,MATCH($B16,'Monitor &amp; Recheck Triggers'!$A$3:$A$51,0)))</f>
        <v>164.25</v>
      </c>
      <c r="G16" s="34">
        <f t="shared" si="0"/>
        <v>24637.5</v>
      </c>
      <c r="H16" s="35">
        <v>24518.25</v>
      </c>
      <c r="I16" s="36">
        <f t="shared" si="1"/>
        <v>119.25</v>
      </c>
      <c r="J16" s="37">
        <f t="shared" si="2"/>
        <v>4.8637239607232097E-3</v>
      </c>
      <c r="K16" s="37">
        <f ca="1">IFERROR(G16/SUM(G3:G23),"")</f>
        <v>5.8689669510495868E-2</v>
      </c>
      <c r="L16" s="37">
        <f ca="1">IFERROR(G16/(SUM(G3:G23,G27:G46)),"")</f>
        <v>3.3363584494678848E-2</v>
      </c>
      <c r="M16" s="29" t="s">
        <v>128</v>
      </c>
    </row>
    <row r="17" spans="1:15" ht="15" customHeight="1" x14ac:dyDescent="0.2">
      <c r="A17" s="29" t="s">
        <v>94</v>
      </c>
      <c r="B17" s="38" t="s">
        <v>129</v>
      </c>
      <c r="C17" s="31" t="s">
        <v>130</v>
      </c>
      <c r="D17" s="32" t="s">
        <v>97</v>
      </c>
      <c r="E17" s="199">
        <v>451.30399999999997</v>
      </c>
      <c r="F17" s="33">
        <f>IF(IFERROR(INDEX('Monitor &amp; Recheck Triggers'!$H$3:$H$51,MATCH($B17,'Monitor &amp; Recheck Triggers'!$A$3:$A$51,0)),"")="",55.29,INDEX('Monitor &amp; Recheck Triggers'!$H$3:$H$51,MATCH($B17,'Monitor &amp; Recheck Triggers'!$A$3:$A$51,0)))</f>
        <v>55.29</v>
      </c>
      <c r="G17" s="34">
        <f t="shared" si="0"/>
        <v>24952.598159999998</v>
      </c>
      <c r="H17" s="35">
        <v>24999.99</v>
      </c>
      <c r="I17" s="36">
        <f t="shared" si="1"/>
        <v>-47.391840000003867</v>
      </c>
      <c r="J17" s="37">
        <f t="shared" si="2"/>
        <v>-1.8956743582698721E-3</v>
      </c>
      <c r="K17" s="37">
        <f ca="1">IFERROR(G17/SUM(G3:G23),"")</f>
        <v>5.9440273543931291E-2</v>
      </c>
      <c r="L17" s="37">
        <f ca="1">IFERROR(G17/(SUM(G3:G23,G27:G46)),"")</f>
        <v>3.3790283797987944E-2</v>
      </c>
      <c r="M17" s="29" t="s">
        <v>131</v>
      </c>
    </row>
    <row r="18" spans="1:15" ht="15" customHeight="1" x14ac:dyDescent="0.2">
      <c r="A18" s="29" t="s">
        <v>94</v>
      </c>
      <c r="B18" s="38" t="s">
        <v>132</v>
      </c>
      <c r="C18" s="31" t="s">
        <v>133</v>
      </c>
      <c r="D18" s="32" t="s">
        <v>97</v>
      </c>
      <c r="E18" s="199">
        <v>700</v>
      </c>
      <c r="F18" s="33">
        <f>IF(IFERROR(INDEX('Monitor &amp; Recheck Triggers'!$H$3:$H$51,MATCH($B18,'Monitor &amp; Recheck Triggers'!$A$3:$A$51,0)),"")="",34.8,INDEX('Monitor &amp; Recheck Triggers'!$H$3:$H$51,MATCH($B18,'Monitor &amp; Recheck Triggers'!$A$3:$A$51,0)))</f>
        <v>34.799999999999997</v>
      </c>
      <c r="G18" s="34">
        <f t="shared" si="0"/>
        <v>24359.999999999996</v>
      </c>
      <c r="H18" s="35">
        <v>24377.5</v>
      </c>
      <c r="I18" s="36">
        <f t="shared" si="1"/>
        <v>-17.500000000003638</v>
      </c>
      <c r="J18" s="37">
        <f t="shared" si="2"/>
        <v>-7.1787508973453207E-4</v>
      </c>
      <c r="K18" s="37">
        <f ca="1">IFERROR(G18/SUM(G3:G23),"")</f>
        <v>5.8028629092873839E-2</v>
      </c>
      <c r="L18" s="37">
        <f ca="1">IFERROR(G18/(SUM(G3:G23,G27:G46)),"")</f>
        <v>3.2987799829137562E-2</v>
      </c>
      <c r="M18" s="29" t="s">
        <v>128</v>
      </c>
    </row>
    <row r="19" spans="1:15" ht="15" customHeight="1" x14ac:dyDescent="0.2">
      <c r="A19" s="29" t="s">
        <v>94</v>
      </c>
      <c r="B19" s="38" t="s">
        <v>134</v>
      </c>
      <c r="C19" s="31" t="s">
        <v>135</v>
      </c>
      <c r="D19" s="32" t="s">
        <v>97</v>
      </c>
      <c r="E19" s="199">
        <v>150</v>
      </c>
      <c r="F19" s="33">
        <f>IF(IFERROR(INDEX('Monitor &amp; Recheck Triggers'!$H$3:$H$51,MATCH($B19,'Monitor &amp; Recheck Triggers'!$A$3:$A$51,0)),"")="",164.23,INDEX('Monitor &amp; Recheck Triggers'!$H$3:$H$51,MATCH($B19,'Monitor &amp; Recheck Triggers'!$A$3:$A$51,0)))</f>
        <v>164.23</v>
      </c>
      <c r="G19" s="34">
        <f t="shared" si="0"/>
        <v>24634.5</v>
      </c>
      <c r="H19" s="35">
        <v>24598.5</v>
      </c>
      <c r="I19" s="36">
        <f t="shared" si="1"/>
        <v>36</v>
      </c>
      <c r="J19" s="37">
        <f t="shared" si="2"/>
        <v>1.4635038721872995E-3</v>
      </c>
      <c r="K19" s="37">
        <f ca="1">IFERROR(G19/SUM(G3:G23),"")</f>
        <v>5.8682523127602658E-2</v>
      </c>
      <c r="L19" s="37">
        <f ca="1">IFERROR(G19/(SUM(G3:G23,G27:G46)),"")</f>
        <v>3.3359521957754081E-2</v>
      </c>
      <c r="M19" s="29" t="s">
        <v>128</v>
      </c>
    </row>
    <row r="20" spans="1:15" ht="15" customHeight="1" x14ac:dyDescent="0.2">
      <c r="A20" s="29" t="s">
        <v>94</v>
      </c>
      <c r="B20" s="38" t="s">
        <v>136</v>
      </c>
      <c r="C20" s="31" t="s">
        <v>137</v>
      </c>
      <c r="D20" s="32" t="s">
        <v>97</v>
      </c>
      <c r="E20" s="199">
        <v>1000</v>
      </c>
      <c r="F20" s="33">
        <f>IF(IFERROR(INDEX('Monitor &amp; Recheck Triggers'!$H$3:$H$51,MATCH($B20,'Monitor &amp; Recheck Triggers'!$A$3:$A$51,0)),"")="",54.63,INDEX('Monitor &amp; Recheck Triggers'!$H$3:$H$51,MATCH($B20,'Monitor &amp; Recheck Triggers'!$A$3:$A$51,0)))</f>
        <v>54.63</v>
      </c>
      <c r="G20" s="34">
        <f t="shared" si="0"/>
        <v>54630</v>
      </c>
      <c r="H20" s="35">
        <v>53709</v>
      </c>
      <c r="I20" s="36">
        <f t="shared" si="1"/>
        <v>921</v>
      </c>
      <c r="J20" s="37">
        <f t="shared" si="2"/>
        <v>1.7147964028375151E-2</v>
      </c>
      <c r="K20" s="37">
        <f ca="1">IFERROR(G20/SUM(G3:G23),"")</f>
        <v>0.13013563248537349</v>
      </c>
      <c r="L20" s="37">
        <f ca="1">IFERROR(G20/(SUM(G3:G23,G27:G46)),"")</f>
        <v>7.3978797400073279E-2</v>
      </c>
      <c r="M20" s="29" t="s">
        <v>128</v>
      </c>
    </row>
    <row r="21" spans="1:15" ht="15" customHeight="1" x14ac:dyDescent="0.2">
      <c r="A21" s="29" t="s">
        <v>94</v>
      </c>
      <c r="B21" s="38" t="s">
        <v>138</v>
      </c>
      <c r="C21" s="31" t="s">
        <v>139</v>
      </c>
      <c r="D21" s="32" t="s">
        <v>97</v>
      </c>
      <c r="E21" s="199">
        <v>100</v>
      </c>
      <c r="F21" s="33">
        <f>IF(IFERROR(INDEX('Monitor &amp; Recheck Triggers'!$H$3:$H$51,MATCH($B21,'Monitor &amp; Recheck Triggers'!$A$3:$A$51,0)),"")="",149.72,INDEX('Monitor &amp; Recheck Triggers'!$H$3:$H$51,MATCH($B21,'Monitor &amp; Recheck Triggers'!$A$3:$A$51,0)))</f>
        <v>149.72</v>
      </c>
      <c r="G21" s="34">
        <f t="shared" si="0"/>
        <v>14972</v>
      </c>
      <c r="H21" s="35">
        <v>14696.99</v>
      </c>
      <c r="I21" s="36">
        <f t="shared" si="1"/>
        <v>275.01000000000022</v>
      </c>
      <c r="J21" s="37">
        <f t="shared" si="2"/>
        <v>1.8711994768996876E-2</v>
      </c>
      <c r="K21" s="37">
        <f ca="1">IFERROR(G21/SUM(G3:G23),"")</f>
        <v>3.5665214892385354E-2</v>
      </c>
      <c r="L21" s="37">
        <f ca="1">IFERROR(G21/(SUM(G3:G23,G27:G46)),"")</f>
        <v>2.0274767612555322E-2</v>
      </c>
      <c r="M21" s="29" t="s">
        <v>131</v>
      </c>
    </row>
    <row r="22" spans="1:15" ht="15" customHeight="1" x14ac:dyDescent="0.2">
      <c r="A22" s="29" t="s">
        <v>94</v>
      </c>
      <c r="B22" s="197" t="s">
        <v>140</v>
      </c>
      <c r="C22" s="31" t="s">
        <v>141</v>
      </c>
      <c r="D22" s="32" t="s">
        <v>97</v>
      </c>
      <c r="E22" s="199">
        <v>75</v>
      </c>
      <c r="F22" s="33" vm="12">
        <f ca="1">IF(IFERROR(INDEX('Monitor &amp; Recheck Triggers'!$H$3:$H$51,MATCH($B22,'Monitor &amp; Recheck Triggers'!$A$3:$A$51,0)),"")="",314.71,INDEX('Monitor &amp; Recheck Triggers'!$H$3:$H$51,MATCH($B22,'Monitor &amp; Recheck Triggers'!$A$3:$A$51,0)))</f>
        <v>309.56</v>
      </c>
      <c r="G22" s="34">
        <f t="shared" ca="1" si="0"/>
        <v>23217</v>
      </c>
      <c r="H22" s="35">
        <v>23603.25</v>
      </c>
      <c r="I22" s="36">
        <f t="shared" ca="1" si="1"/>
        <v>-386.25</v>
      </c>
      <c r="J22" s="37">
        <f t="shared" ca="1" si="2"/>
        <v>-1.6364271869339975E-2</v>
      </c>
      <c r="K22" s="37">
        <f ca="1">IFERROR(G22/SUM(G3:G23),"")</f>
        <v>5.530585721056043E-2</v>
      </c>
      <c r="L22" s="37">
        <f ca="1">IFERROR(G22/(SUM(G3:G23,G27:G46)),"")</f>
        <v>3.1439973260799954E-2</v>
      </c>
      <c r="M22" s="29" t="s">
        <v>142</v>
      </c>
    </row>
    <row r="23" spans="1:15" ht="13.5" customHeight="1" x14ac:dyDescent="0.2">
      <c r="A23" s="29" t="s">
        <v>94</v>
      </c>
      <c r="B23" s="197" t="s">
        <v>143</v>
      </c>
      <c r="C23" s="31" t="s">
        <v>144</v>
      </c>
      <c r="D23" s="32" t="s">
        <v>97</v>
      </c>
      <c r="E23" s="199">
        <v>300</v>
      </c>
      <c r="F23" s="33" vm="13">
        <f ca="1">IF(IFERROR(INDEX('Monitor &amp; Recheck Triggers'!$H$3:$H$51,MATCH($B23,'Monitor &amp; Recheck Triggers'!$A$3:$A$51,0)),"")="",69.795,INDEX('Monitor &amp; Recheck Triggers'!$H$3:$H$51,MATCH($B23,'Monitor &amp; Recheck Triggers'!$A$3:$A$51,0)))</f>
        <v>67.06</v>
      </c>
      <c r="G23" s="34">
        <f t="shared" ca="1" si="0"/>
        <v>20118</v>
      </c>
      <c r="H23" s="35">
        <v>20938.5</v>
      </c>
      <c r="I23" s="36">
        <f t="shared" ca="1" si="1"/>
        <v>-820.5</v>
      </c>
      <c r="J23" s="37">
        <f t="shared" ca="1" si="2"/>
        <v>-3.9186188122358301E-2</v>
      </c>
      <c r="K23" s="37">
        <f ca="1">IFERROR(G23/SUM(G3:G23),"")</f>
        <v>4.79236436818734E-2</v>
      </c>
      <c r="L23" s="37">
        <f ca="1">IFERROR(G23/(SUM(G3:G23,G27:G46)),"")</f>
        <v>2.7243372617511887E-2</v>
      </c>
      <c r="M23" s="29" t="s">
        <v>145</v>
      </c>
    </row>
    <row r="24" spans="1:15" ht="15" customHeight="1" x14ac:dyDescent="0.2">
      <c r="A24" s="39" t="s">
        <v>146</v>
      </c>
      <c r="B24" s="40">
        <f>SUBTOTAL(103,B3:B23)</f>
        <v>21</v>
      </c>
      <c r="C24" s="41" t="s">
        <v>147</v>
      </c>
      <c r="D24" s="42"/>
      <c r="E24" s="200"/>
      <c r="F24" s="43"/>
      <c r="G24" s="44">
        <f ca="1">SUM(G3:G23)</f>
        <v>419792.78815999994</v>
      </c>
      <c r="H24" s="45">
        <f>SUM(H3:H23)</f>
        <v>386993.25</v>
      </c>
      <c r="I24" s="46">
        <f ca="1">SUM(I3:I23)</f>
        <v>32799.538159999989</v>
      </c>
      <c r="J24" s="47">
        <f ca="1">CurrentPositionsTable[[#This Row],[Unrealized G/L ($)]]/CurrentPositionsTable[[#This Row],[Cost Basis
($)]]</f>
        <v>8.4754806860326354E-2</v>
      </c>
      <c r="K24" s="47">
        <f ca="1">SUM(K3:K23)</f>
        <v>1.0000000000000004</v>
      </c>
      <c r="L24" s="47">
        <f ca="1">SUM(L3:L23)</f>
        <v>0.56847456755080583</v>
      </c>
      <c r="M24" s="48"/>
      <c r="N24" s="49"/>
      <c r="O24" s="49"/>
    </row>
    <row r="25" spans="1:15" ht="15" customHeight="1" x14ac:dyDescent="0.2">
      <c r="E25" s="201"/>
      <c r="F25" s="33"/>
      <c r="I25" s="50" t="s">
        <v>148</v>
      </c>
      <c r="J25" s="51">
        <f ca="1">I24/(H24-H14-H13)</f>
        <v>9.9275082414612206E-2</v>
      </c>
    </row>
    <row r="26" spans="1:15" ht="15" customHeight="1" x14ac:dyDescent="0.2">
      <c r="E26" s="201"/>
      <c r="F26" s="33"/>
    </row>
    <row r="27" spans="1:15" ht="15" customHeight="1" outlineLevel="1" x14ac:dyDescent="0.2">
      <c r="A27" s="29" t="s">
        <v>149</v>
      </c>
      <c r="B27" s="38" t="s">
        <v>150</v>
      </c>
      <c r="C27" s="31" t="s">
        <v>151</v>
      </c>
      <c r="D27" s="32" t="s">
        <v>123</v>
      </c>
      <c r="E27" s="199">
        <v>36854.47</v>
      </c>
      <c r="F27" s="33">
        <v>1</v>
      </c>
      <c r="G27" s="34">
        <f t="shared" ref="G27:G46" si="3">E27*F27</f>
        <v>36854.47</v>
      </c>
      <c r="H27" s="35">
        <v>36854.47</v>
      </c>
      <c r="I27" s="36">
        <f t="shared" ref="I27:I46" si="4">G27-H27</f>
        <v>0</v>
      </c>
      <c r="J27" s="37">
        <f t="shared" ref="J27:J46" si="5">IF(H27=0,"",G27/H27-1)</f>
        <v>0</v>
      </c>
      <c r="K27" s="37">
        <f ca="1">IFERROR(G27/SUM(G27:G46),"")</f>
        <v>0.11565378226421549</v>
      </c>
      <c r="L27" s="37">
        <f ca="1">IFERROR(G27/(SUM(G3:G23,G27:G46)),"")</f>
        <v>4.9907548405950561E-2</v>
      </c>
      <c r="M27" s="29"/>
    </row>
    <row r="28" spans="1:15" ht="15" customHeight="1" outlineLevel="1" x14ac:dyDescent="0.2">
      <c r="A28" s="29" t="s">
        <v>149</v>
      </c>
      <c r="B28" s="38" t="s">
        <v>152</v>
      </c>
      <c r="C28" s="31" t="s">
        <v>153</v>
      </c>
      <c r="D28" s="32" t="s">
        <v>154</v>
      </c>
      <c r="E28" s="199">
        <v>850.35693000000003</v>
      </c>
      <c r="F28" s="33">
        <f>IF(IFERROR(INDEX('Monitor &amp; Recheck Triggers'!$H$3:$H$51,MATCH($B28,'Monitor &amp; Recheck Triggers'!$A$3:$A$51,0)),"")="",59.87,INDEX('Monitor &amp; Recheck Triggers'!$H$3:$H$51,MATCH($B28,'Monitor &amp; Recheck Triggers'!$A$3:$A$51,0)))</f>
        <v>59.87</v>
      </c>
      <c r="G28" s="34">
        <f t="shared" si="3"/>
        <v>50910.869399099996</v>
      </c>
      <c r="H28" s="35">
        <v>43005.36</v>
      </c>
      <c r="I28" s="36">
        <f t="shared" si="4"/>
        <v>7905.5093990999958</v>
      </c>
      <c r="J28" s="37">
        <f t="shared" si="5"/>
        <v>0.18382614165071498</v>
      </c>
      <c r="K28" s="37">
        <f ca="1">IFERROR(G28/SUM(G27:G46),"")</f>
        <v>0.15976446288239723</v>
      </c>
      <c r="L28" s="37">
        <f ca="1">IFERROR(G28/(SUM(G3:G23,G27:G46)),"")</f>
        <v>6.8942428935339722E-2</v>
      </c>
      <c r="M28" s="29" t="s">
        <v>155</v>
      </c>
    </row>
    <row r="29" spans="1:15" ht="15" customHeight="1" x14ac:dyDescent="0.2">
      <c r="A29" s="29" t="s">
        <v>149</v>
      </c>
      <c r="B29" s="30" t="s">
        <v>156</v>
      </c>
      <c r="C29" s="31" t="s">
        <v>157</v>
      </c>
      <c r="D29" s="32" t="s">
        <v>97</v>
      </c>
      <c r="E29" s="199">
        <v>400.00000999999997</v>
      </c>
      <c r="F29" s="33">
        <f>IF(IFERROR(INDEX('Monitor &amp; Recheck Triggers'!$H$3:$H$51,MATCH($B29,'Monitor &amp; Recheck Triggers'!$A$3:$A$51,0)),"")="",126.93,INDEX('Monitor &amp; Recheck Triggers'!$H$3:$H$51,MATCH($B29,'Monitor &amp; Recheck Triggers'!$A$3:$A$51,0)))</f>
        <v>126.93</v>
      </c>
      <c r="G29" s="34">
        <f t="shared" si="3"/>
        <v>50772.001269300003</v>
      </c>
      <c r="H29" s="35">
        <v>45116.29</v>
      </c>
      <c r="I29" s="36">
        <f t="shared" si="4"/>
        <v>5655.7112693000017</v>
      </c>
      <c r="J29" s="37">
        <f t="shared" si="5"/>
        <v>0.12535851838216305</v>
      </c>
      <c r="K29" s="37">
        <f ca="1">IFERROR(G29/SUM(G27:G46),"")</f>
        <v>0.1593286779030629</v>
      </c>
      <c r="L29" s="37">
        <f ca="1">IFERROR(G29/(SUM(G3:G23,G27:G46)),"")</f>
        <v>6.8754376633677616E-2</v>
      </c>
      <c r="M29" s="29" t="s">
        <v>158</v>
      </c>
    </row>
    <row r="30" spans="1:15" ht="15" hidden="1" customHeight="1" outlineLevel="2" x14ac:dyDescent="0.2">
      <c r="A30" s="29" t="s">
        <v>149</v>
      </c>
      <c r="B30" s="30" t="s">
        <v>159</v>
      </c>
      <c r="C30" s="31" t="s">
        <v>160</v>
      </c>
      <c r="D30" s="32" t="s">
        <v>97</v>
      </c>
      <c r="E30" s="199">
        <v>0</v>
      </c>
      <c r="F30" s="33">
        <f>IF(IFERROR(INDEX('Monitor &amp; Recheck Triggers'!$H$3:$H$51,MATCH($B30,'Monitor &amp; Recheck Triggers'!$A$3:$A$51,0)),"")="",56.12,INDEX('Monitor &amp; Recheck Triggers'!$H$3:$H$51,MATCH($B30,'Monitor &amp; Recheck Triggers'!$A$3:$A$51,0)))</f>
        <v>56.12</v>
      </c>
      <c r="G30" s="34">
        <f t="shared" si="3"/>
        <v>0</v>
      </c>
      <c r="H30" s="35">
        <v>0</v>
      </c>
      <c r="I30" s="36">
        <f t="shared" si="4"/>
        <v>0</v>
      </c>
      <c r="J30" s="37" t="str">
        <f t="shared" si="5"/>
        <v/>
      </c>
      <c r="K30" s="37">
        <f ca="1">IFERROR(G30/SUM(G27:G46),"")</f>
        <v>0</v>
      </c>
      <c r="L30" s="37">
        <f ca="1">IFERROR(G30/(SUM(G3:G23,G27:G46)),"")</f>
        <v>0</v>
      </c>
      <c r="M30" s="29" t="s">
        <v>161</v>
      </c>
    </row>
    <row r="31" spans="1:15" ht="15" customHeight="1" collapsed="1" x14ac:dyDescent="0.2">
      <c r="A31" s="29" t="s">
        <v>149</v>
      </c>
      <c r="B31" s="38" t="s">
        <v>162</v>
      </c>
      <c r="C31" s="31" t="s">
        <v>163</v>
      </c>
      <c r="D31" s="32" t="s">
        <v>154</v>
      </c>
      <c r="E31" s="199">
        <v>500</v>
      </c>
      <c r="F31" s="33">
        <f>IF(IFERROR(INDEX('Monitor &amp; Recheck Triggers'!$H$3:$H$51,MATCH($B31,'Monitor &amp; Recheck Triggers'!$A$3:$A$51,0)),"")="",69.72,INDEX('Monitor &amp; Recheck Triggers'!$H$3:$H$51,MATCH($B31,'Monitor &amp; Recheck Triggers'!$A$3:$A$51,0)))</f>
        <v>69.72</v>
      </c>
      <c r="G31" s="34">
        <f t="shared" si="3"/>
        <v>34860</v>
      </c>
      <c r="H31" s="35">
        <v>30666</v>
      </c>
      <c r="I31" s="36">
        <f t="shared" si="4"/>
        <v>4194</v>
      </c>
      <c r="J31" s="37">
        <f t="shared" si="5"/>
        <v>0.13676384269223241</v>
      </c>
      <c r="K31" s="37">
        <f ca="1">IFERROR(G31/SUM(G27:G46),"")</f>
        <v>0.10939489428909306</v>
      </c>
      <c r="L31" s="37">
        <f ca="1">IFERROR(G31/(SUM(G3:G23,G27:G46)),"")</f>
        <v>4.720667906583479E-2</v>
      </c>
      <c r="M31" s="29" t="s">
        <v>164</v>
      </c>
    </row>
    <row r="32" spans="1:15" ht="15" customHeight="1" x14ac:dyDescent="0.2">
      <c r="A32" s="29" t="s">
        <v>149</v>
      </c>
      <c r="B32" s="30" t="s">
        <v>165</v>
      </c>
      <c r="C32" s="31" t="s">
        <v>166</v>
      </c>
      <c r="D32" s="32" t="s">
        <v>97</v>
      </c>
      <c r="E32" s="199">
        <v>35.075870000000002</v>
      </c>
      <c r="F32" s="33" vm="14">
        <f ca="1">IF(IFERROR(INDEX('Monitor &amp; Recheck Triggers'!$H$3:$H$51,MATCH($B32,'Monitor &amp; Recheck Triggers'!$A$3:$A$51,0)),"")="",357.895,INDEX('Monitor &amp; Recheck Triggers'!$H$3:$H$51,MATCH($B32,'Monitor &amp; Recheck Triggers'!$A$3:$A$51,0)))</f>
        <v>355.14</v>
      </c>
      <c r="G32" s="34">
        <f t="shared" ca="1" si="3"/>
        <v>12456.844471800001</v>
      </c>
      <c r="H32" s="35">
        <v>12653.43</v>
      </c>
      <c r="I32" s="36">
        <f t="shared" ca="1" si="4"/>
        <v>-196.58552819999932</v>
      </c>
      <c r="J32" s="37">
        <f t="shared" ca="1" si="5"/>
        <v>-1.5536145392988199E-2</v>
      </c>
      <c r="K32" s="37">
        <f ca="1">IFERROR(G32/SUM(G27:G46),"")</f>
        <v>3.9091083883196626E-2</v>
      </c>
      <c r="L32" s="37">
        <f ca="1">IFERROR(G32/(SUM(G3:G23,G27:G46)),"")</f>
        <v>1.6868796877604158E-2</v>
      </c>
      <c r="M32" s="29"/>
    </row>
    <row r="33" spans="1:15" ht="15" customHeight="1" x14ac:dyDescent="0.2">
      <c r="A33" s="29" t="s">
        <v>149</v>
      </c>
      <c r="B33" s="30" t="s">
        <v>110</v>
      </c>
      <c r="C33" s="31" t="s">
        <v>111</v>
      </c>
      <c r="D33" s="32" t="s">
        <v>97</v>
      </c>
      <c r="E33" s="199">
        <v>59.021880000000003</v>
      </c>
      <c r="F33" s="33" vm="7">
        <f ca="1">IF(IFERROR(INDEX('Monitor &amp; Recheck Triggers'!$H$3:$H$51,MATCH($B33,'Monitor &amp; Recheck Triggers'!$A$3:$A$51,0)),"")="",230.36,INDEX('Monitor &amp; Recheck Triggers'!$H$3:$H$51,MATCH($B33,'Monitor &amp; Recheck Triggers'!$A$3:$A$51,0)))</f>
        <v>233.95</v>
      </c>
      <c r="G33" s="34">
        <f t="shared" ca="1" si="3"/>
        <v>13808.168825999999</v>
      </c>
      <c r="H33" s="35">
        <v>11377.73</v>
      </c>
      <c r="I33" s="36">
        <f t="shared" ca="1" si="4"/>
        <v>2430.4388259999996</v>
      </c>
      <c r="J33" s="37">
        <f t="shared" ca="1" si="5"/>
        <v>0.21361368445199513</v>
      </c>
      <c r="K33" s="37">
        <f ca="1">IFERROR(G33/SUM(G27:G46),"")</f>
        <v>4.3331703070746422E-2</v>
      </c>
      <c r="L33" s="37">
        <f ca="1">IFERROR(G33/(SUM(G3:G23,G27:G46)),"")</f>
        <v>1.8698731906363935E-2</v>
      </c>
      <c r="M33" s="29"/>
    </row>
    <row r="34" spans="1:15" ht="15" customHeight="1" x14ac:dyDescent="0.2">
      <c r="A34" s="29" t="s">
        <v>149</v>
      </c>
      <c r="B34" s="30" t="s">
        <v>167</v>
      </c>
      <c r="C34" s="31" t="s">
        <v>168</v>
      </c>
      <c r="D34" s="32" t="s">
        <v>97</v>
      </c>
      <c r="E34" s="199">
        <v>65</v>
      </c>
      <c r="F34" s="33" vm="15">
        <f ca="1">IF(IFERROR(INDEX('Monitor &amp; Recheck Triggers'!$H$3:$H$51,MATCH($B34,'Monitor &amp; Recheck Triggers'!$A$3:$A$51,0)),"")="",528.64,INDEX('Monitor &amp; Recheck Triggers'!$H$3:$H$51,MATCH($B34,'Monitor &amp; Recheck Triggers'!$A$3:$A$51,0)))</f>
        <v>504.73</v>
      </c>
      <c r="G34" s="34">
        <f t="shared" ca="1" si="3"/>
        <v>32807.450000000004</v>
      </c>
      <c r="H34" s="35">
        <v>31479.64</v>
      </c>
      <c r="I34" s="36">
        <f t="shared" ca="1" si="4"/>
        <v>1327.8100000000049</v>
      </c>
      <c r="J34" s="37">
        <f t="shared" ca="1" si="5"/>
        <v>4.2179961397271537E-2</v>
      </c>
      <c r="K34" s="37">
        <f ca="1">IFERROR(G34/SUM(G27:G46),"")</f>
        <v>0.10295374425257335</v>
      </c>
      <c r="L34" s="37">
        <f ca="1">IFERROR(G34/(SUM(G3:G23,G27:G46)),"")</f>
        <v>4.4427159010855477E-2</v>
      </c>
      <c r="M34" s="29" t="s">
        <v>169</v>
      </c>
    </row>
    <row r="35" spans="1:15" ht="15" customHeight="1" outlineLevel="1" x14ac:dyDescent="0.2">
      <c r="A35" s="29" t="s">
        <v>149</v>
      </c>
      <c r="B35" s="38" t="s">
        <v>138</v>
      </c>
      <c r="C35" s="31" t="s">
        <v>139</v>
      </c>
      <c r="D35" s="32" t="s">
        <v>97</v>
      </c>
      <c r="E35" s="199">
        <v>76.937449999999998</v>
      </c>
      <c r="F35" s="33">
        <f>IF(IFERROR(INDEX('Monitor &amp; Recheck Triggers'!$H$3:$H$51,MATCH($B35,'Monitor &amp; Recheck Triggers'!$A$3:$A$51,0)),"")="",149.72,INDEX('Monitor &amp; Recheck Triggers'!$H$3:$H$51,MATCH($B35,'Monitor &amp; Recheck Triggers'!$A$3:$A$51,0)))</f>
        <v>149.72</v>
      </c>
      <c r="G35" s="34">
        <f t="shared" si="3"/>
        <v>11519.075014</v>
      </c>
      <c r="H35" s="35">
        <v>9318.7900000000009</v>
      </c>
      <c r="I35" s="36">
        <f t="shared" si="4"/>
        <v>2200.2850139999991</v>
      </c>
      <c r="J35" s="37">
        <f t="shared" si="5"/>
        <v>0.23611273716866665</v>
      </c>
      <c r="K35" s="37">
        <f ca="1">IFERROR(G35/SUM(G27:G46),"")</f>
        <v>3.6148249955957064E-2</v>
      </c>
      <c r="L35" s="37">
        <f ca="1">IFERROR(G35/(SUM(G3:G23,G27:G46)),"")</f>
        <v>1.5598889194525943E-2</v>
      </c>
      <c r="M35" s="29"/>
    </row>
    <row r="36" spans="1:15" ht="15" customHeight="1" outlineLevel="1" x14ac:dyDescent="0.2">
      <c r="A36" s="29" t="s">
        <v>149</v>
      </c>
      <c r="B36" s="38" t="s">
        <v>129</v>
      </c>
      <c r="C36" s="31" t="s">
        <v>130</v>
      </c>
      <c r="D36" s="32" t="s">
        <v>97</v>
      </c>
      <c r="E36" s="199">
        <v>200</v>
      </c>
      <c r="F36" s="33">
        <f>IF(IFERROR(INDEX('Monitor &amp; Recheck Triggers'!$H$3:$H$51,MATCH($B36,'Monitor &amp; Recheck Triggers'!$A$3:$A$51,0)),"")="",55.29,INDEX('Monitor &amp; Recheck Triggers'!$H$3:$H$51,MATCH($B36,'Monitor &amp; Recheck Triggers'!$A$3:$A$51,0)))</f>
        <v>55.29</v>
      </c>
      <c r="G36" s="34">
        <f t="shared" si="3"/>
        <v>11058</v>
      </c>
      <c r="H36" s="35">
        <v>9257</v>
      </c>
      <c r="I36" s="36">
        <f t="shared" si="4"/>
        <v>1801</v>
      </c>
      <c r="J36" s="37">
        <f t="shared" si="5"/>
        <v>0.19455547153505459</v>
      </c>
      <c r="K36" s="37">
        <f ca="1">IFERROR(G36/SUM(G27:G46),"")</f>
        <v>3.4701340821824189E-2</v>
      </c>
      <c r="L36" s="37">
        <f ca="1">IFERROR(G36/(SUM(G3:G23,G27:G46)),"")</f>
        <v>1.4974511104704566E-2</v>
      </c>
      <c r="M36" s="29"/>
    </row>
    <row r="37" spans="1:15" ht="15" customHeight="1" x14ac:dyDescent="0.2">
      <c r="A37" s="29" t="s">
        <v>149</v>
      </c>
      <c r="B37" s="30" t="s">
        <v>100</v>
      </c>
      <c r="C37" s="31" t="s">
        <v>101</v>
      </c>
      <c r="D37" s="32" t="s">
        <v>97</v>
      </c>
      <c r="E37" s="199">
        <v>50</v>
      </c>
      <c r="F37" s="33" vm="2">
        <f ca="1">IF(IFERROR(INDEX('Monitor &amp; Recheck Triggers'!$H$3:$H$51,MATCH($B37,'Monitor &amp; Recheck Triggers'!$A$3:$A$51,0)),"")="",193.78,INDEX('Monitor &amp; Recheck Triggers'!$H$3:$H$51,MATCH($B37,'Monitor &amp; Recheck Triggers'!$A$3:$A$51,0)))</f>
        <v>207.35</v>
      </c>
      <c r="G37" s="34">
        <f t="shared" ca="1" si="3"/>
        <v>10367.5</v>
      </c>
      <c r="H37" s="35">
        <v>7394.5</v>
      </c>
      <c r="I37" s="36">
        <f t="shared" ca="1" si="4"/>
        <v>2973</v>
      </c>
      <c r="J37" s="37">
        <f t="shared" ca="1" si="5"/>
        <v>0.40205558185137602</v>
      </c>
      <c r="K37" s="37">
        <f ca="1">IFERROR(G37/SUM(G27:G46),"")</f>
        <v>3.2534468346017566E-2</v>
      </c>
      <c r="L37" s="37">
        <f ca="1">IFERROR(G37/(SUM(G3:G23,G27:G46)),"")</f>
        <v>1.4039450522519857E-2</v>
      </c>
      <c r="M37" s="29"/>
    </row>
    <row r="38" spans="1:15" ht="15" customHeight="1" x14ac:dyDescent="0.2">
      <c r="A38" s="29" t="s">
        <v>149</v>
      </c>
      <c r="B38" s="30" t="s">
        <v>104</v>
      </c>
      <c r="C38" s="31" t="s">
        <v>105</v>
      </c>
      <c r="D38" s="32" t="s">
        <v>97</v>
      </c>
      <c r="E38" s="199">
        <v>45</v>
      </c>
      <c r="F38" s="33" vm="4">
        <f ca="1">IF(IFERROR(INDEX('Monitor &amp; Recheck Triggers'!$H$3:$H$51,MATCH($B38,'Monitor &amp; Recheck Triggers'!$A$3:$A$51,0)),"")="",213.1,INDEX('Monitor &amp; Recheck Triggers'!$H$3:$H$51,MATCH($B38,'Monitor &amp; Recheck Triggers'!$A$3:$A$51,0)))</f>
        <v>270.04000000000002</v>
      </c>
      <c r="G38" s="34">
        <f t="shared" ca="1" si="3"/>
        <v>12151.800000000001</v>
      </c>
      <c r="H38" s="35">
        <v>7099.31</v>
      </c>
      <c r="I38" s="36">
        <f t="shared" ca="1" si="4"/>
        <v>5052.4900000000007</v>
      </c>
      <c r="J38" s="37">
        <f t="shared" ca="1" si="5"/>
        <v>0.71168747385309272</v>
      </c>
      <c r="K38" s="37">
        <f ca="1">IFERROR(G38/SUM(G27:G46),"")</f>
        <v>3.8133817453304686E-2</v>
      </c>
      <c r="L38" s="37">
        <f ca="1">IFERROR(G38/(SUM(G3:G23,G27:G46)),"")</f>
        <v>1.6455712067475939E-2</v>
      </c>
      <c r="M38" s="29"/>
    </row>
    <row r="39" spans="1:15" ht="15" customHeight="1" x14ac:dyDescent="0.2">
      <c r="A39" s="29" t="s">
        <v>149</v>
      </c>
      <c r="B39" s="30" t="s">
        <v>170</v>
      </c>
      <c r="C39" s="31" t="s">
        <v>171</v>
      </c>
      <c r="D39" s="32" t="s">
        <v>97</v>
      </c>
      <c r="E39" s="199">
        <v>125.44837</v>
      </c>
      <c r="F39" s="33" vm="16">
        <f ca="1">IF(IFERROR(INDEX('Monitor &amp; Recheck Triggers'!$H$3:$H$51,MATCH($B39,'Monitor &amp; Recheck Triggers'!$A$3:$A$51,0)),"")="",137.34,INDEX('Monitor &amp; Recheck Triggers'!$H$3:$H$51,MATCH($B39,'Monitor &amp; Recheck Triggers'!$A$3:$A$51,0)))</f>
        <v>128.91</v>
      </c>
      <c r="G39" s="34">
        <f t="shared" ca="1" si="3"/>
        <v>16171.549376699999</v>
      </c>
      <c r="H39" s="35">
        <v>16585.43</v>
      </c>
      <c r="I39" s="36">
        <f t="shared" ca="1" si="4"/>
        <v>-413.88062330000139</v>
      </c>
      <c r="J39" s="37">
        <f t="shared" ca="1" si="5"/>
        <v>-2.4954470478003921E-2</v>
      </c>
      <c r="K39" s="37">
        <f ca="1">IFERROR(G39/SUM(G27:G46),"")</f>
        <v>5.0748276952235952E-2</v>
      </c>
      <c r="L39" s="37">
        <f ca="1">IFERROR(G39/(SUM(G3:G23,G27:G46)),"")</f>
        <v>2.1899172157865104E-2</v>
      </c>
      <c r="M39" s="29" t="s">
        <v>172</v>
      </c>
    </row>
    <row r="40" spans="1:15" ht="15" hidden="1" customHeight="1" outlineLevel="2" x14ac:dyDescent="0.2">
      <c r="A40" s="29" t="s">
        <v>149</v>
      </c>
      <c r="B40" s="30" t="s">
        <v>173</v>
      </c>
      <c r="C40" s="31" t="s">
        <v>174</v>
      </c>
      <c r="D40" s="32" t="s">
        <v>97</v>
      </c>
      <c r="E40" s="199">
        <v>0</v>
      </c>
      <c r="F40" s="33" vm="17">
        <f ca="1">IF(IFERROR(INDEX('Monitor &amp; Recheck Triggers'!$H$3:$H$51,MATCH($B40,'Monitor &amp; Recheck Triggers'!$A$3:$A$51,0)),"")="",86.07,INDEX('Monitor &amp; Recheck Triggers'!$H$3:$H$51,MATCH($B40,'Monitor &amp; Recheck Triggers'!$A$3:$A$51,0)))</f>
        <v>64.47</v>
      </c>
      <c r="G40" s="34">
        <f t="shared" ca="1" si="3"/>
        <v>0</v>
      </c>
      <c r="H40" s="35">
        <v>0</v>
      </c>
      <c r="I40" s="36">
        <f t="shared" ca="1" si="4"/>
        <v>0</v>
      </c>
      <c r="J40" s="37" t="str">
        <f t="shared" si="5"/>
        <v/>
      </c>
      <c r="K40" s="37">
        <f ca="1">IFERROR(G40/SUM(G27:G46),"")</f>
        <v>0</v>
      </c>
      <c r="L40" s="37">
        <f ca="1">IFERROR(G40/(SUM(G3:G23,G27:G46)),"")</f>
        <v>0</v>
      </c>
      <c r="M40" s="29" t="s">
        <v>175</v>
      </c>
    </row>
    <row r="41" spans="1:15" ht="15" hidden="1" customHeight="1" outlineLevel="2" x14ac:dyDescent="0.2">
      <c r="A41" s="29" t="s">
        <v>149</v>
      </c>
      <c r="B41" s="30" t="s">
        <v>176</v>
      </c>
      <c r="C41" s="31" t="s">
        <v>177</v>
      </c>
      <c r="D41" s="32" t="s">
        <v>97</v>
      </c>
      <c r="E41" s="199">
        <v>0</v>
      </c>
      <c r="F41" s="33" vm="18">
        <f ca="1">IF(IFERROR(INDEX('Monitor &amp; Recheck Triggers'!$H$3:$H$51,MATCH($B41,'Monitor &amp; Recheck Triggers'!$A$3:$A$51,0)),"")="",327.35,INDEX('Monitor &amp; Recheck Triggers'!$H$3:$H$51,MATCH($B41,'Monitor &amp; Recheck Triggers'!$A$3:$A$51,0)))</f>
        <v>370.59</v>
      </c>
      <c r="G41" s="34">
        <f t="shared" ca="1" si="3"/>
        <v>0</v>
      </c>
      <c r="H41" s="35">
        <v>0</v>
      </c>
      <c r="I41" s="36">
        <f t="shared" ca="1" si="4"/>
        <v>0</v>
      </c>
      <c r="J41" s="37" t="str">
        <f t="shared" si="5"/>
        <v/>
      </c>
      <c r="K41" s="37">
        <f ca="1">IFERROR(G41/SUM(G27:G46),"")</f>
        <v>0</v>
      </c>
      <c r="L41" s="37">
        <f ca="1">IFERROR(G41/(SUM(G3:G23,G27:G46)),"")</f>
        <v>0</v>
      </c>
      <c r="M41" s="29" t="s">
        <v>178</v>
      </c>
    </row>
    <row r="42" spans="1:15" ht="15" hidden="1" customHeight="1" outlineLevel="2" x14ac:dyDescent="0.2">
      <c r="A42" s="29" t="s">
        <v>149</v>
      </c>
      <c r="B42" s="30" t="s">
        <v>179</v>
      </c>
      <c r="C42" s="31" t="s">
        <v>180</v>
      </c>
      <c r="D42" s="32" t="s">
        <v>97</v>
      </c>
      <c r="E42" s="199">
        <v>0</v>
      </c>
      <c r="F42" s="33">
        <f>IF(IFERROR(INDEX('Monitor &amp; Recheck Triggers'!$H$3:$H$51,MATCH($B42,'Monitor &amp; Recheck Triggers'!$A$3:$A$51,0)),"")="",120.16,INDEX('Monitor &amp; Recheck Triggers'!$H$3:$H$51,MATCH($B42,'Monitor &amp; Recheck Triggers'!$A$3:$A$51,0)))</f>
        <v>120.16</v>
      </c>
      <c r="G42" s="34">
        <f t="shared" si="3"/>
        <v>0</v>
      </c>
      <c r="H42" s="35">
        <v>0</v>
      </c>
      <c r="I42" s="36">
        <f t="shared" si="4"/>
        <v>0</v>
      </c>
      <c r="J42" s="37" t="str">
        <f t="shared" si="5"/>
        <v/>
      </c>
      <c r="K42" s="37">
        <f ca="1">IFERROR(G42/SUM(G27:G46),"")</f>
        <v>0</v>
      </c>
      <c r="L42" s="37">
        <f ca="1">IFERROR(G42/(SUM(G3:G23,G27:G46)),"")</f>
        <v>0</v>
      </c>
      <c r="M42" s="29" t="s">
        <v>181</v>
      </c>
    </row>
    <row r="43" spans="1:15" ht="15" customHeight="1" outlineLevel="1" collapsed="1" x14ac:dyDescent="0.2">
      <c r="A43" s="29" t="s">
        <v>149</v>
      </c>
      <c r="B43" s="38" t="s">
        <v>182</v>
      </c>
      <c r="C43" s="31" t="s">
        <v>183</v>
      </c>
      <c r="D43" s="32" t="s">
        <v>123</v>
      </c>
      <c r="E43" s="199">
        <v>10849.71</v>
      </c>
      <c r="F43" s="33">
        <v>1</v>
      </c>
      <c r="G43" s="34">
        <f t="shared" si="3"/>
        <v>10849.71</v>
      </c>
      <c r="H43" s="35">
        <v>10849.71</v>
      </c>
      <c r="I43" s="36">
        <f t="shared" si="4"/>
        <v>0</v>
      </c>
      <c r="J43" s="37">
        <f t="shared" si="5"/>
        <v>0</v>
      </c>
      <c r="K43" s="37">
        <f ca="1">IFERROR(G43/SUM(G27:G46),"")</f>
        <v>3.4047701621265518E-2</v>
      </c>
      <c r="L43" s="37">
        <f ca="1">IFERROR(G43/(SUM(G3:G23,G27:G46)),"")</f>
        <v>1.4692449166017739E-2</v>
      </c>
      <c r="M43" s="29"/>
    </row>
    <row r="44" spans="1:15" ht="15" hidden="1" customHeight="1" outlineLevel="2" x14ac:dyDescent="0.2">
      <c r="A44" s="29" t="s">
        <v>149</v>
      </c>
      <c r="B44" s="30" t="s">
        <v>184</v>
      </c>
      <c r="C44" s="31" t="s">
        <v>185</v>
      </c>
      <c r="D44" s="32" t="s">
        <v>97</v>
      </c>
      <c r="E44" s="199">
        <v>0</v>
      </c>
      <c r="F44" s="33" vm="19">
        <f ca="1">IF(IFERROR(INDEX('Monitor &amp; Recheck Triggers'!$H$3:$H$51,MATCH($B44,'Monitor &amp; Recheck Triggers'!$A$3:$A$51,0)),"")="",37.61,INDEX('Monitor &amp; Recheck Triggers'!$H$3:$H$51,MATCH($B44,'Monitor &amp; Recheck Triggers'!$A$3:$A$51,0)))</f>
        <v>30.85</v>
      </c>
      <c r="G44" s="34">
        <f t="shared" ca="1" si="3"/>
        <v>0</v>
      </c>
      <c r="H44" s="35">
        <v>0</v>
      </c>
      <c r="I44" s="36">
        <f t="shared" ca="1" si="4"/>
        <v>0</v>
      </c>
      <c r="J44" s="37" t="str">
        <f t="shared" si="5"/>
        <v/>
      </c>
      <c r="K44" s="37">
        <f ca="1">IFERROR(G44/SUM(G27:G46),"")</f>
        <v>0</v>
      </c>
      <c r="L44" s="37">
        <f ca="1">IFERROR(G44/(SUM(G3:G23,G27:G46)),"")</f>
        <v>0</v>
      </c>
      <c r="M44" s="29" t="s">
        <v>186</v>
      </c>
    </row>
    <row r="45" spans="1:15" ht="15" customHeight="1" x14ac:dyDescent="0.2">
      <c r="A45" s="29" t="s">
        <v>149</v>
      </c>
      <c r="B45" s="30" t="s">
        <v>112</v>
      </c>
      <c r="C45" s="31" t="s">
        <v>113</v>
      </c>
      <c r="D45" s="32" t="s">
        <v>97</v>
      </c>
      <c r="E45" s="199">
        <v>20</v>
      </c>
      <c r="F45" s="33" vm="8">
        <f ca="1">IF(IFERROR(INDEX('Monitor &amp; Recheck Triggers'!$H$3:$H$51,MATCH($B45,'Monitor &amp; Recheck Triggers'!$A$3:$A$51,0)),"")="",174.33,INDEX('Monitor &amp; Recheck Triggers'!$H$3:$H$51,MATCH($B45,'Monitor &amp; Recheck Triggers'!$A$3:$A$51,0)))</f>
        <v>188.75</v>
      </c>
      <c r="G45" s="34">
        <f t="shared" ca="1" si="3"/>
        <v>3775</v>
      </c>
      <c r="H45" s="35">
        <v>3178</v>
      </c>
      <c r="I45" s="36">
        <f t="shared" ca="1" si="4"/>
        <v>597</v>
      </c>
      <c r="J45" s="37">
        <f t="shared" ca="1" si="5"/>
        <v>0.1878539962240402</v>
      </c>
      <c r="K45" s="37">
        <f ca="1">IFERROR(G45/SUM(G27:G46),"")</f>
        <v>1.1846406366647341E-2</v>
      </c>
      <c r="L45" s="37">
        <f ca="1">IFERROR(G45/(SUM(G3:G23,G27:G46)),"")</f>
        <v>5.1120256303363839E-3</v>
      </c>
      <c r="M45" s="29"/>
    </row>
    <row r="46" spans="1:15" ht="13.5" customHeight="1" outlineLevel="1" x14ac:dyDescent="0.2">
      <c r="A46" s="29" t="s">
        <v>149</v>
      </c>
      <c r="B46" s="38" t="s">
        <v>187</v>
      </c>
      <c r="C46" s="31" t="s">
        <v>188</v>
      </c>
      <c r="D46" s="32" t="s">
        <v>154</v>
      </c>
      <c r="E46" s="199">
        <v>180</v>
      </c>
      <c r="F46" s="33">
        <f>IF(IFERROR(INDEX('Monitor &amp; Recheck Triggers'!$H$3:$H$51,MATCH($B46,'Monitor &amp; Recheck Triggers'!$A$3:$A$51,0)),"")="",57.22,INDEX('Monitor &amp; Recheck Triggers'!$H$3:$H$51,MATCH($B46,'Monitor &amp; Recheck Triggers'!$A$3:$A$51,0)))</f>
        <v>57.22</v>
      </c>
      <c r="G46" s="34">
        <f t="shared" si="3"/>
        <v>10299.6</v>
      </c>
      <c r="H46" s="35">
        <v>10500.57</v>
      </c>
      <c r="I46" s="36">
        <f t="shared" si="4"/>
        <v>-200.96999999999935</v>
      </c>
      <c r="J46" s="37">
        <f t="shared" si="5"/>
        <v>-1.9138961027829859E-2</v>
      </c>
      <c r="K46" s="37">
        <f ca="1">IFERROR(G46/SUM(G27:G46),"")</f>
        <v>3.2321389937462509E-2</v>
      </c>
      <c r="L46" s="37">
        <f ca="1">IFERROR(G46/(SUM(G3:G23,G27:G46)),"")</f>
        <v>1.3947501770122548E-2</v>
      </c>
      <c r="M46" s="29" t="s">
        <v>128</v>
      </c>
    </row>
    <row r="47" spans="1:15" ht="15" customHeight="1" x14ac:dyDescent="0.2">
      <c r="A47" s="39" t="s">
        <v>146</v>
      </c>
      <c r="B47" s="40">
        <f>SUBTOTAL(103,B27:B46)</f>
        <v>15</v>
      </c>
      <c r="C47" s="41" t="s">
        <v>189</v>
      </c>
      <c r="D47" s="42"/>
      <c r="E47" s="200"/>
      <c r="F47" s="43"/>
      <c r="G47" s="44">
        <f ca="1">SUM(G27:G46)</f>
        <v>318662.03835690004</v>
      </c>
      <c r="H47" s="45">
        <f>SUM(H27:H46)</f>
        <v>285336.23</v>
      </c>
      <c r="I47" s="46">
        <f ca="1">SUM(I27:I46)</f>
        <v>33325.808356900001</v>
      </c>
      <c r="J47" s="47">
        <f ca="1">CurrentPositionsTable[[#This Row],[Unrealized G/L ($)]]/CurrentPositionsTable[[#This Row],[Cost Basis
($)]]</f>
        <v>0.11679487163932881</v>
      </c>
      <c r="K47" s="47">
        <f ca="1">SUM(K27:K46)</f>
        <v>0.99999999999999989</v>
      </c>
      <c r="L47" s="47">
        <f ca="1">SUM(L27:L46)</f>
        <v>0.43152543244919428</v>
      </c>
      <c r="M47" s="48"/>
      <c r="N47" s="49"/>
      <c r="O47" s="49"/>
    </row>
    <row r="48" spans="1:15" ht="15" customHeight="1" x14ac:dyDescent="0.2">
      <c r="E48" s="201"/>
      <c r="I48" s="50" t="s">
        <v>148</v>
      </c>
      <c r="J48" s="51">
        <f ca="1">I47/(H47-H43-H27)</f>
        <v>0.14024121896394029</v>
      </c>
    </row>
    <row r="49" spans="1:13" ht="15" customHeight="1" x14ac:dyDescent="0.2">
      <c r="E49" s="201"/>
    </row>
    <row r="50" spans="1:13" ht="15" customHeight="1" x14ac:dyDescent="0.2">
      <c r="A50" s="29"/>
      <c r="B50" s="30"/>
      <c r="C50" s="31" t="s">
        <v>190</v>
      </c>
      <c r="D50" s="32"/>
      <c r="E50" s="199"/>
      <c r="F50" s="31"/>
      <c r="G50" s="34">
        <f ca="1">SUM(G3:G23)+SUM(G27:G46)</f>
        <v>738454.82651689998</v>
      </c>
      <c r="H50" s="35">
        <f>SUM(H3:H23)+SUM(H27:H46)</f>
        <v>672329.48</v>
      </c>
      <c r="I50" s="36">
        <f ca="1">SUM(I3:I23)+SUM(I27:I46)</f>
        <v>66125.346516899997</v>
      </c>
    </row>
    <row r="51" spans="1:13" ht="14.25" customHeight="1" x14ac:dyDescent="0.2">
      <c r="A51" s="29"/>
      <c r="B51" s="30"/>
      <c r="C51" s="31" t="s">
        <v>191</v>
      </c>
      <c r="D51" s="32"/>
      <c r="E51" s="199"/>
      <c r="F51" s="31"/>
      <c r="G51" s="34">
        <f>SUM(G14:G21)+G27+G28+G29+G31+G35+G36+G43+G46</f>
        <v>424638.51384239999</v>
      </c>
      <c r="H51" s="35">
        <f>SUM(H14:H21)+H27+H28+H29+H31+H35+H36+H43+H46</f>
        <v>401796.61</v>
      </c>
      <c r="I51" s="36">
        <f>G51-H51</f>
        <v>22841.903842400003</v>
      </c>
      <c r="L51" s="37">
        <f ca="1">IFERROR(G51/G50,"")</f>
        <v>0.5750365473881589</v>
      </c>
      <c r="M51" s="29" t="s">
        <v>192</v>
      </c>
    </row>
    <row r="52" spans="1:13" ht="142.5" customHeight="1" x14ac:dyDescent="0.2">
      <c r="A52" s="198" t="s">
        <v>193</v>
      </c>
      <c r="B52" s="198"/>
      <c r="C52" s="198"/>
      <c r="D52" s="198"/>
      <c r="E52" s="198"/>
      <c r="F52" s="198"/>
      <c r="G52" s="198"/>
      <c r="H52" s="198"/>
      <c r="I52" s="198"/>
      <c r="J52" s="198"/>
      <c r="K52" s="198"/>
      <c r="L52" s="198"/>
      <c r="M52" s="198"/>
    </row>
  </sheetData>
  <mergeCells count="3">
    <mergeCell ref="A1:M1"/>
    <mergeCell ref="O1:P1"/>
    <mergeCell ref="A52:M52"/>
  </mergeCells>
  <conditionalFormatting sqref="I1:K1048576">
    <cfRule type="cellIs" dxfId="95" priority="2" operator="lessThan">
      <formula>0</formula>
    </cfRule>
  </conditionalFormatting>
  <pageMargins left="0.75" right="0.75" top="1" bottom="1" header="0.511811023622047" footer="0.51180555555555596"/>
  <pageSetup orientation="portrait" horizontalDpi="300" verticalDpi="300"/>
  <headerFooter>
    <oddFooter>&amp;L&amp;"Arial Narrow,Regular"&amp;8 &amp;F&amp;C&amp;"Arial Narrow,Regular"&amp;8 &amp;A - &amp;D &amp;T&amp;R&amp;"Arial,Regular" &amp;P / &amp;N</oddFooter>
  </headerFooter>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1"/>
  <sheetViews>
    <sheetView showGridLines="0" zoomScale="90" zoomScaleNormal="90" workbookViewId="0">
      <pane ySplit="2" topLeftCell="A3" activePane="bottomLeft" state="frozen"/>
      <selection pane="bottomLeft" activeCell="I61" sqref="I61"/>
    </sheetView>
  </sheetViews>
  <sheetFormatPr baseColWidth="10" defaultColWidth="8.6640625" defaultRowHeight="15" outlineLevelRow="1" x14ac:dyDescent="0.2"/>
  <cols>
    <col min="1" max="1" width="8" style="52" customWidth="1"/>
    <col min="2" max="2" width="12.5" customWidth="1"/>
    <col min="3" max="3" width="11" customWidth="1"/>
    <col min="4" max="5" width="10" customWidth="1"/>
    <col min="6" max="6" width="14" customWidth="1"/>
    <col min="7" max="7" width="10" style="53" customWidth="1"/>
    <col min="8" max="9" width="10" customWidth="1"/>
    <col min="10" max="10" width="12" customWidth="1"/>
    <col min="11" max="11" width="10" customWidth="1"/>
    <col min="12" max="12" width="22" customWidth="1"/>
    <col min="13" max="13" width="8.83203125" customWidth="1"/>
    <col min="14" max="14" width="22" customWidth="1"/>
    <col min="15" max="15" width="10" customWidth="1"/>
    <col min="16" max="16" width="24" customWidth="1"/>
    <col min="17" max="17" width="28" customWidth="1"/>
  </cols>
  <sheetData>
    <row r="1" spans="1:17" ht="25.5" customHeight="1" x14ac:dyDescent="0.2">
      <c r="A1" s="175" t="s">
        <v>194</v>
      </c>
      <c r="B1" s="175"/>
      <c r="C1" s="175"/>
      <c r="D1" s="175"/>
      <c r="E1" s="175"/>
      <c r="F1" s="175"/>
      <c r="G1" s="175"/>
      <c r="H1" s="175"/>
      <c r="I1" s="175"/>
      <c r="J1" s="175"/>
      <c r="K1" s="175"/>
      <c r="L1" s="175"/>
      <c r="M1" s="175"/>
      <c r="N1" s="175"/>
      <c r="O1" s="175"/>
      <c r="P1" s="175"/>
      <c r="Q1" s="175"/>
    </row>
    <row r="2" spans="1:17" s="57" customFormat="1" ht="42" customHeight="1" x14ac:dyDescent="0.2">
      <c r="A2" s="55" t="s">
        <v>81</v>
      </c>
      <c r="B2" s="55" t="s">
        <v>195</v>
      </c>
      <c r="C2" s="55" t="s">
        <v>196</v>
      </c>
      <c r="D2" s="55" t="s">
        <v>197</v>
      </c>
      <c r="E2" s="55" t="s">
        <v>198</v>
      </c>
      <c r="F2" s="55" t="s">
        <v>199</v>
      </c>
      <c r="G2" s="56" t="s">
        <v>200</v>
      </c>
      <c r="H2" s="55" t="s">
        <v>201</v>
      </c>
      <c r="I2" s="55" t="s">
        <v>202</v>
      </c>
      <c r="J2" s="55" t="s">
        <v>203</v>
      </c>
      <c r="K2" s="55" t="s">
        <v>204</v>
      </c>
      <c r="L2" s="55" t="s">
        <v>205</v>
      </c>
      <c r="M2" s="55" t="s">
        <v>206</v>
      </c>
      <c r="N2" s="55" t="s">
        <v>207</v>
      </c>
      <c r="O2" s="55" t="s">
        <v>208</v>
      </c>
      <c r="P2" s="55" t="s">
        <v>209</v>
      </c>
      <c r="Q2" s="55" t="s">
        <v>210</v>
      </c>
    </row>
    <row r="3" spans="1:17" ht="15" customHeight="1" x14ac:dyDescent="0.2">
      <c r="A3" s="58" t="s">
        <v>95</v>
      </c>
      <c r="B3" s="59" t="s">
        <v>211</v>
      </c>
      <c r="C3" s="60">
        <v>46240</v>
      </c>
      <c r="D3" s="59">
        <v>85.8</v>
      </c>
      <c r="E3" s="59">
        <v>4.57</v>
      </c>
      <c r="F3" s="61" t="s">
        <v>212</v>
      </c>
      <c r="G3" s="62">
        <v>259.32</v>
      </c>
      <c r="H3" s="63" vm="1">
        <f t="array" aca="1" ref="H3" ca="1">IFERROR(INDEX(_xlfn.STOCKHISTORY(A3,TODAY()-5,TODAY(),0,0,1),ROWS(_xlfn.STOCKHISTORY(A3,TODAY()-5,TODAY(),0,0,1)),1),"")</f>
        <v>237.69</v>
      </c>
      <c r="I3" s="64">
        <f t="shared" ref="I3:I34" ca="1" si="0">IF(OR(G3="",H3=""),"",H3/G3-1)</f>
        <v>-8.341045812124015E-2</v>
      </c>
      <c r="J3" s="65">
        <v>46365</v>
      </c>
      <c r="K3" s="59" t="s">
        <v>213</v>
      </c>
      <c r="L3" s="66"/>
      <c r="M3" s="59" t="s">
        <v>213</v>
      </c>
      <c r="N3" s="66"/>
      <c r="O3" s="67">
        <f t="shared" ref="O3:O34" ca="1" si="1">IF(C3="","",TODAY()-C3)</f>
        <v>60</v>
      </c>
      <c r="P3" s="68" t="str">
        <f t="shared" ref="P3:P34" ca="1" si="2">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6"/>
    </row>
    <row r="4" spans="1:17" ht="15" customHeight="1" x14ac:dyDescent="0.2">
      <c r="A4" s="58" t="s">
        <v>100</v>
      </c>
      <c r="B4" s="59" t="s">
        <v>211</v>
      </c>
      <c r="C4" s="60">
        <v>46240</v>
      </c>
      <c r="D4" s="59">
        <v>85</v>
      </c>
      <c r="E4" s="59">
        <v>4.57</v>
      </c>
      <c r="F4" s="61" t="s">
        <v>212</v>
      </c>
      <c r="G4" s="62">
        <v>190.51</v>
      </c>
      <c r="H4" s="63" vm="2">
        <f t="array" aca="1" ref="H4" ca="1">IFERROR(INDEX(_xlfn.STOCKHISTORY(A4,TODAY()-5,TODAY(),0,0,1),ROWS(_xlfn.STOCKHISTORY(A4,TODAY()-5,TODAY(),0,0,1)),1),"")</f>
        <v>207.35</v>
      </c>
      <c r="I4" s="64">
        <f t="shared" ca="1" si="0"/>
        <v>8.8394310009973331E-2</v>
      </c>
      <c r="J4" s="65">
        <v>46329</v>
      </c>
      <c r="K4" s="59" t="s">
        <v>214</v>
      </c>
      <c r="L4" s="66" t="s">
        <v>215</v>
      </c>
      <c r="M4" s="59" t="s">
        <v>213</v>
      </c>
      <c r="N4" s="66"/>
      <c r="O4" s="67">
        <f t="shared" ca="1" si="1"/>
        <v>60</v>
      </c>
      <c r="P4" s="68" t="str">
        <f t="shared" ca="1" si="2"/>
        <v>DUE — INSIDER ACTIVITY</v>
      </c>
      <c r="Q4" s="66"/>
    </row>
    <row r="5" spans="1:17" ht="15" customHeight="1" x14ac:dyDescent="0.2">
      <c r="A5" s="58" t="s">
        <v>102</v>
      </c>
      <c r="B5" s="59" t="s">
        <v>211</v>
      </c>
      <c r="C5" s="60">
        <v>46240</v>
      </c>
      <c r="D5" s="59">
        <v>73.2</v>
      </c>
      <c r="E5" s="59">
        <v>3.57</v>
      </c>
      <c r="F5" s="61" t="s">
        <v>216</v>
      </c>
      <c r="G5" s="62">
        <v>1678.22</v>
      </c>
      <c r="H5" s="63" vm="3">
        <f t="array" aca="1" ref="H5" ca="1">IFERROR(INDEX(_xlfn.STOCKHISTORY(A5,TODAY()-5,TODAY(),0,0,1),ROWS(_xlfn.STOCKHISTORY(A5,TODAY()-5,TODAY(),0,0,1)),1),"")</f>
        <v>1867.31</v>
      </c>
      <c r="I5" s="64">
        <f t="shared" ca="1" si="0"/>
        <v>0.11267295110295428</v>
      </c>
      <c r="J5" s="65">
        <v>46309</v>
      </c>
      <c r="K5" s="59" t="s">
        <v>213</v>
      </c>
      <c r="L5" s="66"/>
      <c r="M5" s="59" t="s">
        <v>213</v>
      </c>
      <c r="N5" s="66"/>
      <c r="O5" s="67">
        <f t="shared" ca="1" si="1"/>
        <v>60</v>
      </c>
      <c r="P5" s="68" t="str">
        <f t="shared" ca="1" si="2"/>
        <v>Monitor Only</v>
      </c>
      <c r="Q5" s="66"/>
    </row>
    <row r="6" spans="1:17" ht="15" customHeight="1" x14ac:dyDescent="0.2">
      <c r="A6" s="58" t="s">
        <v>104</v>
      </c>
      <c r="B6" s="59" t="s">
        <v>211</v>
      </c>
      <c r="C6" s="60">
        <v>46240</v>
      </c>
      <c r="D6" s="59">
        <v>70.400000000000006</v>
      </c>
      <c r="E6" s="59">
        <v>4</v>
      </c>
      <c r="F6" s="61" t="s">
        <v>216</v>
      </c>
      <c r="G6" s="62">
        <v>211.22</v>
      </c>
      <c r="H6" s="63" vm="4">
        <f t="array" aca="1" ref="H6" ca="1">IFERROR(INDEX(_xlfn.STOCKHISTORY(A6,TODAY()-5,TODAY(),0,0,1),ROWS(_xlfn.STOCKHISTORY(A6,TODAY()-5,TODAY(),0,0,1)),1),"")</f>
        <v>270.04000000000002</v>
      </c>
      <c r="I6" s="64">
        <f t="shared" ca="1" si="0"/>
        <v>0.27847741691127736</v>
      </c>
      <c r="J6" s="65">
        <v>46357</v>
      </c>
      <c r="K6" s="59" t="s">
        <v>214</v>
      </c>
      <c r="L6" s="66" t="s">
        <v>217</v>
      </c>
      <c r="M6" s="59" t="s">
        <v>213</v>
      </c>
      <c r="N6" s="66"/>
      <c r="O6" s="67">
        <f t="shared" ca="1" si="1"/>
        <v>60</v>
      </c>
      <c r="P6" s="68" t="str">
        <f t="shared" ca="1" si="2"/>
        <v>DUE — PRICE MOVE ±20%</v>
      </c>
      <c r="Q6" s="66"/>
    </row>
    <row r="7" spans="1:17" ht="15" customHeight="1" x14ac:dyDescent="0.2">
      <c r="A7" s="58" t="s">
        <v>106</v>
      </c>
      <c r="B7" s="59" t="s">
        <v>211</v>
      </c>
      <c r="C7" s="60">
        <v>46240</v>
      </c>
      <c r="D7" s="59">
        <v>68.599999999999994</v>
      </c>
      <c r="E7" s="59">
        <v>3.43</v>
      </c>
      <c r="F7" s="61" t="s">
        <v>216</v>
      </c>
      <c r="G7" s="62">
        <v>192.8</v>
      </c>
      <c r="H7" s="63" vm="5">
        <f t="array" aca="1" ref="H7" ca="1">IFERROR(INDEX(_xlfn.STOCKHISTORY(A7,TODAY()-5,TODAY(),0,0,1),ROWS(_xlfn.STOCKHISTORY(A7,TODAY()-5,TODAY(),0,0,1)),1),"")</f>
        <v>206.89</v>
      </c>
      <c r="I7" s="64">
        <f t="shared" ca="1" si="0"/>
        <v>7.3080912863070502E-2</v>
      </c>
      <c r="J7" s="65">
        <v>46323</v>
      </c>
      <c r="K7" s="59" t="s">
        <v>214</v>
      </c>
      <c r="L7" s="66" t="s">
        <v>218</v>
      </c>
      <c r="M7" s="59" t="s">
        <v>213</v>
      </c>
      <c r="N7" s="66"/>
      <c r="O7" s="67">
        <f t="shared" ca="1" si="1"/>
        <v>60</v>
      </c>
      <c r="P7" s="68" t="str">
        <f t="shared" ca="1" si="2"/>
        <v>DUE — INSIDER ACTIVITY</v>
      </c>
      <c r="Q7" s="66"/>
    </row>
    <row r="8" spans="1:17" ht="15" customHeight="1" x14ac:dyDescent="0.2">
      <c r="A8" s="58" t="s">
        <v>108</v>
      </c>
      <c r="B8" s="59" t="s">
        <v>211</v>
      </c>
      <c r="C8" s="60">
        <v>46240</v>
      </c>
      <c r="D8" s="59">
        <v>71.8</v>
      </c>
      <c r="E8" s="59">
        <v>3.64</v>
      </c>
      <c r="F8" s="61" t="s">
        <v>216</v>
      </c>
      <c r="G8" s="62">
        <v>893.19</v>
      </c>
      <c r="H8" s="63" vm="6">
        <f t="array" aca="1" ref="H8" ca="1">IFERROR(INDEX(_xlfn.STOCKHISTORY(A8,TODAY()-5,TODAY(),0,0,1),ROWS(_xlfn.STOCKHISTORY(A8,TODAY()-5,TODAY(),0,0,1)),1),"")</f>
        <v>1074.8900000000001</v>
      </c>
      <c r="I8" s="64">
        <f t="shared" ca="1" si="0"/>
        <v>0.2034281619812135</v>
      </c>
      <c r="J8" s="65">
        <v>46379</v>
      </c>
      <c r="K8" s="59" t="s">
        <v>214</v>
      </c>
      <c r="L8" s="66" t="s">
        <v>219</v>
      </c>
      <c r="M8" s="59" t="s">
        <v>213</v>
      </c>
      <c r="N8" s="66"/>
      <c r="O8" s="67">
        <f t="shared" ca="1" si="1"/>
        <v>60</v>
      </c>
      <c r="P8" s="68" t="str">
        <f t="shared" ca="1" si="2"/>
        <v>DUE — PRICE MOVE ±20%</v>
      </c>
      <c r="Q8" s="66"/>
    </row>
    <row r="9" spans="1:17" ht="15" customHeight="1" x14ac:dyDescent="0.2">
      <c r="A9" s="58" t="s">
        <v>110</v>
      </c>
      <c r="B9" s="59" t="s">
        <v>211</v>
      </c>
      <c r="C9" s="60">
        <v>46240</v>
      </c>
      <c r="D9" s="59">
        <v>93.2</v>
      </c>
      <c r="E9" s="59">
        <v>4.57</v>
      </c>
      <c r="F9" s="61" t="s">
        <v>212</v>
      </c>
      <c r="G9" s="62">
        <v>211.87</v>
      </c>
      <c r="H9" s="63" vm="7">
        <f t="array" aca="1" ref="H9" ca="1">IFERROR(INDEX(_xlfn.STOCKHISTORY(A9,TODAY()-5,TODAY(),0,0,1),ROWS(_xlfn.STOCKHISTORY(A9,TODAY()-5,TODAY(),0,0,1)),1),"")</f>
        <v>233.95</v>
      </c>
      <c r="I9" s="64">
        <f t="shared" ca="1" si="0"/>
        <v>0.10421484872799347</v>
      </c>
      <c r="J9" s="65">
        <v>46343</v>
      </c>
      <c r="K9" s="59" t="s">
        <v>214</v>
      </c>
      <c r="L9" s="66" t="s">
        <v>220</v>
      </c>
      <c r="M9" s="59" t="s">
        <v>213</v>
      </c>
      <c r="N9" s="66"/>
      <c r="O9" s="67">
        <f t="shared" ca="1" si="1"/>
        <v>60</v>
      </c>
      <c r="P9" s="68" t="str">
        <f t="shared" ca="1" si="2"/>
        <v>DUE — INSIDER ACTIVITY</v>
      </c>
      <c r="Q9" s="66"/>
    </row>
    <row r="10" spans="1:17" ht="15" customHeight="1" x14ac:dyDescent="0.2">
      <c r="A10" s="58" t="s">
        <v>112</v>
      </c>
      <c r="B10" s="59" t="s">
        <v>211</v>
      </c>
      <c r="C10" s="60">
        <v>46240</v>
      </c>
      <c r="D10" s="59">
        <v>75.2</v>
      </c>
      <c r="E10" s="59">
        <v>4</v>
      </c>
      <c r="F10" s="61" t="s">
        <v>216</v>
      </c>
      <c r="G10" s="62">
        <v>162.66</v>
      </c>
      <c r="H10" s="63" vm="8">
        <f t="array" aca="1" ref="H10" ca="1">IFERROR(INDEX(_xlfn.STOCKHISTORY(A10,TODAY()-5,TODAY(),0,0,1),ROWS(_xlfn.STOCKHISTORY(A10,TODAY()-5,TODAY(),0,0,1)),1),"")</f>
        <v>188.75</v>
      </c>
      <c r="I10" s="64">
        <f t="shared" ca="1" si="0"/>
        <v>0.16039591786548635</v>
      </c>
      <c r="J10" s="65">
        <v>46328</v>
      </c>
      <c r="K10" s="59" t="s">
        <v>214</v>
      </c>
      <c r="L10" s="66" t="s">
        <v>221</v>
      </c>
      <c r="M10" s="59" t="s">
        <v>213</v>
      </c>
      <c r="N10" s="66"/>
      <c r="O10" s="67">
        <f t="shared" ca="1" si="1"/>
        <v>60</v>
      </c>
      <c r="P10" s="68" t="str">
        <f t="shared" ca="1" si="2"/>
        <v>DUE — INSIDER ACTIVITY</v>
      </c>
      <c r="Q10" s="66"/>
    </row>
    <row r="11" spans="1:17" ht="15" customHeight="1" x14ac:dyDescent="0.2">
      <c r="A11" s="58" t="s">
        <v>114</v>
      </c>
      <c r="B11" s="59" t="s">
        <v>211</v>
      </c>
      <c r="C11" s="60">
        <v>46240</v>
      </c>
      <c r="D11" s="59">
        <v>81</v>
      </c>
      <c r="E11" s="59">
        <v>4</v>
      </c>
      <c r="F11" s="61" t="s">
        <v>212</v>
      </c>
      <c r="G11" s="62">
        <v>414</v>
      </c>
      <c r="H11" s="63" vm="9">
        <f t="array" aca="1" ref="H11" ca="1">IFERROR(INDEX(_xlfn.STOCKHISTORY(A11,TODAY()-5,TODAY(),0,0,1),ROWS(_xlfn.STOCKHISTORY(A11,TODAY()-5,TODAY(),0,0,1)),1),"")</f>
        <v>472.78</v>
      </c>
      <c r="I11" s="64">
        <f t="shared" ca="1" si="0"/>
        <v>0.14198067632850231</v>
      </c>
      <c r="J11" s="65">
        <v>46310</v>
      </c>
      <c r="K11" s="59" t="s">
        <v>214</v>
      </c>
      <c r="L11" s="66" t="s">
        <v>222</v>
      </c>
      <c r="M11" s="59" t="s">
        <v>213</v>
      </c>
      <c r="N11" s="66"/>
      <c r="O11" s="67">
        <f t="shared" ca="1" si="1"/>
        <v>60</v>
      </c>
      <c r="P11" s="68" t="str">
        <f t="shared" ca="1" si="2"/>
        <v>DUE — INSIDER ACTIVITY</v>
      </c>
      <c r="Q11" s="66"/>
    </row>
    <row r="12" spans="1:17" ht="15" customHeight="1" x14ac:dyDescent="0.2">
      <c r="A12" s="58" t="s">
        <v>116</v>
      </c>
      <c r="B12" s="59" t="s">
        <v>211</v>
      </c>
      <c r="C12" s="60">
        <v>46240</v>
      </c>
      <c r="D12" s="59">
        <v>82.8</v>
      </c>
      <c r="E12" s="59">
        <v>4.3600000000000003</v>
      </c>
      <c r="F12" s="61" t="s">
        <v>212</v>
      </c>
      <c r="G12" s="62">
        <v>277.94</v>
      </c>
      <c r="H12" s="63" vm="10">
        <f t="array" aca="1" ref="H12" ca="1">IFERROR(INDEX(_xlfn.STOCKHISTORY(A12,TODAY()-5,TODAY(),0,0,1),ROWS(_xlfn.STOCKHISTORY(A12,TODAY()-5,TODAY(),0,0,1)),1),"")</f>
        <v>252.18</v>
      </c>
      <c r="I12" s="64">
        <f t="shared" ca="1" si="0"/>
        <v>-9.2681873785709135E-2</v>
      </c>
      <c r="J12" s="65">
        <v>46316</v>
      </c>
      <c r="K12" s="59" t="s">
        <v>214</v>
      </c>
      <c r="L12" s="66" t="s">
        <v>223</v>
      </c>
      <c r="M12" s="59" t="s">
        <v>213</v>
      </c>
      <c r="N12" s="66"/>
      <c r="O12" s="67">
        <f t="shared" ca="1" si="1"/>
        <v>60</v>
      </c>
      <c r="P12" s="68" t="str">
        <f t="shared" ca="1" si="2"/>
        <v>DUE — INSIDER ACTIVITY</v>
      </c>
      <c r="Q12" s="66"/>
    </row>
    <row r="13" spans="1:17" ht="15" customHeight="1" x14ac:dyDescent="0.2">
      <c r="A13" s="58" t="s">
        <v>165</v>
      </c>
      <c r="B13" s="59" t="s">
        <v>211</v>
      </c>
      <c r="C13" s="60">
        <v>46240</v>
      </c>
      <c r="D13" s="59">
        <v>80.8</v>
      </c>
      <c r="E13" s="59">
        <v>4.07</v>
      </c>
      <c r="F13" s="61" t="s">
        <v>212</v>
      </c>
      <c r="G13" s="62">
        <v>418.16</v>
      </c>
      <c r="H13" s="63" vm="14">
        <f t="array" aca="1" ref="H13" ca="1">IFERROR(INDEX(_xlfn.STOCKHISTORY(A13,TODAY()-5,TODAY(),0,0,1),ROWS(_xlfn.STOCKHISTORY(A13,TODAY()-5,TODAY(),0,0,1)),1),"")</f>
        <v>355.14</v>
      </c>
      <c r="I13" s="64">
        <f t="shared" ca="1" si="0"/>
        <v>-0.15070786301894024</v>
      </c>
      <c r="J13" s="65">
        <v>46365</v>
      </c>
      <c r="K13" s="59" t="s">
        <v>213</v>
      </c>
      <c r="L13" s="66"/>
      <c r="M13" s="59" t="s">
        <v>213</v>
      </c>
      <c r="N13" s="66"/>
      <c r="O13" s="67">
        <f t="shared" ca="1" si="1"/>
        <v>60</v>
      </c>
      <c r="P13" s="68" t="str">
        <f t="shared" ca="1" si="2"/>
        <v>WATCH — PRICE MOVE ±15%</v>
      </c>
      <c r="Q13" s="66"/>
    </row>
    <row r="14" spans="1:17" ht="15" customHeight="1" x14ac:dyDescent="0.2">
      <c r="A14" s="58" t="s">
        <v>170</v>
      </c>
      <c r="B14" s="59" t="s">
        <v>211</v>
      </c>
      <c r="C14" s="60">
        <v>46240</v>
      </c>
      <c r="D14" s="59">
        <v>82</v>
      </c>
      <c r="E14" s="59">
        <v>4.3600000000000003</v>
      </c>
      <c r="F14" s="61" t="s">
        <v>212</v>
      </c>
      <c r="G14" s="62">
        <v>139.06</v>
      </c>
      <c r="H14" s="63" vm="16">
        <f t="array" aca="1" ref="H14" ca="1">IFERROR(INDEX(_xlfn.STOCKHISTORY(A14,TODAY()-5,TODAY(),0,0,1),ROWS(_xlfn.STOCKHISTORY(A14,TODAY()-5,TODAY(),0,0,1)),1),"")</f>
        <v>128.91</v>
      </c>
      <c r="I14" s="64">
        <f t="shared" ca="1" si="0"/>
        <v>-7.2990076226089551E-2</v>
      </c>
      <c r="J14" s="65">
        <v>46310</v>
      </c>
      <c r="K14" s="59" t="s">
        <v>213</v>
      </c>
      <c r="L14" s="66"/>
      <c r="M14" s="59" t="s">
        <v>213</v>
      </c>
      <c r="N14" s="66"/>
      <c r="O14" s="67">
        <f t="shared" ca="1" si="1"/>
        <v>60</v>
      </c>
      <c r="P14" s="68" t="str">
        <f t="shared" ca="1" si="2"/>
        <v>Monitor Only</v>
      </c>
      <c r="Q14" s="66"/>
    </row>
    <row r="15" spans="1:17" ht="15" customHeight="1" x14ac:dyDescent="0.2">
      <c r="A15" s="58" t="s">
        <v>167</v>
      </c>
      <c r="B15" s="59" t="s">
        <v>211</v>
      </c>
      <c r="C15" s="60">
        <v>46241</v>
      </c>
      <c r="D15" s="59">
        <v>75.599999999999994</v>
      </c>
      <c r="E15" s="59">
        <v>3.79</v>
      </c>
      <c r="F15" s="61" t="s">
        <v>216</v>
      </c>
      <c r="G15" s="62">
        <v>478.7</v>
      </c>
      <c r="H15" s="63" vm="15">
        <f t="array" aca="1" ref="H15" ca="1">IFERROR(INDEX(_xlfn.STOCKHISTORY(A15,TODAY()-5,TODAY(),0,0,1),ROWS(_xlfn.STOCKHISTORY(A15,TODAY()-5,TODAY(),0,0,1)),1),"")</f>
        <v>504.73</v>
      </c>
      <c r="I15" s="64">
        <f t="shared" ca="1" si="0"/>
        <v>5.4376436181324372E-2</v>
      </c>
      <c r="J15" s="65">
        <v>46328</v>
      </c>
      <c r="K15" s="59" t="s">
        <v>213</v>
      </c>
      <c r="L15" s="66"/>
      <c r="M15" s="59" t="s">
        <v>213</v>
      </c>
      <c r="N15" s="66"/>
      <c r="O15" s="67">
        <f t="shared" ca="1" si="1"/>
        <v>59</v>
      </c>
      <c r="P15" s="68" t="str">
        <f t="shared" ca="1" si="2"/>
        <v>Monitor Only</v>
      </c>
      <c r="Q15" s="66" t="s">
        <v>224</v>
      </c>
    </row>
    <row r="16" spans="1:17" ht="15" customHeight="1" outlineLevel="1" x14ac:dyDescent="0.2">
      <c r="A16" s="58" t="s">
        <v>225</v>
      </c>
      <c r="B16" s="66" t="s">
        <v>226</v>
      </c>
      <c r="C16" s="60">
        <v>46246</v>
      </c>
      <c r="D16" s="59"/>
      <c r="E16" s="59">
        <v>1.36</v>
      </c>
      <c r="F16" s="61"/>
      <c r="G16" s="62">
        <v>53.52</v>
      </c>
      <c r="H16" s="63" vm="20">
        <f t="array" aca="1" ref="H16" ca="1">IFERROR(INDEX(_xlfn.STOCKHISTORY(A16,TODAY()-5,TODAY(),0,0,1),ROWS(_xlfn.STOCKHISTORY(A16,TODAY()-5,TODAY(),0,0,1)),1),"")</f>
        <v>38.68</v>
      </c>
      <c r="I16" s="64">
        <f t="shared" ca="1" si="0"/>
        <v>-0.27727952167414061</v>
      </c>
      <c r="J16" s="65">
        <v>46331</v>
      </c>
      <c r="K16" s="59" t="s">
        <v>213</v>
      </c>
      <c r="L16" s="66"/>
      <c r="M16" s="59" t="s">
        <v>213</v>
      </c>
      <c r="N16" s="66"/>
      <c r="O16" s="67">
        <f t="shared" ca="1" si="1"/>
        <v>54</v>
      </c>
      <c r="P16" s="68" t="str">
        <f t="shared" ca="1" si="2"/>
        <v>DUE — PRICE MOVE ±20%</v>
      </c>
      <c r="Q16" s="66"/>
    </row>
    <row r="17" spans="1:17" ht="15" customHeight="1" outlineLevel="1" x14ac:dyDescent="0.2">
      <c r="A17" s="58" t="s">
        <v>227</v>
      </c>
      <c r="B17" s="66" t="s">
        <v>226</v>
      </c>
      <c r="C17" s="60">
        <v>46246</v>
      </c>
      <c r="D17" s="59"/>
      <c r="E17" s="59">
        <v>2.79</v>
      </c>
      <c r="F17" s="61"/>
      <c r="G17" s="62">
        <v>125.22</v>
      </c>
      <c r="H17" s="63" vm="21">
        <f t="array" aca="1" ref="H17" ca="1">IFERROR(INDEX(_xlfn.STOCKHISTORY(A17,TODAY()-5,TODAY(),0,0,1),ROWS(_xlfn.STOCKHISTORY(A17,TODAY()-5,TODAY(),0,0,1)),1),"")</f>
        <v>105.85</v>
      </c>
      <c r="I17" s="64">
        <f t="shared" ca="1" si="0"/>
        <v>-0.15468774956077302</v>
      </c>
      <c r="J17" s="65">
        <v>46350</v>
      </c>
      <c r="K17" s="59" t="s">
        <v>214</v>
      </c>
      <c r="L17" s="66" t="s">
        <v>228</v>
      </c>
      <c r="M17" s="59" t="s">
        <v>213</v>
      </c>
      <c r="N17" s="66"/>
      <c r="O17" s="67">
        <f t="shared" ca="1" si="1"/>
        <v>54</v>
      </c>
      <c r="P17" s="68" t="str">
        <f t="shared" ca="1" si="2"/>
        <v>DUE — INSIDER ACTIVITY</v>
      </c>
      <c r="Q17" s="66"/>
    </row>
    <row r="18" spans="1:17" ht="15" customHeight="1" outlineLevel="1" x14ac:dyDescent="0.2">
      <c r="A18" s="58" t="s">
        <v>229</v>
      </c>
      <c r="B18" s="66" t="s">
        <v>226</v>
      </c>
      <c r="C18" s="60">
        <v>46245</v>
      </c>
      <c r="D18" s="59"/>
      <c r="E18" s="59">
        <v>1.79</v>
      </c>
      <c r="F18" s="61"/>
      <c r="G18" s="62">
        <v>44.84</v>
      </c>
      <c r="H18" s="63" vm="22">
        <f t="array" aca="1" ref="H18" ca="1">IFERROR(INDEX(_xlfn.STOCKHISTORY(A18,TODAY()-5,TODAY(),0,0,1),ROWS(_xlfn.STOCKHISTORY(A18,TODAY()-5,TODAY(),0,0,1)),1),"")</f>
        <v>44.19</v>
      </c>
      <c r="I18" s="64">
        <f t="shared" ca="1" si="0"/>
        <v>-1.4495985727029592E-2</v>
      </c>
      <c r="J18" s="65">
        <v>46328</v>
      </c>
      <c r="K18" s="59" t="s">
        <v>213</v>
      </c>
      <c r="L18" s="66"/>
      <c r="M18" s="59" t="s">
        <v>213</v>
      </c>
      <c r="N18" s="66"/>
      <c r="O18" s="67">
        <f t="shared" ca="1" si="1"/>
        <v>55</v>
      </c>
      <c r="P18" s="68" t="str">
        <f t="shared" ca="1" si="2"/>
        <v>Monitor Only</v>
      </c>
      <c r="Q18" s="66"/>
    </row>
    <row r="19" spans="1:17" ht="15" customHeight="1" outlineLevel="1" x14ac:dyDescent="0.2">
      <c r="A19" s="58" t="s">
        <v>230</v>
      </c>
      <c r="B19" s="66" t="s">
        <v>226</v>
      </c>
      <c r="C19" s="60">
        <v>46245</v>
      </c>
      <c r="D19" s="59"/>
      <c r="E19" s="59">
        <v>1.86</v>
      </c>
      <c r="F19" s="61"/>
      <c r="G19" s="62">
        <v>12.41</v>
      </c>
      <c r="H19" s="63" vm="23">
        <f t="array" aca="1" ref="H19" ca="1">IFERROR(INDEX(_xlfn.STOCKHISTORY(A19,TODAY()-5,TODAY(),0,0,1),ROWS(_xlfn.STOCKHISTORY(A19,TODAY()-5,TODAY(),0,0,1)),1),"")</f>
        <v>11.32</v>
      </c>
      <c r="I19" s="64">
        <f t="shared" ca="1" si="0"/>
        <v>-8.7832393231265127E-2</v>
      </c>
      <c r="J19" s="65">
        <v>46314</v>
      </c>
      <c r="K19" s="59" t="s">
        <v>213</v>
      </c>
      <c r="L19" s="66"/>
      <c r="M19" s="59" t="s">
        <v>213</v>
      </c>
      <c r="N19" s="66"/>
      <c r="O19" s="67">
        <f t="shared" ca="1" si="1"/>
        <v>55</v>
      </c>
      <c r="P19" s="68" t="str">
        <f t="shared" ca="1" si="2"/>
        <v>Monitor Only</v>
      </c>
      <c r="Q19" s="66"/>
    </row>
    <row r="20" spans="1:17" ht="15" customHeight="1" x14ac:dyDescent="0.2">
      <c r="A20" s="58" t="s">
        <v>231</v>
      </c>
      <c r="B20" s="69" t="s">
        <v>232</v>
      </c>
      <c r="C20" s="60">
        <v>46245</v>
      </c>
      <c r="D20" s="59"/>
      <c r="E20" s="59">
        <v>3.71</v>
      </c>
      <c r="F20" s="61"/>
      <c r="G20" s="62">
        <v>32</v>
      </c>
      <c r="H20" s="63" vm="24">
        <f t="array" aca="1" ref="H20" ca="1">IFERROR(INDEX(_xlfn.STOCKHISTORY(A20,TODAY()-5,TODAY(),0,0,1),ROWS(_xlfn.STOCKHISTORY(A20,TODAY()-5,TODAY(),0,0,1)),1),"")</f>
        <v>32.36</v>
      </c>
      <c r="I20" s="64">
        <f t="shared" ca="1" si="0"/>
        <v>1.1249999999999982E-2</v>
      </c>
      <c r="J20" s="65">
        <v>46323</v>
      </c>
      <c r="K20" s="59" t="s">
        <v>213</v>
      </c>
      <c r="L20" s="66"/>
      <c r="M20" s="59" t="s">
        <v>213</v>
      </c>
      <c r="N20" s="66"/>
      <c r="O20" s="67">
        <f t="shared" ca="1" si="1"/>
        <v>55</v>
      </c>
      <c r="P20" s="68" t="str">
        <f t="shared" ca="1" si="2"/>
        <v>Monitor Only</v>
      </c>
      <c r="Q20" s="66"/>
    </row>
    <row r="21" spans="1:17" ht="15" customHeight="1" x14ac:dyDescent="0.2">
      <c r="A21" s="58" t="s">
        <v>233</v>
      </c>
      <c r="B21" s="69" t="s">
        <v>232</v>
      </c>
      <c r="C21" s="60">
        <v>46245</v>
      </c>
      <c r="D21" s="59">
        <v>77.400000000000006</v>
      </c>
      <c r="E21" s="59">
        <v>4.1399999999999997</v>
      </c>
      <c r="F21" s="61" t="s">
        <v>216</v>
      </c>
      <c r="G21" s="62">
        <v>944.32</v>
      </c>
      <c r="H21" s="63" vm="25">
        <f t="array" aca="1" ref="H21" ca="1">IFERROR(INDEX(_xlfn.STOCKHISTORY(A21,TODAY()-5,TODAY(),0,0,1),ROWS(_xlfn.STOCKHISTORY(A21,TODAY()-5,TODAY(),0,0,1)),1),"")</f>
        <v>920.65</v>
      </c>
      <c r="I21" s="64">
        <f t="shared" ca="1" si="0"/>
        <v>-2.5065655709928913E-2</v>
      </c>
      <c r="J21" s="65">
        <v>46366</v>
      </c>
      <c r="K21" s="59" t="s">
        <v>213</v>
      </c>
      <c r="L21" s="66"/>
      <c r="M21" s="59" t="s">
        <v>213</v>
      </c>
      <c r="N21" s="66"/>
      <c r="O21" s="67">
        <f t="shared" ca="1" si="1"/>
        <v>55</v>
      </c>
      <c r="P21" s="68" t="str">
        <f t="shared" ca="1" si="2"/>
        <v>Monitor Only</v>
      </c>
      <c r="Q21" s="66"/>
    </row>
    <row r="22" spans="1:17" ht="15" customHeight="1" outlineLevel="1" x14ac:dyDescent="0.2">
      <c r="A22" s="58" t="s">
        <v>234</v>
      </c>
      <c r="B22" s="70" t="s">
        <v>226</v>
      </c>
      <c r="C22" s="60">
        <v>46245</v>
      </c>
      <c r="D22" s="59"/>
      <c r="E22" s="59">
        <v>1.21</v>
      </c>
      <c r="F22" s="61"/>
      <c r="G22" s="62">
        <v>14.39</v>
      </c>
      <c r="H22" s="63" vm="26">
        <f t="array" aca="1" ref="H22" ca="1">IFERROR(INDEX(_xlfn.STOCKHISTORY(A22,TODAY()-5,TODAY(),0,0,1),ROWS(_xlfn.STOCKHISTORY(A22,TODAY()-5,TODAY(),0,0,1)),1),"")</f>
        <v>12.78</v>
      </c>
      <c r="I22" s="64">
        <f t="shared" ca="1" si="0"/>
        <v>-0.11188325225851292</v>
      </c>
      <c r="J22" s="65">
        <v>46328</v>
      </c>
      <c r="K22" s="59" t="s">
        <v>213</v>
      </c>
      <c r="L22" s="66"/>
      <c r="M22" s="59" t="s">
        <v>213</v>
      </c>
      <c r="N22" s="66"/>
      <c r="O22" s="67">
        <f t="shared" ca="1" si="1"/>
        <v>55</v>
      </c>
      <c r="P22" s="68" t="str">
        <f t="shared" ca="1" si="2"/>
        <v>Monitor Only</v>
      </c>
      <c r="Q22" s="66"/>
    </row>
    <row r="23" spans="1:17" ht="15" customHeight="1" outlineLevel="1" x14ac:dyDescent="0.2">
      <c r="A23" s="58" t="s">
        <v>235</v>
      </c>
      <c r="B23" s="70" t="s">
        <v>226</v>
      </c>
      <c r="C23" s="60">
        <v>46245</v>
      </c>
      <c r="D23" s="59"/>
      <c r="E23" s="59">
        <v>2.36</v>
      </c>
      <c r="F23" s="61"/>
      <c r="G23" s="62">
        <v>94.94</v>
      </c>
      <c r="H23" s="63" vm="27">
        <f t="array" aca="1" ref="H23" ca="1">IFERROR(INDEX(_xlfn.STOCKHISTORY(A23,TODAY()-5,TODAY(),0,0,1),ROWS(_xlfn.STOCKHISTORY(A23,TODAY()-5,TODAY(),0,0,1)),1),"")</f>
        <v>84.75</v>
      </c>
      <c r="I23" s="64">
        <f t="shared" ca="1" si="0"/>
        <v>-0.10733094586054348</v>
      </c>
      <c r="J23" s="65">
        <v>46240</v>
      </c>
      <c r="K23" s="59" t="s">
        <v>213</v>
      </c>
      <c r="L23" s="66"/>
      <c r="M23" s="59" t="s">
        <v>213</v>
      </c>
      <c r="N23" s="66"/>
      <c r="O23" s="67">
        <f t="shared" ca="1" si="1"/>
        <v>55</v>
      </c>
      <c r="P23" s="68" t="str">
        <f t="shared" ca="1" si="2"/>
        <v>Monitor Only</v>
      </c>
      <c r="Q23" s="66"/>
    </row>
    <row r="24" spans="1:17" ht="15" customHeight="1" outlineLevel="1" x14ac:dyDescent="0.2">
      <c r="A24" s="58" t="s">
        <v>236</v>
      </c>
      <c r="B24" s="70" t="s">
        <v>226</v>
      </c>
      <c r="C24" s="60">
        <v>46258</v>
      </c>
      <c r="D24" s="59"/>
      <c r="E24" s="59">
        <v>2.93</v>
      </c>
      <c r="F24" s="61"/>
      <c r="G24" s="62">
        <v>110.61</v>
      </c>
      <c r="H24" s="63" vm="28">
        <f t="array" aca="1" ref="H24" ca="1">IFERROR(INDEX(_xlfn.STOCKHISTORY(A24,TODAY()-5,TODAY(),0,0,1),ROWS(_xlfn.STOCKHISTORY(A24,TODAY()-5,TODAY(),0,0,1)),1),"")</f>
        <v>102.19</v>
      </c>
      <c r="I24" s="64">
        <f t="shared" ca="1" si="0"/>
        <v>-7.6123316155862986E-2</v>
      </c>
      <c r="J24" s="65">
        <v>46338</v>
      </c>
      <c r="K24" s="59" t="s">
        <v>214</v>
      </c>
      <c r="L24" s="66" t="s">
        <v>237</v>
      </c>
      <c r="M24" s="59" t="s">
        <v>213</v>
      </c>
      <c r="N24" s="66"/>
      <c r="O24" s="67">
        <f t="shared" ca="1" si="1"/>
        <v>42</v>
      </c>
      <c r="P24" s="68" t="str">
        <f t="shared" ca="1" si="2"/>
        <v>DUE — INSIDER ACTIVITY</v>
      </c>
      <c r="Q24" s="66"/>
    </row>
    <row r="25" spans="1:17" ht="15" customHeight="1" x14ac:dyDescent="0.2">
      <c r="A25" s="58" t="s">
        <v>238</v>
      </c>
      <c r="B25" s="69" t="s">
        <v>232</v>
      </c>
      <c r="C25" s="60">
        <v>46245</v>
      </c>
      <c r="D25" s="59"/>
      <c r="E25" s="59">
        <v>4.8600000000000003</v>
      </c>
      <c r="F25" s="61"/>
      <c r="G25" s="62">
        <v>357.34</v>
      </c>
      <c r="H25" s="63" vm="29">
        <f t="array" aca="1" ref="H25" ca="1">IFERROR(INDEX(_xlfn.STOCKHISTORY(A25,TODAY()-5,TODAY(),0,0,1),ROWS(_xlfn.STOCKHISTORY(A25,TODAY()-5,TODAY(),0,0,1)),1),"")</f>
        <v>297.61500000000001</v>
      </c>
      <c r="I25" s="64">
        <f t="shared" ca="1" si="0"/>
        <v>-0.16713773996753789</v>
      </c>
      <c r="J25" s="65">
        <v>46308</v>
      </c>
      <c r="K25" s="59" t="s">
        <v>213</v>
      </c>
      <c r="L25" s="66"/>
      <c r="M25" s="59" t="s">
        <v>213</v>
      </c>
      <c r="N25" s="66"/>
      <c r="O25" s="67">
        <f t="shared" ca="1" si="1"/>
        <v>55</v>
      </c>
      <c r="P25" s="68" t="str">
        <f t="shared" ca="1" si="2"/>
        <v>WATCH — PRICE MOVE ±15%</v>
      </c>
      <c r="Q25" s="66"/>
    </row>
    <row r="26" spans="1:17" ht="15" customHeight="1" outlineLevel="1" x14ac:dyDescent="0.2">
      <c r="A26" s="58" t="s">
        <v>239</v>
      </c>
      <c r="B26" s="70" t="s">
        <v>226</v>
      </c>
      <c r="C26" s="60">
        <v>46245</v>
      </c>
      <c r="D26" s="59"/>
      <c r="E26" s="59">
        <v>2.14</v>
      </c>
      <c r="F26" s="61"/>
      <c r="G26" s="62">
        <v>87.78</v>
      </c>
      <c r="H26" s="63" vm="30">
        <f t="array" aca="1" ref="H26" ca="1">IFERROR(INDEX(_xlfn.STOCKHISTORY(A26,TODAY()-5,TODAY(),0,0,1),ROWS(_xlfn.STOCKHISTORY(A26,TODAY()-5,TODAY(),0,0,1)),1),"")</f>
        <v>91.97</v>
      </c>
      <c r="I26" s="64">
        <f t="shared" ca="1" si="0"/>
        <v>4.7732968785600294E-2</v>
      </c>
      <c r="J26" s="65">
        <v>46328</v>
      </c>
      <c r="K26" s="59" t="s">
        <v>214</v>
      </c>
      <c r="L26" s="66" t="s">
        <v>240</v>
      </c>
      <c r="M26" s="59" t="s">
        <v>213</v>
      </c>
      <c r="N26" s="66"/>
      <c r="O26" s="67">
        <f t="shared" ca="1" si="1"/>
        <v>55</v>
      </c>
      <c r="P26" s="68" t="str">
        <f t="shared" ca="1" si="2"/>
        <v>DUE — INSIDER ACTIVITY</v>
      </c>
      <c r="Q26" s="66"/>
    </row>
    <row r="27" spans="1:17" ht="15" customHeight="1" x14ac:dyDescent="0.2">
      <c r="A27" s="58" t="s">
        <v>241</v>
      </c>
      <c r="B27" s="69" t="s">
        <v>232</v>
      </c>
      <c r="C27" s="60">
        <v>46276</v>
      </c>
      <c r="D27" s="59"/>
      <c r="E27" s="59">
        <v>3.07</v>
      </c>
      <c r="F27" s="61"/>
      <c r="G27" s="62">
        <v>20.78</v>
      </c>
      <c r="H27" s="63" vm="31">
        <f t="array" aca="1" ref="H27" ca="1">IFERROR(INDEX(_xlfn.STOCKHISTORY(A27,TODAY()-5,TODAY(),0,0,1),ROWS(_xlfn.STOCKHISTORY(A27,TODAY()-5,TODAY(),0,0,1)),1),"")</f>
        <v>20.47</v>
      </c>
      <c r="I27" s="64">
        <f t="shared" ca="1" si="0"/>
        <v>-1.4918190567853817E-2</v>
      </c>
      <c r="J27" s="65">
        <v>46329</v>
      </c>
      <c r="K27" s="59" t="s">
        <v>214</v>
      </c>
      <c r="L27" s="66" t="s">
        <v>242</v>
      </c>
      <c r="M27" s="59" t="s">
        <v>213</v>
      </c>
      <c r="N27" s="66"/>
      <c r="O27" s="67">
        <f t="shared" ca="1" si="1"/>
        <v>24</v>
      </c>
      <c r="P27" s="68" t="str">
        <f t="shared" ca="1" si="2"/>
        <v>DUE — INSIDER ACTIVITY</v>
      </c>
      <c r="Q27" s="66"/>
    </row>
    <row r="28" spans="1:17" ht="15" customHeight="1" x14ac:dyDescent="0.2">
      <c r="A28" s="58" t="s">
        <v>243</v>
      </c>
      <c r="B28" s="69" t="s">
        <v>232</v>
      </c>
      <c r="C28" s="60">
        <v>46247</v>
      </c>
      <c r="D28" s="59"/>
      <c r="E28" s="59">
        <v>3.5</v>
      </c>
      <c r="F28" s="61"/>
      <c r="G28" s="62">
        <v>453.33</v>
      </c>
      <c r="H28" s="63" vm="32">
        <f t="array" aca="1" ref="H28" ca="1">IFERROR(INDEX(_xlfn.STOCKHISTORY(A28,TODAY()-5,TODAY(),0,0,1),ROWS(_xlfn.STOCKHISTORY(A28,TODAY()-5,TODAY(),0,0,1)),1),"")</f>
        <v>436.11</v>
      </c>
      <c r="I28" s="64">
        <f t="shared" ca="1" si="0"/>
        <v>-3.7985573423333974E-2</v>
      </c>
      <c r="J28" s="65">
        <v>46329</v>
      </c>
      <c r="K28" s="59" t="s">
        <v>214</v>
      </c>
      <c r="L28" s="66" t="s">
        <v>244</v>
      </c>
      <c r="M28" s="59" t="s">
        <v>213</v>
      </c>
      <c r="N28" s="66"/>
      <c r="O28" s="67">
        <f t="shared" ca="1" si="1"/>
        <v>53</v>
      </c>
      <c r="P28" s="68" t="str">
        <f t="shared" ca="1" si="2"/>
        <v>DUE — INSIDER ACTIVITY</v>
      </c>
      <c r="Q28" s="66"/>
    </row>
    <row r="29" spans="1:17" ht="15" customHeight="1" x14ac:dyDescent="0.2">
      <c r="A29" s="58" t="s">
        <v>245</v>
      </c>
      <c r="B29" s="69" t="s">
        <v>232</v>
      </c>
      <c r="C29" s="60">
        <v>46246</v>
      </c>
      <c r="D29" s="59"/>
      <c r="E29" s="59">
        <v>3.43</v>
      </c>
      <c r="F29" s="61"/>
      <c r="G29" s="62">
        <v>79.63</v>
      </c>
      <c r="H29" s="63" vm="33">
        <f t="array" aca="1" ref="H29" ca="1">IFERROR(INDEX(_xlfn.STOCKHISTORY(A29,TODAY()-5,TODAY(),0,0,1),ROWS(_xlfn.STOCKHISTORY(A29,TODAY()-5,TODAY(),0,0,1)),1),"")</f>
        <v>72.77</v>
      </c>
      <c r="I29" s="64">
        <f t="shared" ca="1" si="0"/>
        <v>-8.6148436518899918E-2</v>
      </c>
      <c r="J29" s="65">
        <v>46330</v>
      </c>
      <c r="K29" s="59" t="s">
        <v>214</v>
      </c>
      <c r="L29" s="66" t="s">
        <v>246</v>
      </c>
      <c r="M29" s="59" t="s">
        <v>213</v>
      </c>
      <c r="N29" s="66"/>
      <c r="O29" s="67">
        <f t="shared" ca="1" si="1"/>
        <v>54</v>
      </c>
      <c r="P29" s="68" t="str">
        <f t="shared" ca="1" si="2"/>
        <v>DUE — INSIDER ACTIVITY</v>
      </c>
      <c r="Q29" s="66"/>
    </row>
    <row r="30" spans="1:17" ht="15" customHeight="1" x14ac:dyDescent="0.2">
      <c r="A30" s="58" t="s">
        <v>140</v>
      </c>
      <c r="B30" s="69" t="s">
        <v>211</v>
      </c>
      <c r="C30" s="60">
        <v>46247</v>
      </c>
      <c r="D30" s="59"/>
      <c r="E30" s="59">
        <v>3.86</v>
      </c>
      <c r="F30" s="61"/>
      <c r="G30" s="62">
        <v>360.64</v>
      </c>
      <c r="H30" s="63" vm="12">
        <f t="array" aca="1" ref="H30" ca="1">IFERROR(INDEX(_xlfn.STOCKHISTORY(A30,TODAY()-5,TODAY(),0,0,1),ROWS(_xlfn.STOCKHISTORY(A30,TODAY()-5,TODAY(),0,0,1)),1),"")</f>
        <v>309.56</v>
      </c>
      <c r="I30" s="64">
        <f t="shared" ca="1" si="0"/>
        <v>-0.141637089618456</v>
      </c>
      <c r="J30" s="65">
        <v>46315</v>
      </c>
      <c r="K30" s="59" t="s">
        <v>214</v>
      </c>
      <c r="L30" s="66" t="s">
        <v>247</v>
      </c>
      <c r="M30" s="59" t="s">
        <v>213</v>
      </c>
      <c r="N30" s="66"/>
      <c r="O30" s="67">
        <f t="shared" ca="1" si="1"/>
        <v>53</v>
      </c>
      <c r="P30" s="68" t="str">
        <f t="shared" ca="1" si="2"/>
        <v>DUE — INSIDER ACTIVITY</v>
      </c>
      <c r="Q30" s="66"/>
    </row>
    <row r="31" spans="1:17" ht="15" customHeight="1" outlineLevel="1" x14ac:dyDescent="0.2">
      <c r="A31" s="58" t="s">
        <v>248</v>
      </c>
      <c r="B31" s="70" t="s">
        <v>226</v>
      </c>
      <c r="C31" s="60">
        <v>46246</v>
      </c>
      <c r="D31" s="59"/>
      <c r="E31" s="59">
        <v>2.5</v>
      </c>
      <c r="F31" s="61"/>
      <c r="G31" s="62">
        <v>8.64</v>
      </c>
      <c r="H31" s="63" vm="34">
        <f t="array" aca="1" ref="H31" ca="1">IFERROR(INDEX(_xlfn.STOCKHISTORY(A31,TODAY()-5,TODAY(),0,0,1),ROWS(_xlfn.STOCKHISTORY(A31,TODAY()-5,TODAY(),0,0,1)),1),"")</f>
        <v>7.66</v>
      </c>
      <c r="I31" s="64">
        <f t="shared" ca="1" si="0"/>
        <v>-0.11342592592592593</v>
      </c>
      <c r="J31" s="65">
        <v>46331</v>
      </c>
      <c r="K31" s="59" t="s">
        <v>213</v>
      </c>
      <c r="L31" s="66"/>
      <c r="M31" s="59"/>
      <c r="N31" s="66"/>
      <c r="O31" s="67">
        <f t="shared" ca="1" si="1"/>
        <v>54</v>
      </c>
      <c r="P31" s="68" t="str">
        <f t="shared" ca="1" si="2"/>
        <v>Monitor Only</v>
      </c>
      <c r="Q31" s="66"/>
    </row>
    <row r="32" spans="1:17" ht="15" customHeight="1" outlineLevel="1" x14ac:dyDescent="0.2">
      <c r="A32" s="58" t="s">
        <v>249</v>
      </c>
      <c r="B32" s="70" t="s">
        <v>226</v>
      </c>
      <c r="C32" s="60">
        <v>46245</v>
      </c>
      <c r="D32" s="59"/>
      <c r="E32" s="59">
        <v>1.93</v>
      </c>
      <c r="F32" s="61"/>
      <c r="G32" s="62">
        <v>24.3</v>
      </c>
      <c r="H32" s="63" vm="35">
        <f t="array" aca="1" ref="H32" ca="1">IFERROR(INDEX(_xlfn.STOCKHISTORY(A32,TODAY()-5,TODAY(),0,0,1),ROWS(_xlfn.STOCKHISTORY(A32,TODAY()-5,TODAY(),0,0,1)),1),"")</f>
        <v>20.25</v>
      </c>
      <c r="I32" s="64">
        <f t="shared" ca="1" si="0"/>
        <v>-0.16666666666666674</v>
      </c>
      <c r="J32" s="65">
        <v>46261</v>
      </c>
      <c r="K32" s="59" t="s">
        <v>213</v>
      </c>
      <c r="L32" s="66"/>
      <c r="M32" s="59" t="s">
        <v>213</v>
      </c>
      <c r="N32" s="66"/>
      <c r="O32" s="67">
        <f t="shared" ca="1" si="1"/>
        <v>55</v>
      </c>
      <c r="P32" s="68" t="str">
        <f t="shared" ca="1" si="2"/>
        <v>WATCH — PRICE MOVE ±15%</v>
      </c>
      <c r="Q32" s="66"/>
    </row>
    <row r="33" spans="1:17" ht="15" customHeight="1" outlineLevel="1" x14ac:dyDescent="0.2">
      <c r="A33" s="58" t="s">
        <v>250</v>
      </c>
      <c r="B33" s="70" t="s">
        <v>226</v>
      </c>
      <c r="C33" s="60">
        <v>46245</v>
      </c>
      <c r="D33" s="59"/>
      <c r="E33" s="59">
        <v>2.0699999999999998</v>
      </c>
      <c r="F33" s="61"/>
      <c r="G33" s="62">
        <v>21.48</v>
      </c>
      <c r="H33" s="63" vm="36">
        <f t="array" aca="1" ref="H33" ca="1">IFERROR(INDEX(_xlfn.STOCKHISTORY(A33,TODAY()-5,TODAY(),0,0,1),ROWS(_xlfn.STOCKHISTORY(A33,TODAY()-5,TODAY(),0,0,1)),1),"")</f>
        <v>19.309999999999999</v>
      </c>
      <c r="I33" s="64">
        <f t="shared" ca="1" si="0"/>
        <v>-0.10102420856610805</v>
      </c>
      <c r="J33" s="65">
        <v>46309</v>
      </c>
      <c r="K33" s="59" t="s">
        <v>214</v>
      </c>
      <c r="L33" s="66" t="s">
        <v>251</v>
      </c>
      <c r="M33" s="59" t="s">
        <v>213</v>
      </c>
      <c r="N33" s="66"/>
      <c r="O33" s="67">
        <f t="shared" ca="1" si="1"/>
        <v>55</v>
      </c>
      <c r="P33" s="68" t="str">
        <f t="shared" ca="1" si="2"/>
        <v>DUE — INSIDER ACTIVITY</v>
      </c>
      <c r="Q33" s="66"/>
    </row>
    <row r="34" spans="1:17" ht="15" customHeight="1" x14ac:dyDescent="0.2">
      <c r="A34" s="58" t="s">
        <v>252</v>
      </c>
      <c r="B34" s="69" t="s">
        <v>232</v>
      </c>
      <c r="C34" s="60">
        <v>46245</v>
      </c>
      <c r="D34" s="59"/>
      <c r="E34" s="59">
        <v>4.5</v>
      </c>
      <c r="F34" s="61"/>
      <c r="G34" s="62">
        <v>490.53</v>
      </c>
      <c r="H34" s="63" vm="37">
        <f t="array" aca="1" ref="H34" ca="1">IFERROR(INDEX(_xlfn.STOCKHISTORY(A34,TODAY()-5,TODAY(),0,0,1),ROWS(_xlfn.STOCKHISTORY(A34,TODAY()-5,TODAY(),0,0,1)),1),"")</f>
        <v>0.44</v>
      </c>
      <c r="I34" s="64">
        <f t="shared" ca="1" si="0"/>
        <v>-0.9991030110288871</v>
      </c>
      <c r="J34" s="65">
        <v>46325</v>
      </c>
      <c r="K34" s="59" t="s">
        <v>214</v>
      </c>
      <c r="L34" s="66" t="s">
        <v>253</v>
      </c>
      <c r="M34" s="59" t="s">
        <v>213</v>
      </c>
      <c r="N34" s="66"/>
      <c r="O34" s="67">
        <f t="shared" ca="1" si="1"/>
        <v>55</v>
      </c>
      <c r="P34" s="68" t="str">
        <f t="shared" ca="1" si="2"/>
        <v>DUE — PRICE MOVE ±20%</v>
      </c>
      <c r="Q34" s="66"/>
    </row>
    <row r="35" spans="1:17" ht="15" customHeight="1" outlineLevel="1" x14ac:dyDescent="0.2">
      <c r="A35" s="58" t="s">
        <v>254</v>
      </c>
      <c r="B35" s="70" t="s">
        <v>226</v>
      </c>
      <c r="C35" s="60">
        <v>46245</v>
      </c>
      <c r="D35" s="59"/>
      <c r="E35" s="59">
        <v>2.5</v>
      </c>
      <c r="F35" s="61"/>
      <c r="G35" s="62">
        <v>85.74</v>
      </c>
      <c r="H35" s="63" vm="38">
        <f t="array" aca="1" ref="H35" ca="1">IFERROR(INDEX(_xlfn.STOCKHISTORY(A35,TODAY()-5,TODAY(),0,0,1),ROWS(_xlfn.STOCKHISTORY(A35,TODAY()-5,TODAY(),0,0,1)),1),"")</f>
        <v>76.83</v>
      </c>
      <c r="I35" s="64">
        <f t="shared" ref="I35:I66" ca="1" si="3">IF(OR(G35="",H35=""),"",H35/G35-1)</f>
        <v>-0.10391882435269417</v>
      </c>
      <c r="J35" s="65">
        <v>46322</v>
      </c>
      <c r="K35" s="59" t="s">
        <v>213</v>
      </c>
      <c r="L35" s="66"/>
      <c r="M35" s="59" t="s">
        <v>213</v>
      </c>
      <c r="N35" s="66"/>
      <c r="O35" s="67">
        <f t="shared" ref="O35:O51" ca="1" si="4">IF(C35="","",TODAY()-C35)</f>
        <v>55</v>
      </c>
      <c r="P35" s="68" t="str">
        <f t="shared" ref="P35:P66" ca="1" si="5">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6"/>
    </row>
    <row r="36" spans="1:17" ht="15" customHeight="1" x14ac:dyDescent="0.2">
      <c r="A36" s="58" t="s">
        <v>143</v>
      </c>
      <c r="B36" s="69" t="s">
        <v>211</v>
      </c>
      <c r="C36" s="60">
        <v>46258</v>
      </c>
      <c r="D36" s="59"/>
      <c r="E36" s="59">
        <v>4.21</v>
      </c>
      <c r="F36" s="61"/>
      <c r="G36" s="62">
        <v>80.010000000000005</v>
      </c>
      <c r="H36" s="63" vm="13">
        <f t="array" aca="1" ref="H36" ca="1">IFERROR(INDEX(_xlfn.STOCKHISTORY(A36,TODAY()-5,TODAY(),0,0,1),ROWS(_xlfn.STOCKHISTORY(A36,TODAY()-5,TODAY(),0,0,1)),1),"")</f>
        <v>67.06</v>
      </c>
      <c r="I36" s="64">
        <f t="shared" ca="1" si="3"/>
        <v>-0.16185476815398081</v>
      </c>
      <c r="J36" s="65">
        <v>46315</v>
      </c>
      <c r="K36" s="59" t="s">
        <v>214</v>
      </c>
      <c r="L36" s="66" t="s">
        <v>255</v>
      </c>
      <c r="M36" s="59" t="s">
        <v>213</v>
      </c>
      <c r="N36" s="66"/>
      <c r="O36" s="67">
        <f t="shared" ca="1" si="4"/>
        <v>42</v>
      </c>
      <c r="P36" s="68" t="str">
        <f t="shared" ca="1" si="5"/>
        <v>DUE — INSIDER ACTIVITY</v>
      </c>
      <c r="Q36" s="66"/>
    </row>
    <row r="37" spans="1:17" ht="15" customHeight="1" outlineLevel="1" x14ac:dyDescent="0.2">
      <c r="A37" s="58" t="s">
        <v>256</v>
      </c>
      <c r="B37" s="70" t="s">
        <v>226</v>
      </c>
      <c r="C37" s="60">
        <v>46246</v>
      </c>
      <c r="D37" s="59"/>
      <c r="E37" s="59">
        <v>1.57</v>
      </c>
      <c r="F37" s="61"/>
      <c r="G37" s="62">
        <v>40.51</v>
      </c>
      <c r="H37" s="63" vm="39">
        <f t="array" aca="1" ref="H37" ca="1">IFERROR(INDEX(_xlfn.STOCKHISTORY(A37,TODAY()-5,TODAY(),0,0,1),ROWS(_xlfn.STOCKHISTORY(A37,TODAY()-5,TODAY(),0,0,1)),1),"")</f>
        <v>33.869999999999997</v>
      </c>
      <c r="I37" s="64">
        <f t="shared" ca="1" si="3"/>
        <v>-0.16391014564305117</v>
      </c>
      <c r="J37" s="65">
        <v>46373</v>
      </c>
      <c r="K37" s="59" t="s">
        <v>214</v>
      </c>
      <c r="L37" s="66" t="s">
        <v>257</v>
      </c>
      <c r="M37" s="59" t="s">
        <v>214</v>
      </c>
      <c r="N37" s="66" t="s">
        <v>258</v>
      </c>
      <c r="O37" s="67">
        <f t="shared" ca="1" si="4"/>
        <v>54</v>
      </c>
      <c r="P37" s="68" t="str">
        <f t="shared" ca="1" si="5"/>
        <v>DUE — INSIDER ACTIVITY</v>
      </c>
      <c r="Q37" s="66"/>
    </row>
    <row r="38" spans="1:17" ht="15" customHeight="1" outlineLevel="1" x14ac:dyDescent="0.2">
      <c r="A38" s="58" t="s">
        <v>259</v>
      </c>
      <c r="B38" s="70" t="s">
        <v>226</v>
      </c>
      <c r="C38" s="60">
        <v>46245</v>
      </c>
      <c r="D38" s="59"/>
      <c r="E38" s="59">
        <v>2.64</v>
      </c>
      <c r="F38" s="61"/>
      <c r="G38" s="62">
        <v>21.02</v>
      </c>
      <c r="H38" s="63" vm="40">
        <f t="array" aca="1" ref="H38" ca="1">IFERROR(INDEX(_xlfn.STOCKHISTORY(A38,TODAY()-5,TODAY(),0,0,1),ROWS(_xlfn.STOCKHISTORY(A38,TODAY()-5,TODAY(),0,0,1)),1),"")</f>
        <v>18.8</v>
      </c>
      <c r="I38" s="64">
        <f t="shared" ca="1" si="3"/>
        <v>-0.10561370123691716</v>
      </c>
      <c r="J38" s="65">
        <v>46322</v>
      </c>
      <c r="K38" s="59" t="s">
        <v>214</v>
      </c>
      <c r="L38" s="66" t="s">
        <v>260</v>
      </c>
      <c r="M38" s="59" t="s">
        <v>214</v>
      </c>
      <c r="N38" s="66" t="s">
        <v>261</v>
      </c>
      <c r="O38" s="67">
        <f t="shared" ca="1" si="4"/>
        <v>55</v>
      </c>
      <c r="P38" s="68" t="str">
        <f t="shared" ca="1" si="5"/>
        <v>DUE — INSIDER ACTIVITY</v>
      </c>
      <c r="Q38" s="66"/>
    </row>
    <row r="39" spans="1:17" ht="15" customHeight="1" outlineLevel="1" x14ac:dyDescent="0.2">
      <c r="A39" s="58" t="s">
        <v>184</v>
      </c>
      <c r="B39" s="70" t="s">
        <v>226</v>
      </c>
      <c r="C39" s="60">
        <v>46240</v>
      </c>
      <c r="D39" s="59"/>
      <c r="E39" s="59">
        <v>2.64</v>
      </c>
      <c r="F39" s="61"/>
      <c r="G39" s="62">
        <v>37.340000000000003</v>
      </c>
      <c r="H39" s="63" vm="19">
        <f t="array" aca="1" ref="H39" ca="1">IFERROR(INDEX(_xlfn.STOCKHISTORY(A39,TODAY()-5,TODAY(),0,0,1),ROWS(_xlfn.STOCKHISTORY(A39,TODAY()-5,TODAY(),0,0,1)),1),"")</f>
        <v>30.85</v>
      </c>
      <c r="I39" s="64">
        <f t="shared" ca="1" si="3"/>
        <v>-0.17380824852704879</v>
      </c>
      <c r="J39" s="65">
        <v>46337</v>
      </c>
      <c r="K39" s="59" t="s">
        <v>214</v>
      </c>
      <c r="L39" s="66" t="s">
        <v>262</v>
      </c>
      <c r="M39" s="59" t="s">
        <v>213</v>
      </c>
      <c r="N39" s="66"/>
      <c r="O39" s="67">
        <f t="shared" ca="1" si="4"/>
        <v>60</v>
      </c>
      <c r="P39" s="68" t="str">
        <f t="shared" ca="1" si="5"/>
        <v>DUE — INSIDER ACTIVITY</v>
      </c>
      <c r="Q39" s="66"/>
    </row>
    <row r="40" spans="1:17" ht="15" customHeight="1" x14ac:dyDescent="0.2">
      <c r="A40" s="58" t="s">
        <v>263</v>
      </c>
      <c r="B40" s="69" t="s">
        <v>232</v>
      </c>
      <c r="C40" s="60">
        <v>46245</v>
      </c>
      <c r="D40" s="59"/>
      <c r="E40" s="59">
        <v>4.21</v>
      </c>
      <c r="F40" s="61"/>
      <c r="G40" s="62">
        <v>145.21</v>
      </c>
      <c r="H40" s="63" vm="41">
        <f t="array" aca="1" ref="H40" ca="1">IFERROR(INDEX(_xlfn.STOCKHISTORY(A40,TODAY()-5,TODAY(),0,0,1),ROWS(_xlfn.STOCKHISTORY(A40,TODAY()-5,TODAY(),0,0,1)),1),"")</f>
        <v>144.91</v>
      </c>
      <c r="I40" s="64">
        <f t="shared" ca="1" si="3"/>
        <v>-2.0659734178087863E-3</v>
      </c>
      <c r="J40" s="65">
        <v>46317</v>
      </c>
      <c r="K40" s="59" t="s">
        <v>214</v>
      </c>
      <c r="L40" s="66" t="s">
        <v>264</v>
      </c>
      <c r="M40" s="59" t="s">
        <v>213</v>
      </c>
      <c r="N40" s="66"/>
      <c r="O40" s="67">
        <f t="shared" ca="1" si="4"/>
        <v>55</v>
      </c>
      <c r="P40" s="68" t="str">
        <f t="shared" ca="1" si="5"/>
        <v>DUE — INSIDER ACTIVITY</v>
      </c>
      <c r="Q40" s="66"/>
    </row>
    <row r="41" spans="1:17" ht="15" customHeight="1" x14ac:dyDescent="0.2">
      <c r="A41" s="58" t="s">
        <v>265</v>
      </c>
      <c r="B41" s="69" t="s">
        <v>232</v>
      </c>
      <c r="C41" s="60">
        <v>46247</v>
      </c>
      <c r="D41" s="59"/>
      <c r="E41" s="59">
        <v>3.29</v>
      </c>
      <c r="F41" s="61"/>
      <c r="G41" s="62">
        <v>1058.8699999999999</v>
      </c>
      <c r="H41" s="63" vm="42">
        <f t="array" aca="1" ref="H41" ca="1">IFERROR(INDEX(_xlfn.STOCKHISTORY(A41,TODAY()-5,TODAY(),0,0,1),ROWS(_xlfn.STOCKHISTORY(A41,TODAY()-5,TODAY(),0,0,1)),1),"")</f>
        <v>972.55</v>
      </c>
      <c r="I41" s="64">
        <f t="shared" ca="1" si="3"/>
        <v>-8.1520866584188778E-2</v>
      </c>
      <c r="J41" s="65">
        <v>46331</v>
      </c>
      <c r="K41" s="59" t="s">
        <v>214</v>
      </c>
      <c r="L41" s="66" t="s">
        <v>266</v>
      </c>
      <c r="M41" s="59" t="s">
        <v>213</v>
      </c>
      <c r="N41" s="66"/>
      <c r="O41" s="67">
        <f t="shared" ca="1" si="4"/>
        <v>53</v>
      </c>
      <c r="P41" s="68" t="str">
        <f t="shared" ca="1" si="5"/>
        <v>DUE — INSIDER ACTIVITY</v>
      </c>
      <c r="Q41" s="66"/>
    </row>
    <row r="42" spans="1:17" ht="15" customHeight="1" outlineLevel="1" x14ac:dyDescent="0.2">
      <c r="A42" s="58" t="s">
        <v>267</v>
      </c>
      <c r="B42" s="66" t="s">
        <v>226</v>
      </c>
      <c r="C42" s="60">
        <v>46245</v>
      </c>
      <c r="D42" s="59"/>
      <c r="E42" s="59">
        <v>1.36</v>
      </c>
      <c r="F42" s="61"/>
      <c r="G42" s="62">
        <v>24.32</v>
      </c>
      <c r="H42" s="63" vm="43">
        <f t="array" aca="1" ref="H42" ca="1">IFERROR(INDEX(_xlfn.STOCKHISTORY(A42,TODAY()-5,TODAY(),0,0,1),ROWS(_xlfn.STOCKHISTORY(A42,TODAY()-5,TODAY(),0,0,1)),1),"")</f>
        <v>19.43</v>
      </c>
      <c r="I42" s="64">
        <f t="shared" ca="1" si="3"/>
        <v>-0.20106907894736847</v>
      </c>
      <c r="J42" s="65">
        <v>46331</v>
      </c>
      <c r="K42" s="59" t="s">
        <v>213</v>
      </c>
      <c r="L42" s="66"/>
      <c r="M42" s="59" t="s">
        <v>214</v>
      </c>
      <c r="N42" s="66" t="s">
        <v>268</v>
      </c>
      <c r="O42" s="67">
        <f t="shared" ca="1" si="4"/>
        <v>55</v>
      </c>
      <c r="P42" s="68" t="str">
        <f t="shared" ca="1" si="5"/>
        <v>DUE — PRICE MOVE ±20%</v>
      </c>
      <c r="Q42" s="66"/>
    </row>
    <row r="43" spans="1:17" ht="15" customHeight="1" outlineLevel="1" x14ac:dyDescent="0.2">
      <c r="A43" s="71" t="s">
        <v>173</v>
      </c>
      <c r="B43" s="72" t="s">
        <v>226</v>
      </c>
      <c r="C43" s="73">
        <v>46240</v>
      </c>
      <c r="D43" s="74"/>
      <c r="E43" s="74">
        <v>1.86</v>
      </c>
      <c r="F43" s="61"/>
      <c r="G43" s="75">
        <v>87.2</v>
      </c>
      <c r="H43" s="76" vm="17">
        <f t="array" aca="1" ref="H43" ca="1">IFERROR(INDEX(_xlfn.STOCKHISTORY(A43,TODAY()-5,TODAY(),0,0,1),ROWS(_xlfn.STOCKHISTORY(A43,TODAY()-5,TODAY(),0,0,1)),1),"")</f>
        <v>64.47</v>
      </c>
      <c r="I43" s="25">
        <f t="shared" ca="1" si="3"/>
        <v>-0.26066513761467891</v>
      </c>
      <c r="J43" s="77">
        <v>46323</v>
      </c>
      <c r="K43" s="74" t="s">
        <v>214</v>
      </c>
      <c r="L43" s="72" t="s">
        <v>269</v>
      </c>
      <c r="M43" s="74" t="s">
        <v>213</v>
      </c>
      <c r="N43" s="72"/>
      <c r="O43" s="78">
        <f t="shared" ca="1" si="4"/>
        <v>60</v>
      </c>
      <c r="P43" s="23" t="str">
        <f t="shared" ca="1" si="5"/>
        <v>DUE — PRICE MOVE ±20%</v>
      </c>
      <c r="Q43" s="72"/>
    </row>
    <row r="44" spans="1:17" ht="15" customHeight="1" outlineLevel="1" x14ac:dyDescent="0.2">
      <c r="A44" s="71" t="s">
        <v>176</v>
      </c>
      <c r="B44" s="72" t="s">
        <v>226</v>
      </c>
      <c r="C44" s="73">
        <v>46240</v>
      </c>
      <c r="D44" s="74"/>
      <c r="E44" s="74">
        <v>1.93</v>
      </c>
      <c r="F44" s="61"/>
      <c r="G44" s="75">
        <v>319.52999999999997</v>
      </c>
      <c r="H44" s="76" vm="18">
        <f t="array" aca="1" ref="H44" ca="1">IFERROR(INDEX(_xlfn.STOCKHISTORY(A44,TODAY()-5,TODAY(),0,0,1),ROWS(_xlfn.STOCKHISTORY(A44,TODAY()-5,TODAY(),0,0,1)),1),"")</f>
        <v>370.59</v>
      </c>
      <c r="I44" s="25">
        <f t="shared" ca="1" si="3"/>
        <v>0.15979720214064419</v>
      </c>
      <c r="J44" s="77">
        <v>46316</v>
      </c>
      <c r="K44" s="74" t="s">
        <v>213</v>
      </c>
      <c r="L44" s="72"/>
      <c r="M44" s="74" t="s">
        <v>213</v>
      </c>
      <c r="N44" s="72"/>
      <c r="O44" s="78">
        <f t="shared" ca="1" si="4"/>
        <v>60</v>
      </c>
      <c r="P44" s="23" t="str">
        <f t="shared" ca="1" si="5"/>
        <v>WATCH — PRICE MOVE ±15%</v>
      </c>
      <c r="Q44" s="72"/>
    </row>
    <row r="45" spans="1:17" ht="15" customHeight="1" x14ac:dyDescent="0.2">
      <c r="A45" s="71" t="s">
        <v>118</v>
      </c>
      <c r="B45" s="74" t="s">
        <v>211</v>
      </c>
      <c r="C45" s="73">
        <v>46245</v>
      </c>
      <c r="D45" s="74">
        <v>86.4</v>
      </c>
      <c r="E45" s="74">
        <v>4.57</v>
      </c>
      <c r="F45" s="61" t="s">
        <v>212</v>
      </c>
      <c r="G45" s="75">
        <v>362.82</v>
      </c>
      <c r="H45" s="76" vm="11">
        <f t="array" aca="1" ref="H45" ca="1">IFERROR(INDEX(_xlfn.STOCKHISTORY(A45,TODAY()-5,TODAY(),0,0,1),ROWS(_xlfn.STOCKHISTORY(A45,TODAY()-5,TODAY(),0,0,1)),1),"")</f>
        <v>360.66</v>
      </c>
      <c r="I45" s="25">
        <f t="shared" ca="1" si="3"/>
        <v>-5.9533653051099256E-3</v>
      </c>
      <c r="J45" s="77">
        <v>46322</v>
      </c>
      <c r="K45" s="74" t="s">
        <v>214</v>
      </c>
      <c r="L45" s="72" t="s">
        <v>270</v>
      </c>
      <c r="M45" s="74" t="s">
        <v>213</v>
      </c>
      <c r="N45" s="72"/>
      <c r="O45" s="78">
        <f t="shared" ca="1" si="4"/>
        <v>55</v>
      </c>
      <c r="P45" s="23" t="str">
        <f t="shared" ca="1" si="5"/>
        <v>DUE — INSIDER ACTIVITY</v>
      </c>
      <c r="Q45" s="72"/>
    </row>
    <row r="46" spans="1:17" ht="15" customHeight="1" outlineLevel="1" x14ac:dyDescent="0.2">
      <c r="A46" s="71" t="s">
        <v>271</v>
      </c>
      <c r="B46" s="72" t="s">
        <v>226</v>
      </c>
      <c r="C46" s="73">
        <v>46246</v>
      </c>
      <c r="D46" s="74"/>
      <c r="E46" s="74">
        <v>2.86</v>
      </c>
      <c r="F46" s="61"/>
      <c r="G46" s="75">
        <v>14.57</v>
      </c>
      <c r="H46" s="76" vm="44">
        <f t="array" aca="1" ref="H46" ca="1">IFERROR(INDEX(_xlfn.STOCKHISTORY(A46,TODAY()-5,TODAY(),0,0,1),ROWS(_xlfn.STOCKHISTORY(A46,TODAY()-5,TODAY(),0,0,1)),1),"")</f>
        <v>14.33</v>
      </c>
      <c r="I46" s="25">
        <f t="shared" ca="1" si="3"/>
        <v>-1.6472203157172238E-2</v>
      </c>
      <c r="J46" s="77">
        <v>46321</v>
      </c>
      <c r="K46" s="74" t="s">
        <v>214</v>
      </c>
      <c r="L46" s="72" t="s">
        <v>272</v>
      </c>
      <c r="M46" s="74" t="s">
        <v>213</v>
      </c>
      <c r="N46" s="72"/>
      <c r="O46" s="78">
        <f t="shared" ca="1" si="4"/>
        <v>54</v>
      </c>
      <c r="P46" s="23" t="str">
        <f t="shared" ca="1" si="5"/>
        <v>DUE — INSIDER ACTIVITY</v>
      </c>
      <c r="Q46" s="72"/>
    </row>
    <row r="47" spans="1:17" ht="15" customHeight="1" x14ac:dyDescent="0.2">
      <c r="A47" s="71" t="s">
        <v>273</v>
      </c>
      <c r="B47" s="69" t="s">
        <v>232</v>
      </c>
      <c r="C47" s="73">
        <v>46245</v>
      </c>
      <c r="D47" s="74"/>
      <c r="E47" s="74">
        <v>4.29</v>
      </c>
      <c r="F47" s="61"/>
      <c r="G47" s="75">
        <v>144.75</v>
      </c>
      <c r="H47" s="76" vm="45">
        <f t="array" aca="1" ref="H47" ca="1">IFERROR(INDEX(_xlfn.STOCKHISTORY(A47,TODAY()-5,TODAY(),0,0,1),ROWS(_xlfn.STOCKHISTORY(A47,TODAY()-5,TODAY(),0,0,1)),1),"")</f>
        <v>136.12</v>
      </c>
      <c r="I47" s="25">
        <f t="shared" ca="1" si="3"/>
        <v>-5.9620034542314349E-2</v>
      </c>
      <c r="J47" s="77">
        <v>46329</v>
      </c>
      <c r="K47" s="74" t="s">
        <v>214</v>
      </c>
      <c r="L47" s="72" t="s">
        <v>274</v>
      </c>
      <c r="M47" s="74" t="s">
        <v>213</v>
      </c>
      <c r="N47" s="72"/>
      <c r="O47" s="78">
        <f t="shared" ca="1" si="4"/>
        <v>55</v>
      </c>
      <c r="P47" s="23" t="str">
        <f t="shared" ca="1" si="5"/>
        <v>DUE — INSIDER ACTIVITY</v>
      </c>
      <c r="Q47" s="72"/>
    </row>
    <row r="48" spans="1:17" ht="15" customHeight="1" x14ac:dyDescent="0.2">
      <c r="A48" s="58" t="s">
        <v>275</v>
      </c>
      <c r="B48" s="69" t="s">
        <v>232</v>
      </c>
      <c r="C48" s="60">
        <v>46276</v>
      </c>
      <c r="D48" s="59"/>
      <c r="E48" s="59">
        <v>4</v>
      </c>
      <c r="F48" s="61"/>
      <c r="G48" s="62">
        <v>63.85</v>
      </c>
      <c r="H48" s="63" vm="46">
        <f t="array" aca="1" ref="H48" ca="1">IFERROR(INDEX(_xlfn.STOCKHISTORY(A48,TODAY()-5,TODAY(),0,0,1),ROWS(_xlfn.STOCKHISTORY(A48,TODAY()-5,TODAY(),0,0,1)),1),"")</f>
        <v>54.33</v>
      </c>
      <c r="I48" s="64">
        <f t="shared" ca="1" si="3"/>
        <v>-0.14909945184025064</v>
      </c>
      <c r="J48" s="65">
        <v>46329</v>
      </c>
      <c r="K48" s="59" t="s">
        <v>213</v>
      </c>
      <c r="L48" s="66"/>
      <c r="M48" s="59" t="s">
        <v>213</v>
      </c>
      <c r="N48" s="66"/>
      <c r="O48" s="67">
        <f t="shared" ca="1" si="4"/>
        <v>24</v>
      </c>
      <c r="P48" s="68" t="str">
        <f t="shared" ca="1" si="5"/>
        <v>Monitor Only</v>
      </c>
      <c r="Q48" s="66" t="s">
        <v>276</v>
      </c>
    </row>
    <row r="49" spans="1:17" ht="15" customHeight="1" x14ac:dyDescent="0.2">
      <c r="A49" s="58" t="s">
        <v>277</v>
      </c>
      <c r="B49" s="69" t="s">
        <v>232</v>
      </c>
      <c r="C49" s="60">
        <v>46278</v>
      </c>
      <c r="D49" s="59">
        <v>70.8</v>
      </c>
      <c r="E49" s="59">
        <v>3.5</v>
      </c>
      <c r="F49" s="61" t="s">
        <v>216</v>
      </c>
      <c r="G49" s="62">
        <v>101.95</v>
      </c>
      <c r="H49" s="63" vm="47">
        <f t="array" aca="1" ref="H49" ca="1">IFERROR(INDEX(_xlfn.STOCKHISTORY(A49,TODAY()-5,TODAY(),0,0,1),ROWS(_xlfn.STOCKHISTORY(A49,TODAY()-5,TODAY(),0,0,1)),1),"")</f>
        <v>97.5</v>
      </c>
      <c r="I49" s="64">
        <f t="shared" ca="1" si="3"/>
        <v>-4.3648847474252128E-2</v>
      </c>
      <c r="J49" s="65">
        <v>46316</v>
      </c>
      <c r="K49" s="59" t="s">
        <v>213</v>
      </c>
      <c r="L49" s="66"/>
      <c r="M49" s="59" t="s">
        <v>213</v>
      </c>
      <c r="N49" s="66"/>
      <c r="O49" s="67">
        <f t="shared" ca="1" si="4"/>
        <v>22</v>
      </c>
      <c r="P49" s="68" t="str">
        <f t="shared" ca="1" si="5"/>
        <v>Monitor Only</v>
      </c>
      <c r="Q49" s="66" t="s">
        <v>278</v>
      </c>
    </row>
    <row r="50" spans="1:17" ht="15" customHeight="1" x14ac:dyDescent="0.2">
      <c r="A50" s="58" t="s">
        <v>279</v>
      </c>
      <c r="B50" s="69" t="s">
        <v>232</v>
      </c>
      <c r="C50" s="60">
        <v>46278</v>
      </c>
      <c r="D50" s="59">
        <v>72.400000000000006</v>
      </c>
      <c r="E50" s="59">
        <v>3.5</v>
      </c>
      <c r="F50" s="61" t="s">
        <v>216</v>
      </c>
      <c r="G50" s="62">
        <v>56.06</v>
      </c>
      <c r="H50" s="63" vm="48">
        <f t="array" aca="1" ref="H50" ca="1">IFERROR(INDEX(_xlfn.STOCKHISTORY(A50,TODAY()-5,TODAY(),0,0,1),ROWS(_xlfn.STOCKHISTORY(A50,TODAY()-5,TODAY(),0,0,1)),1),"")</f>
        <v>48.74</v>
      </c>
      <c r="I50" s="64">
        <f t="shared" ca="1" si="3"/>
        <v>-0.13057438458794146</v>
      </c>
      <c r="J50" s="65">
        <v>46318</v>
      </c>
      <c r="K50" s="59" t="s">
        <v>213</v>
      </c>
      <c r="L50" s="66"/>
      <c r="M50" s="59" t="s">
        <v>213</v>
      </c>
      <c r="N50" s="66"/>
      <c r="O50" s="67">
        <f t="shared" ca="1" si="4"/>
        <v>22</v>
      </c>
      <c r="P50" s="68" t="str">
        <f t="shared" ca="1" si="5"/>
        <v>Monitor Only</v>
      </c>
      <c r="Q50" s="66" t="s">
        <v>280</v>
      </c>
    </row>
    <row r="51" spans="1:17" ht="15" customHeight="1" x14ac:dyDescent="0.2">
      <c r="A51" s="58" t="s">
        <v>281</v>
      </c>
      <c r="B51" s="69" t="s">
        <v>232</v>
      </c>
      <c r="C51" s="60">
        <v>46297</v>
      </c>
      <c r="D51" s="59">
        <v>81.599999999999994</v>
      </c>
      <c r="E51" s="59">
        <v>4.29</v>
      </c>
      <c r="F51" s="61" t="s">
        <v>212</v>
      </c>
      <c r="G51" s="62">
        <v>273.33</v>
      </c>
      <c r="H51" s="63" vm="49">
        <f t="array" aca="1" ref="H51" ca="1">IFERROR(INDEX(_xlfn.STOCKHISTORY(A51,TODAY()-5,TODAY(),0,0,1),ROWS(_xlfn.STOCKHISTORY(A51,TODAY()-5,TODAY(),0,0,1)),1),"")</f>
        <v>273.33</v>
      </c>
      <c r="I51" s="64">
        <f t="shared" ca="1" si="3"/>
        <v>0</v>
      </c>
      <c r="J51" s="65">
        <v>46351</v>
      </c>
      <c r="K51" s="59" t="s">
        <v>214</v>
      </c>
      <c r="L51" s="66" t="s">
        <v>282</v>
      </c>
      <c r="M51" s="59" t="s">
        <v>213</v>
      </c>
      <c r="N51" s="66"/>
      <c r="O51" s="67">
        <f t="shared" ca="1" si="4"/>
        <v>3</v>
      </c>
      <c r="P51" s="68" t="str">
        <f t="shared" ca="1" si="5"/>
        <v>DUE — INSIDER ACTIVITY</v>
      </c>
      <c r="Q51" s="66" t="s">
        <v>283</v>
      </c>
    </row>
  </sheetData>
  <mergeCells count="1">
    <mergeCell ref="A1:Q1"/>
  </mergeCells>
  <conditionalFormatting sqref="B3:B51">
    <cfRule type="expression" dxfId="94" priority="10">
      <formula>ISNUMBER(SEARCH("AVOID",B3))</formula>
    </cfRule>
  </conditionalFormatting>
  <conditionalFormatting sqref="F3:F51">
    <cfRule type="cellIs" dxfId="93" priority="2" operator="equal">
      <formula>"STRONG BUY"</formula>
    </cfRule>
    <cfRule type="cellIs" dxfId="92" priority="3" operator="equal">
      <formula>"BUY"</formula>
    </cfRule>
    <cfRule type="cellIs" dxfId="91" priority="4" operator="equal">
      <formula>"WATCH LIST"</formula>
    </cfRule>
    <cfRule type="cellIs" dxfId="90" priority="5" operator="equal">
      <formula>"AVOID"</formula>
    </cfRule>
    <cfRule type="cellIs" dxfId="89" priority="6" operator="equal">
      <formula>"PASS"</formula>
    </cfRule>
  </conditionalFormatting>
  <conditionalFormatting sqref="P3:P51">
    <cfRule type="expression" dxfId="88" priority="7">
      <formula>ISNUMBER(SEARCH("DUE",O3))</formula>
    </cfRule>
    <cfRule type="expression" dxfId="87" priority="8">
      <formula>ISNUMBER(SEARCH("WATCH",O3))</formula>
    </cfRule>
    <cfRule type="expression" dxfId="86" priority="9">
      <formula>O3="Monitor Only"</formula>
    </cfRule>
  </conditionalFormatting>
  <dataValidations count="2">
    <dataValidation type="list" allowBlank="1" sqref="B19:B51" xr:uid="{00000000-0002-0000-0300-000000000000}">
      <formula1>"Owned,Owned - Tier1 AVOID,Closed,Watch List,Tier-1 Avoid (external),Near-Miss"</formula1>
      <formula2>0</formula2>
    </dataValidation>
    <dataValidation type="list" allowBlank="1" sqref="K3:K51 M3:M51" xr:uid="{00000000-0002-0000-0300-000001000000}">
      <formula1>"Y,N"</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65"/>
  <sheetViews>
    <sheetView showGridLines="0" zoomScaleNormal="100" workbookViewId="0">
      <pane xSplit="1" ySplit="2" topLeftCell="B3" activePane="bottomRight" state="frozen"/>
      <selection pane="topRight" activeCell="B1" sqref="B1"/>
      <selection pane="bottomLeft" activeCell="A3" sqref="A3"/>
      <selection pane="bottomRight" activeCell="Q128" sqref="Q128"/>
    </sheetView>
  </sheetViews>
  <sheetFormatPr baseColWidth="10" defaultColWidth="8.6640625" defaultRowHeight="13" x14ac:dyDescent="0.15"/>
  <cols>
    <col min="1" max="1" width="12" style="79" customWidth="1"/>
    <col min="2" max="2" width="6.6640625" style="79" customWidth="1"/>
    <col min="3" max="3" width="6.5" style="79" customWidth="1"/>
    <col min="4" max="5" width="7" style="79" customWidth="1"/>
    <col min="6" max="6" width="7.1640625" style="79" customWidth="1"/>
    <col min="7" max="7" width="6.5" style="79" customWidth="1"/>
    <col min="8" max="8" width="7" style="79" customWidth="1"/>
    <col min="9" max="9" width="6.83203125" style="79" customWidth="1"/>
    <col min="10" max="10" width="5.6640625" style="79" customWidth="1"/>
    <col min="11" max="11" width="6.1640625" style="79" customWidth="1"/>
    <col min="12" max="13" width="5.6640625" style="79" customWidth="1"/>
    <col min="14" max="14" width="6.5" style="79" customWidth="1"/>
    <col min="15" max="16" width="6.83203125" style="79" customWidth="1"/>
    <col min="17" max="17" width="6.5" style="79" customWidth="1"/>
    <col min="18" max="18" width="6.33203125" style="79" customWidth="1"/>
    <col min="19" max="19" width="6.83203125" style="79" customWidth="1"/>
    <col min="20" max="27" width="6.5" style="79" customWidth="1"/>
    <col min="28" max="16384" width="8.6640625" style="79"/>
  </cols>
  <sheetData>
    <row r="1" spans="1:27" ht="25.5" customHeight="1" x14ac:dyDescent="0.15">
      <c r="A1" s="80" t="s">
        <v>284</v>
      </c>
      <c r="B1" s="81"/>
      <c r="C1" s="81"/>
      <c r="D1" s="81"/>
      <c r="E1" s="81"/>
      <c r="F1" s="81"/>
      <c r="G1" s="81"/>
      <c r="H1" s="81"/>
      <c r="I1" s="81"/>
      <c r="J1" s="81"/>
      <c r="K1" s="81"/>
      <c r="L1" s="81"/>
      <c r="M1" s="81"/>
      <c r="N1" s="81"/>
      <c r="O1" s="81"/>
      <c r="P1" s="81"/>
      <c r="Q1" s="81"/>
    </row>
    <row r="2" spans="1:27" ht="15" customHeight="1" x14ac:dyDescent="0.15">
      <c r="A2" s="82" t="s">
        <v>285</v>
      </c>
      <c r="B2" s="82" t="s">
        <v>95</v>
      </c>
      <c r="C2" s="82" t="s">
        <v>100</v>
      </c>
      <c r="D2" s="82" t="s">
        <v>102</v>
      </c>
      <c r="E2" s="82" t="s">
        <v>165</v>
      </c>
      <c r="F2" s="82" t="s">
        <v>104</v>
      </c>
      <c r="G2" s="82" t="s">
        <v>106</v>
      </c>
      <c r="H2" s="82" t="s">
        <v>108</v>
      </c>
      <c r="I2" s="82" t="s">
        <v>110</v>
      </c>
      <c r="J2" s="82" t="s">
        <v>170</v>
      </c>
      <c r="K2" s="82" t="s">
        <v>112</v>
      </c>
      <c r="L2" s="82" t="s">
        <v>114</v>
      </c>
      <c r="M2" s="82" t="s">
        <v>116</v>
      </c>
      <c r="N2" s="82" t="s">
        <v>167</v>
      </c>
      <c r="O2" s="82" t="s">
        <v>156</v>
      </c>
      <c r="P2" s="82" t="s">
        <v>126</v>
      </c>
      <c r="Q2" s="82" t="s">
        <v>162</v>
      </c>
      <c r="R2" s="82" t="s">
        <v>152</v>
      </c>
      <c r="S2" s="82" t="s">
        <v>138</v>
      </c>
      <c r="T2" s="82" t="s">
        <v>129</v>
      </c>
      <c r="U2" s="82" t="s">
        <v>132</v>
      </c>
      <c r="V2" s="82" t="s">
        <v>118</v>
      </c>
      <c r="W2" s="82" t="s">
        <v>134</v>
      </c>
      <c r="X2" s="82" t="s">
        <v>136</v>
      </c>
      <c r="Y2" s="82" t="s">
        <v>187</v>
      </c>
      <c r="Z2" s="82" t="s">
        <v>140</v>
      </c>
      <c r="AA2" s="82" t="s">
        <v>143</v>
      </c>
    </row>
    <row r="3" spans="1:27" ht="15" customHeight="1" x14ac:dyDescent="0.15">
      <c r="A3" s="83">
        <v>45184</v>
      </c>
      <c r="B3" s="84">
        <v>528.89</v>
      </c>
      <c r="C3" s="84">
        <v>46.18</v>
      </c>
      <c r="D3" s="84">
        <v>582.01</v>
      </c>
      <c r="E3" s="84">
        <v>82</v>
      </c>
      <c r="F3" s="84">
        <v>41.36</v>
      </c>
      <c r="G3" s="84">
        <v>44.35</v>
      </c>
      <c r="H3" s="84">
        <v>69.11</v>
      </c>
      <c r="I3" s="84">
        <v>43.77</v>
      </c>
      <c r="J3" s="84">
        <v>111.84</v>
      </c>
      <c r="K3" s="84">
        <v>15.33</v>
      </c>
      <c r="L3" s="84">
        <v>85.75</v>
      </c>
      <c r="M3" s="84">
        <v>38.020000000000003</v>
      </c>
      <c r="N3" s="84">
        <v>348.9</v>
      </c>
      <c r="O3" s="84">
        <v>75.31</v>
      </c>
      <c r="P3" s="84">
        <v>100.59</v>
      </c>
      <c r="Q3" s="84"/>
      <c r="R3" s="84">
        <v>34.479999999999997</v>
      </c>
      <c r="S3" s="84">
        <v>57.63</v>
      </c>
      <c r="T3" s="84">
        <v>25.24</v>
      </c>
      <c r="U3" s="84">
        <v>21.8</v>
      </c>
      <c r="V3" s="84">
        <v>235.63</v>
      </c>
      <c r="W3" s="84">
        <v>98.59</v>
      </c>
      <c r="X3" s="84"/>
      <c r="Y3" s="84">
        <v>43.23</v>
      </c>
      <c r="Z3" s="84">
        <v>90.68</v>
      </c>
      <c r="AA3" s="84">
        <v>39.69</v>
      </c>
    </row>
    <row r="4" spans="1:27" ht="15" customHeight="1" x14ac:dyDescent="0.15">
      <c r="A4" s="65">
        <v>45191</v>
      </c>
      <c r="B4" s="62">
        <v>512.9</v>
      </c>
      <c r="C4" s="62">
        <v>45.08</v>
      </c>
      <c r="D4" s="62">
        <v>572.69000000000005</v>
      </c>
      <c r="E4" s="62">
        <v>80.260000000000005</v>
      </c>
      <c r="F4" s="62">
        <v>40.64</v>
      </c>
      <c r="G4" s="62">
        <v>44.12</v>
      </c>
      <c r="H4" s="62">
        <v>68.12</v>
      </c>
      <c r="I4" s="62">
        <v>41.49</v>
      </c>
      <c r="J4" s="62">
        <v>103.57</v>
      </c>
      <c r="K4" s="62">
        <v>14.13</v>
      </c>
      <c r="L4" s="62">
        <v>82.28</v>
      </c>
      <c r="M4" s="62">
        <v>36.31</v>
      </c>
      <c r="N4" s="62">
        <v>349.53</v>
      </c>
      <c r="O4" s="62">
        <v>73.11</v>
      </c>
      <c r="P4" s="62">
        <v>98.44</v>
      </c>
      <c r="Q4" s="62"/>
      <c r="R4" s="62">
        <v>33.549999999999997</v>
      </c>
      <c r="S4" s="62">
        <v>56.23</v>
      </c>
      <c r="T4" s="62">
        <v>24.87</v>
      </c>
      <c r="U4" s="62">
        <v>21.3</v>
      </c>
      <c r="V4" s="62">
        <v>229.78</v>
      </c>
      <c r="W4" s="62">
        <v>96.44</v>
      </c>
      <c r="X4" s="62"/>
      <c r="Y4" s="62">
        <v>42.42</v>
      </c>
      <c r="Z4" s="62">
        <v>87.35</v>
      </c>
      <c r="AA4" s="62">
        <v>37.979999999999997</v>
      </c>
    </row>
    <row r="5" spans="1:27" ht="15" customHeight="1" x14ac:dyDescent="0.15">
      <c r="A5" s="65">
        <v>45198</v>
      </c>
      <c r="B5" s="62">
        <v>509.9</v>
      </c>
      <c r="C5" s="62">
        <v>45.98</v>
      </c>
      <c r="D5" s="62">
        <v>574.21</v>
      </c>
      <c r="E5" s="62">
        <v>80.41</v>
      </c>
      <c r="F5" s="62">
        <v>41.85</v>
      </c>
      <c r="G5" s="62">
        <v>44.79</v>
      </c>
      <c r="H5" s="62">
        <v>67.28</v>
      </c>
      <c r="I5" s="62">
        <v>43.37</v>
      </c>
      <c r="J5" s="62">
        <v>101.88</v>
      </c>
      <c r="K5" s="62">
        <v>16</v>
      </c>
      <c r="L5" s="62">
        <v>83.49</v>
      </c>
      <c r="M5" s="62">
        <v>37.06</v>
      </c>
      <c r="N5" s="62">
        <v>347.74</v>
      </c>
      <c r="O5" s="62">
        <v>74.31</v>
      </c>
      <c r="P5" s="62">
        <v>96.59</v>
      </c>
      <c r="Q5" s="62">
        <v>48.9</v>
      </c>
      <c r="R5" s="62">
        <v>33.57</v>
      </c>
      <c r="S5" s="62">
        <v>56.06</v>
      </c>
      <c r="T5" s="62">
        <v>24.94</v>
      </c>
      <c r="U5" s="62">
        <v>21.14</v>
      </c>
      <c r="V5" s="62">
        <v>224.82</v>
      </c>
      <c r="W5" s="62">
        <v>95.21</v>
      </c>
      <c r="X5" s="62"/>
      <c r="Y5" s="62">
        <v>41.95</v>
      </c>
      <c r="Z5" s="62">
        <v>86.86</v>
      </c>
      <c r="AA5" s="62">
        <v>37.76</v>
      </c>
    </row>
    <row r="6" spans="1:27" ht="15" customHeight="1" x14ac:dyDescent="0.15">
      <c r="A6" s="65">
        <v>45205</v>
      </c>
      <c r="B6" s="62">
        <v>526.67999999999995</v>
      </c>
      <c r="C6" s="62">
        <v>48.51</v>
      </c>
      <c r="D6" s="62">
        <v>582.69000000000005</v>
      </c>
      <c r="E6" s="62">
        <v>81.83</v>
      </c>
      <c r="F6" s="62">
        <v>44.17</v>
      </c>
      <c r="G6" s="62">
        <v>45.7</v>
      </c>
      <c r="H6" s="62">
        <v>69.3</v>
      </c>
      <c r="I6" s="62">
        <v>45.63</v>
      </c>
      <c r="J6" s="62">
        <v>98.88</v>
      </c>
      <c r="K6" s="62">
        <v>16.61</v>
      </c>
      <c r="L6" s="62">
        <v>85.79</v>
      </c>
      <c r="M6" s="62">
        <v>39.619999999999997</v>
      </c>
      <c r="N6" s="62">
        <v>360.62</v>
      </c>
      <c r="O6" s="62">
        <v>72.069999999999993</v>
      </c>
      <c r="P6" s="62">
        <v>94.44</v>
      </c>
      <c r="Q6" s="62">
        <v>49.06</v>
      </c>
      <c r="R6" s="62">
        <v>34.01</v>
      </c>
      <c r="S6" s="62">
        <v>56.68</v>
      </c>
      <c r="T6" s="62">
        <v>24.47</v>
      </c>
      <c r="U6" s="62">
        <v>20.8</v>
      </c>
      <c r="V6" s="62">
        <v>229.74</v>
      </c>
      <c r="W6" s="62">
        <v>93.36</v>
      </c>
      <c r="X6" s="62"/>
      <c r="Y6" s="62">
        <v>41.8</v>
      </c>
      <c r="Z6" s="62">
        <v>87.59</v>
      </c>
      <c r="AA6" s="62">
        <v>38.15</v>
      </c>
    </row>
    <row r="7" spans="1:27" ht="15" customHeight="1" x14ac:dyDescent="0.15">
      <c r="A7" s="65">
        <v>45212</v>
      </c>
      <c r="B7" s="62">
        <v>548.76</v>
      </c>
      <c r="C7" s="62">
        <v>47.46</v>
      </c>
      <c r="D7" s="62">
        <v>585.03</v>
      </c>
      <c r="E7" s="62">
        <v>85.5</v>
      </c>
      <c r="F7" s="62">
        <v>46.43</v>
      </c>
      <c r="G7" s="62">
        <v>47.54</v>
      </c>
      <c r="H7" s="62">
        <v>68.56</v>
      </c>
      <c r="I7" s="62">
        <v>45.33</v>
      </c>
      <c r="J7" s="62">
        <v>99.56</v>
      </c>
      <c r="K7" s="62">
        <v>17.36</v>
      </c>
      <c r="L7" s="62">
        <v>86.92</v>
      </c>
      <c r="M7" s="62">
        <v>38.950000000000003</v>
      </c>
      <c r="N7" s="62">
        <v>371</v>
      </c>
      <c r="O7" s="62">
        <v>72.260000000000005</v>
      </c>
      <c r="P7" s="62">
        <v>95.73</v>
      </c>
      <c r="Q7" s="62">
        <v>49.23</v>
      </c>
      <c r="R7" s="62">
        <v>34.1</v>
      </c>
      <c r="S7" s="62">
        <v>57</v>
      </c>
      <c r="T7" s="62">
        <v>24.82</v>
      </c>
      <c r="U7" s="62">
        <v>21.01</v>
      </c>
      <c r="V7" s="62">
        <v>232.31</v>
      </c>
      <c r="W7" s="62">
        <v>94.42</v>
      </c>
      <c r="X7" s="62"/>
      <c r="Y7" s="62">
        <v>42.16</v>
      </c>
      <c r="Z7" s="62">
        <v>85.94</v>
      </c>
      <c r="AA7" s="62">
        <v>35.57</v>
      </c>
    </row>
    <row r="8" spans="1:27" ht="15" customHeight="1" x14ac:dyDescent="0.15">
      <c r="A8" s="65">
        <v>45219</v>
      </c>
      <c r="B8" s="62">
        <v>540.96</v>
      </c>
      <c r="C8" s="62">
        <v>46.53</v>
      </c>
      <c r="D8" s="62">
        <v>565.86</v>
      </c>
      <c r="E8" s="62">
        <v>82.64</v>
      </c>
      <c r="F8" s="62">
        <v>44.69</v>
      </c>
      <c r="G8" s="62">
        <v>45.16</v>
      </c>
      <c r="H8" s="62">
        <v>66.59</v>
      </c>
      <c r="I8" s="62">
        <v>41.26</v>
      </c>
      <c r="J8" s="62">
        <v>93</v>
      </c>
      <c r="K8" s="62">
        <v>16.11</v>
      </c>
      <c r="L8" s="62">
        <v>87.73</v>
      </c>
      <c r="M8" s="62">
        <v>36.6</v>
      </c>
      <c r="N8" s="62">
        <v>361.86</v>
      </c>
      <c r="O8" s="62">
        <v>71.05</v>
      </c>
      <c r="P8" s="62">
        <v>93.91</v>
      </c>
      <c r="Q8" s="62">
        <v>48.67</v>
      </c>
      <c r="R8" s="62">
        <v>33.43</v>
      </c>
      <c r="S8" s="62">
        <v>55.35</v>
      </c>
      <c r="T8" s="62">
        <v>24.51</v>
      </c>
      <c r="U8" s="62">
        <v>20.7</v>
      </c>
      <c r="V8" s="62">
        <v>228.12</v>
      </c>
      <c r="W8" s="62">
        <v>93.27</v>
      </c>
      <c r="X8" s="62"/>
      <c r="Y8" s="62">
        <v>41.54</v>
      </c>
      <c r="Z8" s="62">
        <v>83.35</v>
      </c>
      <c r="AA8" s="62">
        <v>40.1</v>
      </c>
    </row>
    <row r="9" spans="1:27" ht="15" customHeight="1" x14ac:dyDescent="0.15">
      <c r="A9" s="65">
        <v>45226</v>
      </c>
      <c r="B9" s="62">
        <v>508.12</v>
      </c>
      <c r="C9" s="62">
        <v>44.05</v>
      </c>
      <c r="D9" s="62">
        <v>575.52</v>
      </c>
      <c r="E9" s="62">
        <v>81.16</v>
      </c>
      <c r="F9" s="62">
        <v>43.21</v>
      </c>
      <c r="G9" s="62">
        <v>44.72</v>
      </c>
      <c r="H9" s="62">
        <v>65.03</v>
      </c>
      <c r="I9" s="62">
        <v>40.380000000000003</v>
      </c>
      <c r="J9" s="62">
        <v>88.36</v>
      </c>
      <c r="K9" s="62">
        <v>15.07</v>
      </c>
      <c r="L9" s="62">
        <v>82.62</v>
      </c>
      <c r="M9" s="62">
        <v>36.28</v>
      </c>
      <c r="N9" s="62">
        <v>355.28</v>
      </c>
      <c r="O9" s="62">
        <v>69.95</v>
      </c>
      <c r="P9" s="62">
        <v>92.4</v>
      </c>
      <c r="Q9" s="62">
        <v>47.83</v>
      </c>
      <c r="R9" s="62">
        <v>32.729999999999997</v>
      </c>
      <c r="S9" s="62">
        <v>54.23</v>
      </c>
      <c r="T9" s="62">
        <v>23.7</v>
      </c>
      <c r="U9" s="62">
        <v>19.989999999999998</v>
      </c>
      <c r="V9" s="62">
        <v>224.1</v>
      </c>
      <c r="W9" s="62">
        <v>90.96</v>
      </c>
      <c r="X9" s="62"/>
      <c r="Y9" s="62">
        <v>40.619999999999997</v>
      </c>
      <c r="Z9" s="62">
        <v>83.56</v>
      </c>
      <c r="AA9" s="62">
        <v>39.79</v>
      </c>
    </row>
    <row r="10" spans="1:27" ht="15" customHeight="1" x14ac:dyDescent="0.15">
      <c r="A10" s="65">
        <v>45233</v>
      </c>
      <c r="B10" s="62">
        <v>563.66</v>
      </c>
      <c r="C10" s="62">
        <v>53.12</v>
      </c>
      <c r="D10" s="62">
        <v>628.24</v>
      </c>
      <c r="E10" s="62">
        <v>85.45</v>
      </c>
      <c r="F10" s="62">
        <v>47.06</v>
      </c>
      <c r="G10" s="62">
        <v>48.79</v>
      </c>
      <c r="H10" s="62">
        <v>71.900000000000006</v>
      </c>
      <c r="I10" s="62">
        <v>44.87</v>
      </c>
      <c r="J10" s="62">
        <v>96.74</v>
      </c>
      <c r="K10" s="62">
        <v>18.89</v>
      </c>
      <c r="L10" s="62">
        <v>88.19</v>
      </c>
      <c r="M10" s="62">
        <v>40.28</v>
      </c>
      <c r="N10" s="62">
        <v>376.2</v>
      </c>
      <c r="O10" s="62">
        <v>74.959999999999994</v>
      </c>
      <c r="P10" s="62">
        <v>97.82</v>
      </c>
      <c r="Q10" s="62">
        <v>49.76</v>
      </c>
      <c r="R10" s="62">
        <v>34.61</v>
      </c>
      <c r="S10" s="62">
        <v>57.4</v>
      </c>
      <c r="T10" s="62">
        <v>25.09</v>
      </c>
      <c r="U10" s="62">
        <v>20.99</v>
      </c>
      <c r="V10" s="62">
        <v>238.11</v>
      </c>
      <c r="W10" s="62">
        <v>95.67</v>
      </c>
      <c r="X10" s="62"/>
      <c r="Y10" s="62">
        <v>42.55</v>
      </c>
      <c r="Z10" s="62">
        <v>85.58</v>
      </c>
      <c r="AA10" s="62">
        <v>43.24</v>
      </c>
    </row>
    <row r="11" spans="1:27" ht="15" customHeight="1" x14ac:dyDescent="0.15">
      <c r="A11" s="65">
        <v>45240</v>
      </c>
      <c r="B11" s="62">
        <v>597.22</v>
      </c>
      <c r="C11" s="62">
        <v>51.71</v>
      </c>
      <c r="D11" s="62">
        <v>646.70000000000005</v>
      </c>
      <c r="E11" s="62">
        <v>92.69</v>
      </c>
      <c r="F11" s="62">
        <v>49.08</v>
      </c>
      <c r="G11" s="62">
        <v>52.17</v>
      </c>
      <c r="H11" s="62">
        <v>74.650000000000006</v>
      </c>
      <c r="I11" s="62">
        <v>48.19</v>
      </c>
      <c r="J11" s="62">
        <v>94.93</v>
      </c>
      <c r="K11" s="62">
        <v>19.670000000000002</v>
      </c>
      <c r="L11" s="62">
        <v>93.62</v>
      </c>
      <c r="M11" s="62">
        <v>41.67</v>
      </c>
      <c r="N11" s="62">
        <v>373.65</v>
      </c>
      <c r="O11" s="62">
        <v>72.400000000000006</v>
      </c>
      <c r="P11" s="62">
        <v>95.61</v>
      </c>
      <c r="Q11" s="62">
        <v>50.26</v>
      </c>
      <c r="R11" s="62">
        <v>35.33</v>
      </c>
      <c r="S11" s="62">
        <v>59.09</v>
      </c>
      <c r="T11" s="62">
        <v>24.93</v>
      </c>
      <c r="U11" s="62">
        <v>20.75</v>
      </c>
      <c r="V11" s="62">
        <v>240.23</v>
      </c>
      <c r="W11" s="62">
        <v>94.59</v>
      </c>
      <c r="X11" s="62"/>
      <c r="Y11" s="62">
        <v>42.72</v>
      </c>
      <c r="Z11" s="62">
        <v>90.57</v>
      </c>
      <c r="AA11" s="62">
        <v>44.72</v>
      </c>
    </row>
    <row r="12" spans="1:27" ht="15" customHeight="1" x14ac:dyDescent="0.15">
      <c r="A12" s="65">
        <v>45247</v>
      </c>
      <c r="B12" s="62">
        <v>602.66</v>
      </c>
      <c r="C12" s="62">
        <v>53.66</v>
      </c>
      <c r="D12" s="62">
        <v>670.96</v>
      </c>
      <c r="E12" s="62">
        <v>94.65</v>
      </c>
      <c r="F12" s="62">
        <v>51.77</v>
      </c>
      <c r="G12" s="62">
        <v>53.32</v>
      </c>
      <c r="H12" s="62">
        <v>76.83</v>
      </c>
      <c r="I12" s="62">
        <v>49.15</v>
      </c>
      <c r="J12" s="62">
        <v>99.94</v>
      </c>
      <c r="K12" s="62">
        <v>20.49</v>
      </c>
      <c r="L12" s="62">
        <v>95.68</v>
      </c>
      <c r="M12" s="62">
        <v>43.12</v>
      </c>
      <c r="N12" s="62">
        <v>350.5</v>
      </c>
      <c r="O12" s="62">
        <v>76.42</v>
      </c>
      <c r="P12" s="62">
        <v>99</v>
      </c>
      <c r="Q12" s="62">
        <v>50.91</v>
      </c>
      <c r="R12" s="62">
        <v>35.659999999999997</v>
      </c>
      <c r="S12" s="62">
        <v>60.37</v>
      </c>
      <c r="T12" s="62">
        <v>25.57</v>
      </c>
      <c r="U12" s="62">
        <v>21.25</v>
      </c>
      <c r="V12" s="62">
        <v>244.45</v>
      </c>
      <c r="W12" s="62">
        <v>97.01</v>
      </c>
      <c r="X12" s="62"/>
      <c r="Y12" s="62">
        <v>43.09</v>
      </c>
      <c r="Z12" s="62">
        <v>94.23</v>
      </c>
      <c r="AA12" s="62">
        <v>46.59</v>
      </c>
    </row>
    <row r="13" spans="1:27" ht="15" customHeight="1" x14ac:dyDescent="0.15">
      <c r="A13" s="65">
        <v>45254</v>
      </c>
      <c r="B13" s="62">
        <v>619.42999999999995</v>
      </c>
      <c r="C13" s="62">
        <v>54.6</v>
      </c>
      <c r="D13" s="62">
        <v>675.94</v>
      </c>
      <c r="E13" s="62">
        <v>94.76</v>
      </c>
      <c r="F13" s="62">
        <v>52.67</v>
      </c>
      <c r="G13" s="62">
        <v>54.41</v>
      </c>
      <c r="H13" s="62">
        <v>76.150000000000006</v>
      </c>
      <c r="I13" s="62">
        <v>47.63</v>
      </c>
      <c r="J13" s="62">
        <v>101.69</v>
      </c>
      <c r="K13" s="62">
        <v>19.2</v>
      </c>
      <c r="L13" s="62">
        <v>94</v>
      </c>
      <c r="M13" s="62">
        <v>42.52</v>
      </c>
      <c r="N13" s="62">
        <v>353.04</v>
      </c>
      <c r="O13" s="62">
        <v>76.430000000000007</v>
      </c>
      <c r="P13" s="62">
        <v>99.35</v>
      </c>
      <c r="Q13" s="62">
        <v>51.13</v>
      </c>
      <c r="R13" s="62">
        <v>35.85</v>
      </c>
      <c r="S13" s="62">
        <v>60.7</v>
      </c>
      <c r="T13" s="62">
        <v>25.75</v>
      </c>
      <c r="U13" s="62">
        <v>21.45</v>
      </c>
      <c r="V13" s="62">
        <v>249.1</v>
      </c>
      <c r="W13" s="62">
        <v>97.69</v>
      </c>
      <c r="X13" s="62"/>
      <c r="Y13" s="62">
        <v>43.42</v>
      </c>
      <c r="Z13" s="62">
        <v>94.27</v>
      </c>
      <c r="AA13" s="62">
        <v>47.96</v>
      </c>
    </row>
    <row r="14" spans="1:27" ht="15" customHeight="1" x14ac:dyDescent="0.15">
      <c r="A14" s="65">
        <v>45261</v>
      </c>
      <c r="B14" s="62">
        <v>612.47</v>
      </c>
      <c r="C14" s="62">
        <v>54.16</v>
      </c>
      <c r="D14" s="62">
        <v>676.94</v>
      </c>
      <c r="E14" s="62">
        <v>90.03</v>
      </c>
      <c r="F14" s="62">
        <v>58.76</v>
      </c>
      <c r="G14" s="62">
        <v>53.76</v>
      </c>
      <c r="H14" s="62">
        <v>75.22</v>
      </c>
      <c r="I14" s="62">
        <v>46.63</v>
      </c>
      <c r="J14" s="62">
        <v>107.37</v>
      </c>
      <c r="K14" s="62">
        <v>20.27</v>
      </c>
      <c r="L14" s="62">
        <v>94.69</v>
      </c>
      <c r="M14" s="62">
        <v>44.97</v>
      </c>
      <c r="N14" s="62">
        <v>351.16</v>
      </c>
      <c r="O14" s="62">
        <v>78.989999999999995</v>
      </c>
      <c r="P14" s="62">
        <v>102.26</v>
      </c>
      <c r="Q14" s="62">
        <v>51.18</v>
      </c>
      <c r="R14" s="62">
        <v>35.92</v>
      </c>
      <c r="S14" s="62">
        <v>60.57</v>
      </c>
      <c r="T14" s="62">
        <v>26.1</v>
      </c>
      <c r="U14" s="62">
        <v>21.85</v>
      </c>
      <c r="V14" s="62">
        <v>251.2</v>
      </c>
      <c r="W14" s="62">
        <v>99.38</v>
      </c>
      <c r="X14" s="62"/>
      <c r="Y14" s="62">
        <v>43.62</v>
      </c>
      <c r="Z14" s="62">
        <v>96.25</v>
      </c>
      <c r="AA14" s="62">
        <v>46.57</v>
      </c>
    </row>
    <row r="15" spans="1:27" ht="15" customHeight="1" x14ac:dyDescent="0.15">
      <c r="A15" s="65">
        <v>45268</v>
      </c>
      <c r="B15" s="62">
        <v>610.01</v>
      </c>
      <c r="C15" s="62">
        <v>56.01</v>
      </c>
      <c r="D15" s="62">
        <v>681.07</v>
      </c>
      <c r="E15" s="62">
        <v>91.41</v>
      </c>
      <c r="F15" s="62">
        <v>60.64</v>
      </c>
      <c r="G15" s="62">
        <v>52.33</v>
      </c>
      <c r="H15" s="62">
        <v>74.260000000000005</v>
      </c>
      <c r="I15" s="62">
        <v>47.37</v>
      </c>
      <c r="J15" s="62">
        <v>108.82</v>
      </c>
      <c r="K15" s="62">
        <v>17.77</v>
      </c>
      <c r="L15" s="62">
        <v>96.42</v>
      </c>
      <c r="M15" s="62">
        <v>46.98</v>
      </c>
      <c r="N15" s="62">
        <v>350.15</v>
      </c>
      <c r="O15" s="62">
        <v>79.650000000000006</v>
      </c>
      <c r="P15" s="62">
        <v>102.48</v>
      </c>
      <c r="Q15" s="62">
        <v>51.37</v>
      </c>
      <c r="R15" s="62">
        <v>36.18</v>
      </c>
      <c r="S15" s="62">
        <v>60.79</v>
      </c>
      <c r="T15" s="62">
        <v>26.33</v>
      </c>
      <c r="U15" s="62">
        <v>21.89</v>
      </c>
      <c r="V15" s="62">
        <v>250.51</v>
      </c>
      <c r="W15" s="62">
        <v>99.15</v>
      </c>
      <c r="X15" s="62"/>
      <c r="Y15" s="62">
        <v>43.49</v>
      </c>
      <c r="Z15" s="62">
        <v>94.75</v>
      </c>
      <c r="AA15" s="62">
        <v>45.38</v>
      </c>
    </row>
    <row r="16" spans="1:27" ht="15" customHeight="1" x14ac:dyDescent="0.15">
      <c r="A16" s="65">
        <v>45275</v>
      </c>
      <c r="B16" s="62">
        <v>584.67999999999995</v>
      </c>
      <c r="C16" s="62">
        <v>58.9</v>
      </c>
      <c r="D16" s="62">
        <v>736.36</v>
      </c>
      <c r="E16" s="62">
        <v>109.37</v>
      </c>
      <c r="F16" s="62">
        <v>65.02</v>
      </c>
      <c r="G16" s="62">
        <v>57.29</v>
      </c>
      <c r="H16" s="62">
        <v>80.64</v>
      </c>
      <c r="I16" s="62">
        <v>48.75</v>
      </c>
      <c r="J16" s="62">
        <v>122.68</v>
      </c>
      <c r="K16" s="62">
        <v>18.2</v>
      </c>
      <c r="L16" s="62">
        <v>98.99</v>
      </c>
      <c r="M16" s="62">
        <v>47.57</v>
      </c>
      <c r="N16" s="62">
        <v>410.68</v>
      </c>
      <c r="O16" s="62">
        <v>84.02</v>
      </c>
      <c r="P16" s="62">
        <v>105.54</v>
      </c>
      <c r="Q16" s="62">
        <v>51.84</v>
      </c>
      <c r="R16" s="62">
        <v>36.729999999999997</v>
      </c>
      <c r="S16" s="62">
        <v>62.87</v>
      </c>
      <c r="T16" s="62">
        <v>27.06</v>
      </c>
      <c r="U16" s="62">
        <v>22.77</v>
      </c>
      <c r="V16" s="62">
        <v>252.75</v>
      </c>
      <c r="W16" s="62">
        <v>102.56</v>
      </c>
      <c r="X16" s="62"/>
      <c r="Y16" s="62">
        <v>44.02</v>
      </c>
      <c r="Z16" s="62">
        <v>96.83</v>
      </c>
      <c r="AA16" s="62">
        <v>47.21</v>
      </c>
    </row>
    <row r="17" spans="1:27" ht="15" customHeight="1" x14ac:dyDescent="0.15">
      <c r="A17" s="65">
        <v>45282</v>
      </c>
      <c r="B17" s="62">
        <v>598.75</v>
      </c>
      <c r="C17" s="62">
        <v>59.56</v>
      </c>
      <c r="D17" s="62">
        <v>735.94</v>
      </c>
      <c r="E17" s="62">
        <v>109.11</v>
      </c>
      <c r="F17" s="62">
        <v>63.91</v>
      </c>
      <c r="G17" s="62">
        <v>57.05</v>
      </c>
      <c r="H17" s="62">
        <v>85.68</v>
      </c>
      <c r="I17" s="62">
        <v>48.69</v>
      </c>
      <c r="J17" s="62">
        <v>120.98</v>
      </c>
      <c r="K17" s="62">
        <v>17.41</v>
      </c>
      <c r="L17" s="62">
        <v>99.57</v>
      </c>
      <c r="M17" s="62">
        <v>48.62</v>
      </c>
      <c r="N17" s="62">
        <v>405.25</v>
      </c>
      <c r="O17" s="62">
        <v>86.35</v>
      </c>
      <c r="P17" s="62">
        <v>105.82</v>
      </c>
      <c r="Q17" s="62">
        <v>51.9</v>
      </c>
      <c r="R17" s="62">
        <v>36.840000000000003</v>
      </c>
      <c r="S17" s="62">
        <v>63.81</v>
      </c>
      <c r="T17" s="62">
        <v>27.39</v>
      </c>
      <c r="U17" s="62">
        <v>22.89</v>
      </c>
      <c r="V17" s="62">
        <v>253.14</v>
      </c>
      <c r="W17" s="62">
        <v>103.26</v>
      </c>
      <c r="X17" s="62"/>
      <c r="Y17" s="62">
        <v>44.08</v>
      </c>
      <c r="Z17" s="62">
        <v>99.55</v>
      </c>
      <c r="AA17" s="62">
        <v>48.68</v>
      </c>
    </row>
    <row r="18" spans="1:27" ht="15" customHeight="1" x14ac:dyDescent="0.15">
      <c r="A18" s="65">
        <v>45289</v>
      </c>
      <c r="B18" s="62">
        <v>596.6</v>
      </c>
      <c r="C18" s="62">
        <v>58.88</v>
      </c>
      <c r="D18" s="62">
        <v>740.23</v>
      </c>
      <c r="E18" s="62">
        <v>108.56</v>
      </c>
      <c r="F18" s="62">
        <v>63.83</v>
      </c>
      <c r="G18" s="62">
        <v>56.92</v>
      </c>
      <c r="H18" s="62">
        <v>84.65</v>
      </c>
      <c r="I18" s="62">
        <v>49.38</v>
      </c>
      <c r="J18" s="62">
        <v>121.8</v>
      </c>
      <c r="K18" s="62">
        <v>17.170000000000002</v>
      </c>
      <c r="L18" s="62">
        <v>100.4</v>
      </c>
      <c r="M18" s="62">
        <v>47.87</v>
      </c>
      <c r="N18" s="62">
        <v>406.89</v>
      </c>
      <c r="O18" s="62">
        <v>86.03</v>
      </c>
      <c r="P18" s="62">
        <v>106.25</v>
      </c>
      <c r="Q18" s="62">
        <v>51.99</v>
      </c>
      <c r="R18" s="62">
        <v>36.96</v>
      </c>
      <c r="S18" s="62">
        <v>64.260000000000005</v>
      </c>
      <c r="T18" s="62">
        <v>27.33</v>
      </c>
      <c r="U18" s="62">
        <v>22.98</v>
      </c>
      <c r="V18" s="62">
        <v>255.02</v>
      </c>
      <c r="W18" s="62">
        <v>103.89</v>
      </c>
      <c r="X18" s="62"/>
      <c r="Y18" s="62">
        <v>44.31</v>
      </c>
      <c r="Z18" s="62">
        <v>100.35</v>
      </c>
      <c r="AA18" s="62">
        <v>48.69</v>
      </c>
    </row>
    <row r="19" spans="1:27" ht="15" customHeight="1" x14ac:dyDescent="0.15">
      <c r="A19" s="65">
        <v>45296</v>
      </c>
      <c r="B19" s="62">
        <v>564.6</v>
      </c>
      <c r="C19" s="62">
        <v>57.73</v>
      </c>
      <c r="D19" s="62">
        <v>687.83</v>
      </c>
      <c r="E19" s="62">
        <v>102.04</v>
      </c>
      <c r="F19" s="62">
        <v>61.87</v>
      </c>
      <c r="G19" s="62">
        <v>53.3</v>
      </c>
      <c r="H19" s="62">
        <v>82.78</v>
      </c>
      <c r="I19" s="62">
        <v>48.96</v>
      </c>
      <c r="J19" s="62">
        <v>119.3</v>
      </c>
      <c r="K19" s="62">
        <v>15.98</v>
      </c>
      <c r="L19" s="62">
        <v>96.16</v>
      </c>
      <c r="M19" s="62">
        <v>46.16</v>
      </c>
      <c r="N19" s="62">
        <v>416.5</v>
      </c>
      <c r="O19" s="62">
        <v>83.8</v>
      </c>
      <c r="P19" s="62">
        <v>107</v>
      </c>
      <c r="Q19" s="62">
        <v>51.76</v>
      </c>
      <c r="R19" s="62">
        <v>36.380000000000003</v>
      </c>
      <c r="S19" s="62">
        <v>63.6</v>
      </c>
      <c r="T19" s="62">
        <v>27.35</v>
      </c>
      <c r="U19" s="62">
        <v>23.05</v>
      </c>
      <c r="V19" s="62">
        <v>254.38</v>
      </c>
      <c r="W19" s="62">
        <v>104.12</v>
      </c>
      <c r="X19" s="62"/>
      <c r="Y19" s="62">
        <v>44.12</v>
      </c>
      <c r="Z19" s="62">
        <v>99.29</v>
      </c>
      <c r="AA19" s="62">
        <v>47.41</v>
      </c>
    </row>
    <row r="20" spans="1:27" ht="15" customHeight="1" x14ac:dyDescent="0.15">
      <c r="A20" s="65">
        <v>45303</v>
      </c>
      <c r="B20" s="62">
        <v>596.54</v>
      </c>
      <c r="C20" s="62">
        <v>63.01</v>
      </c>
      <c r="D20" s="62">
        <v>697.49</v>
      </c>
      <c r="E20" s="62">
        <v>107.72</v>
      </c>
      <c r="F20" s="62">
        <v>70.84</v>
      </c>
      <c r="G20" s="62">
        <v>54.89</v>
      </c>
      <c r="H20" s="62">
        <v>81.72</v>
      </c>
      <c r="I20" s="62">
        <v>54.55</v>
      </c>
      <c r="J20" s="62">
        <v>120.2</v>
      </c>
      <c r="K20" s="62">
        <v>16.760000000000002</v>
      </c>
      <c r="L20" s="62">
        <v>97.73</v>
      </c>
      <c r="M20" s="62">
        <v>49.36</v>
      </c>
      <c r="N20" s="62">
        <v>433.4</v>
      </c>
      <c r="O20" s="62">
        <v>82.85</v>
      </c>
      <c r="P20" s="62">
        <v>105.52</v>
      </c>
      <c r="Q20" s="62">
        <v>52.27</v>
      </c>
      <c r="R20" s="62">
        <v>37.380000000000003</v>
      </c>
      <c r="S20" s="62">
        <v>65.569999999999993</v>
      </c>
      <c r="T20" s="62">
        <v>27.29</v>
      </c>
      <c r="U20" s="62">
        <v>23.02</v>
      </c>
      <c r="V20" s="62">
        <v>258.76</v>
      </c>
      <c r="W20" s="62">
        <v>103.76</v>
      </c>
      <c r="X20" s="62"/>
      <c r="Y20" s="62">
        <v>44.57</v>
      </c>
      <c r="Z20" s="62">
        <v>102.05</v>
      </c>
      <c r="AA20" s="62">
        <v>49.22</v>
      </c>
    </row>
    <row r="21" spans="1:27" ht="15" customHeight="1" x14ac:dyDescent="0.15">
      <c r="A21" s="65">
        <v>45310</v>
      </c>
      <c r="B21" s="62">
        <v>611.54999999999995</v>
      </c>
      <c r="C21" s="62">
        <v>65.88</v>
      </c>
      <c r="D21" s="62">
        <v>741.12</v>
      </c>
      <c r="E21" s="62">
        <v>117.79</v>
      </c>
      <c r="F21" s="62">
        <v>72.64</v>
      </c>
      <c r="G21" s="62">
        <v>60.02</v>
      </c>
      <c r="H21" s="62">
        <v>86.8</v>
      </c>
      <c r="I21" s="62">
        <v>59.32</v>
      </c>
      <c r="J21" s="62">
        <v>117.36</v>
      </c>
      <c r="K21" s="62">
        <v>16.78</v>
      </c>
      <c r="L21" s="62">
        <v>110.24</v>
      </c>
      <c r="M21" s="62">
        <v>53.49</v>
      </c>
      <c r="N21" s="62">
        <v>435.02</v>
      </c>
      <c r="O21" s="62">
        <v>83.1</v>
      </c>
      <c r="P21" s="62">
        <v>104.13</v>
      </c>
      <c r="Q21" s="62">
        <v>52.58</v>
      </c>
      <c r="R21" s="62">
        <v>38.04</v>
      </c>
      <c r="S21" s="62">
        <v>66.959999999999994</v>
      </c>
      <c r="T21" s="62">
        <v>27.03</v>
      </c>
      <c r="U21" s="62">
        <v>23.12</v>
      </c>
      <c r="V21" s="62">
        <v>265.36</v>
      </c>
      <c r="W21" s="62">
        <v>103.89</v>
      </c>
      <c r="X21" s="62"/>
      <c r="Y21" s="62">
        <v>44.7</v>
      </c>
      <c r="Z21" s="62">
        <v>102.06</v>
      </c>
      <c r="AA21" s="62">
        <v>48.29</v>
      </c>
    </row>
    <row r="22" spans="1:27" ht="15" customHeight="1" x14ac:dyDescent="0.15">
      <c r="A22" s="65">
        <v>45317</v>
      </c>
      <c r="B22" s="62">
        <v>613.92999999999995</v>
      </c>
      <c r="C22" s="62">
        <v>66.099999999999994</v>
      </c>
      <c r="D22" s="62">
        <v>848.61</v>
      </c>
      <c r="E22" s="62">
        <v>117.18</v>
      </c>
      <c r="F22" s="62">
        <v>72.58</v>
      </c>
      <c r="G22" s="62">
        <v>58.69</v>
      </c>
      <c r="H22" s="62">
        <v>87.34</v>
      </c>
      <c r="I22" s="62">
        <v>60.85</v>
      </c>
      <c r="J22" s="62">
        <v>115.93</v>
      </c>
      <c r="K22" s="62">
        <v>16.350000000000001</v>
      </c>
      <c r="L22" s="62">
        <v>113.2</v>
      </c>
      <c r="M22" s="62">
        <v>53.28</v>
      </c>
      <c r="N22" s="62">
        <v>430.17</v>
      </c>
      <c r="O22" s="62">
        <v>85.06</v>
      </c>
      <c r="P22" s="62">
        <v>105.77</v>
      </c>
      <c r="Q22" s="62">
        <v>52.91</v>
      </c>
      <c r="R22" s="62">
        <v>38.340000000000003</v>
      </c>
      <c r="S22" s="62">
        <v>68.040000000000006</v>
      </c>
      <c r="T22" s="62">
        <v>27.25</v>
      </c>
      <c r="U22" s="62">
        <v>23.25</v>
      </c>
      <c r="V22" s="62">
        <v>262.45999999999998</v>
      </c>
      <c r="W22" s="62">
        <v>105.16</v>
      </c>
      <c r="X22" s="62"/>
      <c r="Y22" s="62">
        <v>45.08</v>
      </c>
      <c r="Z22" s="62">
        <v>103.15</v>
      </c>
      <c r="AA22" s="62">
        <v>57.04</v>
      </c>
    </row>
    <row r="23" spans="1:27" ht="15" customHeight="1" x14ac:dyDescent="0.15">
      <c r="A23" s="65">
        <v>45324</v>
      </c>
      <c r="B23" s="62">
        <v>634.76</v>
      </c>
      <c r="C23" s="62">
        <v>68.28</v>
      </c>
      <c r="D23" s="62">
        <v>871.02</v>
      </c>
      <c r="E23" s="62">
        <v>119.07</v>
      </c>
      <c r="F23" s="62">
        <v>75.89</v>
      </c>
      <c r="G23" s="62">
        <v>59.17</v>
      </c>
      <c r="H23" s="62">
        <v>85.78</v>
      </c>
      <c r="I23" s="62">
        <v>65.97</v>
      </c>
      <c r="J23" s="62">
        <v>118.1</v>
      </c>
      <c r="K23" s="62">
        <v>17.02</v>
      </c>
      <c r="L23" s="62">
        <v>111.74</v>
      </c>
      <c r="M23" s="62">
        <v>61.27</v>
      </c>
      <c r="N23" s="62">
        <v>424.68</v>
      </c>
      <c r="O23" s="62">
        <v>83.47</v>
      </c>
      <c r="P23" s="62">
        <v>104.41</v>
      </c>
      <c r="Q23" s="62">
        <v>53.66</v>
      </c>
      <c r="R23" s="62">
        <v>38.71</v>
      </c>
      <c r="S23" s="62">
        <v>71.150000000000006</v>
      </c>
      <c r="T23" s="62">
        <v>27.51</v>
      </c>
      <c r="U23" s="62">
        <v>23.24</v>
      </c>
      <c r="V23" s="62">
        <v>271.51</v>
      </c>
      <c r="W23" s="62">
        <v>105.29</v>
      </c>
      <c r="X23" s="62"/>
      <c r="Y23" s="62">
        <v>45.53</v>
      </c>
      <c r="Z23" s="62">
        <v>107.35</v>
      </c>
      <c r="AA23" s="62">
        <v>56.46</v>
      </c>
    </row>
    <row r="24" spans="1:27" ht="15" customHeight="1" x14ac:dyDescent="0.15">
      <c r="A24" s="65">
        <v>45331</v>
      </c>
      <c r="B24" s="62">
        <v>627.21</v>
      </c>
      <c r="C24" s="62">
        <v>70.61</v>
      </c>
      <c r="D24" s="62">
        <v>930.29</v>
      </c>
      <c r="E24" s="62">
        <v>124.82</v>
      </c>
      <c r="F24" s="62">
        <v>82.33</v>
      </c>
      <c r="G24" s="62">
        <v>63.63</v>
      </c>
      <c r="H24" s="62">
        <v>84.87</v>
      </c>
      <c r="I24" s="62">
        <v>71.92</v>
      </c>
      <c r="J24" s="62">
        <v>121.05</v>
      </c>
      <c r="K24" s="62">
        <v>24.38</v>
      </c>
      <c r="L24" s="62">
        <v>128.5</v>
      </c>
      <c r="M24" s="62">
        <v>63.31</v>
      </c>
      <c r="N24" s="62">
        <v>422.91</v>
      </c>
      <c r="O24" s="62">
        <v>84.22</v>
      </c>
      <c r="P24" s="62">
        <v>103.48</v>
      </c>
      <c r="Q24" s="62">
        <v>53.89</v>
      </c>
      <c r="R24" s="62">
        <v>39.119999999999997</v>
      </c>
      <c r="S24" s="62">
        <v>72.849999999999994</v>
      </c>
      <c r="T24" s="62">
        <v>27.65</v>
      </c>
      <c r="U24" s="62">
        <v>23.18</v>
      </c>
      <c r="V24" s="62">
        <v>271.27999999999997</v>
      </c>
      <c r="W24" s="62">
        <v>105.06</v>
      </c>
      <c r="X24" s="62"/>
      <c r="Y24" s="62">
        <v>45.5</v>
      </c>
      <c r="Z24" s="62">
        <v>109.51</v>
      </c>
      <c r="AA24" s="62">
        <v>56.13</v>
      </c>
    </row>
    <row r="25" spans="1:27" ht="15" customHeight="1" x14ac:dyDescent="0.15">
      <c r="A25" s="65">
        <v>45338</v>
      </c>
      <c r="B25" s="62">
        <v>546.66</v>
      </c>
      <c r="C25" s="62">
        <v>65.44</v>
      </c>
      <c r="D25" s="62">
        <v>910.05</v>
      </c>
      <c r="E25" s="62">
        <v>121.12</v>
      </c>
      <c r="F25" s="62">
        <v>82.31</v>
      </c>
      <c r="G25" s="62">
        <v>64.900000000000006</v>
      </c>
      <c r="H25" s="62">
        <v>78.86</v>
      </c>
      <c r="I25" s="62">
        <v>72.400000000000006</v>
      </c>
      <c r="J25" s="62">
        <v>121.88</v>
      </c>
      <c r="K25" s="62">
        <v>24.44</v>
      </c>
      <c r="L25" s="62">
        <v>122.3</v>
      </c>
      <c r="M25" s="62">
        <v>62.76</v>
      </c>
      <c r="N25" s="62">
        <v>422.2</v>
      </c>
      <c r="O25" s="62">
        <v>84.82</v>
      </c>
      <c r="P25" s="62">
        <v>104.69</v>
      </c>
      <c r="Q25" s="62">
        <v>53.59</v>
      </c>
      <c r="R25" s="62">
        <v>38.99</v>
      </c>
      <c r="S25" s="62">
        <v>73.459999999999994</v>
      </c>
      <c r="T25" s="62">
        <v>27.88</v>
      </c>
      <c r="U25" s="62">
        <v>23.24</v>
      </c>
      <c r="V25" s="62">
        <v>273.37</v>
      </c>
      <c r="W25" s="62">
        <v>106.04</v>
      </c>
      <c r="X25" s="62"/>
      <c r="Y25" s="62">
        <v>45.56</v>
      </c>
      <c r="Z25" s="62">
        <v>117.27</v>
      </c>
      <c r="AA25" s="62">
        <v>58.4</v>
      </c>
    </row>
    <row r="26" spans="1:27" ht="15" customHeight="1" x14ac:dyDescent="0.15">
      <c r="A26" s="65">
        <v>45345</v>
      </c>
      <c r="B26" s="62">
        <v>553.44000000000005</v>
      </c>
      <c r="C26" s="62">
        <v>66.92</v>
      </c>
      <c r="D26" s="62">
        <v>914.27</v>
      </c>
      <c r="E26" s="62">
        <v>126.07</v>
      </c>
      <c r="F26" s="62">
        <v>77.87</v>
      </c>
      <c r="G26" s="62">
        <v>65.63</v>
      </c>
      <c r="H26" s="62">
        <v>85.31</v>
      </c>
      <c r="I26" s="62">
        <v>78.59</v>
      </c>
      <c r="J26" s="62">
        <v>121.72</v>
      </c>
      <c r="K26" s="62">
        <v>22.97</v>
      </c>
      <c r="L26" s="62">
        <v>125.04</v>
      </c>
      <c r="M26" s="62">
        <v>62.49</v>
      </c>
      <c r="N26" s="62">
        <v>430.11</v>
      </c>
      <c r="O26" s="62">
        <v>84.54</v>
      </c>
      <c r="P26" s="62">
        <v>105.57</v>
      </c>
      <c r="Q26" s="62">
        <v>54</v>
      </c>
      <c r="R26" s="62">
        <v>39.479999999999997</v>
      </c>
      <c r="S26" s="62">
        <v>75.099999999999994</v>
      </c>
      <c r="T26" s="62">
        <v>28.49</v>
      </c>
      <c r="U26" s="62">
        <v>23.51</v>
      </c>
      <c r="V26" s="62">
        <v>278.31</v>
      </c>
      <c r="W26" s="62">
        <v>107.55</v>
      </c>
      <c r="X26" s="62"/>
      <c r="Y26" s="62">
        <v>46.09</v>
      </c>
      <c r="Z26" s="62">
        <v>120.55</v>
      </c>
      <c r="AA26" s="62">
        <v>58.36</v>
      </c>
    </row>
    <row r="27" spans="1:27" ht="15" customHeight="1" x14ac:dyDescent="0.15">
      <c r="A27" s="65">
        <v>45352</v>
      </c>
      <c r="B27" s="62">
        <v>570.92999999999995</v>
      </c>
      <c r="C27" s="62">
        <v>71.930000000000007</v>
      </c>
      <c r="D27" s="62">
        <v>970.78</v>
      </c>
      <c r="E27" s="62">
        <v>136.07</v>
      </c>
      <c r="F27" s="62">
        <v>78.650000000000006</v>
      </c>
      <c r="G27" s="62">
        <v>70.42</v>
      </c>
      <c r="H27" s="62">
        <v>94.38</v>
      </c>
      <c r="I27" s="62">
        <v>82.04</v>
      </c>
      <c r="J27" s="62">
        <v>122.99</v>
      </c>
      <c r="K27" s="62">
        <v>24.93</v>
      </c>
      <c r="L27" s="62">
        <v>129.26</v>
      </c>
      <c r="M27" s="62">
        <v>70.34</v>
      </c>
      <c r="N27" s="62">
        <v>432.76</v>
      </c>
      <c r="O27" s="62">
        <v>85.87</v>
      </c>
      <c r="P27" s="62">
        <v>105.59</v>
      </c>
      <c r="Q27" s="62">
        <v>54.34</v>
      </c>
      <c r="R27" s="62">
        <v>39.979999999999997</v>
      </c>
      <c r="S27" s="62">
        <v>77.209999999999994</v>
      </c>
      <c r="T27" s="62">
        <v>29.11</v>
      </c>
      <c r="U27" s="62">
        <v>23.59</v>
      </c>
      <c r="V27" s="62">
        <v>277.88</v>
      </c>
      <c r="W27" s="62">
        <v>108.11</v>
      </c>
      <c r="X27" s="62"/>
      <c r="Y27" s="62">
        <v>46.28</v>
      </c>
      <c r="Z27" s="62">
        <v>124.74</v>
      </c>
      <c r="AA27" s="62">
        <v>61.93</v>
      </c>
    </row>
    <row r="28" spans="1:27" ht="15" customHeight="1" x14ac:dyDescent="0.15">
      <c r="A28" s="65">
        <v>45359</v>
      </c>
      <c r="B28" s="62">
        <v>551.69000000000005</v>
      </c>
      <c r="C28" s="62">
        <v>68.28</v>
      </c>
      <c r="D28" s="62">
        <v>974.11</v>
      </c>
      <c r="E28" s="62">
        <v>127.27</v>
      </c>
      <c r="F28" s="62">
        <v>80.709999999999994</v>
      </c>
      <c r="G28" s="62">
        <v>68.62</v>
      </c>
      <c r="H28" s="62">
        <v>96.83</v>
      </c>
      <c r="I28" s="62">
        <v>87.28</v>
      </c>
      <c r="J28" s="62">
        <v>123.42</v>
      </c>
      <c r="K28" s="62">
        <v>26.04</v>
      </c>
      <c r="L28" s="62">
        <v>141.30000000000001</v>
      </c>
      <c r="M28" s="62">
        <v>69.14</v>
      </c>
      <c r="N28" s="62">
        <v>413.59</v>
      </c>
      <c r="O28" s="62">
        <v>85.97</v>
      </c>
      <c r="P28" s="62">
        <v>108.41</v>
      </c>
      <c r="Q28" s="62">
        <v>54.37</v>
      </c>
      <c r="R28" s="62">
        <v>39.92</v>
      </c>
      <c r="S28" s="62">
        <v>77.510000000000005</v>
      </c>
      <c r="T28" s="62">
        <v>29.69</v>
      </c>
      <c r="U28" s="62">
        <v>23.67</v>
      </c>
      <c r="V28" s="62">
        <v>274.82</v>
      </c>
      <c r="W28" s="62">
        <v>109.2</v>
      </c>
      <c r="X28" s="62"/>
      <c r="Y28" s="62">
        <v>46.51</v>
      </c>
      <c r="Z28" s="62">
        <v>132.06</v>
      </c>
      <c r="AA28" s="62">
        <v>60.48</v>
      </c>
    </row>
    <row r="29" spans="1:27" ht="15" customHeight="1" x14ac:dyDescent="0.15">
      <c r="A29" s="65">
        <v>45366</v>
      </c>
      <c r="B29" s="62">
        <v>492.46</v>
      </c>
      <c r="C29" s="62">
        <v>69.430000000000007</v>
      </c>
      <c r="D29" s="62">
        <v>921.09</v>
      </c>
      <c r="E29" s="62">
        <v>120.15</v>
      </c>
      <c r="F29" s="62">
        <v>78.91</v>
      </c>
      <c r="G29" s="62">
        <v>67.11</v>
      </c>
      <c r="H29" s="62">
        <v>92.5</v>
      </c>
      <c r="I29" s="62">
        <v>87.59</v>
      </c>
      <c r="J29" s="62">
        <v>118.76</v>
      </c>
      <c r="K29" s="62">
        <v>23.49</v>
      </c>
      <c r="L29" s="62">
        <v>132.22999999999999</v>
      </c>
      <c r="M29" s="62">
        <v>73.91</v>
      </c>
      <c r="N29" s="62">
        <v>407.69</v>
      </c>
      <c r="O29" s="62">
        <v>85.24</v>
      </c>
      <c r="P29" s="62">
        <v>108.06</v>
      </c>
      <c r="Q29" s="62">
        <v>54.38</v>
      </c>
      <c r="R29" s="62">
        <v>39.71</v>
      </c>
      <c r="S29" s="62">
        <v>77.11</v>
      </c>
      <c r="T29" s="62">
        <v>30.15</v>
      </c>
      <c r="U29" s="62">
        <v>23.71</v>
      </c>
      <c r="V29" s="62">
        <v>277.76</v>
      </c>
      <c r="W29" s="62">
        <v>109.43</v>
      </c>
      <c r="X29" s="62"/>
      <c r="Y29" s="62">
        <v>46.41</v>
      </c>
      <c r="Z29" s="62">
        <v>132.79</v>
      </c>
      <c r="AA29" s="62">
        <v>60.59</v>
      </c>
    </row>
    <row r="30" spans="1:27" ht="15" customHeight="1" x14ac:dyDescent="0.15">
      <c r="A30" s="65">
        <v>45373</v>
      </c>
      <c r="B30" s="62">
        <v>499.52</v>
      </c>
      <c r="C30" s="62">
        <v>76.61</v>
      </c>
      <c r="D30" s="62">
        <v>960.03</v>
      </c>
      <c r="E30" s="62">
        <v>132.19</v>
      </c>
      <c r="F30" s="62">
        <v>81.89</v>
      </c>
      <c r="G30" s="62">
        <v>69.73</v>
      </c>
      <c r="H30" s="62">
        <v>109.32</v>
      </c>
      <c r="I30" s="62">
        <v>94.02</v>
      </c>
      <c r="J30" s="62">
        <v>118.4</v>
      </c>
      <c r="K30" s="62">
        <v>24.18</v>
      </c>
      <c r="L30" s="62">
        <v>136.22</v>
      </c>
      <c r="M30" s="62">
        <v>82.25</v>
      </c>
      <c r="N30" s="62">
        <v>415.66</v>
      </c>
      <c r="O30" s="62">
        <v>87.57</v>
      </c>
      <c r="P30" s="62">
        <v>109.81</v>
      </c>
      <c r="Q30" s="62">
        <v>55.04</v>
      </c>
      <c r="R30" s="62">
        <v>40.729999999999997</v>
      </c>
      <c r="S30" s="62">
        <v>79.430000000000007</v>
      </c>
      <c r="T30" s="62">
        <v>30.88</v>
      </c>
      <c r="U30" s="62">
        <v>24.15</v>
      </c>
      <c r="V30" s="62">
        <v>277.98</v>
      </c>
      <c r="W30" s="62">
        <v>111.45</v>
      </c>
      <c r="X30" s="62"/>
      <c r="Y30" s="62">
        <v>46.81</v>
      </c>
      <c r="Z30" s="62">
        <v>137.71</v>
      </c>
      <c r="AA30" s="62">
        <v>62.8</v>
      </c>
    </row>
    <row r="31" spans="1:27" ht="15" customHeight="1" x14ac:dyDescent="0.15">
      <c r="A31" s="65">
        <v>45380</v>
      </c>
      <c r="B31" s="62">
        <v>504.6</v>
      </c>
      <c r="C31" s="62">
        <v>72.5</v>
      </c>
      <c r="D31" s="62">
        <v>950.73</v>
      </c>
      <c r="E31" s="62">
        <v>129.44999999999999</v>
      </c>
      <c r="F31" s="62">
        <v>80.150000000000006</v>
      </c>
      <c r="G31" s="62">
        <v>68.55</v>
      </c>
      <c r="H31" s="62">
        <v>117.05</v>
      </c>
      <c r="I31" s="62">
        <v>90.1</v>
      </c>
      <c r="J31" s="62">
        <v>119.87</v>
      </c>
      <c r="K31" s="62">
        <v>23.01</v>
      </c>
      <c r="L31" s="62">
        <v>131.87</v>
      </c>
      <c r="M31" s="62">
        <v>81.430000000000007</v>
      </c>
      <c r="N31" s="62">
        <v>418.01</v>
      </c>
      <c r="O31" s="62">
        <v>90.08</v>
      </c>
      <c r="P31" s="62">
        <v>112.58</v>
      </c>
      <c r="Q31" s="62">
        <v>55.08</v>
      </c>
      <c r="R31" s="62">
        <v>40.71</v>
      </c>
      <c r="S31" s="62">
        <v>78.83</v>
      </c>
      <c r="T31" s="62">
        <v>31.36</v>
      </c>
      <c r="U31" s="62">
        <v>24.53</v>
      </c>
      <c r="V31" s="62">
        <v>273.88</v>
      </c>
      <c r="W31" s="62">
        <v>113.24</v>
      </c>
      <c r="X31" s="62"/>
      <c r="Y31" s="62">
        <v>47.13</v>
      </c>
      <c r="Z31" s="62">
        <v>138.01</v>
      </c>
      <c r="AA31" s="62">
        <v>60.73</v>
      </c>
    </row>
    <row r="32" spans="1:27" ht="15" customHeight="1" x14ac:dyDescent="0.15">
      <c r="A32" s="65">
        <v>45387</v>
      </c>
      <c r="B32" s="62">
        <v>485.12</v>
      </c>
      <c r="C32" s="62">
        <v>74.400000000000006</v>
      </c>
      <c r="D32" s="62">
        <v>959.63</v>
      </c>
      <c r="E32" s="62">
        <v>130.82</v>
      </c>
      <c r="F32" s="62">
        <v>78.88</v>
      </c>
      <c r="G32" s="62">
        <v>67.010000000000005</v>
      </c>
      <c r="H32" s="62">
        <v>122.7</v>
      </c>
      <c r="I32" s="62">
        <v>87.76</v>
      </c>
      <c r="J32" s="62">
        <v>114.82</v>
      </c>
      <c r="K32" s="62">
        <v>22.96</v>
      </c>
      <c r="L32" s="62">
        <v>137.01</v>
      </c>
      <c r="M32" s="62">
        <v>85.09</v>
      </c>
      <c r="N32" s="62">
        <v>406.67</v>
      </c>
      <c r="O32" s="62">
        <v>88.14</v>
      </c>
      <c r="P32" s="62">
        <v>110.58</v>
      </c>
      <c r="Q32" s="62">
        <v>54.87</v>
      </c>
      <c r="R32" s="62">
        <v>40.54</v>
      </c>
      <c r="S32" s="62">
        <v>79.06</v>
      </c>
      <c r="T32" s="62">
        <v>31.28</v>
      </c>
      <c r="U32" s="62">
        <v>24.03</v>
      </c>
      <c r="V32" s="62">
        <v>271.97000000000003</v>
      </c>
      <c r="W32" s="62">
        <v>111.62</v>
      </c>
      <c r="X32" s="62"/>
      <c r="Y32" s="62">
        <v>46.77</v>
      </c>
      <c r="Z32" s="62">
        <v>153.97999999999999</v>
      </c>
      <c r="AA32" s="62">
        <v>63.62</v>
      </c>
    </row>
    <row r="33" spans="1:27" ht="15" customHeight="1" x14ac:dyDescent="0.15">
      <c r="A33" s="65">
        <v>45394</v>
      </c>
      <c r="B33" s="62">
        <v>474.09</v>
      </c>
      <c r="C33" s="62">
        <v>67.81</v>
      </c>
      <c r="D33" s="62">
        <v>942.28</v>
      </c>
      <c r="E33" s="62">
        <v>131.27000000000001</v>
      </c>
      <c r="F33" s="62">
        <v>77.260000000000005</v>
      </c>
      <c r="G33" s="62">
        <v>66.81</v>
      </c>
      <c r="H33" s="62">
        <v>121.65</v>
      </c>
      <c r="I33" s="62">
        <v>87.94</v>
      </c>
      <c r="J33" s="62">
        <v>109.54</v>
      </c>
      <c r="K33" s="62">
        <v>22.67</v>
      </c>
      <c r="L33" s="62">
        <v>138.13999999999999</v>
      </c>
      <c r="M33" s="62">
        <v>83.64</v>
      </c>
      <c r="N33" s="62">
        <v>396.55</v>
      </c>
      <c r="O33" s="62">
        <v>85.42</v>
      </c>
      <c r="P33" s="62">
        <v>107.42</v>
      </c>
      <c r="Q33" s="62">
        <v>54.52</v>
      </c>
      <c r="R33" s="62">
        <v>40.4</v>
      </c>
      <c r="S33" s="62">
        <v>77.95</v>
      </c>
      <c r="T33" s="62">
        <v>30.48</v>
      </c>
      <c r="U33" s="62">
        <v>23.36</v>
      </c>
      <c r="V33" s="62">
        <v>270.82</v>
      </c>
      <c r="W33" s="62">
        <v>108.66</v>
      </c>
      <c r="X33" s="62"/>
      <c r="Y33" s="62">
        <v>46.05</v>
      </c>
      <c r="Z33" s="62">
        <v>152.6</v>
      </c>
      <c r="AA33" s="62">
        <v>62.28</v>
      </c>
    </row>
    <row r="34" spans="1:27" ht="15" customHeight="1" x14ac:dyDescent="0.15">
      <c r="A34" s="65">
        <v>45401</v>
      </c>
      <c r="B34" s="62">
        <v>465.02</v>
      </c>
      <c r="C34" s="62">
        <v>61.52</v>
      </c>
      <c r="D34" s="62">
        <v>842.06</v>
      </c>
      <c r="E34" s="62">
        <v>117.66</v>
      </c>
      <c r="F34" s="62">
        <v>70.66</v>
      </c>
      <c r="G34" s="62">
        <v>61.64</v>
      </c>
      <c r="H34" s="62">
        <v>106.01</v>
      </c>
      <c r="I34" s="62">
        <v>75.98</v>
      </c>
      <c r="J34" s="62">
        <v>95.26</v>
      </c>
      <c r="K34" s="62">
        <v>20.47</v>
      </c>
      <c r="L34" s="62">
        <v>123.77</v>
      </c>
      <c r="M34" s="62">
        <v>74.790000000000006</v>
      </c>
      <c r="N34" s="62">
        <v>394.28</v>
      </c>
      <c r="O34" s="62">
        <v>84.65</v>
      </c>
      <c r="P34" s="62">
        <v>108.48</v>
      </c>
      <c r="Q34" s="62">
        <v>53.46</v>
      </c>
      <c r="R34" s="62">
        <v>38.46</v>
      </c>
      <c r="S34" s="62">
        <v>73.52</v>
      </c>
      <c r="T34" s="62">
        <v>29.94</v>
      </c>
      <c r="U34" s="62">
        <v>23.32</v>
      </c>
      <c r="V34" s="62">
        <v>264.75</v>
      </c>
      <c r="W34" s="62">
        <v>108.51</v>
      </c>
      <c r="X34" s="62"/>
      <c r="Y34" s="62">
        <v>45.44</v>
      </c>
      <c r="Z34" s="62">
        <v>146.12</v>
      </c>
      <c r="AA34" s="62">
        <v>55.5</v>
      </c>
    </row>
    <row r="35" spans="1:27" ht="15" customHeight="1" x14ac:dyDescent="0.15">
      <c r="A35" s="65">
        <v>45408</v>
      </c>
      <c r="B35" s="62">
        <v>477.56</v>
      </c>
      <c r="C35" s="62">
        <v>66.180000000000007</v>
      </c>
      <c r="D35" s="62">
        <v>902.15</v>
      </c>
      <c r="E35" s="62">
        <v>131.27000000000001</v>
      </c>
      <c r="F35" s="62">
        <v>76.02</v>
      </c>
      <c r="G35" s="62">
        <v>69.31</v>
      </c>
      <c r="H35" s="62">
        <v>114.02</v>
      </c>
      <c r="I35" s="62">
        <v>87.49</v>
      </c>
      <c r="J35" s="62">
        <v>95.79</v>
      </c>
      <c r="K35" s="62">
        <v>22.52</v>
      </c>
      <c r="L35" s="62">
        <v>134.05000000000001</v>
      </c>
      <c r="M35" s="62">
        <v>93.21</v>
      </c>
      <c r="N35" s="62">
        <v>397.48</v>
      </c>
      <c r="O35" s="62">
        <v>86.75</v>
      </c>
      <c r="P35" s="62">
        <v>109.47</v>
      </c>
      <c r="Q35" s="62">
        <v>54.56</v>
      </c>
      <c r="R35" s="62">
        <v>39.840000000000003</v>
      </c>
      <c r="S35" s="62">
        <v>75.73</v>
      </c>
      <c r="T35" s="62">
        <v>30.31</v>
      </c>
      <c r="U35" s="62">
        <v>23.57</v>
      </c>
      <c r="V35" s="62">
        <v>269.39999999999998</v>
      </c>
      <c r="W35" s="62">
        <v>109.85</v>
      </c>
      <c r="X35" s="62"/>
      <c r="Y35" s="62">
        <v>46.12</v>
      </c>
      <c r="Z35" s="62">
        <v>160.22</v>
      </c>
      <c r="AA35" s="62">
        <v>56.12</v>
      </c>
    </row>
    <row r="36" spans="1:27" ht="15" customHeight="1" x14ac:dyDescent="0.15">
      <c r="A36" s="65">
        <v>45415</v>
      </c>
      <c r="B36" s="62">
        <v>486.18</v>
      </c>
      <c r="C36" s="62">
        <v>68.599999999999994</v>
      </c>
      <c r="D36" s="62">
        <v>885.13</v>
      </c>
      <c r="E36" s="62">
        <v>124.83</v>
      </c>
      <c r="F36" s="62">
        <v>77.55</v>
      </c>
      <c r="G36" s="62">
        <v>68.36</v>
      </c>
      <c r="H36" s="62">
        <v>113.88</v>
      </c>
      <c r="I36" s="62">
        <v>88.54</v>
      </c>
      <c r="J36" s="62">
        <v>97.47</v>
      </c>
      <c r="K36" s="62">
        <v>23.33</v>
      </c>
      <c r="L36" s="62">
        <v>137.21</v>
      </c>
      <c r="M36" s="62">
        <v>92.73</v>
      </c>
      <c r="N36" s="62">
        <v>401.08</v>
      </c>
      <c r="O36" s="62">
        <v>87.34</v>
      </c>
      <c r="P36" s="62">
        <v>110.81</v>
      </c>
      <c r="Q36" s="62">
        <v>54.79</v>
      </c>
      <c r="R36" s="62">
        <v>40.24</v>
      </c>
      <c r="S36" s="62">
        <v>76.47</v>
      </c>
      <c r="T36" s="62">
        <v>29.84</v>
      </c>
      <c r="U36" s="62">
        <v>23.72</v>
      </c>
      <c r="V36" s="62">
        <v>263.49</v>
      </c>
      <c r="W36" s="62">
        <v>109.62</v>
      </c>
      <c r="X36" s="62"/>
      <c r="Y36" s="62">
        <v>46.21</v>
      </c>
      <c r="Z36" s="62">
        <v>161.96</v>
      </c>
      <c r="AA36" s="62">
        <v>57.93</v>
      </c>
    </row>
    <row r="37" spans="1:27" ht="15" customHeight="1" x14ac:dyDescent="0.15">
      <c r="A37" s="65">
        <v>45422</v>
      </c>
      <c r="B37" s="62">
        <v>482.29</v>
      </c>
      <c r="C37" s="62">
        <v>78.510000000000005</v>
      </c>
      <c r="D37" s="62">
        <v>913.26</v>
      </c>
      <c r="E37" s="62">
        <v>130.16999999999999</v>
      </c>
      <c r="F37" s="62">
        <v>80.19</v>
      </c>
      <c r="G37" s="62">
        <v>70.489999999999995</v>
      </c>
      <c r="H37" s="62">
        <v>120.38</v>
      </c>
      <c r="I37" s="62">
        <v>89.62</v>
      </c>
      <c r="J37" s="62">
        <v>98.95</v>
      </c>
      <c r="K37" s="62">
        <v>20.6</v>
      </c>
      <c r="L37" s="62">
        <v>144.66999999999999</v>
      </c>
      <c r="M37" s="62">
        <v>95.12</v>
      </c>
      <c r="N37" s="62">
        <v>422.78</v>
      </c>
      <c r="O37" s="62">
        <v>88.85</v>
      </c>
      <c r="P37" s="62">
        <v>113.55</v>
      </c>
      <c r="Q37" s="62">
        <v>55.64</v>
      </c>
      <c r="R37" s="62">
        <v>40.799999999999997</v>
      </c>
      <c r="S37" s="62">
        <v>78.17</v>
      </c>
      <c r="T37" s="62">
        <v>30.51</v>
      </c>
      <c r="U37" s="62">
        <v>24.12</v>
      </c>
      <c r="V37" s="62">
        <v>275.51</v>
      </c>
      <c r="W37" s="62">
        <v>112.19</v>
      </c>
      <c r="X37" s="62"/>
      <c r="Y37" s="62">
        <v>47.07</v>
      </c>
      <c r="Z37" s="62">
        <v>161.24</v>
      </c>
      <c r="AA37" s="62">
        <v>61.09</v>
      </c>
    </row>
    <row r="38" spans="1:27" ht="15" customHeight="1" x14ac:dyDescent="0.15">
      <c r="A38" s="65">
        <v>45429</v>
      </c>
      <c r="B38" s="62">
        <v>483.43</v>
      </c>
      <c r="C38" s="62">
        <v>79.97</v>
      </c>
      <c r="D38" s="62">
        <v>908.04</v>
      </c>
      <c r="E38" s="62">
        <v>136.27000000000001</v>
      </c>
      <c r="F38" s="62">
        <v>86.48</v>
      </c>
      <c r="G38" s="62">
        <v>73.52</v>
      </c>
      <c r="H38" s="62">
        <v>124.4</v>
      </c>
      <c r="I38" s="62">
        <v>92.22</v>
      </c>
      <c r="J38" s="62">
        <v>102.64</v>
      </c>
      <c r="K38" s="62">
        <v>21.76</v>
      </c>
      <c r="L38" s="62">
        <v>147.02000000000001</v>
      </c>
      <c r="M38" s="62">
        <v>96.52</v>
      </c>
      <c r="N38" s="62">
        <v>445.21</v>
      </c>
      <c r="O38" s="62">
        <v>89.83</v>
      </c>
      <c r="P38" s="62">
        <v>114.93</v>
      </c>
      <c r="Q38" s="62">
        <v>56.24</v>
      </c>
      <c r="R38" s="62">
        <v>41.29</v>
      </c>
      <c r="S38" s="62">
        <v>79.349999999999994</v>
      </c>
      <c r="T38" s="62">
        <v>30.8</v>
      </c>
      <c r="U38" s="62">
        <v>24.36</v>
      </c>
      <c r="V38" s="62">
        <v>275.39</v>
      </c>
      <c r="W38" s="62">
        <v>113.72</v>
      </c>
      <c r="X38" s="62"/>
      <c r="Y38" s="62">
        <v>47.3</v>
      </c>
      <c r="Z38" s="62">
        <v>157.80000000000001</v>
      </c>
      <c r="AA38" s="62">
        <v>62.11</v>
      </c>
    </row>
    <row r="39" spans="1:27" ht="15" customHeight="1" x14ac:dyDescent="0.15">
      <c r="A39" s="65">
        <v>45436</v>
      </c>
      <c r="B39" s="62">
        <v>475.43</v>
      </c>
      <c r="C39" s="62">
        <v>76.64</v>
      </c>
      <c r="D39" s="62">
        <v>938.72</v>
      </c>
      <c r="E39" s="62">
        <v>137.5</v>
      </c>
      <c r="F39" s="62">
        <v>87.87</v>
      </c>
      <c r="G39" s="62">
        <v>76.61</v>
      </c>
      <c r="H39" s="62">
        <v>128.57</v>
      </c>
      <c r="I39" s="62">
        <v>106.17</v>
      </c>
      <c r="J39" s="62">
        <v>96.42</v>
      </c>
      <c r="K39" s="62">
        <v>21.01</v>
      </c>
      <c r="L39" s="62">
        <v>155.08000000000001</v>
      </c>
      <c r="M39" s="62">
        <v>105.85</v>
      </c>
      <c r="N39" s="62">
        <v>456.95</v>
      </c>
      <c r="O39" s="62">
        <v>88.5</v>
      </c>
      <c r="P39" s="62">
        <v>112.58</v>
      </c>
      <c r="Q39" s="62">
        <v>56.3</v>
      </c>
      <c r="R39" s="62">
        <v>41.48</v>
      </c>
      <c r="S39" s="62">
        <v>80.900000000000006</v>
      </c>
      <c r="T39" s="62">
        <v>30.27</v>
      </c>
      <c r="U39" s="62">
        <v>23.76</v>
      </c>
      <c r="V39" s="62">
        <v>269.87</v>
      </c>
      <c r="W39" s="62">
        <v>111.73</v>
      </c>
      <c r="X39" s="62"/>
      <c r="Y39" s="62">
        <v>46.92</v>
      </c>
      <c r="Z39" s="62">
        <v>165.14</v>
      </c>
      <c r="AA39" s="62">
        <v>64.680000000000007</v>
      </c>
    </row>
    <row r="40" spans="1:27" ht="15" customHeight="1" x14ac:dyDescent="0.15">
      <c r="A40" s="65">
        <v>45443</v>
      </c>
      <c r="B40" s="62">
        <v>444.76</v>
      </c>
      <c r="C40" s="62">
        <v>74.41</v>
      </c>
      <c r="D40" s="62">
        <v>942.77</v>
      </c>
      <c r="E40" s="62">
        <v>129.75</v>
      </c>
      <c r="F40" s="62">
        <v>78.42</v>
      </c>
      <c r="G40" s="62">
        <v>74.69</v>
      </c>
      <c r="H40" s="62">
        <v>124.11</v>
      </c>
      <c r="I40" s="62">
        <v>109.32</v>
      </c>
      <c r="J40" s="62">
        <v>101.71</v>
      </c>
      <c r="K40" s="62">
        <v>21.68</v>
      </c>
      <c r="L40" s="62">
        <v>146.4</v>
      </c>
      <c r="M40" s="62">
        <v>97.78</v>
      </c>
      <c r="N40" s="62">
        <v>455.34</v>
      </c>
      <c r="O40" s="62">
        <v>89.45</v>
      </c>
      <c r="P40" s="62">
        <v>113.76</v>
      </c>
      <c r="Q40" s="62">
        <v>56.15</v>
      </c>
      <c r="R40" s="62">
        <v>41.34</v>
      </c>
      <c r="S40" s="62">
        <v>80.010000000000005</v>
      </c>
      <c r="T40" s="62">
        <v>30.62</v>
      </c>
      <c r="U40" s="62">
        <v>23.9</v>
      </c>
      <c r="V40" s="62">
        <v>267.88</v>
      </c>
      <c r="W40" s="62">
        <v>112.31</v>
      </c>
      <c r="X40" s="62"/>
      <c r="Y40" s="62">
        <v>46.84</v>
      </c>
      <c r="Z40" s="62">
        <v>162.97999999999999</v>
      </c>
      <c r="AA40" s="62">
        <v>64.16</v>
      </c>
    </row>
    <row r="41" spans="1:27" ht="15" customHeight="1" x14ac:dyDescent="0.15">
      <c r="A41" s="65">
        <v>45450</v>
      </c>
      <c r="B41" s="62">
        <v>465.43</v>
      </c>
      <c r="C41" s="62">
        <v>74.2</v>
      </c>
      <c r="D41" s="62">
        <v>1009.6</v>
      </c>
      <c r="E41" s="62">
        <v>137.38</v>
      </c>
      <c r="F41" s="62">
        <v>87.28</v>
      </c>
      <c r="G41" s="62">
        <v>75.61</v>
      </c>
      <c r="H41" s="62">
        <v>130.01</v>
      </c>
      <c r="I41" s="62">
        <v>120.54</v>
      </c>
      <c r="J41" s="62">
        <v>101.44</v>
      </c>
      <c r="K41" s="62">
        <v>23.31</v>
      </c>
      <c r="L41" s="62">
        <v>159.34</v>
      </c>
      <c r="M41" s="62">
        <v>87.42</v>
      </c>
      <c r="N41" s="62">
        <v>483.04</v>
      </c>
      <c r="O41" s="62">
        <v>86.4</v>
      </c>
      <c r="P41" s="62">
        <v>111.46</v>
      </c>
      <c r="Q41" s="62">
        <v>56.77</v>
      </c>
      <c r="R41" s="62">
        <v>41.92</v>
      </c>
      <c r="S41" s="62">
        <v>82.44</v>
      </c>
      <c r="T41" s="62">
        <v>29.97</v>
      </c>
      <c r="U41" s="62">
        <v>23.69</v>
      </c>
      <c r="V41" s="62">
        <v>273.98</v>
      </c>
      <c r="W41" s="62">
        <v>111.3</v>
      </c>
      <c r="X41" s="62"/>
      <c r="Y41" s="62">
        <v>46.88</v>
      </c>
      <c r="Z41" s="62">
        <v>159.80000000000001</v>
      </c>
      <c r="AA41" s="62">
        <v>64.150000000000006</v>
      </c>
    </row>
    <row r="42" spans="1:27" ht="15" customHeight="1" x14ac:dyDescent="0.15">
      <c r="A42" s="65">
        <v>45457</v>
      </c>
      <c r="B42" s="62">
        <v>525.30999999999995</v>
      </c>
      <c r="C42" s="62">
        <v>82.12</v>
      </c>
      <c r="D42" s="62">
        <v>1009.09</v>
      </c>
      <c r="E42" s="62">
        <v>169.45</v>
      </c>
      <c r="F42" s="62">
        <v>96.36</v>
      </c>
      <c r="G42" s="62">
        <v>81.11</v>
      </c>
      <c r="H42" s="62">
        <v>140.35</v>
      </c>
      <c r="I42" s="62">
        <v>131.52000000000001</v>
      </c>
      <c r="J42" s="62">
        <v>103.36</v>
      </c>
      <c r="K42" s="62">
        <v>23.57</v>
      </c>
      <c r="L42" s="62">
        <v>167.73</v>
      </c>
      <c r="M42" s="62">
        <v>91.21</v>
      </c>
      <c r="N42" s="62">
        <v>480.73</v>
      </c>
      <c r="O42" s="62">
        <v>84.34</v>
      </c>
      <c r="P42" s="62">
        <v>109.58</v>
      </c>
      <c r="Q42" s="62">
        <v>57.29</v>
      </c>
      <c r="R42" s="62">
        <v>42.45</v>
      </c>
      <c r="S42" s="62">
        <v>85.92</v>
      </c>
      <c r="T42" s="62">
        <v>29.91</v>
      </c>
      <c r="U42" s="62">
        <v>23.36</v>
      </c>
      <c r="V42" s="62">
        <v>266.11</v>
      </c>
      <c r="W42" s="62">
        <v>110.83</v>
      </c>
      <c r="X42" s="62"/>
      <c r="Y42" s="62">
        <v>46.62</v>
      </c>
      <c r="Z42" s="62">
        <v>153.84</v>
      </c>
      <c r="AA42" s="62">
        <v>66.94</v>
      </c>
    </row>
    <row r="43" spans="1:27" ht="15" customHeight="1" x14ac:dyDescent="0.15">
      <c r="A43" s="65">
        <v>45464</v>
      </c>
      <c r="B43" s="62">
        <v>533.44000000000005</v>
      </c>
      <c r="C43" s="62">
        <v>84.34</v>
      </c>
      <c r="D43" s="62">
        <v>1017.63</v>
      </c>
      <c r="E43" s="62">
        <v>161.99</v>
      </c>
      <c r="F43" s="62">
        <v>95.16</v>
      </c>
      <c r="G43" s="62">
        <v>80.290000000000006</v>
      </c>
      <c r="H43" s="62">
        <v>138.55000000000001</v>
      </c>
      <c r="I43" s="62">
        <v>126.22</v>
      </c>
      <c r="J43" s="62">
        <v>101.57</v>
      </c>
      <c r="K43" s="62">
        <v>23.84</v>
      </c>
      <c r="L43" s="62">
        <v>169.14</v>
      </c>
      <c r="M43" s="62">
        <v>90.38</v>
      </c>
      <c r="N43" s="62">
        <v>468.71</v>
      </c>
      <c r="O43" s="62">
        <v>85.25</v>
      </c>
      <c r="P43" s="62">
        <v>111.09</v>
      </c>
      <c r="Q43" s="62">
        <v>57.47</v>
      </c>
      <c r="R43" s="62">
        <v>42.49</v>
      </c>
      <c r="S43" s="62">
        <v>85.85</v>
      </c>
      <c r="T43" s="62">
        <v>30.2</v>
      </c>
      <c r="U43" s="62">
        <v>23.76</v>
      </c>
      <c r="V43" s="62">
        <v>270.58999999999997</v>
      </c>
      <c r="W43" s="62">
        <v>112.22</v>
      </c>
      <c r="X43" s="62"/>
      <c r="Y43" s="62">
        <v>47.03</v>
      </c>
      <c r="Z43" s="62">
        <v>162.09</v>
      </c>
      <c r="AA43" s="62">
        <v>68.61</v>
      </c>
    </row>
    <row r="44" spans="1:27" ht="15" customHeight="1" x14ac:dyDescent="0.15">
      <c r="A44" s="65">
        <v>45471</v>
      </c>
      <c r="B44" s="62">
        <v>555.54</v>
      </c>
      <c r="C44" s="62">
        <v>87.62</v>
      </c>
      <c r="D44" s="62">
        <v>1004.01</v>
      </c>
      <c r="E44" s="62">
        <v>157.30000000000001</v>
      </c>
      <c r="F44" s="62">
        <v>95.8</v>
      </c>
      <c r="G44" s="62">
        <v>81.08</v>
      </c>
      <c r="H44" s="62">
        <v>130.59</v>
      </c>
      <c r="I44" s="62">
        <v>123.2</v>
      </c>
      <c r="J44" s="62">
        <v>104.27</v>
      </c>
      <c r="K44" s="62">
        <v>25.33</v>
      </c>
      <c r="L44" s="62">
        <v>169</v>
      </c>
      <c r="M44" s="62">
        <v>86.34</v>
      </c>
      <c r="N44" s="62">
        <v>468.72</v>
      </c>
      <c r="O44" s="62">
        <v>86.67</v>
      </c>
      <c r="P44" s="62">
        <v>111.42</v>
      </c>
      <c r="Q44" s="62">
        <v>57.71</v>
      </c>
      <c r="R44" s="62">
        <v>42.69</v>
      </c>
      <c r="S44" s="62">
        <v>86.01</v>
      </c>
      <c r="T44" s="62">
        <v>30</v>
      </c>
      <c r="U44" s="62">
        <v>23.9</v>
      </c>
      <c r="V44" s="62">
        <v>258.05</v>
      </c>
      <c r="W44" s="62">
        <v>111.95</v>
      </c>
      <c r="X44" s="62"/>
      <c r="Y44" s="62">
        <v>47.02</v>
      </c>
      <c r="Z44" s="62">
        <v>156.88999999999999</v>
      </c>
      <c r="AA44" s="62">
        <v>67.489999999999995</v>
      </c>
    </row>
    <row r="45" spans="1:27" ht="15" customHeight="1" x14ac:dyDescent="0.15">
      <c r="A45" s="65">
        <v>45478</v>
      </c>
      <c r="B45" s="62">
        <v>578.34</v>
      </c>
      <c r="C45" s="62">
        <v>91.54</v>
      </c>
      <c r="D45" s="62">
        <v>1054.81</v>
      </c>
      <c r="E45" s="62">
        <v>166.88</v>
      </c>
      <c r="F45" s="62">
        <v>97.42</v>
      </c>
      <c r="G45" s="62">
        <v>84.1</v>
      </c>
      <c r="H45" s="62">
        <v>130.66</v>
      </c>
      <c r="I45" s="62">
        <v>125.48</v>
      </c>
      <c r="J45" s="62">
        <v>106.27</v>
      </c>
      <c r="K45" s="62">
        <v>27.23</v>
      </c>
      <c r="L45" s="62">
        <v>178.9</v>
      </c>
      <c r="M45" s="62">
        <v>91.53</v>
      </c>
      <c r="N45" s="62">
        <v>474.57</v>
      </c>
      <c r="O45" s="62">
        <v>85.24</v>
      </c>
      <c r="P45" s="62">
        <v>110.51</v>
      </c>
      <c r="Q45" s="62">
        <v>58.12</v>
      </c>
      <c r="R45" s="62">
        <v>43.31</v>
      </c>
      <c r="S45" s="62">
        <v>88.68</v>
      </c>
      <c r="T45" s="62">
        <v>29.41</v>
      </c>
      <c r="U45" s="62">
        <v>23.68</v>
      </c>
      <c r="V45" s="62">
        <v>265.81</v>
      </c>
      <c r="W45" s="62">
        <v>111.93</v>
      </c>
      <c r="X45" s="62"/>
      <c r="Y45" s="62">
        <v>47.04</v>
      </c>
      <c r="Z45" s="62">
        <v>158.4</v>
      </c>
      <c r="AA45" s="62">
        <v>69.069999999999993</v>
      </c>
    </row>
    <row r="46" spans="1:27" ht="15" customHeight="1" x14ac:dyDescent="0.15">
      <c r="A46" s="65">
        <v>45485</v>
      </c>
      <c r="B46" s="62">
        <v>559.04999999999995</v>
      </c>
      <c r="C46" s="62">
        <v>90.47</v>
      </c>
      <c r="D46" s="62">
        <v>1065.4000000000001</v>
      </c>
      <c r="E46" s="62">
        <v>166.62</v>
      </c>
      <c r="F46" s="62">
        <v>92.83</v>
      </c>
      <c r="G46" s="62">
        <v>84.34</v>
      </c>
      <c r="H46" s="62">
        <v>132.72</v>
      </c>
      <c r="I46" s="62">
        <v>128.88</v>
      </c>
      <c r="J46" s="62">
        <v>111.55</v>
      </c>
      <c r="K46" s="62">
        <v>28.07</v>
      </c>
      <c r="L46" s="62">
        <v>182.16</v>
      </c>
      <c r="M46" s="62">
        <v>89.43</v>
      </c>
      <c r="N46" s="62">
        <v>488.74</v>
      </c>
      <c r="O46" s="62">
        <v>89.99</v>
      </c>
      <c r="P46" s="62">
        <v>115.16</v>
      </c>
      <c r="Q46" s="62">
        <v>58.32</v>
      </c>
      <c r="R46" s="62">
        <v>43.28</v>
      </c>
      <c r="S46" s="62">
        <v>88.5</v>
      </c>
      <c r="T46" s="62">
        <v>30.54</v>
      </c>
      <c r="U46" s="62">
        <v>24.48</v>
      </c>
      <c r="V46" s="62">
        <v>261.27</v>
      </c>
      <c r="W46" s="62">
        <v>114.67</v>
      </c>
      <c r="X46" s="62"/>
      <c r="Y46" s="62">
        <v>47.48</v>
      </c>
      <c r="Z46" s="62">
        <v>157.19</v>
      </c>
      <c r="AA46" s="62">
        <v>64.760000000000005</v>
      </c>
    </row>
    <row r="47" spans="1:27" ht="15" customHeight="1" x14ac:dyDescent="0.15">
      <c r="A47" s="65">
        <v>45492</v>
      </c>
      <c r="B47" s="62">
        <v>551</v>
      </c>
      <c r="C47" s="62">
        <v>82.64</v>
      </c>
      <c r="D47" s="62">
        <v>878.98</v>
      </c>
      <c r="E47" s="62">
        <v>154.16</v>
      </c>
      <c r="F47" s="62">
        <v>76.239999999999995</v>
      </c>
      <c r="G47" s="62">
        <v>74.98</v>
      </c>
      <c r="H47" s="62">
        <v>113.55</v>
      </c>
      <c r="I47" s="62">
        <v>117.6</v>
      </c>
      <c r="J47" s="62">
        <v>114.9</v>
      </c>
      <c r="K47" s="62">
        <v>28.58</v>
      </c>
      <c r="L47" s="62">
        <v>161.18</v>
      </c>
      <c r="M47" s="62">
        <v>85.08</v>
      </c>
      <c r="N47" s="62">
        <v>491.57</v>
      </c>
      <c r="O47" s="62">
        <v>92.37</v>
      </c>
      <c r="P47" s="62">
        <v>116.79</v>
      </c>
      <c r="Q47" s="62">
        <v>57.93</v>
      </c>
      <c r="R47" s="62">
        <v>42</v>
      </c>
      <c r="S47" s="62">
        <v>84.92</v>
      </c>
      <c r="T47" s="62">
        <v>31</v>
      </c>
      <c r="U47" s="62">
        <v>24.93</v>
      </c>
      <c r="V47" s="62">
        <v>260.99</v>
      </c>
      <c r="W47" s="62">
        <v>115.57</v>
      </c>
      <c r="X47" s="62"/>
      <c r="Y47" s="62">
        <v>47.37</v>
      </c>
      <c r="Z47" s="62">
        <v>157.31</v>
      </c>
      <c r="AA47" s="62">
        <v>63.33</v>
      </c>
    </row>
    <row r="48" spans="1:27" ht="15" customHeight="1" x14ac:dyDescent="0.15">
      <c r="A48" s="65">
        <v>45499</v>
      </c>
      <c r="B48" s="62">
        <v>542.44000000000005</v>
      </c>
      <c r="C48" s="62">
        <v>79.8</v>
      </c>
      <c r="D48" s="62">
        <v>872.13</v>
      </c>
      <c r="E48" s="62">
        <v>148.56</v>
      </c>
      <c r="F48" s="62">
        <v>64.040000000000006</v>
      </c>
      <c r="G48" s="62">
        <v>77.430000000000007</v>
      </c>
      <c r="H48" s="62">
        <v>108.73</v>
      </c>
      <c r="I48" s="62">
        <v>112.75</v>
      </c>
      <c r="J48" s="62">
        <v>113.9</v>
      </c>
      <c r="K48" s="62">
        <v>27.18</v>
      </c>
      <c r="L48" s="62">
        <v>157.46</v>
      </c>
      <c r="M48" s="62">
        <v>76.91</v>
      </c>
      <c r="N48" s="62">
        <v>495.26</v>
      </c>
      <c r="O48" s="62">
        <v>95.72</v>
      </c>
      <c r="P48" s="62">
        <v>119.26</v>
      </c>
      <c r="Q48" s="62">
        <v>57.69</v>
      </c>
      <c r="R48" s="62">
        <v>41.05</v>
      </c>
      <c r="S48" s="62">
        <v>83.32</v>
      </c>
      <c r="T48" s="62">
        <v>31.56</v>
      </c>
      <c r="U48" s="62">
        <v>25.35</v>
      </c>
      <c r="V48" s="62">
        <v>255.09</v>
      </c>
      <c r="W48" s="62">
        <v>116.6</v>
      </c>
      <c r="X48" s="62"/>
      <c r="Y48" s="62">
        <v>47.53</v>
      </c>
      <c r="Z48" s="62">
        <v>167.87</v>
      </c>
      <c r="AA48" s="62">
        <v>63.14</v>
      </c>
    </row>
    <row r="49" spans="1:27" ht="15" customHeight="1" x14ac:dyDescent="0.15">
      <c r="A49" s="65">
        <v>45506</v>
      </c>
      <c r="B49" s="62">
        <v>526.16999999999996</v>
      </c>
      <c r="C49" s="62">
        <v>79.83</v>
      </c>
      <c r="D49" s="62">
        <v>796.01</v>
      </c>
      <c r="E49" s="62">
        <v>140.91</v>
      </c>
      <c r="F49" s="62">
        <v>54.47</v>
      </c>
      <c r="G49" s="62">
        <v>68.459999999999994</v>
      </c>
      <c r="H49" s="62">
        <v>92.12</v>
      </c>
      <c r="I49" s="62">
        <v>106.97</v>
      </c>
      <c r="J49" s="62">
        <v>115.11</v>
      </c>
      <c r="K49" s="62">
        <v>24.74</v>
      </c>
      <c r="L49" s="62">
        <v>145.71</v>
      </c>
      <c r="M49" s="62">
        <v>69.27</v>
      </c>
      <c r="N49" s="62">
        <v>494.46</v>
      </c>
      <c r="O49" s="62">
        <v>88.88</v>
      </c>
      <c r="P49" s="62">
        <v>117.54</v>
      </c>
      <c r="Q49" s="62">
        <v>57.07</v>
      </c>
      <c r="R49" s="62">
        <v>39.96</v>
      </c>
      <c r="S49" s="62">
        <v>80.84</v>
      </c>
      <c r="T49" s="62">
        <v>30.65</v>
      </c>
      <c r="U49" s="62">
        <v>24.84</v>
      </c>
      <c r="V49" s="62">
        <v>262.10000000000002</v>
      </c>
      <c r="W49" s="62">
        <v>113.85</v>
      </c>
      <c r="X49" s="62"/>
      <c r="Y49" s="62">
        <v>47.27</v>
      </c>
      <c r="Z49" s="62">
        <v>158.44999999999999</v>
      </c>
      <c r="AA49" s="62">
        <v>61.36</v>
      </c>
    </row>
    <row r="50" spans="1:27" ht="15" customHeight="1" x14ac:dyDescent="0.15">
      <c r="A50" s="65">
        <v>45513</v>
      </c>
      <c r="B50" s="62">
        <v>536.29999999999995</v>
      </c>
      <c r="C50" s="62">
        <v>83.95</v>
      </c>
      <c r="D50" s="62">
        <v>846.36</v>
      </c>
      <c r="E50" s="62">
        <v>145.26</v>
      </c>
      <c r="F50" s="62">
        <v>60.22</v>
      </c>
      <c r="G50" s="62">
        <v>73.430000000000007</v>
      </c>
      <c r="H50" s="62">
        <v>92.5</v>
      </c>
      <c r="I50" s="62">
        <v>104.46</v>
      </c>
      <c r="J50" s="62">
        <v>113.18</v>
      </c>
      <c r="K50" s="62">
        <v>30.01</v>
      </c>
      <c r="L50" s="62">
        <v>162.49</v>
      </c>
      <c r="M50" s="62">
        <v>71.27</v>
      </c>
      <c r="N50" s="62">
        <v>468.45</v>
      </c>
      <c r="O50" s="62">
        <v>87.31</v>
      </c>
      <c r="P50" s="62">
        <v>116.35</v>
      </c>
      <c r="Q50" s="62">
        <v>57.11</v>
      </c>
      <c r="R50" s="62">
        <v>40.07</v>
      </c>
      <c r="S50" s="62">
        <v>82.24</v>
      </c>
      <c r="T50" s="62">
        <v>30.62</v>
      </c>
      <c r="U50" s="62">
        <v>24.64</v>
      </c>
      <c r="V50" s="62">
        <v>255.9</v>
      </c>
      <c r="W50" s="62">
        <v>113.61</v>
      </c>
      <c r="X50" s="62"/>
      <c r="Y50" s="62">
        <v>47.3</v>
      </c>
      <c r="Z50" s="62">
        <v>165.22</v>
      </c>
      <c r="AA50" s="62">
        <v>63.39</v>
      </c>
    </row>
    <row r="51" spans="1:27" ht="15" customHeight="1" x14ac:dyDescent="0.15">
      <c r="A51" s="65">
        <v>45520</v>
      </c>
      <c r="B51" s="62">
        <v>553.46</v>
      </c>
      <c r="C51" s="62">
        <v>88.47</v>
      </c>
      <c r="D51" s="62">
        <v>903.52</v>
      </c>
      <c r="E51" s="62">
        <v>162.37</v>
      </c>
      <c r="F51" s="62">
        <v>65.64</v>
      </c>
      <c r="G51" s="62">
        <v>80.739999999999995</v>
      </c>
      <c r="H51" s="62">
        <v>107.32</v>
      </c>
      <c r="I51" s="62">
        <v>124.24</v>
      </c>
      <c r="J51" s="62">
        <v>114.06</v>
      </c>
      <c r="K51" s="62">
        <v>32.08</v>
      </c>
      <c r="L51" s="62">
        <v>169.71</v>
      </c>
      <c r="M51" s="62">
        <v>79.209999999999994</v>
      </c>
      <c r="N51" s="62">
        <v>477.37</v>
      </c>
      <c r="O51" s="62">
        <v>89.81</v>
      </c>
      <c r="P51" s="62">
        <v>119.33</v>
      </c>
      <c r="Q51" s="62">
        <v>58.6</v>
      </c>
      <c r="R51" s="62">
        <v>41.76</v>
      </c>
      <c r="S51" s="62">
        <v>86.93</v>
      </c>
      <c r="T51" s="62">
        <v>31.12</v>
      </c>
      <c r="U51" s="62">
        <v>25.2</v>
      </c>
      <c r="V51" s="62">
        <v>263.41000000000003</v>
      </c>
      <c r="W51" s="62">
        <v>116.79</v>
      </c>
      <c r="X51" s="62"/>
      <c r="Y51" s="62">
        <v>48.31</v>
      </c>
      <c r="Z51" s="62">
        <v>167.48</v>
      </c>
      <c r="AA51" s="62">
        <v>67.41</v>
      </c>
    </row>
    <row r="52" spans="1:27" ht="15" customHeight="1" x14ac:dyDescent="0.15">
      <c r="A52" s="65">
        <v>45527</v>
      </c>
      <c r="B52" s="62">
        <v>558.29999999999995</v>
      </c>
      <c r="C52" s="62">
        <v>88.78</v>
      </c>
      <c r="D52" s="62">
        <v>892.3</v>
      </c>
      <c r="E52" s="62">
        <v>162.99</v>
      </c>
      <c r="F52" s="62">
        <v>67.89</v>
      </c>
      <c r="G52" s="62">
        <v>80.569999999999993</v>
      </c>
      <c r="H52" s="62">
        <v>102.21</v>
      </c>
      <c r="I52" s="62">
        <v>129.01</v>
      </c>
      <c r="J52" s="62">
        <v>119.64</v>
      </c>
      <c r="K52" s="62">
        <v>31.78</v>
      </c>
      <c r="L52" s="62">
        <v>166.54</v>
      </c>
      <c r="M52" s="62">
        <v>78.34</v>
      </c>
      <c r="N52" s="62">
        <v>481.24</v>
      </c>
      <c r="O52" s="62">
        <v>92.6</v>
      </c>
      <c r="P52" s="62">
        <v>121.81</v>
      </c>
      <c r="Q52" s="62">
        <v>59.12</v>
      </c>
      <c r="R52" s="62">
        <v>42.11</v>
      </c>
      <c r="S52" s="62">
        <v>88.13</v>
      </c>
      <c r="T52" s="62">
        <v>32.14</v>
      </c>
      <c r="U52" s="62">
        <v>25.67</v>
      </c>
      <c r="V52" s="62">
        <v>263.47000000000003</v>
      </c>
      <c r="W52" s="62">
        <v>118.72</v>
      </c>
      <c r="X52" s="62"/>
      <c r="Y52" s="62">
        <v>48.73</v>
      </c>
      <c r="Z52" s="62">
        <v>169.26</v>
      </c>
      <c r="AA52" s="62">
        <v>68.67</v>
      </c>
    </row>
    <row r="53" spans="1:27" ht="15" customHeight="1" x14ac:dyDescent="0.15">
      <c r="A53" s="65">
        <v>45534</v>
      </c>
      <c r="B53" s="62">
        <v>574.41</v>
      </c>
      <c r="C53" s="62">
        <v>88.35</v>
      </c>
      <c r="D53" s="62">
        <v>888.97</v>
      </c>
      <c r="E53" s="62">
        <v>159.52000000000001</v>
      </c>
      <c r="F53" s="62">
        <v>69.319999999999993</v>
      </c>
      <c r="G53" s="62">
        <v>80.72</v>
      </c>
      <c r="H53" s="62">
        <v>95.64</v>
      </c>
      <c r="I53" s="62">
        <v>119.04</v>
      </c>
      <c r="J53" s="62">
        <v>118.67</v>
      </c>
      <c r="K53" s="62">
        <v>31.48</v>
      </c>
      <c r="L53" s="62">
        <v>166.95</v>
      </c>
      <c r="M53" s="62">
        <v>82.81</v>
      </c>
      <c r="N53" s="62">
        <v>495.89</v>
      </c>
      <c r="O53" s="62">
        <v>92.65</v>
      </c>
      <c r="P53" s="62">
        <v>123.48</v>
      </c>
      <c r="Q53" s="62">
        <v>59.33</v>
      </c>
      <c r="R53" s="62">
        <v>42.25</v>
      </c>
      <c r="S53" s="62">
        <v>87.78</v>
      </c>
      <c r="T53" s="62">
        <v>32.24</v>
      </c>
      <c r="U53" s="62">
        <v>25.99</v>
      </c>
      <c r="V53" s="62">
        <v>272.27</v>
      </c>
      <c r="W53" s="62">
        <v>120.22</v>
      </c>
      <c r="X53" s="62"/>
      <c r="Y53" s="62">
        <v>49.33</v>
      </c>
      <c r="Z53" s="62">
        <v>172.62</v>
      </c>
      <c r="AA53" s="62">
        <v>70.14</v>
      </c>
    </row>
    <row r="54" spans="1:27" ht="15" customHeight="1" x14ac:dyDescent="0.15">
      <c r="A54" s="65">
        <v>45541</v>
      </c>
      <c r="B54" s="62">
        <v>563.41</v>
      </c>
      <c r="C54" s="62">
        <v>78.58</v>
      </c>
      <c r="D54" s="62">
        <v>740.38</v>
      </c>
      <c r="E54" s="62">
        <v>134.22999999999999</v>
      </c>
      <c r="F54" s="62">
        <v>61.6</v>
      </c>
      <c r="G54" s="62">
        <v>69.23</v>
      </c>
      <c r="H54" s="62">
        <v>85.84</v>
      </c>
      <c r="I54" s="62">
        <v>102.55</v>
      </c>
      <c r="J54" s="62">
        <v>118.13</v>
      </c>
      <c r="K54" s="62">
        <v>30.33</v>
      </c>
      <c r="L54" s="62">
        <v>152.47999999999999</v>
      </c>
      <c r="M54" s="62">
        <v>71.58</v>
      </c>
      <c r="N54" s="62">
        <v>468</v>
      </c>
      <c r="O54" s="62">
        <v>87.4</v>
      </c>
      <c r="P54" s="62">
        <v>120.84</v>
      </c>
      <c r="Q54" s="62">
        <v>57.73</v>
      </c>
      <c r="R54" s="62">
        <v>40.549999999999997</v>
      </c>
      <c r="S54" s="62">
        <v>82.53</v>
      </c>
      <c r="T54" s="62">
        <v>30.91</v>
      </c>
      <c r="U54" s="62">
        <v>25.21</v>
      </c>
      <c r="V54" s="62">
        <v>275.22000000000003</v>
      </c>
      <c r="W54" s="62">
        <v>116.18</v>
      </c>
      <c r="X54" s="62"/>
      <c r="Y54" s="62">
        <v>48.57</v>
      </c>
      <c r="Z54" s="62">
        <v>159.38999999999999</v>
      </c>
      <c r="AA54" s="62">
        <v>66.58</v>
      </c>
    </row>
    <row r="55" spans="1:27" ht="15" customHeight="1" x14ac:dyDescent="0.15">
      <c r="A55" s="65">
        <v>45548</v>
      </c>
      <c r="B55" s="62">
        <v>536.87</v>
      </c>
      <c r="C55" s="62">
        <v>89.94</v>
      </c>
      <c r="D55" s="62">
        <v>802.9</v>
      </c>
      <c r="E55" s="62">
        <v>164.3</v>
      </c>
      <c r="F55" s="62">
        <v>64.78</v>
      </c>
      <c r="G55" s="62">
        <v>74.03</v>
      </c>
      <c r="H55" s="62">
        <v>90.65</v>
      </c>
      <c r="I55" s="62">
        <v>118.78</v>
      </c>
      <c r="J55" s="62">
        <v>120.68</v>
      </c>
      <c r="K55" s="62">
        <v>35.590000000000003</v>
      </c>
      <c r="L55" s="62">
        <v>168.34</v>
      </c>
      <c r="M55" s="62">
        <v>85.53</v>
      </c>
      <c r="N55" s="62">
        <v>485.37</v>
      </c>
      <c r="O55" s="62">
        <v>89.92</v>
      </c>
      <c r="P55" s="62">
        <v>123.08</v>
      </c>
      <c r="Q55" s="62">
        <v>59.23</v>
      </c>
      <c r="R55" s="62">
        <v>42.43</v>
      </c>
      <c r="S55" s="62">
        <v>87.61</v>
      </c>
      <c r="T55" s="62">
        <v>31.7</v>
      </c>
      <c r="U55" s="62">
        <v>25.63</v>
      </c>
      <c r="V55" s="62">
        <v>283.08</v>
      </c>
      <c r="W55" s="62">
        <v>118.96</v>
      </c>
      <c r="X55" s="62"/>
      <c r="Y55" s="62">
        <v>49.67</v>
      </c>
      <c r="Z55" s="62">
        <v>176.24</v>
      </c>
      <c r="AA55" s="62">
        <v>69.709999999999994</v>
      </c>
    </row>
    <row r="56" spans="1:27" ht="15" customHeight="1" x14ac:dyDescent="0.15">
      <c r="A56" s="65">
        <v>45555</v>
      </c>
      <c r="B56" s="62">
        <v>522.29999999999995</v>
      </c>
      <c r="C56" s="62">
        <v>96.11</v>
      </c>
      <c r="D56" s="62">
        <v>782.17</v>
      </c>
      <c r="E56" s="62">
        <v>168.19</v>
      </c>
      <c r="F56" s="62">
        <v>74.959999999999994</v>
      </c>
      <c r="G56" s="62">
        <v>74.760000000000005</v>
      </c>
      <c r="H56" s="62">
        <v>90.33</v>
      </c>
      <c r="I56" s="62">
        <v>115.69</v>
      </c>
      <c r="J56" s="62">
        <v>117.36</v>
      </c>
      <c r="K56" s="62">
        <v>37.200000000000003</v>
      </c>
      <c r="L56" s="62">
        <v>169.89</v>
      </c>
      <c r="M56" s="62">
        <v>94.31</v>
      </c>
      <c r="N56" s="62">
        <v>464.92</v>
      </c>
      <c r="O56" s="62">
        <v>92.64</v>
      </c>
      <c r="P56" s="62">
        <v>124.57</v>
      </c>
      <c r="Q56" s="62">
        <v>59.72</v>
      </c>
      <c r="R56" s="62">
        <v>42.96</v>
      </c>
      <c r="S56" s="62">
        <v>89.03</v>
      </c>
      <c r="T56" s="62">
        <v>32.25</v>
      </c>
      <c r="U56" s="62">
        <v>25.97</v>
      </c>
      <c r="V56" s="62">
        <v>280.54000000000002</v>
      </c>
      <c r="W56" s="62">
        <v>120.69</v>
      </c>
      <c r="X56" s="62"/>
      <c r="Y56" s="62">
        <v>49.94</v>
      </c>
      <c r="Z56" s="62">
        <v>185.29</v>
      </c>
      <c r="AA56" s="62">
        <v>70.099999999999994</v>
      </c>
    </row>
    <row r="57" spans="1:27" ht="15" customHeight="1" x14ac:dyDescent="0.15">
      <c r="A57" s="65">
        <v>45562</v>
      </c>
      <c r="B57" s="62">
        <v>515.48</v>
      </c>
      <c r="C57" s="62">
        <v>95.07</v>
      </c>
      <c r="D57" s="62">
        <v>827.67</v>
      </c>
      <c r="E57" s="62">
        <v>169.75</v>
      </c>
      <c r="F57" s="62">
        <v>71.459999999999994</v>
      </c>
      <c r="G57" s="62">
        <v>77.08</v>
      </c>
      <c r="H57" s="62">
        <v>106.83</v>
      </c>
      <c r="I57" s="62">
        <v>121.08</v>
      </c>
      <c r="J57" s="62">
        <v>117.47</v>
      </c>
      <c r="K57" s="62">
        <v>36.840000000000003</v>
      </c>
      <c r="L57" s="62">
        <v>173.68</v>
      </c>
      <c r="M57" s="62">
        <v>98.17</v>
      </c>
      <c r="N57" s="62">
        <v>462.88</v>
      </c>
      <c r="O57" s="62">
        <v>92.68</v>
      </c>
      <c r="P57" s="62">
        <v>125.53</v>
      </c>
      <c r="Q57" s="62">
        <v>60.13</v>
      </c>
      <c r="R57" s="62">
        <v>43.26</v>
      </c>
      <c r="S57" s="62">
        <v>88.91</v>
      </c>
      <c r="T57" s="62">
        <v>32.32</v>
      </c>
      <c r="U57" s="62">
        <v>26.13</v>
      </c>
      <c r="V57" s="62">
        <v>271.08</v>
      </c>
      <c r="W57" s="62">
        <v>121.41</v>
      </c>
      <c r="X57" s="62"/>
      <c r="Y57" s="62">
        <v>50.16</v>
      </c>
      <c r="Z57" s="62">
        <v>183.53</v>
      </c>
      <c r="AA57" s="62">
        <v>70.739999999999995</v>
      </c>
    </row>
    <row r="58" spans="1:27" ht="15" customHeight="1" x14ac:dyDescent="0.15">
      <c r="A58" s="65">
        <v>45569</v>
      </c>
      <c r="B58" s="62">
        <v>507.22</v>
      </c>
      <c r="C58" s="62">
        <v>98.99</v>
      </c>
      <c r="D58" s="62">
        <v>819.27</v>
      </c>
      <c r="E58" s="62">
        <v>173.63</v>
      </c>
      <c r="F58" s="62">
        <v>73.06</v>
      </c>
      <c r="G58" s="62">
        <v>77.569999999999993</v>
      </c>
      <c r="H58" s="62">
        <v>101.61</v>
      </c>
      <c r="I58" s="62">
        <v>124.59</v>
      </c>
      <c r="J58" s="62">
        <v>114.51</v>
      </c>
      <c r="K58" s="62">
        <v>40.01</v>
      </c>
      <c r="L58" s="62">
        <v>176.8</v>
      </c>
      <c r="M58" s="62">
        <v>104.95</v>
      </c>
      <c r="N58" s="62">
        <v>455.31</v>
      </c>
      <c r="O58" s="62">
        <v>92.94</v>
      </c>
      <c r="P58" s="62">
        <v>125.03</v>
      </c>
      <c r="Q58" s="62">
        <v>60.21</v>
      </c>
      <c r="R58" s="62">
        <v>43.36</v>
      </c>
      <c r="S58" s="62">
        <v>90.24</v>
      </c>
      <c r="T58" s="62">
        <v>32.92</v>
      </c>
      <c r="U58" s="62">
        <v>26.26</v>
      </c>
      <c r="V58" s="62">
        <v>273.8</v>
      </c>
      <c r="W58" s="62">
        <v>122.28</v>
      </c>
      <c r="X58" s="62"/>
      <c r="Y58" s="62">
        <v>50.27</v>
      </c>
      <c r="Z58" s="62">
        <v>185.22</v>
      </c>
      <c r="AA58" s="62">
        <v>71.97</v>
      </c>
    </row>
    <row r="59" spans="1:27" ht="15" customHeight="1" x14ac:dyDescent="0.15">
      <c r="A59" s="65">
        <v>45576</v>
      </c>
      <c r="B59" s="62">
        <v>495.42</v>
      </c>
      <c r="C59" s="62">
        <v>104.23</v>
      </c>
      <c r="D59" s="62">
        <v>826.83</v>
      </c>
      <c r="E59" s="62">
        <v>178.39</v>
      </c>
      <c r="F59" s="62">
        <v>80.05</v>
      </c>
      <c r="G59" s="62">
        <v>79.180000000000007</v>
      </c>
      <c r="H59" s="62">
        <v>106.37</v>
      </c>
      <c r="I59" s="62">
        <v>134.44</v>
      </c>
      <c r="J59" s="62">
        <v>112.47</v>
      </c>
      <c r="K59" s="62">
        <v>43.51</v>
      </c>
      <c r="L59" s="62">
        <v>186.21</v>
      </c>
      <c r="M59" s="62">
        <v>111.57</v>
      </c>
      <c r="N59" s="62">
        <v>481.71</v>
      </c>
      <c r="O59" s="62">
        <v>94.05</v>
      </c>
      <c r="P59" s="62">
        <v>125.1</v>
      </c>
      <c r="Q59" s="62">
        <v>60.7</v>
      </c>
      <c r="R59" s="62">
        <v>43.75</v>
      </c>
      <c r="S59" s="62">
        <v>92.19</v>
      </c>
      <c r="T59" s="62">
        <v>33.06</v>
      </c>
      <c r="U59" s="62">
        <v>26.56</v>
      </c>
      <c r="V59" s="62">
        <v>273.70999999999998</v>
      </c>
      <c r="W59" s="62">
        <v>123.64</v>
      </c>
      <c r="X59" s="62"/>
      <c r="Y59" s="62">
        <v>50.54</v>
      </c>
      <c r="Z59" s="62">
        <v>189.26</v>
      </c>
      <c r="AA59" s="62">
        <v>72.28</v>
      </c>
    </row>
    <row r="60" spans="1:27" ht="15" customHeight="1" x14ac:dyDescent="0.15">
      <c r="A60" s="65">
        <v>45583</v>
      </c>
      <c r="B60" s="62">
        <v>494.9</v>
      </c>
      <c r="C60" s="62">
        <v>100.5</v>
      </c>
      <c r="D60" s="62">
        <v>711.34</v>
      </c>
      <c r="E60" s="62">
        <v>176.83</v>
      </c>
      <c r="F60" s="62">
        <v>77.540000000000006</v>
      </c>
      <c r="G60" s="62">
        <v>66.84</v>
      </c>
      <c r="H60" s="62">
        <v>110.58</v>
      </c>
      <c r="I60" s="62">
        <v>137.63</v>
      </c>
      <c r="J60" s="62">
        <v>114.58</v>
      </c>
      <c r="K60" s="62">
        <v>42.97</v>
      </c>
      <c r="L60" s="62">
        <v>195.94</v>
      </c>
      <c r="M60" s="62">
        <v>111.98</v>
      </c>
      <c r="N60" s="62">
        <v>483</v>
      </c>
      <c r="O60" s="62">
        <v>95.23</v>
      </c>
      <c r="P60" s="62">
        <v>127.52</v>
      </c>
      <c r="Q60" s="62">
        <v>61.2</v>
      </c>
      <c r="R60" s="62">
        <v>44.08</v>
      </c>
      <c r="S60" s="62">
        <v>92.59</v>
      </c>
      <c r="T60" s="62">
        <v>32.9</v>
      </c>
      <c r="U60" s="62">
        <v>26.81</v>
      </c>
      <c r="V60" s="62">
        <v>286.3</v>
      </c>
      <c r="W60" s="62">
        <v>124.89</v>
      </c>
      <c r="X60" s="62"/>
      <c r="Y60" s="62">
        <v>50.91</v>
      </c>
      <c r="Z60" s="62">
        <v>190.69</v>
      </c>
      <c r="AA60" s="62">
        <v>76.39</v>
      </c>
    </row>
    <row r="61" spans="1:27" ht="15" customHeight="1" x14ac:dyDescent="0.15">
      <c r="A61" s="65">
        <v>45590</v>
      </c>
      <c r="B61" s="62">
        <v>483.72</v>
      </c>
      <c r="C61" s="62">
        <v>98.52</v>
      </c>
      <c r="D61" s="62">
        <v>699.97</v>
      </c>
      <c r="E61" s="62">
        <v>170.06</v>
      </c>
      <c r="F61" s="62">
        <v>75.150000000000006</v>
      </c>
      <c r="G61" s="62">
        <v>66.31</v>
      </c>
      <c r="H61" s="62">
        <v>107.36</v>
      </c>
      <c r="I61" s="62">
        <v>141.16</v>
      </c>
      <c r="J61" s="62">
        <v>109.94</v>
      </c>
      <c r="K61" s="62">
        <v>44.86</v>
      </c>
      <c r="L61" s="62">
        <v>198.54</v>
      </c>
      <c r="M61" s="62">
        <v>111.9</v>
      </c>
      <c r="N61" s="62">
        <v>477.7</v>
      </c>
      <c r="O61" s="62">
        <v>92.06</v>
      </c>
      <c r="P61" s="62">
        <v>124.51</v>
      </c>
      <c r="Q61" s="62">
        <v>61.03</v>
      </c>
      <c r="R61" s="62">
        <v>44.18</v>
      </c>
      <c r="S61" s="62">
        <v>91.23</v>
      </c>
      <c r="T61" s="62">
        <v>32.270000000000003</v>
      </c>
      <c r="U61" s="62">
        <v>26.19</v>
      </c>
      <c r="V61" s="62">
        <v>277.55</v>
      </c>
      <c r="W61" s="62">
        <v>122.04</v>
      </c>
      <c r="X61" s="62"/>
      <c r="Y61" s="62">
        <v>50.34</v>
      </c>
      <c r="Z61" s="62">
        <v>177.32</v>
      </c>
      <c r="AA61" s="62">
        <v>75.47</v>
      </c>
    </row>
    <row r="62" spans="1:27" ht="15" customHeight="1" x14ac:dyDescent="0.15">
      <c r="A62" s="65">
        <v>45597</v>
      </c>
      <c r="B62" s="62">
        <v>482.8</v>
      </c>
      <c r="C62" s="62">
        <v>98.54</v>
      </c>
      <c r="D62" s="62">
        <v>665.15</v>
      </c>
      <c r="E62" s="62">
        <v>166.04</v>
      </c>
      <c r="F62" s="62">
        <v>75.78</v>
      </c>
      <c r="G62" s="62">
        <v>65.94</v>
      </c>
      <c r="H62" s="62">
        <v>99.22</v>
      </c>
      <c r="I62" s="62">
        <v>135.04</v>
      </c>
      <c r="J62" s="62">
        <v>106.07</v>
      </c>
      <c r="K62" s="62">
        <v>41.92</v>
      </c>
      <c r="L62" s="62">
        <v>188.3</v>
      </c>
      <c r="M62" s="62">
        <v>106.64</v>
      </c>
      <c r="N62" s="62">
        <v>471.12</v>
      </c>
      <c r="O62" s="62">
        <v>91.84</v>
      </c>
      <c r="P62" s="62">
        <v>124.39</v>
      </c>
      <c r="Q62" s="62">
        <v>60.49</v>
      </c>
      <c r="R62" s="62">
        <v>43.81</v>
      </c>
      <c r="S62" s="62">
        <v>89.98</v>
      </c>
      <c r="T62" s="62">
        <v>32.29</v>
      </c>
      <c r="U62" s="62">
        <v>26.15</v>
      </c>
      <c r="V62" s="62">
        <v>286.42</v>
      </c>
      <c r="W62" s="62">
        <v>121.19</v>
      </c>
      <c r="X62" s="62"/>
      <c r="Y62" s="62">
        <v>50.01</v>
      </c>
      <c r="Z62" s="62">
        <v>169.99</v>
      </c>
      <c r="AA62" s="62">
        <v>75.61</v>
      </c>
    </row>
    <row r="63" spans="1:27" ht="15" customHeight="1" x14ac:dyDescent="0.15">
      <c r="A63" s="65">
        <v>45604</v>
      </c>
      <c r="B63" s="62">
        <v>494.68</v>
      </c>
      <c r="C63" s="62">
        <v>100.11</v>
      </c>
      <c r="D63" s="62">
        <v>659.96</v>
      </c>
      <c r="E63" s="62">
        <v>180.51</v>
      </c>
      <c r="F63" s="62">
        <v>82.51</v>
      </c>
      <c r="G63" s="62">
        <v>67.72</v>
      </c>
      <c r="H63" s="62">
        <v>111.33</v>
      </c>
      <c r="I63" s="62">
        <v>147.22999999999999</v>
      </c>
      <c r="J63" s="62">
        <v>108.34</v>
      </c>
      <c r="K63" s="62">
        <v>58.39</v>
      </c>
      <c r="L63" s="62">
        <v>196.35</v>
      </c>
      <c r="M63" s="62">
        <v>125.45</v>
      </c>
      <c r="N63" s="62">
        <v>516.74</v>
      </c>
      <c r="O63" s="62">
        <v>99.98</v>
      </c>
      <c r="P63" s="62">
        <v>128.71</v>
      </c>
      <c r="Q63" s="62">
        <v>61.96</v>
      </c>
      <c r="R63" s="62">
        <v>45.5</v>
      </c>
      <c r="S63" s="62">
        <v>95.36</v>
      </c>
      <c r="T63" s="62">
        <v>34.79</v>
      </c>
      <c r="U63" s="62">
        <v>27.06</v>
      </c>
      <c r="V63" s="62">
        <v>303.3</v>
      </c>
      <c r="W63" s="62">
        <v>125.91</v>
      </c>
      <c r="X63" s="62"/>
      <c r="Y63" s="62">
        <v>51.35</v>
      </c>
      <c r="Z63" s="62">
        <v>182.97</v>
      </c>
      <c r="AA63" s="62">
        <v>79.5</v>
      </c>
    </row>
    <row r="64" spans="1:27" ht="15" customHeight="1" x14ac:dyDescent="0.15">
      <c r="A64" s="65">
        <v>45611</v>
      </c>
      <c r="B64" s="62">
        <v>503.37</v>
      </c>
      <c r="C64" s="62">
        <v>93.6</v>
      </c>
      <c r="D64" s="62">
        <v>649.28</v>
      </c>
      <c r="E64" s="62">
        <v>162.03</v>
      </c>
      <c r="F64" s="62">
        <v>84.19</v>
      </c>
      <c r="G64" s="62">
        <v>60.53</v>
      </c>
      <c r="H64" s="62">
        <v>95.85</v>
      </c>
      <c r="I64" s="62">
        <v>141.6</v>
      </c>
      <c r="J64" s="62">
        <v>106.09</v>
      </c>
      <c r="K64" s="62">
        <v>65.77</v>
      </c>
      <c r="L64" s="62">
        <v>181.53</v>
      </c>
      <c r="M64" s="62">
        <v>120.58</v>
      </c>
      <c r="N64" s="62">
        <v>465.7</v>
      </c>
      <c r="O64" s="62">
        <v>98.04</v>
      </c>
      <c r="P64" s="62">
        <v>128.87</v>
      </c>
      <c r="Q64" s="62">
        <v>61.37</v>
      </c>
      <c r="R64" s="62">
        <v>44.75</v>
      </c>
      <c r="S64" s="62">
        <v>92.42</v>
      </c>
      <c r="T64" s="62">
        <v>34.26</v>
      </c>
      <c r="U64" s="62">
        <v>26.64</v>
      </c>
      <c r="V64" s="62">
        <v>305.62</v>
      </c>
      <c r="W64" s="62">
        <v>124.2</v>
      </c>
      <c r="X64" s="62"/>
      <c r="Y64" s="62">
        <v>50.7</v>
      </c>
      <c r="Z64" s="62">
        <v>175.17</v>
      </c>
      <c r="AA64" s="62">
        <v>82.4</v>
      </c>
    </row>
    <row r="65" spans="1:27" ht="15" customHeight="1" x14ac:dyDescent="0.15">
      <c r="A65" s="65">
        <v>45618</v>
      </c>
      <c r="B65" s="62">
        <v>512.15</v>
      </c>
      <c r="C65" s="62">
        <v>101.62</v>
      </c>
      <c r="D65" s="62">
        <v>663.32</v>
      </c>
      <c r="E65" s="62">
        <v>161.43</v>
      </c>
      <c r="F65" s="62">
        <v>93.07</v>
      </c>
      <c r="G65" s="62">
        <v>63.18</v>
      </c>
      <c r="H65" s="62">
        <v>102.11</v>
      </c>
      <c r="I65" s="62">
        <v>141.57</v>
      </c>
      <c r="J65" s="62">
        <v>108.31</v>
      </c>
      <c r="K65" s="62">
        <v>64.349999999999994</v>
      </c>
      <c r="L65" s="62">
        <v>185.5</v>
      </c>
      <c r="M65" s="62">
        <v>139.81</v>
      </c>
      <c r="N65" s="62">
        <v>450.97</v>
      </c>
      <c r="O65" s="62">
        <v>101.62</v>
      </c>
      <c r="P65" s="62">
        <v>132.37</v>
      </c>
      <c r="Q65" s="62">
        <v>61.83</v>
      </c>
      <c r="R65" s="62">
        <v>45.52</v>
      </c>
      <c r="S65" s="62">
        <v>94.07</v>
      </c>
      <c r="T65" s="62">
        <v>35.58</v>
      </c>
      <c r="U65" s="62">
        <v>27.31</v>
      </c>
      <c r="V65" s="62">
        <v>305.89999999999998</v>
      </c>
      <c r="W65" s="62">
        <v>126.98</v>
      </c>
      <c r="X65" s="62"/>
      <c r="Y65" s="62">
        <v>51.46</v>
      </c>
      <c r="Z65" s="62">
        <v>179.35</v>
      </c>
      <c r="AA65" s="62">
        <v>89.78</v>
      </c>
    </row>
    <row r="66" spans="1:27" ht="15" customHeight="1" x14ac:dyDescent="0.15">
      <c r="A66" s="65">
        <v>45625</v>
      </c>
      <c r="B66" s="62">
        <v>515.92999999999995</v>
      </c>
      <c r="C66" s="62">
        <v>101.46</v>
      </c>
      <c r="D66" s="62">
        <v>676.86</v>
      </c>
      <c r="E66" s="62">
        <v>159.32</v>
      </c>
      <c r="F66" s="62">
        <v>86.49</v>
      </c>
      <c r="G66" s="62">
        <v>63.92</v>
      </c>
      <c r="H66" s="62">
        <v>97.45</v>
      </c>
      <c r="I66" s="62">
        <v>137.88</v>
      </c>
      <c r="J66" s="62">
        <v>109.23</v>
      </c>
      <c r="K66" s="62">
        <v>67.08</v>
      </c>
      <c r="L66" s="62">
        <v>180.21</v>
      </c>
      <c r="M66" s="62">
        <v>127.29</v>
      </c>
      <c r="N66" s="62">
        <v>468.13</v>
      </c>
      <c r="O66" s="62">
        <v>102.31</v>
      </c>
      <c r="P66" s="62">
        <v>133.61000000000001</v>
      </c>
      <c r="Q66" s="62">
        <v>62.21</v>
      </c>
      <c r="R66" s="62">
        <v>45.94</v>
      </c>
      <c r="S66" s="62">
        <v>95.3</v>
      </c>
      <c r="T66" s="62">
        <v>35.65</v>
      </c>
      <c r="U66" s="62">
        <v>27.48</v>
      </c>
      <c r="V66" s="62">
        <v>310.99</v>
      </c>
      <c r="W66" s="62">
        <v>128.04</v>
      </c>
      <c r="X66" s="62"/>
      <c r="Y66" s="62">
        <v>52.03</v>
      </c>
      <c r="Z66" s="62">
        <v>180.35</v>
      </c>
      <c r="AA66" s="62">
        <v>88.68</v>
      </c>
    </row>
    <row r="67" spans="1:27" ht="15" customHeight="1" x14ac:dyDescent="0.15">
      <c r="A67" s="65">
        <v>45632</v>
      </c>
      <c r="B67" s="62">
        <v>552.96</v>
      </c>
      <c r="C67" s="62">
        <v>108.25</v>
      </c>
      <c r="D67" s="62">
        <v>698.91</v>
      </c>
      <c r="E67" s="62">
        <v>176.47</v>
      </c>
      <c r="F67" s="62">
        <v>91.41</v>
      </c>
      <c r="G67" s="62">
        <v>64.05</v>
      </c>
      <c r="H67" s="62">
        <v>100.65</v>
      </c>
      <c r="I67" s="62">
        <v>142.07</v>
      </c>
      <c r="J67" s="62">
        <v>104.76</v>
      </c>
      <c r="K67" s="62">
        <v>76.34</v>
      </c>
      <c r="L67" s="62">
        <v>198.13</v>
      </c>
      <c r="M67" s="62">
        <v>133.57</v>
      </c>
      <c r="N67" s="62">
        <v>462.1</v>
      </c>
      <c r="O67" s="62">
        <v>100.18</v>
      </c>
      <c r="P67" s="62">
        <v>130.22999999999999</v>
      </c>
      <c r="Q67" s="62">
        <v>62.44</v>
      </c>
      <c r="R67" s="62">
        <v>46.79</v>
      </c>
      <c r="S67" s="62">
        <v>97.14</v>
      </c>
      <c r="T67" s="62">
        <v>35.619999999999997</v>
      </c>
      <c r="U67" s="62">
        <v>26.82</v>
      </c>
      <c r="V67" s="62">
        <v>306.97000000000003</v>
      </c>
      <c r="W67" s="62">
        <v>126.2</v>
      </c>
      <c r="X67" s="62"/>
      <c r="Y67" s="62">
        <v>51.59</v>
      </c>
      <c r="Z67" s="62">
        <v>173.83</v>
      </c>
      <c r="AA67" s="62">
        <v>93.47</v>
      </c>
    </row>
    <row r="68" spans="1:27" ht="15" customHeight="1" x14ac:dyDescent="0.15">
      <c r="A68" s="65">
        <v>45639</v>
      </c>
      <c r="B68" s="62">
        <v>465.69</v>
      </c>
      <c r="C68" s="62">
        <v>112.37</v>
      </c>
      <c r="D68" s="62">
        <v>708.38</v>
      </c>
      <c r="E68" s="62">
        <v>220.97</v>
      </c>
      <c r="F68" s="62">
        <v>92</v>
      </c>
      <c r="G68" s="62">
        <v>64.58</v>
      </c>
      <c r="H68" s="62">
        <v>101.97</v>
      </c>
      <c r="I68" s="62">
        <v>133.9</v>
      </c>
      <c r="J68" s="62">
        <v>103.95</v>
      </c>
      <c r="K68" s="62">
        <v>76.069999999999993</v>
      </c>
      <c r="L68" s="62">
        <v>196.77</v>
      </c>
      <c r="M68" s="62">
        <v>125.51</v>
      </c>
      <c r="N68" s="62">
        <v>463.73</v>
      </c>
      <c r="O68" s="62">
        <v>98.94</v>
      </c>
      <c r="P68" s="62">
        <v>127.6</v>
      </c>
      <c r="Q68" s="62">
        <v>62.33</v>
      </c>
      <c r="R68" s="62">
        <v>46.97</v>
      </c>
      <c r="S68" s="62">
        <v>96.23</v>
      </c>
      <c r="T68" s="62">
        <v>34.14</v>
      </c>
      <c r="U68" s="62">
        <v>26.42</v>
      </c>
      <c r="V68" s="62">
        <v>310.64999999999998</v>
      </c>
      <c r="W68" s="62">
        <v>125.31</v>
      </c>
      <c r="X68" s="62"/>
      <c r="Y68" s="62">
        <v>51.17</v>
      </c>
      <c r="Z68" s="62">
        <v>164.36</v>
      </c>
      <c r="AA68" s="62">
        <v>91.89</v>
      </c>
    </row>
    <row r="69" spans="1:27" ht="15" customHeight="1" x14ac:dyDescent="0.15">
      <c r="A69" s="65">
        <v>45646</v>
      </c>
      <c r="B69" s="62">
        <v>447.17</v>
      </c>
      <c r="C69" s="62">
        <v>112.81</v>
      </c>
      <c r="D69" s="62">
        <v>695.66</v>
      </c>
      <c r="E69" s="62">
        <v>217.03</v>
      </c>
      <c r="F69" s="62">
        <v>90.57</v>
      </c>
      <c r="G69" s="62">
        <v>62.17</v>
      </c>
      <c r="H69" s="62">
        <v>89.66</v>
      </c>
      <c r="I69" s="62">
        <v>134.35</v>
      </c>
      <c r="J69" s="62">
        <v>97.48</v>
      </c>
      <c r="K69" s="62">
        <v>80.55</v>
      </c>
      <c r="L69" s="62">
        <v>193.07</v>
      </c>
      <c r="M69" s="62">
        <v>119.79</v>
      </c>
      <c r="N69" s="62">
        <v>397.27</v>
      </c>
      <c r="O69" s="62">
        <v>93.61</v>
      </c>
      <c r="P69" s="62">
        <v>123.57</v>
      </c>
      <c r="Q69" s="62">
        <v>61.57</v>
      </c>
      <c r="R69" s="62">
        <v>46.45</v>
      </c>
      <c r="S69" s="62">
        <v>94.07</v>
      </c>
      <c r="T69" s="62">
        <v>33.1</v>
      </c>
      <c r="U69" s="62">
        <v>25.63</v>
      </c>
      <c r="V69" s="62">
        <v>313.58999999999997</v>
      </c>
      <c r="W69" s="62">
        <v>121.73</v>
      </c>
      <c r="X69" s="62"/>
      <c r="Y69" s="62">
        <v>50.12</v>
      </c>
      <c r="Z69" s="62">
        <v>166.69</v>
      </c>
      <c r="AA69" s="62">
        <v>90.9</v>
      </c>
    </row>
    <row r="70" spans="1:27" ht="15" customHeight="1" x14ac:dyDescent="0.15">
      <c r="A70" s="65">
        <v>45653</v>
      </c>
      <c r="B70" s="62">
        <v>446.48</v>
      </c>
      <c r="C70" s="62">
        <v>113.03</v>
      </c>
      <c r="D70" s="62">
        <v>703.46</v>
      </c>
      <c r="E70" s="62">
        <v>238.27</v>
      </c>
      <c r="F70" s="62">
        <v>88.75</v>
      </c>
      <c r="G70" s="62">
        <v>63.7</v>
      </c>
      <c r="H70" s="62">
        <v>88.18</v>
      </c>
      <c r="I70" s="62">
        <v>136.65</v>
      </c>
      <c r="J70" s="62">
        <v>99.29</v>
      </c>
      <c r="K70" s="62">
        <v>79.08</v>
      </c>
      <c r="L70" s="62">
        <v>197.4</v>
      </c>
      <c r="M70" s="62">
        <v>114.87</v>
      </c>
      <c r="N70" s="62">
        <v>408.76</v>
      </c>
      <c r="O70" s="62">
        <v>93.98</v>
      </c>
      <c r="P70" s="62">
        <v>124.13</v>
      </c>
      <c r="Q70" s="62">
        <v>61.97</v>
      </c>
      <c r="R70" s="62">
        <v>46.88</v>
      </c>
      <c r="S70" s="62">
        <v>95.26</v>
      </c>
      <c r="T70" s="62">
        <v>33.409999999999997</v>
      </c>
      <c r="U70" s="62">
        <v>25.8</v>
      </c>
      <c r="V70" s="62">
        <v>314.52</v>
      </c>
      <c r="W70" s="62">
        <v>123.18</v>
      </c>
      <c r="X70" s="62"/>
      <c r="Y70" s="62">
        <v>50.34</v>
      </c>
      <c r="Z70" s="62">
        <v>168.66</v>
      </c>
      <c r="AA70" s="62">
        <v>90.75</v>
      </c>
    </row>
    <row r="71" spans="1:27" ht="15" customHeight="1" x14ac:dyDescent="0.15">
      <c r="A71" s="65">
        <v>45660</v>
      </c>
      <c r="B71" s="62">
        <v>430.57</v>
      </c>
      <c r="C71" s="62">
        <v>115.2</v>
      </c>
      <c r="D71" s="62">
        <v>704.22</v>
      </c>
      <c r="E71" s="62">
        <v>229.2</v>
      </c>
      <c r="F71" s="62">
        <v>89.75</v>
      </c>
      <c r="G71" s="62">
        <v>64.900000000000006</v>
      </c>
      <c r="H71" s="62">
        <v>89.53</v>
      </c>
      <c r="I71" s="62">
        <v>144.09</v>
      </c>
      <c r="J71" s="62">
        <v>99.66</v>
      </c>
      <c r="K71" s="62">
        <v>79.89</v>
      </c>
      <c r="L71" s="62">
        <v>204.23</v>
      </c>
      <c r="M71" s="62">
        <v>125.4</v>
      </c>
      <c r="N71" s="62">
        <v>407.11</v>
      </c>
      <c r="O71" s="62">
        <v>94.72</v>
      </c>
      <c r="P71" s="62">
        <v>124.06</v>
      </c>
      <c r="Q71" s="62">
        <v>61.72</v>
      </c>
      <c r="R71" s="62">
        <v>46.72</v>
      </c>
      <c r="S71" s="62">
        <v>95.55</v>
      </c>
      <c r="T71" s="62">
        <v>33.659999999999997</v>
      </c>
      <c r="U71" s="62">
        <v>25.77</v>
      </c>
      <c r="V71" s="62">
        <v>310.82</v>
      </c>
      <c r="W71" s="62">
        <v>122.97</v>
      </c>
      <c r="X71" s="62"/>
      <c r="Y71" s="62">
        <v>50.27</v>
      </c>
      <c r="Z71" s="62">
        <v>170.52</v>
      </c>
      <c r="AA71" s="62">
        <v>88.11</v>
      </c>
    </row>
    <row r="72" spans="1:27" ht="15" customHeight="1" x14ac:dyDescent="0.15">
      <c r="A72" s="65">
        <v>45667</v>
      </c>
      <c r="B72" s="62">
        <v>405.92</v>
      </c>
      <c r="C72" s="62">
        <v>114.34</v>
      </c>
      <c r="D72" s="62">
        <v>728.52</v>
      </c>
      <c r="E72" s="62">
        <v>221.08</v>
      </c>
      <c r="F72" s="62">
        <v>87.21</v>
      </c>
      <c r="G72" s="62">
        <v>67.48</v>
      </c>
      <c r="H72" s="62">
        <v>98.96</v>
      </c>
      <c r="I72" s="62">
        <v>135.56</v>
      </c>
      <c r="J72" s="62">
        <v>97.74</v>
      </c>
      <c r="K72" s="62">
        <v>67.260000000000005</v>
      </c>
      <c r="L72" s="62">
        <v>204</v>
      </c>
      <c r="M72" s="62">
        <v>128.66</v>
      </c>
      <c r="N72" s="62">
        <v>409.56</v>
      </c>
      <c r="O72" s="62">
        <v>92.23</v>
      </c>
      <c r="P72" s="62">
        <v>120.96</v>
      </c>
      <c r="Q72" s="62">
        <v>60.97</v>
      </c>
      <c r="R72" s="62">
        <v>45.82</v>
      </c>
      <c r="S72" s="62">
        <v>94.26</v>
      </c>
      <c r="T72" s="62">
        <v>33.659999999999997</v>
      </c>
      <c r="U72" s="62">
        <v>25.37</v>
      </c>
      <c r="V72" s="62">
        <v>303.72000000000003</v>
      </c>
      <c r="W72" s="62">
        <v>120.76</v>
      </c>
      <c r="X72" s="62"/>
      <c r="Y72" s="62">
        <v>49.47</v>
      </c>
      <c r="Z72" s="62">
        <v>170.26</v>
      </c>
      <c r="AA72" s="62">
        <v>83.77</v>
      </c>
    </row>
    <row r="73" spans="1:27" ht="15" customHeight="1" x14ac:dyDescent="0.15">
      <c r="A73" s="65">
        <v>45674</v>
      </c>
      <c r="B73" s="62">
        <v>429.99</v>
      </c>
      <c r="C73" s="62">
        <v>119.95</v>
      </c>
      <c r="D73" s="62">
        <v>745.59</v>
      </c>
      <c r="E73" s="62">
        <v>234.02</v>
      </c>
      <c r="F73" s="62">
        <v>89.25</v>
      </c>
      <c r="G73" s="62">
        <v>74.83</v>
      </c>
      <c r="H73" s="62">
        <v>105.34</v>
      </c>
      <c r="I73" s="62">
        <v>137.35</v>
      </c>
      <c r="J73" s="62">
        <v>103.29</v>
      </c>
      <c r="K73" s="62">
        <v>71.77</v>
      </c>
      <c r="L73" s="62">
        <v>207.06</v>
      </c>
      <c r="M73" s="62">
        <v>135.59</v>
      </c>
      <c r="N73" s="62">
        <v>422</v>
      </c>
      <c r="O73" s="62">
        <v>96.74</v>
      </c>
      <c r="P73" s="62">
        <v>126.81</v>
      </c>
      <c r="Q73" s="62">
        <v>62.02</v>
      </c>
      <c r="R73" s="62">
        <v>46.88</v>
      </c>
      <c r="S73" s="62">
        <v>97.29</v>
      </c>
      <c r="T73" s="62">
        <v>34.96</v>
      </c>
      <c r="U73" s="62">
        <v>26.29</v>
      </c>
      <c r="V73" s="62">
        <v>315.47000000000003</v>
      </c>
      <c r="W73" s="62">
        <v>126.1</v>
      </c>
      <c r="X73" s="62"/>
      <c r="Y73" s="62">
        <v>50.72</v>
      </c>
      <c r="Z73" s="62">
        <v>181.32</v>
      </c>
      <c r="AA73" s="62">
        <v>85.81</v>
      </c>
    </row>
    <row r="74" spans="1:27" ht="15" customHeight="1" x14ac:dyDescent="0.15">
      <c r="A74" s="65">
        <v>45681</v>
      </c>
      <c r="B74" s="62">
        <v>435.38</v>
      </c>
      <c r="C74" s="62">
        <v>129.16999999999999</v>
      </c>
      <c r="D74" s="62">
        <v>721.85</v>
      </c>
      <c r="E74" s="62">
        <v>241.18</v>
      </c>
      <c r="F74" s="62">
        <v>93.73</v>
      </c>
      <c r="G74" s="62">
        <v>74.069999999999993</v>
      </c>
      <c r="H74" s="62">
        <v>102.79</v>
      </c>
      <c r="I74" s="62">
        <v>142.25</v>
      </c>
      <c r="J74" s="62">
        <v>112.21</v>
      </c>
      <c r="K74" s="62">
        <v>78.98</v>
      </c>
      <c r="L74" s="62">
        <v>217.22</v>
      </c>
      <c r="M74" s="62">
        <v>146.01</v>
      </c>
      <c r="N74" s="62">
        <v>439.62</v>
      </c>
      <c r="O74" s="62">
        <v>97.23</v>
      </c>
      <c r="P74" s="62">
        <v>127.09</v>
      </c>
      <c r="Q74" s="62">
        <v>62.66</v>
      </c>
      <c r="R74" s="62">
        <v>47.53</v>
      </c>
      <c r="S74" s="62">
        <v>99.93</v>
      </c>
      <c r="T74" s="62">
        <v>35.049999999999997</v>
      </c>
      <c r="U74" s="62">
        <v>26.36</v>
      </c>
      <c r="V74" s="62">
        <v>325.91000000000003</v>
      </c>
      <c r="W74" s="62">
        <v>127.41</v>
      </c>
      <c r="X74" s="62"/>
      <c r="Y74" s="62">
        <v>51.24</v>
      </c>
      <c r="Z74" s="62">
        <v>195.11</v>
      </c>
      <c r="AA74" s="62">
        <v>97.76</v>
      </c>
    </row>
    <row r="75" spans="1:27" ht="15" customHeight="1" x14ac:dyDescent="0.15">
      <c r="A75" s="65">
        <v>45688</v>
      </c>
      <c r="B75" s="62">
        <v>437.45</v>
      </c>
      <c r="C75" s="62">
        <v>115.23</v>
      </c>
      <c r="D75" s="62">
        <v>728.81</v>
      </c>
      <c r="E75" s="62">
        <v>218.09</v>
      </c>
      <c r="F75" s="62">
        <v>99.52</v>
      </c>
      <c r="G75" s="62">
        <v>72.930000000000007</v>
      </c>
      <c r="H75" s="62">
        <v>90.89</v>
      </c>
      <c r="I75" s="62">
        <v>119.76</v>
      </c>
      <c r="J75" s="62">
        <v>112.51</v>
      </c>
      <c r="K75" s="62">
        <v>82.49</v>
      </c>
      <c r="L75" s="62">
        <v>204.93</v>
      </c>
      <c r="M75" s="62">
        <v>116.77</v>
      </c>
      <c r="N75" s="62">
        <v>461.68</v>
      </c>
      <c r="O75" s="62">
        <v>95.76</v>
      </c>
      <c r="P75" s="62">
        <v>126.76</v>
      </c>
      <c r="Q75" s="62">
        <v>62.12</v>
      </c>
      <c r="R75" s="62">
        <v>47.04</v>
      </c>
      <c r="S75" s="62">
        <v>98.66</v>
      </c>
      <c r="T75" s="62">
        <v>34.69</v>
      </c>
      <c r="U75" s="62">
        <v>26.14</v>
      </c>
      <c r="V75" s="62">
        <v>337.36</v>
      </c>
      <c r="W75" s="62">
        <v>126.74</v>
      </c>
      <c r="X75" s="62"/>
      <c r="Y75" s="62">
        <v>51.13</v>
      </c>
      <c r="Z75" s="62">
        <v>201.87</v>
      </c>
      <c r="AA75" s="62">
        <v>97.68</v>
      </c>
    </row>
    <row r="76" spans="1:27" ht="15" customHeight="1" x14ac:dyDescent="0.15">
      <c r="A76" s="65">
        <v>45695</v>
      </c>
      <c r="B76" s="62">
        <v>433.07</v>
      </c>
      <c r="C76" s="62">
        <v>118.47</v>
      </c>
      <c r="D76" s="62">
        <v>717.37</v>
      </c>
      <c r="E76" s="62">
        <v>221.63</v>
      </c>
      <c r="F76" s="62">
        <v>105.4</v>
      </c>
      <c r="G76" s="62">
        <v>73.86</v>
      </c>
      <c r="H76" s="62">
        <v>91.95</v>
      </c>
      <c r="I76" s="62">
        <v>129.5</v>
      </c>
      <c r="J76" s="62">
        <v>110.72</v>
      </c>
      <c r="K76" s="62">
        <v>110.85</v>
      </c>
      <c r="L76" s="62">
        <v>201.79</v>
      </c>
      <c r="M76" s="62">
        <v>121.12</v>
      </c>
      <c r="N76" s="62">
        <v>469.32</v>
      </c>
      <c r="O76" s="62">
        <v>94.65</v>
      </c>
      <c r="P76" s="62">
        <v>126.15</v>
      </c>
      <c r="Q76" s="62">
        <v>62.08</v>
      </c>
      <c r="R76" s="62">
        <v>47.16</v>
      </c>
      <c r="S76" s="62">
        <v>100.62</v>
      </c>
      <c r="T76" s="62">
        <v>34.43</v>
      </c>
      <c r="U76" s="62">
        <v>25.88</v>
      </c>
      <c r="V76" s="62">
        <v>343.5</v>
      </c>
      <c r="W76" s="62">
        <v>126.7</v>
      </c>
      <c r="X76" s="62"/>
      <c r="Y76" s="62">
        <v>51.25</v>
      </c>
      <c r="Z76" s="62">
        <v>203.57</v>
      </c>
      <c r="AA76" s="62">
        <v>101.39</v>
      </c>
    </row>
    <row r="77" spans="1:27" ht="15" customHeight="1" x14ac:dyDescent="0.15">
      <c r="A77" s="65">
        <v>45702</v>
      </c>
      <c r="B77" s="62">
        <v>460.16</v>
      </c>
      <c r="C77" s="62">
        <v>106.87</v>
      </c>
      <c r="D77" s="62">
        <v>742.44</v>
      </c>
      <c r="E77" s="62">
        <v>229.69</v>
      </c>
      <c r="F77" s="62">
        <v>112.93</v>
      </c>
      <c r="G77" s="62">
        <v>74.16</v>
      </c>
      <c r="H77" s="62">
        <v>99.14</v>
      </c>
      <c r="I77" s="62">
        <v>138.49</v>
      </c>
      <c r="J77" s="62">
        <v>114.02</v>
      </c>
      <c r="K77" s="62">
        <v>119.16</v>
      </c>
      <c r="L77" s="62">
        <v>199.62</v>
      </c>
      <c r="M77" s="62">
        <v>107.82</v>
      </c>
      <c r="N77" s="62">
        <v>459</v>
      </c>
      <c r="O77" s="62">
        <v>94.94</v>
      </c>
      <c r="P77" s="62">
        <v>127.66</v>
      </c>
      <c r="Q77" s="62">
        <v>62.73</v>
      </c>
      <c r="R77" s="62">
        <v>48.07</v>
      </c>
      <c r="S77" s="62">
        <v>101.64</v>
      </c>
      <c r="T77" s="62">
        <v>34.83</v>
      </c>
      <c r="U77" s="62">
        <v>26.1</v>
      </c>
      <c r="V77" s="62">
        <v>349.81</v>
      </c>
      <c r="W77" s="62">
        <v>128.09</v>
      </c>
      <c r="X77" s="62"/>
      <c r="Y77" s="62">
        <v>51.59</v>
      </c>
      <c r="Z77" s="62">
        <v>206.53</v>
      </c>
      <c r="AA77" s="62">
        <v>105.86</v>
      </c>
    </row>
    <row r="78" spans="1:27" ht="15" customHeight="1" x14ac:dyDescent="0.15">
      <c r="A78" s="65">
        <v>45709</v>
      </c>
      <c r="B78" s="62">
        <v>444.32</v>
      </c>
      <c r="C78" s="62">
        <v>98.3</v>
      </c>
      <c r="D78" s="62">
        <v>728.28</v>
      </c>
      <c r="E78" s="62">
        <v>215.51</v>
      </c>
      <c r="F78" s="62">
        <v>101.67</v>
      </c>
      <c r="G78" s="62">
        <v>74.510000000000005</v>
      </c>
      <c r="H78" s="62">
        <v>98.46</v>
      </c>
      <c r="I78" s="62">
        <v>134.08000000000001</v>
      </c>
      <c r="J78" s="62">
        <v>114.14</v>
      </c>
      <c r="K78" s="62">
        <v>101.35</v>
      </c>
      <c r="L78" s="62">
        <v>194.08</v>
      </c>
      <c r="M78" s="62">
        <v>95.79</v>
      </c>
      <c r="N78" s="62">
        <v>484.24</v>
      </c>
      <c r="O78" s="62">
        <v>91.47</v>
      </c>
      <c r="P78" s="62">
        <v>128.59</v>
      </c>
      <c r="Q78" s="62">
        <v>62.17</v>
      </c>
      <c r="R78" s="62">
        <v>47.49</v>
      </c>
      <c r="S78" s="62">
        <v>98.53</v>
      </c>
      <c r="T78" s="62">
        <v>34.71</v>
      </c>
      <c r="U78" s="62">
        <v>26.49</v>
      </c>
      <c r="V78" s="62">
        <v>344.59</v>
      </c>
      <c r="W78" s="62">
        <v>127.66</v>
      </c>
      <c r="X78" s="62"/>
      <c r="Y78" s="62">
        <v>51.55</v>
      </c>
      <c r="Z78" s="62">
        <v>198.16</v>
      </c>
      <c r="AA78" s="62">
        <v>100.32</v>
      </c>
    </row>
    <row r="79" spans="1:27" ht="15" customHeight="1" x14ac:dyDescent="0.15">
      <c r="A79" s="65">
        <v>45716</v>
      </c>
      <c r="B79" s="62">
        <v>438.56</v>
      </c>
      <c r="C79" s="62">
        <v>93.05</v>
      </c>
      <c r="D79" s="62">
        <v>700.49</v>
      </c>
      <c r="E79" s="62">
        <v>196.56</v>
      </c>
      <c r="F79" s="62">
        <v>97.42</v>
      </c>
      <c r="G79" s="62">
        <v>70.180000000000007</v>
      </c>
      <c r="H79" s="62">
        <v>93.27</v>
      </c>
      <c r="I79" s="62">
        <v>124.59</v>
      </c>
      <c r="J79" s="62">
        <v>116.92</v>
      </c>
      <c r="K79" s="62">
        <v>84.92</v>
      </c>
      <c r="L79" s="62">
        <v>176.74</v>
      </c>
      <c r="M79" s="62">
        <v>94.97</v>
      </c>
      <c r="N79" s="62">
        <v>479.79</v>
      </c>
      <c r="O79" s="62">
        <v>90.44</v>
      </c>
      <c r="P79" s="62">
        <v>129.91</v>
      </c>
      <c r="Q79" s="62">
        <v>61.77</v>
      </c>
      <c r="R79" s="62">
        <v>46.18</v>
      </c>
      <c r="S79" s="62">
        <v>98.42</v>
      </c>
      <c r="T79" s="62">
        <v>34.549999999999997</v>
      </c>
      <c r="U79" s="62">
        <v>26.8</v>
      </c>
      <c r="V79" s="62">
        <v>358.6</v>
      </c>
      <c r="W79" s="62">
        <v>128.36000000000001</v>
      </c>
      <c r="X79" s="62"/>
      <c r="Y79" s="62">
        <v>51.79</v>
      </c>
      <c r="Z79" s="62">
        <v>205.25</v>
      </c>
      <c r="AA79" s="62">
        <v>98.06</v>
      </c>
    </row>
    <row r="80" spans="1:27" ht="15" customHeight="1" x14ac:dyDescent="0.15">
      <c r="A80" s="65">
        <v>45723</v>
      </c>
      <c r="B80" s="62">
        <v>449.4</v>
      </c>
      <c r="C80" s="62">
        <v>83.36</v>
      </c>
      <c r="D80" s="62">
        <v>723.35</v>
      </c>
      <c r="E80" s="62">
        <v>192.16</v>
      </c>
      <c r="F80" s="62">
        <v>83.38</v>
      </c>
      <c r="G80" s="62">
        <v>70.42</v>
      </c>
      <c r="H80" s="62">
        <v>92.6</v>
      </c>
      <c r="I80" s="62">
        <v>112.4</v>
      </c>
      <c r="J80" s="62">
        <v>113.14</v>
      </c>
      <c r="K80" s="62">
        <v>84.91</v>
      </c>
      <c r="L80" s="62">
        <v>173.38</v>
      </c>
      <c r="M80" s="62">
        <v>84.86</v>
      </c>
      <c r="N80" s="62">
        <v>488.29</v>
      </c>
      <c r="O80" s="62">
        <v>86.38</v>
      </c>
      <c r="P80" s="62">
        <v>126.34</v>
      </c>
      <c r="Q80" s="62">
        <v>60.69</v>
      </c>
      <c r="R80" s="62">
        <v>44.73</v>
      </c>
      <c r="S80" s="62">
        <v>93.24</v>
      </c>
      <c r="T80" s="62">
        <v>34.049999999999997</v>
      </c>
      <c r="U80" s="62">
        <v>26.73</v>
      </c>
      <c r="V80" s="62">
        <v>341.41</v>
      </c>
      <c r="W80" s="62">
        <v>125.66</v>
      </c>
      <c r="X80" s="62"/>
      <c r="Y80" s="62">
        <v>51.02</v>
      </c>
      <c r="Z80" s="62">
        <v>192.23</v>
      </c>
      <c r="AA80" s="62">
        <v>89.11</v>
      </c>
    </row>
    <row r="81" spans="1:27" ht="15" customHeight="1" x14ac:dyDescent="0.15">
      <c r="A81" s="65">
        <v>45730</v>
      </c>
      <c r="B81" s="62">
        <v>394.74</v>
      </c>
      <c r="C81" s="62">
        <v>83.51</v>
      </c>
      <c r="D81" s="62">
        <v>705.35</v>
      </c>
      <c r="E81" s="62">
        <v>192.73</v>
      </c>
      <c r="F81" s="62">
        <v>88.43</v>
      </c>
      <c r="G81" s="62">
        <v>70.59</v>
      </c>
      <c r="H81" s="62">
        <v>100.4</v>
      </c>
      <c r="I81" s="62">
        <v>121.36</v>
      </c>
      <c r="J81" s="62">
        <v>105.57</v>
      </c>
      <c r="K81" s="62">
        <v>86.24</v>
      </c>
      <c r="L81" s="62">
        <v>170.44</v>
      </c>
      <c r="M81" s="62">
        <v>87.27</v>
      </c>
      <c r="N81" s="62">
        <v>504.77</v>
      </c>
      <c r="O81" s="62">
        <v>84.76</v>
      </c>
      <c r="P81" s="62">
        <v>125.28</v>
      </c>
      <c r="Q81" s="62">
        <v>59.83</v>
      </c>
      <c r="R81" s="62">
        <v>43.78</v>
      </c>
      <c r="S81" s="62">
        <v>92.57</v>
      </c>
      <c r="T81" s="62">
        <v>33.409999999999997</v>
      </c>
      <c r="U81" s="62">
        <v>25.96</v>
      </c>
      <c r="V81" s="62">
        <v>328.04</v>
      </c>
      <c r="W81" s="62">
        <v>122.84</v>
      </c>
      <c r="X81" s="62"/>
      <c r="Y81" s="62">
        <v>49.93</v>
      </c>
      <c r="Z81" s="62">
        <v>195.83</v>
      </c>
      <c r="AA81" s="62">
        <v>91.8</v>
      </c>
    </row>
    <row r="82" spans="1:27" ht="15" customHeight="1" x14ac:dyDescent="0.15">
      <c r="A82" s="65">
        <v>45737</v>
      </c>
      <c r="B82" s="62">
        <v>387.26</v>
      </c>
      <c r="C82" s="62">
        <v>83.13</v>
      </c>
      <c r="D82" s="62">
        <v>707.54</v>
      </c>
      <c r="E82" s="62">
        <v>189.47</v>
      </c>
      <c r="F82" s="62">
        <v>90.56</v>
      </c>
      <c r="G82" s="62">
        <v>69.95</v>
      </c>
      <c r="H82" s="62">
        <v>94.36</v>
      </c>
      <c r="I82" s="62">
        <v>117.4</v>
      </c>
      <c r="J82" s="62">
        <v>103.21</v>
      </c>
      <c r="K82" s="62">
        <v>90.96</v>
      </c>
      <c r="L82" s="62">
        <v>173.69</v>
      </c>
      <c r="M82" s="62">
        <v>88.48</v>
      </c>
      <c r="N82" s="62">
        <v>503.2</v>
      </c>
      <c r="O82" s="62">
        <v>85.58</v>
      </c>
      <c r="P82" s="62">
        <v>125.88</v>
      </c>
      <c r="Q82" s="62">
        <v>59.71</v>
      </c>
      <c r="R82" s="62">
        <v>43.94</v>
      </c>
      <c r="S82" s="62">
        <v>92.92</v>
      </c>
      <c r="T82" s="62">
        <v>33.979999999999997</v>
      </c>
      <c r="U82" s="62">
        <v>26.07</v>
      </c>
      <c r="V82" s="62">
        <v>331.86</v>
      </c>
      <c r="W82" s="62">
        <v>123.76</v>
      </c>
      <c r="X82" s="62"/>
      <c r="Y82" s="62">
        <v>50.07</v>
      </c>
      <c r="Z82" s="62">
        <v>202.8</v>
      </c>
      <c r="AA82" s="62">
        <v>96.03</v>
      </c>
    </row>
    <row r="83" spans="1:27" ht="15" customHeight="1" x14ac:dyDescent="0.15">
      <c r="A83" s="65">
        <v>45744</v>
      </c>
      <c r="B83" s="62">
        <v>385.71</v>
      </c>
      <c r="C83" s="62">
        <v>77.94</v>
      </c>
      <c r="D83" s="62">
        <v>666.41</v>
      </c>
      <c r="E83" s="62">
        <v>167.19</v>
      </c>
      <c r="F83" s="62">
        <v>89.28</v>
      </c>
      <c r="G83" s="62">
        <v>66.69</v>
      </c>
      <c r="H83" s="62">
        <v>88.1</v>
      </c>
      <c r="I83" s="62">
        <v>109.39</v>
      </c>
      <c r="J83" s="62">
        <v>105.14</v>
      </c>
      <c r="K83" s="62">
        <v>85.85</v>
      </c>
      <c r="L83" s="62">
        <v>162.41</v>
      </c>
      <c r="M83" s="62">
        <v>74.12</v>
      </c>
      <c r="N83" s="62">
        <v>492.69</v>
      </c>
      <c r="O83" s="62">
        <v>85.18</v>
      </c>
      <c r="P83" s="62">
        <v>125.85</v>
      </c>
      <c r="Q83" s="62">
        <v>59.02</v>
      </c>
      <c r="R83" s="62">
        <v>43.11</v>
      </c>
      <c r="S83" s="62">
        <v>91.09</v>
      </c>
      <c r="T83" s="62">
        <v>33.42</v>
      </c>
      <c r="U83" s="62">
        <v>26.14</v>
      </c>
      <c r="V83" s="62">
        <v>338.97</v>
      </c>
      <c r="W83" s="62">
        <v>122.94</v>
      </c>
      <c r="X83" s="62"/>
      <c r="Y83" s="62">
        <v>49.69</v>
      </c>
      <c r="Z83" s="62">
        <v>198.58</v>
      </c>
      <c r="AA83" s="62">
        <v>93.39</v>
      </c>
    </row>
    <row r="84" spans="1:27" ht="15" customHeight="1" x14ac:dyDescent="0.15">
      <c r="A84" s="65">
        <v>45751</v>
      </c>
      <c r="B84" s="62">
        <v>349.07</v>
      </c>
      <c r="C84" s="62">
        <v>64.37</v>
      </c>
      <c r="D84" s="62">
        <v>598.21</v>
      </c>
      <c r="E84" s="62">
        <v>144.62</v>
      </c>
      <c r="F84" s="62">
        <v>80.41</v>
      </c>
      <c r="G84" s="62">
        <v>57.08</v>
      </c>
      <c r="H84" s="62">
        <v>64.56</v>
      </c>
      <c r="I84" s="62">
        <v>94.07</v>
      </c>
      <c r="J84" s="62">
        <v>93.51</v>
      </c>
      <c r="K84" s="62">
        <v>74.010000000000005</v>
      </c>
      <c r="L84" s="62">
        <v>144.28</v>
      </c>
      <c r="M84" s="62">
        <v>59.31</v>
      </c>
      <c r="N84" s="62">
        <v>474.62</v>
      </c>
      <c r="O84" s="62">
        <v>76.260000000000005</v>
      </c>
      <c r="P84" s="62">
        <v>115.74</v>
      </c>
      <c r="Q84" s="62">
        <v>56.73</v>
      </c>
      <c r="R84" s="62">
        <v>39.19</v>
      </c>
      <c r="S84" s="62">
        <v>81.34</v>
      </c>
      <c r="T84" s="62">
        <v>30.33</v>
      </c>
      <c r="U84" s="62">
        <v>23.96</v>
      </c>
      <c r="V84" s="62">
        <v>309.58999999999997</v>
      </c>
      <c r="W84" s="62">
        <v>112.8</v>
      </c>
      <c r="X84" s="62"/>
      <c r="Y84" s="62">
        <v>46.04</v>
      </c>
      <c r="Z84" s="62">
        <v>165.73</v>
      </c>
      <c r="AA84" s="62">
        <v>85.59</v>
      </c>
    </row>
    <row r="85" spans="1:27" ht="15" customHeight="1" x14ac:dyDescent="0.15">
      <c r="A85" s="65">
        <v>45758</v>
      </c>
      <c r="B85" s="62">
        <v>352.47</v>
      </c>
      <c r="C85" s="62">
        <v>72.67</v>
      </c>
      <c r="D85" s="62">
        <v>660.71</v>
      </c>
      <c r="E85" s="62">
        <v>179.86</v>
      </c>
      <c r="F85" s="62">
        <v>94.47</v>
      </c>
      <c r="G85" s="62">
        <v>66.36</v>
      </c>
      <c r="H85" s="62">
        <v>69.37</v>
      </c>
      <c r="I85" s="62">
        <v>110.65</v>
      </c>
      <c r="J85" s="62">
        <v>91.6</v>
      </c>
      <c r="K85" s="62">
        <v>88.55</v>
      </c>
      <c r="L85" s="62">
        <v>154.38</v>
      </c>
      <c r="M85" s="62">
        <v>69.489999999999995</v>
      </c>
      <c r="N85" s="62">
        <v>484.22</v>
      </c>
      <c r="O85" s="62">
        <v>77.22</v>
      </c>
      <c r="P85" s="62">
        <v>117.6</v>
      </c>
      <c r="Q85" s="62">
        <v>57.8</v>
      </c>
      <c r="R85" s="62">
        <v>41.66</v>
      </c>
      <c r="S85" s="62">
        <v>88.75</v>
      </c>
      <c r="T85" s="62">
        <v>30.97</v>
      </c>
      <c r="U85" s="62">
        <v>23.98</v>
      </c>
      <c r="V85" s="62">
        <v>329.63</v>
      </c>
      <c r="W85" s="62">
        <v>116.65</v>
      </c>
      <c r="X85" s="62"/>
      <c r="Y85" s="62">
        <v>47.66</v>
      </c>
      <c r="Z85" s="62">
        <v>180.49</v>
      </c>
      <c r="AA85" s="62">
        <v>91.83</v>
      </c>
    </row>
    <row r="86" spans="1:27" ht="15" customHeight="1" x14ac:dyDescent="0.15">
      <c r="A86" s="65">
        <v>45765</v>
      </c>
      <c r="B86" s="62">
        <v>348.8</v>
      </c>
      <c r="C86" s="62">
        <v>71.2</v>
      </c>
      <c r="D86" s="62">
        <v>632.4</v>
      </c>
      <c r="E86" s="62">
        <v>169.04</v>
      </c>
      <c r="F86" s="62">
        <v>93.9</v>
      </c>
      <c r="G86" s="62">
        <v>62.81</v>
      </c>
      <c r="H86" s="62">
        <v>68.63</v>
      </c>
      <c r="I86" s="62">
        <v>101.23</v>
      </c>
      <c r="J86" s="62">
        <v>97.19</v>
      </c>
      <c r="K86" s="62">
        <v>93.78</v>
      </c>
      <c r="L86" s="62">
        <v>149.13</v>
      </c>
      <c r="M86" s="62">
        <v>73.09</v>
      </c>
      <c r="N86" s="62">
        <v>489.1</v>
      </c>
      <c r="O86" s="62">
        <v>78.66</v>
      </c>
      <c r="P86" s="62">
        <v>119.33</v>
      </c>
      <c r="Q86" s="62">
        <v>57.45</v>
      </c>
      <c r="R86" s="62">
        <v>40.99</v>
      </c>
      <c r="S86" s="62">
        <v>87.21</v>
      </c>
      <c r="T86" s="62">
        <v>31.18</v>
      </c>
      <c r="U86" s="62">
        <v>24.09</v>
      </c>
      <c r="V86" s="62">
        <v>325.88</v>
      </c>
      <c r="W86" s="62">
        <v>116.47</v>
      </c>
      <c r="X86" s="62"/>
      <c r="Y86" s="62">
        <v>47.47</v>
      </c>
      <c r="Z86" s="62">
        <v>180.61</v>
      </c>
      <c r="AA86" s="62">
        <v>97.3</v>
      </c>
    </row>
    <row r="87" spans="1:27" ht="15" customHeight="1" x14ac:dyDescent="0.15">
      <c r="A87" s="65">
        <v>45772</v>
      </c>
      <c r="B87" s="62">
        <v>367.72</v>
      </c>
      <c r="C87" s="62">
        <v>77.91</v>
      </c>
      <c r="D87" s="62">
        <v>669.06</v>
      </c>
      <c r="E87" s="62">
        <v>190.12</v>
      </c>
      <c r="F87" s="62">
        <v>106.22</v>
      </c>
      <c r="G87" s="62">
        <v>68.77</v>
      </c>
      <c r="H87" s="62">
        <v>79.58</v>
      </c>
      <c r="I87" s="62">
        <v>110.73</v>
      </c>
      <c r="J87" s="62">
        <v>97.32</v>
      </c>
      <c r="K87" s="62">
        <v>112.78</v>
      </c>
      <c r="L87" s="62">
        <v>162.26</v>
      </c>
      <c r="M87" s="62">
        <v>86.8</v>
      </c>
      <c r="N87" s="62">
        <v>493.84</v>
      </c>
      <c r="O87" s="62">
        <v>80.87</v>
      </c>
      <c r="P87" s="62">
        <v>121.04</v>
      </c>
      <c r="Q87" s="62">
        <v>58.47</v>
      </c>
      <c r="R87" s="62">
        <v>42.96</v>
      </c>
      <c r="S87" s="62">
        <v>92.9</v>
      </c>
      <c r="T87" s="62">
        <v>32.21</v>
      </c>
      <c r="U87" s="62">
        <v>24.33</v>
      </c>
      <c r="V87" s="62">
        <v>331.38</v>
      </c>
      <c r="W87" s="62">
        <v>118.85</v>
      </c>
      <c r="X87" s="62"/>
      <c r="Y87" s="62">
        <v>48.54</v>
      </c>
      <c r="Z87" s="62">
        <v>197.14</v>
      </c>
      <c r="AA87" s="62">
        <v>110.15</v>
      </c>
    </row>
    <row r="88" spans="1:27" ht="15" customHeight="1" x14ac:dyDescent="0.15">
      <c r="A88" s="65">
        <v>45779</v>
      </c>
      <c r="B88" s="62">
        <v>380.87</v>
      </c>
      <c r="C88" s="62">
        <v>91.02</v>
      </c>
      <c r="D88" s="62">
        <v>684.08</v>
      </c>
      <c r="E88" s="62">
        <v>201.32</v>
      </c>
      <c r="F88" s="62">
        <v>110.14</v>
      </c>
      <c r="G88" s="62">
        <v>69.12</v>
      </c>
      <c r="H88" s="62">
        <v>80.510000000000005</v>
      </c>
      <c r="I88" s="62">
        <v>114.21</v>
      </c>
      <c r="J88" s="62">
        <v>100.34</v>
      </c>
      <c r="K88" s="62">
        <v>124.28</v>
      </c>
      <c r="L88" s="62">
        <v>176.2</v>
      </c>
      <c r="M88" s="62">
        <v>94.84</v>
      </c>
      <c r="N88" s="62">
        <v>501.15</v>
      </c>
      <c r="O88" s="62">
        <v>83.61</v>
      </c>
      <c r="P88" s="62">
        <v>123.05</v>
      </c>
      <c r="Q88" s="62">
        <v>59.43</v>
      </c>
      <c r="R88" s="62">
        <v>43.81</v>
      </c>
      <c r="S88" s="62">
        <v>96.64</v>
      </c>
      <c r="T88" s="62">
        <v>32.83</v>
      </c>
      <c r="U88" s="62">
        <v>24.7</v>
      </c>
      <c r="V88" s="62">
        <v>343.67</v>
      </c>
      <c r="W88" s="62">
        <v>121.35</v>
      </c>
      <c r="X88" s="62"/>
      <c r="Y88" s="62">
        <v>49.58</v>
      </c>
      <c r="Z88" s="62">
        <v>206.35</v>
      </c>
      <c r="AA88" s="62">
        <v>115.65</v>
      </c>
    </row>
    <row r="89" spans="1:27" ht="15" customHeight="1" x14ac:dyDescent="0.15">
      <c r="A89" s="65">
        <v>45786</v>
      </c>
      <c r="B89" s="62">
        <v>383.28</v>
      </c>
      <c r="C89" s="62">
        <v>86.52</v>
      </c>
      <c r="D89" s="62">
        <v>699.81</v>
      </c>
      <c r="E89" s="62">
        <v>205.83</v>
      </c>
      <c r="F89" s="62">
        <v>102.64</v>
      </c>
      <c r="G89" s="62">
        <v>69.430000000000007</v>
      </c>
      <c r="H89" s="62">
        <v>85.64</v>
      </c>
      <c r="I89" s="62">
        <v>116.36</v>
      </c>
      <c r="J89" s="62">
        <v>101.77</v>
      </c>
      <c r="K89" s="62">
        <v>117.3</v>
      </c>
      <c r="L89" s="62">
        <v>173.49</v>
      </c>
      <c r="M89" s="62">
        <v>93.9</v>
      </c>
      <c r="N89" s="62">
        <v>424.99</v>
      </c>
      <c r="O89" s="62">
        <v>84.58</v>
      </c>
      <c r="P89" s="62">
        <v>122.9</v>
      </c>
      <c r="Q89" s="62">
        <v>59.28</v>
      </c>
      <c r="R89" s="62">
        <v>43.93</v>
      </c>
      <c r="S89" s="62">
        <v>97.31</v>
      </c>
      <c r="T89" s="62">
        <v>32.78</v>
      </c>
      <c r="U89" s="62">
        <v>24.38</v>
      </c>
      <c r="V89" s="62">
        <v>348.55</v>
      </c>
      <c r="W89" s="62">
        <v>121.2</v>
      </c>
      <c r="X89" s="62"/>
      <c r="Y89" s="62">
        <v>49.57</v>
      </c>
      <c r="Z89" s="62">
        <v>213.56</v>
      </c>
      <c r="AA89" s="62">
        <v>114.02</v>
      </c>
    </row>
    <row r="90" spans="1:27" ht="15" customHeight="1" x14ac:dyDescent="0.15">
      <c r="A90" s="65">
        <v>45793</v>
      </c>
      <c r="B90" s="62">
        <v>417.13</v>
      </c>
      <c r="C90" s="62">
        <v>96.42</v>
      </c>
      <c r="D90" s="62">
        <v>741.32</v>
      </c>
      <c r="E90" s="62">
        <v>226</v>
      </c>
      <c r="F90" s="62">
        <v>109.82</v>
      </c>
      <c r="G90" s="62">
        <v>78.33</v>
      </c>
      <c r="H90" s="62">
        <v>97.75</v>
      </c>
      <c r="I90" s="62">
        <v>135.06</v>
      </c>
      <c r="J90" s="62">
        <v>105.23</v>
      </c>
      <c r="K90" s="62">
        <v>129.52000000000001</v>
      </c>
      <c r="L90" s="62">
        <v>190.88</v>
      </c>
      <c r="M90" s="62">
        <v>105.86</v>
      </c>
      <c r="N90" s="62">
        <v>438.65</v>
      </c>
      <c r="O90" s="62">
        <v>88.72</v>
      </c>
      <c r="P90" s="62">
        <v>126.84</v>
      </c>
      <c r="Q90" s="62">
        <v>61.02</v>
      </c>
      <c r="R90" s="62">
        <v>44.69</v>
      </c>
      <c r="S90" s="62">
        <v>103.95</v>
      </c>
      <c r="T90" s="62">
        <v>34.19</v>
      </c>
      <c r="U90" s="62">
        <v>25.21</v>
      </c>
      <c r="V90" s="62">
        <v>361.59</v>
      </c>
      <c r="W90" s="62">
        <v>125.26</v>
      </c>
      <c r="X90" s="62"/>
      <c r="Y90" s="62">
        <v>50.1</v>
      </c>
      <c r="Z90" s="62">
        <v>230.27</v>
      </c>
      <c r="AA90" s="62">
        <v>119.15</v>
      </c>
    </row>
    <row r="91" spans="1:27" ht="15" customHeight="1" x14ac:dyDescent="0.15">
      <c r="A91" s="65">
        <v>45800</v>
      </c>
      <c r="B91" s="62">
        <v>407.69</v>
      </c>
      <c r="C91" s="62">
        <v>91.2</v>
      </c>
      <c r="D91" s="62">
        <v>725.86</v>
      </c>
      <c r="E91" s="62">
        <v>226.11</v>
      </c>
      <c r="F91" s="62">
        <v>113.9</v>
      </c>
      <c r="G91" s="62">
        <v>75.150000000000006</v>
      </c>
      <c r="H91" s="62">
        <v>93.13</v>
      </c>
      <c r="I91" s="62">
        <v>130.96</v>
      </c>
      <c r="J91" s="62">
        <v>99.04</v>
      </c>
      <c r="K91" s="62">
        <v>123.31</v>
      </c>
      <c r="L91" s="62">
        <v>188.68</v>
      </c>
      <c r="M91" s="62">
        <v>103.96</v>
      </c>
      <c r="N91" s="62">
        <v>436</v>
      </c>
      <c r="O91" s="62">
        <v>85.17</v>
      </c>
      <c r="P91" s="62">
        <v>123.56</v>
      </c>
      <c r="Q91" s="62">
        <v>60.01</v>
      </c>
      <c r="R91" s="62">
        <v>44.28</v>
      </c>
      <c r="S91" s="62">
        <v>101.63</v>
      </c>
      <c r="T91" s="62">
        <v>33</v>
      </c>
      <c r="U91" s="62">
        <v>24.53</v>
      </c>
      <c r="V91" s="62">
        <v>350.12</v>
      </c>
      <c r="W91" s="62">
        <v>122.5</v>
      </c>
      <c r="X91" s="62"/>
      <c r="Y91" s="62">
        <v>49.46</v>
      </c>
      <c r="Z91" s="62">
        <v>231.28</v>
      </c>
      <c r="AA91" s="62">
        <v>118.54</v>
      </c>
    </row>
    <row r="92" spans="1:27" ht="15" customHeight="1" x14ac:dyDescent="0.15">
      <c r="A92" s="65">
        <v>45807</v>
      </c>
      <c r="B92" s="62">
        <v>415.09</v>
      </c>
      <c r="C92" s="62">
        <v>86.64</v>
      </c>
      <c r="D92" s="62">
        <v>730.1</v>
      </c>
      <c r="E92" s="62">
        <v>239.31</v>
      </c>
      <c r="F92" s="62">
        <v>117.84</v>
      </c>
      <c r="G92" s="62">
        <v>75.12</v>
      </c>
      <c r="H92" s="62">
        <v>94.22</v>
      </c>
      <c r="I92" s="62">
        <v>134.79</v>
      </c>
      <c r="J92" s="62">
        <v>103.38</v>
      </c>
      <c r="K92" s="62">
        <v>131.78</v>
      </c>
      <c r="L92" s="62">
        <v>190</v>
      </c>
      <c r="M92" s="62">
        <v>107.75</v>
      </c>
      <c r="N92" s="62">
        <v>442.05</v>
      </c>
      <c r="O92" s="62">
        <v>86.17</v>
      </c>
      <c r="P92" s="62">
        <v>124.36</v>
      </c>
      <c r="Q92" s="62">
        <v>60.66</v>
      </c>
      <c r="R92" s="62">
        <v>44.78</v>
      </c>
      <c r="S92" s="62">
        <v>104.1</v>
      </c>
      <c r="T92" s="62">
        <v>33.26</v>
      </c>
      <c r="U92" s="62">
        <v>24.8</v>
      </c>
      <c r="V92" s="62">
        <v>361.66</v>
      </c>
      <c r="W92" s="62">
        <v>124.36</v>
      </c>
      <c r="X92" s="62"/>
      <c r="Y92" s="62">
        <v>49.96</v>
      </c>
      <c r="Z92" s="62">
        <v>244.31</v>
      </c>
      <c r="AA92" s="62">
        <v>120.72</v>
      </c>
    </row>
    <row r="93" spans="1:27" ht="15" customHeight="1" x14ac:dyDescent="0.15">
      <c r="A93" s="65">
        <v>45814</v>
      </c>
      <c r="B93" s="62">
        <v>416.92</v>
      </c>
      <c r="C93" s="62">
        <v>97.25</v>
      </c>
      <c r="D93" s="62">
        <v>746.2</v>
      </c>
      <c r="E93" s="62">
        <v>244.11</v>
      </c>
      <c r="F93" s="62">
        <v>117.1</v>
      </c>
      <c r="G93" s="62">
        <v>80.19</v>
      </c>
      <c r="H93" s="62">
        <v>108.28</v>
      </c>
      <c r="I93" s="62">
        <v>141.36000000000001</v>
      </c>
      <c r="J93" s="62">
        <v>103.56</v>
      </c>
      <c r="K93" s="62">
        <v>127.72</v>
      </c>
      <c r="L93" s="62">
        <v>201.66</v>
      </c>
      <c r="M93" s="62">
        <v>115.17</v>
      </c>
      <c r="N93" s="62">
        <v>450.5</v>
      </c>
      <c r="O93" s="62">
        <v>87.76</v>
      </c>
      <c r="P93" s="62">
        <v>124.82</v>
      </c>
      <c r="Q93" s="62">
        <v>61.25</v>
      </c>
      <c r="R93" s="62">
        <v>45.37</v>
      </c>
      <c r="S93" s="62">
        <v>105.65</v>
      </c>
      <c r="T93" s="62">
        <v>34.04</v>
      </c>
      <c r="U93" s="62">
        <v>25.15</v>
      </c>
      <c r="V93" s="62">
        <v>366.64</v>
      </c>
      <c r="W93" s="62">
        <v>125.73</v>
      </c>
      <c r="X93" s="62"/>
      <c r="Y93" s="62">
        <v>50.4</v>
      </c>
      <c r="Z93" s="62">
        <v>253.97</v>
      </c>
      <c r="AA93" s="62">
        <v>124.15</v>
      </c>
    </row>
    <row r="94" spans="1:27" ht="15" customHeight="1" x14ac:dyDescent="0.15">
      <c r="A94" s="65">
        <v>45821</v>
      </c>
      <c r="B94" s="62">
        <v>391.68</v>
      </c>
      <c r="C94" s="62">
        <v>92.35</v>
      </c>
      <c r="D94" s="62">
        <v>754.11</v>
      </c>
      <c r="E94" s="62">
        <v>245.86</v>
      </c>
      <c r="F94" s="62">
        <v>120.15</v>
      </c>
      <c r="G94" s="62">
        <v>86.11</v>
      </c>
      <c r="H94" s="62">
        <v>115.31</v>
      </c>
      <c r="I94" s="62">
        <v>141.62</v>
      </c>
      <c r="J94" s="62">
        <v>102.12</v>
      </c>
      <c r="K94" s="62">
        <v>137.4</v>
      </c>
      <c r="L94" s="62">
        <v>208.23</v>
      </c>
      <c r="M94" s="62">
        <v>110.78</v>
      </c>
      <c r="N94" s="62">
        <v>455.45</v>
      </c>
      <c r="O94" s="62">
        <v>87.23</v>
      </c>
      <c r="P94" s="62">
        <v>124.38</v>
      </c>
      <c r="Q94" s="62">
        <v>61.24</v>
      </c>
      <c r="R94" s="62">
        <v>45.28</v>
      </c>
      <c r="S94" s="62">
        <v>104.9</v>
      </c>
      <c r="T94" s="62">
        <v>34.49</v>
      </c>
      <c r="U94" s="62">
        <v>25.49</v>
      </c>
      <c r="V94" s="62">
        <v>349.44</v>
      </c>
      <c r="W94" s="62">
        <v>125.82</v>
      </c>
      <c r="X94" s="62"/>
      <c r="Y94" s="62">
        <v>50.4</v>
      </c>
      <c r="Z94" s="62">
        <v>235.06</v>
      </c>
      <c r="AA94" s="62">
        <v>121.21</v>
      </c>
    </row>
    <row r="95" spans="1:27" ht="15" customHeight="1" x14ac:dyDescent="0.15">
      <c r="A95" s="65">
        <v>45828</v>
      </c>
      <c r="B95" s="62">
        <v>376.92</v>
      </c>
      <c r="C95" s="62">
        <v>86.25</v>
      </c>
      <c r="D95" s="62">
        <v>749.68</v>
      </c>
      <c r="E95" s="62">
        <v>247.72</v>
      </c>
      <c r="F95" s="62">
        <v>119.07</v>
      </c>
      <c r="G95" s="62">
        <v>84.36</v>
      </c>
      <c r="H95" s="62">
        <v>123.29</v>
      </c>
      <c r="I95" s="62">
        <v>143.5</v>
      </c>
      <c r="J95" s="62">
        <v>101.57</v>
      </c>
      <c r="K95" s="62">
        <v>137.30000000000001</v>
      </c>
      <c r="L95" s="62">
        <v>206.66</v>
      </c>
      <c r="M95" s="62">
        <v>118.38</v>
      </c>
      <c r="N95" s="62">
        <v>440.87</v>
      </c>
      <c r="O95" s="62">
        <v>87.38</v>
      </c>
      <c r="P95" s="62">
        <v>124.75</v>
      </c>
      <c r="Q95" s="62">
        <v>61.29</v>
      </c>
      <c r="R95" s="62">
        <v>45.42</v>
      </c>
      <c r="S95" s="62">
        <v>105.64</v>
      </c>
      <c r="T95" s="62">
        <v>34.450000000000003</v>
      </c>
      <c r="U95" s="62">
        <v>25.3</v>
      </c>
      <c r="V95" s="62">
        <v>335.29</v>
      </c>
      <c r="W95" s="62">
        <v>125.77</v>
      </c>
      <c r="X95" s="62"/>
      <c r="Y95" s="62">
        <v>50.14</v>
      </c>
      <c r="Z95" s="62">
        <v>237.81</v>
      </c>
      <c r="AA95" s="62">
        <v>123.14</v>
      </c>
    </row>
    <row r="96" spans="1:27" ht="15" customHeight="1" x14ac:dyDescent="0.15">
      <c r="A96" s="65">
        <v>45835</v>
      </c>
      <c r="B96" s="62">
        <v>385.83</v>
      </c>
      <c r="C96" s="62">
        <v>99.39</v>
      </c>
      <c r="D96" s="62">
        <v>788.74</v>
      </c>
      <c r="E96" s="62">
        <v>266.89999999999998</v>
      </c>
      <c r="F96" s="62">
        <v>124.83</v>
      </c>
      <c r="G96" s="62">
        <v>88.32</v>
      </c>
      <c r="H96" s="62">
        <v>124.44</v>
      </c>
      <c r="I96" s="62">
        <v>157.36000000000001</v>
      </c>
      <c r="J96" s="62">
        <v>101.5</v>
      </c>
      <c r="K96" s="62">
        <v>130.74</v>
      </c>
      <c r="L96" s="62">
        <v>225.46</v>
      </c>
      <c r="M96" s="62">
        <v>126.99</v>
      </c>
      <c r="N96" s="62">
        <v>441.3</v>
      </c>
      <c r="O96" s="62">
        <v>89.61</v>
      </c>
      <c r="P96" s="62">
        <v>126.47</v>
      </c>
      <c r="Q96" s="62">
        <v>62.05</v>
      </c>
      <c r="R96" s="62">
        <v>46.73</v>
      </c>
      <c r="S96" s="62">
        <v>110.73</v>
      </c>
      <c r="T96" s="62">
        <v>34.75</v>
      </c>
      <c r="U96" s="62">
        <v>25.25</v>
      </c>
      <c r="V96" s="62">
        <v>345.24</v>
      </c>
      <c r="W96" s="62">
        <v>128.58000000000001</v>
      </c>
      <c r="X96" s="62"/>
      <c r="Y96" s="62">
        <v>50.96</v>
      </c>
      <c r="Z96" s="62">
        <v>252.85</v>
      </c>
      <c r="AA96" s="62">
        <v>132.31</v>
      </c>
    </row>
    <row r="97" spans="1:27" ht="15" customHeight="1" x14ac:dyDescent="0.15">
      <c r="A97" s="65">
        <v>45842</v>
      </c>
      <c r="B97" s="62">
        <v>379.31</v>
      </c>
      <c r="C97" s="62">
        <v>102.52</v>
      </c>
      <c r="D97" s="62">
        <v>787.3</v>
      </c>
      <c r="E97" s="62">
        <v>272.68</v>
      </c>
      <c r="F97" s="62">
        <v>128.52000000000001</v>
      </c>
      <c r="G97" s="62">
        <v>91.76</v>
      </c>
      <c r="H97" s="62">
        <v>121.98</v>
      </c>
      <c r="I97" s="62">
        <v>158.94999999999999</v>
      </c>
      <c r="J97" s="62">
        <v>103.81</v>
      </c>
      <c r="K97" s="62">
        <v>134.36000000000001</v>
      </c>
      <c r="L97" s="62">
        <v>231.61</v>
      </c>
      <c r="M97" s="62">
        <v>127.67</v>
      </c>
      <c r="N97" s="62">
        <v>459.62</v>
      </c>
      <c r="O97" s="62">
        <v>93.34</v>
      </c>
      <c r="P97" s="62">
        <v>130.79</v>
      </c>
      <c r="Q97" s="62">
        <v>62.46</v>
      </c>
      <c r="R97" s="62">
        <v>47.06</v>
      </c>
      <c r="S97" s="62">
        <v>111.39</v>
      </c>
      <c r="T97" s="62">
        <v>35.18</v>
      </c>
      <c r="U97" s="62">
        <v>26.17</v>
      </c>
      <c r="V97" s="62">
        <v>355.39</v>
      </c>
      <c r="W97" s="62">
        <v>131.78</v>
      </c>
      <c r="X97" s="62"/>
      <c r="Y97" s="62">
        <v>51.59</v>
      </c>
      <c r="Z97" s="62">
        <v>245.27</v>
      </c>
      <c r="AA97" s="62">
        <v>129.72</v>
      </c>
    </row>
    <row r="98" spans="1:27" ht="15" customHeight="1" x14ac:dyDescent="0.15">
      <c r="A98" s="65">
        <v>45849</v>
      </c>
      <c r="B98" s="62">
        <v>363.35</v>
      </c>
      <c r="C98" s="62">
        <v>108.57</v>
      </c>
      <c r="D98" s="62">
        <v>794.67</v>
      </c>
      <c r="E98" s="62">
        <v>271.89</v>
      </c>
      <c r="F98" s="62">
        <v>119.61</v>
      </c>
      <c r="G98" s="62">
        <v>91.76</v>
      </c>
      <c r="H98" s="62">
        <v>124.33</v>
      </c>
      <c r="I98" s="62">
        <v>164.52</v>
      </c>
      <c r="J98" s="62">
        <v>104.91</v>
      </c>
      <c r="K98" s="62">
        <v>142.1</v>
      </c>
      <c r="L98" s="62">
        <v>227.27</v>
      </c>
      <c r="M98" s="62">
        <v>123.13</v>
      </c>
      <c r="N98" s="62">
        <v>468.85</v>
      </c>
      <c r="O98" s="62">
        <v>93.22</v>
      </c>
      <c r="P98" s="62">
        <v>130.35</v>
      </c>
      <c r="Q98" s="62">
        <v>62.56</v>
      </c>
      <c r="R98" s="62">
        <v>47.23</v>
      </c>
      <c r="S98" s="62">
        <v>111.05</v>
      </c>
      <c r="T98" s="62">
        <v>35.270000000000003</v>
      </c>
      <c r="U98" s="62">
        <v>26.15</v>
      </c>
      <c r="V98" s="62">
        <v>344.56</v>
      </c>
      <c r="W98" s="62">
        <v>130.88999999999999</v>
      </c>
      <c r="X98" s="62"/>
      <c r="Y98" s="62">
        <v>51.41</v>
      </c>
      <c r="Z98" s="62">
        <v>254.13</v>
      </c>
      <c r="AA98" s="62">
        <v>124.51</v>
      </c>
    </row>
    <row r="99" spans="1:27" ht="15" customHeight="1" x14ac:dyDescent="0.15">
      <c r="A99" s="65">
        <v>45856</v>
      </c>
      <c r="B99" s="62">
        <v>365.79</v>
      </c>
      <c r="C99" s="62">
        <v>111.78</v>
      </c>
      <c r="D99" s="62">
        <v>727.93</v>
      </c>
      <c r="E99" s="62">
        <v>280.77</v>
      </c>
      <c r="F99" s="62">
        <v>118.99</v>
      </c>
      <c r="G99" s="62">
        <v>92.41</v>
      </c>
      <c r="H99" s="62">
        <v>114.21</v>
      </c>
      <c r="I99" s="62">
        <v>171.99</v>
      </c>
      <c r="J99" s="62">
        <v>102.61</v>
      </c>
      <c r="K99" s="62">
        <v>153.52000000000001</v>
      </c>
      <c r="L99" s="62">
        <v>237.13</v>
      </c>
      <c r="M99" s="62">
        <v>128.88999999999999</v>
      </c>
      <c r="N99" s="62">
        <v>459.81</v>
      </c>
      <c r="O99" s="62">
        <v>92.12</v>
      </c>
      <c r="P99" s="62">
        <v>129.80000000000001</v>
      </c>
      <c r="Q99" s="62">
        <v>62.78</v>
      </c>
      <c r="R99" s="62">
        <v>47.52</v>
      </c>
      <c r="S99" s="62">
        <v>112.7</v>
      </c>
      <c r="T99" s="62">
        <v>34.520000000000003</v>
      </c>
      <c r="U99" s="62">
        <v>25.86</v>
      </c>
      <c r="V99" s="62">
        <v>345.67</v>
      </c>
      <c r="W99" s="62">
        <v>130.69</v>
      </c>
      <c r="X99" s="62"/>
      <c r="Y99" s="62">
        <v>51.6</v>
      </c>
      <c r="Z99" s="62">
        <v>261.94</v>
      </c>
      <c r="AA99" s="62">
        <v>120.92</v>
      </c>
    </row>
    <row r="100" spans="1:27" ht="15" customHeight="1" x14ac:dyDescent="0.15">
      <c r="A100" s="65">
        <v>45863</v>
      </c>
      <c r="B100" s="62">
        <v>370.74</v>
      </c>
      <c r="C100" s="62">
        <v>114.28</v>
      </c>
      <c r="D100" s="62">
        <v>704.81</v>
      </c>
      <c r="E100" s="62">
        <v>287.55</v>
      </c>
      <c r="F100" s="62">
        <v>116.98</v>
      </c>
      <c r="G100" s="62">
        <v>89.53</v>
      </c>
      <c r="H100" s="62">
        <v>111.08</v>
      </c>
      <c r="I100" s="62">
        <v>173.08</v>
      </c>
      <c r="J100" s="62">
        <v>105.99</v>
      </c>
      <c r="K100" s="62">
        <v>158.80000000000001</v>
      </c>
      <c r="L100" s="62">
        <v>242.26</v>
      </c>
      <c r="M100" s="62">
        <v>137.29</v>
      </c>
      <c r="N100" s="62">
        <v>469.65</v>
      </c>
      <c r="O100" s="62">
        <v>93.48</v>
      </c>
      <c r="P100" s="62">
        <v>132.16</v>
      </c>
      <c r="Q100" s="62">
        <v>62.92</v>
      </c>
      <c r="R100" s="62">
        <v>47.86</v>
      </c>
      <c r="S100" s="62">
        <v>113.89</v>
      </c>
      <c r="T100" s="62">
        <v>35.28</v>
      </c>
      <c r="U100" s="62">
        <v>26.14</v>
      </c>
      <c r="V100" s="62">
        <v>353.59</v>
      </c>
      <c r="W100" s="62">
        <v>132.54</v>
      </c>
      <c r="X100" s="62"/>
      <c r="Y100" s="62">
        <v>51.92</v>
      </c>
      <c r="Z100" s="62">
        <v>270.22000000000003</v>
      </c>
      <c r="AA100" s="62">
        <v>118.05</v>
      </c>
    </row>
    <row r="101" spans="1:27" ht="15" customHeight="1" x14ac:dyDescent="0.15">
      <c r="A101" s="65">
        <v>45870</v>
      </c>
      <c r="B101" s="62">
        <v>347.8</v>
      </c>
      <c r="C101" s="62">
        <v>117.57</v>
      </c>
      <c r="D101" s="62">
        <v>685.31</v>
      </c>
      <c r="E101" s="62">
        <v>286.02</v>
      </c>
      <c r="F101" s="62">
        <v>111.67</v>
      </c>
      <c r="G101" s="62">
        <v>88</v>
      </c>
      <c r="H101" s="62">
        <v>104.71</v>
      </c>
      <c r="I101" s="62">
        <v>173.3</v>
      </c>
      <c r="J101" s="62">
        <v>100.82</v>
      </c>
      <c r="K101" s="62">
        <v>154.27000000000001</v>
      </c>
      <c r="L101" s="62">
        <v>232.01</v>
      </c>
      <c r="M101" s="62">
        <v>141.4</v>
      </c>
      <c r="N101" s="62">
        <v>462.13</v>
      </c>
      <c r="O101" s="62">
        <v>88.78</v>
      </c>
      <c r="P101" s="62">
        <v>128.19</v>
      </c>
      <c r="Q101" s="62">
        <v>62.26</v>
      </c>
      <c r="R101" s="62">
        <v>47.13</v>
      </c>
      <c r="S101" s="62">
        <v>112.1</v>
      </c>
      <c r="T101" s="62">
        <v>33.799999999999997</v>
      </c>
      <c r="U101" s="62">
        <v>25.24</v>
      </c>
      <c r="V101" s="62">
        <v>336.07</v>
      </c>
      <c r="W101" s="62">
        <v>128.94999999999999</v>
      </c>
      <c r="X101" s="62"/>
      <c r="Y101" s="62">
        <v>50.69</v>
      </c>
      <c r="Z101" s="62">
        <v>268.02</v>
      </c>
      <c r="AA101" s="62">
        <v>115.86</v>
      </c>
    </row>
    <row r="102" spans="1:27" ht="15" customHeight="1" x14ac:dyDescent="0.15">
      <c r="A102" s="65">
        <v>45877</v>
      </c>
      <c r="B102" s="62">
        <v>341.05</v>
      </c>
      <c r="C102" s="62">
        <v>139.18</v>
      </c>
      <c r="D102" s="62">
        <v>717.59</v>
      </c>
      <c r="E102" s="62">
        <v>302.2</v>
      </c>
      <c r="F102" s="62">
        <v>106.12</v>
      </c>
      <c r="G102" s="62">
        <v>90.79</v>
      </c>
      <c r="H102" s="62">
        <v>118.7</v>
      </c>
      <c r="I102" s="62">
        <v>182.25</v>
      </c>
      <c r="J102" s="62">
        <v>101.56</v>
      </c>
      <c r="K102" s="62">
        <v>186.96</v>
      </c>
      <c r="L102" s="62">
        <v>238.54</v>
      </c>
      <c r="M102" s="62">
        <v>139.74</v>
      </c>
      <c r="N102" s="62">
        <v>366.54</v>
      </c>
      <c r="O102" s="62">
        <v>90.85</v>
      </c>
      <c r="P102" s="62">
        <v>130.26</v>
      </c>
      <c r="Q102" s="62">
        <v>62.98</v>
      </c>
      <c r="R102" s="62">
        <v>48.46</v>
      </c>
      <c r="S102" s="62">
        <v>116.02</v>
      </c>
      <c r="T102" s="62">
        <v>34.14</v>
      </c>
      <c r="U102" s="62">
        <v>25.72</v>
      </c>
      <c r="V102" s="62">
        <v>333.52</v>
      </c>
      <c r="W102" s="62">
        <v>131.32</v>
      </c>
      <c r="X102" s="62"/>
      <c r="Y102" s="62">
        <v>51.1</v>
      </c>
      <c r="Z102" s="62">
        <v>273.62</v>
      </c>
      <c r="AA102" s="62">
        <v>121.16</v>
      </c>
    </row>
    <row r="103" spans="1:27" ht="15" customHeight="1" x14ac:dyDescent="0.15">
      <c r="A103" s="65">
        <v>45884</v>
      </c>
      <c r="B103" s="62">
        <v>354.85</v>
      </c>
      <c r="C103" s="62">
        <v>137.30000000000001</v>
      </c>
      <c r="D103" s="62">
        <v>737.3</v>
      </c>
      <c r="E103" s="62">
        <v>303.56</v>
      </c>
      <c r="F103" s="62">
        <v>106.97</v>
      </c>
      <c r="G103" s="62">
        <v>86.84</v>
      </c>
      <c r="H103" s="62">
        <v>120.68</v>
      </c>
      <c r="I103" s="62">
        <v>180.01</v>
      </c>
      <c r="J103" s="62">
        <v>102.43</v>
      </c>
      <c r="K103" s="62">
        <v>177.17</v>
      </c>
      <c r="L103" s="62">
        <v>235.63</v>
      </c>
      <c r="M103" s="62">
        <v>132.88999999999999</v>
      </c>
      <c r="N103" s="62">
        <v>392.79</v>
      </c>
      <c r="O103" s="62">
        <v>93.56</v>
      </c>
      <c r="P103" s="62">
        <v>132.26</v>
      </c>
      <c r="Q103" s="62">
        <v>63.44</v>
      </c>
      <c r="R103" s="62">
        <v>48.88</v>
      </c>
      <c r="S103" s="62">
        <v>116.14</v>
      </c>
      <c r="T103" s="62">
        <v>35.49</v>
      </c>
      <c r="U103" s="62">
        <v>26.15</v>
      </c>
      <c r="V103" s="62">
        <v>341.74</v>
      </c>
      <c r="W103" s="62">
        <v>132.91999999999999</v>
      </c>
      <c r="X103" s="62"/>
      <c r="Y103" s="62">
        <v>51.68</v>
      </c>
      <c r="Z103" s="62">
        <v>266.5</v>
      </c>
      <c r="AA103" s="62">
        <v>123.89</v>
      </c>
    </row>
    <row r="104" spans="1:27" ht="15" customHeight="1" x14ac:dyDescent="0.15">
      <c r="A104" s="65">
        <v>45891</v>
      </c>
      <c r="B104" s="62">
        <v>362.09</v>
      </c>
      <c r="C104" s="62">
        <v>133.25</v>
      </c>
      <c r="D104" s="62">
        <v>749.95</v>
      </c>
      <c r="E104" s="62">
        <v>291.33</v>
      </c>
      <c r="F104" s="62">
        <v>105.14</v>
      </c>
      <c r="G104" s="62">
        <v>86.56</v>
      </c>
      <c r="H104" s="62">
        <v>117.49</v>
      </c>
      <c r="I104" s="62">
        <v>177.55</v>
      </c>
      <c r="J104" s="62">
        <v>107.9</v>
      </c>
      <c r="K104" s="62">
        <v>158.74</v>
      </c>
      <c r="L104" s="62">
        <v>229.82</v>
      </c>
      <c r="M104" s="62">
        <v>125.8</v>
      </c>
      <c r="N104" s="62">
        <v>395.12</v>
      </c>
      <c r="O104" s="62">
        <v>97.28</v>
      </c>
      <c r="P104" s="62">
        <v>136.08000000000001</v>
      </c>
      <c r="Q104" s="62">
        <v>63.67</v>
      </c>
      <c r="R104" s="62">
        <v>48.76</v>
      </c>
      <c r="S104" s="62">
        <v>115.35</v>
      </c>
      <c r="T104" s="62">
        <v>36.409999999999997</v>
      </c>
      <c r="U104" s="62">
        <v>26.75</v>
      </c>
      <c r="V104" s="62">
        <v>347.26</v>
      </c>
      <c r="W104" s="62">
        <v>135.03</v>
      </c>
      <c r="X104" s="62"/>
      <c r="Y104" s="62">
        <v>52.3</v>
      </c>
      <c r="Z104" s="62">
        <v>265.18</v>
      </c>
      <c r="AA104" s="62">
        <v>120.46</v>
      </c>
    </row>
    <row r="105" spans="1:27" ht="15" customHeight="1" x14ac:dyDescent="0.15">
      <c r="A105" s="65">
        <v>45898</v>
      </c>
      <c r="B105" s="62">
        <v>356.7</v>
      </c>
      <c r="C105" s="62">
        <v>136.55000000000001</v>
      </c>
      <c r="D105" s="62">
        <v>737.76</v>
      </c>
      <c r="E105" s="62">
        <v>294.69</v>
      </c>
      <c r="F105" s="62">
        <v>105.93</v>
      </c>
      <c r="G105" s="62">
        <v>86.73</v>
      </c>
      <c r="H105" s="62">
        <v>118.82</v>
      </c>
      <c r="I105" s="62">
        <v>173.75</v>
      </c>
      <c r="J105" s="62">
        <v>109.34</v>
      </c>
      <c r="K105" s="62">
        <v>156.71</v>
      </c>
      <c r="L105" s="62">
        <v>227.73</v>
      </c>
      <c r="M105" s="62">
        <v>127.38</v>
      </c>
      <c r="N105" s="62">
        <v>391.02</v>
      </c>
      <c r="O105" s="62">
        <v>98.1</v>
      </c>
      <c r="P105" s="62">
        <v>135.78</v>
      </c>
      <c r="Q105" s="62">
        <v>63.68</v>
      </c>
      <c r="R105" s="62">
        <v>48.77</v>
      </c>
      <c r="S105" s="62">
        <v>115.32</v>
      </c>
      <c r="T105" s="62">
        <v>36.74</v>
      </c>
      <c r="U105" s="62">
        <v>26.72</v>
      </c>
      <c r="V105" s="62">
        <v>348.99</v>
      </c>
      <c r="W105" s="62">
        <v>135.05000000000001</v>
      </c>
      <c r="X105" s="62"/>
      <c r="Y105" s="62">
        <v>52.1</v>
      </c>
      <c r="Z105" s="62">
        <v>273.81</v>
      </c>
      <c r="AA105" s="62">
        <v>120.82</v>
      </c>
    </row>
    <row r="106" spans="1:27" ht="15" customHeight="1" x14ac:dyDescent="0.15">
      <c r="A106" s="65">
        <v>45905</v>
      </c>
      <c r="B106" s="62">
        <v>348.97</v>
      </c>
      <c r="C106" s="62">
        <v>142.85</v>
      </c>
      <c r="D106" s="62">
        <v>776.58</v>
      </c>
      <c r="E106" s="62">
        <v>331.85</v>
      </c>
      <c r="F106" s="62">
        <v>104.41</v>
      </c>
      <c r="G106" s="62">
        <v>90.02</v>
      </c>
      <c r="H106" s="62">
        <v>131.16</v>
      </c>
      <c r="I106" s="62">
        <v>166.61</v>
      </c>
      <c r="J106" s="62">
        <v>109.22</v>
      </c>
      <c r="K106" s="62">
        <v>153.11000000000001</v>
      </c>
      <c r="L106" s="62">
        <v>240.1</v>
      </c>
      <c r="M106" s="62">
        <v>123.83</v>
      </c>
      <c r="N106" s="62">
        <v>396.12</v>
      </c>
      <c r="O106" s="62">
        <v>99.17</v>
      </c>
      <c r="P106" s="62">
        <v>135.66</v>
      </c>
      <c r="Q106" s="62">
        <v>63.82</v>
      </c>
      <c r="R106" s="62">
        <v>49.25</v>
      </c>
      <c r="S106" s="62">
        <v>115.89</v>
      </c>
      <c r="T106" s="62">
        <v>37.020000000000003</v>
      </c>
      <c r="U106" s="62">
        <v>26.45</v>
      </c>
      <c r="V106" s="62">
        <v>340.5</v>
      </c>
      <c r="W106" s="62">
        <v>135.4</v>
      </c>
      <c r="X106" s="62"/>
      <c r="Y106" s="62">
        <v>52.1</v>
      </c>
      <c r="Z106" s="62">
        <v>277.82</v>
      </c>
      <c r="AA106" s="62">
        <v>124.38</v>
      </c>
    </row>
    <row r="107" spans="1:27" ht="15" customHeight="1" x14ac:dyDescent="0.15">
      <c r="A107" s="65">
        <v>45912</v>
      </c>
      <c r="B107" s="62">
        <v>349.36</v>
      </c>
      <c r="C107" s="62">
        <v>139.38999999999999</v>
      </c>
      <c r="D107" s="62">
        <v>808.54</v>
      </c>
      <c r="E107" s="62">
        <v>356.6</v>
      </c>
      <c r="F107" s="62">
        <v>109.03</v>
      </c>
      <c r="G107" s="62">
        <v>95.88</v>
      </c>
      <c r="H107" s="62">
        <v>156.97999999999999</v>
      </c>
      <c r="I107" s="62">
        <v>177.4</v>
      </c>
      <c r="J107" s="62">
        <v>110.85</v>
      </c>
      <c r="K107" s="62">
        <v>171.43</v>
      </c>
      <c r="L107" s="62">
        <v>255.81</v>
      </c>
      <c r="M107" s="62">
        <v>134.66</v>
      </c>
      <c r="N107" s="62">
        <v>394.53</v>
      </c>
      <c r="O107" s="62">
        <v>98.38</v>
      </c>
      <c r="P107" s="62">
        <v>135.84</v>
      </c>
      <c r="Q107" s="62">
        <v>64.36</v>
      </c>
      <c r="R107" s="62">
        <v>49.92</v>
      </c>
      <c r="S107" s="62">
        <v>119.28</v>
      </c>
      <c r="T107" s="62">
        <v>37.049999999999997</v>
      </c>
      <c r="U107" s="62">
        <v>26.3</v>
      </c>
      <c r="V107" s="62">
        <v>336.74</v>
      </c>
      <c r="W107" s="62">
        <v>137.18</v>
      </c>
      <c r="X107" s="62"/>
      <c r="Y107" s="62">
        <v>52.21</v>
      </c>
      <c r="Z107" s="62">
        <v>280.27</v>
      </c>
      <c r="AA107" s="62">
        <v>118.84</v>
      </c>
    </row>
    <row r="108" spans="1:27" ht="15" customHeight="1" x14ac:dyDescent="0.15">
      <c r="A108" s="65">
        <v>45919</v>
      </c>
      <c r="B108" s="62">
        <v>365.9</v>
      </c>
      <c r="C108" s="62">
        <v>149.61000000000001</v>
      </c>
      <c r="D108" s="62">
        <v>926.05</v>
      </c>
      <c r="E108" s="62">
        <v>341.81</v>
      </c>
      <c r="F108" s="62">
        <v>125.64</v>
      </c>
      <c r="G108" s="62">
        <v>103.92</v>
      </c>
      <c r="H108" s="62">
        <v>162.47</v>
      </c>
      <c r="I108" s="62">
        <v>176.25</v>
      </c>
      <c r="J108" s="62">
        <v>110.05</v>
      </c>
      <c r="K108" s="62">
        <v>182.39</v>
      </c>
      <c r="L108" s="62">
        <v>262.10000000000002</v>
      </c>
      <c r="M108" s="62">
        <v>143.44999999999999</v>
      </c>
      <c r="N108" s="62">
        <v>383.12</v>
      </c>
      <c r="O108" s="62">
        <v>98.94</v>
      </c>
      <c r="P108" s="62">
        <v>135.46</v>
      </c>
      <c r="Q108" s="62">
        <v>64.489999999999995</v>
      </c>
      <c r="R108" s="62">
        <v>50.47</v>
      </c>
      <c r="S108" s="62">
        <v>120.72</v>
      </c>
      <c r="T108" s="62">
        <v>37</v>
      </c>
      <c r="U108" s="62">
        <v>26.15</v>
      </c>
      <c r="V108" s="62">
        <v>338.9</v>
      </c>
      <c r="W108" s="62">
        <v>137.1</v>
      </c>
      <c r="X108" s="62"/>
      <c r="Y108" s="62">
        <v>52.17</v>
      </c>
      <c r="Z108" s="62">
        <v>299.62</v>
      </c>
      <c r="AA108" s="62">
        <v>122.7</v>
      </c>
    </row>
    <row r="109" spans="1:27" ht="15" customHeight="1" x14ac:dyDescent="0.15">
      <c r="A109" s="65">
        <v>45926</v>
      </c>
      <c r="B109" s="62">
        <v>360.37</v>
      </c>
      <c r="C109" s="62">
        <v>142.5</v>
      </c>
      <c r="D109" s="62">
        <v>945.29</v>
      </c>
      <c r="E109" s="62">
        <v>332.06</v>
      </c>
      <c r="F109" s="62">
        <v>120.36</v>
      </c>
      <c r="G109" s="62">
        <v>105.86</v>
      </c>
      <c r="H109" s="62">
        <v>157.02000000000001</v>
      </c>
      <c r="I109" s="62">
        <v>177.76</v>
      </c>
      <c r="J109" s="62">
        <v>110.71</v>
      </c>
      <c r="K109" s="62">
        <v>177.57</v>
      </c>
      <c r="L109" s="62">
        <v>270.5</v>
      </c>
      <c r="M109" s="62">
        <v>138.47</v>
      </c>
      <c r="N109" s="62">
        <v>385.74</v>
      </c>
      <c r="O109" s="62">
        <v>99.24</v>
      </c>
      <c r="P109" s="62">
        <v>136.5</v>
      </c>
      <c r="Q109" s="62">
        <v>64.510000000000005</v>
      </c>
      <c r="R109" s="62">
        <v>50.55</v>
      </c>
      <c r="S109" s="62">
        <v>119.57</v>
      </c>
      <c r="T109" s="62">
        <v>37.29</v>
      </c>
      <c r="U109" s="62">
        <v>26.29</v>
      </c>
      <c r="V109" s="62">
        <v>334.69</v>
      </c>
      <c r="W109" s="62">
        <v>137.41999999999999</v>
      </c>
      <c r="X109" s="62"/>
      <c r="Y109" s="62">
        <v>52.24</v>
      </c>
      <c r="Z109" s="62">
        <v>293.49</v>
      </c>
      <c r="AA109" s="62">
        <v>121.06</v>
      </c>
    </row>
    <row r="110" spans="1:27" ht="15" customHeight="1" x14ac:dyDescent="0.15">
      <c r="A110" s="65">
        <v>45933</v>
      </c>
      <c r="B110" s="62">
        <v>346.74</v>
      </c>
      <c r="C110" s="62">
        <v>145.5</v>
      </c>
      <c r="D110" s="62">
        <v>1025.47</v>
      </c>
      <c r="E110" s="62">
        <v>335.87</v>
      </c>
      <c r="F110" s="62">
        <v>122.47</v>
      </c>
      <c r="G110" s="62">
        <v>109.56</v>
      </c>
      <c r="H110" s="62">
        <v>187.65</v>
      </c>
      <c r="I110" s="62">
        <v>187.17</v>
      </c>
      <c r="J110" s="62">
        <v>113.5</v>
      </c>
      <c r="K110" s="62">
        <v>173.07</v>
      </c>
      <c r="L110" s="62">
        <v>289.13</v>
      </c>
      <c r="M110" s="62">
        <v>160.03</v>
      </c>
      <c r="N110" s="62">
        <v>403.3</v>
      </c>
      <c r="O110" s="62">
        <v>99.35</v>
      </c>
      <c r="P110" s="62">
        <v>138.19</v>
      </c>
      <c r="Q110" s="62">
        <v>64.72</v>
      </c>
      <c r="R110" s="62">
        <v>50.97</v>
      </c>
      <c r="S110" s="62">
        <v>119.08</v>
      </c>
      <c r="T110" s="62">
        <v>37.42</v>
      </c>
      <c r="U110" s="62">
        <v>26.48</v>
      </c>
      <c r="V110" s="62">
        <v>347.06</v>
      </c>
      <c r="W110" s="62">
        <v>138.16999999999999</v>
      </c>
      <c r="X110" s="62"/>
      <c r="Y110" s="62">
        <v>52.66</v>
      </c>
      <c r="Z110" s="62">
        <v>295.86</v>
      </c>
      <c r="AA110" s="62">
        <v>115.33</v>
      </c>
    </row>
    <row r="111" spans="1:27" ht="15" customHeight="1" x14ac:dyDescent="0.15">
      <c r="A111" s="65">
        <v>45940</v>
      </c>
      <c r="B111" s="62">
        <v>337.51</v>
      </c>
      <c r="C111" s="62">
        <v>154.1</v>
      </c>
      <c r="D111" s="62">
        <v>930.06</v>
      </c>
      <c r="E111" s="62">
        <v>322.23</v>
      </c>
      <c r="F111" s="62">
        <v>123.42</v>
      </c>
      <c r="G111" s="62">
        <v>97.75</v>
      </c>
      <c r="H111" s="62">
        <v>181.42</v>
      </c>
      <c r="I111" s="62">
        <v>182.72</v>
      </c>
      <c r="J111" s="62">
        <v>107.84</v>
      </c>
      <c r="K111" s="62">
        <v>175.44</v>
      </c>
      <c r="L111" s="62">
        <v>277.72000000000003</v>
      </c>
      <c r="M111" s="62">
        <v>168.83</v>
      </c>
      <c r="N111" s="62">
        <v>407.79</v>
      </c>
      <c r="O111" s="62">
        <v>93.95</v>
      </c>
      <c r="P111" s="62">
        <v>133.41</v>
      </c>
      <c r="Q111" s="62">
        <v>63.9</v>
      </c>
      <c r="R111" s="62">
        <v>50.12</v>
      </c>
      <c r="S111" s="62">
        <v>117.51</v>
      </c>
      <c r="T111" s="62">
        <v>36.18</v>
      </c>
      <c r="U111" s="62">
        <v>25.64</v>
      </c>
      <c r="V111" s="62">
        <v>340.92</v>
      </c>
      <c r="W111" s="62">
        <v>134.19</v>
      </c>
      <c r="X111" s="62"/>
      <c r="Y111" s="62">
        <v>51.71</v>
      </c>
      <c r="Z111" s="62">
        <v>290.37</v>
      </c>
      <c r="AA111" s="62">
        <v>122.01</v>
      </c>
    </row>
    <row r="112" spans="1:27" ht="15" customHeight="1" x14ac:dyDescent="0.15">
      <c r="A112" s="65">
        <v>45947</v>
      </c>
      <c r="B112" s="62">
        <v>333.26</v>
      </c>
      <c r="C112" s="62">
        <v>143.1</v>
      </c>
      <c r="D112" s="62">
        <v>1022.53</v>
      </c>
      <c r="E112" s="62">
        <v>346.75</v>
      </c>
      <c r="F112" s="62">
        <v>121.16</v>
      </c>
      <c r="G112" s="62">
        <v>110.07</v>
      </c>
      <c r="H112" s="62">
        <v>202.18</v>
      </c>
      <c r="I112" s="62">
        <v>182.78</v>
      </c>
      <c r="J112" s="62">
        <v>120.3</v>
      </c>
      <c r="K112" s="62">
        <v>178.15</v>
      </c>
      <c r="L112" s="62">
        <v>291.99</v>
      </c>
      <c r="M112" s="62">
        <v>173.81</v>
      </c>
      <c r="N112" s="62">
        <v>416.81</v>
      </c>
      <c r="O112" s="62">
        <v>95.79</v>
      </c>
      <c r="P112" s="62">
        <v>135.37</v>
      </c>
      <c r="Q112" s="62">
        <v>64.53</v>
      </c>
      <c r="R112" s="62">
        <v>51.15</v>
      </c>
      <c r="S112" s="62">
        <v>119.41</v>
      </c>
      <c r="T112" s="62">
        <v>36.69</v>
      </c>
      <c r="U112" s="62">
        <v>25.88</v>
      </c>
      <c r="V112" s="62">
        <v>339.18</v>
      </c>
      <c r="W112" s="62">
        <v>136.76</v>
      </c>
      <c r="X112" s="62"/>
      <c r="Y112" s="62">
        <v>52.5</v>
      </c>
      <c r="Z112" s="62">
        <v>298.99</v>
      </c>
      <c r="AA112" s="62">
        <v>119.94</v>
      </c>
    </row>
    <row r="113" spans="1:27" ht="15" customHeight="1" x14ac:dyDescent="0.15">
      <c r="A113" s="65">
        <v>45954</v>
      </c>
      <c r="B113" s="62">
        <v>353.52</v>
      </c>
      <c r="C113" s="62">
        <v>153.82</v>
      </c>
      <c r="D113" s="62">
        <v>1026.3399999999999</v>
      </c>
      <c r="E113" s="62">
        <v>351.52</v>
      </c>
      <c r="F113" s="62">
        <v>131.83000000000001</v>
      </c>
      <c r="G113" s="62">
        <v>117.65</v>
      </c>
      <c r="H113" s="62">
        <v>218.81</v>
      </c>
      <c r="I113" s="62">
        <v>185.81</v>
      </c>
      <c r="J113" s="62">
        <v>122.58</v>
      </c>
      <c r="K113" s="62">
        <v>184.63</v>
      </c>
      <c r="L113" s="62">
        <v>291.87</v>
      </c>
      <c r="M113" s="62">
        <v>185.86</v>
      </c>
      <c r="N113" s="62">
        <v>421.39</v>
      </c>
      <c r="O113" s="62">
        <v>98.61</v>
      </c>
      <c r="P113" s="62">
        <v>137.66999999999999</v>
      </c>
      <c r="Q113" s="62">
        <v>65.180000000000007</v>
      </c>
      <c r="R113" s="62">
        <v>52.1</v>
      </c>
      <c r="S113" s="62">
        <v>120.69</v>
      </c>
      <c r="T113" s="62">
        <v>37.64</v>
      </c>
      <c r="U113" s="62">
        <v>26.11</v>
      </c>
      <c r="V113" s="62">
        <v>344.62</v>
      </c>
      <c r="W113" s="62">
        <v>138.24</v>
      </c>
      <c r="X113" s="62"/>
      <c r="Y113" s="62">
        <v>53.05</v>
      </c>
      <c r="Z113" s="62">
        <v>302.7</v>
      </c>
      <c r="AA113" s="62">
        <v>109.47</v>
      </c>
    </row>
    <row r="114" spans="1:27" ht="15" customHeight="1" x14ac:dyDescent="0.15">
      <c r="A114" s="65">
        <v>45961</v>
      </c>
      <c r="B114" s="62">
        <v>340.31</v>
      </c>
      <c r="C114" s="62">
        <v>157.69</v>
      </c>
      <c r="D114" s="62">
        <v>1054.17</v>
      </c>
      <c r="E114" s="62">
        <v>366.9</v>
      </c>
      <c r="F114" s="62">
        <v>135.75</v>
      </c>
      <c r="G114" s="62">
        <v>120.23</v>
      </c>
      <c r="H114" s="62">
        <v>223.55</v>
      </c>
      <c r="I114" s="62">
        <v>202.01</v>
      </c>
      <c r="J114" s="62">
        <v>120.31</v>
      </c>
      <c r="K114" s="62">
        <v>200.47</v>
      </c>
      <c r="L114" s="62">
        <v>297.27999999999997</v>
      </c>
      <c r="M114" s="62">
        <v>192.65</v>
      </c>
      <c r="N114" s="62">
        <v>425.57</v>
      </c>
      <c r="O114" s="62">
        <v>96.52</v>
      </c>
      <c r="P114" s="62">
        <v>134.38999999999999</v>
      </c>
      <c r="Q114" s="62">
        <v>65.22</v>
      </c>
      <c r="R114" s="62">
        <v>52.59</v>
      </c>
      <c r="S114" s="62">
        <v>120.68</v>
      </c>
      <c r="T114" s="62">
        <v>37.409999999999997</v>
      </c>
      <c r="U114" s="62">
        <v>25.84</v>
      </c>
      <c r="V114" s="62">
        <v>338.04</v>
      </c>
      <c r="W114" s="62">
        <v>137.22</v>
      </c>
      <c r="X114" s="62"/>
      <c r="Y114" s="62">
        <v>52.52</v>
      </c>
      <c r="Z114" s="62">
        <v>307.76</v>
      </c>
      <c r="AA114" s="62">
        <v>111.89</v>
      </c>
    </row>
    <row r="115" spans="1:27" ht="15" customHeight="1" x14ac:dyDescent="0.15">
      <c r="A115" s="65">
        <v>45968</v>
      </c>
      <c r="B115" s="62">
        <v>326.95</v>
      </c>
      <c r="C115" s="62">
        <v>134.65</v>
      </c>
      <c r="D115" s="62">
        <v>1012.1</v>
      </c>
      <c r="E115" s="62">
        <v>346.85</v>
      </c>
      <c r="F115" s="62">
        <v>134.94999999999999</v>
      </c>
      <c r="G115" s="62">
        <v>118.7</v>
      </c>
      <c r="H115" s="62">
        <v>237.69</v>
      </c>
      <c r="I115" s="62">
        <v>187.7</v>
      </c>
      <c r="J115" s="62">
        <v>121.78</v>
      </c>
      <c r="K115" s="62">
        <v>177.93</v>
      </c>
      <c r="L115" s="62">
        <v>283.5</v>
      </c>
      <c r="M115" s="62">
        <v>179.61</v>
      </c>
      <c r="N115" s="62">
        <v>409.47</v>
      </c>
      <c r="O115" s="62">
        <v>96.46</v>
      </c>
      <c r="P115" s="62">
        <v>135.38999999999999</v>
      </c>
      <c r="Q115" s="62">
        <v>64.89</v>
      </c>
      <c r="R115" s="62">
        <v>51.77</v>
      </c>
      <c r="S115" s="62">
        <v>117.54</v>
      </c>
      <c r="T115" s="62">
        <v>37.49</v>
      </c>
      <c r="U115" s="62">
        <v>25.81</v>
      </c>
      <c r="V115" s="62">
        <v>333.35</v>
      </c>
      <c r="W115" s="62">
        <v>136.91999999999999</v>
      </c>
      <c r="X115" s="62"/>
      <c r="Y115" s="62">
        <v>52.44</v>
      </c>
      <c r="Z115" s="62">
        <v>306.08999999999997</v>
      </c>
      <c r="AA115" s="62">
        <v>110.37</v>
      </c>
    </row>
    <row r="116" spans="1:27" ht="15" customHeight="1" x14ac:dyDescent="0.15">
      <c r="A116" s="65">
        <v>45975</v>
      </c>
      <c r="B116" s="62">
        <v>331.11</v>
      </c>
      <c r="C116" s="62">
        <v>131.37</v>
      </c>
      <c r="D116" s="62">
        <v>1002.17</v>
      </c>
      <c r="E116" s="62">
        <v>339.93</v>
      </c>
      <c r="F116" s="62">
        <v>134.38999999999999</v>
      </c>
      <c r="G116" s="62">
        <v>112.82</v>
      </c>
      <c r="H116" s="62">
        <v>246.59</v>
      </c>
      <c r="I116" s="62">
        <v>189.72</v>
      </c>
      <c r="J116" s="62">
        <v>119.09</v>
      </c>
      <c r="K116" s="62">
        <v>174.01</v>
      </c>
      <c r="L116" s="62">
        <v>281.83999999999997</v>
      </c>
      <c r="M116" s="62">
        <v>170.79</v>
      </c>
      <c r="N116" s="62">
        <v>437.15</v>
      </c>
      <c r="O116" s="62">
        <v>96.32</v>
      </c>
      <c r="P116" s="62">
        <v>135.81</v>
      </c>
      <c r="Q116" s="62">
        <v>64.989999999999995</v>
      </c>
      <c r="R116" s="62">
        <v>51.87</v>
      </c>
      <c r="S116" s="62">
        <v>116.84</v>
      </c>
      <c r="T116" s="62">
        <v>37.909999999999997</v>
      </c>
      <c r="U116" s="62">
        <v>26.32</v>
      </c>
      <c r="V116" s="62">
        <v>328.05</v>
      </c>
      <c r="W116" s="62">
        <v>137.63999999999999</v>
      </c>
      <c r="X116" s="62"/>
      <c r="Y116" s="62">
        <v>52.71</v>
      </c>
      <c r="Z116" s="62">
        <v>303.64999999999998</v>
      </c>
      <c r="AA116" s="62">
        <v>111.22</v>
      </c>
    </row>
    <row r="117" spans="1:27" ht="15" customHeight="1" x14ac:dyDescent="0.15">
      <c r="A117" s="65">
        <v>45982</v>
      </c>
      <c r="B117" s="62">
        <v>324.19</v>
      </c>
      <c r="C117" s="62">
        <v>117.43</v>
      </c>
      <c r="D117" s="62">
        <v>961.95</v>
      </c>
      <c r="E117" s="62">
        <v>337.69</v>
      </c>
      <c r="F117" s="62">
        <v>122.67</v>
      </c>
      <c r="G117" s="62">
        <v>109.31</v>
      </c>
      <c r="H117" s="62">
        <v>207.17</v>
      </c>
      <c r="I117" s="62">
        <v>178.45</v>
      </c>
      <c r="J117" s="62">
        <v>121.96</v>
      </c>
      <c r="K117" s="62">
        <v>154.85</v>
      </c>
      <c r="L117" s="62">
        <v>272.18</v>
      </c>
      <c r="M117" s="62">
        <v>159.66</v>
      </c>
      <c r="N117" s="62">
        <v>426.76</v>
      </c>
      <c r="O117" s="62">
        <v>95.57</v>
      </c>
      <c r="P117" s="62">
        <v>135.13999999999999</v>
      </c>
      <c r="Q117" s="62">
        <v>64.41</v>
      </c>
      <c r="R117" s="62">
        <v>50.45</v>
      </c>
      <c r="S117" s="62">
        <v>113.34</v>
      </c>
      <c r="T117" s="62">
        <v>37.15</v>
      </c>
      <c r="U117" s="62">
        <v>26.18</v>
      </c>
      <c r="V117" s="62">
        <v>326.02</v>
      </c>
      <c r="W117" s="62">
        <v>136.75</v>
      </c>
      <c r="X117" s="62"/>
      <c r="Y117" s="62">
        <v>52.57</v>
      </c>
      <c r="Z117" s="62">
        <v>286.33999999999997</v>
      </c>
      <c r="AA117" s="62">
        <v>104.31</v>
      </c>
    </row>
    <row r="118" spans="1:27" ht="15" customHeight="1" x14ac:dyDescent="0.15">
      <c r="A118" s="65">
        <v>45989</v>
      </c>
      <c r="B118" s="62">
        <v>320.13</v>
      </c>
      <c r="C118" s="62">
        <v>130.68</v>
      </c>
      <c r="D118" s="62">
        <v>1054.93</v>
      </c>
      <c r="E118" s="62">
        <v>399.99</v>
      </c>
      <c r="F118" s="62">
        <v>127.29</v>
      </c>
      <c r="G118" s="62">
        <v>117.11</v>
      </c>
      <c r="H118" s="62">
        <v>236.25</v>
      </c>
      <c r="I118" s="62">
        <v>176.58</v>
      </c>
      <c r="J118" s="62">
        <v>124.62</v>
      </c>
      <c r="K118" s="62">
        <v>168.45</v>
      </c>
      <c r="L118" s="62">
        <v>288.45999999999998</v>
      </c>
      <c r="M118" s="62">
        <v>179.61</v>
      </c>
      <c r="N118" s="62">
        <v>433.61</v>
      </c>
      <c r="O118" s="62">
        <v>99.81</v>
      </c>
      <c r="P118" s="62">
        <v>138.62</v>
      </c>
      <c r="Q118" s="62">
        <v>65.81</v>
      </c>
      <c r="R118" s="62">
        <v>52.76</v>
      </c>
      <c r="S118" s="62">
        <v>119.11</v>
      </c>
      <c r="T118" s="62">
        <v>38.42</v>
      </c>
      <c r="U118" s="62">
        <v>26.66</v>
      </c>
      <c r="V118" s="62">
        <v>332.44</v>
      </c>
      <c r="W118" s="62">
        <v>141.96</v>
      </c>
      <c r="X118" s="62"/>
      <c r="Y118" s="62">
        <v>53.8</v>
      </c>
      <c r="Z118" s="62">
        <v>297.3</v>
      </c>
      <c r="AA118" s="62">
        <v>107.58</v>
      </c>
    </row>
    <row r="119" spans="1:27" ht="15" customHeight="1" x14ac:dyDescent="0.15">
      <c r="A119" s="65">
        <v>45996</v>
      </c>
      <c r="B119" s="62">
        <v>346.26</v>
      </c>
      <c r="C119" s="62">
        <v>128.59</v>
      </c>
      <c r="D119" s="62">
        <v>1094.21</v>
      </c>
      <c r="E119" s="62">
        <v>387.36</v>
      </c>
      <c r="F119" s="62">
        <v>128.01</v>
      </c>
      <c r="G119" s="62">
        <v>121</v>
      </c>
      <c r="H119" s="62">
        <v>236.99</v>
      </c>
      <c r="I119" s="62">
        <v>181.98</v>
      </c>
      <c r="J119" s="62">
        <v>124.08</v>
      </c>
      <c r="K119" s="62">
        <v>181.76</v>
      </c>
      <c r="L119" s="62">
        <v>291.63</v>
      </c>
      <c r="M119" s="62">
        <v>188.89</v>
      </c>
      <c r="N119" s="62">
        <v>455.48</v>
      </c>
      <c r="O119" s="62">
        <v>101.56</v>
      </c>
      <c r="P119" s="62">
        <v>136.97</v>
      </c>
      <c r="Q119" s="62">
        <v>65.959999999999994</v>
      </c>
      <c r="R119" s="62">
        <v>53.27</v>
      </c>
      <c r="S119" s="62">
        <v>119.84</v>
      </c>
      <c r="T119" s="62">
        <v>39.020000000000003</v>
      </c>
      <c r="U119" s="62">
        <v>26.77</v>
      </c>
      <c r="V119" s="62">
        <v>329.26</v>
      </c>
      <c r="W119" s="62">
        <v>141.74</v>
      </c>
      <c r="X119" s="62"/>
      <c r="Y119" s="62">
        <v>53.7</v>
      </c>
      <c r="Z119" s="62">
        <v>282.85000000000002</v>
      </c>
      <c r="AA119" s="62">
        <v>100.24</v>
      </c>
    </row>
    <row r="120" spans="1:27" ht="15" customHeight="1" x14ac:dyDescent="0.15">
      <c r="A120" s="65">
        <v>46003</v>
      </c>
      <c r="B120" s="62">
        <v>356.43</v>
      </c>
      <c r="C120" s="62">
        <v>124.76</v>
      </c>
      <c r="D120" s="62">
        <v>1075.68</v>
      </c>
      <c r="E120" s="62">
        <v>357.27</v>
      </c>
      <c r="F120" s="62">
        <v>126.19</v>
      </c>
      <c r="G120" s="62">
        <v>118.95</v>
      </c>
      <c r="H120" s="62">
        <v>240.9</v>
      </c>
      <c r="I120" s="62">
        <v>174.61</v>
      </c>
      <c r="J120" s="62">
        <v>126.22</v>
      </c>
      <c r="K120" s="62">
        <v>183.57</v>
      </c>
      <c r="L120" s="62">
        <v>289.76</v>
      </c>
      <c r="M120" s="62">
        <v>161.16</v>
      </c>
      <c r="N120" s="62">
        <v>452.04</v>
      </c>
      <c r="O120" s="62">
        <v>103.74</v>
      </c>
      <c r="P120" s="62">
        <v>139.19</v>
      </c>
      <c r="Q120" s="62">
        <v>65.88</v>
      </c>
      <c r="R120" s="62">
        <v>52.69</v>
      </c>
      <c r="S120" s="62">
        <v>118.1</v>
      </c>
      <c r="T120" s="62">
        <v>39.44</v>
      </c>
      <c r="U120" s="62">
        <v>27.02</v>
      </c>
      <c r="V120" s="62">
        <v>345.75</v>
      </c>
      <c r="W120" s="62">
        <v>142.52000000000001</v>
      </c>
      <c r="X120" s="62"/>
      <c r="Y120" s="62">
        <v>53.98</v>
      </c>
      <c r="Z120" s="62">
        <v>298.66000000000003</v>
      </c>
      <c r="AA120" s="62">
        <v>95.19</v>
      </c>
    </row>
    <row r="121" spans="1:27" ht="15" customHeight="1" x14ac:dyDescent="0.15">
      <c r="A121" s="65">
        <v>46010</v>
      </c>
      <c r="B121" s="62">
        <v>355.86</v>
      </c>
      <c r="C121" s="62">
        <v>131.12</v>
      </c>
      <c r="D121" s="62">
        <v>1050.97</v>
      </c>
      <c r="E121" s="62">
        <v>337.85</v>
      </c>
      <c r="F121" s="62">
        <v>120.32</v>
      </c>
      <c r="G121" s="62">
        <v>124.11</v>
      </c>
      <c r="H121" s="62">
        <v>265.66000000000003</v>
      </c>
      <c r="I121" s="62">
        <v>180.57</v>
      </c>
      <c r="J121" s="62">
        <v>124.32</v>
      </c>
      <c r="K121" s="62">
        <v>193.38</v>
      </c>
      <c r="L121" s="62">
        <v>286.7</v>
      </c>
      <c r="M121" s="62">
        <v>159.71</v>
      </c>
      <c r="N121" s="62">
        <v>456.2</v>
      </c>
      <c r="O121" s="62">
        <v>102.8</v>
      </c>
      <c r="P121" s="62">
        <v>138.55000000000001</v>
      </c>
      <c r="Q121" s="62">
        <v>66.03</v>
      </c>
      <c r="R121" s="62">
        <v>53.08</v>
      </c>
      <c r="S121" s="62">
        <v>118.53</v>
      </c>
      <c r="T121" s="62">
        <v>39.270000000000003</v>
      </c>
      <c r="U121" s="62">
        <v>26.8</v>
      </c>
      <c r="V121" s="62">
        <v>347.17</v>
      </c>
      <c r="W121" s="62">
        <v>140.83000000000001</v>
      </c>
      <c r="X121" s="62">
        <v>44.15</v>
      </c>
      <c r="Y121" s="62">
        <v>53.8</v>
      </c>
      <c r="Z121" s="62">
        <v>306.02999999999997</v>
      </c>
      <c r="AA121" s="62">
        <v>94.39</v>
      </c>
    </row>
    <row r="122" spans="1:27" ht="15" customHeight="1" x14ac:dyDescent="0.15">
      <c r="A122" s="65">
        <v>46017</v>
      </c>
      <c r="B122" s="62">
        <v>353.8</v>
      </c>
      <c r="C122" s="62">
        <v>131.84</v>
      </c>
      <c r="D122" s="62">
        <v>1067.6199999999999</v>
      </c>
      <c r="E122" s="62">
        <v>350.2</v>
      </c>
      <c r="F122" s="62">
        <v>120.3</v>
      </c>
      <c r="G122" s="62">
        <v>127.49</v>
      </c>
      <c r="H122" s="62">
        <v>284.51</v>
      </c>
      <c r="I122" s="62">
        <v>190.09</v>
      </c>
      <c r="J122" s="62">
        <v>125.76</v>
      </c>
      <c r="K122" s="62">
        <v>188.71</v>
      </c>
      <c r="L122" s="62">
        <v>300.48</v>
      </c>
      <c r="M122" s="62">
        <v>167.46</v>
      </c>
      <c r="N122" s="62">
        <v>462.9</v>
      </c>
      <c r="O122" s="62">
        <v>102.71</v>
      </c>
      <c r="P122" s="62">
        <v>139.28</v>
      </c>
      <c r="Q122" s="62">
        <v>66.73</v>
      </c>
      <c r="R122" s="62">
        <v>53.74</v>
      </c>
      <c r="S122" s="62">
        <v>120.66</v>
      </c>
      <c r="T122" s="62">
        <v>39.53</v>
      </c>
      <c r="U122" s="62">
        <v>26.98</v>
      </c>
      <c r="V122" s="62">
        <v>352.88</v>
      </c>
      <c r="W122" s="62">
        <v>142.56</v>
      </c>
      <c r="X122" s="62">
        <v>44.85</v>
      </c>
      <c r="Y122" s="62">
        <v>54.25</v>
      </c>
      <c r="Z122" s="62">
        <v>313.93</v>
      </c>
      <c r="AA122" s="62">
        <v>94.47</v>
      </c>
    </row>
    <row r="123" spans="1:27" ht="15" customHeight="1" x14ac:dyDescent="0.15">
      <c r="A123" s="65">
        <v>46024</v>
      </c>
      <c r="B123" s="62">
        <v>333.3</v>
      </c>
      <c r="C123" s="62">
        <v>133.6</v>
      </c>
      <c r="D123" s="62">
        <v>1158.22</v>
      </c>
      <c r="E123" s="62">
        <v>345.71</v>
      </c>
      <c r="F123" s="62">
        <v>113.39</v>
      </c>
      <c r="G123" s="62">
        <v>126.98</v>
      </c>
      <c r="H123" s="62">
        <v>315.24</v>
      </c>
      <c r="I123" s="62">
        <v>188.41</v>
      </c>
      <c r="J123" s="62">
        <v>126.1</v>
      </c>
      <c r="K123" s="62">
        <v>167.86</v>
      </c>
      <c r="L123" s="62">
        <v>317.12</v>
      </c>
      <c r="M123" s="62">
        <v>175.49</v>
      </c>
      <c r="N123" s="62">
        <v>452.13</v>
      </c>
      <c r="O123" s="62">
        <v>102.14</v>
      </c>
      <c r="P123" s="62">
        <v>139.29</v>
      </c>
      <c r="Q123" s="62">
        <v>66.180000000000007</v>
      </c>
      <c r="R123" s="62">
        <v>53.12</v>
      </c>
      <c r="S123" s="62">
        <v>118.96</v>
      </c>
      <c r="T123" s="62">
        <v>39.159999999999997</v>
      </c>
      <c r="U123" s="62">
        <v>27.06</v>
      </c>
      <c r="V123" s="62">
        <v>344.41</v>
      </c>
      <c r="W123" s="62">
        <v>142.24</v>
      </c>
      <c r="X123" s="62">
        <v>45.31</v>
      </c>
      <c r="Y123" s="62">
        <v>53.99</v>
      </c>
      <c r="Z123" s="62">
        <v>319.88</v>
      </c>
      <c r="AA123" s="62">
        <v>90.99</v>
      </c>
    </row>
    <row r="124" spans="1:27" ht="15" customHeight="1" x14ac:dyDescent="0.15">
      <c r="A124" s="65">
        <v>46031</v>
      </c>
      <c r="B124" s="62">
        <v>333.95</v>
      </c>
      <c r="C124" s="62">
        <v>122.89</v>
      </c>
      <c r="D124" s="62">
        <v>1267.79</v>
      </c>
      <c r="E124" s="62">
        <v>343.08</v>
      </c>
      <c r="F124" s="62">
        <v>117.65</v>
      </c>
      <c r="G124" s="62">
        <v>139.47999999999999</v>
      </c>
      <c r="H124" s="62">
        <v>344.89</v>
      </c>
      <c r="I124" s="62">
        <v>184.43</v>
      </c>
      <c r="J124" s="62">
        <v>126.44</v>
      </c>
      <c r="K124" s="62">
        <v>177.49</v>
      </c>
      <c r="L124" s="62">
        <v>321.11</v>
      </c>
      <c r="M124" s="62">
        <v>163.47</v>
      </c>
      <c r="N124" s="62">
        <v>463.86</v>
      </c>
      <c r="O124" s="62">
        <v>106.31</v>
      </c>
      <c r="P124" s="62">
        <v>142.21</v>
      </c>
      <c r="Q124" s="62">
        <v>66.78</v>
      </c>
      <c r="R124" s="62">
        <v>54.1</v>
      </c>
      <c r="S124" s="62">
        <v>119.31</v>
      </c>
      <c r="T124" s="62">
        <v>40.17</v>
      </c>
      <c r="U124" s="62">
        <v>27.86</v>
      </c>
      <c r="V124" s="62">
        <v>347.68</v>
      </c>
      <c r="W124" s="62">
        <v>144.69</v>
      </c>
      <c r="X124" s="62">
        <v>44.4</v>
      </c>
      <c r="Y124" s="62">
        <v>54.87</v>
      </c>
      <c r="Z124" s="62">
        <v>320.72000000000003</v>
      </c>
      <c r="AA124" s="62">
        <v>89.46</v>
      </c>
    </row>
    <row r="125" spans="1:27" ht="15" customHeight="1" x14ac:dyDescent="0.15">
      <c r="A125" s="65">
        <v>46038</v>
      </c>
      <c r="B125" s="62">
        <v>296.12</v>
      </c>
      <c r="C125" s="62">
        <v>129.83000000000001</v>
      </c>
      <c r="D125" s="62">
        <v>1352.07</v>
      </c>
      <c r="E125" s="62">
        <v>349.78</v>
      </c>
      <c r="F125" s="62">
        <v>113.47</v>
      </c>
      <c r="G125" s="62">
        <v>156.19999999999999</v>
      </c>
      <c r="H125" s="62">
        <v>362.54</v>
      </c>
      <c r="I125" s="62">
        <v>185.8</v>
      </c>
      <c r="J125" s="62">
        <v>130.16</v>
      </c>
      <c r="K125" s="62">
        <v>170.96</v>
      </c>
      <c r="L125" s="62">
        <v>339.73</v>
      </c>
      <c r="M125" s="62">
        <v>176.81</v>
      </c>
      <c r="N125" s="62">
        <v>441.36</v>
      </c>
      <c r="O125" s="62">
        <v>107.48</v>
      </c>
      <c r="P125" s="62">
        <v>144.06</v>
      </c>
      <c r="Q125" s="62">
        <v>66.48</v>
      </c>
      <c r="R125" s="62">
        <v>53.88</v>
      </c>
      <c r="S125" s="62">
        <v>119.28</v>
      </c>
      <c r="T125" s="62">
        <v>39.35</v>
      </c>
      <c r="U125" s="62">
        <v>28.21</v>
      </c>
      <c r="V125" s="62">
        <v>326.33999999999997</v>
      </c>
      <c r="W125" s="62">
        <v>146.28</v>
      </c>
      <c r="X125" s="62">
        <v>45.69</v>
      </c>
      <c r="Y125" s="62">
        <v>55.02</v>
      </c>
      <c r="Z125" s="62">
        <v>324.24</v>
      </c>
      <c r="AA125" s="62">
        <v>88</v>
      </c>
    </row>
    <row r="126" spans="1:27" ht="15" customHeight="1" x14ac:dyDescent="0.15">
      <c r="A126" s="65">
        <v>46045</v>
      </c>
      <c r="B126" s="62">
        <v>301.07</v>
      </c>
      <c r="C126" s="62">
        <v>136.34</v>
      </c>
      <c r="D126" s="62">
        <v>1382.4</v>
      </c>
      <c r="E126" s="62">
        <v>318.3</v>
      </c>
      <c r="F126" s="62">
        <v>113.12</v>
      </c>
      <c r="G126" s="62">
        <v>150.72</v>
      </c>
      <c r="H126" s="62">
        <v>399.42</v>
      </c>
      <c r="I126" s="62">
        <v>187.23</v>
      </c>
      <c r="J126" s="62">
        <v>124.24</v>
      </c>
      <c r="K126" s="62">
        <v>169.6</v>
      </c>
      <c r="L126" s="62">
        <v>332.26</v>
      </c>
      <c r="M126" s="62">
        <v>182.36</v>
      </c>
      <c r="N126" s="62">
        <v>468.41</v>
      </c>
      <c r="O126" s="62">
        <v>107.46</v>
      </c>
      <c r="P126" s="62">
        <v>144.41999999999999</v>
      </c>
      <c r="Q126" s="62">
        <v>66.459999999999994</v>
      </c>
      <c r="R126" s="62">
        <v>54.16</v>
      </c>
      <c r="S126" s="62">
        <v>117.22</v>
      </c>
      <c r="T126" s="62">
        <v>39.6</v>
      </c>
      <c r="U126" s="62">
        <v>28.44</v>
      </c>
      <c r="V126" s="62">
        <v>324.23</v>
      </c>
      <c r="W126" s="62">
        <v>145.12</v>
      </c>
      <c r="X126" s="62">
        <v>46.75</v>
      </c>
      <c r="Y126" s="62">
        <v>54.99</v>
      </c>
      <c r="Z126" s="62">
        <v>293.08</v>
      </c>
      <c r="AA126" s="62">
        <v>86.12</v>
      </c>
    </row>
    <row r="127" spans="1:27" ht="15" customHeight="1" x14ac:dyDescent="0.15">
      <c r="A127" s="65">
        <v>46052</v>
      </c>
      <c r="B127" s="62">
        <v>293.25</v>
      </c>
      <c r="C127" s="62">
        <v>141.74</v>
      </c>
      <c r="D127" s="62">
        <v>1416.2</v>
      </c>
      <c r="E127" s="62">
        <v>329.48</v>
      </c>
      <c r="F127" s="62">
        <v>110.35</v>
      </c>
      <c r="G127" s="62">
        <v>142.27000000000001</v>
      </c>
      <c r="H127" s="62">
        <v>414.64</v>
      </c>
      <c r="I127" s="62">
        <v>190.68</v>
      </c>
      <c r="J127" s="62">
        <v>127.57</v>
      </c>
      <c r="K127" s="62">
        <v>146.59</v>
      </c>
      <c r="L127" s="62">
        <v>327.98</v>
      </c>
      <c r="M127" s="62">
        <v>186.05</v>
      </c>
      <c r="N127" s="62">
        <v>469.9</v>
      </c>
      <c r="O127" s="62">
        <v>108.24</v>
      </c>
      <c r="P127" s="62">
        <v>146.93</v>
      </c>
      <c r="Q127" s="62">
        <v>66.7</v>
      </c>
      <c r="R127" s="62">
        <v>54.35</v>
      </c>
      <c r="S127" s="62">
        <v>119.15</v>
      </c>
      <c r="T127" s="62">
        <v>39.21</v>
      </c>
      <c r="U127" s="62">
        <v>29.1</v>
      </c>
      <c r="V127" s="62">
        <v>319.91000000000003</v>
      </c>
      <c r="W127" s="62">
        <v>147.35</v>
      </c>
      <c r="X127" s="62">
        <v>47.61</v>
      </c>
      <c r="Y127" s="62">
        <v>55.16</v>
      </c>
      <c r="Z127" s="62">
        <v>305.95999999999998</v>
      </c>
      <c r="AA127" s="62">
        <v>83.49</v>
      </c>
    </row>
    <row r="128" spans="1:27" ht="15" customHeight="1" x14ac:dyDescent="0.15">
      <c r="A128" s="65">
        <v>46059</v>
      </c>
      <c r="B128" s="62">
        <v>268.38</v>
      </c>
      <c r="C128" s="62">
        <v>137.49</v>
      </c>
      <c r="D128" s="62">
        <v>1406.25</v>
      </c>
      <c r="E128" s="62">
        <v>331.1</v>
      </c>
      <c r="F128" s="62">
        <v>98.88</v>
      </c>
      <c r="G128" s="62">
        <v>143.76</v>
      </c>
      <c r="H128" s="62">
        <v>394.46</v>
      </c>
      <c r="I128" s="62">
        <v>184.98</v>
      </c>
      <c r="J128" s="62">
        <v>133.82</v>
      </c>
      <c r="K128" s="62">
        <v>135.9</v>
      </c>
      <c r="L128" s="62">
        <v>346.13</v>
      </c>
      <c r="M128" s="62">
        <v>195.44</v>
      </c>
      <c r="N128" s="62">
        <v>477.92</v>
      </c>
      <c r="O128" s="62">
        <v>114.1</v>
      </c>
      <c r="P128" s="62">
        <v>151.79</v>
      </c>
      <c r="Q128" s="62">
        <v>66.89</v>
      </c>
      <c r="R128" s="62">
        <v>53.51</v>
      </c>
      <c r="S128" s="62">
        <v>119.12</v>
      </c>
      <c r="T128" s="62">
        <v>40.17</v>
      </c>
      <c r="U128" s="62">
        <v>30.71</v>
      </c>
      <c r="V128" s="62">
        <v>329.6</v>
      </c>
      <c r="W128" s="62">
        <v>152.76</v>
      </c>
      <c r="X128" s="62">
        <v>48.53</v>
      </c>
      <c r="Y128" s="62">
        <v>56.01</v>
      </c>
      <c r="Z128" s="62">
        <v>320.13</v>
      </c>
      <c r="AA128" s="62">
        <v>82.2</v>
      </c>
    </row>
    <row r="129" spans="1:27" ht="15" customHeight="1" x14ac:dyDescent="0.15">
      <c r="A129" s="65">
        <v>46066</v>
      </c>
      <c r="B129" s="62">
        <v>263.97000000000003</v>
      </c>
      <c r="C129" s="62">
        <v>141.59</v>
      </c>
      <c r="D129" s="62">
        <v>1401.73</v>
      </c>
      <c r="E129" s="62">
        <v>323.39</v>
      </c>
      <c r="F129" s="62">
        <v>107.41</v>
      </c>
      <c r="G129" s="62">
        <v>145.87</v>
      </c>
      <c r="H129" s="62">
        <v>411.42</v>
      </c>
      <c r="I129" s="62">
        <v>182.38</v>
      </c>
      <c r="J129" s="62">
        <v>135.79</v>
      </c>
      <c r="K129" s="62">
        <v>131.41</v>
      </c>
      <c r="L129" s="62">
        <v>363.5</v>
      </c>
      <c r="M129" s="62">
        <v>234.37</v>
      </c>
      <c r="N129" s="62">
        <v>491.47</v>
      </c>
      <c r="O129" s="62">
        <v>113.81</v>
      </c>
      <c r="P129" s="62">
        <v>154.22999999999999</v>
      </c>
      <c r="Q129" s="62">
        <v>66.31</v>
      </c>
      <c r="R129" s="62">
        <v>53.01</v>
      </c>
      <c r="S129" s="62">
        <v>117.54</v>
      </c>
      <c r="T129" s="62">
        <v>40</v>
      </c>
      <c r="U129" s="62">
        <v>30.85</v>
      </c>
      <c r="V129" s="62">
        <v>312.85000000000002</v>
      </c>
      <c r="W129" s="62">
        <v>152.66</v>
      </c>
      <c r="X129" s="62">
        <v>50.42</v>
      </c>
      <c r="Y129" s="62">
        <v>56.19</v>
      </c>
      <c r="Z129" s="62">
        <v>314.56</v>
      </c>
      <c r="AA129" s="62">
        <v>76.87</v>
      </c>
    </row>
    <row r="130" spans="1:27" ht="15" customHeight="1" x14ac:dyDescent="0.15">
      <c r="A130" s="65">
        <v>46073</v>
      </c>
      <c r="B130" s="62">
        <v>258.61</v>
      </c>
      <c r="C130" s="62">
        <v>132.79</v>
      </c>
      <c r="D130" s="62">
        <v>1464.49</v>
      </c>
      <c r="E130" s="62">
        <v>330.83</v>
      </c>
      <c r="F130" s="62">
        <v>97.15</v>
      </c>
      <c r="G130" s="62">
        <v>149.24</v>
      </c>
      <c r="H130" s="62">
        <v>427.92</v>
      </c>
      <c r="I130" s="62">
        <v>189.38</v>
      </c>
      <c r="J130" s="62">
        <v>138.27000000000001</v>
      </c>
      <c r="K130" s="62">
        <v>135.24</v>
      </c>
      <c r="L130" s="62">
        <v>367.65</v>
      </c>
      <c r="M130" s="62">
        <v>243.58</v>
      </c>
      <c r="N130" s="62">
        <v>476.9</v>
      </c>
      <c r="O130" s="62">
        <v>114.45</v>
      </c>
      <c r="P130" s="62">
        <v>153.13</v>
      </c>
      <c r="Q130" s="62">
        <v>66.760000000000005</v>
      </c>
      <c r="R130" s="62">
        <v>53.6</v>
      </c>
      <c r="S130" s="62">
        <v>119.24</v>
      </c>
      <c r="T130" s="62">
        <v>40.08</v>
      </c>
      <c r="U130" s="62">
        <v>30.85</v>
      </c>
      <c r="V130" s="62">
        <v>319.69</v>
      </c>
      <c r="W130" s="62">
        <v>152.85</v>
      </c>
      <c r="X130" s="62">
        <v>50.57</v>
      </c>
      <c r="Y130" s="62">
        <v>56.37</v>
      </c>
      <c r="Z130" s="62">
        <v>342.29</v>
      </c>
      <c r="AA130" s="62">
        <v>78.67</v>
      </c>
    </row>
    <row r="131" spans="1:27" ht="15" customHeight="1" x14ac:dyDescent="0.15">
      <c r="A131" s="65">
        <v>46080</v>
      </c>
      <c r="B131" s="62">
        <v>262.41000000000003</v>
      </c>
      <c r="C131" s="62">
        <v>133.5</v>
      </c>
      <c r="D131" s="62">
        <v>1445.53</v>
      </c>
      <c r="E131" s="62">
        <v>317.8</v>
      </c>
      <c r="F131" s="62">
        <v>93</v>
      </c>
      <c r="G131" s="62">
        <v>152.09</v>
      </c>
      <c r="H131" s="62">
        <v>412.13</v>
      </c>
      <c r="I131" s="62">
        <v>176.78</v>
      </c>
      <c r="J131" s="62">
        <v>139.31</v>
      </c>
      <c r="K131" s="62">
        <v>137.19</v>
      </c>
      <c r="L131" s="62">
        <v>371.66</v>
      </c>
      <c r="M131" s="62">
        <v>254.71</v>
      </c>
      <c r="N131" s="62">
        <v>496.83</v>
      </c>
      <c r="O131" s="62">
        <v>111.91</v>
      </c>
      <c r="P131" s="62">
        <v>152.62</v>
      </c>
      <c r="Q131" s="62">
        <v>66.38</v>
      </c>
      <c r="R131" s="62">
        <v>53.5</v>
      </c>
      <c r="S131" s="62">
        <v>118.76</v>
      </c>
      <c r="T131" s="62">
        <v>40.22</v>
      </c>
      <c r="U131" s="62">
        <v>31.01</v>
      </c>
      <c r="V131" s="62">
        <v>318.89</v>
      </c>
      <c r="W131" s="62">
        <v>152.35</v>
      </c>
      <c r="X131" s="62">
        <v>51.08</v>
      </c>
      <c r="Y131" s="62">
        <v>56.73</v>
      </c>
      <c r="Z131" s="62">
        <v>341.34</v>
      </c>
      <c r="AA131" s="62">
        <v>96.24</v>
      </c>
    </row>
    <row r="132" spans="1:27" ht="15" customHeight="1" x14ac:dyDescent="0.15">
      <c r="A132" s="65">
        <v>46087</v>
      </c>
      <c r="B132" s="62">
        <v>283.62</v>
      </c>
      <c r="C132" s="62">
        <v>132.88999999999999</v>
      </c>
      <c r="D132" s="62">
        <v>1288.32</v>
      </c>
      <c r="E132" s="62">
        <v>328.67</v>
      </c>
      <c r="F132" s="62">
        <v>107.25</v>
      </c>
      <c r="G132" s="62">
        <v>134.13</v>
      </c>
      <c r="H132" s="62">
        <v>370.09</v>
      </c>
      <c r="I132" s="62">
        <v>177.4</v>
      </c>
      <c r="J132" s="62">
        <v>131.46</v>
      </c>
      <c r="K132" s="62">
        <v>157.16</v>
      </c>
      <c r="L132" s="62">
        <v>336.25</v>
      </c>
      <c r="M132" s="62">
        <v>241.61</v>
      </c>
      <c r="N132" s="62">
        <v>456.69</v>
      </c>
      <c r="O132" s="62">
        <v>107.62</v>
      </c>
      <c r="P132" s="62">
        <v>148.85</v>
      </c>
      <c r="Q132" s="62">
        <v>65.63</v>
      </c>
      <c r="R132" s="62">
        <v>52.86</v>
      </c>
      <c r="S132" s="62">
        <v>117.53</v>
      </c>
      <c r="T132" s="62">
        <v>39.85</v>
      </c>
      <c r="U132" s="62">
        <v>30.38</v>
      </c>
      <c r="V132" s="62">
        <v>316.12</v>
      </c>
      <c r="W132" s="62">
        <v>148.11000000000001</v>
      </c>
      <c r="X132" s="62">
        <v>51.59</v>
      </c>
      <c r="Y132" s="62">
        <v>55.36</v>
      </c>
      <c r="Z132" s="62">
        <v>322.24</v>
      </c>
      <c r="AA132" s="62">
        <v>99.02</v>
      </c>
    </row>
    <row r="133" spans="1:27" ht="15" customHeight="1" x14ac:dyDescent="0.15">
      <c r="A133" s="65">
        <v>46094</v>
      </c>
      <c r="B133" s="62">
        <v>249.32</v>
      </c>
      <c r="C133" s="62">
        <v>133.57</v>
      </c>
      <c r="D133" s="62">
        <v>1341.02</v>
      </c>
      <c r="E133" s="62">
        <v>320.39</v>
      </c>
      <c r="F133" s="62">
        <v>110.44</v>
      </c>
      <c r="G133" s="62">
        <v>141.52000000000001</v>
      </c>
      <c r="H133" s="62">
        <v>425.89</v>
      </c>
      <c r="I133" s="62">
        <v>179.84</v>
      </c>
      <c r="J133" s="62">
        <v>128.72999999999999</v>
      </c>
      <c r="K133" s="62">
        <v>150.94999999999999</v>
      </c>
      <c r="L133" s="62">
        <v>335.67</v>
      </c>
      <c r="M133" s="62">
        <v>258.7</v>
      </c>
      <c r="N133" s="62">
        <v>469.34</v>
      </c>
      <c r="O133" s="62">
        <v>105.56</v>
      </c>
      <c r="P133" s="62">
        <v>147.04</v>
      </c>
      <c r="Q133" s="62">
        <v>64.75</v>
      </c>
      <c r="R133" s="62">
        <v>52.59</v>
      </c>
      <c r="S133" s="62">
        <v>115.49</v>
      </c>
      <c r="T133" s="62">
        <v>38.99</v>
      </c>
      <c r="U133" s="62">
        <v>30.06</v>
      </c>
      <c r="V133" s="62">
        <v>305.94</v>
      </c>
      <c r="W133" s="62">
        <v>145.84</v>
      </c>
      <c r="X133" s="62">
        <v>51.37</v>
      </c>
      <c r="Y133" s="62">
        <v>54.41</v>
      </c>
      <c r="Z133" s="62">
        <v>299.32</v>
      </c>
      <c r="AA133" s="62">
        <v>95.31</v>
      </c>
    </row>
    <row r="134" spans="1:27" ht="15" customHeight="1" x14ac:dyDescent="0.15">
      <c r="A134" s="65">
        <v>46101</v>
      </c>
      <c r="B134" s="62">
        <v>248.15</v>
      </c>
      <c r="C134" s="62">
        <v>131.22</v>
      </c>
      <c r="D134" s="62">
        <v>1312.68</v>
      </c>
      <c r="E134" s="62">
        <v>308.81</v>
      </c>
      <c r="F134" s="62">
        <v>102.25</v>
      </c>
      <c r="G134" s="62">
        <v>149.51</v>
      </c>
      <c r="H134" s="62">
        <v>422.66</v>
      </c>
      <c r="I134" s="62">
        <v>172.31</v>
      </c>
      <c r="J134" s="62">
        <v>126.09</v>
      </c>
      <c r="K134" s="62">
        <v>150.68</v>
      </c>
      <c r="L134" s="62">
        <v>327.58999999999997</v>
      </c>
      <c r="M134" s="62">
        <v>255.76</v>
      </c>
      <c r="N134" s="62">
        <v>454</v>
      </c>
      <c r="O134" s="62">
        <v>105.35</v>
      </c>
      <c r="P134" s="62">
        <v>143.6</v>
      </c>
      <c r="Q134" s="62">
        <v>64.03</v>
      </c>
      <c r="R134" s="62">
        <v>51.85</v>
      </c>
      <c r="S134" s="62">
        <v>113.1</v>
      </c>
      <c r="T134" s="62">
        <v>39.03</v>
      </c>
      <c r="U134" s="62">
        <v>29.66</v>
      </c>
      <c r="V134" s="62">
        <v>300.44</v>
      </c>
      <c r="W134" s="62">
        <v>143.47999999999999</v>
      </c>
      <c r="X134" s="62">
        <v>51.9</v>
      </c>
      <c r="Y134" s="62">
        <v>53.46</v>
      </c>
      <c r="Z134" s="62">
        <v>286.43</v>
      </c>
      <c r="AA134" s="62">
        <v>91.82</v>
      </c>
    </row>
    <row r="135" spans="1:27" ht="15" customHeight="1" x14ac:dyDescent="0.15">
      <c r="A135" s="65">
        <v>46108</v>
      </c>
      <c r="B135" s="62">
        <v>234.84</v>
      </c>
      <c r="C135" s="62">
        <v>120.77</v>
      </c>
      <c r="D135" s="62">
        <v>1297.95</v>
      </c>
      <c r="E135" s="62">
        <v>299.66000000000003</v>
      </c>
      <c r="F135" s="62">
        <v>92.39</v>
      </c>
      <c r="G135" s="62">
        <v>143.97</v>
      </c>
      <c r="H135" s="62">
        <v>357.02</v>
      </c>
      <c r="I135" s="62">
        <v>167.14</v>
      </c>
      <c r="J135" s="62">
        <v>126.96</v>
      </c>
      <c r="K135" s="62">
        <v>143.06</v>
      </c>
      <c r="L135" s="62">
        <v>325.10000000000002</v>
      </c>
      <c r="M135" s="62">
        <v>250.96</v>
      </c>
      <c r="N135" s="62">
        <v>433.07</v>
      </c>
      <c r="O135" s="62">
        <v>108.47</v>
      </c>
      <c r="P135" s="62">
        <v>147.11000000000001</v>
      </c>
      <c r="Q135" s="62">
        <v>63.21</v>
      </c>
      <c r="R135" s="62">
        <v>50.33</v>
      </c>
      <c r="S135" s="62">
        <v>109.96</v>
      </c>
      <c r="T135" s="62">
        <v>38.549999999999997</v>
      </c>
      <c r="U135" s="62">
        <v>29.96</v>
      </c>
      <c r="V135" s="62">
        <v>294.36</v>
      </c>
      <c r="W135" s="62">
        <v>144</v>
      </c>
      <c r="X135" s="62">
        <v>53.27</v>
      </c>
      <c r="Y135" s="62">
        <v>52.94</v>
      </c>
      <c r="Z135" s="62">
        <v>282.45999999999998</v>
      </c>
      <c r="AA135" s="62">
        <v>93.43</v>
      </c>
    </row>
    <row r="136" spans="1:27" ht="15" customHeight="1" x14ac:dyDescent="0.15">
      <c r="A136" s="65">
        <v>46115</v>
      </c>
      <c r="B136" s="62">
        <v>242.92</v>
      </c>
      <c r="C136" s="62">
        <v>126.68</v>
      </c>
      <c r="D136" s="62">
        <v>1312.66</v>
      </c>
      <c r="E136" s="62">
        <v>313.48</v>
      </c>
      <c r="F136" s="62">
        <v>99.78</v>
      </c>
      <c r="G136" s="62">
        <v>151.32</v>
      </c>
      <c r="H136" s="62">
        <v>366.18</v>
      </c>
      <c r="I136" s="62">
        <v>176.99</v>
      </c>
      <c r="J136" s="62">
        <v>131.76</v>
      </c>
      <c r="K136" s="62">
        <v>148.46</v>
      </c>
      <c r="L136" s="62">
        <v>337.34</v>
      </c>
      <c r="M136" s="62">
        <v>261.17</v>
      </c>
      <c r="N136" s="62">
        <v>438.71</v>
      </c>
      <c r="O136" s="62">
        <v>110.65</v>
      </c>
      <c r="P136" s="62">
        <v>149.24</v>
      </c>
      <c r="Q136" s="62">
        <v>63.95</v>
      </c>
      <c r="R136" s="62">
        <v>52.22</v>
      </c>
      <c r="S136" s="62">
        <v>114.38</v>
      </c>
      <c r="T136" s="62">
        <v>39.630000000000003</v>
      </c>
      <c r="U136" s="62">
        <v>30.08</v>
      </c>
      <c r="V136" s="62">
        <v>299.62</v>
      </c>
      <c r="W136" s="62">
        <v>146.38</v>
      </c>
      <c r="X136" s="62">
        <v>52.29</v>
      </c>
      <c r="Y136" s="62">
        <v>54.2</v>
      </c>
      <c r="Z136" s="62">
        <v>280.81</v>
      </c>
      <c r="AA136" s="62">
        <v>98.66</v>
      </c>
    </row>
    <row r="137" spans="1:27" ht="15" customHeight="1" x14ac:dyDescent="0.15">
      <c r="A137" s="65">
        <v>46122</v>
      </c>
      <c r="B137" s="62">
        <v>225.35</v>
      </c>
      <c r="C137" s="62">
        <v>147.35</v>
      </c>
      <c r="D137" s="62">
        <v>1473.15</v>
      </c>
      <c r="E137" s="62">
        <v>370.29</v>
      </c>
      <c r="F137" s="62">
        <v>94.75</v>
      </c>
      <c r="G137" s="62">
        <v>173.31</v>
      </c>
      <c r="H137" s="62">
        <v>420.53</v>
      </c>
      <c r="I137" s="62">
        <v>188.2</v>
      </c>
      <c r="J137" s="62">
        <v>135.13</v>
      </c>
      <c r="K137" s="62">
        <v>128.06</v>
      </c>
      <c r="L137" s="62">
        <v>368.74</v>
      </c>
      <c r="M137" s="62">
        <v>294.98</v>
      </c>
      <c r="N137" s="62">
        <v>436.27</v>
      </c>
      <c r="O137" s="62">
        <v>113.94</v>
      </c>
      <c r="P137" s="62">
        <v>150.01</v>
      </c>
      <c r="Q137" s="62">
        <v>65.25</v>
      </c>
      <c r="R137" s="62">
        <v>54.12</v>
      </c>
      <c r="S137" s="62">
        <v>122.95</v>
      </c>
      <c r="T137" s="62">
        <v>39.46</v>
      </c>
      <c r="U137" s="62">
        <v>30.08</v>
      </c>
      <c r="V137" s="62">
        <v>303.17</v>
      </c>
      <c r="W137" s="62">
        <v>150.29</v>
      </c>
      <c r="X137" s="62">
        <v>52.23</v>
      </c>
      <c r="Y137" s="62">
        <v>55.25</v>
      </c>
      <c r="Z137" s="62">
        <v>307.97000000000003</v>
      </c>
      <c r="AA137" s="62">
        <v>103.01</v>
      </c>
    </row>
    <row r="138" spans="1:27" ht="15" customHeight="1" x14ac:dyDescent="0.15">
      <c r="A138" s="65">
        <v>46129</v>
      </c>
      <c r="B138" s="62">
        <v>244.45</v>
      </c>
      <c r="C138" s="62">
        <v>164.23</v>
      </c>
      <c r="D138" s="62">
        <v>1454.74</v>
      </c>
      <c r="E138" s="62">
        <v>405.16</v>
      </c>
      <c r="F138" s="62">
        <v>105.99</v>
      </c>
      <c r="G138" s="62">
        <v>178.71</v>
      </c>
      <c r="H138" s="62">
        <v>455</v>
      </c>
      <c r="I138" s="62">
        <v>201.22</v>
      </c>
      <c r="J138" s="62">
        <v>142.91999999999999</v>
      </c>
      <c r="K138" s="62">
        <v>146.38999999999999</v>
      </c>
      <c r="L138" s="62">
        <v>368.65</v>
      </c>
      <c r="M138" s="62">
        <v>307.2</v>
      </c>
      <c r="N138" s="62">
        <v>441.2</v>
      </c>
      <c r="O138" s="62">
        <v>116.71</v>
      </c>
      <c r="P138" s="62">
        <v>150.69999999999999</v>
      </c>
      <c r="Q138" s="62">
        <v>66.930000000000007</v>
      </c>
      <c r="R138" s="62">
        <v>55.1</v>
      </c>
      <c r="S138" s="62">
        <v>127.89</v>
      </c>
      <c r="T138" s="62">
        <v>41.57</v>
      </c>
      <c r="U138" s="62">
        <v>30.56</v>
      </c>
      <c r="V138" s="62">
        <v>315.77999999999997</v>
      </c>
      <c r="W138" s="62">
        <v>153.30000000000001</v>
      </c>
      <c r="X138" s="62">
        <v>50.92</v>
      </c>
      <c r="Y138" s="62">
        <v>55.49</v>
      </c>
      <c r="Z138" s="62">
        <v>303.75</v>
      </c>
      <c r="AA138" s="62">
        <v>97.31</v>
      </c>
    </row>
    <row r="139" spans="1:27" ht="15" customHeight="1" x14ac:dyDescent="0.15">
      <c r="A139" s="65">
        <v>46136</v>
      </c>
      <c r="B139" s="62">
        <v>245.44</v>
      </c>
      <c r="C139" s="62">
        <v>176.91</v>
      </c>
      <c r="D139" s="62">
        <v>1452.64</v>
      </c>
      <c r="E139" s="62">
        <v>421.32</v>
      </c>
      <c r="F139" s="62">
        <v>112.03</v>
      </c>
      <c r="G139" s="62">
        <v>193.04</v>
      </c>
      <c r="H139" s="62">
        <v>496.64</v>
      </c>
      <c r="I139" s="62">
        <v>207.8</v>
      </c>
      <c r="J139" s="62">
        <v>139.96</v>
      </c>
      <c r="K139" s="62">
        <v>143.09</v>
      </c>
      <c r="L139" s="62">
        <v>400.45</v>
      </c>
      <c r="M139" s="62">
        <v>323.31</v>
      </c>
      <c r="N139" s="62">
        <v>430.29</v>
      </c>
      <c r="O139" s="62">
        <v>118.14</v>
      </c>
      <c r="P139" s="62">
        <v>149.47999999999999</v>
      </c>
      <c r="Q139" s="62">
        <v>67.08</v>
      </c>
      <c r="R139" s="62">
        <v>55.41</v>
      </c>
      <c r="S139" s="62">
        <v>131.1</v>
      </c>
      <c r="T139" s="62">
        <v>41.34</v>
      </c>
      <c r="U139" s="62">
        <v>30.71</v>
      </c>
      <c r="V139" s="62">
        <v>308.20999999999998</v>
      </c>
      <c r="W139" s="62">
        <v>153.13999999999999</v>
      </c>
      <c r="X139" s="62">
        <v>51.6</v>
      </c>
      <c r="Y139" s="62">
        <v>55.04</v>
      </c>
      <c r="Z139" s="62">
        <v>284.25</v>
      </c>
      <c r="AA139" s="62">
        <v>92.44</v>
      </c>
    </row>
    <row r="140" spans="1:27" ht="15" customHeight="1" x14ac:dyDescent="0.15">
      <c r="A140" s="65">
        <v>46143</v>
      </c>
      <c r="B140" s="62">
        <v>250.71</v>
      </c>
      <c r="C140" s="62">
        <v>172.7</v>
      </c>
      <c r="D140" s="62">
        <v>1425.18</v>
      </c>
      <c r="E140" s="62">
        <v>419.85</v>
      </c>
      <c r="F140" s="62">
        <v>113.91</v>
      </c>
      <c r="G140" s="62">
        <v>172.21</v>
      </c>
      <c r="H140" s="62">
        <v>542.13</v>
      </c>
      <c r="I140" s="62">
        <v>198</v>
      </c>
      <c r="J140" s="62">
        <v>139.29</v>
      </c>
      <c r="K140" s="62">
        <v>144.07</v>
      </c>
      <c r="L140" s="62">
        <v>395.68</v>
      </c>
      <c r="M140" s="62">
        <v>328.16</v>
      </c>
      <c r="N140" s="62">
        <v>423.92</v>
      </c>
      <c r="O140" s="62">
        <v>119.13</v>
      </c>
      <c r="P140" s="62">
        <v>152.16</v>
      </c>
      <c r="Q140" s="62">
        <v>67.349999999999994</v>
      </c>
      <c r="R140" s="62">
        <v>55.85</v>
      </c>
      <c r="S140" s="62">
        <v>134</v>
      </c>
      <c r="T140" s="62">
        <v>42.4</v>
      </c>
      <c r="U140" s="62">
        <v>31.36</v>
      </c>
      <c r="V140" s="62">
        <v>326.74</v>
      </c>
      <c r="W140" s="62">
        <v>154.69</v>
      </c>
      <c r="X140" s="62">
        <v>54.25</v>
      </c>
      <c r="Y140" s="62">
        <v>54.99</v>
      </c>
      <c r="Z140" s="62">
        <v>286.14999999999998</v>
      </c>
      <c r="AA140" s="62">
        <v>92.06</v>
      </c>
    </row>
    <row r="141" spans="1:27" ht="15" customHeight="1" x14ac:dyDescent="0.15">
      <c r="A141" s="65">
        <v>46150</v>
      </c>
      <c r="B141" s="62">
        <v>253.04</v>
      </c>
      <c r="C141" s="62">
        <v>141.77000000000001</v>
      </c>
      <c r="D141" s="62">
        <v>1589.96</v>
      </c>
      <c r="E141" s="62">
        <v>428.54</v>
      </c>
      <c r="F141" s="62">
        <v>131.94</v>
      </c>
      <c r="G141" s="62">
        <v>186.47</v>
      </c>
      <c r="H141" s="62">
        <v>746.7</v>
      </c>
      <c r="I141" s="62">
        <v>214.71</v>
      </c>
      <c r="J141" s="62">
        <v>141.91999999999999</v>
      </c>
      <c r="K141" s="62">
        <v>137.80000000000001</v>
      </c>
      <c r="L141" s="62">
        <v>409.62</v>
      </c>
      <c r="M141" s="62">
        <v>339.82</v>
      </c>
      <c r="N141" s="62">
        <v>429.82</v>
      </c>
      <c r="O141" s="62">
        <v>119.01</v>
      </c>
      <c r="P141" s="62">
        <v>149.85</v>
      </c>
      <c r="Q141" s="62">
        <v>67.48</v>
      </c>
      <c r="R141" s="62">
        <v>56.56</v>
      </c>
      <c r="S141" s="62">
        <v>143.36000000000001</v>
      </c>
      <c r="T141" s="62">
        <v>43.44</v>
      </c>
      <c r="U141" s="62">
        <v>31.12</v>
      </c>
      <c r="V141" s="62">
        <v>317.54000000000002</v>
      </c>
      <c r="W141" s="62">
        <v>153.65</v>
      </c>
      <c r="X141" s="62">
        <v>52.34</v>
      </c>
      <c r="Y141" s="62">
        <v>54.15</v>
      </c>
      <c r="Z141" s="62">
        <v>296.77999999999997</v>
      </c>
      <c r="AA141" s="62">
        <v>87.49</v>
      </c>
    </row>
    <row r="142" spans="1:27" ht="15" customHeight="1" x14ac:dyDescent="0.15">
      <c r="A142" s="65">
        <v>46157</v>
      </c>
      <c r="B142" s="62">
        <v>247.6</v>
      </c>
      <c r="C142" s="62">
        <v>141.97</v>
      </c>
      <c r="D142" s="62">
        <v>1499.87</v>
      </c>
      <c r="E142" s="62">
        <v>423.75</v>
      </c>
      <c r="F142" s="62">
        <v>148.52000000000001</v>
      </c>
      <c r="G142" s="62">
        <v>180</v>
      </c>
      <c r="H142" s="62">
        <v>724.55</v>
      </c>
      <c r="I142" s="62">
        <v>224.81</v>
      </c>
      <c r="J142" s="62">
        <v>138.41999999999999</v>
      </c>
      <c r="K142" s="62">
        <v>133.99</v>
      </c>
      <c r="L142" s="62">
        <v>402.33</v>
      </c>
      <c r="M142" s="62">
        <v>370.77</v>
      </c>
      <c r="N142" s="62">
        <v>436.95</v>
      </c>
      <c r="O142" s="62">
        <v>116.44</v>
      </c>
      <c r="P142" s="62">
        <v>148.55000000000001</v>
      </c>
      <c r="Q142" s="62">
        <v>67.5</v>
      </c>
      <c r="R142" s="62">
        <v>56.71</v>
      </c>
      <c r="S142" s="62">
        <v>143.03</v>
      </c>
      <c r="T142" s="62">
        <v>42.32</v>
      </c>
      <c r="U142" s="62">
        <v>31.22</v>
      </c>
      <c r="V142" s="62">
        <v>325.14999999999998</v>
      </c>
      <c r="W142" s="62">
        <v>153.94999999999999</v>
      </c>
      <c r="X142" s="62">
        <v>54.5</v>
      </c>
      <c r="Y142" s="62">
        <v>54.09</v>
      </c>
      <c r="Z142" s="62">
        <v>281.18</v>
      </c>
      <c r="AA142" s="62">
        <v>87.02</v>
      </c>
    </row>
    <row r="143" spans="1:27" ht="15" customHeight="1" x14ac:dyDescent="0.15">
      <c r="A143" s="65">
        <v>46164</v>
      </c>
      <c r="B143" s="62">
        <v>244.76</v>
      </c>
      <c r="C143" s="62">
        <v>154.03</v>
      </c>
      <c r="D143" s="62">
        <v>1630.79</v>
      </c>
      <c r="E143" s="62">
        <v>412.73</v>
      </c>
      <c r="F143" s="62">
        <v>165.87</v>
      </c>
      <c r="G143" s="62">
        <v>188.62</v>
      </c>
      <c r="H143" s="62">
        <v>750.88</v>
      </c>
      <c r="I143" s="62">
        <v>214.84</v>
      </c>
      <c r="J143" s="62">
        <v>143.71</v>
      </c>
      <c r="K143" s="62">
        <v>136.88</v>
      </c>
      <c r="L143" s="62">
        <v>402.5</v>
      </c>
      <c r="M143" s="62">
        <v>327.31</v>
      </c>
      <c r="N143" s="62">
        <v>434.52</v>
      </c>
      <c r="O143" s="62">
        <v>119.2</v>
      </c>
      <c r="P143" s="62">
        <v>153.27000000000001</v>
      </c>
      <c r="Q143" s="62">
        <v>67.55</v>
      </c>
      <c r="R143" s="62">
        <v>57.13</v>
      </c>
      <c r="S143" s="62">
        <v>144.47999999999999</v>
      </c>
      <c r="T143" s="62">
        <v>44</v>
      </c>
      <c r="U143" s="62">
        <v>32.31</v>
      </c>
      <c r="V143" s="62">
        <v>328.27</v>
      </c>
      <c r="W143" s="62">
        <v>156.85</v>
      </c>
      <c r="X143" s="62">
        <v>54.94</v>
      </c>
      <c r="Y143" s="62">
        <v>54.51</v>
      </c>
      <c r="Z143" s="62">
        <v>302.45999999999998</v>
      </c>
      <c r="AA143" s="62">
        <v>88.6</v>
      </c>
    </row>
    <row r="144" spans="1:27" ht="15" customHeight="1" x14ac:dyDescent="0.15">
      <c r="A144" s="65">
        <v>46171</v>
      </c>
      <c r="B144" s="62">
        <v>259.20999999999998</v>
      </c>
      <c r="C144" s="62">
        <v>159.47</v>
      </c>
      <c r="D144" s="62">
        <v>1610.68</v>
      </c>
      <c r="E144" s="62">
        <v>445.25</v>
      </c>
      <c r="F144" s="62">
        <v>182.75</v>
      </c>
      <c r="G144" s="62">
        <v>191.95</v>
      </c>
      <c r="H144" s="62">
        <v>970.85</v>
      </c>
      <c r="I144" s="62">
        <v>210.66</v>
      </c>
      <c r="J144" s="62">
        <v>141.31</v>
      </c>
      <c r="K144" s="62">
        <v>156.54</v>
      </c>
      <c r="L144" s="62">
        <v>416.36</v>
      </c>
      <c r="M144" s="62">
        <v>315.57</v>
      </c>
      <c r="N144" s="62">
        <v>447.54</v>
      </c>
      <c r="O144" s="62">
        <v>119.22</v>
      </c>
      <c r="P144" s="62">
        <v>152.49</v>
      </c>
      <c r="Q144" s="62">
        <v>67.84</v>
      </c>
      <c r="R144" s="62">
        <v>58.02</v>
      </c>
      <c r="S144" s="62">
        <v>150.11000000000001</v>
      </c>
      <c r="T144" s="62">
        <v>46.38</v>
      </c>
      <c r="U144" s="62">
        <v>31.99</v>
      </c>
      <c r="V144" s="62">
        <v>325.75</v>
      </c>
      <c r="W144" s="62">
        <v>157.34</v>
      </c>
      <c r="X144" s="62">
        <v>51.99</v>
      </c>
      <c r="Y144" s="62">
        <v>54.23</v>
      </c>
      <c r="Z144" s="62">
        <v>323.36</v>
      </c>
      <c r="AA144" s="62">
        <v>86.02</v>
      </c>
    </row>
    <row r="145" spans="1:27" ht="15" customHeight="1" x14ac:dyDescent="0.15">
      <c r="A145" s="65">
        <v>46178</v>
      </c>
      <c r="B145" s="62">
        <v>251.44</v>
      </c>
      <c r="C145" s="62">
        <v>154.27000000000001</v>
      </c>
      <c r="D145" s="62">
        <v>1639.62</v>
      </c>
      <c r="E145" s="62">
        <v>384.42</v>
      </c>
      <c r="F145" s="62">
        <v>167.76</v>
      </c>
      <c r="G145" s="62">
        <v>192.7</v>
      </c>
      <c r="H145" s="62">
        <v>863.88</v>
      </c>
      <c r="I145" s="62">
        <v>204.87</v>
      </c>
      <c r="J145" s="62">
        <v>142.37</v>
      </c>
      <c r="K145" s="62">
        <v>135.53</v>
      </c>
      <c r="L145" s="62">
        <v>413.09</v>
      </c>
      <c r="M145" s="62">
        <v>300.37</v>
      </c>
      <c r="N145" s="62">
        <v>446.83</v>
      </c>
      <c r="O145" s="62">
        <v>118.87</v>
      </c>
      <c r="P145" s="62">
        <v>152.91999999999999</v>
      </c>
      <c r="Q145" s="62">
        <v>67.13</v>
      </c>
      <c r="R145" s="62">
        <v>56.4</v>
      </c>
      <c r="S145" s="62">
        <v>143.82</v>
      </c>
      <c r="T145" s="62">
        <v>45.86</v>
      </c>
      <c r="U145" s="62">
        <v>31.79</v>
      </c>
      <c r="V145" s="62">
        <v>322.97000000000003</v>
      </c>
      <c r="W145" s="62">
        <v>156.4</v>
      </c>
      <c r="X145" s="62">
        <v>53.21</v>
      </c>
      <c r="Y145" s="62">
        <v>54.1</v>
      </c>
      <c r="Z145" s="62">
        <v>327.58999999999997</v>
      </c>
      <c r="AA145" s="62">
        <v>82.18</v>
      </c>
    </row>
    <row r="146" spans="1:27" ht="15" customHeight="1" x14ac:dyDescent="0.15">
      <c r="A146" s="65">
        <v>46185</v>
      </c>
      <c r="B146" s="62">
        <v>204.02</v>
      </c>
      <c r="C146" s="62">
        <v>163.24</v>
      </c>
      <c r="D146" s="62">
        <v>1861.14</v>
      </c>
      <c r="E146" s="62">
        <v>380.77</v>
      </c>
      <c r="F146" s="62">
        <v>170.7</v>
      </c>
      <c r="G146" s="62">
        <v>254.25</v>
      </c>
      <c r="H146" s="62">
        <v>981.46</v>
      </c>
      <c r="I146" s="62">
        <v>204.96</v>
      </c>
      <c r="J146" s="62">
        <v>146.51</v>
      </c>
      <c r="K146" s="62">
        <v>127.99</v>
      </c>
      <c r="L146" s="62">
        <v>422.8</v>
      </c>
      <c r="M146" s="62">
        <v>302.73</v>
      </c>
      <c r="N146" s="62">
        <v>444.93</v>
      </c>
      <c r="O146" s="62">
        <v>123.97</v>
      </c>
      <c r="P146" s="62">
        <v>156.30000000000001</v>
      </c>
      <c r="Q146" s="62">
        <v>67.16</v>
      </c>
      <c r="R146" s="62">
        <v>57.32</v>
      </c>
      <c r="S146" s="62">
        <v>152</v>
      </c>
      <c r="T146" s="62">
        <v>46.14</v>
      </c>
      <c r="U146" s="62">
        <v>32.299999999999997</v>
      </c>
      <c r="V146" s="62">
        <v>321.79000000000002</v>
      </c>
      <c r="W146" s="62">
        <v>158.46</v>
      </c>
      <c r="X146" s="62">
        <v>53.55</v>
      </c>
      <c r="Y146" s="62">
        <v>54.61</v>
      </c>
      <c r="Z146" s="62">
        <v>334.88</v>
      </c>
      <c r="AA146" s="62">
        <v>80.34</v>
      </c>
    </row>
    <row r="147" spans="1:27" ht="15" customHeight="1" x14ac:dyDescent="0.15">
      <c r="A147" s="65">
        <v>46192</v>
      </c>
      <c r="B147" s="62">
        <v>195.16</v>
      </c>
      <c r="C147" s="62">
        <v>169.67</v>
      </c>
      <c r="D147" s="62">
        <v>1927.19</v>
      </c>
      <c r="E147" s="62">
        <v>409.95</v>
      </c>
      <c r="F147" s="62">
        <v>171.21</v>
      </c>
      <c r="G147" s="62">
        <v>259.27</v>
      </c>
      <c r="H147" s="62">
        <v>1133.82</v>
      </c>
      <c r="I147" s="62">
        <v>210.45</v>
      </c>
      <c r="J147" s="62">
        <v>139.43</v>
      </c>
      <c r="K147" s="62">
        <v>128.47</v>
      </c>
      <c r="L147" s="62">
        <v>460.88</v>
      </c>
      <c r="M147" s="62">
        <v>332.97</v>
      </c>
      <c r="N147" s="62">
        <v>451.63</v>
      </c>
      <c r="O147" s="62">
        <v>121.6</v>
      </c>
      <c r="P147" s="62">
        <v>152.05000000000001</v>
      </c>
      <c r="Q147" s="62">
        <v>67.72</v>
      </c>
      <c r="R147" s="62">
        <v>58.74</v>
      </c>
      <c r="S147" s="62">
        <v>159.38999999999999</v>
      </c>
      <c r="T147" s="62">
        <v>45.11</v>
      </c>
      <c r="U147" s="62">
        <v>31.36</v>
      </c>
      <c r="V147" s="62">
        <v>326.63</v>
      </c>
      <c r="W147" s="62">
        <v>157.34</v>
      </c>
      <c r="X147" s="62">
        <v>52.37</v>
      </c>
      <c r="Y147" s="62">
        <v>54.67</v>
      </c>
      <c r="Z147" s="62">
        <v>357.19</v>
      </c>
      <c r="AA147" s="62">
        <v>77.38</v>
      </c>
    </row>
    <row r="148" spans="1:27" ht="15" customHeight="1" x14ac:dyDescent="0.15">
      <c r="A148" s="65">
        <v>46199</v>
      </c>
      <c r="B148" s="62">
        <v>202.73</v>
      </c>
      <c r="C148" s="62">
        <v>157.6</v>
      </c>
      <c r="D148" s="62">
        <v>1792.3</v>
      </c>
      <c r="E148" s="62">
        <v>364.36</v>
      </c>
      <c r="F148" s="62">
        <v>175.27</v>
      </c>
      <c r="G148" s="62">
        <v>248.36</v>
      </c>
      <c r="H148" s="62">
        <v>1132.1600000000001</v>
      </c>
      <c r="I148" s="62">
        <v>192.31</v>
      </c>
      <c r="J148" s="62">
        <v>138.87</v>
      </c>
      <c r="K148" s="62">
        <v>112.93</v>
      </c>
      <c r="L148" s="62">
        <v>431.19</v>
      </c>
      <c r="M148" s="62">
        <v>303.88</v>
      </c>
      <c r="N148" s="62">
        <v>491.34</v>
      </c>
      <c r="O148" s="62">
        <v>124.53</v>
      </c>
      <c r="P148" s="62">
        <v>156.87</v>
      </c>
      <c r="Q148" s="62">
        <v>66.989999999999995</v>
      </c>
      <c r="R148" s="62">
        <v>56.9</v>
      </c>
      <c r="S148" s="62">
        <v>153.94999999999999</v>
      </c>
      <c r="T148" s="62">
        <v>46.04</v>
      </c>
      <c r="U148" s="62">
        <v>31.84</v>
      </c>
      <c r="V148" s="62">
        <v>335.61</v>
      </c>
      <c r="W148" s="62">
        <v>157.35</v>
      </c>
      <c r="X148" s="62">
        <v>54.1</v>
      </c>
      <c r="Y148" s="62">
        <v>54.73</v>
      </c>
      <c r="Z148" s="62">
        <v>368.54</v>
      </c>
      <c r="AA148" s="62">
        <v>73.81</v>
      </c>
    </row>
    <row r="149" spans="1:27" ht="15" customHeight="1" x14ac:dyDescent="0.15">
      <c r="A149" s="65">
        <v>46206</v>
      </c>
      <c r="B149" s="62">
        <v>219.72</v>
      </c>
      <c r="C149" s="62">
        <v>159.99</v>
      </c>
      <c r="D149" s="62">
        <v>1767.03</v>
      </c>
      <c r="E149" s="62">
        <v>359.79</v>
      </c>
      <c r="F149" s="62">
        <v>193.98</v>
      </c>
      <c r="G149" s="62">
        <v>235.28</v>
      </c>
      <c r="H149" s="62">
        <v>975.41</v>
      </c>
      <c r="I149" s="62">
        <v>194.61</v>
      </c>
      <c r="J149" s="62">
        <v>138.33000000000001</v>
      </c>
      <c r="K149" s="62">
        <v>129.30000000000001</v>
      </c>
      <c r="L149" s="62">
        <v>433</v>
      </c>
      <c r="M149" s="62">
        <v>300.45999999999998</v>
      </c>
      <c r="N149" s="62">
        <v>528.04</v>
      </c>
      <c r="O149" s="62">
        <v>123.11</v>
      </c>
      <c r="P149" s="62">
        <v>157.78</v>
      </c>
      <c r="Q149" s="62">
        <v>67.5</v>
      </c>
      <c r="R149" s="62">
        <v>57.47</v>
      </c>
      <c r="S149" s="62">
        <v>150.58000000000001</v>
      </c>
      <c r="T149" s="62">
        <v>46.85</v>
      </c>
      <c r="U149" s="62">
        <v>32.130000000000003</v>
      </c>
      <c r="V149" s="62">
        <v>361.46</v>
      </c>
      <c r="W149" s="62">
        <v>158.6</v>
      </c>
      <c r="X149" s="62">
        <v>53.12</v>
      </c>
      <c r="Y149" s="62">
        <v>55.64</v>
      </c>
      <c r="Z149" s="62">
        <v>377.05</v>
      </c>
      <c r="AA149" s="62">
        <v>77.650000000000006</v>
      </c>
    </row>
    <row r="150" spans="1:27" ht="15" customHeight="1" x14ac:dyDescent="0.15">
      <c r="A150" s="65">
        <v>46213</v>
      </c>
      <c r="B150" s="62">
        <v>223.64</v>
      </c>
      <c r="C150" s="62">
        <v>186.96</v>
      </c>
      <c r="D150" s="62">
        <v>1795</v>
      </c>
      <c r="E150" s="62">
        <v>399.24</v>
      </c>
      <c r="F150" s="62">
        <v>187.18</v>
      </c>
      <c r="G150" s="62">
        <v>231.26</v>
      </c>
      <c r="H150" s="62">
        <v>979.3</v>
      </c>
      <c r="I150" s="62">
        <v>210.72</v>
      </c>
      <c r="J150" s="62">
        <v>139.76</v>
      </c>
      <c r="K150" s="62">
        <v>126.79</v>
      </c>
      <c r="L150" s="62">
        <v>432.95</v>
      </c>
      <c r="M150" s="62">
        <v>318.77999999999997</v>
      </c>
      <c r="N150" s="62">
        <v>485.39</v>
      </c>
      <c r="O150" s="62">
        <v>123.55</v>
      </c>
      <c r="P150" s="62">
        <v>158.15</v>
      </c>
      <c r="Q150" s="62">
        <v>68.239999999999995</v>
      </c>
      <c r="R150" s="62">
        <v>58.55</v>
      </c>
      <c r="S150" s="62">
        <v>153.5</v>
      </c>
      <c r="T150" s="62">
        <v>47.27</v>
      </c>
      <c r="U150" s="62">
        <v>32.14</v>
      </c>
      <c r="V150" s="62">
        <v>348.32</v>
      </c>
      <c r="W150" s="62">
        <v>160.16999999999999</v>
      </c>
      <c r="X150" s="62">
        <v>53.54</v>
      </c>
      <c r="Y150" s="62">
        <v>55.69</v>
      </c>
      <c r="Z150" s="62">
        <v>359.27</v>
      </c>
      <c r="AA150" s="62">
        <v>73.37</v>
      </c>
    </row>
    <row r="151" spans="1:27" ht="15" customHeight="1" x14ac:dyDescent="0.15">
      <c r="A151" s="65">
        <v>46220</v>
      </c>
      <c r="B151" s="62">
        <v>237.25</v>
      </c>
      <c r="C151" s="62">
        <v>168.61</v>
      </c>
      <c r="D151" s="62">
        <v>1745.32</v>
      </c>
      <c r="E151" s="62">
        <v>370.16</v>
      </c>
      <c r="F151" s="62">
        <v>203.08</v>
      </c>
      <c r="G151" s="62">
        <v>212.51</v>
      </c>
      <c r="H151" s="62">
        <v>848.95</v>
      </c>
      <c r="I151" s="62">
        <v>202.58</v>
      </c>
      <c r="J151" s="62">
        <v>148.61000000000001</v>
      </c>
      <c r="K151" s="62">
        <v>132.38</v>
      </c>
      <c r="L151" s="62">
        <v>397.3</v>
      </c>
      <c r="M151" s="62">
        <v>289.49</v>
      </c>
      <c r="N151" s="62">
        <v>485.65</v>
      </c>
      <c r="O151" s="62">
        <v>124.94</v>
      </c>
      <c r="P151" s="62">
        <v>160.51</v>
      </c>
      <c r="Q151" s="62">
        <v>67.61</v>
      </c>
      <c r="R151" s="62">
        <v>56.62</v>
      </c>
      <c r="S151" s="62">
        <v>143.66</v>
      </c>
      <c r="T151" s="62">
        <v>47.68</v>
      </c>
      <c r="U151" s="62">
        <v>32.65</v>
      </c>
      <c r="V151" s="62">
        <v>357.9</v>
      </c>
      <c r="W151" s="62">
        <v>159.28</v>
      </c>
      <c r="X151" s="62">
        <v>54.28</v>
      </c>
      <c r="Y151" s="62">
        <v>55.49</v>
      </c>
      <c r="Z151" s="62">
        <v>348.83</v>
      </c>
      <c r="AA151" s="62">
        <v>68.95</v>
      </c>
    </row>
    <row r="152" spans="1:27" ht="15" customHeight="1" x14ac:dyDescent="0.15">
      <c r="A152" s="65">
        <v>46227</v>
      </c>
      <c r="B152" s="62">
        <v>225.11</v>
      </c>
      <c r="C152" s="62">
        <v>173.99</v>
      </c>
      <c r="D152" s="62">
        <v>1754.82</v>
      </c>
      <c r="E152" s="62">
        <v>381.23</v>
      </c>
      <c r="F152" s="62">
        <v>183.28</v>
      </c>
      <c r="G152" s="62">
        <v>210.28</v>
      </c>
      <c r="H152" s="62">
        <v>920.95</v>
      </c>
      <c r="I152" s="62">
        <v>206.61</v>
      </c>
      <c r="J152" s="62">
        <v>146.47</v>
      </c>
      <c r="K152" s="62">
        <v>122.92</v>
      </c>
      <c r="L152" s="62">
        <v>402.33</v>
      </c>
      <c r="M152" s="62">
        <v>290.29000000000002</v>
      </c>
      <c r="N152" s="62">
        <v>477.36</v>
      </c>
      <c r="O152" s="62">
        <v>124.87</v>
      </c>
      <c r="P152" s="62">
        <v>161.66</v>
      </c>
      <c r="Q152" s="62">
        <v>67.489999999999995</v>
      </c>
      <c r="R152" s="62">
        <v>56.09</v>
      </c>
      <c r="S152" s="62">
        <v>146.27000000000001</v>
      </c>
      <c r="T152" s="62">
        <v>48.01</v>
      </c>
      <c r="U152" s="62">
        <v>33.03</v>
      </c>
      <c r="V152" s="62">
        <v>355.08</v>
      </c>
      <c r="W152" s="62">
        <v>161.33000000000001</v>
      </c>
      <c r="X152" s="62">
        <v>54.27</v>
      </c>
      <c r="Y152" s="62">
        <v>55.73</v>
      </c>
      <c r="Z152" s="62">
        <v>353.73</v>
      </c>
      <c r="AA152" s="62">
        <v>70.09</v>
      </c>
    </row>
    <row r="153" spans="1:27" ht="15" customHeight="1" x14ac:dyDescent="0.15">
      <c r="A153" s="65">
        <v>46234</v>
      </c>
      <c r="B153" s="62">
        <v>250.41</v>
      </c>
      <c r="C153" s="62">
        <v>180.35</v>
      </c>
      <c r="D153" s="62">
        <v>1629</v>
      </c>
      <c r="E153" s="62">
        <v>388.57</v>
      </c>
      <c r="F153" s="62">
        <v>190.86</v>
      </c>
      <c r="G153" s="62">
        <v>182.61</v>
      </c>
      <c r="H153" s="62">
        <v>823.03</v>
      </c>
      <c r="I153" s="62">
        <v>200.53</v>
      </c>
      <c r="J153" s="62">
        <v>143.47</v>
      </c>
      <c r="K153" s="62">
        <v>123.06</v>
      </c>
      <c r="L153" s="62">
        <v>403.17</v>
      </c>
      <c r="M153" s="62">
        <v>241.51</v>
      </c>
      <c r="N153" s="62">
        <v>477.1</v>
      </c>
      <c r="O153" s="62">
        <v>124.87</v>
      </c>
      <c r="P153" s="62">
        <v>159.88999999999999</v>
      </c>
      <c r="Q153" s="85">
        <v>68.36</v>
      </c>
      <c r="R153" s="62">
        <v>56.37</v>
      </c>
      <c r="S153" s="62">
        <v>143.6</v>
      </c>
      <c r="T153" s="62">
        <v>49.61</v>
      </c>
      <c r="U153" s="62">
        <v>33.21</v>
      </c>
      <c r="V153" s="62">
        <v>365.45</v>
      </c>
      <c r="W153" s="62">
        <v>161.07</v>
      </c>
      <c r="X153" s="62">
        <v>53.09</v>
      </c>
      <c r="Y153" s="62">
        <v>56.35</v>
      </c>
      <c r="Z153" s="62">
        <v>360.07</v>
      </c>
      <c r="AA153" s="62">
        <v>71.709999999999994</v>
      </c>
    </row>
    <row r="154" spans="1:27" ht="15" customHeight="1" x14ac:dyDescent="0.15">
      <c r="A154" s="65">
        <v>46241</v>
      </c>
      <c r="B154" s="62">
        <v>265.20999999999998</v>
      </c>
      <c r="C154" s="62">
        <v>188.67</v>
      </c>
      <c r="D154" s="62">
        <v>1740.99</v>
      </c>
      <c r="E154" s="62">
        <v>426.98</v>
      </c>
      <c r="F154" s="62">
        <v>214.42</v>
      </c>
      <c r="G154" s="62">
        <v>197.89</v>
      </c>
      <c r="H154" s="62">
        <v>877.57</v>
      </c>
      <c r="I154" s="62">
        <v>223.71</v>
      </c>
      <c r="J154" s="62">
        <v>139.06</v>
      </c>
      <c r="K154" s="62">
        <v>172.01</v>
      </c>
      <c r="L154" s="62">
        <v>418.92</v>
      </c>
      <c r="M154" s="62">
        <v>272.33</v>
      </c>
      <c r="N154" s="62">
        <v>496.07</v>
      </c>
      <c r="O154" s="62">
        <v>126.47</v>
      </c>
      <c r="P154" s="62">
        <v>160.58000000000001</v>
      </c>
      <c r="Q154" s="62">
        <v>69.77</v>
      </c>
      <c r="R154" s="62">
        <v>58.52</v>
      </c>
      <c r="S154" s="62">
        <v>149.44999999999999</v>
      </c>
      <c r="T154" s="62">
        <v>51.36</v>
      </c>
      <c r="U154" s="62">
        <v>33.630000000000003</v>
      </c>
      <c r="V154" s="62">
        <v>361.83</v>
      </c>
      <c r="W154" s="62">
        <v>164.72</v>
      </c>
      <c r="X154" s="62">
        <v>51.7</v>
      </c>
      <c r="Y154" s="62">
        <v>56.86</v>
      </c>
      <c r="Z154" s="62">
        <v>370.08</v>
      </c>
      <c r="AA154" s="62">
        <v>74.14</v>
      </c>
    </row>
    <row r="155" spans="1:27" ht="15" customHeight="1" x14ac:dyDescent="0.15">
      <c r="A155" s="65">
        <v>46248</v>
      </c>
      <c r="B155" s="62">
        <v>264.02</v>
      </c>
      <c r="C155" s="62">
        <v>198.82</v>
      </c>
      <c r="D155" s="62">
        <v>1844.08</v>
      </c>
      <c r="E155" s="62">
        <v>392.28</v>
      </c>
      <c r="F155" s="62">
        <v>216.95</v>
      </c>
      <c r="G155" s="62">
        <v>203.49</v>
      </c>
      <c r="H155" s="62">
        <v>971.66</v>
      </c>
      <c r="I155" s="62">
        <v>224.91</v>
      </c>
      <c r="J155" s="62">
        <v>139.91999999999999</v>
      </c>
      <c r="K155" s="62">
        <v>174.04</v>
      </c>
      <c r="L155" s="62">
        <v>425.21</v>
      </c>
      <c r="M155" s="62">
        <v>293.77</v>
      </c>
      <c r="N155" s="62">
        <v>505.75</v>
      </c>
      <c r="O155" s="62">
        <v>128.31</v>
      </c>
      <c r="P155" s="62">
        <v>164.15</v>
      </c>
      <c r="Q155" s="85">
        <v>70.06</v>
      </c>
      <c r="R155" s="62">
        <v>59.29</v>
      </c>
      <c r="S155" s="62">
        <v>153.06</v>
      </c>
      <c r="T155" s="62">
        <v>53.6</v>
      </c>
      <c r="U155" s="62">
        <v>34.25</v>
      </c>
      <c r="V155" s="62">
        <v>364.15</v>
      </c>
      <c r="W155" s="62">
        <v>165.6</v>
      </c>
      <c r="X155" s="62">
        <v>53.75</v>
      </c>
      <c r="Y155" s="62">
        <v>57.3</v>
      </c>
      <c r="Z155" s="62">
        <v>368.38</v>
      </c>
      <c r="AA155" s="62">
        <v>78.16</v>
      </c>
    </row>
    <row r="156" spans="1:27" ht="15" customHeight="1" x14ac:dyDescent="0.15">
      <c r="A156" s="65">
        <v>46255</v>
      </c>
      <c r="B156" s="62">
        <v>275.3</v>
      </c>
      <c r="C156" s="62">
        <v>188.65</v>
      </c>
      <c r="D156" s="62">
        <v>1763.76</v>
      </c>
      <c r="E156" s="62">
        <v>367.78</v>
      </c>
      <c r="F156" s="62">
        <v>191.95</v>
      </c>
      <c r="G156" s="62">
        <v>183.99</v>
      </c>
      <c r="H156" s="62">
        <v>966.78</v>
      </c>
      <c r="I156" s="62">
        <v>214.48</v>
      </c>
      <c r="J156" s="62">
        <v>140.68</v>
      </c>
      <c r="K156" s="62">
        <v>179.94</v>
      </c>
      <c r="L156" s="62">
        <v>417.83</v>
      </c>
      <c r="M156" s="62">
        <v>261.89</v>
      </c>
      <c r="N156" s="62">
        <v>548.04999999999995</v>
      </c>
      <c r="O156" s="62">
        <v>126.04</v>
      </c>
      <c r="P156" s="62">
        <v>162.75</v>
      </c>
      <c r="Q156" s="62">
        <v>69.319999999999993</v>
      </c>
      <c r="R156" s="62">
        <v>58.61</v>
      </c>
      <c r="S156" s="62">
        <v>148.49</v>
      </c>
      <c r="T156" s="62">
        <v>55.34</v>
      </c>
      <c r="U156" s="62">
        <v>34.83</v>
      </c>
      <c r="V156" s="62">
        <v>371.04</v>
      </c>
      <c r="W156" s="62">
        <v>164.06</v>
      </c>
      <c r="X156" s="62">
        <v>53.23</v>
      </c>
      <c r="Y156" s="62">
        <v>57.2</v>
      </c>
      <c r="Z156" s="62">
        <v>348.37</v>
      </c>
      <c r="AA156" s="62">
        <v>79.59</v>
      </c>
    </row>
    <row r="157" spans="1:27" ht="15" customHeight="1" x14ac:dyDescent="0.15">
      <c r="A157" s="65">
        <v>46262</v>
      </c>
      <c r="B157" s="62">
        <v>291.52</v>
      </c>
      <c r="C157" s="62">
        <v>195.38</v>
      </c>
      <c r="D157" s="62">
        <v>1696.16</v>
      </c>
      <c r="E157" s="62">
        <v>368.12</v>
      </c>
      <c r="F157" s="62">
        <v>218.4</v>
      </c>
      <c r="G157" s="62">
        <v>175.54</v>
      </c>
      <c r="H157" s="62">
        <v>932.86</v>
      </c>
      <c r="I157" s="62">
        <v>217.31</v>
      </c>
      <c r="J157" s="62">
        <v>139.59</v>
      </c>
      <c r="K157" s="62">
        <v>186.29</v>
      </c>
      <c r="L157" s="62">
        <v>416.4</v>
      </c>
      <c r="M157" s="62">
        <v>257.02</v>
      </c>
      <c r="N157" s="62">
        <v>541.69000000000005</v>
      </c>
      <c r="O157" s="62">
        <v>125.16</v>
      </c>
      <c r="P157" s="62">
        <v>162.46</v>
      </c>
      <c r="Q157" s="62">
        <v>69.599999999999994</v>
      </c>
      <c r="R157" s="62">
        <v>58.92</v>
      </c>
      <c r="S157" s="62">
        <v>146.54</v>
      </c>
      <c r="T157" s="62">
        <v>55.55</v>
      </c>
      <c r="U157" s="62">
        <v>34.619999999999997</v>
      </c>
      <c r="V157" s="62">
        <v>381.6</v>
      </c>
      <c r="W157" s="62">
        <v>163.34</v>
      </c>
      <c r="X157" s="62">
        <v>53.64</v>
      </c>
      <c r="Y157" s="62">
        <v>57.07</v>
      </c>
      <c r="Z157" s="62">
        <v>342.58</v>
      </c>
      <c r="AA157" s="62">
        <v>81.72</v>
      </c>
    </row>
    <row r="158" spans="1:27" ht="15" customHeight="1" x14ac:dyDescent="0.15">
      <c r="A158" s="65">
        <v>46269</v>
      </c>
      <c r="B158" s="62">
        <v>266.51</v>
      </c>
      <c r="C158" s="62">
        <v>193.78</v>
      </c>
      <c r="D158" s="62">
        <v>1714.88</v>
      </c>
      <c r="E158" s="62">
        <v>357.25</v>
      </c>
      <c r="F158" s="62">
        <v>213.1</v>
      </c>
      <c r="G158" s="62">
        <v>185.6</v>
      </c>
      <c r="H158" s="62">
        <v>1016.59</v>
      </c>
      <c r="I158" s="62">
        <v>230.1</v>
      </c>
      <c r="J158" s="62">
        <v>136.26</v>
      </c>
      <c r="K158" s="62">
        <v>174.33</v>
      </c>
      <c r="L158" s="62">
        <v>427.76</v>
      </c>
      <c r="M158" s="62">
        <v>280.45999999999998</v>
      </c>
      <c r="N158" s="62">
        <v>546.12</v>
      </c>
      <c r="O158" s="62">
        <v>126.52</v>
      </c>
      <c r="P158" s="62">
        <v>162.91</v>
      </c>
      <c r="Q158" s="62">
        <v>69.63</v>
      </c>
      <c r="R158" s="62">
        <v>59.32</v>
      </c>
      <c r="S158" s="62">
        <v>149.47999999999999</v>
      </c>
      <c r="T158" s="62">
        <v>55.18</v>
      </c>
      <c r="U158" s="62">
        <v>34.520000000000003</v>
      </c>
      <c r="V158" s="62">
        <v>375.07</v>
      </c>
      <c r="W158" s="62">
        <v>163.32</v>
      </c>
      <c r="X158" s="62">
        <v>53.99</v>
      </c>
      <c r="Y158" s="62">
        <v>56.87</v>
      </c>
      <c r="Z158" s="62">
        <v>337.12</v>
      </c>
      <c r="AA158" s="62">
        <v>78.25</v>
      </c>
    </row>
    <row r="159" spans="1:27" ht="15" customHeight="1" x14ac:dyDescent="0.15">
      <c r="A159" s="65">
        <v>46276</v>
      </c>
      <c r="B159" s="62">
        <v>252.23</v>
      </c>
      <c r="C159" s="62">
        <v>199.59</v>
      </c>
      <c r="D159" s="62">
        <v>1698.3</v>
      </c>
      <c r="E159" s="62">
        <v>361.33</v>
      </c>
      <c r="F159" s="62">
        <v>206.74</v>
      </c>
      <c r="G159" s="62">
        <v>180.64</v>
      </c>
      <c r="H159" s="62">
        <v>975.26</v>
      </c>
      <c r="I159" s="62">
        <v>218.29</v>
      </c>
      <c r="J159" s="62">
        <v>134.68</v>
      </c>
      <c r="K159" s="62">
        <v>167.23</v>
      </c>
      <c r="L159" s="62">
        <v>432.08</v>
      </c>
      <c r="M159" s="62">
        <v>257</v>
      </c>
      <c r="N159" s="62">
        <v>515.44000000000005</v>
      </c>
      <c r="O159" s="62">
        <v>124.5</v>
      </c>
      <c r="P159" s="62">
        <v>161.03</v>
      </c>
      <c r="Q159" s="62">
        <v>69.150000000000006</v>
      </c>
      <c r="R159" s="62">
        <v>59.23</v>
      </c>
      <c r="S159" s="62">
        <v>148.07</v>
      </c>
      <c r="T159" s="62">
        <v>53.88</v>
      </c>
      <c r="U159" s="62">
        <v>33.85</v>
      </c>
      <c r="V159" s="62">
        <v>370.45</v>
      </c>
      <c r="W159" s="62">
        <v>162.02000000000001</v>
      </c>
      <c r="X159" s="62">
        <v>53.36</v>
      </c>
      <c r="Y159" s="62">
        <v>56.31</v>
      </c>
      <c r="Z159" s="62">
        <v>323.66000000000003</v>
      </c>
      <c r="AA159" s="62">
        <v>77.400000000000006</v>
      </c>
    </row>
    <row r="160" spans="1:27" ht="15" customHeight="1" x14ac:dyDescent="0.15">
      <c r="A160" s="65">
        <v>46283</v>
      </c>
      <c r="B160" s="62">
        <v>248.92</v>
      </c>
      <c r="C160" s="62">
        <v>199.39</v>
      </c>
      <c r="D160" s="62">
        <v>1679.92</v>
      </c>
      <c r="E160" s="62">
        <v>356.96</v>
      </c>
      <c r="F160" s="62">
        <v>237.65</v>
      </c>
      <c r="G160" s="62">
        <v>176.99</v>
      </c>
      <c r="H160" s="62">
        <v>1015.8</v>
      </c>
      <c r="I160" s="62">
        <v>222.27</v>
      </c>
      <c r="J160" s="62">
        <v>134.84</v>
      </c>
      <c r="K160" s="62">
        <v>177.64</v>
      </c>
      <c r="L160" s="62">
        <v>434.67</v>
      </c>
      <c r="M160" s="62">
        <v>249.39</v>
      </c>
      <c r="N160" s="62">
        <v>508.34</v>
      </c>
      <c r="O160" s="62">
        <v>121.96</v>
      </c>
      <c r="P160" s="62">
        <v>158.24</v>
      </c>
      <c r="Q160" s="62">
        <v>68.989999999999995</v>
      </c>
      <c r="R160" s="62">
        <v>59.68</v>
      </c>
      <c r="S160" s="62">
        <v>148.97</v>
      </c>
      <c r="T160" s="62">
        <v>53</v>
      </c>
      <c r="U160" s="62">
        <v>33.409999999999997</v>
      </c>
      <c r="V160" s="62">
        <v>368.29</v>
      </c>
      <c r="W160" s="62">
        <v>159.26</v>
      </c>
      <c r="X160" s="62">
        <v>52.81</v>
      </c>
      <c r="Y160" s="62">
        <v>55.9</v>
      </c>
      <c r="Z160" s="62">
        <v>314.27</v>
      </c>
      <c r="AA160" s="62">
        <v>71.790000000000006</v>
      </c>
    </row>
    <row r="161" spans="1:27" ht="15" customHeight="1" x14ac:dyDescent="0.15">
      <c r="A161" s="65">
        <v>46290</v>
      </c>
      <c r="B161" s="62">
        <v>235.47</v>
      </c>
      <c r="C161" s="62">
        <v>206.55</v>
      </c>
      <c r="D161" s="62">
        <v>1743.94</v>
      </c>
      <c r="E161" s="62">
        <v>352.81</v>
      </c>
      <c r="F161" s="62">
        <v>252.13</v>
      </c>
      <c r="G161" s="62">
        <v>187.92</v>
      </c>
      <c r="H161" s="62">
        <v>1082.28</v>
      </c>
      <c r="I161" s="62">
        <v>225.07</v>
      </c>
      <c r="J161" s="62">
        <v>133.05000000000001</v>
      </c>
      <c r="K161" s="62">
        <v>189.67</v>
      </c>
      <c r="L161" s="62">
        <v>450.61</v>
      </c>
      <c r="M161" s="62">
        <v>253.28</v>
      </c>
      <c r="N161" s="62">
        <v>526.19000000000005</v>
      </c>
      <c r="O161" s="62">
        <v>120.41</v>
      </c>
      <c r="P161" s="62">
        <v>154.72999999999999</v>
      </c>
      <c r="Q161" s="62">
        <v>69.58</v>
      </c>
      <c r="R161" s="62">
        <v>60.67</v>
      </c>
      <c r="S161" s="62">
        <v>152.91999999999999</v>
      </c>
      <c r="T161" s="62">
        <v>51.6</v>
      </c>
      <c r="U161" s="62">
        <v>33.21</v>
      </c>
      <c r="V161" s="62">
        <v>367.38</v>
      </c>
      <c r="W161" s="62">
        <v>157.68</v>
      </c>
      <c r="X161" s="62">
        <v>51.1</v>
      </c>
      <c r="Y161" s="62">
        <v>56.42</v>
      </c>
      <c r="Z161" s="62">
        <v>327.08999999999997</v>
      </c>
      <c r="AA161" s="62">
        <v>71.150000000000006</v>
      </c>
    </row>
    <row r="162" spans="1:27" ht="15" customHeight="1" x14ac:dyDescent="0.15">
      <c r="A162" s="65">
        <v>46297</v>
      </c>
      <c r="B162" s="62">
        <v>237.69</v>
      </c>
      <c r="C162" s="62">
        <v>207.35</v>
      </c>
      <c r="D162" s="62">
        <v>1867.31</v>
      </c>
      <c r="E162" s="62">
        <v>355.14</v>
      </c>
      <c r="F162" s="62">
        <v>270.04000000000002</v>
      </c>
      <c r="G162" s="62">
        <v>206.89</v>
      </c>
      <c r="H162" s="62">
        <v>1074.8900000000001</v>
      </c>
      <c r="I162" s="62">
        <v>233.95</v>
      </c>
      <c r="J162" s="62">
        <v>128.91</v>
      </c>
      <c r="K162" s="62">
        <v>188.75</v>
      </c>
      <c r="L162" s="62">
        <v>472.78</v>
      </c>
      <c r="M162" s="62">
        <v>252.18</v>
      </c>
      <c r="N162" s="62">
        <v>504.73</v>
      </c>
      <c r="O162" s="62">
        <v>120.03</v>
      </c>
      <c r="P162" s="62">
        <v>153.05000000000001</v>
      </c>
      <c r="Q162" s="62">
        <v>69.42</v>
      </c>
      <c r="R162" s="62">
        <v>61.04</v>
      </c>
      <c r="S162" s="62">
        <v>153.22999999999999</v>
      </c>
      <c r="T162" s="62">
        <v>51.82</v>
      </c>
      <c r="U162" s="62">
        <v>32.72</v>
      </c>
      <c r="V162" s="62">
        <v>360.66</v>
      </c>
      <c r="W162" s="62">
        <v>156.46</v>
      </c>
      <c r="X162" s="62">
        <v>51.17</v>
      </c>
      <c r="Y162" s="62">
        <v>56.1</v>
      </c>
      <c r="Z162" s="62">
        <v>309.56</v>
      </c>
      <c r="AA162" s="62">
        <v>67.06</v>
      </c>
    </row>
    <row r="163" spans="1:27" ht="15" customHeight="1" x14ac:dyDescent="0.15">
      <c r="A163" s="65"/>
      <c r="B163" s="62"/>
      <c r="C163" s="62"/>
      <c r="D163" s="62"/>
      <c r="E163" s="62"/>
      <c r="F163" s="62"/>
      <c r="G163" s="62"/>
      <c r="H163" s="62"/>
      <c r="I163" s="62"/>
      <c r="J163" s="62"/>
      <c r="K163" s="62"/>
      <c r="L163" s="62"/>
      <c r="M163" s="62"/>
      <c r="N163" s="62"/>
      <c r="O163" s="62"/>
      <c r="P163" s="62"/>
      <c r="Q163" s="62"/>
      <c r="R163" s="62"/>
      <c r="S163" s="62"/>
      <c r="T163" s="62"/>
      <c r="U163" s="62"/>
      <c r="V163" s="62"/>
      <c r="W163" s="62"/>
      <c r="X163" s="62"/>
      <c r="Y163" s="62"/>
      <c r="Z163" s="62"/>
      <c r="AA163" s="62"/>
    </row>
    <row r="164" spans="1:27" ht="15" customHeight="1" x14ac:dyDescent="0.15"/>
    <row r="165" spans="1:27" ht="15" customHeight="1" x14ac:dyDescent="0.2">
      <c r="A165" s="86">
        <f>COUNT(A3:A163)</f>
        <v>160</v>
      </c>
      <c r="B165" s="86" t="s">
        <v>286</v>
      </c>
    </row>
  </sheetData>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2"/>
  <sheetViews>
    <sheetView showGridLines="0" zoomScaleNormal="100" workbookViewId="0">
      <pane ySplit="1" topLeftCell="A15" activePane="bottomLeft" state="frozen"/>
      <selection pane="bottomLeft" activeCell="Q34" sqref="Q34"/>
    </sheetView>
  </sheetViews>
  <sheetFormatPr baseColWidth="10" defaultColWidth="8.6640625" defaultRowHeight="15" outlineLevelRow="1" x14ac:dyDescent="0.2"/>
  <cols>
    <col min="1" max="1" width="10" customWidth="1"/>
    <col min="2" max="2" width="18" customWidth="1"/>
    <col min="3" max="3" width="12" customWidth="1"/>
    <col min="5" max="5" width="10.1640625" customWidth="1"/>
    <col min="6" max="6" width="13" customWidth="1"/>
    <col min="7" max="8" width="9" customWidth="1"/>
    <col min="9" max="9" width="7.33203125" customWidth="1"/>
    <col min="10" max="10" width="8" customWidth="1"/>
  </cols>
  <sheetData>
    <row r="1" spans="1:10" ht="31.5" customHeight="1" x14ac:dyDescent="0.2">
      <c r="A1" s="87" t="s">
        <v>81</v>
      </c>
      <c r="B1" s="87" t="s">
        <v>287</v>
      </c>
      <c r="C1" s="87" t="s">
        <v>288</v>
      </c>
      <c r="D1" s="88" t="s">
        <v>289</v>
      </c>
      <c r="E1" s="88" t="s">
        <v>290</v>
      </c>
      <c r="F1" s="87" t="s">
        <v>291</v>
      </c>
      <c r="G1" s="87" t="s">
        <v>292</v>
      </c>
      <c r="H1" s="87" t="s">
        <v>293</v>
      </c>
      <c r="I1" s="87" t="s">
        <v>294</v>
      </c>
      <c r="J1" s="87" t="s">
        <v>295</v>
      </c>
    </row>
    <row r="2" spans="1:10" ht="15" customHeight="1" x14ac:dyDescent="0.2">
      <c r="A2" s="89" t="str">
        <f>IF(Scoring!A3="","",Scoring!A3)</f>
        <v>MU</v>
      </c>
      <c r="B2" s="90" t="str">
        <f>IF(Scoring!B3="","",Scoring!B3)</f>
        <v>Micron Technology</v>
      </c>
      <c r="C2" s="91">
        <f>IF(Scoring!C3="","",Scoring!C3)</f>
        <v>46295</v>
      </c>
      <c r="D2" s="92">
        <f>IF(Scoring!N3="","",Scoring!N3)</f>
        <v>3.3571428571428577</v>
      </c>
      <c r="E2" s="93">
        <f>IF(Scoring!AF3="","",Scoring!AF3)</f>
        <v>67.8</v>
      </c>
      <c r="F2" s="61" t="str">
        <f>IF(Scoring!AG3&lt;&gt;"",Scoring!AG3,IF(Scoring!AH3="OK","PENDING",""))</f>
        <v>BUY</v>
      </c>
      <c r="G2" s="61" t="str">
        <f>IF(Scoring!AH3="","",Scoring!AH3)</f>
        <v>OK</v>
      </c>
      <c r="H2" s="61" t="str">
        <f>IF(Scoring!AI3="","",Scoring!AI3)</f>
        <v>OK</v>
      </c>
      <c r="I2" s="61" t="str">
        <f>IF(Scoring!AJ3="","",Scoring!AJ3)</f>
        <v>OK</v>
      </c>
      <c r="J2" s="61" t="str">
        <f>IF(Scoring!AK3="","",Scoring!AK3)</f>
        <v>OK</v>
      </c>
    </row>
    <row r="3" spans="1:10" ht="15" customHeight="1" x14ac:dyDescent="0.2">
      <c r="A3" s="89" t="str">
        <f>IF(Scoring!A4="","",Scoring!A4)</f>
        <v>AVGO</v>
      </c>
      <c r="B3" s="90" t="str">
        <f>IF(Scoring!B4="","",Scoring!B4)</f>
        <v>Broadcom Inc.</v>
      </c>
      <c r="C3" s="91">
        <f>IF(Scoring!C4="","",Scoring!C4)</f>
        <v>46295</v>
      </c>
      <c r="D3" s="92">
        <f>IF(Scoring!N4="","",Scoring!N4)</f>
        <v>3.1428571428571432</v>
      </c>
      <c r="E3" s="93">
        <f>IF(Scoring!AF4="","",Scoring!AF4)</f>
        <v>67.8</v>
      </c>
      <c r="F3" s="61" t="str">
        <f>IF(Scoring!AG4&lt;&gt;"",Scoring!AG4,IF(Scoring!AH4="OK","PENDING",""))</f>
        <v>AVOID</v>
      </c>
      <c r="G3" s="61" t="str">
        <f>IF(Scoring!AH4="","",Scoring!AH4)</f>
        <v>OK</v>
      </c>
      <c r="H3" s="61" t="str">
        <f>IF(Scoring!AI4="","",Scoring!AI4)</f>
        <v>OK</v>
      </c>
      <c r="I3" s="61" t="str">
        <f>IF(Scoring!AJ4="","",Scoring!AJ4)</f>
        <v>AVOID</v>
      </c>
      <c r="J3" s="61" t="str">
        <f>IF(Scoring!AK4="","",Scoring!AK4)</f>
        <v>OK</v>
      </c>
    </row>
    <row r="4" spans="1:10" ht="15" customHeight="1" x14ac:dyDescent="0.2">
      <c r="A4" s="89" t="str">
        <f>IF(Scoring!A5="","",Scoring!A5)</f>
        <v>PLTR</v>
      </c>
      <c r="B4" s="90" t="str">
        <f>IF(Scoring!B5="","",Scoring!B5)</f>
        <v>Palantir Technologies</v>
      </c>
      <c r="C4" s="91">
        <f>IF(Scoring!C5="","",Scoring!C5)</f>
        <v>46295</v>
      </c>
      <c r="D4" s="92">
        <f>IF(Scoring!N5="","",Scoring!N5)</f>
        <v>4.0714285714285721</v>
      </c>
      <c r="E4" s="93">
        <f>IF(Scoring!AF5="","",Scoring!AF5)</f>
        <v>76.2</v>
      </c>
      <c r="F4" s="61" t="str">
        <f>IF(Scoring!AG5&lt;&gt;"",Scoring!AG5,IF(Scoring!AH5="OK","PENDING",""))</f>
        <v>BUY</v>
      </c>
      <c r="G4" s="61" t="str">
        <f>IF(Scoring!AH5="","",Scoring!AH5)</f>
        <v>OK</v>
      </c>
      <c r="H4" s="61" t="str">
        <f>IF(Scoring!AI5="","",Scoring!AI5)</f>
        <v>OK</v>
      </c>
      <c r="I4" s="61" t="str">
        <f>IF(Scoring!AJ5="","",Scoring!AJ5)</f>
        <v>OK</v>
      </c>
      <c r="J4" s="61" t="str">
        <f>IF(Scoring!AK5="","",Scoring!AK5)</f>
        <v>OK</v>
      </c>
    </row>
    <row r="5" spans="1:10" ht="15" customHeight="1" x14ac:dyDescent="0.2">
      <c r="A5" s="89" t="str">
        <f>IF(Scoring!A6="","",Scoring!A6)</f>
        <v>NVDA</v>
      </c>
      <c r="B5" s="90" t="str">
        <f>IF(Scoring!B6="","",Scoring!B6)</f>
        <v>NVIDIA Corporation</v>
      </c>
      <c r="C5" s="91">
        <f>IF(Scoring!C6="","",Scoring!C6)</f>
        <v>46295</v>
      </c>
      <c r="D5" s="92">
        <f>IF(Scoring!N6="","",Scoring!N6)</f>
        <v>4.2857142857142856</v>
      </c>
      <c r="E5" s="93">
        <f>IF(Scoring!AF6="","",Scoring!AF6)</f>
        <v>89.2</v>
      </c>
      <c r="F5" s="61" t="str">
        <f>IF(Scoring!AG6&lt;&gt;"",Scoring!AG6,IF(Scoring!AH6="OK","PENDING",""))</f>
        <v>STRONG BUY</v>
      </c>
      <c r="G5" s="61" t="str">
        <f>IF(Scoring!AH6="","",Scoring!AH6)</f>
        <v>OK</v>
      </c>
      <c r="H5" s="61" t="str">
        <f>IF(Scoring!AI6="","",Scoring!AI6)</f>
        <v>OK</v>
      </c>
      <c r="I5" s="61" t="str">
        <f>IF(Scoring!AJ6="","",Scoring!AJ6)</f>
        <v>OK</v>
      </c>
      <c r="J5" s="61" t="str">
        <f>IF(Scoring!AK6="","",Scoring!AK6)</f>
        <v>OK</v>
      </c>
    </row>
    <row r="6" spans="1:10" ht="15" customHeight="1" x14ac:dyDescent="0.2">
      <c r="A6" s="89" t="str">
        <f>IF(Scoring!A7="","",Scoring!A7)</f>
        <v>VRTX</v>
      </c>
      <c r="B6" s="90" t="str">
        <f>IF(Scoring!B7="","",Scoring!B7)</f>
        <v>Vertex Pharmaceuticals</v>
      </c>
      <c r="C6" s="91">
        <f>IF(Scoring!C7="","",Scoring!C7)</f>
        <v>46295</v>
      </c>
      <c r="D6" s="92">
        <f>IF(Scoring!N7="","",Scoring!N7)</f>
        <v>3.1428571428571432</v>
      </c>
      <c r="E6" s="93">
        <f>IF(Scoring!AF7="","",Scoring!AF7)</f>
        <v>66.599999999999994</v>
      </c>
      <c r="F6" s="61" t="str">
        <f>IF(Scoring!AG7&lt;&gt;"",Scoring!AG7,IF(Scoring!AH7="OK","PENDING",""))</f>
        <v>AVOID</v>
      </c>
      <c r="G6" s="61" t="str">
        <f>IF(Scoring!AH7="","",Scoring!AH7)</f>
        <v>OK</v>
      </c>
      <c r="H6" s="61" t="str">
        <f>IF(Scoring!AI7="","",Scoring!AI7)</f>
        <v>OK</v>
      </c>
      <c r="I6" s="61" t="str">
        <f>IF(Scoring!AJ7="","",Scoring!AJ7)</f>
        <v>AVOID</v>
      </c>
      <c r="J6" s="61" t="str">
        <f>IF(Scoring!AK7="","",Scoring!AK7)</f>
        <v>OK</v>
      </c>
    </row>
    <row r="7" spans="1:10" ht="15" customHeight="1" x14ac:dyDescent="0.2">
      <c r="A7" s="89" t="str">
        <f>IF(Scoring!A8="","",Scoring!A8)</f>
        <v>PLD</v>
      </c>
      <c r="B7" s="90" t="str">
        <f>IF(Scoring!B8="","",Scoring!B8)</f>
        <v>Prologis Inc. (REIT-adapted)</v>
      </c>
      <c r="C7" s="91">
        <f>IF(Scoring!C8="","",Scoring!C8)</f>
        <v>46295</v>
      </c>
      <c r="D7" s="92">
        <f>IF(Scoring!N8="","",Scoring!N8)</f>
        <v>3.9285714285714288</v>
      </c>
      <c r="E7" s="93">
        <f>IF(Scoring!AF8="","",Scoring!AF8)</f>
        <v>76</v>
      </c>
      <c r="F7" s="61" t="str">
        <f>IF(Scoring!AG8&lt;&gt;"",Scoring!AG8,IF(Scoring!AH8="OK","PENDING",""))</f>
        <v>BUY</v>
      </c>
      <c r="G7" s="61" t="str">
        <f>IF(Scoring!AH8="","",Scoring!AH8)</f>
        <v>OK</v>
      </c>
      <c r="H7" s="61" t="str">
        <f>IF(Scoring!AI8="","",Scoring!AI8)</f>
        <v>OK</v>
      </c>
      <c r="I7" s="61" t="str">
        <f>IF(Scoring!AJ8="","",Scoring!AJ8)</f>
        <v>OK</v>
      </c>
      <c r="J7" s="61" t="str">
        <f>IF(Scoring!AK8="","",Scoring!AK8)</f>
        <v>OK</v>
      </c>
    </row>
    <row r="8" spans="1:10" ht="15" customHeight="1" outlineLevel="1" x14ac:dyDescent="0.2">
      <c r="A8" s="89" t="str">
        <f>IF(Scoring!A9="","",Scoring!A9)</f>
        <v>SFM</v>
      </c>
      <c r="B8" s="90" t="str">
        <f>IF(Scoring!B9="","",Scoring!B9)</f>
        <v>Sprouts Farmers Market</v>
      </c>
      <c r="C8" s="91">
        <f>IF(Scoring!C9="","",Scoring!C9)</f>
        <v>46240</v>
      </c>
      <c r="D8" s="92">
        <f>IF(Scoring!N9="","",Scoring!N9)</f>
        <v>1.8571428571428574</v>
      </c>
      <c r="E8" s="93" t="str">
        <f>IF(Scoring!AF9="","",Scoring!AF9)</f>
        <v/>
      </c>
      <c r="F8" s="61" t="str">
        <f>IF(Scoring!AG9&lt;&gt;"",Scoring!AG9,IF(Scoring!AH9="OK","PENDING",""))</f>
        <v/>
      </c>
      <c r="G8" s="61" t="str">
        <f>IF(Scoring!AH9="","",Scoring!AH9)</f>
        <v>FAIL</v>
      </c>
      <c r="H8" s="61" t="str">
        <f>IF(Scoring!AI9="","",Scoring!AI9)</f>
        <v>REVIEW</v>
      </c>
      <c r="I8" s="61" t="str">
        <f>IF(Scoring!AJ9="","",Scoring!AJ9)</f>
        <v>AVOID</v>
      </c>
      <c r="J8" s="61" t="str">
        <f>IF(Scoring!AK9="","",Scoring!AK9)</f>
        <v>OK</v>
      </c>
    </row>
    <row r="9" spans="1:10" ht="15" customHeight="1" outlineLevel="1" x14ac:dyDescent="0.2">
      <c r="A9" s="89" t="str">
        <f>IF(Scoring!A10="","",Scoring!A10)</f>
        <v>ONON</v>
      </c>
      <c r="B9" s="90" t="str">
        <f>IF(Scoring!B10="","",Scoring!B10)</f>
        <v>On Holding AG</v>
      </c>
      <c r="C9" s="91">
        <f>IF(Scoring!C10="","",Scoring!C10)</f>
        <v>46240</v>
      </c>
      <c r="D9" s="92">
        <f>IF(Scoring!N10="","",Scoring!N10)</f>
        <v>2.6428571428571428</v>
      </c>
      <c r="E9" s="93" t="str">
        <f>IF(Scoring!AF10="","",Scoring!AF10)</f>
        <v/>
      </c>
      <c r="F9" s="61" t="str">
        <f>IF(Scoring!AG10&lt;&gt;"",Scoring!AG10,IF(Scoring!AH10="OK","PENDING",""))</f>
        <v/>
      </c>
      <c r="G9" s="61" t="str">
        <f>IF(Scoring!AH10="","",Scoring!AH10)</f>
        <v>FAIL</v>
      </c>
      <c r="H9" s="61" t="str">
        <f>IF(Scoring!AI10="","",Scoring!AI10)</f>
        <v>OK</v>
      </c>
      <c r="I9" s="61" t="str">
        <f>IF(Scoring!AJ10="","",Scoring!AJ10)</f>
        <v>AVOID</v>
      </c>
      <c r="J9" s="61" t="str">
        <f>IF(Scoring!AK10="","",Scoring!AK10)</f>
        <v>OK</v>
      </c>
    </row>
    <row r="10" spans="1:10" ht="15" customHeight="1" outlineLevel="1" x14ac:dyDescent="0.2">
      <c r="A10" s="89" t="str">
        <f>IF(Scoring!A11="","",Scoring!A11)</f>
        <v>TSLA</v>
      </c>
      <c r="B10" s="90" t="str">
        <f>IF(Scoring!B11="","",Scoring!B11)</f>
        <v>Tesla Inc.</v>
      </c>
      <c r="C10" s="91">
        <f>IF(Scoring!C11="","",Scoring!C11)</f>
        <v>46240</v>
      </c>
      <c r="D10" s="92">
        <f>IF(Scoring!N11="","",Scoring!N11)</f>
        <v>1.9285714285714288</v>
      </c>
      <c r="E10" s="93" t="str">
        <f>IF(Scoring!AF11="","",Scoring!AF11)</f>
        <v/>
      </c>
      <c r="F10" s="61" t="str">
        <f>IF(Scoring!AG11&lt;&gt;"",Scoring!AG11,IF(Scoring!AH11="OK","PENDING",""))</f>
        <v/>
      </c>
      <c r="G10" s="61" t="str">
        <f>IF(Scoring!AH11="","",Scoring!AH11)</f>
        <v>FAIL</v>
      </c>
      <c r="H10" s="61" t="str">
        <f>IF(Scoring!AI11="","",Scoring!AI11)</f>
        <v>REVIEW</v>
      </c>
      <c r="I10" s="61" t="str">
        <f>IF(Scoring!AJ11="","",Scoring!AJ11)</f>
        <v>AVOID</v>
      </c>
      <c r="J10" s="61" t="str">
        <f>IF(Scoring!AK11="","",Scoring!AK11)</f>
        <v>OK</v>
      </c>
    </row>
    <row r="11" spans="1:10" ht="15" customHeight="1" x14ac:dyDescent="0.2">
      <c r="A11" s="89" t="str">
        <f>IF(Scoring!A12="","",Scoring!A12)</f>
        <v>ADBE</v>
      </c>
      <c r="B11" s="90" t="str">
        <f>IF(Scoring!B12="","",Scoring!B12)</f>
        <v>Adobe Inc.</v>
      </c>
      <c r="C11" s="91">
        <f>IF(Scoring!C12="","",Scoring!C12)</f>
        <v>46295</v>
      </c>
      <c r="D11" s="92">
        <f>IF(Scoring!N12="","",Scoring!N12)</f>
        <v>4.5714285714285721</v>
      </c>
      <c r="E11" s="93">
        <f>IF(Scoring!AF12="","",Scoring!AF12)</f>
        <v>85.8</v>
      </c>
      <c r="F11" s="61" t="str">
        <f>IF(Scoring!AG12&lt;&gt;"",Scoring!AG12,IF(Scoring!AH12="OK","PENDING",""))</f>
        <v>STRONG BUY</v>
      </c>
      <c r="G11" s="61" t="str">
        <f>IF(Scoring!AH12="","",Scoring!AH12)</f>
        <v>OK</v>
      </c>
      <c r="H11" s="61" t="str">
        <f>IF(Scoring!AI12="","",Scoring!AI12)</f>
        <v>OK</v>
      </c>
      <c r="I11" s="61" t="str">
        <f>IF(Scoring!AJ12="","",Scoring!AJ12)</f>
        <v>OK</v>
      </c>
      <c r="J11" s="61" t="str">
        <f>IF(Scoring!AK12="","",Scoring!AK12)</f>
        <v>OK</v>
      </c>
    </row>
    <row r="12" spans="1:10" ht="15" customHeight="1" x14ac:dyDescent="0.2">
      <c r="A12" s="89" t="str">
        <f>IF(Scoring!A13="","",Scoring!A13)</f>
        <v>ANET</v>
      </c>
      <c r="B12" s="90" t="str">
        <f>IF(Scoring!B13="","",Scoring!B13)</f>
        <v>Arista Networks</v>
      </c>
      <c r="C12" s="91">
        <f>IF(Scoring!C13="","",Scoring!C13)</f>
        <v>46295</v>
      </c>
      <c r="D12" s="92">
        <f>IF(Scoring!N13="","",Scoring!N13)</f>
        <v>4.2857142857142856</v>
      </c>
      <c r="E12" s="93">
        <f>IF(Scoring!AF13="","",Scoring!AF13)</f>
        <v>81</v>
      </c>
      <c r="F12" s="61" t="str">
        <f>IF(Scoring!AG13&lt;&gt;"",Scoring!AG13,IF(Scoring!AH13="OK","PENDING",""))</f>
        <v>STRONG BUY</v>
      </c>
      <c r="G12" s="61" t="str">
        <f>IF(Scoring!AH13="","",Scoring!AH13)</f>
        <v>OK</v>
      </c>
      <c r="H12" s="61" t="str">
        <f>IF(Scoring!AI13="","",Scoring!AI13)</f>
        <v>OK</v>
      </c>
      <c r="I12" s="61" t="str">
        <f>IF(Scoring!AJ13="","",Scoring!AJ13)</f>
        <v>OK</v>
      </c>
      <c r="J12" s="61" t="str">
        <f>IF(Scoring!AK13="","",Scoring!AK13)</f>
        <v>OK</v>
      </c>
    </row>
    <row r="13" spans="1:10" ht="15" customHeight="1" x14ac:dyDescent="0.2">
      <c r="A13" s="89" t="str">
        <f>IF(Scoring!A14="","",Scoring!A14)</f>
        <v>ASML</v>
      </c>
      <c r="B13" s="90" t="str">
        <f>IF(Scoring!B14="","",Scoring!B14)</f>
        <v>ASML Holding</v>
      </c>
      <c r="C13" s="91">
        <f>IF(Scoring!C14="","",Scoring!C14)</f>
        <v>46295</v>
      </c>
      <c r="D13" s="92">
        <f>IF(Scoring!N14="","",Scoring!N14)</f>
        <v>3.8571428571428577</v>
      </c>
      <c r="E13" s="93">
        <f>IF(Scoring!AF14="","",Scoring!AF14)</f>
        <v>77.2</v>
      </c>
      <c r="F13" s="61" t="str">
        <f>IF(Scoring!AG14&lt;&gt;"",Scoring!AG14,IF(Scoring!AH14="OK","PENDING",""))</f>
        <v>BUY</v>
      </c>
      <c r="G13" s="61" t="str">
        <f>IF(Scoring!AH14="","",Scoring!AH14)</f>
        <v>OK</v>
      </c>
      <c r="H13" s="61" t="str">
        <f>IF(Scoring!AI14="","",Scoring!AI14)</f>
        <v>OK</v>
      </c>
      <c r="I13" s="61" t="str">
        <f>IF(Scoring!AJ14="","",Scoring!AJ14)</f>
        <v>OK</v>
      </c>
      <c r="J13" s="61" t="str">
        <f>IF(Scoring!AK14="","",Scoring!AK14)</f>
        <v>OK</v>
      </c>
    </row>
    <row r="14" spans="1:10" ht="15" customHeight="1" x14ac:dyDescent="0.2">
      <c r="A14" s="89" t="str">
        <f>IF(Scoring!A15="","",Scoring!A15)</f>
        <v>CRWD</v>
      </c>
      <c r="B14" s="90" t="str">
        <f>IF(Scoring!B15="","",Scoring!B15)</f>
        <v>CrowdStrike Holdings</v>
      </c>
      <c r="C14" s="91">
        <f>IF(Scoring!C15="","",Scoring!C15)</f>
        <v>46295</v>
      </c>
      <c r="D14" s="92">
        <f>IF(Scoring!N15="","",Scoring!N15)</f>
        <v>3.5000000000000004</v>
      </c>
      <c r="E14" s="93">
        <f>IF(Scoring!AF15="","",Scoring!AF15)</f>
        <v>63.400000000000006</v>
      </c>
      <c r="F14" s="61" t="str">
        <f>IF(Scoring!AG15&lt;&gt;"",Scoring!AG15,IF(Scoring!AH15="OK","PENDING",""))</f>
        <v>AVOID</v>
      </c>
      <c r="G14" s="61" t="str">
        <f>IF(Scoring!AH15="","",Scoring!AH15)</f>
        <v>OK</v>
      </c>
      <c r="H14" s="61" t="str">
        <f>IF(Scoring!AI15="","",Scoring!AI15)</f>
        <v>OK</v>
      </c>
      <c r="I14" s="61" t="str">
        <f>IF(Scoring!AJ15="","",Scoring!AJ15)</f>
        <v>AVOID</v>
      </c>
      <c r="J14" s="61" t="str">
        <f>IF(Scoring!AK15="","",Scoring!AK15)</f>
        <v>OK</v>
      </c>
    </row>
    <row r="15" spans="1:10" ht="15" customHeight="1" x14ac:dyDescent="0.2">
      <c r="A15" s="89" t="str">
        <f>IF(Scoring!A16="","",Scoring!A16)</f>
        <v>KLAC</v>
      </c>
      <c r="B15" s="90" t="str">
        <f>IF(Scoring!B16="","",Scoring!B16)</f>
        <v>KLA Corporation</v>
      </c>
      <c r="C15" s="91">
        <f>IF(Scoring!C16="","",Scoring!C16)</f>
        <v>46295</v>
      </c>
      <c r="D15" s="92">
        <f>IF(Scoring!N16="","",Scoring!N16)</f>
        <v>3.7142857142857149</v>
      </c>
      <c r="E15" s="93">
        <f>IF(Scoring!AF16="","",Scoring!AF16)</f>
        <v>72.600000000000009</v>
      </c>
      <c r="F15" s="61" t="str">
        <f>IF(Scoring!AG16&lt;&gt;"",Scoring!AG16,IF(Scoring!AH16="OK","PENDING",""))</f>
        <v>BUY</v>
      </c>
      <c r="G15" s="61" t="str">
        <f>IF(Scoring!AH16="","",Scoring!AH16)</f>
        <v>OK</v>
      </c>
      <c r="H15" s="61" t="str">
        <f>IF(Scoring!AI16="","",Scoring!AI16)</f>
        <v>OK</v>
      </c>
      <c r="I15" s="61" t="str">
        <f>IF(Scoring!AJ16="","",Scoring!AJ16)</f>
        <v>OK</v>
      </c>
      <c r="J15" s="61" t="str">
        <f>IF(Scoring!AK16="","",Scoring!AK16)</f>
        <v>OK</v>
      </c>
    </row>
    <row r="16" spans="1:10" ht="15" customHeight="1" x14ac:dyDescent="0.2">
      <c r="A16" s="89" t="str">
        <f>IF(Scoring!A17="","",Scoring!A17)</f>
        <v>TSM</v>
      </c>
      <c r="B16" s="90" t="str">
        <f>IF(Scoring!B17="","",Scoring!B17)</f>
        <v>Taiwan Semiconductor Mfg.</v>
      </c>
      <c r="C16" s="91">
        <f>IF(Scoring!C17="","",Scoring!C17)</f>
        <v>46295</v>
      </c>
      <c r="D16" s="92">
        <f>IF(Scoring!N17="","",Scoring!N17)</f>
        <v>4.2142857142857144</v>
      </c>
      <c r="E16" s="93">
        <f>IF(Scoring!AF17="","",Scoring!AF17)</f>
        <v>84</v>
      </c>
      <c r="F16" s="61" t="str">
        <f>IF(Scoring!AG17&lt;&gt;"",Scoring!AG17,IF(Scoring!AH17="OK","PENDING",""))</f>
        <v>STRONG BUY</v>
      </c>
      <c r="G16" s="61" t="str">
        <f>IF(Scoring!AH17="","",Scoring!AH17)</f>
        <v>OK</v>
      </c>
      <c r="H16" s="61" t="str">
        <f>IF(Scoring!AI17="","",Scoring!AI17)</f>
        <v>OK</v>
      </c>
      <c r="I16" s="61" t="str">
        <f>IF(Scoring!AJ17="","",Scoring!AJ17)</f>
        <v>OK</v>
      </c>
      <c r="J16" s="61" t="str">
        <f>IF(Scoring!AK17="","",Scoring!AK17)</f>
        <v>OK</v>
      </c>
    </row>
    <row r="17" spans="1:10" ht="15" customHeight="1" x14ac:dyDescent="0.2">
      <c r="A17" s="89" t="str">
        <f>IF(Scoring!A18="","",Scoring!A18)</f>
        <v>VRT</v>
      </c>
      <c r="B17" s="90" t="str">
        <f>IF(Scoring!B18="","",Scoring!B18)</f>
        <v>Vertiv Holdings</v>
      </c>
      <c r="C17" s="91">
        <f>IF(Scoring!C18="","",Scoring!C18)</f>
        <v>46295</v>
      </c>
      <c r="D17" s="92">
        <f>IF(Scoring!N18="","",Scoring!N18)</f>
        <v>3.9285714285714288</v>
      </c>
      <c r="E17" s="93">
        <f>IF(Scoring!AF18="","",Scoring!AF18)</f>
        <v>76.8</v>
      </c>
      <c r="F17" s="61" t="str">
        <f>IF(Scoring!AG18&lt;&gt;"",Scoring!AG18,IF(Scoring!AH18="OK","PENDING",""))</f>
        <v>BUY</v>
      </c>
      <c r="G17" s="61" t="str">
        <f>IF(Scoring!AH18="","",Scoring!AH18)</f>
        <v>OK</v>
      </c>
      <c r="H17" s="61" t="str">
        <f>IF(Scoring!AI18="","",Scoring!AI18)</f>
        <v>OK</v>
      </c>
      <c r="I17" s="61" t="str">
        <f>IF(Scoring!AJ18="","",Scoring!AJ18)</f>
        <v>OK</v>
      </c>
      <c r="J17" s="61" t="str">
        <f>IF(Scoring!AK18="","",Scoring!AK18)</f>
        <v>OK</v>
      </c>
    </row>
    <row r="18" spans="1:10" ht="15" customHeight="1" x14ac:dyDescent="0.2">
      <c r="A18" s="89" t="str">
        <f>IF(Scoring!A19="","",Scoring!A19)</f>
        <v>COST</v>
      </c>
      <c r="B18" s="90" t="str">
        <f>IF(Scoring!B19="","",Scoring!B19)</f>
        <v>Costco Wholesale Corp.</v>
      </c>
      <c r="C18" s="91">
        <f>IF(Scoring!C19="","",Scoring!C19)</f>
        <v>46245</v>
      </c>
      <c r="D18" s="92">
        <f>IF(Scoring!N19="","",Scoring!N19)</f>
        <v>4.1428571428571432</v>
      </c>
      <c r="E18" s="93">
        <f>IF(Scoring!AF19="","",Scoring!AF19)</f>
        <v>77.400000000000006</v>
      </c>
      <c r="F18" s="61" t="str">
        <f>IF(Scoring!AG19&lt;&gt;"",Scoring!AG19,IF(Scoring!AH19="OK","PENDING",""))</f>
        <v>BUY</v>
      </c>
      <c r="G18" s="61" t="str">
        <f>IF(Scoring!AH19="","",Scoring!AH19)</f>
        <v>OK</v>
      </c>
      <c r="H18" s="61" t="str">
        <f>IF(Scoring!AI19="","",Scoring!AI19)</f>
        <v>OK</v>
      </c>
      <c r="I18" s="61" t="str">
        <f>IF(Scoring!AJ19="","",Scoring!AJ19)</f>
        <v>OK</v>
      </c>
      <c r="J18" s="61" t="str">
        <f>IF(Scoring!AK19="","",Scoring!AK19)</f>
        <v>OK</v>
      </c>
    </row>
    <row r="19" spans="1:10" ht="15" customHeight="1" x14ac:dyDescent="0.2">
      <c r="A19" s="89" t="str">
        <f>IF(Scoring!A20="","",Scoring!A20)</f>
        <v>V</v>
      </c>
      <c r="B19" s="90" t="str">
        <f>IF(Scoring!B20="","",Scoring!B20)</f>
        <v>Visa Inc.</v>
      </c>
      <c r="C19" s="91">
        <f>IF(Scoring!C20="","",Scoring!C20)</f>
        <v>46295</v>
      </c>
      <c r="D19" s="92">
        <f>IF(Scoring!N20="","",Scoring!N20)</f>
        <v>3.6428571428571437</v>
      </c>
      <c r="E19" s="93">
        <f>IF(Scoring!AF20="","",Scoring!AF20)</f>
        <v>73.400000000000006</v>
      </c>
      <c r="F19" s="61" t="str">
        <f>IF(Scoring!AG20&lt;&gt;"",Scoring!AG20,IF(Scoring!AH20="OK","PENDING",""))</f>
        <v>BUY</v>
      </c>
      <c r="G19" s="61" t="str">
        <f>IF(Scoring!AH20="","",Scoring!AH20)</f>
        <v>OK</v>
      </c>
      <c r="H19" s="61" t="str">
        <f>IF(Scoring!AI20="","",Scoring!AI20)</f>
        <v>OK</v>
      </c>
      <c r="I19" s="61" t="str">
        <f>IF(Scoring!AJ20="","",Scoring!AJ20)</f>
        <v>OK</v>
      </c>
      <c r="J19" s="61" t="str">
        <f>IF(Scoring!AK20="","",Scoring!AK20)</f>
        <v>OK</v>
      </c>
    </row>
    <row r="20" spans="1:10" ht="15" customHeight="1" outlineLevel="1" x14ac:dyDescent="0.2">
      <c r="A20" s="89" t="str">
        <f>IF(Scoring!A21="","",Scoring!A21)</f>
        <v>NEE</v>
      </c>
      <c r="B20" s="90" t="str">
        <f>IF(Scoring!B21="","",Scoring!B21)</f>
        <v>NextEra Energy Inc.</v>
      </c>
      <c r="C20" s="91">
        <f>IF(Scoring!C21="","",Scoring!C21)</f>
        <v>46245</v>
      </c>
      <c r="D20" s="92">
        <f>IF(Scoring!N21="","",Scoring!N21)</f>
        <v>2.5</v>
      </c>
      <c r="E20" s="93" t="str">
        <f>IF(Scoring!AF21="","",Scoring!AF21)</f>
        <v/>
      </c>
      <c r="F20" s="61" t="str">
        <f>IF(Scoring!AG21&lt;&gt;"",Scoring!AG21,IF(Scoring!AH21="OK","PENDING",""))</f>
        <v/>
      </c>
      <c r="G20" s="61" t="str">
        <f>IF(Scoring!AH21="","",Scoring!AH21)</f>
        <v>FAIL</v>
      </c>
      <c r="H20" s="61" t="str">
        <f>IF(Scoring!AI21="","",Scoring!AI21)</f>
        <v>REVIEW</v>
      </c>
      <c r="I20" s="61" t="str">
        <f>IF(Scoring!AJ21="","",Scoring!AJ21)</f>
        <v>AVOID</v>
      </c>
      <c r="J20" s="61" t="str">
        <f>IF(Scoring!AK21="","",Scoring!AK21)</f>
        <v>OK</v>
      </c>
    </row>
    <row r="21" spans="1:10" ht="15" customHeight="1" outlineLevel="1" x14ac:dyDescent="0.2">
      <c r="A21" s="89" t="str">
        <f>IF(Scoring!A22="","",Scoring!A22)</f>
        <v>CRK</v>
      </c>
      <c r="B21" s="90" t="str">
        <f>IF(Scoring!B22="","",Scoring!B22)</f>
        <v>Comstock Resources Inc.</v>
      </c>
      <c r="C21" s="91">
        <f>IF(Scoring!C22="","",Scoring!C22)</f>
        <v>46245</v>
      </c>
      <c r="D21" s="92">
        <f>IF(Scoring!N22="","",Scoring!N22)</f>
        <v>1.2142857142857142</v>
      </c>
      <c r="E21" s="93" t="str">
        <f>IF(Scoring!AF22="","",Scoring!AF22)</f>
        <v/>
      </c>
      <c r="F21" s="61" t="str">
        <f>IF(Scoring!AG22&lt;&gt;"",Scoring!AG22,IF(Scoring!AH22="OK","PENDING",""))</f>
        <v/>
      </c>
      <c r="G21" s="61" t="str">
        <f>IF(Scoring!AH22="","",Scoring!AH22)</f>
        <v>FAIL</v>
      </c>
      <c r="H21" s="61" t="str">
        <f>IF(Scoring!AI22="","",Scoring!AI22)</f>
        <v>REVIEW</v>
      </c>
      <c r="I21" s="61" t="str">
        <f>IF(Scoring!AJ22="","",Scoring!AJ22)</f>
        <v>AVOID</v>
      </c>
      <c r="J21" s="61" t="str">
        <f>IF(Scoring!AK22="","",Scoring!AK22)</f>
        <v>OK</v>
      </c>
    </row>
    <row r="22" spans="1:10" ht="15" customHeight="1" x14ac:dyDescent="0.2">
      <c r="A22" s="89" t="str">
        <f>IF(Scoring!A23="","",Scoring!A23)</f>
        <v>ET</v>
      </c>
      <c r="B22" s="90" t="str">
        <f>IF(Scoring!B23="","",Scoring!B23)</f>
        <v>Energy Transfer LP</v>
      </c>
      <c r="C22" s="91">
        <f>IF(Scoring!C23="","",Scoring!C23)</f>
        <v>46276</v>
      </c>
      <c r="D22" s="92">
        <f>IF(Scoring!N23="","",Scoring!N23)</f>
        <v>3.0714285714285721</v>
      </c>
      <c r="E22" s="93" t="str">
        <f>IF(Scoring!AF23="","",Scoring!AF23)</f>
        <v/>
      </c>
      <c r="F22" s="61" t="str">
        <f>IF(Scoring!AG23&lt;&gt;"",Scoring!AG23,IF(Scoring!AH23="OK","PENDING",""))</f>
        <v>PENDING</v>
      </c>
      <c r="G22" s="61" t="str">
        <f>IF(Scoring!AH23="","",Scoring!AH23)</f>
        <v>OK</v>
      </c>
      <c r="H22" s="61" t="str">
        <f>IF(Scoring!AI23="","",Scoring!AI23)</f>
        <v>REVIEW</v>
      </c>
      <c r="I22" s="61" t="str">
        <f>IF(Scoring!AJ23="","",Scoring!AJ23)</f>
        <v>AVOID</v>
      </c>
      <c r="J22" s="61" t="str">
        <f>IF(Scoring!AK23="","",Scoring!AK23)</f>
        <v>OK</v>
      </c>
    </row>
    <row r="23" spans="1:10" ht="15" customHeight="1" outlineLevel="1" x14ac:dyDescent="0.2">
      <c r="A23" s="89" t="str">
        <f>IF(Scoring!A24="","",Scoring!A24)</f>
        <v>LBRT</v>
      </c>
      <c r="B23" s="90" t="str">
        <f>IF(Scoring!B24="","",Scoring!B24)</f>
        <v>Liberty Energy Inc.</v>
      </c>
      <c r="C23" s="91">
        <f>IF(Scoring!C24="","",Scoring!C24)</f>
        <v>46245</v>
      </c>
      <c r="D23" s="92">
        <f>IF(Scoring!N24="","",Scoring!N24)</f>
        <v>2.0714285714285716</v>
      </c>
      <c r="E23" s="93" t="str">
        <f>IF(Scoring!AF24="","",Scoring!AF24)</f>
        <v/>
      </c>
      <c r="F23" s="61" t="str">
        <f>IF(Scoring!AG24&lt;&gt;"",Scoring!AG24,IF(Scoring!AH24="OK","PENDING",""))</f>
        <v/>
      </c>
      <c r="G23" s="61" t="str">
        <f>IF(Scoring!AH24="","",Scoring!AH24)</f>
        <v>FAIL</v>
      </c>
      <c r="H23" s="61" t="str">
        <f>IF(Scoring!AI24="","",Scoring!AI24)</f>
        <v>REVIEW</v>
      </c>
      <c r="I23" s="61" t="str">
        <f>IF(Scoring!AJ24="","",Scoring!AJ24)</f>
        <v>AVOID</v>
      </c>
      <c r="J23" s="61" t="str">
        <f>IF(Scoring!AK24="","",Scoring!AK24)</f>
        <v>OK</v>
      </c>
    </row>
    <row r="24" spans="1:10" ht="15" customHeight="1" outlineLevel="1" x14ac:dyDescent="0.2">
      <c r="A24" s="89" t="str">
        <f>IF(Scoring!A25="","",Scoring!A25)</f>
        <v>NOV</v>
      </c>
      <c r="B24" s="90" t="str">
        <f>IF(Scoring!B25="","",Scoring!B25)</f>
        <v>NOV Inc.</v>
      </c>
      <c r="C24" s="91">
        <f>IF(Scoring!C25="","",Scoring!C25)</f>
        <v>46245</v>
      </c>
      <c r="D24" s="92">
        <f>IF(Scoring!N25="","",Scoring!N25)</f>
        <v>2.6428571428571432</v>
      </c>
      <c r="E24" s="93" t="str">
        <f>IF(Scoring!AF25="","",Scoring!AF25)</f>
        <v/>
      </c>
      <c r="F24" s="61" t="str">
        <f>IF(Scoring!AG25&lt;&gt;"",Scoring!AG25,IF(Scoring!AH25="OK","PENDING",""))</f>
        <v/>
      </c>
      <c r="G24" s="61" t="str">
        <f>IF(Scoring!AH25="","",Scoring!AH25)</f>
        <v>FAIL</v>
      </c>
      <c r="H24" s="61" t="str">
        <f>IF(Scoring!AI25="","",Scoring!AI25)</f>
        <v>OK</v>
      </c>
      <c r="I24" s="61" t="str">
        <f>IF(Scoring!AJ25="","",Scoring!AJ25)</f>
        <v>AVOID</v>
      </c>
      <c r="J24" s="61" t="str">
        <f>IF(Scoring!AK25="","",Scoring!AK25)</f>
        <v>OK</v>
      </c>
    </row>
    <row r="25" spans="1:10" ht="15" customHeight="1" outlineLevel="1" x14ac:dyDescent="0.2">
      <c r="A25" s="89" t="str">
        <f>IF(Scoring!A26="","",Scoring!A26)</f>
        <v>CE</v>
      </c>
      <c r="B25" s="90" t="str">
        <f>IF(Scoring!B26="","",Scoring!B26)</f>
        <v>Celanese Corp.</v>
      </c>
      <c r="C25" s="91">
        <f>IF(Scoring!C26="","",Scoring!C26)</f>
        <v>46245</v>
      </c>
      <c r="D25" s="92">
        <f>IF(Scoring!N26="","",Scoring!N26)</f>
        <v>1.7857142857142858</v>
      </c>
      <c r="E25" s="93" t="str">
        <f>IF(Scoring!AF26="","",Scoring!AF26)</f>
        <v/>
      </c>
      <c r="F25" s="61" t="str">
        <f>IF(Scoring!AG26&lt;&gt;"",Scoring!AG26,IF(Scoring!AH26="OK","PENDING",""))</f>
        <v/>
      </c>
      <c r="G25" s="61" t="str">
        <f>IF(Scoring!AH26="","",Scoring!AH26)</f>
        <v>FAIL</v>
      </c>
      <c r="H25" s="61" t="str">
        <f>IF(Scoring!AI26="","",Scoring!AI26)</f>
        <v>REVIEW</v>
      </c>
      <c r="I25" s="61" t="str">
        <f>IF(Scoring!AJ26="","",Scoring!AJ26)</f>
        <v>AVOID</v>
      </c>
      <c r="J25" s="61" t="str">
        <f>IF(Scoring!AK26="","",Scoring!AK26)</f>
        <v>OK</v>
      </c>
    </row>
    <row r="26" spans="1:10" ht="15" customHeight="1" outlineLevel="1" x14ac:dyDescent="0.2">
      <c r="A26" s="89" t="str">
        <f>IF(Scoring!A27="","",Scoring!A27)</f>
        <v>CLF</v>
      </c>
      <c r="B26" s="90" t="str">
        <f>IF(Scoring!B27="","",Scoring!B27)</f>
        <v>Cleveland-Cliffs Inc.</v>
      </c>
      <c r="C26" s="91">
        <f>IF(Scoring!C27="","",Scoring!C27)</f>
        <v>46245</v>
      </c>
      <c r="D26" s="92">
        <f>IF(Scoring!N27="","",Scoring!N27)</f>
        <v>1.8571428571428574</v>
      </c>
      <c r="E26" s="93" t="str">
        <f>IF(Scoring!AF27="","",Scoring!AF27)</f>
        <v/>
      </c>
      <c r="F26" s="61" t="str">
        <f>IF(Scoring!AG27&lt;&gt;"",Scoring!AG27,IF(Scoring!AH27="OK","PENDING",""))</f>
        <v/>
      </c>
      <c r="G26" s="61" t="str">
        <f>IF(Scoring!AH27="","",Scoring!AH27)</f>
        <v>FAIL</v>
      </c>
      <c r="H26" s="61" t="str">
        <f>IF(Scoring!AI27="","",Scoring!AI27)</f>
        <v>REVIEW</v>
      </c>
      <c r="I26" s="61" t="str">
        <f>IF(Scoring!AJ27="","",Scoring!AJ27)</f>
        <v>AVOID</v>
      </c>
      <c r="J26" s="61" t="str">
        <f>IF(Scoring!AK27="","",Scoring!AK27)</f>
        <v>OK</v>
      </c>
    </row>
    <row r="27" spans="1:10" ht="15" customHeight="1" x14ac:dyDescent="0.2">
      <c r="A27" s="89" t="str">
        <f>IF(Scoring!A28="","",Scoring!A28)</f>
        <v>LIN</v>
      </c>
      <c r="B27" s="90" t="str">
        <f>IF(Scoring!B28="","",Scoring!B28)</f>
        <v>Linde plc</v>
      </c>
      <c r="C27" s="91">
        <f>IF(Scoring!C28="","",Scoring!C28)</f>
        <v>46276</v>
      </c>
      <c r="D27" s="92">
        <f>IF(Scoring!N28="","",Scoring!N28)</f>
        <v>3.0714285714285716</v>
      </c>
      <c r="E27" s="93" t="str">
        <f>IF(Scoring!AF28="","",Scoring!AF28)</f>
        <v/>
      </c>
      <c r="F27" s="61" t="str">
        <f>IF(Scoring!AG28&lt;&gt;"",Scoring!AG28,IF(Scoring!AH28="OK","PENDING",""))</f>
        <v>PENDING</v>
      </c>
      <c r="G27" s="61" t="str">
        <f>IF(Scoring!AH28="","",Scoring!AH28)</f>
        <v>OK</v>
      </c>
      <c r="H27" s="61" t="str">
        <f>IF(Scoring!AI28="","",Scoring!AI28)</f>
        <v>OK</v>
      </c>
      <c r="I27" s="61" t="str">
        <f>IF(Scoring!AJ28="","",Scoring!AJ28)</f>
        <v>AVOID</v>
      </c>
      <c r="J27" s="61" t="str">
        <f>IF(Scoring!AK28="","",Scoring!AK28)</f>
        <v>OK</v>
      </c>
    </row>
    <row r="28" spans="1:10" ht="15" customHeight="1" outlineLevel="1" x14ac:dyDescent="0.2">
      <c r="A28" s="89" t="str">
        <f>IF(Scoring!A29="","",Scoring!A29)</f>
        <v>DEO</v>
      </c>
      <c r="B28" s="90" t="str">
        <f>IF(Scoring!B29="","",Scoring!B29)</f>
        <v>Diageo plc</v>
      </c>
      <c r="C28" s="91">
        <f>IF(Scoring!C29="","",Scoring!C29)</f>
        <v>46245</v>
      </c>
      <c r="D28" s="92">
        <f>IF(Scoring!N29="","",Scoring!N29)</f>
        <v>2.3571428571428572</v>
      </c>
      <c r="E28" s="93" t="str">
        <f>IF(Scoring!AF29="","",Scoring!AF29)</f>
        <v/>
      </c>
      <c r="F28" s="61" t="str">
        <f>IF(Scoring!AG29&lt;&gt;"",Scoring!AG29,IF(Scoring!AH29="OK","PENDING",""))</f>
        <v/>
      </c>
      <c r="G28" s="61" t="str">
        <f>IF(Scoring!AH29="","",Scoring!AH29)</f>
        <v>FAIL</v>
      </c>
      <c r="H28" s="61" t="str">
        <f>IF(Scoring!AI29="","",Scoring!AI29)</f>
        <v>OK</v>
      </c>
      <c r="I28" s="61" t="str">
        <f>IF(Scoring!AJ29="","",Scoring!AJ29)</f>
        <v>AVOID</v>
      </c>
      <c r="J28" s="61" t="str">
        <f>IF(Scoring!AK29="","",Scoring!AK29)</f>
        <v>OK</v>
      </c>
    </row>
    <row r="29" spans="1:10" ht="15" customHeight="1" outlineLevel="1" x14ac:dyDescent="0.2">
      <c r="A29" s="89" t="str">
        <f>IF(Scoring!A30="","",Scoring!A30)</f>
        <v>EL</v>
      </c>
      <c r="B29" s="90" t="str">
        <f>IF(Scoring!B30="","",Scoring!B30)</f>
        <v>Estee Lauder Companies</v>
      </c>
      <c r="C29" s="91">
        <f>IF(Scoring!C30="","",Scoring!C30)</f>
        <v>46245</v>
      </c>
      <c r="D29" s="92">
        <f>IF(Scoring!N30="","",Scoring!N30)</f>
        <v>2.1428571428571428</v>
      </c>
      <c r="E29" s="93" t="str">
        <f>IF(Scoring!AF30="","",Scoring!AF30)</f>
        <v/>
      </c>
      <c r="F29" s="61" t="str">
        <f>IF(Scoring!AG30&lt;&gt;"",Scoring!AG30,IF(Scoring!AH30="OK","PENDING",""))</f>
        <v/>
      </c>
      <c r="G29" s="61" t="str">
        <f>IF(Scoring!AH30="","",Scoring!AH30)</f>
        <v>FAIL</v>
      </c>
      <c r="H29" s="61" t="str">
        <f>IF(Scoring!AI30="","",Scoring!AI30)</f>
        <v>REVIEW</v>
      </c>
      <c r="I29" s="61" t="str">
        <f>IF(Scoring!AJ30="","",Scoring!AJ30)</f>
        <v>AVOID</v>
      </c>
      <c r="J29" s="61" t="str">
        <f>IF(Scoring!AK30="","",Scoring!AK30)</f>
        <v>OK</v>
      </c>
    </row>
    <row r="30" spans="1:10" ht="15" customHeight="1" outlineLevel="1" x14ac:dyDescent="0.2">
      <c r="A30" s="89" t="str">
        <f>IF(Scoring!A31="","",Scoring!A31)</f>
        <v>HRL</v>
      </c>
      <c r="B30" s="90" t="str">
        <f>IF(Scoring!B31="","",Scoring!B31)</f>
        <v>Hormel Foods Corp.</v>
      </c>
      <c r="C30" s="91">
        <f>IF(Scoring!C31="","",Scoring!C31)</f>
        <v>46245</v>
      </c>
      <c r="D30" s="92">
        <f>IF(Scoring!N31="","",Scoring!N31)</f>
        <v>1.9285714285714288</v>
      </c>
      <c r="E30" s="93" t="str">
        <f>IF(Scoring!AF31="","",Scoring!AF31)</f>
        <v/>
      </c>
      <c r="F30" s="61" t="str">
        <f>IF(Scoring!AG31&lt;&gt;"",Scoring!AG31,IF(Scoring!AH31="OK","PENDING",""))</f>
        <v/>
      </c>
      <c r="G30" s="61" t="str">
        <f>IF(Scoring!AH31="","",Scoring!AH31)</f>
        <v>FAIL</v>
      </c>
      <c r="H30" s="61" t="str">
        <f>IF(Scoring!AI31="","",Scoring!AI31)</f>
        <v>REVIEW</v>
      </c>
      <c r="I30" s="61" t="str">
        <f>IF(Scoring!AJ31="","",Scoring!AJ31)</f>
        <v>AVOID</v>
      </c>
      <c r="J30" s="61" t="str">
        <f>IF(Scoring!AK31="","",Scoring!AK31)</f>
        <v>OK</v>
      </c>
    </row>
    <row r="31" spans="1:10" ht="15" customHeight="1" x14ac:dyDescent="0.2">
      <c r="A31" s="89" t="str">
        <f>IF(Scoring!A32="","",Scoring!A32)</f>
        <v>PG</v>
      </c>
      <c r="B31" s="90" t="str">
        <f>IF(Scoring!B32="","",Scoring!B32)</f>
        <v>Procter &amp; Gamble Co.</v>
      </c>
      <c r="C31" s="91">
        <f>IF(Scoring!C32="","",Scoring!C32)</f>
        <v>46295</v>
      </c>
      <c r="D31" s="92">
        <f>IF(Scoring!N32="","",Scoring!N32)</f>
        <v>4</v>
      </c>
      <c r="E31" s="93" t="str">
        <f>IF(Scoring!AF32="","",Scoring!AF32)</f>
        <v/>
      </c>
      <c r="F31" s="61" t="str">
        <f>IF(Scoring!AG32&lt;&gt;"",Scoring!AG32,IF(Scoring!AH32="OK","PENDING",""))</f>
        <v>PENDING</v>
      </c>
      <c r="G31" s="61" t="str">
        <f>IF(Scoring!AH32="","",Scoring!AH32)</f>
        <v>OK</v>
      </c>
      <c r="H31" s="61" t="str">
        <f>IF(Scoring!AI32="","",Scoring!AI32)</f>
        <v>OK</v>
      </c>
      <c r="I31" s="61" t="str">
        <f>IF(Scoring!AJ32="","",Scoring!AJ32)</f>
        <v>OK</v>
      </c>
      <c r="J31" s="61" t="str">
        <f>IF(Scoring!AK32="","",Scoring!AK32)</f>
        <v>OK</v>
      </c>
    </row>
    <row r="32" spans="1:10" ht="15" customHeight="1" x14ac:dyDescent="0.2">
      <c r="A32" s="89" t="str">
        <f>IF(Scoring!A33="","",Scoring!A33)</f>
        <v>CMG</v>
      </c>
      <c r="B32" s="90" t="str">
        <f>IF(Scoring!B33="","",Scoring!B33)</f>
        <v>Chipotle Mexican Grill</v>
      </c>
      <c r="C32" s="91">
        <f>IF(Scoring!C33="","",Scoring!C33)</f>
        <v>46245</v>
      </c>
      <c r="D32" s="92">
        <f>IF(Scoring!N33="","",Scoring!N33)</f>
        <v>3.714285714285714</v>
      </c>
      <c r="E32" s="93" t="str">
        <f>IF(Scoring!AF33="","",Scoring!AF33)</f>
        <v/>
      </c>
      <c r="F32" s="61" t="str">
        <f>IF(Scoring!AG33&lt;&gt;"",Scoring!AG33,IF(Scoring!AH33="OK","PENDING",""))</f>
        <v>PENDING</v>
      </c>
      <c r="G32" s="61" t="str">
        <f>IF(Scoring!AH33="","",Scoring!AH33)</f>
        <v>OK</v>
      </c>
      <c r="H32" s="61" t="str">
        <f>IF(Scoring!AI33="","",Scoring!AI33)</f>
        <v>OK</v>
      </c>
      <c r="I32" s="61" t="str">
        <f>IF(Scoring!AJ33="","",Scoring!AJ33)</f>
        <v>OK</v>
      </c>
      <c r="J32" s="61" t="str">
        <f>IF(Scoring!AK33="","",Scoring!AK33)</f>
        <v>OK</v>
      </c>
    </row>
    <row r="33" spans="1:10" ht="15" customHeight="1" x14ac:dyDescent="0.2">
      <c r="A33" s="89" t="str">
        <f>IF(Scoring!A34="","",Scoring!A34)</f>
        <v>DPZ</v>
      </c>
      <c r="B33" s="90" t="str">
        <f>IF(Scoring!B34="","",Scoring!B34)</f>
        <v>Domino's Pizza Inc.</v>
      </c>
      <c r="C33" s="91">
        <f>IF(Scoring!C34="","",Scoring!C34)</f>
        <v>46295</v>
      </c>
      <c r="D33" s="92">
        <f>IF(Scoring!N34="","",Scoring!N34)</f>
        <v>3.9285714285714288</v>
      </c>
      <c r="E33" s="93" t="str">
        <f>IF(Scoring!AF34="","",Scoring!AF34)</f>
        <v/>
      </c>
      <c r="F33" s="61" t="str">
        <f>IF(Scoring!AG34&lt;&gt;"",Scoring!AG34,IF(Scoring!AH34="OK","PENDING",""))</f>
        <v>PENDING</v>
      </c>
      <c r="G33" s="61" t="str">
        <f>IF(Scoring!AH34="","",Scoring!AH34)</f>
        <v>OK</v>
      </c>
      <c r="H33" s="61" t="str">
        <f>IF(Scoring!AI34="","",Scoring!AI34)</f>
        <v>OK</v>
      </c>
      <c r="I33" s="61" t="str">
        <f>IF(Scoring!AJ34="","",Scoring!AJ34)</f>
        <v>OK</v>
      </c>
      <c r="J33" s="61" t="str">
        <f>IF(Scoring!AK34="","",Scoring!AK34)</f>
        <v>OK</v>
      </c>
    </row>
    <row r="34" spans="1:10" ht="15" customHeight="1" outlineLevel="1" x14ac:dyDescent="0.2">
      <c r="A34" s="89" t="str">
        <f>IF(Scoring!A35="","",Scoring!A35)</f>
        <v>PZZA</v>
      </c>
      <c r="B34" s="90" t="str">
        <f>IF(Scoring!B35="","",Scoring!B35)</f>
        <v>Papa John's Intl.</v>
      </c>
      <c r="C34" s="91">
        <f>IF(Scoring!C35="","",Scoring!C35)</f>
        <v>46245</v>
      </c>
      <c r="D34" s="92">
        <f>IF(Scoring!N35="","",Scoring!N35)</f>
        <v>1.357142857142857</v>
      </c>
      <c r="E34" s="93" t="str">
        <f>IF(Scoring!AF35="","",Scoring!AF35)</f>
        <v/>
      </c>
      <c r="F34" s="61" t="str">
        <f>IF(Scoring!AG35&lt;&gt;"",Scoring!AG35,IF(Scoring!AH35="OK","PENDING",""))</f>
        <v/>
      </c>
      <c r="G34" s="61" t="str">
        <f>IF(Scoring!AH35="","",Scoring!AH35)</f>
        <v>FAIL</v>
      </c>
      <c r="H34" s="61" t="str">
        <f>IF(Scoring!AI35="","",Scoring!AI35)</f>
        <v>REVIEW</v>
      </c>
      <c r="I34" s="61" t="str">
        <f>IF(Scoring!AJ35="","",Scoring!AJ35)</f>
        <v>AVOID</v>
      </c>
      <c r="J34" s="61" t="str">
        <f>IF(Scoring!AK35="","",Scoring!AK35)</f>
        <v>OK</v>
      </c>
    </row>
    <row r="35" spans="1:10" ht="15" customHeight="1" x14ac:dyDescent="0.2">
      <c r="A35" s="89" t="str">
        <f>IF(Scoring!A36="","",Scoring!A36)</f>
        <v>YUM</v>
      </c>
      <c r="B35" s="90" t="str">
        <f>IF(Scoring!B36="","",Scoring!B36)</f>
        <v>Yum! Brands Inc.</v>
      </c>
      <c r="C35" s="91">
        <f>IF(Scoring!C36="","",Scoring!C36)</f>
        <v>46295</v>
      </c>
      <c r="D35" s="92">
        <f>IF(Scoring!N36="","",Scoring!N36)</f>
        <v>3.785714285714286</v>
      </c>
      <c r="E35" s="93" t="str">
        <f>IF(Scoring!AF36="","",Scoring!AF36)</f>
        <v/>
      </c>
      <c r="F35" s="61" t="str">
        <f>IF(Scoring!AG36&lt;&gt;"",Scoring!AG36,IF(Scoring!AH36="OK","PENDING",""))</f>
        <v>PENDING</v>
      </c>
      <c r="G35" s="61" t="str">
        <f>IF(Scoring!AH36="","",Scoring!AH36)</f>
        <v>OK</v>
      </c>
      <c r="H35" s="61" t="str">
        <f>IF(Scoring!AI36="","",Scoring!AI36)</f>
        <v>OK</v>
      </c>
      <c r="I35" s="61" t="str">
        <f>IF(Scoring!AJ36="","",Scoring!AJ36)</f>
        <v>OK</v>
      </c>
      <c r="J35" s="61" t="str">
        <f>IF(Scoring!AK36="","",Scoring!AK36)</f>
        <v>OK</v>
      </c>
    </row>
    <row r="36" spans="1:10" ht="15" customHeight="1" outlineLevel="1" x14ac:dyDescent="0.2">
      <c r="A36" s="89" t="str">
        <f>IF(Scoring!A37="","",Scoring!A37)</f>
        <v>NKE</v>
      </c>
      <c r="B36" s="90" t="str">
        <f>IF(Scoring!B37="","",Scoring!B37)</f>
        <v>Nike Inc.</v>
      </c>
      <c r="C36" s="91">
        <f>IF(Scoring!C37="","",Scoring!C37)</f>
        <v>46246</v>
      </c>
      <c r="D36" s="92">
        <f>IF(Scoring!N37="","",Scoring!N37)</f>
        <v>1.5714285714285716</v>
      </c>
      <c r="E36" s="93" t="str">
        <f>IF(Scoring!AF37="","",Scoring!AF37)</f>
        <v/>
      </c>
      <c r="F36" s="61" t="str">
        <f>IF(Scoring!AG37&lt;&gt;"",Scoring!AG37,IF(Scoring!AH37="OK","PENDING",""))</f>
        <v/>
      </c>
      <c r="G36" s="61" t="str">
        <f>IF(Scoring!AH37="","",Scoring!AH37)</f>
        <v>FAIL</v>
      </c>
      <c r="H36" s="61" t="str">
        <f>IF(Scoring!AI37="","",Scoring!AI37)</f>
        <v>REVIEW</v>
      </c>
      <c r="I36" s="61" t="str">
        <f>IF(Scoring!AJ37="","",Scoring!AJ37)</f>
        <v>AVOID</v>
      </c>
      <c r="J36" s="61" t="str">
        <f>IF(Scoring!AK37="","",Scoring!AK37)</f>
        <v>OK</v>
      </c>
    </row>
    <row r="37" spans="1:10" ht="15" customHeight="1" outlineLevel="1" x14ac:dyDescent="0.2">
      <c r="A37" s="89" t="str">
        <f>IF(Scoring!A38="","",Scoring!A38)</f>
        <v>VFC</v>
      </c>
      <c r="B37" s="90" t="str">
        <f>IF(Scoring!B38="","",Scoring!B38)</f>
        <v>V.F. Corporation</v>
      </c>
      <c r="C37" s="91">
        <f>IF(Scoring!C38="","",Scoring!C38)</f>
        <v>46246</v>
      </c>
      <c r="D37" s="92">
        <f>IF(Scoring!N38="","",Scoring!N38)</f>
        <v>2.8571428571428572</v>
      </c>
      <c r="E37" s="93" t="str">
        <f>IF(Scoring!AF38="","",Scoring!AF38)</f>
        <v/>
      </c>
      <c r="F37" s="61" t="str">
        <f>IF(Scoring!AG38&lt;&gt;"",Scoring!AG38,IF(Scoring!AH38="OK","PENDING",""))</f>
        <v/>
      </c>
      <c r="G37" s="61" t="str">
        <f>IF(Scoring!AH38="","",Scoring!AH38)</f>
        <v>FAIL</v>
      </c>
      <c r="H37" s="61" t="str">
        <f>IF(Scoring!AI38="","",Scoring!AI38)</f>
        <v>OK</v>
      </c>
      <c r="I37" s="61" t="str">
        <f>IF(Scoring!AJ38="","",Scoring!AJ38)</f>
        <v>OK</v>
      </c>
      <c r="J37" s="61" t="str">
        <f>IF(Scoring!AK38="","",Scoring!AK38)</f>
        <v>OK</v>
      </c>
    </row>
    <row r="38" spans="1:10" ht="15" customHeight="1" outlineLevel="1" x14ac:dyDescent="0.2">
      <c r="A38" s="89" t="str">
        <f>IF(Scoring!A39="","",Scoring!A39)</f>
        <v>GOOS</v>
      </c>
      <c r="B38" s="90" t="str">
        <f>IF(Scoring!B39="","",Scoring!B39)</f>
        <v>Canada Goose Holdings</v>
      </c>
      <c r="C38" s="91">
        <f>IF(Scoring!C39="","",Scoring!C39)</f>
        <v>46246</v>
      </c>
      <c r="D38" s="92">
        <f>IF(Scoring!N39="","",Scoring!N39)</f>
        <v>2.5</v>
      </c>
      <c r="E38" s="93" t="str">
        <f>IF(Scoring!AF39="","",Scoring!AF39)</f>
        <v/>
      </c>
      <c r="F38" s="61" t="str">
        <f>IF(Scoring!AG39&lt;&gt;"",Scoring!AG39,IF(Scoring!AH39="OK","PENDING",""))</f>
        <v/>
      </c>
      <c r="G38" s="61" t="str">
        <f>IF(Scoring!AH39="","",Scoring!AH39)</f>
        <v>FAIL</v>
      </c>
      <c r="H38" s="61" t="str">
        <f>IF(Scoring!AI39="","",Scoring!AI39)</f>
        <v>REVIEW</v>
      </c>
      <c r="I38" s="61" t="str">
        <f>IF(Scoring!AJ39="","",Scoring!AJ39)</f>
        <v>AVOID</v>
      </c>
      <c r="J38" s="61" t="str">
        <f>IF(Scoring!AK39="","",Scoring!AK39)</f>
        <v>OK</v>
      </c>
    </row>
    <row r="39" spans="1:10" ht="15" customHeight="1" outlineLevel="1" x14ac:dyDescent="0.2">
      <c r="A39" s="89" t="str">
        <f>IF(Scoring!A40="","",Scoring!A40)</f>
        <v>AAP</v>
      </c>
      <c r="B39" s="90" t="str">
        <f>IF(Scoring!B40="","",Scoring!B40)</f>
        <v>Advance Auto Parts Inc.</v>
      </c>
      <c r="C39" s="91">
        <f>IF(Scoring!C40="","",Scoring!C40)</f>
        <v>46246</v>
      </c>
      <c r="D39" s="92">
        <f>IF(Scoring!N40="","",Scoring!N40)</f>
        <v>1.357142857142857</v>
      </c>
      <c r="E39" s="93" t="str">
        <f>IF(Scoring!AF40="","",Scoring!AF40)</f>
        <v/>
      </c>
      <c r="F39" s="61" t="str">
        <f>IF(Scoring!AG40&lt;&gt;"",Scoring!AG40,IF(Scoring!AH40="OK","PENDING",""))</f>
        <v/>
      </c>
      <c r="G39" s="61" t="str">
        <f>IF(Scoring!AH40="","",Scoring!AH40)</f>
        <v>FAIL</v>
      </c>
      <c r="H39" s="61" t="str">
        <f>IF(Scoring!AI40="","",Scoring!AI40)</f>
        <v>REVIEW</v>
      </c>
      <c r="I39" s="61" t="str">
        <f>IF(Scoring!AJ40="","",Scoring!AJ40)</f>
        <v>AVOID</v>
      </c>
      <c r="J39" s="61" t="str">
        <f>IF(Scoring!AK40="","",Scoring!AK40)</f>
        <v>OK</v>
      </c>
    </row>
    <row r="40" spans="1:10" ht="15" customHeight="1" outlineLevel="1" x14ac:dyDescent="0.2">
      <c r="A40" s="89" t="str">
        <f>IF(Scoring!A41="","",Scoring!A41)</f>
        <v>BABA</v>
      </c>
      <c r="B40" s="90" t="str">
        <f>IF(Scoring!B41="","",Scoring!B41)</f>
        <v>Alibaba Group Holding Ltd.</v>
      </c>
      <c r="C40" s="91">
        <f>IF(Scoring!C41="","",Scoring!C41)</f>
        <v>46246</v>
      </c>
      <c r="D40" s="92">
        <f>IF(Scoring!N41="","",Scoring!N41)</f>
        <v>2.785714285714286</v>
      </c>
      <c r="E40" s="93" t="str">
        <f>IF(Scoring!AF41="","",Scoring!AF41)</f>
        <v/>
      </c>
      <c r="F40" s="61" t="str">
        <f>IF(Scoring!AG41&lt;&gt;"",Scoring!AG41,IF(Scoring!AH41="OK","PENDING",""))</f>
        <v/>
      </c>
      <c r="G40" s="61" t="str">
        <f>IF(Scoring!AH41="","",Scoring!AH41)</f>
        <v>FAIL</v>
      </c>
      <c r="H40" s="61" t="str">
        <f>IF(Scoring!AI41="","",Scoring!AI41)</f>
        <v>OK</v>
      </c>
      <c r="I40" s="61" t="str">
        <f>IF(Scoring!AJ41="","",Scoring!AJ41)</f>
        <v>AVOID</v>
      </c>
      <c r="J40" s="61" t="str">
        <f>IF(Scoring!AK41="","",Scoring!AK41)</f>
        <v>OK</v>
      </c>
    </row>
    <row r="41" spans="1:10" ht="15" customHeight="1" x14ac:dyDescent="0.2">
      <c r="A41" s="89" t="str">
        <f>IF(Scoring!A42="","",Scoring!A42)</f>
        <v>ETSY</v>
      </c>
      <c r="B41" s="90" t="str">
        <f>IF(Scoring!B42="","",Scoring!B42)</f>
        <v>Etsy Inc.</v>
      </c>
      <c r="C41" s="91">
        <f>IF(Scoring!C42="","",Scoring!C42)</f>
        <v>46246</v>
      </c>
      <c r="D41" s="92">
        <f>IF(Scoring!N42="","",Scoring!N42)</f>
        <v>3.4285714285714288</v>
      </c>
      <c r="E41" s="93" t="str">
        <f>IF(Scoring!AF42="","",Scoring!AF42)</f>
        <v/>
      </c>
      <c r="F41" s="61" t="str">
        <f>IF(Scoring!AG42&lt;&gt;"",Scoring!AG42,IF(Scoring!AH42="OK","PENDING",""))</f>
        <v>PENDING</v>
      </c>
      <c r="G41" s="61" t="str">
        <f>IF(Scoring!AH42="","",Scoring!AH42)</f>
        <v>OK</v>
      </c>
      <c r="H41" s="61" t="str">
        <f>IF(Scoring!AI42="","",Scoring!AI42)</f>
        <v>OK</v>
      </c>
      <c r="I41" s="61" t="str">
        <f>IF(Scoring!AJ42="","",Scoring!AJ42)</f>
        <v>OK</v>
      </c>
      <c r="J41" s="61" t="str">
        <f>IF(Scoring!AK42="","",Scoring!AK42)</f>
        <v>OK</v>
      </c>
    </row>
    <row r="42" spans="1:10" ht="15" customHeight="1" x14ac:dyDescent="0.2">
      <c r="A42" s="89" t="str">
        <f>IF(Scoring!A43="","",Scoring!A43)</f>
        <v>GE</v>
      </c>
      <c r="B42" s="90" t="str">
        <f>IF(Scoring!B43="","",Scoring!B43)</f>
        <v>GE Aerospace</v>
      </c>
      <c r="C42" s="91">
        <f>IF(Scoring!C43="","",Scoring!C43)</f>
        <v>46295</v>
      </c>
      <c r="D42" s="92">
        <f>IF(Scoring!N43="","",Scoring!N43)</f>
        <v>4.1428571428571432</v>
      </c>
      <c r="E42" s="93">
        <f>IF(Scoring!AF43="","",Scoring!AF43)</f>
        <v>84.2</v>
      </c>
      <c r="F42" s="61" t="str">
        <f>IF(Scoring!AG43&lt;&gt;"",Scoring!AG43,IF(Scoring!AH43="OK","PENDING",""))</f>
        <v>STRONG BUY</v>
      </c>
      <c r="G42" s="61" t="str">
        <f>IF(Scoring!AH43="","",Scoring!AH43)</f>
        <v>OK</v>
      </c>
      <c r="H42" s="61" t="str">
        <f>IF(Scoring!AI43="","",Scoring!AI43)</f>
        <v>OK</v>
      </c>
      <c r="I42" s="61" t="str">
        <f>IF(Scoring!AJ43="","",Scoring!AJ43)</f>
        <v>OK</v>
      </c>
      <c r="J42" s="61" t="str">
        <f>IF(Scoring!AK43="","",Scoring!AK43)</f>
        <v>OK</v>
      </c>
    </row>
    <row r="43" spans="1:10" ht="15" customHeight="1" x14ac:dyDescent="0.2">
      <c r="A43" s="89" t="str">
        <f>IF(Scoring!A44="","",Scoring!A44)</f>
        <v>PH</v>
      </c>
      <c r="B43" s="90" t="str">
        <f>IF(Scoring!B44="","",Scoring!B44)</f>
        <v>Parker-Hannifin Corporation</v>
      </c>
      <c r="C43" s="91">
        <f>IF(Scoring!C44="","",Scoring!C44)</f>
        <v>46247</v>
      </c>
      <c r="D43" s="92">
        <f>IF(Scoring!N44="","",Scoring!N44)</f>
        <v>3.2857142857142856</v>
      </c>
      <c r="E43" s="93" t="str">
        <f>IF(Scoring!AF44="","",Scoring!AF44)</f>
        <v/>
      </c>
      <c r="F43" s="61" t="str">
        <f>IF(Scoring!AG44&lt;&gt;"",Scoring!AG44,IF(Scoring!AH44="OK","PENDING",""))</f>
        <v>PENDING</v>
      </c>
      <c r="G43" s="61" t="str">
        <f>IF(Scoring!AH44="","",Scoring!AH44)</f>
        <v>OK</v>
      </c>
      <c r="H43" s="61" t="str">
        <f>IF(Scoring!AI44="","",Scoring!AI44)</f>
        <v>OK</v>
      </c>
      <c r="I43" s="61" t="str">
        <f>IF(Scoring!AJ44="","",Scoring!AJ44)</f>
        <v>OK</v>
      </c>
      <c r="J43" s="61" t="str">
        <f>IF(Scoring!AK44="","",Scoring!AK44)</f>
        <v>OK</v>
      </c>
    </row>
    <row r="44" spans="1:10" ht="15" customHeight="1" x14ac:dyDescent="0.2">
      <c r="A44" s="89" t="str">
        <f>IF(Scoring!A45="","",Scoring!A45)</f>
        <v>ETN</v>
      </c>
      <c r="B44" s="90" t="str">
        <f>IF(Scoring!B45="","",Scoring!B45)</f>
        <v>Eaton Corporation plc</v>
      </c>
      <c r="C44" s="91">
        <f>IF(Scoring!C45="","",Scoring!C45)</f>
        <v>46247</v>
      </c>
      <c r="D44" s="92">
        <f>IF(Scoring!N45="","",Scoring!N45)</f>
        <v>3.5000000000000004</v>
      </c>
      <c r="E44" s="93" t="str">
        <f>IF(Scoring!AF45="","",Scoring!AF45)</f>
        <v/>
      </c>
      <c r="F44" s="61" t="str">
        <f>IF(Scoring!AG45&lt;&gt;"",Scoring!AG45,IF(Scoring!AH45="OK","PENDING",""))</f>
        <v>PENDING</v>
      </c>
      <c r="G44" s="61" t="str">
        <f>IF(Scoring!AH45="","",Scoring!AH45)</f>
        <v>OK</v>
      </c>
      <c r="H44" s="61" t="str">
        <f>IF(Scoring!AI45="","",Scoring!AI45)</f>
        <v>OK</v>
      </c>
      <c r="I44" s="61" t="str">
        <f>IF(Scoring!AJ45="","",Scoring!AJ45)</f>
        <v>OK</v>
      </c>
      <c r="J44" s="61" t="str">
        <f>IF(Scoring!AK45="","",Scoring!AK45)</f>
        <v>OK</v>
      </c>
    </row>
    <row r="45" spans="1:10" ht="15" customHeight="1" outlineLevel="1" x14ac:dyDescent="0.2">
      <c r="A45" s="89" t="str">
        <f>IF(Scoring!A46="","",Scoring!A46)</f>
        <v>DIS</v>
      </c>
      <c r="B45" s="90" t="str">
        <f>IF(Scoring!B46="","",Scoring!B46)</f>
        <v>The Walt Disney Company</v>
      </c>
      <c r="C45" s="91">
        <f>IF(Scoring!C46="","",Scoring!C46)</f>
        <v>46258</v>
      </c>
      <c r="D45" s="92">
        <f>IF(Scoring!N46="","",Scoring!N46)</f>
        <v>2.9285714285714284</v>
      </c>
      <c r="E45" s="93" t="str">
        <f>IF(Scoring!AF46="","",Scoring!AF46)</f>
        <v/>
      </c>
      <c r="F45" s="61" t="str">
        <f>IF(Scoring!AG46&lt;&gt;"",Scoring!AG46,IF(Scoring!AH46="OK","PENDING",""))</f>
        <v/>
      </c>
      <c r="G45" s="61" t="str">
        <f>IF(Scoring!AH46="","",Scoring!AH46)</f>
        <v>FAIL</v>
      </c>
      <c r="H45" s="61" t="str">
        <f>IF(Scoring!AI46="","",Scoring!AI46)</f>
        <v>OK</v>
      </c>
      <c r="I45" s="61" t="str">
        <f>IF(Scoring!AJ46="","",Scoring!AJ46)</f>
        <v>AVOID</v>
      </c>
      <c r="J45" s="61" t="str">
        <f>IF(Scoring!AK46="","",Scoring!AK46)</f>
        <v>OK</v>
      </c>
    </row>
    <row r="46" spans="1:10" ht="15" customHeight="1" x14ac:dyDescent="0.2">
      <c r="A46" s="202" t="str">
        <f>IF(Scoring!A47="","",Scoring!A47)</f>
        <v>NFLX</v>
      </c>
      <c r="B46" s="203" t="str">
        <f>IF(Scoring!B47="","",Scoring!B47)</f>
        <v>Netflix, Inc.</v>
      </c>
      <c r="C46" s="204">
        <f>IF(Scoring!C47="","",Scoring!C47)</f>
        <v>46295</v>
      </c>
      <c r="D46" s="205">
        <f>IF(Scoring!N47="","",Scoring!N47)</f>
        <v>4.2142857142857144</v>
      </c>
      <c r="E46" s="206">
        <f>IF(Scoring!AF47="","",Scoring!AF47)</f>
        <v>83.800000000000011</v>
      </c>
      <c r="F46" s="207" t="str">
        <f>IF(Scoring!AG47&lt;&gt;"",Scoring!AG47,IF(Scoring!AH47="OK","PENDING",""))</f>
        <v>STRONG BUY</v>
      </c>
      <c r="G46" s="207" t="str">
        <f>IF(Scoring!AH47="","",Scoring!AH47)</f>
        <v>OK</v>
      </c>
      <c r="H46" s="207" t="str">
        <f>IF(Scoring!AI47="","",Scoring!AI47)</f>
        <v>OK</v>
      </c>
      <c r="I46" s="207" t="str">
        <f>IF(Scoring!AJ47="","",Scoring!AJ47)</f>
        <v>OK</v>
      </c>
      <c r="J46" s="207" t="str">
        <f>IF(Scoring!AK47="","",Scoring!AK47)</f>
        <v>OK</v>
      </c>
    </row>
    <row r="47" spans="1:10" ht="14.25" customHeight="1" x14ac:dyDescent="0.2">
      <c r="A47" s="208" t="str">
        <f>IF(Scoring!A48="","",Scoring!A48)</f>
        <v>KGS</v>
      </c>
      <c r="B47" s="209" t="str">
        <f>IF(Scoring!B48="","",Scoring!B48)</f>
        <v>Kodiak Gas Services, Inc.</v>
      </c>
      <c r="C47" s="204">
        <f>IF(Scoring!C48="","",Scoring!C48)</f>
        <v>46276</v>
      </c>
      <c r="D47" s="205">
        <f>IF(Scoring!N48="","",Scoring!N48)</f>
        <v>4</v>
      </c>
      <c r="E47" s="206" t="str">
        <f>IF(Scoring!AF48="","",Scoring!AF48)</f>
        <v/>
      </c>
      <c r="F47" s="207" t="str">
        <f>IF(Scoring!AG48&lt;&gt;"",Scoring!AG48,IF(Scoring!AH48="OK","PENDING",""))</f>
        <v>PENDING</v>
      </c>
      <c r="G47" s="207" t="str">
        <f>IF(Scoring!AH48="","",Scoring!AH48)</f>
        <v>OK</v>
      </c>
      <c r="H47" s="207" t="str">
        <f>IF(Scoring!AI48="","",Scoring!AI48)</f>
        <v>OK</v>
      </c>
      <c r="I47" s="207" t="str">
        <f>IF(Scoring!AJ48="","",Scoring!AJ48)</f>
        <v>OK</v>
      </c>
      <c r="J47" s="207" t="str">
        <f>IF(Scoring!AK48="","",Scoring!AK48)</f>
        <v>OK</v>
      </c>
    </row>
    <row r="48" spans="1:10" ht="15" customHeight="1" x14ac:dyDescent="0.2">
      <c r="A48" s="208" t="str">
        <f>IF(Scoring!A49="","",Scoring!A49)</f>
        <v>ABT</v>
      </c>
      <c r="B48" s="209" t="str">
        <f>IF(Scoring!B49="","",Scoring!B49)</f>
        <v>Abbott Laboratories</v>
      </c>
      <c r="C48" s="204">
        <f>IF(Scoring!C49="","",Scoring!C49)</f>
        <v>46295</v>
      </c>
      <c r="D48" s="205">
        <f>IF(Scoring!N49="","",Scoring!N49)</f>
        <v>3.5000000000000004</v>
      </c>
      <c r="E48" s="206">
        <f>IF(Scoring!AF49="","",Scoring!AF49)</f>
        <v>70.800000000000011</v>
      </c>
      <c r="F48" s="207" t="str">
        <f>IF(Scoring!AG49&lt;&gt;"",Scoring!AG49,IF(Scoring!AH49="OK","PENDING",""))</f>
        <v>BUY</v>
      </c>
      <c r="G48" s="207" t="str">
        <f>IF(Scoring!AH49="","",Scoring!AH49)</f>
        <v>OK</v>
      </c>
      <c r="H48" s="207" t="str">
        <f>IF(Scoring!AI49="","",Scoring!AI49)</f>
        <v>OK</v>
      </c>
      <c r="I48" s="207" t="str">
        <f>IF(Scoring!AJ49="","",Scoring!AJ49)</f>
        <v>OK</v>
      </c>
      <c r="J48" s="207" t="str">
        <f>IF(Scoring!AK49="","",Scoring!AK49)</f>
        <v>OK</v>
      </c>
    </row>
    <row r="49" spans="1:10" ht="15.75" customHeight="1" x14ac:dyDescent="0.2">
      <c r="A49" s="208" t="str">
        <f>IF(Scoring!A50="","",Scoring!A50)</f>
        <v>SLB</v>
      </c>
      <c r="B49" s="210" t="str">
        <f>IF(Scoring!B50="","",Scoring!B50)</f>
        <v>SLB N.V.</v>
      </c>
      <c r="C49" s="204">
        <f>IF(Scoring!C50="","",Scoring!C50)</f>
        <v>46295</v>
      </c>
      <c r="D49" s="205">
        <f>IF(Scoring!N50="","",Scoring!N50)</f>
        <v>3.5000000000000004</v>
      </c>
      <c r="E49" s="206">
        <f>IF(Scoring!AF50="","",Scoring!AF50)</f>
        <v>72.400000000000006</v>
      </c>
      <c r="F49" s="207" t="str">
        <f>IF(Scoring!AG50&lt;&gt;"",Scoring!AG50,IF(Scoring!AH50="OK","PENDING",""))</f>
        <v>BUY</v>
      </c>
      <c r="G49" s="207" t="str">
        <f>IF(Scoring!AH50="","",Scoring!AH50)</f>
        <v>OK</v>
      </c>
      <c r="H49" s="207" t="str">
        <f>IF(Scoring!AI50="","",Scoring!AI50)</f>
        <v>OK</v>
      </c>
      <c r="I49" s="207" t="str">
        <f>IF(Scoring!AJ50="","",Scoring!AJ50)</f>
        <v>OK</v>
      </c>
      <c r="J49" s="207" t="str">
        <f>IF(Scoring!AK50="","",Scoring!AK50)</f>
        <v>OK</v>
      </c>
    </row>
    <row r="50" spans="1:10" ht="15.75" customHeight="1" x14ac:dyDescent="0.2">
      <c r="A50" s="208" t="str">
        <f>IF(Scoring!A51="","",Scoring!A51)</f>
        <v>VEEV</v>
      </c>
      <c r="B50" s="210" t="str">
        <f>IF(Scoring!B51="","",Scoring!B51)</f>
        <v>Veeva Systems Inc.</v>
      </c>
      <c r="C50" s="211">
        <f>IF(Scoring!C51="","",Scoring!C51)</f>
        <v>46297</v>
      </c>
      <c r="D50" s="212">
        <f>IF(Scoring!N51="","",Scoring!N51)</f>
        <v>4.2857142857142856</v>
      </c>
      <c r="E50" s="213">
        <f>IF(Scoring!AF51="","",Scoring!AF51)</f>
        <v>81.599999999999994</v>
      </c>
      <c r="F50" s="214" t="str">
        <f>IF(Scoring!AG51&lt;&gt;"",Scoring!AG51,IF(Scoring!AH51="OK","PENDING",""))</f>
        <v>STRONG BUY</v>
      </c>
      <c r="G50" s="214" t="str">
        <f>IF(Scoring!AH51="","",Scoring!AH51)</f>
        <v>OK</v>
      </c>
      <c r="H50" s="214" t="str">
        <f>IF(Scoring!AI51="","",Scoring!AI51)</f>
        <v>OK</v>
      </c>
      <c r="I50" s="214" t="str">
        <f>IF(Scoring!AJ51="","",Scoring!AJ51)</f>
        <v>OK</v>
      </c>
      <c r="J50" s="214" t="str">
        <f>IF(Scoring!AK51="","",Scoring!AK51)</f>
        <v>OK</v>
      </c>
    </row>
    <row r="51" spans="1:10" ht="14.25" customHeight="1" x14ac:dyDescent="0.2">
      <c r="A51" t="s">
        <v>296</v>
      </c>
    </row>
    <row r="52" spans="1:10" ht="15" customHeight="1" x14ac:dyDescent="0.2">
      <c r="A52" s="94">
        <f>SUBTOTAL(103,A2:A50)</f>
        <v>49</v>
      </c>
      <c r="B52" s="94" t="s">
        <v>297</v>
      </c>
    </row>
  </sheetData>
  <conditionalFormatting sqref="F2:F50">
    <cfRule type="cellIs" dxfId="85" priority="2" operator="equal">
      <formula>"STRONG BUY"</formula>
    </cfRule>
    <cfRule type="cellIs" dxfId="84" priority="3" operator="equal">
      <formula>"BUY"</formula>
    </cfRule>
    <cfRule type="cellIs" dxfId="83" priority="4" operator="equal">
      <formula>"WATCH LIST"</formula>
    </cfRule>
    <cfRule type="cellIs" dxfId="82" priority="5" operator="equal">
      <formula>"AVOID"</formula>
    </cfRule>
    <cfRule type="cellIs" dxfId="81" priority="6" operator="equal">
      <formula>"PASS"</formula>
    </cfRule>
  </conditionalFormatting>
  <conditionalFormatting sqref="G2:G50">
    <cfRule type="cellIs" dxfId="80" priority="7" operator="equal">
      <formula>"FAIL"</formula>
    </cfRule>
  </conditionalFormatting>
  <conditionalFormatting sqref="H2:H50">
    <cfRule type="cellIs" dxfId="79" priority="9" operator="equal">
      <formula>"REVIEW"</formula>
    </cfRule>
  </conditionalFormatting>
  <conditionalFormatting sqref="I2:I50">
    <cfRule type="cellIs" dxfId="78" priority="8" operator="equal">
      <formula>"AVOID"</formula>
    </cfRule>
  </conditionalFormatting>
  <conditionalFormatting sqref="J2:J50">
    <cfRule type="cellIs" dxfId="77" priority="10" operator="equal">
      <formula>"CAP AT BUY"</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T64"/>
  <sheetViews>
    <sheetView showGridLines="0" zoomScaleNormal="100" workbookViewId="0">
      <pane xSplit="3" ySplit="2" topLeftCell="R3" activePane="bottomRight" state="frozen"/>
      <selection pane="topRight" activeCell="AI1" sqref="AI1"/>
      <selection pane="bottomLeft" activeCell="A43" sqref="A43"/>
      <selection pane="bottomRight" activeCell="AM55" sqref="AM55"/>
    </sheetView>
  </sheetViews>
  <sheetFormatPr baseColWidth="10" defaultColWidth="8.6640625" defaultRowHeight="14" outlineLevelRow="1" outlineLevelCol="1" x14ac:dyDescent="0.15"/>
  <cols>
    <col min="1" max="1" width="8" style="27" customWidth="1"/>
    <col min="2" max="2" width="19.83203125" style="27" customWidth="1"/>
    <col min="3" max="3" width="10" style="27" customWidth="1"/>
    <col min="4" max="4" width="8.83203125" style="27" customWidth="1" outlineLevel="1"/>
    <col min="5" max="5" width="7.1640625" style="27" customWidth="1" outlineLevel="1"/>
    <col min="6" max="6" width="7.6640625" style="27" customWidth="1" outlineLevel="1"/>
    <col min="7" max="7" width="6.83203125" style="27" customWidth="1" outlineLevel="1"/>
    <col min="8" max="8" width="7.1640625" style="27" customWidth="1" outlineLevel="1"/>
    <col min="9" max="9" width="6.5" style="27" customWidth="1" outlineLevel="1"/>
    <col min="10" max="10" width="7.83203125" style="27" customWidth="1" outlineLevel="1"/>
    <col min="11" max="11" width="6.5" style="27" customWidth="1" outlineLevel="1"/>
    <col min="12" max="12" width="7.5" style="27" customWidth="1" outlineLevel="1"/>
    <col min="13" max="13" width="9.5" style="27" customWidth="1" outlineLevel="1"/>
    <col min="14" max="14" width="8.83203125" style="27" customWidth="1" outlineLevel="1"/>
    <col min="15" max="15" width="7.5" style="27" customWidth="1" outlineLevel="1"/>
    <col min="16" max="16" width="8.83203125" style="27" customWidth="1" outlineLevel="1"/>
    <col min="17" max="17" width="6.5" style="27" customWidth="1" outlineLevel="1"/>
    <col min="18" max="18" width="6.83203125" style="27" customWidth="1" outlineLevel="1"/>
    <col min="19" max="19" width="6.33203125" style="27" customWidth="1" outlineLevel="1"/>
    <col min="20" max="20" width="7.83203125" style="27" customWidth="1" outlineLevel="1"/>
    <col min="21" max="21" width="6.33203125" style="27" customWidth="1" outlineLevel="1"/>
    <col min="22" max="22" width="8.83203125" style="27" customWidth="1" outlineLevel="1"/>
    <col min="23" max="23" width="6.33203125" style="27" customWidth="1" outlineLevel="1"/>
    <col min="24" max="24" width="7.1640625" style="27" customWidth="1" outlineLevel="1"/>
    <col min="25" max="25" width="8" style="27" customWidth="1" outlineLevel="1"/>
    <col min="26" max="26" width="6.1640625" style="27" customWidth="1" outlineLevel="1"/>
    <col min="27" max="27" width="9.5" style="27" customWidth="1" outlineLevel="1"/>
    <col min="28" max="28" width="6.83203125" style="27" customWidth="1" outlineLevel="1"/>
    <col min="29" max="29" width="8" style="27" customWidth="1" outlineLevel="1"/>
    <col min="30" max="30" width="6.5" style="27" customWidth="1" outlineLevel="1"/>
    <col min="31" max="31" width="7.6640625" style="27" customWidth="1" outlineLevel="1"/>
    <col min="32" max="32" width="9" style="27" customWidth="1" outlineLevel="1"/>
    <col min="33" max="33" width="12" style="27" customWidth="1"/>
    <col min="34" max="34" width="8" style="27" customWidth="1"/>
    <col min="35" max="35" width="6.5" style="27" customWidth="1"/>
    <col min="36" max="36" width="7" style="27" customWidth="1"/>
    <col min="37" max="37" width="7.6640625" style="27" customWidth="1"/>
    <col min="38" max="38" width="16.1640625" style="27" customWidth="1"/>
    <col min="39" max="39" width="24.83203125" style="27" customWidth="1"/>
    <col min="40" max="40" width="13.6640625" style="27" hidden="1" customWidth="1" outlineLevel="1"/>
    <col min="41" max="41" width="14.1640625" style="27" hidden="1" customWidth="1" outlineLevel="1"/>
    <col min="42" max="45" width="10" style="27" hidden="1" customWidth="1" outlineLevel="1"/>
    <col min="46" max="46" width="8.6640625" style="27" collapsed="1"/>
    <col min="47" max="16384" width="8.6640625" style="27"/>
  </cols>
  <sheetData>
    <row r="1" spans="1:45" ht="21.75" customHeight="1" x14ac:dyDescent="0.15">
      <c r="D1" s="176" t="s">
        <v>298</v>
      </c>
      <c r="E1" s="176"/>
      <c r="F1" s="176"/>
      <c r="G1" s="176"/>
      <c r="H1" s="176"/>
      <c r="I1" s="176"/>
      <c r="J1" s="176"/>
      <c r="K1" s="176"/>
      <c r="L1" s="176"/>
      <c r="M1" s="176"/>
      <c r="N1" s="176"/>
      <c r="O1" s="176"/>
      <c r="P1" s="176" t="s">
        <v>299</v>
      </c>
      <c r="Q1" s="176"/>
      <c r="R1" s="176"/>
      <c r="S1" s="176"/>
      <c r="T1" s="176"/>
      <c r="U1" s="176"/>
      <c r="V1" s="176"/>
      <c r="W1" s="176"/>
      <c r="X1" s="176"/>
      <c r="Y1" s="177" t="s">
        <v>300</v>
      </c>
      <c r="Z1" s="177"/>
      <c r="AA1" s="177"/>
      <c r="AB1" s="177"/>
      <c r="AC1" s="177"/>
      <c r="AD1" s="177"/>
      <c r="AE1" s="177"/>
      <c r="AH1" s="178" t="s">
        <v>301</v>
      </c>
      <c r="AI1" s="178"/>
      <c r="AJ1" s="178"/>
      <c r="AK1" s="178"/>
      <c r="AL1" s="178" t="s">
        <v>302</v>
      </c>
      <c r="AM1" s="178"/>
      <c r="AN1" s="179" t="s">
        <v>303</v>
      </c>
      <c r="AO1" s="179"/>
      <c r="AP1" s="179"/>
      <c r="AQ1" s="179"/>
      <c r="AR1" s="179"/>
      <c r="AS1" s="179"/>
    </row>
    <row r="2" spans="1:45" ht="39.75" customHeight="1" x14ac:dyDescent="0.15">
      <c r="A2" s="96" t="s">
        <v>81</v>
      </c>
      <c r="B2" s="96" t="s">
        <v>287</v>
      </c>
      <c r="C2" s="96" t="s">
        <v>304</v>
      </c>
      <c r="D2" s="96" t="s">
        <v>305</v>
      </c>
      <c r="E2" s="96" t="s">
        <v>306</v>
      </c>
      <c r="F2" s="96" t="s">
        <v>307</v>
      </c>
      <c r="G2" s="96" t="s">
        <v>306</v>
      </c>
      <c r="H2" s="96" t="s">
        <v>308</v>
      </c>
      <c r="I2" s="96" t="s">
        <v>306</v>
      </c>
      <c r="J2" s="96" t="s">
        <v>309</v>
      </c>
      <c r="K2" s="96" t="s">
        <v>306</v>
      </c>
      <c r="L2" s="96" t="s">
        <v>310</v>
      </c>
      <c r="M2" s="96" t="s">
        <v>311</v>
      </c>
      <c r="N2" s="96" t="s">
        <v>312</v>
      </c>
      <c r="O2" s="96" t="s">
        <v>313</v>
      </c>
      <c r="P2" s="96" t="s">
        <v>314</v>
      </c>
      <c r="Q2" s="96" t="s">
        <v>306</v>
      </c>
      <c r="R2" s="96" t="s">
        <v>315</v>
      </c>
      <c r="S2" s="96" t="s">
        <v>306</v>
      </c>
      <c r="T2" s="96" t="s">
        <v>316</v>
      </c>
      <c r="U2" s="96" t="s">
        <v>306</v>
      </c>
      <c r="V2" s="96" t="s">
        <v>317</v>
      </c>
      <c r="W2" s="96" t="s">
        <v>306</v>
      </c>
      <c r="X2" s="96" t="s">
        <v>318</v>
      </c>
      <c r="Y2" s="96" t="s">
        <v>319</v>
      </c>
      <c r="Z2" s="96" t="s">
        <v>306</v>
      </c>
      <c r="AA2" s="96" t="s">
        <v>320</v>
      </c>
      <c r="AB2" s="96" t="s">
        <v>306</v>
      </c>
      <c r="AC2" s="96" t="s">
        <v>321</v>
      </c>
      <c r="AD2" s="96" t="s">
        <v>306</v>
      </c>
      <c r="AE2" s="96" t="s">
        <v>322</v>
      </c>
      <c r="AF2" s="96" t="s">
        <v>323</v>
      </c>
      <c r="AG2" s="96" t="s">
        <v>291</v>
      </c>
      <c r="AH2" s="97" t="s">
        <v>324</v>
      </c>
      <c r="AI2" s="97" t="s">
        <v>325</v>
      </c>
      <c r="AJ2" s="97" t="s">
        <v>326</v>
      </c>
      <c r="AK2" s="97" t="s">
        <v>327</v>
      </c>
      <c r="AL2" s="95" t="s">
        <v>328</v>
      </c>
      <c r="AM2" s="88" t="s">
        <v>329</v>
      </c>
      <c r="AN2" s="98" t="s">
        <v>330</v>
      </c>
      <c r="AO2" s="98" t="s">
        <v>331</v>
      </c>
      <c r="AP2" s="98" t="s">
        <v>332</v>
      </c>
      <c r="AQ2" s="98" t="s">
        <v>333</v>
      </c>
      <c r="AR2" s="98" t="s">
        <v>334</v>
      </c>
      <c r="AS2" s="99" t="s">
        <v>335</v>
      </c>
    </row>
    <row r="3" spans="1:45" ht="15" customHeight="1" x14ac:dyDescent="0.15">
      <c r="A3" s="58" t="s">
        <v>108</v>
      </c>
      <c r="B3" s="100" t="s">
        <v>109</v>
      </c>
      <c r="C3" s="101">
        <v>46295</v>
      </c>
      <c r="D3" s="102">
        <v>3</v>
      </c>
      <c r="E3" s="102" t="s">
        <v>336</v>
      </c>
      <c r="F3" s="102">
        <v>3</v>
      </c>
      <c r="G3" s="102" t="s">
        <v>336</v>
      </c>
      <c r="H3" s="102">
        <v>4</v>
      </c>
      <c r="I3" s="102" t="s">
        <v>337</v>
      </c>
      <c r="J3" s="102">
        <v>5</v>
      </c>
      <c r="K3" s="102" t="s">
        <v>337</v>
      </c>
      <c r="L3" s="102">
        <v>2</v>
      </c>
      <c r="M3" s="102" t="s">
        <v>336</v>
      </c>
      <c r="N3" s="103">
        <f t="shared" ref="N3:N34" si="0">IF(COUNT(D3,F3,H3,J3,L3)=0,"",(D3*0.2+F3*0.15+H3*0.15+J3*0.1+L3*0.1)/(IF(D3&lt;&gt;"",0.2,0)+IF(F3&lt;&gt;"",0.15,0)+IF(H3&lt;&gt;"",0.15,0)+IF(J3&lt;&gt;"",0.1,0)+IF(L3&lt;&gt;"",0.1,0)))</f>
        <v>3.3571428571428577</v>
      </c>
      <c r="O3" s="104">
        <f t="shared" ref="O3:O34" si="1">IF(COUNT(D3,F3,H3,J3,L3)=0,"",D3*0.2+F3*0.15+H3*0.15+J3*0.1+L3*0.1)</f>
        <v>2.35</v>
      </c>
      <c r="P3" s="102">
        <v>4</v>
      </c>
      <c r="Q3" s="102" t="s">
        <v>336</v>
      </c>
      <c r="R3" s="102">
        <v>5</v>
      </c>
      <c r="S3" s="102" t="s">
        <v>336</v>
      </c>
      <c r="T3" s="102">
        <v>5</v>
      </c>
      <c r="U3" s="102" t="s">
        <v>337</v>
      </c>
      <c r="V3" s="102">
        <v>1</v>
      </c>
      <c r="W3" s="102" t="s">
        <v>337</v>
      </c>
      <c r="X3" s="104">
        <f t="shared" ref="X3:X34" si="2">IF(COUNT(P3,R3,T3,V3)=0,"",P3*0.08+R3*0.06+T3*0.03+V3*0.08)</f>
        <v>0.85</v>
      </c>
      <c r="Y3" s="102">
        <v>5</v>
      </c>
      <c r="Z3" s="102" t="s">
        <v>337</v>
      </c>
      <c r="AA3" s="102">
        <v>3</v>
      </c>
      <c r="AB3" s="102" t="s">
        <v>336</v>
      </c>
      <c r="AC3" s="102">
        <v>3</v>
      </c>
      <c r="AD3" s="102" t="s">
        <v>338</v>
      </c>
      <c r="AE3" s="104">
        <f t="shared" ref="AE3:AE34" si="3">IF(COUNT(Y3,AA3,AC3)=0,"",Y3*0.02+AA3*0.02+AC3*0.01)</f>
        <v>0.19</v>
      </c>
      <c r="AF3" s="93">
        <f t="shared" ref="AF3:AF34" si="4">IF(OR(COUNT(D3,F3,H3,J3,L3)&lt;5,COUNT(P3,R3,T3,V3)&lt;4,COUNT(Y3,AA3,AC3)&lt;3),"",(O3+X3+AE3)*20)</f>
        <v>67.8</v>
      </c>
      <c r="AG3" s="89" t="str">
        <f t="shared" ref="AG3:AG34" si="5">IF(AF3="","",IF(AJ3="AVOID","AVOID",IF(AF3&gt;=80,IF(AH3="FAIL","WATCH LIST",IF(AK3="CAP AT BUY","BUY","STRONG BUY")),IF(AF3&gt;=65,IF(AH3="FAIL","WATCH LIST","BUY"),IF(AF3&gt;=50,"WATCH LIST",IF(AF3&gt;=35,"AVOID","PASS"))))))</f>
        <v>BUY</v>
      </c>
      <c r="AH3" s="89" t="str">
        <f t="shared" ref="AH3:AH34" si="6">IF(N3="","",IF(N3&lt;3,"FAIL","OK"))</f>
        <v>OK</v>
      </c>
      <c r="AI3" s="89" t="str">
        <f t="shared" ref="AI3:AI34" si="7">IF(COUNT(D3:L3)=0,"",IF(COUNTIF(D3:L3,1)&gt;0,"REVIEW","OK"))</f>
        <v>OK</v>
      </c>
      <c r="AJ3" s="89" t="str">
        <f t="shared" ref="AJ3:AJ34" si="8">IF(COUNT(D3:L3)=0,"",IF(COUNTIF(D3:L3,"&lt;=2")&gt;=2,"AVOID","OK"))</f>
        <v>OK</v>
      </c>
      <c r="AK3" s="89" t="str">
        <f t="shared" ref="AK3:AK34" si="9">IF(COUNTA(E3:M3)=0,"",IF(COUNTIF(E3:M3,"L")&gt;=2,"CAP AT BUY","OK"))</f>
        <v>OK</v>
      </c>
      <c r="AL3" s="105" t="s">
        <v>339</v>
      </c>
      <c r="AM3" s="106" t="s">
        <v>340</v>
      </c>
      <c r="AN3" s="107">
        <v>17525000000</v>
      </c>
      <c r="AO3" s="108">
        <v>8539000000</v>
      </c>
      <c r="AP3" s="102" t="str">
        <f t="shared" ref="AP3:AP34" si="10">IF(OR(AN3="",AO3=""),"",IF(AN3&gt;AO3,"OK","LOW CONF"))</f>
        <v>OK</v>
      </c>
      <c r="AQ3" s="109">
        <v>9.1590000000000007</v>
      </c>
      <c r="AR3" s="104">
        <v>115.76</v>
      </c>
      <c r="AS3" s="110" t="str">
        <f t="shared" ref="AS3:AS34" si="11">IF(OR(AQ3="",AR3=""),"",IF(AQ3&lt;AR3,"Decreased",IF(AQ3&gt;AR3,"Increased","Flat")))</f>
        <v>Decreased</v>
      </c>
    </row>
    <row r="4" spans="1:45" ht="15" customHeight="1" x14ac:dyDescent="0.15">
      <c r="A4" s="58" t="s">
        <v>165</v>
      </c>
      <c r="B4" s="100" t="s">
        <v>166</v>
      </c>
      <c r="C4" s="101">
        <v>46295</v>
      </c>
      <c r="D4" s="102">
        <v>2</v>
      </c>
      <c r="E4" s="102" t="s">
        <v>336</v>
      </c>
      <c r="F4" s="102">
        <v>3</v>
      </c>
      <c r="G4" s="102" t="s">
        <v>336</v>
      </c>
      <c r="H4" s="102">
        <v>5</v>
      </c>
      <c r="I4" s="102" t="s">
        <v>337</v>
      </c>
      <c r="J4" s="102">
        <v>4</v>
      </c>
      <c r="K4" s="102" t="s">
        <v>336</v>
      </c>
      <c r="L4" s="102">
        <v>2</v>
      </c>
      <c r="M4" s="102" t="s">
        <v>336</v>
      </c>
      <c r="N4" s="103">
        <f t="shared" si="0"/>
        <v>3.1428571428571432</v>
      </c>
      <c r="O4" s="104">
        <f t="shared" si="1"/>
        <v>2.2000000000000002</v>
      </c>
      <c r="P4" s="102">
        <v>4</v>
      </c>
      <c r="Q4" s="102" t="s">
        <v>337</v>
      </c>
      <c r="R4" s="102">
        <v>4</v>
      </c>
      <c r="S4" s="102" t="s">
        <v>338</v>
      </c>
      <c r="T4" s="102">
        <v>4</v>
      </c>
      <c r="U4" s="102" t="s">
        <v>336</v>
      </c>
      <c r="V4" s="102">
        <v>4</v>
      </c>
      <c r="W4" s="102" t="s">
        <v>336</v>
      </c>
      <c r="X4" s="104">
        <f t="shared" si="2"/>
        <v>1</v>
      </c>
      <c r="Y4" s="102">
        <v>3</v>
      </c>
      <c r="Z4" s="102" t="s">
        <v>336</v>
      </c>
      <c r="AA4" s="102">
        <v>5</v>
      </c>
      <c r="AB4" s="102" t="s">
        <v>337</v>
      </c>
      <c r="AC4" s="102">
        <v>3</v>
      </c>
      <c r="AD4" s="102" t="s">
        <v>336</v>
      </c>
      <c r="AE4" s="104">
        <f t="shared" si="3"/>
        <v>0.19</v>
      </c>
      <c r="AF4" s="93">
        <f t="shared" si="4"/>
        <v>67.8</v>
      </c>
      <c r="AG4" s="89" t="str">
        <f t="shared" si="5"/>
        <v>AVOID</v>
      </c>
      <c r="AH4" s="89" t="str">
        <f t="shared" si="6"/>
        <v>OK</v>
      </c>
      <c r="AI4" s="89" t="str">
        <f t="shared" si="7"/>
        <v>OK</v>
      </c>
      <c r="AJ4" s="89" t="str">
        <f t="shared" si="8"/>
        <v>AVOID</v>
      </c>
      <c r="AK4" s="89" t="str">
        <f t="shared" si="9"/>
        <v>OK</v>
      </c>
      <c r="AL4" s="105" t="s">
        <v>339</v>
      </c>
      <c r="AM4" s="106" t="s">
        <v>340</v>
      </c>
      <c r="AN4" s="102"/>
      <c r="AO4" s="89"/>
      <c r="AP4" s="102" t="str">
        <f t="shared" si="10"/>
        <v/>
      </c>
      <c r="AQ4" s="102"/>
      <c r="AR4" s="89"/>
      <c r="AS4" s="110" t="str">
        <f t="shared" si="11"/>
        <v/>
      </c>
    </row>
    <row r="5" spans="1:45" ht="15" customHeight="1" x14ac:dyDescent="0.15">
      <c r="A5" s="58" t="s">
        <v>112</v>
      </c>
      <c r="B5" s="100" t="s">
        <v>113</v>
      </c>
      <c r="C5" s="101">
        <v>46295</v>
      </c>
      <c r="D5" s="102">
        <v>3</v>
      </c>
      <c r="E5" s="102" t="s">
        <v>336</v>
      </c>
      <c r="F5" s="102">
        <v>4</v>
      </c>
      <c r="G5" s="102" t="s">
        <v>336</v>
      </c>
      <c r="H5" s="102">
        <v>5</v>
      </c>
      <c r="I5" s="102" t="s">
        <v>336</v>
      </c>
      <c r="J5" s="102">
        <v>4</v>
      </c>
      <c r="K5" s="102" t="s">
        <v>336</v>
      </c>
      <c r="L5" s="102">
        <v>5</v>
      </c>
      <c r="M5" s="102" t="s">
        <v>336</v>
      </c>
      <c r="N5" s="103">
        <f t="shared" si="0"/>
        <v>4.0714285714285721</v>
      </c>
      <c r="O5" s="104">
        <f t="shared" si="1"/>
        <v>2.85</v>
      </c>
      <c r="P5" s="102">
        <v>3</v>
      </c>
      <c r="Q5" s="102" t="s">
        <v>336</v>
      </c>
      <c r="R5" s="102">
        <v>5</v>
      </c>
      <c r="S5" s="102" t="s">
        <v>337</v>
      </c>
      <c r="T5" s="102">
        <v>3</v>
      </c>
      <c r="U5" s="102" t="s">
        <v>336</v>
      </c>
      <c r="V5" s="102">
        <v>2</v>
      </c>
      <c r="W5" s="102" t="s">
        <v>336</v>
      </c>
      <c r="X5" s="104">
        <f t="shared" si="2"/>
        <v>0.79</v>
      </c>
      <c r="Y5" s="102">
        <v>3</v>
      </c>
      <c r="Z5" s="102" t="s">
        <v>338</v>
      </c>
      <c r="AA5" s="102">
        <v>4</v>
      </c>
      <c r="AB5" s="102" t="s">
        <v>336</v>
      </c>
      <c r="AC5" s="102">
        <v>3</v>
      </c>
      <c r="AD5" s="102" t="s">
        <v>338</v>
      </c>
      <c r="AE5" s="104">
        <f t="shared" si="3"/>
        <v>0.17</v>
      </c>
      <c r="AF5" s="93">
        <f t="shared" si="4"/>
        <v>76.2</v>
      </c>
      <c r="AG5" s="89" t="str">
        <f t="shared" si="5"/>
        <v>BUY</v>
      </c>
      <c r="AH5" s="89" t="str">
        <f t="shared" si="6"/>
        <v>OK</v>
      </c>
      <c r="AI5" s="89" t="str">
        <f t="shared" si="7"/>
        <v>OK</v>
      </c>
      <c r="AJ5" s="89" t="str">
        <f t="shared" si="8"/>
        <v>OK</v>
      </c>
      <c r="AK5" s="89" t="str">
        <f t="shared" si="9"/>
        <v>OK</v>
      </c>
      <c r="AL5" s="105" t="s">
        <v>339</v>
      </c>
      <c r="AM5" s="106" t="s">
        <v>341</v>
      </c>
      <c r="AN5" s="102"/>
      <c r="AO5" s="89"/>
      <c r="AP5" s="102" t="str">
        <f t="shared" si="10"/>
        <v/>
      </c>
      <c r="AQ5" s="102"/>
      <c r="AR5" s="89"/>
      <c r="AS5" s="110" t="str">
        <f t="shared" si="11"/>
        <v/>
      </c>
    </row>
    <row r="6" spans="1:45" ht="15" customHeight="1" x14ac:dyDescent="0.15">
      <c r="A6" s="58" t="s">
        <v>110</v>
      </c>
      <c r="B6" s="100" t="s">
        <v>111</v>
      </c>
      <c r="C6" s="101">
        <v>46295</v>
      </c>
      <c r="D6" s="102">
        <v>3</v>
      </c>
      <c r="E6" s="102" t="s">
        <v>336</v>
      </c>
      <c r="F6" s="102">
        <v>5</v>
      </c>
      <c r="G6" s="102" t="s">
        <v>336</v>
      </c>
      <c r="H6" s="102">
        <v>5</v>
      </c>
      <c r="I6" s="102" t="s">
        <v>337</v>
      </c>
      <c r="J6" s="102">
        <v>4</v>
      </c>
      <c r="K6" s="102" t="s">
        <v>337</v>
      </c>
      <c r="L6" s="102">
        <v>5</v>
      </c>
      <c r="M6" s="102" t="s">
        <v>336</v>
      </c>
      <c r="N6" s="103">
        <f t="shared" si="0"/>
        <v>4.2857142857142856</v>
      </c>
      <c r="O6" s="104">
        <f t="shared" si="1"/>
        <v>3</v>
      </c>
      <c r="P6" s="102">
        <v>5</v>
      </c>
      <c r="Q6" s="102" t="s">
        <v>337</v>
      </c>
      <c r="R6" s="102">
        <v>5</v>
      </c>
      <c r="S6" s="102" t="s">
        <v>337</v>
      </c>
      <c r="T6" s="102">
        <v>5</v>
      </c>
      <c r="U6" s="102" t="s">
        <v>337</v>
      </c>
      <c r="V6" s="102">
        <v>5</v>
      </c>
      <c r="W6" s="102" t="s">
        <v>336</v>
      </c>
      <c r="X6" s="104">
        <f t="shared" si="2"/>
        <v>1.25</v>
      </c>
      <c r="Y6" s="102">
        <v>4</v>
      </c>
      <c r="Z6" s="102" t="s">
        <v>336</v>
      </c>
      <c r="AA6" s="102">
        <v>5</v>
      </c>
      <c r="AB6" s="102" t="s">
        <v>336</v>
      </c>
      <c r="AC6" s="102">
        <v>3</v>
      </c>
      <c r="AD6" s="102" t="s">
        <v>338</v>
      </c>
      <c r="AE6" s="104">
        <f t="shared" si="3"/>
        <v>0.21</v>
      </c>
      <c r="AF6" s="93">
        <f t="shared" si="4"/>
        <v>89.2</v>
      </c>
      <c r="AG6" s="89" t="str">
        <f t="shared" si="5"/>
        <v>STRONG BUY</v>
      </c>
      <c r="AH6" s="89" t="str">
        <f t="shared" si="6"/>
        <v>OK</v>
      </c>
      <c r="AI6" s="89" t="str">
        <f t="shared" si="7"/>
        <v>OK</v>
      </c>
      <c r="AJ6" s="89" t="str">
        <f t="shared" si="8"/>
        <v>OK</v>
      </c>
      <c r="AK6" s="89" t="str">
        <f t="shared" si="9"/>
        <v>OK</v>
      </c>
      <c r="AL6" s="105" t="s">
        <v>339</v>
      </c>
      <c r="AM6" s="106" t="s">
        <v>340</v>
      </c>
      <c r="AN6" s="102"/>
      <c r="AO6" s="89"/>
      <c r="AP6" s="102" t="str">
        <f t="shared" si="10"/>
        <v/>
      </c>
      <c r="AQ6" s="102"/>
      <c r="AR6" s="89"/>
      <c r="AS6" s="110" t="str">
        <f t="shared" si="11"/>
        <v/>
      </c>
    </row>
    <row r="7" spans="1:45" ht="15" customHeight="1" x14ac:dyDescent="0.15">
      <c r="A7" s="58" t="s">
        <v>167</v>
      </c>
      <c r="B7" s="100" t="s">
        <v>168</v>
      </c>
      <c r="C7" s="101">
        <v>46295</v>
      </c>
      <c r="D7" s="102">
        <v>2</v>
      </c>
      <c r="E7" s="102" t="s">
        <v>336</v>
      </c>
      <c r="F7" s="102">
        <v>4</v>
      </c>
      <c r="G7" s="102" t="s">
        <v>336</v>
      </c>
      <c r="H7" s="102">
        <v>4</v>
      </c>
      <c r="I7" s="102" t="s">
        <v>336</v>
      </c>
      <c r="J7" s="102">
        <v>4</v>
      </c>
      <c r="K7" s="102" t="s">
        <v>336</v>
      </c>
      <c r="L7" s="102">
        <v>2</v>
      </c>
      <c r="M7" s="102" t="s">
        <v>336</v>
      </c>
      <c r="N7" s="103">
        <f t="shared" si="0"/>
        <v>3.1428571428571432</v>
      </c>
      <c r="O7" s="104">
        <f t="shared" si="1"/>
        <v>2.2000000000000002</v>
      </c>
      <c r="P7" s="102">
        <v>3</v>
      </c>
      <c r="Q7" s="102" t="s">
        <v>336</v>
      </c>
      <c r="R7" s="102">
        <v>4</v>
      </c>
      <c r="S7" s="102" t="s">
        <v>336</v>
      </c>
      <c r="T7" s="102">
        <v>4</v>
      </c>
      <c r="U7" s="102" t="s">
        <v>336</v>
      </c>
      <c r="V7" s="102">
        <v>4</v>
      </c>
      <c r="W7" s="102" t="s">
        <v>336</v>
      </c>
      <c r="X7" s="104">
        <f t="shared" si="2"/>
        <v>0.91999999999999993</v>
      </c>
      <c r="Y7" s="102">
        <v>4</v>
      </c>
      <c r="Z7" s="102" t="s">
        <v>336</v>
      </c>
      <c r="AA7" s="102">
        <v>5</v>
      </c>
      <c r="AB7" s="102" t="s">
        <v>337</v>
      </c>
      <c r="AC7" s="102">
        <v>3</v>
      </c>
      <c r="AD7" s="102" t="s">
        <v>338</v>
      </c>
      <c r="AE7" s="104">
        <f t="shared" si="3"/>
        <v>0.21</v>
      </c>
      <c r="AF7" s="93">
        <f t="shared" si="4"/>
        <v>66.599999999999994</v>
      </c>
      <c r="AG7" s="89" t="str">
        <f t="shared" si="5"/>
        <v>AVOID</v>
      </c>
      <c r="AH7" s="89" t="str">
        <f t="shared" si="6"/>
        <v>OK</v>
      </c>
      <c r="AI7" s="89" t="str">
        <f t="shared" si="7"/>
        <v>OK</v>
      </c>
      <c r="AJ7" s="89" t="str">
        <f t="shared" si="8"/>
        <v>AVOID</v>
      </c>
      <c r="AK7" s="89" t="str">
        <f t="shared" si="9"/>
        <v>OK</v>
      </c>
      <c r="AL7" s="105" t="s">
        <v>342</v>
      </c>
      <c r="AM7" s="106" t="s">
        <v>343</v>
      </c>
      <c r="AN7" s="107">
        <v>3631400000</v>
      </c>
      <c r="AO7" s="108">
        <v>3953200000</v>
      </c>
      <c r="AP7" s="102" t="str">
        <f t="shared" si="10"/>
        <v>LOW CONF</v>
      </c>
      <c r="AQ7" s="109">
        <v>0.63600000000000001</v>
      </c>
      <c r="AR7" s="104">
        <v>-1.784</v>
      </c>
      <c r="AS7" s="110" t="str">
        <f t="shared" si="11"/>
        <v>Increased</v>
      </c>
    </row>
    <row r="8" spans="1:45" ht="15" customHeight="1" x14ac:dyDescent="0.15">
      <c r="A8" s="58" t="s">
        <v>170</v>
      </c>
      <c r="B8" s="100" t="s">
        <v>344</v>
      </c>
      <c r="C8" s="101">
        <v>46295</v>
      </c>
      <c r="D8" s="102">
        <v>4</v>
      </c>
      <c r="E8" s="102" t="s">
        <v>336</v>
      </c>
      <c r="F8" s="102">
        <v>2</v>
      </c>
      <c r="G8" s="102" t="s">
        <v>338</v>
      </c>
      <c r="H8" s="102">
        <v>5</v>
      </c>
      <c r="I8" s="102" t="s">
        <v>337</v>
      </c>
      <c r="J8" s="102">
        <v>4</v>
      </c>
      <c r="K8" s="102" t="s">
        <v>336</v>
      </c>
      <c r="L8" s="102">
        <v>5</v>
      </c>
      <c r="M8" s="102" t="s">
        <v>337</v>
      </c>
      <c r="N8" s="103">
        <f t="shared" si="0"/>
        <v>3.9285714285714288</v>
      </c>
      <c r="O8" s="104">
        <f t="shared" si="1"/>
        <v>2.75</v>
      </c>
      <c r="P8" s="102">
        <v>5</v>
      </c>
      <c r="Q8" s="102" t="s">
        <v>337</v>
      </c>
      <c r="R8" s="102">
        <v>3</v>
      </c>
      <c r="S8" s="102" t="s">
        <v>338</v>
      </c>
      <c r="T8" s="102">
        <v>4</v>
      </c>
      <c r="U8" s="102" t="s">
        <v>338</v>
      </c>
      <c r="V8" s="102">
        <v>2</v>
      </c>
      <c r="W8" s="102" t="s">
        <v>337</v>
      </c>
      <c r="X8" s="104">
        <f t="shared" si="2"/>
        <v>0.8600000000000001</v>
      </c>
      <c r="Y8" s="102">
        <v>4</v>
      </c>
      <c r="Z8" s="102" t="s">
        <v>338</v>
      </c>
      <c r="AA8" s="102">
        <v>4</v>
      </c>
      <c r="AB8" s="102" t="s">
        <v>336</v>
      </c>
      <c r="AC8" s="102">
        <v>3</v>
      </c>
      <c r="AD8" s="102" t="s">
        <v>338</v>
      </c>
      <c r="AE8" s="104">
        <f t="shared" si="3"/>
        <v>0.19</v>
      </c>
      <c r="AF8" s="93">
        <f t="shared" si="4"/>
        <v>76</v>
      </c>
      <c r="AG8" s="89" t="str">
        <f t="shared" si="5"/>
        <v>BUY</v>
      </c>
      <c r="AH8" s="89" t="str">
        <f t="shared" si="6"/>
        <v>OK</v>
      </c>
      <c r="AI8" s="89" t="str">
        <f t="shared" si="7"/>
        <v>OK</v>
      </c>
      <c r="AJ8" s="89" t="str">
        <f t="shared" si="8"/>
        <v>OK</v>
      </c>
      <c r="AK8" s="89" t="str">
        <f t="shared" si="9"/>
        <v>OK</v>
      </c>
      <c r="AL8" s="105" t="s">
        <v>345</v>
      </c>
      <c r="AM8" s="106" t="s">
        <v>346</v>
      </c>
      <c r="AN8" s="102"/>
      <c r="AO8" s="89"/>
      <c r="AP8" s="102" t="str">
        <f t="shared" si="10"/>
        <v/>
      </c>
      <c r="AQ8" s="102"/>
      <c r="AR8" s="89"/>
      <c r="AS8" s="110" t="str">
        <f t="shared" si="11"/>
        <v/>
      </c>
    </row>
    <row r="9" spans="1:45" ht="15" hidden="1" customHeight="1" outlineLevel="1" x14ac:dyDescent="0.15">
      <c r="A9" s="58" t="s">
        <v>173</v>
      </c>
      <c r="B9" s="100" t="s">
        <v>174</v>
      </c>
      <c r="C9" s="101">
        <v>46240</v>
      </c>
      <c r="D9" s="102">
        <v>2</v>
      </c>
      <c r="E9" s="102" t="s">
        <v>336</v>
      </c>
      <c r="F9" s="102">
        <v>2</v>
      </c>
      <c r="G9" s="102" t="s">
        <v>336</v>
      </c>
      <c r="H9" s="102">
        <v>2</v>
      </c>
      <c r="I9" s="102" t="s">
        <v>336</v>
      </c>
      <c r="J9" s="102">
        <v>2</v>
      </c>
      <c r="K9" s="102" t="s">
        <v>336</v>
      </c>
      <c r="L9" s="102">
        <v>1</v>
      </c>
      <c r="M9" s="102" t="s">
        <v>337</v>
      </c>
      <c r="N9" s="103">
        <f t="shared" si="0"/>
        <v>1.8571428571428574</v>
      </c>
      <c r="O9" s="104">
        <f t="shared" si="1"/>
        <v>1.3</v>
      </c>
      <c r="P9" s="102"/>
      <c r="Q9" s="102"/>
      <c r="R9" s="102"/>
      <c r="S9" s="102"/>
      <c r="T9" s="102"/>
      <c r="U9" s="102"/>
      <c r="V9" s="102"/>
      <c r="W9" s="102"/>
      <c r="X9" s="104" t="str">
        <f t="shared" si="2"/>
        <v/>
      </c>
      <c r="Y9" s="102"/>
      <c r="Z9" s="102"/>
      <c r="AA9" s="102"/>
      <c r="AB9" s="102"/>
      <c r="AC9" s="102"/>
      <c r="AD9" s="102"/>
      <c r="AE9" s="104" t="str">
        <f t="shared" si="3"/>
        <v/>
      </c>
      <c r="AF9" s="93" t="str">
        <f t="shared" si="4"/>
        <v/>
      </c>
      <c r="AG9" s="89" t="str">
        <f t="shared" si="5"/>
        <v/>
      </c>
      <c r="AH9" s="89" t="str">
        <f t="shared" si="6"/>
        <v>FAIL</v>
      </c>
      <c r="AI9" s="89" t="str">
        <f t="shared" si="7"/>
        <v>REVIEW</v>
      </c>
      <c r="AJ9" s="89" t="str">
        <f t="shared" si="8"/>
        <v>AVOID</v>
      </c>
      <c r="AK9" s="89" t="str">
        <f t="shared" si="9"/>
        <v>OK</v>
      </c>
      <c r="AL9" s="105" t="s">
        <v>347</v>
      </c>
      <c r="AM9" s="106" t="s">
        <v>348</v>
      </c>
      <c r="AN9" s="107">
        <v>715998000</v>
      </c>
      <c r="AO9" s="108">
        <v>523670000</v>
      </c>
      <c r="AP9" s="102" t="str">
        <f t="shared" si="10"/>
        <v>OK</v>
      </c>
      <c r="AQ9" s="109">
        <v>4.1550000000000002</v>
      </c>
      <c r="AR9" s="104">
        <v>4.048</v>
      </c>
      <c r="AS9" s="110" t="str">
        <f t="shared" si="11"/>
        <v>Increased</v>
      </c>
    </row>
    <row r="10" spans="1:45" ht="15" hidden="1" customHeight="1" outlineLevel="1" x14ac:dyDescent="0.15">
      <c r="A10" s="58" t="s">
        <v>184</v>
      </c>
      <c r="B10" s="100" t="s">
        <v>185</v>
      </c>
      <c r="C10" s="101">
        <v>46240</v>
      </c>
      <c r="D10" s="102">
        <v>2</v>
      </c>
      <c r="E10" s="102" t="s">
        <v>336</v>
      </c>
      <c r="F10" s="102">
        <v>4</v>
      </c>
      <c r="G10" s="102" t="s">
        <v>337</v>
      </c>
      <c r="H10" s="102">
        <v>3</v>
      </c>
      <c r="I10" s="102" t="s">
        <v>336</v>
      </c>
      <c r="J10" s="102">
        <v>2</v>
      </c>
      <c r="K10" s="102" t="s">
        <v>336</v>
      </c>
      <c r="L10" s="102">
        <v>2</v>
      </c>
      <c r="M10" s="102" t="s">
        <v>337</v>
      </c>
      <c r="N10" s="103">
        <f t="shared" si="0"/>
        <v>2.6428571428571428</v>
      </c>
      <c r="O10" s="104">
        <f t="shared" si="1"/>
        <v>1.8499999999999999</v>
      </c>
      <c r="P10" s="102"/>
      <c r="Q10" s="102"/>
      <c r="R10" s="102"/>
      <c r="S10" s="102"/>
      <c r="T10" s="102"/>
      <c r="U10" s="102"/>
      <c r="V10" s="102"/>
      <c r="W10" s="102"/>
      <c r="X10" s="104" t="str">
        <f t="shared" si="2"/>
        <v/>
      </c>
      <c r="Y10" s="102"/>
      <c r="Z10" s="102"/>
      <c r="AA10" s="102"/>
      <c r="AB10" s="102"/>
      <c r="AC10" s="102"/>
      <c r="AD10" s="102"/>
      <c r="AE10" s="104" t="str">
        <f t="shared" si="3"/>
        <v/>
      </c>
      <c r="AF10" s="93" t="str">
        <f t="shared" si="4"/>
        <v/>
      </c>
      <c r="AG10" s="89" t="str">
        <f t="shared" si="5"/>
        <v/>
      </c>
      <c r="AH10" s="89" t="str">
        <f t="shared" si="6"/>
        <v>FAIL</v>
      </c>
      <c r="AI10" s="89" t="str">
        <f t="shared" si="7"/>
        <v>OK</v>
      </c>
      <c r="AJ10" s="89" t="str">
        <f t="shared" si="8"/>
        <v>AVOID</v>
      </c>
      <c r="AK10" s="89" t="str">
        <f t="shared" si="9"/>
        <v>OK</v>
      </c>
      <c r="AL10" s="105" t="s">
        <v>349</v>
      </c>
      <c r="AM10" s="106" t="s">
        <v>350</v>
      </c>
      <c r="AN10" s="107">
        <v>359500000</v>
      </c>
      <c r="AO10" s="108">
        <v>203700000</v>
      </c>
      <c r="AP10" s="102" t="str">
        <f t="shared" si="10"/>
        <v>OK</v>
      </c>
      <c r="AQ10" s="109">
        <v>1.857</v>
      </c>
      <c r="AR10" s="104">
        <v>0.78</v>
      </c>
      <c r="AS10" s="110" t="str">
        <f t="shared" si="11"/>
        <v>Increased</v>
      </c>
    </row>
    <row r="11" spans="1:45" ht="15" hidden="1" customHeight="1" outlineLevel="1" x14ac:dyDescent="0.15">
      <c r="A11" s="58" t="s">
        <v>176</v>
      </c>
      <c r="B11" s="100" t="s">
        <v>177</v>
      </c>
      <c r="C11" s="101">
        <v>46240</v>
      </c>
      <c r="D11" s="102">
        <v>1</v>
      </c>
      <c r="E11" s="102" t="s">
        <v>337</v>
      </c>
      <c r="F11" s="102">
        <v>2</v>
      </c>
      <c r="G11" s="102" t="s">
        <v>336</v>
      </c>
      <c r="H11" s="102">
        <v>3</v>
      </c>
      <c r="I11" s="102" t="s">
        <v>336</v>
      </c>
      <c r="J11" s="102">
        <v>3</v>
      </c>
      <c r="K11" s="102" t="s">
        <v>336</v>
      </c>
      <c r="L11" s="102">
        <v>1</v>
      </c>
      <c r="M11" s="102" t="s">
        <v>337</v>
      </c>
      <c r="N11" s="103">
        <f t="shared" si="0"/>
        <v>1.9285714285714288</v>
      </c>
      <c r="O11" s="104">
        <f t="shared" si="1"/>
        <v>1.35</v>
      </c>
      <c r="P11" s="102"/>
      <c r="Q11" s="102"/>
      <c r="R11" s="102"/>
      <c r="S11" s="102"/>
      <c r="T11" s="102"/>
      <c r="U11" s="102"/>
      <c r="V11" s="102"/>
      <c r="W11" s="102"/>
      <c r="X11" s="104" t="str">
        <f t="shared" si="2"/>
        <v/>
      </c>
      <c r="Y11" s="102"/>
      <c r="Z11" s="102"/>
      <c r="AA11" s="102"/>
      <c r="AB11" s="102"/>
      <c r="AC11" s="102"/>
      <c r="AD11" s="102"/>
      <c r="AE11" s="104" t="str">
        <f t="shared" si="3"/>
        <v/>
      </c>
      <c r="AF11" s="93" t="str">
        <f t="shared" si="4"/>
        <v/>
      </c>
      <c r="AG11" s="89" t="str">
        <f t="shared" si="5"/>
        <v/>
      </c>
      <c r="AH11" s="89" t="str">
        <f t="shared" si="6"/>
        <v>FAIL</v>
      </c>
      <c r="AI11" s="89" t="str">
        <f t="shared" si="7"/>
        <v>REVIEW</v>
      </c>
      <c r="AJ11" s="89" t="str">
        <f t="shared" si="8"/>
        <v>AVOID</v>
      </c>
      <c r="AK11" s="89" t="str">
        <f t="shared" si="9"/>
        <v>OK</v>
      </c>
      <c r="AL11" s="105" t="s">
        <v>349</v>
      </c>
      <c r="AM11" s="106" t="s">
        <v>351</v>
      </c>
      <c r="AN11" s="107">
        <v>14747000000</v>
      </c>
      <c r="AO11" s="108">
        <v>3794000000</v>
      </c>
      <c r="AP11" s="102" t="str">
        <f t="shared" si="10"/>
        <v>OK</v>
      </c>
      <c r="AQ11" s="109">
        <v>2.3660000000000001</v>
      </c>
      <c r="AR11" s="104">
        <v>3.8039999999999998</v>
      </c>
      <c r="AS11" s="110" t="str">
        <f t="shared" si="11"/>
        <v>Decreased</v>
      </c>
    </row>
    <row r="12" spans="1:45" ht="15" customHeight="1" collapsed="1" x14ac:dyDescent="0.15">
      <c r="A12" s="58" t="s">
        <v>95</v>
      </c>
      <c r="B12" s="100" t="s">
        <v>96</v>
      </c>
      <c r="C12" s="101">
        <v>46295</v>
      </c>
      <c r="D12" s="102">
        <v>5</v>
      </c>
      <c r="E12" s="102" t="s">
        <v>336</v>
      </c>
      <c r="F12" s="102">
        <v>4</v>
      </c>
      <c r="G12" s="102" t="s">
        <v>336</v>
      </c>
      <c r="H12" s="102">
        <v>4</v>
      </c>
      <c r="I12" s="102" t="s">
        <v>336</v>
      </c>
      <c r="J12" s="102">
        <v>5</v>
      </c>
      <c r="K12" s="102" t="s">
        <v>337</v>
      </c>
      <c r="L12" s="102">
        <v>5</v>
      </c>
      <c r="M12" s="102" t="s">
        <v>336</v>
      </c>
      <c r="N12" s="103">
        <f t="shared" si="0"/>
        <v>4.5714285714285721</v>
      </c>
      <c r="O12" s="104">
        <f t="shared" si="1"/>
        <v>3.2</v>
      </c>
      <c r="P12" s="102">
        <v>3</v>
      </c>
      <c r="Q12" s="102" t="s">
        <v>336</v>
      </c>
      <c r="R12" s="102">
        <v>5</v>
      </c>
      <c r="S12" s="102" t="s">
        <v>337</v>
      </c>
      <c r="T12" s="102">
        <v>1</v>
      </c>
      <c r="U12" s="102" t="s">
        <v>337</v>
      </c>
      <c r="V12" s="102">
        <v>5</v>
      </c>
      <c r="W12" s="102" t="s">
        <v>337</v>
      </c>
      <c r="X12" s="104">
        <f t="shared" si="2"/>
        <v>0.97000000000000008</v>
      </c>
      <c r="Y12" s="102">
        <v>2</v>
      </c>
      <c r="Z12" s="102" t="s">
        <v>336</v>
      </c>
      <c r="AA12" s="102">
        <v>3</v>
      </c>
      <c r="AB12" s="102" t="s">
        <v>336</v>
      </c>
      <c r="AC12" s="102">
        <v>2</v>
      </c>
      <c r="AD12" s="102" t="s">
        <v>338</v>
      </c>
      <c r="AE12" s="104">
        <f t="shared" si="3"/>
        <v>0.12000000000000001</v>
      </c>
      <c r="AF12" s="93">
        <f t="shared" si="4"/>
        <v>85.8</v>
      </c>
      <c r="AG12" s="89" t="str">
        <f t="shared" si="5"/>
        <v>STRONG BUY</v>
      </c>
      <c r="AH12" s="89" t="str">
        <f t="shared" si="6"/>
        <v>OK</v>
      </c>
      <c r="AI12" s="89" t="str">
        <f t="shared" si="7"/>
        <v>OK</v>
      </c>
      <c r="AJ12" s="89" t="str">
        <f t="shared" si="8"/>
        <v>OK</v>
      </c>
      <c r="AK12" s="89" t="str">
        <f t="shared" si="9"/>
        <v>OK</v>
      </c>
      <c r="AL12" s="105" t="s">
        <v>339</v>
      </c>
      <c r="AM12" s="106" t="s">
        <v>352</v>
      </c>
      <c r="AN12" s="102"/>
      <c r="AO12" s="89"/>
      <c r="AP12" s="102" t="str">
        <f t="shared" si="10"/>
        <v/>
      </c>
      <c r="AQ12" s="102"/>
      <c r="AR12" s="89"/>
      <c r="AS12" s="110" t="str">
        <f t="shared" si="11"/>
        <v/>
      </c>
    </row>
    <row r="13" spans="1:45" ht="15" customHeight="1" x14ac:dyDescent="0.15">
      <c r="A13" s="58" t="s">
        <v>100</v>
      </c>
      <c r="B13" s="100" t="s">
        <v>101</v>
      </c>
      <c r="C13" s="101">
        <v>46295</v>
      </c>
      <c r="D13" s="102">
        <v>3</v>
      </c>
      <c r="E13" s="102" t="s">
        <v>336</v>
      </c>
      <c r="F13" s="102">
        <v>5</v>
      </c>
      <c r="G13" s="102" t="s">
        <v>336</v>
      </c>
      <c r="H13" s="102">
        <v>5</v>
      </c>
      <c r="I13" s="102" t="s">
        <v>337</v>
      </c>
      <c r="J13" s="102">
        <v>4</v>
      </c>
      <c r="K13" s="102" t="s">
        <v>336</v>
      </c>
      <c r="L13" s="102">
        <v>5</v>
      </c>
      <c r="M13" s="102" t="s">
        <v>336</v>
      </c>
      <c r="N13" s="103">
        <f t="shared" si="0"/>
        <v>4.2857142857142856</v>
      </c>
      <c r="O13" s="104">
        <f t="shared" si="1"/>
        <v>3</v>
      </c>
      <c r="P13" s="102">
        <v>4</v>
      </c>
      <c r="Q13" s="102" t="s">
        <v>337</v>
      </c>
      <c r="R13" s="102">
        <v>5</v>
      </c>
      <c r="S13" s="102" t="s">
        <v>337</v>
      </c>
      <c r="T13" s="102">
        <v>5</v>
      </c>
      <c r="U13" s="102" t="s">
        <v>336</v>
      </c>
      <c r="V13" s="102">
        <v>1</v>
      </c>
      <c r="W13" s="102" t="s">
        <v>337</v>
      </c>
      <c r="X13" s="104">
        <f t="shared" si="2"/>
        <v>0.85</v>
      </c>
      <c r="Y13" s="102">
        <v>4</v>
      </c>
      <c r="Z13" s="102" t="s">
        <v>336</v>
      </c>
      <c r="AA13" s="102">
        <v>5</v>
      </c>
      <c r="AB13" s="102" t="s">
        <v>337</v>
      </c>
      <c r="AC13" s="102">
        <v>2</v>
      </c>
      <c r="AD13" s="102" t="s">
        <v>336</v>
      </c>
      <c r="AE13" s="104">
        <f t="shared" si="3"/>
        <v>0.19999999999999998</v>
      </c>
      <c r="AF13" s="93">
        <f t="shared" si="4"/>
        <v>81</v>
      </c>
      <c r="AG13" s="89" t="str">
        <f t="shared" si="5"/>
        <v>STRONG BUY</v>
      </c>
      <c r="AH13" s="89" t="str">
        <f t="shared" si="6"/>
        <v>OK</v>
      </c>
      <c r="AI13" s="89" t="str">
        <f t="shared" si="7"/>
        <v>OK</v>
      </c>
      <c r="AJ13" s="89" t="str">
        <f t="shared" si="8"/>
        <v>OK</v>
      </c>
      <c r="AK13" s="89" t="str">
        <f t="shared" si="9"/>
        <v>OK</v>
      </c>
      <c r="AL13" s="105" t="s">
        <v>339</v>
      </c>
      <c r="AM13" s="106" t="s">
        <v>353</v>
      </c>
      <c r="AN13" s="102"/>
      <c r="AO13" s="89"/>
      <c r="AP13" s="102" t="str">
        <f t="shared" si="10"/>
        <v/>
      </c>
      <c r="AQ13" s="102"/>
      <c r="AR13" s="89"/>
      <c r="AS13" s="110" t="str">
        <f t="shared" si="11"/>
        <v/>
      </c>
    </row>
    <row r="14" spans="1:45" ht="15" customHeight="1" x14ac:dyDescent="0.15">
      <c r="A14" s="58" t="s">
        <v>102</v>
      </c>
      <c r="B14" s="100" t="s">
        <v>103</v>
      </c>
      <c r="C14" s="101">
        <v>46295</v>
      </c>
      <c r="D14" s="102">
        <v>3</v>
      </c>
      <c r="E14" s="102" t="s">
        <v>336</v>
      </c>
      <c r="F14" s="102">
        <v>3</v>
      </c>
      <c r="G14" s="102" t="s">
        <v>336</v>
      </c>
      <c r="H14" s="102">
        <v>5</v>
      </c>
      <c r="I14" s="102" t="s">
        <v>337</v>
      </c>
      <c r="J14" s="102">
        <v>4</v>
      </c>
      <c r="K14" s="102" t="s">
        <v>336</v>
      </c>
      <c r="L14" s="102">
        <v>5</v>
      </c>
      <c r="M14" s="102" t="s">
        <v>336</v>
      </c>
      <c r="N14" s="103">
        <f t="shared" si="0"/>
        <v>3.8571428571428577</v>
      </c>
      <c r="O14" s="104">
        <f t="shared" si="1"/>
        <v>2.7</v>
      </c>
      <c r="P14" s="102">
        <v>4</v>
      </c>
      <c r="Q14" s="102" t="s">
        <v>336</v>
      </c>
      <c r="R14" s="102">
        <v>5</v>
      </c>
      <c r="S14" s="102" t="s">
        <v>337</v>
      </c>
      <c r="T14" s="102">
        <v>5</v>
      </c>
      <c r="U14" s="102" t="s">
        <v>337</v>
      </c>
      <c r="V14" s="102">
        <v>2</v>
      </c>
      <c r="W14" s="102" t="s">
        <v>336</v>
      </c>
      <c r="X14" s="104">
        <f t="shared" si="2"/>
        <v>0.93</v>
      </c>
      <c r="Y14" s="102">
        <v>5</v>
      </c>
      <c r="Z14" s="102" t="s">
        <v>336</v>
      </c>
      <c r="AA14" s="102">
        <v>5</v>
      </c>
      <c r="AB14" s="102" t="s">
        <v>337</v>
      </c>
      <c r="AC14" s="102">
        <v>3</v>
      </c>
      <c r="AD14" s="102" t="s">
        <v>338</v>
      </c>
      <c r="AE14" s="104">
        <f t="shared" si="3"/>
        <v>0.23</v>
      </c>
      <c r="AF14" s="93">
        <f t="shared" si="4"/>
        <v>77.2</v>
      </c>
      <c r="AG14" s="89" t="str">
        <f t="shared" si="5"/>
        <v>BUY</v>
      </c>
      <c r="AH14" s="89" t="str">
        <f t="shared" si="6"/>
        <v>OK</v>
      </c>
      <c r="AI14" s="89" t="str">
        <f t="shared" si="7"/>
        <v>OK</v>
      </c>
      <c r="AJ14" s="89" t="str">
        <f t="shared" si="8"/>
        <v>OK</v>
      </c>
      <c r="AK14" s="89" t="str">
        <f t="shared" si="9"/>
        <v>OK</v>
      </c>
      <c r="AL14" s="105" t="s">
        <v>339</v>
      </c>
      <c r="AM14" s="106" t="s">
        <v>354</v>
      </c>
      <c r="AN14" s="102"/>
      <c r="AO14" s="89"/>
      <c r="AP14" s="102" t="str">
        <f t="shared" si="10"/>
        <v/>
      </c>
      <c r="AQ14" s="102"/>
      <c r="AR14" s="89"/>
      <c r="AS14" s="110" t="str">
        <f t="shared" si="11"/>
        <v/>
      </c>
    </row>
    <row r="15" spans="1:45" ht="15" customHeight="1" x14ac:dyDescent="0.15">
      <c r="A15" s="58" t="s">
        <v>104</v>
      </c>
      <c r="B15" s="100" t="s">
        <v>105</v>
      </c>
      <c r="C15" s="101">
        <v>46295</v>
      </c>
      <c r="D15" s="102">
        <v>2</v>
      </c>
      <c r="E15" s="102" t="s">
        <v>336</v>
      </c>
      <c r="F15" s="102">
        <v>5</v>
      </c>
      <c r="G15" s="102" t="s">
        <v>336</v>
      </c>
      <c r="H15" s="102">
        <v>4</v>
      </c>
      <c r="I15" s="102" t="s">
        <v>336</v>
      </c>
      <c r="J15" s="102">
        <v>5</v>
      </c>
      <c r="K15" s="102" t="s">
        <v>337</v>
      </c>
      <c r="L15" s="102">
        <v>2</v>
      </c>
      <c r="M15" s="102" t="s">
        <v>336</v>
      </c>
      <c r="N15" s="103">
        <f t="shared" si="0"/>
        <v>3.5000000000000004</v>
      </c>
      <c r="O15" s="104">
        <f t="shared" si="1"/>
        <v>2.4500000000000002</v>
      </c>
      <c r="P15" s="102">
        <v>3</v>
      </c>
      <c r="Q15" s="102" t="s">
        <v>336</v>
      </c>
      <c r="R15" s="102">
        <v>2</v>
      </c>
      <c r="S15" s="102" t="s">
        <v>336</v>
      </c>
      <c r="T15" s="102">
        <v>4</v>
      </c>
      <c r="U15" s="102" t="s">
        <v>337</v>
      </c>
      <c r="V15" s="102">
        <v>1</v>
      </c>
      <c r="W15" s="102" t="s">
        <v>337</v>
      </c>
      <c r="X15" s="104">
        <f t="shared" si="2"/>
        <v>0.55999999999999994</v>
      </c>
      <c r="Y15" s="102">
        <v>4</v>
      </c>
      <c r="Z15" s="102" t="s">
        <v>336</v>
      </c>
      <c r="AA15" s="102">
        <v>3</v>
      </c>
      <c r="AB15" s="102" t="s">
        <v>336</v>
      </c>
      <c r="AC15" s="102">
        <v>2</v>
      </c>
      <c r="AD15" s="102" t="s">
        <v>336</v>
      </c>
      <c r="AE15" s="104">
        <f t="shared" si="3"/>
        <v>0.16</v>
      </c>
      <c r="AF15" s="93">
        <f t="shared" si="4"/>
        <v>63.400000000000006</v>
      </c>
      <c r="AG15" s="89" t="str">
        <f t="shared" si="5"/>
        <v>AVOID</v>
      </c>
      <c r="AH15" s="89" t="str">
        <f t="shared" si="6"/>
        <v>OK</v>
      </c>
      <c r="AI15" s="89" t="str">
        <f t="shared" si="7"/>
        <v>OK</v>
      </c>
      <c r="AJ15" s="89" t="str">
        <f t="shared" si="8"/>
        <v>AVOID</v>
      </c>
      <c r="AK15" s="89" t="str">
        <f t="shared" si="9"/>
        <v>OK</v>
      </c>
      <c r="AL15" s="105" t="s">
        <v>339</v>
      </c>
      <c r="AM15" s="106" t="s">
        <v>341</v>
      </c>
      <c r="AN15" s="102"/>
      <c r="AO15" s="89"/>
      <c r="AP15" s="102" t="str">
        <f t="shared" si="10"/>
        <v/>
      </c>
      <c r="AQ15" s="102"/>
      <c r="AR15" s="89"/>
      <c r="AS15" s="110" t="str">
        <f t="shared" si="11"/>
        <v/>
      </c>
    </row>
    <row r="16" spans="1:45" ht="15" customHeight="1" x14ac:dyDescent="0.15">
      <c r="A16" s="58" t="s">
        <v>106</v>
      </c>
      <c r="B16" s="100" t="s">
        <v>107</v>
      </c>
      <c r="C16" s="101">
        <v>46295</v>
      </c>
      <c r="D16" s="102">
        <v>3</v>
      </c>
      <c r="E16" s="102" t="s">
        <v>336</v>
      </c>
      <c r="F16" s="102">
        <v>3</v>
      </c>
      <c r="G16" s="102" t="s">
        <v>336</v>
      </c>
      <c r="H16" s="102">
        <v>5</v>
      </c>
      <c r="I16" s="102" t="s">
        <v>337</v>
      </c>
      <c r="J16" s="102">
        <v>3</v>
      </c>
      <c r="K16" s="102" t="s">
        <v>336</v>
      </c>
      <c r="L16" s="102">
        <v>5</v>
      </c>
      <c r="M16" s="102" t="s">
        <v>336</v>
      </c>
      <c r="N16" s="103">
        <f t="shared" si="0"/>
        <v>3.7142857142857149</v>
      </c>
      <c r="O16" s="104">
        <f t="shared" si="1"/>
        <v>2.6</v>
      </c>
      <c r="P16" s="102">
        <v>4</v>
      </c>
      <c r="Q16" s="102" t="s">
        <v>337</v>
      </c>
      <c r="R16" s="102">
        <v>5</v>
      </c>
      <c r="S16" s="102" t="s">
        <v>337</v>
      </c>
      <c r="T16" s="102">
        <v>3</v>
      </c>
      <c r="U16" s="102" t="s">
        <v>336</v>
      </c>
      <c r="V16" s="102">
        <v>2</v>
      </c>
      <c r="W16" s="102" t="s">
        <v>336</v>
      </c>
      <c r="X16" s="104">
        <f t="shared" si="2"/>
        <v>0.87</v>
      </c>
      <c r="Y16" s="102">
        <v>2</v>
      </c>
      <c r="Z16" s="102" t="s">
        <v>336</v>
      </c>
      <c r="AA16" s="102">
        <v>5</v>
      </c>
      <c r="AB16" s="102" t="s">
        <v>337</v>
      </c>
      <c r="AC16" s="102">
        <v>2</v>
      </c>
      <c r="AD16" s="102" t="s">
        <v>338</v>
      </c>
      <c r="AE16" s="104">
        <f t="shared" si="3"/>
        <v>0.16</v>
      </c>
      <c r="AF16" s="93">
        <f t="shared" si="4"/>
        <v>72.600000000000009</v>
      </c>
      <c r="AG16" s="89" t="str">
        <f t="shared" si="5"/>
        <v>BUY</v>
      </c>
      <c r="AH16" s="89" t="str">
        <f t="shared" si="6"/>
        <v>OK</v>
      </c>
      <c r="AI16" s="89" t="str">
        <f t="shared" si="7"/>
        <v>OK</v>
      </c>
      <c r="AJ16" s="89" t="str">
        <f t="shared" si="8"/>
        <v>OK</v>
      </c>
      <c r="AK16" s="89" t="str">
        <f t="shared" si="9"/>
        <v>OK</v>
      </c>
      <c r="AL16" s="105" t="s">
        <v>339</v>
      </c>
      <c r="AM16" s="106" t="s">
        <v>354</v>
      </c>
      <c r="AN16" s="107">
        <v>4143079000</v>
      </c>
      <c r="AO16" s="108">
        <v>4830771000</v>
      </c>
      <c r="AP16" s="102" t="str">
        <f t="shared" si="10"/>
        <v>LOW CONF</v>
      </c>
      <c r="AQ16" s="109">
        <v>1.633</v>
      </c>
      <c r="AR16" s="104">
        <v>1.625</v>
      </c>
      <c r="AS16" s="110" t="str">
        <f t="shared" si="11"/>
        <v>Increased</v>
      </c>
    </row>
    <row r="17" spans="1:45" ht="15" customHeight="1" x14ac:dyDescent="0.15">
      <c r="A17" s="58" t="s">
        <v>114</v>
      </c>
      <c r="B17" s="100" t="s">
        <v>355</v>
      </c>
      <c r="C17" s="101">
        <v>46295</v>
      </c>
      <c r="D17" s="102">
        <v>5</v>
      </c>
      <c r="E17" s="102" t="s">
        <v>336</v>
      </c>
      <c r="F17" s="102">
        <v>2</v>
      </c>
      <c r="G17" s="102" t="s">
        <v>336</v>
      </c>
      <c r="H17" s="102">
        <v>5</v>
      </c>
      <c r="I17" s="102" t="s">
        <v>337</v>
      </c>
      <c r="J17" s="102">
        <v>4</v>
      </c>
      <c r="K17" s="102" t="s">
        <v>336</v>
      </c>
      <c r="L17" s="102">
        <v>5</v>
      </c>
      <c r="M17" s="102" t="s">
        <v>336</v>
      </c>
      <c r="N17" s="103">
        <f t="shared" si="0"/>
        <v>4.2142857142857144</v>
      </c>
      <c r="O17" s="104">
        <f t="shared" si="1"/>
        <v>2.9499999999999997</v>
      </c>
      <c r="P17" s="102">
        <v>4</v>
      </c>
      <c r="Q17" s="102" t="s">
        <v>337</v>
      </c>
      <c r="R17" s="102">
        <v>5</v>
      </c>
      <c r="S17" s="102" t="s">
        <v>337</v>
      </c>
      <c r="T17" s="102">
        <v>4</v>
      </c>
      <c r="U17" s="102" t="s">
        <v>336</v>
      </c>
      <c r="V17" s="102">
        <v>4</v>
      </c>
      <c r="W17" s="102" t="s">
        <v>336</v>
      </c>
      <c r="X17" s="104">
        <f t="shared" si="2"/>
        <v>1.06</v>
      </c>
      <c r="Y17" s="102">
        <v>3</v>
      </c>
      <c r="Z17" s="102" t="s">
        <v>336</v>
      </c>
      <c r="AA17" s="102">
        <v>5</v>
      </c>
      <c r="AB17" s="102" t="s">
        <v>337</v>
      </c>
      <c r="AC17" s="102">
        <v>3</v>
      </c>
      <c r="AD17" s="102" t="s">
        <v>338</v>
      </c>
      <c r="AE17" s="104">
        <f t="shared" si="3"/>
        <v>0.19</v>
      </c>
      <c r="AF17" s="93">
        <f t="shared" si="4"/>
        <v>84</v>
      </c>
      <c r="AG17" s="89" t="str">
        <f t="shared" si="5"/>
        <v>STRONG BUY</v>
      </c>
      <c r="AH17" s="89" t="str">
        <f t="shared" si="6"/>
        <v>OK</v>
      </c>
      <c r="AI17" s="89" t="str">
        <f t="shared" si="7"/>
        <v>OK</v>
      </c>
      <c r="AJ17" s="89" t="str">
        <f t="shared" si="8"/>
        <v>OK</v>
      </c>
      <c r="AK17" s="89" t="str">
        <f t="shared" si="9"/>
        <v>OK</v>
      </c>
      <c r="AL17" s="106" t="s">
        <v>339</v>
      </c>
      <c r="AM17" s="106" t="s">
        <v>340</v>
      </c>
      <c r="AN17" s="102"/>
      <c r="AO17" s="89"/>
      <c r="AP17" s="102" t="str">
        <f t="shared" si="10"/>
        <v/>
      </c>
      <c r="AQ17" s="102"/>
      <c r="AR17" s="89"/>
      <c r="AS17" s="110" t="str">
        <f t="shared" si="11"/>
        <v/>
      </c>
    </row>
    <row r="18" spans="1:45" ht="15" customHeight="1" x14ac:dyDescent="0.15">
      <c r="A18" s="58" t="s">
        <v>116</v>
      </c>
      <c r="B18" s="100" t="s">
        <v>117</v>
      </c>
      <c r="C18" s="101">
        <v>46295</v>
      </c>
      <c r="D18" s="102">
        <v>3</v>
      </c>
      <c r="E18" s="102" t="s">
        <v>336</v>
      </c>
      <c r="F18" s="102">
        <v>5</v>
      </c>
      <c r="G18" s="102" t="s">
        <v>336</v>
      </c>
      <c r="H18" s="102">
        <v>4</v>
      </c>
      <c r="I18" s="102" t="s">
        <v>336</v>
      </c>
      <c r="J18" s="102">
        <v>4</v>
      </c>
      <c r="K18" s="102" t="s">
        <v>336</v>
      </c>
      <c r="L18" s="102">
        <v>4</v>
      </c>
      <c r="M18" s="102" t="s">
        <v>336</v>
      </c>
      <c r="N18" s="103">
        <f t="shared" si="0"/>
        <v>3.9285714285714288</v>
      </c>
      <c r="O18" s="104">
        <f t="shared" si="1"/>
        <v>2.75</v>
      </c>
      <c r="P18" s="102">
        <v>4</v>
      </c>
      <c r="Q18" s="102" t="s">
        <v>336</v>
      </c>
      <c r="R18" s="102">
        <v>5</v>
      </c>
      <c r="S18" s="102" t="s">
        <v>337</v>
      </c>
      <c r="T18" s="102">
        <v>4</v>
      </c>
      <c r="U18" s="102" t="s">
        <v>336</v>
      </c>
      <c r="V18" s="102">
        <v>2</v>
      </c>
      <c r="W18" s="102" t="s">
        <v>336</v>
      </c>
      <c r="X18" s="104">
        <f t="shared" si="2"/>
        <v>0.9</v>
      </c>
      <c r="Y18" s="102">
        <v>4</v>
      </c>
      <c r="Z18" s="102" t="s">
        <v>336</v>
      </c>
      <c r="AA18" s="102">
        <v>4</v>
      </c>
      <c r="AB18" s="102" t="s">
        <v>336</v>
      </c>
      <c r="AC18" s="102">
        <v>3</v>
      </c>
      <c r="AD18" s="102" t="s">
        <v>338</v>
      </c>
      <c r="AE18" s="104">
        <f t="shared" si="3"/>
        <v>0.19</v>
      </c>
      <c r="AF18" s="93">
        <f t="shared" si="4"/>
        <v>76.8</v>
      </c>
      <c r="AG18" s="89" t="str">
        <f t="shared" si="5"/>
        <v>BUY</v>
      </c>
      <c r="AH18" s="89" t="str">
        <f t="shared" si="6"/>
        <v>OK</v>
      </c>
      <c r="AI18" s="89" t="str">
        <f t="shared" si="7"/>
        <v>OK</v>
      </c>
      <c r="AJ18" s="89" t="str">
        <f t="shared" si="8"/>
        <v>OK</v>
      </c>
      <c r="AK18" s="89" t="str">
        <f t="shared" si="9"/>
        <v>OK</v>
      </c>
      <c r="AL18" s="106" t="s">
        <v>356</v>
      </c>
      <c r="AM18" s="106" t="s">
        <v>357</v>
      </c>
      <c r="AN18" s="107">
        <v>2113800000</v>
      </c>
      <c r="AO18" s="108">
        <v>1332800000</v>
      </c>
      <c r="AP18" s="102" t="str">
        <f t="shared" si="10"/>
        <v>OK</v>
      </c>
      <c r="AQ18" s="109">
        <v>1.71</v>
      </c>
      <c r="AR18" s="104">
        <v>2.7709999999999999</v>
      </c>
      <c r="AS18" s="110" t="str">
        <f t="shared" si="11"/>
        <v>Decreased</v>
      </c>
    </row>
    <row r="19" spans="1:45" ht="15" customHeight="1" x14ac:dyDescent="0.15">
      <c r="A19" s="58" t="s">
        <v>233</v>
      </c>
      <c r="B19" s="100" t="s">
        <v>358</v>
      </c>
      <c r="C19" s="101">
        <v>46245</v>
      </c>
      <c r="D19" s="102">
        <v>3</v>
      </c>
      <c r="E19" s="102" t="s">
        <v>336</v>
      </c>
      <c r="F19" s="102">
        <v>5</v>
      </c>
      <c r="G19" s="102" t="s">
        <v>337</v>
      </c>
      <c r="H19" s="102">
        <v>5</v>
      </c>
      <c r="I19" s="102" t="s">
        <v>337</v>
      </c>
      <c r="J19" s="102">
        <v>4</v>
      </c>
      <c r="K19" s="102" t="s">
        <v>336</v>
      </c>
      <c r="L19" s="102">
        <v>4</v>
      </c>
      <c r="M19" s="102" t="s">
        <v>337</v>
      </c>
      <c r="N19" s="103">
        <f t="shared" si="0"/>
        <v>4.1428571428571432</v>
      </c>
      <c r="O19" s="104">
        <f t="shared" si="1"/>
        <v>2.9</v>
      </c>
      <c r="P19" s="102">
        <v>3</v>
      </c>
      <c r="Q19" s="102" t="s">
        <v>338</v>
      </c>
      <c r="R19" s="102">
        <v>5</v>
      </c>
      <c r="S19" s="102" t="s">
        <v>337</v>
      </c>
      <c r="T19" s="102">
        <v>5</v>
      </c>
      <c r="U19" s="102" t="s">
        <v>337</v>
      </c>
      <c r="V19" s="102">
        <v>1</v>
      </c>
      <c r="W19" s="102" t="s">
        <v>337</v>
      </c>
      <c r="X19" s="104">
        <f t="shared" si="2"/>
        <v>0.77</v>
      </c>
      <c r="Y19" s="102">
        <v>4</v>
      </c>
      <c r="Z19" s="102" t="s">
        <v>336</v>
      </c>
      <c r="AA19" s="102">
        <v>4</v>
      </c>
      <c r="AB19" s="102" t="s">
        <v>336</v>
      </c>
      <c r="AC19" s="102">
        <v>4</v>
      </c>
      <c r="AD19" s="102" t="s">
        <v>336</v>
      </c>
      <c r="AE19" s="104">
        <f t="shared" si="3"/>
        <v>0.2</v>
      </c>
      <c r="AF19" s="93">
        <f t="shared" si="4"/>
        <v>77.400000000000006</v>
      </c>
      <c r="AG19" s="89" t="str">
        <f t="shared" si="5"/>
        <v>BUY</v>
      </c>
      <c r="AH19" s="89" t="str">
        <f t="shared" si="6"/>
        <v>OK</v>
      </c>
      <c r="AI19" s="89" t="str">
        <f t="shared" si="7"/>
        <v>OK</v>
      </c>
      <c r="AJ19" s="89" t="str">
        <f t="shared" si="8"/>
        <v>OK</v>
      </c>
      <c r="AK19" s="89" t="str">
        <f t="shared" si="9"/>
        <v>OK</v>
      </c>
      <c r="AL19" s="106" t="s">
        <v>347</v>
      </c>
      <c r="AM19" s="106" t="s">
        <v>359</v>
      </c>
      <c r="AN19" s="102"/>
      <c r="AO19" s="89"/>
      <c r="AP19" s="102" t="str">
        <f t="shared" si="10"/>
        <v/>
      </c>
      <c r="AQ19" s="102"/>
      <c r="AR19" s="89"/>
      <c r="AS19" s="110" t="str">
        <f t="shared" si="11"/>
        <v/>
      </c>
    </row>
    <row r="20" spans="1:45" ht="15" customHeight="1" x14ac:dyDescent="0.15">
      <c r="A20" s="58" t="s">
        <v>118</v>
      </c>
      <c r="B20" s="100" t="s">
        <v>119</v>
      </c>
      <c r="C20" s="101">
        <v>46295</v>
      </c>
      <c r="D20" s="102">
        <v>3</v>
      </c>
      <c r="E20" s="102" t="s">
        <v>336</v>
      </c>
      <c r="F20" s="102">
        <v>4</v>
      </c>
      <c r="G20" s="102" t="s">
        <v>336</v>
      </c>
      <c r="H20" s="102">
        <v>5</v>
      </c>
      <c r="I20" s="102" t="s">
        <v>337</v>
      </c>
      <c r="J20" s="102">
        <v>4</v>
      </c>
      <c r="K20" s="102" t="s">
        <v>336</v>
      </c>
      <c r="L20" s="102">
        <v>2</v>
      </c>
      <c r="M20" s="102" t="s">
        <v>336</v>
      </c>
      <c r="N20" s="103">
        <f t="shared" si="0"/>
        <v>3.6428571428571437</v>
      </c>
      <c r="O20" s="104">
        <f t="shared" si="1"/>
        <v>2.5500000000000003</v>
      </c>
      <c r="P20" s="102">
        <v>4</v>
      </c>
      <c r="Q20" s="102" t="s">
        <v>336</v>
      </c>
      <c r="R20" s="102">
        <v>5</v>
      </c>
      <c r="S20" s="102" t="s">
        <v>337</v>
      </c>
      <c r="T20" s="102">
        <v>3</v>
      </c>
      <c r="U20" s="102" t="s">
        <v>336</v>
      </c>
      <c r="V20" s="102">
        <v>3</v>
      </c>
      <c r="W20" s="102" t="s">
        <v>336</v>
      </c>
      <c r="X20" s="104">
        <f t="shared" si="2"/>
        <v>0.95</v>
      </c>
      <c r="Y20" s="102">
        <v>3</v>
      </c>
      <c r="Z20" s="102" t="s">
        <v>336</v>
      </c>
      <c r="AA20" s="102">
        <v>4</v>
      </c>
      <c r="AB20" s="102" t="s">
        <v>336</v>
      </c>
      <c r="AC20" s="102">
        <v>3</v>
      </c>
      <c r="AD20" s="102" t="s">
        <v>338</v>
      </c>
      <c r="AE20" s="104">
        <f t="shared" si="3"/>
        <v>0.17</v>
      </c>
      <c r="AF20" s="93">
        <f t="shared" si="4"/>
        <v>73.400000000000006</v>
      </c>
      <c r="AG20" s="89" t="str">
        <f t="shared" si="5"/>
        <v>BUY</v>
      </c>
      <c r="AH20" s="89" t="str">
        <f t="shared" si="6"/>
        <v>OK</v>
      </c>
      <c r="AI20" s="89" t="str">
        <f t="shared" si="7"/>
        <v>OK</v>
      </c>
      <c r="AJ20" s="89" t="str">
        <f t="shared" si="8"/>
        <v>OK</v>
      </c>
      <c r="AK20" s="89" t="str">
        <f t="shared" si="9"/>
        <v>OK</v>
      </c>
      <c r="AL20" s="106" t="s">
        <v>360</v>
      </c>
      <c r="AM20" s="106" t="s">
        <v>361</v>
      </c>
      <c r="AN20" s="107">
        <v>23059000000</v>
      </c>
      <c r="AO20" s="108">
        <v>20058000000</v>
      </c>
      <c r="AP20" s="102" t="str">
        <f t="shared" si="10"/>
        <v>OK</v>
      </c>
      <c r="AQ20" s="109">
        <v>1.167</v>
      </c>
      <c r="AR20" s="104">
        <v>1.115</v>
      </c>
      <c r="AS20" s="110" t="str">
        <f t="shared" si="11"/>
        <v>Increased</v>
      </c>
    </row>
    <row r="21" spans="1:45" ht="15" hidden="1" customHeight="1" outlineLevel="1" x14ac:dyDescent="0.15">
      <c r="A21" s="58" t="s">
        <v>254</v>
      </c>
      <c r="B21" s="100" t="s">
        <v>362</v>
      </c>
      <c r="C21" s="101">
        <v>46245</v>
      </c>
      <c r="D21" s="102">
        <v>1</v>
      </c>
      <c r="E21" s="102" t="s">
        <v>337</v>
      </c>
      <c r="F21" s="102">
        <v>3</v>
      </c>
      <c r="G21" s="102" t="s">
        <v>336</v>
      </c>
      <c r="H21" s="102">
        <v>4</v>
      </c>
      <c r="I21" s="102" t="s">
        <v>336</v>
      </c>
      <c r="J21" s="102">
        <v>4</v>
      </c>
      <c r="K21" s="102" t="s">
        <v>336</v>
      </c>
      <c r="L21" s="102">
        <v>1</v>
      </c>
      <c r="M21" s="102" t="s">
        <v>337</v>
      </c>
      <c r="N21" s="103">
        <f t="shared" si="0"/>
        <v>2.5</v>
      </c>
      <c r="O21" s="104">
        <f t="shared" si="1"/>
        <v>1.75</v>
      </c>
      <c r="P21" s="102"/>
      <c r="Q21" s="102"/>
      <c r="R21" s="102"/>
      <c r="S21" s="102"/>
      <c r="T21" s="102"/>
      <c r="U21" s="102"/>
      <c r="V21" s="102"/>
      <c r="W21" s="102"/>
      <c r="X21" s="104" t="str">
        <f t="shared" si="2"/>
        <v/>
      </c>
      <c r="Y21" s="102"/>
      <c r="Z21" s="102"/>
      <c r="AA21" s="102"/>
      <c r="AB21" s="102"/>
      <c r="AC21" s="102"/>
      <c r="AD21" s="102"/>
      <c r="AE21" s="104" t="str">
        <f t="shared" si="3"/>
        <v/>
      </c>
      <c r="AF21" s="93" t="str">
        <f t="shared" si="4"/>
        <v/>
      </c>
      <c r="AG21" s="89" t="str">
        <f t="shared" si="5"/>
        <v/>
      </c>
      <c r="AH21" s="89" t="str">
        <f t="shared" si="6"/>
        <v>FAIL</v>
      </c>
      <c r="AI21" s="89" t="str">
        <f t="shared" si="7"/>
        <v>REVIEW</v>
      </c>
      <c r="AJ21" s="89" t="str">
        <f t="shared" si="8"/>
        <v>AVOID</v>
      </c>
      <c r="AK21" s="89" t="str">
        <f t="shared" si="9"/>
        <v>OK</v>
      </c>
      <c r="AL21" s="106" t="s">
        <v>363</v>
      </c>
      <c r="AM21" s="106" t="s">
        <v>364</v>
      </c>
      <c r="AN21" s="102"/>
      <c r="AO21" s="89"/>
      <c r="AP21" s="102" t="str">
        <f t="shared" si="10"/>
        <v/>
      </c>
      <c r="AQ21" s="102"/>
      <c r="AR21" s="89"/>
      <c r="AS21" s="110" t="str">
        <f t="shared" si="11"/>
        <v/>
      </c>
    </row>
    <row r="22" spans="1:45" ht="15" hidden="1" customHeight="1" outlineLevel="1" x14ac:dyDescent="0.15">
      <c r="A22" s="58" t="s">
        <v>234</v>
      </c>
      <c r="B22" s="100" t="s">
        <v>365</v>
      </c>
      <c r="C22" s="101">
        <v>46245</v>
      </c>
      <c r="D22" s="102">
        <v>1</v>
      </c>
      <c r="E22" s="102" t="s">
        <v>337</v>
      </c>
      <c r="F22" s="102">
        <v>1</v>
      </c>
      <c r="G22" s="102" t="s">
        <v>337</v>
      </c>
      <c r="H22" s="102">
        <v>2</v>
      </c>
      <c r="I22" s="102" t="s">
        <v>336</v>
      </c>
      <c r="J22" s="102">
        <v>1</v>
      </c>
      <c r="K22" s="102" t="s">
        <v>337</v>
      </c>
      <c r="L22" s="102">
        <v>1</v>
      </c>
      <c r="M22" s="102" t="s">
        <v>337</v>
      </c>
      <c r="N22" s="103">
        <f t="shared" si="0"/>
        <v>1.2142857142857142</v>
      </c>
      <c r="O22" s="104">
        <f t="shared" si="1"/>
        <v>0.84999999999999987</v>
      </c>
      <c r="P22" s="102"/>
      <c r="Q22" s="102"/>
      <c r="R22" s="102"/>
      <c r="S22" s="102"/>
      <c r="T22" s="102"/>
      <c r="U22" s="102"/>
      <c r="V22" s="102"/>
      <c r="W22" s="102"/>
      <c r="X22" s="104" t="str">
        <f t="shared" si="2"/>
        <v/>
      </c>
      <c r="Y22" s="102"/>
      <c r="Z22" s="102"/>
      <c r="AA22" s="102"/>
      <c r="AB22" s="102"/>
      <c r="AC22" s="102"/>
      <c r="AD22" s="102"/>
      <c r="AE22" s="104" t="str">
        <f t="shared" si="3"/>
        <v/>
      </c>
      <c r="AF22" s="93" t="str">
        <f t="shared" si="4"/>
        <v/>
      </c>
      <c r="AG22" s="89" t="str">
        <f t="shared" si="5"/>
        <v/>
      </c>
      <c r="AH22" s="89" t="str">
        <f t="shared" si="6"/>
        <v>FAIL</v>
      </c>
      <c r="AI22" s="89" t="str">
        <f t="shared" si="7"/>
        <v>REVIEW</v>
      </c>
      <c r="AJ22" s="89" t="str">
        <f t="shared" si="8"/>
        <v>AVOID</v>
      </c>
      <c r="AK22" s="89" t="str">
        <f t="shared" si="9"/>
        <v>OK</v>
      </c>
      <c r="AL22" s="106" t="s">
        <v>366</v>
      </c>
      <c r="AM22" s="106" t="s">
        <v>367</v>
      </c>
      <c r="AN22" s="102"/>
      <c r="AO22" s="89"/>
      <c r="AP22" s="102" t="str">
        <f t="shared" si="10"/>
        <v/>
      </c>
      <c r="AQ22" s="102"/>
      <c r="AR22" s="89"/>
      <c r="AS22" s="110" t="str">
        <f t="shared" si="11"/>
        <v/>
      </c>
    </row>
    <row r="23" spans="1:45" ht="15" customHeight="1" collapsed="1" x14ac:dyDescent="0.15">
      <c r="A23" s="58" t="s">
        <v>241</v>
      </c>
      <c r="B23" s="100" t="s">
        <v>368</v>
      </c>
      <c r="C23" s="101">
        <v>46276</v>
      </c>
      <c r="D23" s="102">
        <v>4</v>
      </c>
      <c r="E23" s="102" t="s">
        <v>336</v>
      </c>
      <c r="F23" s="102">
        <v>1</v>
      </c>
      <c r="G23" s="102" t="s">
        <v>336</v>
      </c>
      <c r="H23" s="102">
        <v>4</v>
      </c>
      <c r="I23" s="102" t="s">
        <v>336</v>
      </c>
      <c r="J23" s="102">
        <v>4</v>
      </c>
      <c r="K23" s="102" t="s">
        <v>336</v>
      </c>
      <c r="L23" s="102">
        <v>2</v>
      </c>
      <c r="M23" s="102" t="s">
        <v>336</v>
      </c>
      <c r="N23" s="103">
        <f t="shared" si="0"/>
        <v>3.0714285714285721</v>
      </c>
      <c r="O23" s="104">
        <f t="shared" si="1"/>
        <v>2.1500000000000004</v>
      </c>
      <c r="P23" s="102"/>
      <c r="Q23" s="102"/>
      <c r="R23" s="102"/>
      <c r="S23" s="102"/>
      <c r="T23" s="102"/>
      <c r="U23" s="102"/>
      <c r="V23" s="102"/>
      <c r="W23" s="102"/>
      <c r="X23" s="104" t="str">
        <f t="shared" si="2"/>
        <v/>
      </c>
      <c r="Y23" s="102"/>
      <c r="Z23" s="102"/>
      <c r="AA23" s="102"/>
      <c r="AB23" s="102"/>
      <c r="AC23" s="102"/>
      <c r="AD23" s="102"/>
      <c r="AE23" s="104" t="str">
        <f t="shared" si="3"/>
        <v/>
      </c>
      <c r="AF23" s="93" t="str">
        <f t="shared" si="4"/>
        <v/>
      </c>
      <c r="AG23" s="89" t="str">
        <f t="shared" si="5"/>
        <v/>
      </c>
      <c r="AH23" s="89" t="str">
        <f t="shared" si="6"/>
        <v>OK</v>
      </c>
      <c r="AI23" s="89" t="str">
        <f t="shared" si="7"/>
        <v>REVIEW</v>
      </c>
      <c r="AJ23" s="89" t="str">
        <f t="shared" si="8"/>
        <v>AVOID</v>
      </c>
      <c r="AK23" s="89" t="str">
        <f t="shared" si="9"/>
        <v>OK</v>
      </c>
      <c r="AL23" s="106" t="s">
        <v>366</v>
      </c>
      <c r="AM23" s="106" t="s">
        <v>369</v>
      </c>
      <c r="AN23" s="102"/>
      <c r="AO23" s="89"/>
      <c r="AP23" s="102" t="str">
        <f t="shared" si="10"/>
        <v/>
      </c>
      <c r="AQ23" s="102"/>
      <c r="AR23" s="89"/>
      <c r="AS23" s="110" t="str">
        <f t="shared" si="11"/>
        <v/>
      </c>
    </row>
    <row r="24" spans="1:45" ht="15" hidden="1" customHeight="1" outlineLevel="1" x14ac:dyDescent="0.15">
      <c r="A24" s="58" t="s">
        <v>250</v>
      </c>
      <c r="B24" s="100" t="s">
        <v>370</v>
      </c>
      <c r="C24" s="101">
        <v>46245</v>
      </c>
      <c r="D24" s="102">
        <v>2</v>
      </c>
      <c r="E24" s="102" t="s">
        <v>338</v>
      </c>
      <c r="F24" s="102">
        <v>2</v>
      </c>
      <c r="G24" s="102" t="s">
        <v>336</v>
      </c>
      <c r="H24" s="102">
        <v>3</v>
      </c>
      <c r="I24" s="102" t="s">
        <v>336</v>
      </c>
      <c r="J24" s="102">
        <v>2</v>
      </c>
      <c r="K24" s="102" t="s">
        <v>336</v>
      </c>
      <c r="L24" s="102">
        <v>1</v>
      </c>
      <c r="M24" s="102" t="s">
        <v>337</v>
      </c>
      <c r="N24" s="103">
        <f t="shared" si="0"/>
        <v>2.0714285714285716</v>
      </c>
      <c r="O24" s="104">
        <f t="shared" si="1"/>
        <v>1.45</v>
      </c>
      <c r="P24" s="102"/>
      <c r="Q24" s="102"/>
      <c r="R24" s="102"/>
      <c r="S24" s="102"/>
      <c r="T24" s="102"/>
      <c r="U24" s="102"/>
      <c r="V24" s="102"/>
      <c r="W24" s="102"/>
      <c r="X24" s="104" t="str">
        <f t="shared" si="2"/>
        <v/>
      </c>
      <c r="Y24" s="102"/>
      <c r="Z24" s="102"/>
      <c r="AA24" s="102"/>
      <c r="AB24" s="102"/>
      <c r="AC24" s="102"/>
      <c r="AD24" s="102"/>
      <c r="AE24" s="104" t="str">
        <f t="shared" si="3"/>
        <v/>
      </c>
      <c r="AF24" s="93" t="str">
        <f t="shared" si="4"/>
        <v/>
      </c>
      <c r="AG24" s="89" t="str">
        <f t="shared" si="5"/>
        <v/>
      </c>
      <c r="AH24" s="89" t="str">
        <f t="shared" si="6"/>
        <v>FAIL</v>
      </c>
      <c r="AI24" s="89" t="str">
        <f t="shared" si="7"/>
        <v>REVIEW</v>
      </c>
      <c r="AJ24" s="89" t="str">
        <f t="shared" si="8"/>
        <v>AVOID</v>
      </c>
      <c r="AK24" s="89" t="str">
        <f t="shared" si="9"/>
        <v>OK</v>
      </c>
      <c r="AL24" s="106" t="s">
        <v>366</v>
      </c>
      <c r="AM24" s="106" t="s">
        <v>371</v>
      </c>
      <c r="AN24" s="102"/>
      <c r="AO24" s="89"/>
      <c r="AP24" s="102" t="str">
        <f t="shared" si="10"/>
        <v/>
      </c>
      <c r="AQ24" s="102"/>
      <c r="AR24" s="89"/>
      <c r="AS24" s="110" t="str">
        <f t="shared" si="11"/>
        <v/>
      </c>
    </row>
    <row r="25" spans="1:45" ht="15" hidden="1" customHeight="1" outlineLevel="1" x14ac:dyDescent="0.15">
      <c r="A25" s="58" t="s">
        <v>259</v>
      </c>
      <c r="B25" s="100" t="s">
        <v>372</v>
      </c>
      <c r="C25" s="101">
        <v>46245</v>
      </c>
      <c r="D25" s="102">
        <v>3</v>
      </c>
      <c r="E25" s="102" t="s">
        <v>336</v>
      </c>
      <c r="F25" s="102">
        <v>2</v>
      </c>
      <c r="G25" s="102" t="s">
        <v>337</v>
      </c>
      <c r="H25" s="102">
        <v>3</v>
      </c>
      <c r="I25" s="102" t="s">
        <v>336</v>
      </c>
      <c r="J25" s="102">
        <v>3</v>
      </c>
      <c r="K25" s="102" t="s">
        <v>336</v>
      </c>
      <c r="L25" s="102">
        <v>2</v>
      </c>
      <c r="M25" s="102" t="s">
        <v>337</v>
      </c>
      <c r="N25" s="103">
        <f t="shared" si="0"/>
        <v>2.6428571428571432</v>
      </c>
      <c r="O25" s="104">
        <f t="shared" si="1"/>
        <v>1.85</v>
      </c>
      <c r="P25" s="102"/>
      <c r="Q25" s="102"/>
      <c r="R25" s="102"/>
      <c r="S25" s="102"/>
      <c r="T25" s="102"/>
      <c r="U25" s="102"/>
      <c r="V25" s="102"/>
      <c r="W25" s="102"/>
      <c r="X25" s="104" t="str">
        <f t="shared" si="2"/>
        <v/>
      </c>
      <c r="Y25" s="102"/>
      <c r="Z25" s="102"/>
      <c r="AA25" s="102"/>
      <c r="AB25" s="102"/>
      <c r="AC25" s="102"/>
      <c r="AD25" s="102"/>
      <c r="AE25" s="104" t="str">
        <f t="shared" si="3"/>
        <v/>
      </c>
      <c r="AF25" s="93" t="str">
        <f t="shared" si="4"/>
        <v/>
      </c>
      <c r="AG25" s="89" t="str">
        <f t="shared" si="5"/>
        <v/>
      </c>
      <c r="AH25" s="89" t="str">
        <f t="shared" si="6"/>
        <v>FAIL</v>
      </c>
      <c r="AI25" s="89" t="str">
        <f t="shared" si="7"/>
        <v>OK</v>
      </c>
      <c r="AJ25" s="89" t="str">
        <f t="shared" si="8"/>
        <v>AVOID</v>
      </c>
      <c r="AK25" s="89" t="str">
        <f t="shared" si="9"/>
        <v>OK</v>
      </c>
      <c r="AL25" s="106" t="s">
        <v>366</v>
      </c>
      <c r="AM25" s="106" t="s">
        <v>371</v>
      </c>
      <c r="AN25" s="102"/>
      <c r="AO25" s="89"/>
      <c r="AP25" s="102" t="str">
        <f t="shared" si="10"/>
        <v/>
      </c>
      <c r="AQ25" s="102"/>
      <c r="AR25" s="89"/>
      <c r="AS25" s="110" t="str">
        <f t="shared" si="11"/>
        <v/>
      </c>
    </row>
    <row r="26" spans="1:45" ht="15" hidden="1" customHeight="1" outlineLevel="1" x14ac:dyDescent="0.15">
      <c r="A26" s="58" t="s">
        <v>229</v>
      </c>
      <c r="B26" s="100" t="s">
        <v>373</v>
      </c>
      <c r="C26" s="101">
        <v>46245</v>
      </c>
      <c r="D26" s="102">
        <v>2</v>
      </c>
      <c r="E26" s="102" t="s">
        <v>336</v>
      </c>
      <c r="F26" s="102">
        <v>1</v>
      </c>
      <c r="G26" s="102" t="s">
        <v>337</v>
      </c>
      <c r="H26" s="102">
        <v>2</v>
      </c>
      <c r="I26" s="102" t="s">
        <v>336</v>
      </c>
      <c r="J26" s="102">
        <v>2</v>
      </c>
      <c r="K26" s="102" t="s">
        <v>336</v>
      </c>
      <c r="L26" s="102">
        <v>2</v>
      </c>
      <c r="M26" s="102" t="s">
        <v>336</v>
      </c>
      <c r="N26" s="103">
        <f t="shared" si="0"/>
        <v>1.7857142857142858</v>
      </c>
      <c r="O26" s="104">
        <f t="shared" si="1"/>
        <v>1.25</v>
      </c>
      <c r="P26" s="102"/>
      <c r="Q26" s="102"/>
      <c r="R26" s="102"/>
      <c r="S26" s="102"/>
      <c r="T26" s="102"/>
      <c r="U26" s="102"/>
      <c r="V26" s="102"/>
      <c r="W26" s="102"/>
      <c r="X26" s="104" t="str">
        <f t="shared" si="2"/>
        <v/>
      </c>
      <c r="Y26" s="102"/>
      <c r="Z26" s="102"/>
      <c r="AA26" s="102"/>
      <c r="AB26" s="102"/>
      <c r="AC26" s="102"/>
      <c r="AD26" s="102"/>
      <c r="AE26" s="104" t="str">
        <f t="shared" si="3"/>
        <v/>
      </c>
      <c r="AF26" s="93" t="str">
        <f t="shared" si="4"/>
        <v/>
      </c>
      <c r="AG26" s="89" t="str">
        <f t="shared" si="5"/>
        <v/>
      </c>
      <c r="AH26" s="89" t="str">
        <f t="shared" si="6"/>
        <v>FAIL</v>
      </c>
      <c r="AI26" s="89" t="str">
        <f t="shared" si="7"/>
        <v>REVIEW</v>
      </c>
      <c r="AJ26" s="89" t="str">
        <f t="shared" si="8"/>
        <v>AVOID</v>
      </c>
      <c r="AK26" s="89" t="str">
        <f t="shared" si="9"/>
        <v>OK</v>
      </c>
      <c r="AL26" s="106" t="s">
        <v>374</v>
      </c>
      <c r="AM26" s="106" t="s">
        <v>375</v>
      </c>
      <c r="AN26" s="102"/>
      <c r="AO26" s="89"/>
      <c r="AP26" s="102" t="str">
        <f t="shared" si="10"/>
        <v/>
      </c>
      <c r="AQ26" s="102"/>
      <c r="AR26" s="89"/>
      <c r="AS26" s="110" t="str">
        <f t="shared" si="11"/>
        <v/>
      </c>
    </row>
    <row r="27" spans="1:45" ht="15" hidden="1" customHeight="1" outlineLevel="1" x14ac:dyDescent="0.15">
      <c r="A27" s="58" t="s">
        <v>230</v>
      </c>
      <c r="B27" s="100" t="s">
        <v>376</v>
      </c>
      <c r="C27" s="101">
        <v>46245</v>
      </c>
      <c r="D27" s="102">
        <v>2</v>
      </c>
      <c r="E27" s="102" t="s">
        <v>337</v>
      </c>
      <c r="F27" s="102">
        <v>2</v>
      </c>
      <c r="G27" s="102" t="s">
        <v>336</v>
      </c>
      <c r="H27" s="102">
        <v>2</v>
      </c>
      <c r="I27" s="102" t="s">
        <v>336</v>
      </c>
      <c r="J27" s="102">
        <v>2</v>
      </c>
      <c r="K27" s="102" t="s">
        <v>336</v>
      </c>
      <c r="L27" s="102">
        <v>1</v>
      </c>
      <c r="M27" s="102" t="s">
        <v>337</v>
      </c>
      <c r="N27" s="103">
        <f t="shared" si="0"/>
        <v>1.8571428571428574</v>
      </c>
      <c r="O27" s="104">
        <f t="shared" si="1"/>
        <v>1.3</v>
      </c>
      <c r="P27" s="102"/>
      <c r="Q27" s="102"/>
      <c r="R27" s="102"/>
      <c r="S27" s="102"/>
      <c r="T27" s="102"/>
      <c r="U27" s="102"/>
      <c r="V27" s="102"/>
      <c r="W27" s="102"/>
      <c r="X27" s="104" t="str">
        <f t="shared" si="2"/>
        <v/>
      </c>
      <c r="Y27" s="102"/>
      <c r="Z27" s="102"/>
      <c r="AA27" s="102"/>
      <c r="AB27" s="102"/>
      <c r="AC27" s="102"/>
      <c r="AD27" s="102"/>
      <c r="AE27" s="104" t="str">
        <f t="shared" si="3"/>
        <v/>
      </c>
      <c r="AF27" s="93" t="str">
        <f t="shared" si="4"/>
        <v/>
      </c>
      <c r="AG27" s="89" t="str">
        <f t="shared" si="5"/>
        <v/>
      </c>
      <c r="AH27" s="89" t="str">
        <f t="shared" si="6"/>
        <v>FAIL</v>
      </c>
      <c r="AI27" s="89" t="str">
        <f t="shared" si="7"/>
        <v>REVIEW</v>
      </c>
      <c r="AJ27" s="89" t="str">
        <f t="shared" si="8"/>
        <v>AVOID</v>
      </c>
      <c r="AK27" s="89" t="str">
        <f t="shared" si="9"/>
        <v>OK</v>
      </c>
      <c r="AL27" s="106" t="s">
        <v>374</v>
      </c>
      <c r="AM27" s="106" t="s">
        <v>377</v>
      </c>
      <c r="AN27" s="102"/>
      <c r="AO27" s="89"/>
      <c r="AP27" s="102" t="str">
        <f t="shared" si="10"/>
        <v/>
      </c>
      <c r="AQ27" s="102"/>
      <c r="AR27" s="89"/>
      <c r="AS27" s="110" t="str">
        <f t="shared" si="11"/>
        <v/>
      </c>
    </row>
    <row r="28" spans="1:45" ht="15" customHeight="1" collapsed="1" x14ac:dyDescent="0.15">
      <c r="A28" s="58" t="s">
        <v>252</v>
      </c>
      <c r="B28" s="100" t="s">
        <v>378</v>
      </c>
      <c r="C28" s="111">
        <v>46276</v>
      </c>
      <c r="D28" s="102">
        <v>2</v>
      </c>
      <c r="E28" s="102" t="s">
        <v>336</v>
      </c>
      <c r="F28" s="102">
        <v>2</v>
      </c>
      <c r="G28" s="102" t="s">
        <v>336</v>
      </c>
      <c r="H28" s="102">
        <v>5</v>
      </c>
      <c r="I28" s="102" t="s">
        <v>337</v>
      </c>
      <c r="J28" s="102">
        <v>5</v>
      </c>
      <c r="K28" s="102" t="s">
        <v>337</v>
      </c>
      <c r="L28" s="102">
        <v>2</v>
      </c>
      <c r="M28" s="102" t="s">
        <v>336</v>
      </c>
      <c r="N28" s="103">
        <f t="shared" si="0"/>
        <v>3.0714285714285716</v>
      </c>
      <c r="O28" s="89">
        <f t="shared" si="1"/>
        <v>2.15</v>
      </c>
      <c r="P28" s="102"/>
      <c r="Q28" s="102"/>
      <c r="R28" s="102"/>
      <c r="S28" s="102"/>
      <c r="T28" s="102"/>
      <c r="U28" s="102"/>
      <c r="V28" s="102"/>
      <c r="W28" s="102"/>
      <c r="X28" s="61" t="str">
        <f t="shared" si="2"/>
        <v/>
      </c>
      <c r="Y28" s="102"/>
      <c r="Z28" s="102"/>
      <c r="AA28" s="102"/>
      <c r="AB28" s="102"/>
      <c r="AC28" s="102"/>
      <c r="AD28" s="102"/>
      <c r="AE28" s="61" t="str">
        <f t="shared" si="3"/>
        <v/>
      </c>
      <c r="AF28" s="89" t="str">
        <f t="shared" si="4"/>
        <v/>
      </c>
      <c r="AG28" s="89" t="str">
        <f t="shared" si="5"/>
        <v/>
      </c>
      <c r="AH28" s="89" t="str">
        <f t="shared" si="6"/>
        <v>OK</v>
      </c>
      <c r="AI28" s="89" t="str">
        <f t="shared" si="7"/>
        <v>OK</v>
      </c>
      <c r="AJ28" s="89" t="str">
        <f t="shared" si="8"/>
        <v>AVOID</v>
      </c>
      <c r="AK28" s="89" t="str">
        <f t="shared" si="9"/>
        <v>OK</v>
      </c>
      <c r="AL28" s="106" t="s">
        <v>374</v>
      </c>
      <c r="AM28" s="106" t="s">
        <v>379</v>
      </c>
      <c r="AN28" s="102"/>
      <c r="AO28" s="89"/>
      <c r="AP28" s="102" t="str">
        <f t="shared" si="10"/>
        <v/>
      </c>
      <c r="AQ28" s="102"/>
      <c r="AR28" s="89"/>
      <c r="AS28" s="112" t="str">
        <f t="shared" si="11"/>
        <v/>
      </c>
    </row>
    <row r="29" spans="1:45" ht="15" hidden="1" customHeight="1" outlineLevel="1" x14ac:dyDescent="0.15">
      <c r="A29" s="58" t="s">
        <v>235</v>
      </c>
      <c r="B29" s="100" t="s">
        <v>380</v>
      </c>
      <c r="C29" s="111">
        <v>46245</v>
      </c>
      <c r="D29" s="102">
        <v>2</v>
      </c>
      <c r="E29" s="102" t="s">
        <v>336</v>
      </c>
      <c r="F29" s="102">
        <v>2</v>
      </c>
      <c r="G29" s="102" t="s">
        <v>336</v>
      </c>
      <c r="H29" s="102">
        <v>3</v>
      </c>
      <c r="I29" s="102" t="s">
        <v>336</v>
      </c>
      <c r="J29" s="102">
        <v>3</v>
      </c>
      <c r="K29" s="102" t="s">
        <v>336</v>
      </c>
      <c r="L29" s="102">
        <v>2</v>
      </c>
      <c r="M29" s="102" t="s">
        <v>337</v>
      </c>
      <c r="N29" s="103">
        <f t="shared" si="0"/>
        <v>2.3571428571428572</v>
      </c>
      <c r="O29" s="89">
        <f t="shared" si="1"/>
        <v>1.65</v>
      </c>
      <c r="P29" s="102"/>
      <c r="Q29" s="102"/>
      <c r="R29" s="102"/>
      <c r="S29" s="102"/>
      <c r="T29" s="102"/>
      <c r="U29" s="102"/>
      <c r="V29" s="102"/>
      <c r="W29" s="102"/>
      <c r="X29" s="61" t="str">
        <f t="shared" si="2"/>
        <v/>
      </c>
      <c r="Y29" s="102"/>
      <c r="Z29" s="102"/>
      <c r="AA29" s="102"/>
      <c r="AB29" s="102"/>
      <c r="AC29" s="102"/>
      <c r="AD29" s="102"/>
      <c r="AE29" s="61" t="str">
        <f t="shared" si="3"/>
        <v/>
      </c>
      <c r="AF29" s="89" t="str">
        <f t="shared" si="4"/>
        <v/>
      </c>
      <c r="AG29" s="89" t="str">
        <f t="shared" si="5"/>
        <v/>
      </c>
      <c r="AH29" s="89" t="str">
        <f t="shared" si="6"/>
        <v>FAIL</v>
      </c>
      <c r="AI29" s="89" t="str">
        <f t="shared" si="7"/>
        <v>OK</v>
      </c>
      <c r="AJ29" s="89" t="str">
        <f t="shared" si="8"/>
        <v>AVOID</v>
      </c>
      <c r="AK29" s="89" t="str">
        <f t="shared" si="9"/>
        <v>OK</v>
      </c>
      <c r="AL29" s="106" t="s">
        <v>347</v>
      </c>
      <c r="AM29" s="106" t="s">
        <v>381</v>
      </c>
      <c r="AN29" s="102"/>
      <c r="AO29" s="89"/>
      <c r="AP29" s="102" t="str">
        <f t="shared" si="10"/>
        <v/>
      </c>
      <c r="AQ29" s="102"/>
      <c r="AR29" s="89"/>
      <c r="AS29" s="112" t="str">
        <f t="shared" si="11"/>
        <v/>
      </c>
    </row>
    <row r="30" spans="1:45" ht="15" hidden="1" customHeight="1" outlineLevel="1" x14ac:dyDescent="0.15">
      <c r="A30" s="58" t="s">
        <v>239</v>
      </c>
      <c r="B30" s="100" t="s">
        <v>382</v>
      </c>
      <c r="C30" s="111">
        <v>46245</v>
      </c>
      <c r="D30" s="102">
        <v>2</v>
      </c>
      <c r="E30" s="102" t="s">
        <v>336</v>
      </c>
      <c r="F30" s="102">
        <v>1</v>
      </c>
      <c r="G30" s="102" t="s">
        <v>337</v>
      </c>
      <c r="H30" s="102">
        <v>3</v>
      </c>
      <c r="I30" s="102" t="s">
        <v>336</v>
      </c>
      <c r="J30" s="102">
        <v>2</v>
      </c>
      <c r="K30" s="102" t="s">
        <v>336</v>
      </c>
      <c r="L30" s="102">
        <v>3</v>
      </c>
      <c r="M30" s="102" t="s">
        <v>336</v>
      </c>
      <c r="N30" s="103">
        <f t="shared" si="0"/>
        <v>2.1428571428571428</v>
      </c>
      <c r="O30" s="89">
        <f t="shared" si="1"/>
        <v>1.5</v>
      </c>
      <c r="P30" s="102"/>
      <c r="Q30" s="102"/>
      <c r="R30" s="102"/>
      <c r="S30" s="102"/>
      <c r="T30" s="102"/>
      <c r="U30" s="102"/>
      <c r="V30" s="102"/>
      <c r="W30" s="102"/>
      <c r="X30" s="61" t="str">
        <f t="shared" si="2"/>
        <v/>
      </c>
      <c r="Y30" s="102"/>
      <c r="Z30" s="102"/>
      <c r="AA30" s="102"/>
      <c r="AB30" s="102"/>
      <c r="AC30" s="102"/>
      <c r="AD30" s="102"/>
      <c r="AE30" s="61" t="str">
        <f t="shared" si="3"/>
        <v/>
      </c>
      <c r="AF30" s="89" t="str">
        <f t="shared" si="4"/>
        <v/>
      </c>
      <c r="AG30" s="89" t="str">
        <f t="shared" si="5"/>
        <v/>
      </c>
      <c r="AH30" s="89" t="str">
        <f t="shared" si="6"/>
        <v>FAIL</v>
      </c>
      <c r="AI30" s="89" t="str">
        <f t="shared" si="7"/>
        <v>REVIEW</v>
      </c>
      <c r="AJ30" s="89" t="str">
        <f t="shared" si="8"/>
        <v>AVOID</v>
      </c>
      <c r="AK30" s="89" t="str">
        <f t="shared" si="9"/>
        <v>OK</v>
      </c>
      <c r="AL30" s="106" t="s">
        <v>347</v>
      </c>
      <c r="AM30" s="106" t="s">
        <v>383</v>
      </c>
      <c r="AN30" s="102"/>
      <c r="AO30" s="89"/>
      <c r="AP30" s="102" t="str">
        <f t="shared" si="10"/>
        <v/>
      </c>
      <c r="AQ30" s="102"/>
      <c r="AR30" s="89"/>
      <c r="AS30" s="112" t="str">
        <f t="shared" si="11"/>
        <v/>
      </c>
    </row>
    <row r="31" spans="1:45" ht="15" hidden="1" customHeight="1" outlineLevel="1" x14ac:dyDescent="0.15">
      <c r="A31" s="58" t="s">
        <v>249</v>
      </c>
      <c r="B31" s="100" t="s">
        <v>384</v>
      </c>
      <c r="C31" s="111">
        <v>46245</v>
      </c>
      <c r="D31" s="102">
        <v>1</v>
      </c>
      <c r="E31" s="102" t="s">
        <v>337</v>
      </c>
      <c r="F31" s="102">
        <v>2</v>
      </c>
      <c r="G31" s="102" t="s">
        <v>336</v>
      </c>
      <c r="H31" s="102">
        <v>3</v>
      </c>
      <c r="I31" s="102" t="s">
        <v>336</v>
      </c>
      <c r="J31" s="102">
        <v>3</v>
      </c>
      <c r="K31" s="102" t="s">
        <v>336</v>
      </c>
      <c r="L31" s="102">
        <v>1</v>
      </c>
      <c r="M31" s="102" t="s">
        <v>337</v>
      </c>
      <c r="N31" s="103">
        <f t="shared" si="0"/>
        <v>1.9285714285714288</v>
      </c>
      <c r="O31" s="89">
        <f t="shared" si="1"/>
        <v>1.35</v>
      </c>
      <c r="P31" s="102"/>
      <c r="Q31" s="102"/>
      <c r="R31" s="102"/>
      <c r="S31" s="102"/>
      <c r="T31" s="102"/>
      <c r="U31" s="102"/>
      <c r="V31" s="102"/>
      <c r="W31" s="102"/>
      <c r="X31" s="61" t="str">
        <f t="shared" si="2"/>
        <v/>
      </c>
      <c r="Y31" s="102"/>
      <c r="Z31" s="102"/>
      <c r="AA31" s="102"/>
      <c r="AB31" s="102"/>
      <c r="AC31" s="102"/>
      <c r="AD31" s="102"/>
      <c r="AE31" s="61" t="str">
        <f t="shared" si="3"/>
        <v/>
      </c>
      <c r="AF31" s="89" t="str">
        <f t="shared" si="4"/>
        <v/>
      </c>
      <c r="AG31" s="89" t="str">
        <f t="shared" si="5"/>
        <v/>
      </c>
      <c r="AH31" s="89" t="str">
        <f t="shared" si="6"/>
        <v>FAIL</v>
      </c>
      <c r="AI31" s="89" t="str">
        <f t="shared" si="7"/>
        <v>REVIEW</v>
      </c>
      <c r="AJ31" s="89" t="str">
        <f t="shared" si="8"/>
        <v>AVOID</v>
      </c>
      <c r="AK31" s="89" t="str">
        <f t="shared" si="9"/>
        <v>OK</v>
      </c>
      <c r="AL31" s="106" t="s">
        <v>347</v>
      </c>
      <c r="AM31" s="106" t="s">
        <v>385</v>
      </c>
      <c r="AN31" s="102"/>
      <c r="AO31" s="89"/>
      <c r="AP31" s="102" t="str">
        <f t="shared" si="10"/>
        <v/>
      </c>
      <c r="AQ31" s="102"/>
      <c r="AR31" s="89"/>
      <c r="AS31" s="112" t="str">
        <f t="shared" si="11"/>
        <v/>
      </c>
    </row>
    <row r="32" spans="1:45" ht="15" customHeight="1" collapsed="1" x14ac:dyDescent="0.15">
      <c r="A32" s="58" t="s">
        <v>263</v>
      </c>
      <c r="B32" s="100" t="s">
        <v>386</v>
      </c>
      <c r="C32" s="111">
        <v>46295</v>
      </c>
      <c r="D32" s="102">
        <v>4</v>
      </c>
      <c r="E32" s="102" t="s">
        <v>336</v>
      </c>
      <c r="F32" s="102">
        <v>3</v>
      </c>
      <c r="G32" s="102" t="s">
        <v>336</v>
      </c>
      <c r="H32" s="102">
        <v>5</v>
      </c>
      <c r="I32" s="102" t="s">
        <v>337</v>
      </c>
      <c r="J32" s="102">
        <v>4</v>
      </c>
      <c r="K32" s="102" t="s">
        <v>336</v>
      </c>
      <c r="L32" s="102">
        <v>4</v>
      </c>
      <c r="M32" s="102" t="s">
        <v>336</v>
      </c>
      <c r="N32" s="103">
        <f t="shared" si="0"/>
        <v>4</v>
      </c>
      <c r="O32" s="89">
        <f t="shared" si="1"/>
        <v>2.8</v>
      </c>
      <c r="P32" s="102"/>
      <c r="Q32" s="102"/>
      <c r="R32" s="102"/>
      <c r="S32" s="102"/>
      <c r="T32" s="102"/>
      <c r="U32" s="102"/>
      <c r="V32" s="102"/>
      <c r="W32" s="102"/>
      <c r="X32" s="61" t="str">
        <f t="shared" si="2"/>
        <v/>
      </c>
      <c r="Y32" s="102"/>
      <c r="Z32" s="102"/>
      <c r="AA32" s="102"/>
      <c r="AB32" s="102"/>
      <c r="AC32" s="102"/>
      <c r="AD32" s="102"/>
      <c r="AE32" s="61" t="str">
        <f t="shared" si="3"/>
        <v/>
      </c>
      <c r="AF32" s="89" t="str">
        <f t="shared" si="4"/>
        <v/>
      </c>
      <c r="AG32" s="89" t="str">
        <f t="shared" si="5"/>
        <v/>
      </c>
      <c r="AH32" s="89" t="str">
        <f t="shared" si="6"/>
        <v>OK</v>
      </c>
      <c r="AI32" s="89" t="str">
        <f t="shared" si="7"/>
        <v>OK</v>
      </c>
      <c r="AJ32" s="89" t="str">
        <f t="shared" si="8"/>
        <v>OK</v>
      </c>
      <c r="AK32" s="89" t="str">
        <f t="shared" si="9"/>
        <v>OK</v>
      </c>
      <c r="AL32" s="106" t="s">
        <v>347</v>
      </c>
      <c r="AM32" s="106" t="s">
        <v>383</v>
      </c>
      <c r="AN32" s="102"/>
      <c r="AO32" s="89"/>
      <c r="AP32" s="102" t="str">
        <f t="shared" si="10"/>
        <v/>
      </c>
      <c r="AQ32" s="102"/>
      <c r="AR32" s="89"/>
      <c r="AS32" s="112" t="str">
        <f t="shared" si="11"/>
        <v/>
      </c>
    </row>
    <row r="33" spans="1:45" ht="15" customHeight="1" x14ac:dyDescent="0.15">
      <c r="A33" s="58" t="s">
        <v>231</v>
      </c>
      <c r="B33" s="100" t="s">
        <v>387</v>
      </c>
      <c r="C33" s="111">
        <v>46245</v>
      </c>
      <c r="D33" s="102">
        <v>4</v>
      </c>
      <c r="E33" s="102" t="s">
        <v>337</v>
      </c>
      <c r="F33" s="102">
        <v>4</v>
      </c>
      <c r="G33" s="102" t="s">
        <v>337</v>
      </c>
      <c r="H33" s="102">
        <v>4</v>
      </c>
      <c r="I33" s="102" t="s">
        <v>337</v>
      </c>
      <c r="J33" s="102">
        <v>3</v>
      </c>
      <c r="K33" s="102" t="s">
        <v>336</v>
      </c>
      <c r="L33" s="102">
        <v>3</v>
      </c>
      <c r="M33" s="102" t="s">
        <v>337</v>
      </c>
      <c r="N33" s="103">
        <f t="shared" si="0"/>
        <v>3.714285714285714</v>
      </c>
      <c r="O33" s="89">
        <f t="shared" si="1"/>
        <v>2.5999999999999996</v>
      </c>
      <c r="P33" s="102"/>
      <c r="Q33" s="102"/>
      <c r="R33" s="102"/>
      <c r="S33" s="102"/>
      <c r="T33" s="102"/>
      <c r="U33" s="102"/>
      <c r="V33" s="102"/>
      <c r="W33" s="102"/>
      <c r="X33" s="61" t="str">
        <f t="shared" si="2"/>
        <v/>
      </c>
      <c r="Y33" s="102"/>
      <c r="Z33" s="102"/>
      <c r="AA33" s="102"/>
      <c r="AB33" s="102"/>
      <c r="AC33" s="102"/>
      <c r="AD33" s="102"/>
      <c r="AE33" s="61" t="str">
        <f t="shared" si="3"/>
        <v/>
      </c>
      <c r="AF33" s="89" t="str">
        <f t="shared" si="4"/>
        <v/>
      </c>
      <c r="AG33" s="89" t="str">
        <f t="shared" si="5"/>
        <v/>
      </c>
      <c r="AH33" s="89" t="str">
        <f t="shared" si="6"/>
        <v>OK</v>
      </c>
      <c r="AI33" s="89" t="str">
        <f t="shared" si="7"/>
        <v>OK</v>
      </c>
      <c r="AJ33" s="89" t="str">
        <f t="shared" si="8"/>
        <v>OK</v>
      </c>
      <c r="AK33" s="89" t="str">
        <f t="shared" si="9"/>
        <v>OK</v>
      </c>
      <c r="AL33" s="106" t="s">
        <v>349</v>
      </c>
      <c r="AM33" s="106" t="s">
        <v>388</v>
      </c>
      <c r="AN33" s="102"/>
      <c r="AO33" s="89"/>
      <c r="AP33" s="102" t="str">
        <f t="shared" si="10"/>
        <v/>
      </c>
      <c r="AQ33" s="102"/>
      <c r="AR33" s="89"/>
      <c r="AS33" s="112" t="str">
        <f t="shared" si="11"/>
        <v/>
      </c>
    </row>
    <row r="34" spans="1:45" ht="15" customHeight="1" x14ac:dyDescent="0.15">
      <c r="A34" s="58" t="s">
        <v>238</v>
      </c>
      <c r="B34" s="100" t="s">
        <v>389</v>
      </c>
      <c r="C34" s="111">
        <v>46295</v>
      </c>
      <c r="D34" s="102">
        <v>5</v>
      </c>
      <c r="E34" s="102" t="s">
        <v>336</v>
      </c>
      <c r="F34" s="102">
        <v>2</v>
      </c>
      <c r="G34" s="102" t="s">
        <v>336</v>
      </c>
      <c r="H34" s="102">
        <v>5</v>
      </c>
      <c r="I34" s="102" t="s">
        <v>337</v>
      </c>
      <c r="J34" s="102">
        <v>4</v>
      </c>
      <c r="K34" s="102" t="s">
        <v>337</v>
      </c>
      <c r="L34" s="102">
        <v>3</v>
      </c>
      <c r="M34" s="102" t="s">
        <v>336</v>
      </c>
      <c r="N34" s="103">
        <f t="shared" si="0"/>
        <v>3.9285714285714288</v>
      </c>
      <c r="O34" s="89">
        <f t="shared" si="1"/>
        <v>2.75</v>
      </c>
      <c r="P34" s="102"/>
      <c r="Q34" s="102"/>
      <c r="R34" s="102"/>
      <c r="S34" s="102"/>
      <c r="T34" s="102"/>
      <c r="U34" s="102"/>
      <c r="V34" s="102"/>
      <c r="W34" s="102"/>
      <c r="X34" s="61" t="str">
        <f t="shared" si="2"/>
        <v/>
      </c>
      <c r="Y34" s="102"/>
      <c r="Z34" s="102"/>
      <c r="AA34" s="102"/>
      <c r="AB34" s="102"/>
      <c r="AC34" s="102"/>
      <c r="AD34" s="102"/>
      <c r="AE34" s="61" t="str">
        <f t="shared" si="3"/>
        <v/>
      </c>
      <c r="AF34" s="89" t="str">
        <f t="shared" si="4"/>
        <v/>
      </c>
      <c r="AG34" s="89" t="str">
        <f t="shared" si="5"/>
        <v/>
      </c>
      <c r="AH34" s="89" t="str">
        <f t="shared" si="6"/>
        <v>OK</v>
      </c>
      <c r="AI34" s="89" t="str">
        <f t="shared" si="7"/>
        <v>OK</v>
      </c>
      <c r="AJ34" s="89" t="str">
        <f t="shared" si="8"/>
        <v>OK</v>
      </c>
      <c r="AK34" s="89" t="str">
        <f t="shared" si="9"/>
        <v>OK</v>
      </c>
      <c r="AL34" s="106" t="s">
        <v>349</v>
      </c>
      <c r="AM34" s="106" t="s">
        <v>388</v>
      </c>
      <c r="AN34" s="102"/>
      <c r="AO34" s="89"/>
      <c r="AP34" s="102" t="str">
        <f t="shared" si="10"/>
        <v/>
      </c>
      <c r="AQ34" s="102"/>
      <c r="AR34" s="89"/>
      <c r="AS34" s="112" t="str">
        <f t="shared" si="11"/>
        <v/>
      </c>
    </row>
    <row r="35" spans="1:45" ht="15" hidden="1" customHeight="1" outlineLevel="1" x14ac:dyDescent="0.15">
      <c r="A35" s="58" t="s">
        <v>267</v>
      </c>
      <c r="B35" s="100" t="s">
        <v>390</v>
      </c>
      <c r="C35" s="111">
        <v>46245</v>
      </c>
      <c r="D35" s="102">
        <v>1</v>
      </c>
      <c r="E35" s="102" t="s">
        <v>337</v>
      </c>
      <c r="F35" s="102">
        <v>1</v>
      </c>
      <c r="G35" s="102" t="s">
        <v>337</v>
      </c>
      <c r="H35" s="102">
        <v>2</v>
      </c>
      <c r="I35" s="102" t="s">
        <v>336</v>
      </c>
      <c r="J35" s="102">
        <v>2</v>
      </c>
      <c r="K35" s="102" t="s">
        <v>336</v>
      </c>
      <c r="L35" s="102">
        <v>1</v>
      </c>
      <c r="M35" s="102" t="s">
        <v>337</v>
      </c>
      <c r="N35" s="103">
        <f t="shared" ref="N35:N60" si="12">IF(COUNT(D35,F35,H35,J35,L35)=0,"",(D35*0.2+F35*0.15+H35*0.15+J35*0.1+L35*0.1)/(IF(D35&lt;&gt;"",0.2,0)+IF(F35&lt;&gt;"",0.15,0)+IF(H35&lt;&gt;"",0.15,0)+IF(J35&lt;&gt;"",0.1,0)+IF(L35&lt;&gt;"",0.1,0)))</f>
        <v>1.357142857142857</v>
      </c>
      <c r="O35" s="89">
        <f t="shared" ref="O35:O60" si="13">IF(COUNT(D35,F35,H35,J35,L35)=0,"",D35*0.2+F35*0.15+H35*0.15+J35*0.1+L35*0.1)</f>
        <v>0.94999999999999984</v>
      </c>
      <c r="P35" s="102"/>
      <c r="Q35" s="102"/>
      <c r="R35" s="102"/>
      <c r="S35" s="102"/>
      <c r="T35" s="102"/>
      <c r="U35" s="102"/>
      <c r="V35" s="102"/>
      <c r="W35" s="102"/>
      <c r="X35" s="61" t="str">
        <f t="shared" ref="X35:X60" si="14">IF(COUNT(P35,R35,T35,V35)=0,"",P35*0.08+R35*0.06+T35*0.03+V35*0.08)</f>
        <v/>
      </c>
      <c r="Y35" s="102"/>
      <c r="Z35" s="102"/>
      <c r="AA35" s="102"/>
      <c r="AB35" s="102"/>
      <c r="AC35" s="102"/>
      <c r="AD35" s="102"/>
      <c r="AE35" s="61" t="str">
        <f t="shared" ref="AE35:AE60" si="15">IF(COUNT(Y35,AA35,AC35)=0,"",Y35*0.02+AA35*0.02+AC35*0.01)</f>
        <v/>
      </c>
      <c r="AF35" s="89" t="str">
        <f t="shared" ref="AF35:AF66" si="16">IF(OR(COUNT(D35,F35,H35,J35,L35)&lt;5,COUNT(P35,R35,T35,V35)&lt;4,COUNT(Y35,AA35,AC35)&lt;3),"",(O35+X35+AE35)*20)</f>
        <v/>
      </c>
      <c r="AG35" s="89" t="str">
        <f t="shared" ref="AG35:AG66" si="17">IF(AF35="","",IF(AJ35="AVOID","AVOID",IF(AF35&gt;=80,IF(AH35="FAIL","WATCH LIST",IF(AK35="CAP AT BUY","BUY","STRONG BUY")),IF(AF35&gt;=65,IF(AH35="FAIL","WATCH LIST","BUY"),IF(AF35&gt;=50,"WATCH LIST",IF(AF35&gt;=35,"AVOID","PASS"))))))</f>
        <v/>
      </c>
      <c r="AH35" s="89" t="str">
        <f t="shared" ref="AH35:AH60" si="18">IF(N35="","",IF(N35&lt;3,"FAIL","OK"))</f>
        <v>FAIL</v>
      </c>
      <c r="AI35" s="89" t="str">
        <f t="shared" ref="AI35:AI60" si="19">IF(COUNT(D35:L35)=0,"",IF(COUNTIF(D35:L35,1)&gt;0,"REVIEW","OK"))</f>
        <v>REVIEW</v>
      </c>
      <c r="AJ35" s="89" t="str">
        <f t="shared" ref="AJ35:AJ60" si="20">IF(COUNT(D35:L35)=0,"",IF(COUNTIF(D35:L35,"&lt;=2")&gt;=2,"AVOID","OK"))</f>
        <v>AVOID</v>
      </c>
      <c r="AK35" s="89" t="str">
        <f t="shared" ref="AK35:AK60" si="21">IF(COUNTA(E35:M35)=0,"",IF(COUNTIF(E35:M35,"L")&gt;=2,"CAP AT BUY","OK"))</f>
        <v>OK</v>
      </c>
      <c r="AL35" s="106" t="s">
        <v>349</v>
      </c>
      <c r="AM35" s="106" t="s">
        <v>388</v>
      </c>
      <c r="AN35" s="102"/>
      <c r="AO35" s="89"/>
      <c r="AP35" s="102" t="str">
        <f t="shared" ref="AP35:AP66" si="22">IF(OR(AN35="",AO35=""),"",IF(AN35&gt;AO35,"OK","LOW CONF"))</f>
        <v/>
      </c>
      <c r="AQ35" s="102"/>
      <c r="AR35" s="89"/>
      <c r="AS35" s="112" t="str">
        <f t="shared" ref="AS35:AS66" si="23">IF(OR(AQ35="",AR35=""),"",IF(AQ35&lt;AR35,"Decreased",IF(AQ35&gt;AR35,"Increased","Flat")))</f>
        <v/>
      </c>
    </row>
    <row r="36" spans="1:45" ht="15" customHeight="1" collapsed="1" x14ac:dyDescent="0.15">
      <c r="A36" s="58" t="s">
        <v>273</v>
      </c>
      <c r="B36" s="100" t="s">
        <v>391</v>
      </c>
      <c r="C36" s="111">
        <v>46295</v>
      </c>
      <c r="D36" s="102">
        <v>4</v>
      </c>
      <c r="E36" s="102" t="s">
        <v>336</v>
      </c>
      <c r="F36" s="102">
        <v>3</v>
      </c>
      <c r="G36" s="102" t="s">
        <v>336</v>
      </c>
      <c r="H36" s="102">
        <v>4</v>
      </c>
      <c r="I36" s="102" t="s">
        <v>336</v>
      </c>
      <c r="J36" s="102">
        <v>4</v>
      </c>
      <c r="K36" s="102" t="s">
        <v>337</v>
      </c>
      <c r="L36" s="102">
        <v>4</v>
      </c>
      <c r="M36" s="102" t="s">
        <v>336</v>
      </c>
      <c r="N36" s="103">
        <f t="shared" si="12"/>
        <v>3.785714285714286</v>
      </c>
      <c r="O36" s="89">
        <f t="shared" si="13"/>
        <v>2.65</v>
      </c>
      <c r="P36" s="102"/>
      <c r="Q36" s="102"/>
      <c r="R36" s="102"/>
      <c r="S36" s="102"/>
      <c r="T36" s="102"/>
      <c r="U36" s="102"/>
      <c r="V36" s="102"/>
      <c r="W36" s="102"/>
      <c r="X36" s="61" t="str">
        <f t="shared" si="14"/>
        <v/>
      </c>
      <c r="Y36" s="102"/>
      <c r="Z36" s="102"/>
      <c r="AA36" s="102"/>
      <c r="AB36" s="102"/>
      <c r="AC36" s="102"/>
      <c r="AD36" s="102"/>
      <c r="AE36" s="61" t="str">
        <f t="shared" si="15"/>
        <v/>
      </c>
      <c r="AF36" s="89" t="str">
        <f t="shared" si="16"/>
        <v/>
      </c>
      <c r="AG36" s="89" t="str">
        <f t="shared" si="17"/>
        <v/>
      </c>
      <c r="AH36" s="89" t="str">
        <f t="shared" si="18"/>
        <v>OK</v>
      </c>
      <c r="AI36" s="89" t="str">
        <f t="shared" si="19"/>
        <v>OK</v>
      </c>
      <c r="AJ36" s="89" t="str">
        <f t="shared" si="20"/>
        <v>OK</v>
      </c>
      <c r="AK36" s="89" t="str">
        <f t="shared" si="21"/>
        <v>OK</v>
      </c>
      <c r="AL36" s="106" t="s">
        <v>349</v>
      </c>
      <c r="AM36" s="106" t="s">
        <v>388</v>
      </c>
      <c r="AN36" s="102"/>
      <c r="AO36" s="89"/>
      <c r="AP36" s="102" t="str">
        <f t="shared" si="22"/>
        <v/>
      </c>
      <c r="AQ36" s="102"/>
      <c r="AR36" s="89"/>
      <c r="AS36" s="112" t="str">
        <f t="shared" si="23"/>
        <v/>
      </c>
    </row>
    <row r="37" spans="1:45" ht="15" hidden="1" customHeight="1" outlineLevel="1" x14ac:dyDescent="0.15">
      <c r="A37" s="58" t="s">
        <v>256</v>
      </c>
      <c r="B37" s="100" t="s">
        <v>392</v>
      </c>
      <c r="C37" s="111">
        <v>46246</v>
      </c>
      <c r="D37" s="102">
        <v>1</v>
      </c>
      <c r="E37" s="102" t="s">
        <v>337</v>
      </c>
      <c r="F37" s="102">
        <v>1</v>
      </c>
      <c r="G37" s="102" t="s">
        <v>337</v>
      </c>
      <c r="H37" s="102">
        <v>3</v>
      </c>
      <c r="I37" s="102" t="s">
        <v>336</v>
      </c>
      <c r="J37" s="102">
        <v>2</v>
      </c>
      <c r="K37" s="102" t="s">
        <v>336</v>
      </c>
      <c r="L37" s="102">
        <v>1</v>
      </c>
      <c r="M37" s="102" t="s">
        <v>337</v>
      </c>
      <c r="N37" s="103">
        <f t="shared" si="12"/>
        <v>1.5714285714285716</v>
      </c>
      <c r="O37" s="89">
        <f t="shared" si="13"/>
        <v>1.1000000000000001</v>
      </c>
      <c r="P37" s="102"/>
      <c r="Q37" s="102"/>
      <c r="R37" s="102"/>
      <c r="S37" s="102"/>
      <c r="T37" s="102"/>
      <c r="U37" s="102"/>
      <c r="V37" s="102"/>
      <c r="W37" s="102"/>
      <c r="X37" s="61" t="str">
        <f t="shared" si="14"/>
        <v/>
      </c>
      <c r="Y37" s="102"/>
      <c r="Z37" s="102"/>
      <c r="AA37" s="102"/>
      <c r="AB37" s="102"/>
      <c r="AC37" s="102"/>
      <c r="AD37" s="102"/>
      <c r="AE37" s="61" t="str">
        <f t="shared" si="15"/>
        <v/>
      </c>
      <c r="AF37" s="89" t="str">
        <f t="shared" si="16"/>
        <v/>
      </c>
      <c r="AG37" s="89" t="str">
        <f t="shared" si="17"/>
        <v/>
      </c>
      <c r="AH37" s="89" t="str">
        <f t="shared" si="18"/>
        <v>FAIL</v>
      </c>
      <c r="AI37" s="89" t="str">
        <f t="shared" si="19"/>
        <v>REVIEW</v>
      </c>
      <c r="AJ37" s="89" t="str">
        <f t="shared" si="20"/>
        <v>AVOID</v>
      </c>
      <c r="AK37" s="89" t="str">
        <f t="shared" si="21"/>
        <v>OK</v>
      </c>
      <c r="AL37" s="106" t="s">
        <v>349</v>
      </c>
      <c r="AM37" s="106" t="s">
        <v>350</v>
      </c>
      <c r="AN37" s="102"/>
      <c r="AO37" s="89"/>
      <c r="AP37" s="102" t="str">
        <f t="shared" si="22"/>
        <v/>
      </c>
      <c r="AQ37" s="102"/>
      <c r="AR37" s="89"/>
      <c r="AS37" s="112" t="str">
        <f t="shared" si="23"/>
        <v/>
      </c>
    </row>
    <row r="38" spans="1:45" ht="15" hidden="1" customHeight="1" outlineLevel="1" x14ac:dyDescent="0.15">
      <c r="A38" s="58" t="s">
        <v>271</v>
      </c>
      <c r="B38" s="100" t="s">
        <v>393</v>
      </c>
      <c r="C38" s="111">
        <v>46246</v>
      </c>
      <c r="D38" s="102">
        <v>3</v>
      </c>
      <c r="E38" s="102" t="s">
        <v>336</v>
      </c>
      <c r="F38" s="102">
        <v>3</v>
      </c>
      <c r="G38" s="102" t="s">
        <v>336</v>
      </c>
      <c r="H38" s="102">
        <v>3</v>
      </c>
      <c r="I38" s="102" t="s">
        <v>336</v>
      </c>
      <c r="J38" s="102">
        <v>2</v>
      </c>
      <c r="K38" s="102" t="s">
        <v>336</v>
      </c>
      <c r="L38" s="102">
        <v>3</v>
      </c>
      <c r="M38" s="102" t="s">
        <v>336</v>
      </c>
      <c r="N38" s="103">
        <f t="shared" si="12"/>
        <v>2.8571428571428572</v>
      </c>
      <c r="O38" s="89">
        <f t="shared" si="13"/>
        <v>2</v>
      </c>
      <c r="P38" s="102"/>
      <c r="Q38" s="102"/>
      <c r="R38" s="102"/>
      <c r="S38" s="102"/>
      <c r="T38" s="102"/>
      <c r="U38" s="102"/>
      <c r="V38" s="102"/>
      <c r="W38" s="102"/>
      <c r="X38" s="61" t="str">
        <f t="shared" si="14"/>
        <v/>
      </c>
      <c r="Y38" s="102"/>
      <c r="Z38" s="102"/>
      <c r="AA38" s="102"/>
      <c r="AB38" s="102"/>
      <c r="AC38" s="102"/>
      <c r="AD38" s="102"/>
      <c r="AE38" s="61" t="str">
        <f t="shared" si="15"/>
        <v/>
      </c>
      <c r="AF38" s="89" t="str">
        <f t="shared" si="16"/>
        <v/>
      </c>
      <c r="AG38" s="89" t="str">
        <f t="shared" si="17"/>
        <v/>
      </c>
      <c r="AH38" s="89" t="str">
        <f t="shared" si="18"/>
        <v>FAIL</v>
      </c>
      <c r="AI38" s="89" t="str">
        <f t="shared" si="19"/>
        <v>OK</v>
      </c>
      <c r="AJ38" s="89" t="str">
        <f t="shared" si="20"/>
        <v>OK</v>
      </c>
      <c r="AK38" s="89" t="str">
        <f t="shared" si="21"/>
        <v>OK</v>
      </c>
      <c r="AL38" s="106" t="s">
        <v>349</v>
      </c>
      <c r="AM38" s="106" t="s">
        <v>394</v>
      </c>
      <c r="AN38" s="102"/>
      <c r="AO38" s="89"/>
      <c r="AP38" s="102" t="str">
        <f t="shared" si="22"/>
        <v/>
      </c>
      <c r="AQ38" s="102"/>
      <c r="AR38" s="89"/>
      <c r="AS38" s="112" t="str">
        <f t="shared" si="23"/>
        <v/>
      </c>
    </row>
    <row r="39" spans="1:45" ht="15" hidden="1" customHeight="1" outlineLevel="1" x14ac:dyDescent="0.15">
      <c r="A39" s="58" t="s">
        <v>248</v>
      </c>
      <c r="B39" s="100" t="s">
        <v>395</v>
      </c>
      <c r="C39" s="111">
        <v>46246</v>
      </c>
      <c r="D39" s="102">
        <v>2</v>
      </c>
      <c r="E39" s="102" t="s">
        <v>338</v>
      </c>
      <c r="F39" s="102">
        <v>4</v>
      </c>
      <c r="G39" s="102" t="s">
        <v>337</v>
      </c>
      <c r="H39" s="102">
        <v>3</v>
      </c>
      <c r="I39" s="102" t="s">
        <v>336</v>
      </c>
      <c r="J39" s="102">
        <v>2</v>
      </c>
      <c r="K39" s="102" t="s">
        <v>336</v>
      </c>
      <c r="L39" s="102">
        <v>1</v>
      </c>
      <c r="M39" s="102" t="s">
        <v>337</v>
      </c>
      <c r="N39" s="103">
        <f t="shared" si="12"/>
        <v>2.5</v>
      </c>
      <c r="O39" s="89">
        <f t="shared" si="13"/>
        <v>1.75</v>
      </c>
      <c r="P39" s="102"/>
      <c r="Q39" s="102"/>
      <c r="R39" s="102"/>
      <c r="S39" s="102"/>
      <c r="T39" s="102"/>
      <c r="U39" s="102"/>
      <c r="V39" s="102"/>
      <c r="W39" s="102"/>
      <c r="X39" s="61" t="str">
        <f t="shared" si="14"/>
        <v/>
      </c>
      <c r="Y39" s="102"/>
      <c r="Z39" s="102"/>
      <c r="AA39" s="102"/>
      <c r="AB39" s="102"/>
      <c r="AC39" s="102"/>
      <c r="AD39" s="102"/>
      <c r="AE39" s="61" t="str">
        <f t="shared" si="15"/>
        <v/>
      </c>
      <c r="AF39" s="89" t="str">
        <f t="shared" si="16"/>
        <v/>
      </c>
      <c r="AG39" s="89" t="str">
        <f t="shared" si="17"/>
        <v/>
      </c>
      <c r="AH39" s="89" t="str">
        <f t="shared" si="18"/>
        <v>FAIL</v>
      </c>
      <c r="AI39" s="89" t="str">
        <f t="shared" si="19"/>
        <v>REVIEW</v>
      </c>
      <c r="AJ39" s="89" t="str">
        <f t="shared" si="20"/>
        <v>AVOID</v>
      </c>
      <c r="AK39" s="89" t="str">
        <f t="shared" si="21"/>
        <v>OK</v>
      </c>
      <c r="AL39" s="106" t="s">
        <v>349</v>
      </c>
      <c r="AM39" s="106" t="s">
        <v>394</v>
      </c>
      <c r="AN39" s="102"/>
      <c r="AO39" s="89"/>
      <c r="AP39" s="102" t="str">
        <f t="shared" si="22"/>
        <v/>
      </c>
      <c r="AQ39" s="102"/>
      <c r="AR39" s="89"/>
      <c r="AS39" s="112" t="str">
        <f t="shared" si="23"/>
        <v/>
      </c>
    </row>
    <row r="40" spans="1:45" ht="15" hidden="1" customHeight="1" outlineLevel="1" x14ac:dyDescent="0.15">
      <c r="A40" s="58" t="s">
        <v>225</v>
      </c>
      <c r="B40" s="100" t="s">
        <v>396</v>
      </c>
      <c r="C40" s="111">
        <v>46246</v>
      </c>
      <c r="D40" s="102">
        <v>1</v>
      </c>
      <c r="E40" s="102" t="s">
        <v>337</v>
      </c>
      <c r="F40" s="102">
        <v>1</v>
      </c>
      <c r="G40" s="102" t="s">
        <v>337</v>
      </c>
      <c r="H40" s="102">
        <v>2</v>
      </c>
      <c r="I40" s="102" t="s">
        <v>336</v>
      </c>
      <c r="J40" s="102">
        <v>2</v>
      </c>
      <c r="K40" s="102" t="s">
        <v>336</v>
      </c>
      <c r="L40" s="102">
        <v>1</v>
      </c>
      <c r="M40" s="102" t="s">
        <v>337</v>
      </c>
      <c r="N40" s="103">
        <f t="shared" si="12"/>
        <v>1.357142857142857</v>
      </c>
      <c r="O40" s="89">
        <f t="shared" si="13"/>
        <v>0.94999999999999984</v>
      </c>
      <c r="P40" s="102"/>
      <c r="Q40" s="102"/>
      <c r="R40" s="102"/>
      <c r="S40" s="102"/>
      <c r="T40" s="102"/>
      <c r="U40" s="102"/>
      <c r="V40" s="102"/>
      <c r="W40" s="102"/>
      <c r="X40" s="61" t="str">
        <f t="shared" si="14"/>
        <v/>
      </c>
      <c r="Y40" s="102"/>
      <c r="Z40" s="102"/>
      <c r="AA40" s="102"/>
      <c r="AB40" s="102"/>
      <c r="AC40" s="102"/>
      <c r="AD40" s="102"/>
      <c r="AE40" s="61" t="str">
        <f t="shared" si="15"/>
        <v/>
      </c>
      <c r="AF40" s="89" t="str">
        <f t="shared" si="16"/>
        <v/>
      </c>
      <c r="AG40" s="89" t="str">
        <f t="shared" si="17"/>
        <v/>
      </c>
      <c r="AH40" s="89" t="str">
        <f t="shared" si="18"/>
        <v>FAIL</v>
      </c>
      <c r="AI40" s="89" t="str">
        <f t="shared" si="19"/>
        <v>REVIEW</v>
      </c>
      <c r="AJ40" s="89" t="str">
        <f t="shared" si="20"/>
        <v>AVOID</v>
      </c>
      <c r="AK40" s="89" t="str">
        <f t="shared" si="21"/>
        <v>OK</v>
      </c>
      <c r="AL40" s="106" t="s">
        <v>349</v>
      </c>
      <c r="AM40" s="106" t="s">
        <v>397</v>
      </c>
      <c r="AN40" s="102"/>
      <c r="AO40" s="89"/>
      <c r="AP40" s="102" t="str">
        <f t="shared" si="22"/>
        <v/>
      </c>
      <c r="AQ40" s="102"/>
      <c r="AR40" s="89"/>
      <c r="AS40" s="112" t="str">
        <f t="shared" si="23"/>
        <v/>
      </c>
    </row>
    <row r="41" spans="1:45" ht="15" hidden="1" customHeight="1" outlineLevel="1" x14ac:dyDescent="0.15">
      <c r="A41" s="58" t="s">
        <v>227</v>
      </c>
      <c r="B41" s="100" t="s">
        <v>398</v>
      </c>
      <c r="C41" s="111">
        <v>46246</v>
      </c>
      <c r="D41" s="102">
        <v>2</v>
      </c>
      <c r="E41" s="102" t="s">
        <v>336</v>
      </c>
      <c r="F41" s="102">
        <v>3</v>
      </c>
      <c r="G41" s="102" t="s">
        <v>337</v>
      </c>
      <c r="H41" s="102">
        <v>4</v>
      </c>
      <c r="I41" s="102" t="s">
        <v>336</v>
      </c>
      <c r="J41" s="102">
        <v>3</v>
      </c>
      <c r="K41" s="102" t="s">
        <v>336</v>
      </c>
      <c r="L41" s="102">
        <v>2</v>
      </c>
      <c r="M41" s="102" t="s">
        <v>337</v>
      </c>
      <c r="N41" s="103">
        <f t="shared" si="12"/>
        <v>2.785714285714286</v>
      </c>
      <c r="O41" s="89">
        <f t="shared" si="13"/>
        <v>1.95</v>
      </c>
      <c r="P41" s="102"/>
      <c r="Q41" s="102"/>
      <c r="R41" s="102"/>
      <c r="S41" s="102"/>
      <c r="T41" s="102"/>
      <c r="U41" s="102"/>
      <c r="V41" s="102"/>
      <c r="W41" s="102"/>
      <c r="X41" s="61" t="str">
        <f t="shared" si="14"/>
        <v/>
      </c>
      <c r="Y41" s="102"/>
      <c r="Z41" s="102"/>
      <c r="AA41" s="102"/>
      <c r="AB41" s="102"/>
      <c r="AC41" s="102"/>
      <c r="AD41" s="102"/>
      <c r="AE41" s="61" t="str">
        <f t="shared" si="15"/>
        <v/>
      </c>
      <c r="AF41" s="89" t="str">
        <f t="shared" si="16"/>
        <v/>
      </c>
      <c r="AG41" s="89" t="str">
        <f t="shared" si="17"/>
        <v/>
      </c>
      <c r="AH41" s="89" t="str">
        <f t="shared" si="18"/>
        <v>FAIL</v>
      </c>
      <c r="AI41" s="89" t="str">
        <f t="shared" si="19"/>
        <v>OK</v>
      </c>
      <c r="AJ41" s="89" t="str">
        <f t="shared" si="20"/>
        <v>AVOID</v>
      </c>
      <c r="AK41" s="89" t="str">
        <f t="shared" si="21"/>
        <v>OK</v>
      </c>
      <c r="AL41" s="106" t="s">
        <v>349</v>
      </c>
      <c r="AM41" s="106" t="s">
        <v>399</v>
      </c>
      <c r="AN41" s="102"/>
      <c r="AO41" s="89"/>
      <c r="AP41" s="102" t="str">
        <f t="shared" si="22"/>
        <v/>
      </c>
      <c r="AQ41" s="102"/>
      <c r="AR41" s="89"/>
      <c r="AS41" s="112" t="str">
        <f t="shared" si="23"/>
        <v/>
      </c>
    </row>
    <row r="42" spans="1:45" ht="15" customHeight="1" collapsed="1" x14ac:dyDescent="0.15">
      <c r="A42" s="58" t="s">
        <v>245</v>
      </c>
      <c r="B42" s="100" t="s">
        <v>400</v>
      </c>
      <c r="C42" s="111">
        <v>46246</v>
      </c>
      <c r="D42" s="102">
        <v>4</v>
      </c>
      <c r="E42" s="102" t="s">
        <v>337</v>
      </c>
      <c r="F42" s="102">
        <v>3</v>
      </c>
      <c r="G42" s="102" t="s">
        <v>337</v>
      </c>
      <c r="H42" s="102">
        <v>3</v>
      </c>
      <c r="I42" s="102" t="s">
        <v>336</v>
      </c>
      <c r="J42" s="102">
        <v>3</v>
      </c>
      <c r="K42" s="102" t="s">
        <v>336</v>
      </c>
      <c r="L42" s="102">
        <v>4</v>
      </c>
      <c r="M42" s="102" t="s">
        <v>337</v>
      </c>
      <c r="N42" s="103">
        <f t="shared" si="12"/>
        <v>3.4285714285714288</v>
      </c>
      <c r="O42" s="89">
        <f t="shared" si="13"/>
        <v>2.4</v>
      </c>
      <c r="P42" s="102"/>
      <c r="Q42" s="102"/>
      <c r="R42" s="102"/>
      <c r="S42" s="102"/>
      <c r="T42" s="102"/>
      <c r="U42" s="102"/>
      <c r="V42" s="102"/>
      <c r="W42" s="102"/>
      <c r="X42" s="61" t="str">
        <f t="shared" si="14"/>
        <v/>
      </c>
      <c r="Y42" s="102"/>
      <c r="Z42" s="102"/>
      <c r="AA42" s="102"/>
      <c r="AB42" s="102"/>
      <c r="AC42" s="102"/>
      <c r="AD42" s="102"/>
      <c r="AE42" s="61" t="str">
        <f t="shared" si="15"/>
        <v/>
      </c>
      <c r="AF42" s="89" t="str">
        <f t="shared" si="16"/>
        <v/>
      </c>
      <c r="AG42" s="89" t="str">
        <f t="shared" si="17"/>
        <v/>
      </c>
      <c r="AH42" s="89" t="str">
        <f t="shared" si="18"/>
        <v>OK</v>
      </c>
      <c r="AI42" s="89" t="str">
        <f t="shared" si="19"/>
        <v>OK</v>
      </c>
      <c r="AJ42" s="89" t="str">
        <f t="shared" si="20"/>
        <v>OK</v>
      </c>
      <c r="AK42" s="89" t="str">
        <f t="shared" si="21"/>
        <v>OK</v>
      </c>
      <c r="AL42" s="106" t="s">
        <v>349</v>
      </c>
      <c r="AM42" s="106" t="s">
        <v>399</v>
      </c>
      <c r="AN42" s="102"/>
      <c r="AO42" s="89"/>
      <c r="AP42" s="102" t="str">
        <f t="shared" si="22"/>
        <v/>
      </c>
      <c r="AQ42" s="102"/>
      <c r="AR42" s="89"/>
      <c r="AS42" s="112" t="str">
        <f t="shared" si="23"/>
        <v/>
      </c>
    </row>
    <row r="43" spans="1:45" ht="15" customHeight="1" x14ac:dyDescent="0.15">
      <c r="A43" s="58" t="s">
        <v>140</v>
      </c>
      <c r="B43" s="100" t="s">
        <v>141</v>
      </c>
      <c r="C43" s="111">
        <v>46295</v>
      </c>
      <c r="D43" s="102">
        <v>4</v>
      </c>
      <c r="E43" s="102" t="s">
        <v>336</v>
      </c>
      <c r="F43" s="102">
        <v>5</v>
      </c>
      <c r="G43" s="102" t="s">
        <v>336</v>
      </c>
      <c r="H43" s="102">
        <v>5</v>
      </c>
      <c r="I43" s="102" t="s">
        <v>336</v>
      </c>
      <c r="J43" s="102">
        <v>4</v>
      </c>
      <c r="K43" s="102" t="s">
        <v>336</v>
      </c>
      <c r="L43" s="102">
        <v>2</v>
      </c>
      <c r="M43" s="102" t="s">
        <v>336</v>
      </c>
      <c r="N43" s="103">
        <f t="shared" si="12"/>
        <v>4.1428571428571432</v>
      </c>
      <c r="O43" s="89">
        <f t="shared" si="13"/>
        <v>2.9</v>
      </c>
      <c r="P43" s="102">
        <v>5</v>
      </c>
      <c r="Q43" s="102" t="s">
        <v>337</v>
      </c>
      <c r="R43" s="102">
        <v>5</v>
      </c>
      <c r="S43" s="102" t="s">
        <v>338</v>
      </c>
      <c r="T43" s="102">
        <v>3</v>
      </c>
      <c r="U43" s="102" t="s">
        <v>336</v>
      </c>
      <c r="V43" s="102">
        <v>4</v>
      </c>
      <c r="W43" s="102" t="s">
        <v>336</v>
      </c>
      <c r="X43" s="61">
        <f t="shared" si="14"/>
        <v>1.1099999999999999</v>
      </c>
      <c r="Y43" s="102">
        <v>5</v>
      </c>
      <c r="Z43" s="102" t="s">
        <v>336</v>
      </c>
      <c r="AA43" s="102">
        <v>4</v>
      </c>
      <c r="AB43" s="102" t="s">
        <v>336</v>
      </c>
      <c r="AC43" s="102">
        <v>2</v>
      </c>
      <c r="AD43" s="102" t="s">
        <v>336</v>
      </c>
      <c r="AE43" s="61">
        <f t="shared" si="15"/>
        <v>0.19999999999999998</v>
      </c>
      <c r="AF43" s="89">
        <f t="shared" si="16"/>
        <v>84.2</v>
      </c>
      <c r="AG43" s="89" t="str">
        <f t="shared" si="17"/>
        <v>STRONG BUY</v>
      </c>
      <c r="AH43" s="89" t="str">
        <f t="shared" si="18"/>
        <v>OK</v>
      </c>
      <c r="AI43" s="89" t="str">
        <f t="shared" si="19"/>
        <v>OK</v>
      </c>
      <c r="AJ43" s="89" t="str">
        <f t="shared" si="20"/>
        <v>OK</v>
      </c>
      <c r="AK43" s="89" t="str">
        <f t="shared" si="21"/>
        <v>OK</v>
      </c>
      <c r="AL43" s="106" t="s">
        <v>356</v>
      </c>
      <c r="AM43" s="106" t="s">
        <v>401</v>
      </c>
      <c r="AN43" s="102"/>
      <c r="AO43" s="89"/>
      <c r="AP43" s="102" t="str">
        <f t="shared" si="22"/>
        <v/>
      </c>
      <c r="AQ43" s="102"/>
      <c r="AR43" s="89"/>
      <c r="AS43" s="112" t="str">
        <f t="shared" si="23"/>
        <v/>
      </c>
    </row>
    <row r="44" spans="1:45" ht="15" customHeight="1" x14ac:dyDescent="0.15">
      <c r="A44" s="58" t="s">
        <v>265</v>
      </c>
      <c r="B44" s="100" t="s">
        <v>402</v>
      </c>
      <c r="C44" s="111">
        <v>46247</v>
      </c>
      <c r="D44" s="102">
        <v>4</v>
      </c>
      <c r="E44" s="102" t="s">
        <v>336</v>
      </c>
      <c r="F44" s="102">
        <v>3</v>
      </c>
      <c r="G44" s="102" t="s">
        <v>336</v>
      </c>
      <c r="H44" s="102">
        <v>3</v>
      </c>
      <c r="I44" s="102" t="s">
        <v>336</v>
      </c>
      <c r="J44" s="102">
        <v>2</v>
      </c>
      <c r="K44" s="102" t="s">
        <v>336</v>
      </c>
      <c r="L44" s="102">
        <v>4</v>
      </c>
      <c r="M44" s="102" t="s">
        <v>336</v>
      </c>
      <c r="N44" s="103">
        <f t="shared" si="12"/>
        <v>3.2857142857142856</v>
      </c>
      <c r="O44" s="89">
        <f t="shared" si="13"/>
        <v>2.2999999999999998</v>
      </c>
      <c r="P44" s="102"/>
      <c r="Q44" s="102"/>
      <c r="R44" s="102"/>
      <c r="S44" s="102"/>
      <c r="T44" s="102"/>
      <c r="U44" s="102"/>
      <c r="V44" s="102"/>
      <c r="W44" s="102"/>
      <c r="X44" s="61" t="str">
        <f t="shared" si="14"/>
        <v/>
      </c>
      <c r="Y44" s="102"/>
      <c r="Z44" s="102"/>
      <c r="AA44" s="102">
        <v>4</v>
      </c>
      <c r="AB44" s="102" t="s">
        <v>336</v>
      </c>
      <c r="AC44" s="102"/>
      <c r="AD44" s="102"/>
      <c r="AE44" s="61">
        <f t="shared" si="15"/>
        <v>0.08</v>
      </c>
      <c r="AF44" s="89" t="str">
        <f t="shared" si="16"/>
        <v/>
      </c>
      <c r="AG44" s="89" t="str">
        <f t="shared" si="17"/>
        <v/>
      </c>
      <c r="AH44" s="89" t="str">
        <f t="shared" si="18"/>
        <v>OK</v>
      </c>
      <c r="AI44" s="89" t="str">
        <f t="shared" si="19"/>
        <v>OK</v>
      </c>
      <c r="AJ44" s="89" t="str">
        <f t="shared" si="20"/>
        <v>OK</v>
      </c>
      <c r="AK44" s="89" t="str">
        <f t="shared" si="21"/>
        <v>OK</v>
      </c>
      <c r="AL44" s="106" t="s">
        <v>356</v>
      </c>
      <c r="AM44" s="106" t="s">
        <v>403</v>
      </c>
      <c r="AN44" s="102"/>
      <c r="AO44" s="89"/>
      <c r="AP44" s="102" t="str">
        <f t="shared" si="22"/>
        <v/>
      </c>
      <c r="AQ44" s="102"/>
      <c r="AR44" s="89"/>
      <c r="AS44" s="112" t="str">
        <f t="shared" si="23"/>
        <v/>
      </c>
    </row>
    <row r="45" spans="1:45" ht="15" customHeight="1" x14ac:dyDescent="0.15">
      <c r="A45" s="58" t="s">
        <v>243</v>
      </c>
      <c r="B45" s="100" t="s">
        <v>404</v>
      </c>
      <c r="C45" s="111">
        <v>46247</v>
      </c>
      <c r="D45" s="102">
        <v>4</v>
      </c>
      <c r="E45" s="102" t="s">
        <v>336</v>
      </c>
      <c r="F45" s="102">
        <v>3</v>
      </c>
      <c r="G45" s="102" t="s">
        <v>336</v>
      </c>
      <c r="H45" s="102">
        <v>4</v>
      </c>
      <c r="I45" s="102" t="s">
        <v>336</v>
      </c>
      <c r="J45" s="102">
        <v>3</v>
      </c>
      <c r="K45" s="102" t="s">
        <v>336</v>
      </c>
      <c r="L45" s="102">
        <v>3</v>
      </c>
      <c r="M45" s="102" t="s">
        <v>336</v>
      </c>
      <c r="N45" s="103">
        <f t="shared" si="12"/>
        <v>3.5000000000000004</v>
      </c>
      <c r="O45" s="89">
        <f t="shared" si="13"/>
        <v>2.4500000000000002</v>
      </c>
      <c r="P45" s="102"/>
      <c r="Q45" s="102"/>
      <c r="R45" s="102"/>
      <c r="S45" s="102"/>
      <c r="T45" s="102"/>
      <c r="U45" s="102"/>
      <c r="V45" s="102"/>
      <c r="W45" s="102"/>
      <c r="X45" s="61" t="str">
        <f t="shared" si="14"/>
        <v/>
      </c>
      <c r="Y45" s="102"/>
      <c r="Z45" s="102"/>
      <c r="AA45" s="102">
        <v>4</v>
      </c>
      <c r="AB45" s="102" t="s">
        <v>336</v>
      </c>
      <c r="AC45" s="102"/>
      <c r="AD45" s="102"/>
      <c r="AE45" s="61">
        <f t="shared" si="15"/>
        <v>0.08</v>
      </c>
      <c r="AF45" s="89" t="str">
        <f t="shared" si="16"/>
        <v/>
      </c>
      <c r="AG45" s="89" t="str">
        <f t="shared" si="17"/>
        <v/>
      </c>
      <c r="AH45" s="89" t="str">
        <f t="shared" si="18"/>
        <v>OK</v>
      </c>
      <c r="AI45" s="89" t="str">
        <f t="shared" si="19"/>
        <v>OK</v>
      </c>
      <c r="AJ45" s="89" t="str">
        <f t="shared" si="20"/>
        <v>OK</v>
      </c>
      <c r="AK45" s="89" t="str">
        <f t="shared" si="21"/>
        <v>OK</v>
      </c>
      <c r="AL45" s="106" t="s">
        <v>356</v>
      </c>
      <c r="AM45" s="106" t="s">
        <v>403</v>
      </c>
      <c r="AN45" s="102"/>
      <c r="AO45" s="89"/>
      <c r="AP45" s="102" t="str">
        <f t="shared" si="22"/>
        <v/>
      </c>
      <c r="AQ45" s="102"/>
      <c r="AR45" s="89"/>
      <c r="AS45" s="112" t="str">
        <f t="shared" si="23"/>
        <v/>
      </c>
    </row>
    <row r="46" spans="1:45" ht="15" hidden="1" customHeight="1" outlineLevel="1" x14ac:dyDescent="0.15">
      <c r="A46" s="58" t="s">
        <v>236</v>
      </c>
      <c r="B46" s="100" t="s">
        <v>405</v>
      </c>
      <c r="C46" s="111">
        <v>46258</v>
      </c>
      <c r="D46" s="102">
        <v>4</v>
      </c>
      <c r="E46" s="102" t="s">
        <v>336</v>
      </c>
      <c r="F46" s="102">
        <v>2</v>
      </c>
      <c r="G46" s="102" t="s">
        <v>336</v>
      </c>
      <c r="H46" s="102">
        <v>3</v>
      </c>
      <c r="I46" s="102" t="s">
        <v>336</v>
      </c>
      <c r="J46" s="102">
        <v>2</v>
      </c>
      <c r="K46" s="102" t="s">
        <v>336</v>
      </c>
      <c r="L46" s="102">
        <v>3</v>
      </c>
      <c r="M46" s="102" t="s">
        <v>336</v>
      </c>
      <c r="N46" s="103">
        <f t="shared" si="12"/>
        <v>2.9285714285714284</v>
      </c>
      <c r="O46" s="89">
        <f t="shared" si="13"/>
        <v>2.0499999999999998</v>
      </c>
      <c r="P46" s="102"/>
      <c r="Q46" s="102"/>
      <c r="R46" s="102"/>
      <c r="S46" s="102"/>
      <c r="T46" s="102"/>
      <c r="U46" s="102"/>
      <c r="V46" s="102"/>
      <c r="W46" s="102"/>
      <c r="X46" s="61" t="str">
        <f t="shared" si="14"/>
        <v/>
      </c>
      <c r="Y46" s="102"/>
      <c r="Z46" s="102"/>
      <c r="AA46" s="102"/>
      <c r="AB46" s="102"/>
      <c r="AC46" s="102"/>
      <c r="AD46" s="102"/>
      <c r="AE46" s="61" t="str">
        <f t="shared" si="15"/>
        <v/>
      </c>
      <c r="AF46" s="89" t="str">
        <f t="shared" si="16"/>
        <v/>
      </c>
      <c r="AG46" s="89" t="str">
        <f t="shared" si="17"/>
        <v/>
      </c>
      <c r="AH46" s="89" t="str">
        <f t="shared" si="18"/>
        <v>FAIL</v>
      </c>
      <c r="AI46" s="89" t="str">
        <f t="shared" si="19"/>
        <v>OK</v>
      </c>
      <c r="AJ46" s="89" t="str">
        <f t="shared" si="20"/>
        <v>AVOID</v>
      </c>
      <c r="AK46" s="89" t="str">
        <f t="shared" si="21"/>
        <v>OK</v>
      </c>
      <c r="AL46" s="106" t="s">
        <v>406</v>
      </c>
      <c r="AM46" s="106" t="s">
        <v>407</v>
      </c>
      <c r="AN46" s="102"/>
      <c r="AO46" s="89"/>
      <c r="AP46" s="102" t="str">
        <f t="shared" si="22"/>
        <v/>
      </c>
      <c r="AQ46" s="102"/>
      <c r="AR46" s="89"/>
      <c r="AS46" s="112" t="str">
        <f t="shared" si="23"/>
        <v/>
      </c>
    </row>
    <row r="47" spans="1:45" ht="15" customHeight="1" collapsed="1" x14ac:dyDescent="0.15">
      <c r="A47" s="58" t="s">
        <v>143</v>
      </c>
      <c r="B47" s="100" t="s">
        <v>144</v>
      </c>
      <c r="C47" s="111">
        <v>46295</v>
      </c>
      <c r="D47" s="102">
        <v>4</v>
      </c>
      <c r="E47" s="102" t="s">
        <v>336</v>
      </c>
      <c r="F47" s="102">
        <v>4</v>
      </c>
      <c r="G47" s="102" t="s">
        <v>336</v>
      </c>
      <c r="H47" s="102">
        <v>5</v>
      </c>
      <c r="I47" s="102" t="s">
        <v>336</v>
      </c>
      <c r="J47" s="102">
        <v>4</v>
      </c>
      <c r="K47" s="102" t="s">
        <v>336</v>
      </c>
      <c r="L47" s="102">
        <v>4</v>
      </c>
      <c r="M47" s="102" t="s">
        <v>336</v>
      </c>
      <c r="N47" s="103">
        <f t="shared" si="12"/>
        <v>4.2142857142857144</v>
      </c>
      <c r="O47" s="89">
        <f t="shared" si="13"/>
        <v>2.9499999999999997</v>
      </c>
      <c r="P47" s="102">
        <v>5</v>
      </c>
      <c r="Q47" s="102" t="s">
        <v>337</v>
      </c>
      <c r="R47" s="102">
        <v>5</v>
      </c>
      <c r="S47" s="102" t="s">
        <v>338</v>
      </c>
      <c r="T47" s="102">
        <v>1</v>
      </c>
      <c r="U47" s="102" t="s">
        <v>336</v>
      </c>
      <c r="V47" s="102">
        <v>4</v>
      </c>
      <c r="W47" s="102" t="s">
        <v>336</v>
      </c>
      <c r="X47" s="61">
        <f t="shared" si="14"/>
        <v>1.05</v>
      </c>
      <c r="Y47" s="102">
        <v>4</v>
      </c>
      <c r="Z47" s="102" t="s">
        <v>336</v>
      </c>
      <c r="AA47" s="102">
        <v>4</v>
      </c>
      <c r="AB47" s="102" t="s">
        <v>336</v>
      </c>
      <c r="AC47" s="102">
        <v>3</v>
      </c>
      <c r="AD47" s="102" t="s">
        <v>336</v>
      </c>
      <c r="AE47" s="61">
        <f t="shared" si="15"/>
        <v>0.19</v>
      </c>
      <c r="AF47" s="89">
        <f t="shared" si="16"/>
        <v>83.800000000000011</v>
      </c>
      <c r="AG47" s="89" t="str">
        <f t="shared" si="17"/>
        <v>STRONG BUY</v>
      </c>
      <c r="AH47" s="89" t="str">
        <f t="shared" si="18"/>
        <v>OK</v>
      </c>
      <c r="AI47" s="89" t="str">
        <f t="shared" si="19"/>
        <v>OK</v>
      </c>
      <c r="AJ47" s="89" t="str">
        <f t="shared" si="20"/>
        <v>OK</v>
      </c>
      <c r="AK47" s="89" t="str">
        <f t="shared" si="21"/>
        <v>OK</v>
      </c>
      <c r="AL47" s="106" t="s">
        <v>406</v>
      </c>
      <c r="AM47" s="106" t="s">
        <v>407</v>
      </c>
      <c r="AN47" s="102"/>
      <c r="AO47" s="89"/>
      <c r="AP47" s="102" t="str">
        <f t="shared" si="22"/>
        <v/>
      </c>
      <c r="AQ47" s="102"/>
      <c r="AR47" s="89"/>
      <c r="AS47" s="112" t="str">
        <f t="shared" si="23"/>
        <v/>
      </c>
    </row>
    <row r="48" spans="1:45" ht="15" customHeight="1" x14ac:dyDescent="0.15">
      <c r="A48" s="58" t="s">
        <v>275</v>
      </c>
      <c r="B48" s="100" t="s">
        <v>408</v>
      </c>
      <c r="C48" s="101">
        <v>46276</v>
      </c>
      <c r="D48" s="102">
        <v>4</v>
      </c>
      <c r="E48" s="102" t="s">
        <v>336</v>
      </c>
      <c r="F48" s="102">
        <v>4</v>
      </c>
      <c r="G48" s="102" t="s">
        <v>336</v>
      </c>
      <c r="H48" s="102"/>
      <c r="I48" s="102"/>
      <c r="J48" s="102"/>
      <c r="K48" s="102"/>
      <c r="L48" s="102">
        <v>4</v>
      </c>
      <c r="M48" s="102" t="s">
        <v>336</v>
      </c>
      <c r="N48" s="103">
        <f t="shared" si="12"/>
        <v>4</v>
      </c>
      <c r="O48" s="104">
        <f t="shared" si="13"/>
        <v>1.7999999999999998</v>
      </c>
      <c r="P48" s="102"/>
      <c r="Q48" s="102"/>
      <c r="R48" s="102"/>
      <c r="S48" s="102"/>
      <c r="T48" s="102"/>
      <c r="U48" s="102"/>
      <c r="V48" s="102"/>
      <c r="W48" s="102"/>
      <c r="X48" s="104" t="str">
        <f t="shared" si="14"/>
        <v/>
      </c>
      <c r="Y48" s="102"/>
      <c r="Z48" s="102"/>
      <c r="AA48" s="102"/>
      <c r="AB48" s="102"/>
      <c r="AC48" s="102"/>
      <c r="AD48" s="102"/>
      <c r="AE48" s="104" t="str">
        <f t="shared" si="15"/>
        <v/>
      </c>
      <c r="AF48" s="89" t="str">
        <f t="shared" si="16"/>
        <v/>
      </c>
      <c r="AG48" s="89" t="str">
        <f t="shared" si="17"/>
        <v/>
      </c>
      <c r="AH48" s="89" t="str">
        <f t="shared" si="18"/>
        <v>OK</v>
      </c>
      <c r="AI48" s="89" t="str">
        <f t="shared" si="19"/>
        <v>OK</v>
      </c>
      <c r="AJ48" s="89" t="str">
        <f t="shared" si="20"/>
        <v>OK</v>
      </c>
      <c r="AK48" s="89" t="str">
        <f t="shared" si="21"/>
        <v>OK</v>
      </c>
      <c r="AL48" s="106" t="s">
        <v>366</v>
      </c>
      <c r="AM48" s="106" t="s">
        <v>371</v>
      </c>
      <c r="AN48" s="102"/>
      <c r="AO48" s="89"/>
      <c r="AP48" s="102" t="str">
        <f t="shared" si="22"/>
        <v/>
      </c>
      <c r="AQ48" s="102"/>
      <c r="AR48" s="89"/>
      <c r="AS48" s="112" t="str">
        <f t="shared" si="23"/>
        <v/>
      </c>
    </row>
    <row r="49" spans="1:45" ht="15" customHeight="1" x14ac:dyDescent="0.15">
      <c r="A49" s="58" t="s">
        <v>277</v>
      </c>
      <c r="B49" s="100" t="s">
        <v>409</v>
      </c>
      <c r="C49" s="111">
        <v>46295</v>
      </c>
      <c r="D49" s="102">
        <v>3</v>
      </c>
      <c r="E49" s="102" t="s">
        <v>336</v>
      </c>
      <c r="F49" s="102">
        <v>2</v>
      </c>
      <c r="G49" s="102" t="s">
        <v>336</v>
      </c>
      <c r="H49" s="102">
        <v>5</v>
      </c>
      <c r="I49" s="102" t="s">
        <v>337</v>
      </c>
      <c r="J49" s="102">
        <v>4</v>
      </c>
      <c r="K49" s="102" t="s">
        <v>336</v>
      </c>
      <c r="L49" s="102">
        <v>4</v>
      </c>
      <c r="M49" s="102" t="s">
        <v>336</v>
      </c>
      <c r="N49" s="103">
        <f t="shared" si="12"/>
        <v>3.5000000000000004</v>
      </c>
      <c r="O49" s="89">
        <f t="shared" si="13"/>
        <v>2.4500000000000002</v>
      </c>
      <c r="P49" s="102">
        <v>5</v>
      </c>
      <c r="Q49" s="102" t="s">
        <v>337</v>
      </c>
      <c r="R49" s="102">
        <v>3</v>
      </c>
      <c r="S49" s="102" t="s">
        <v>338</v>
      </c>
      <c r="T49" s="102">
        <v>1</v>
      </c>
      <c r="U49" s="102" t="s">
        <v>336</v>
      </c>
      <c r="V49" s="102">
        <v>4</v>
      </c>
      <c r="W49" s="102" t="s">
        <v>336</v>
      </c>
      <c r="X49" s="61">
        <f t="shared" si="14"/>
        <v>0.93000000000000016</v>
      </c>
      <c r="Y49" s="102">
        <v>2</v>
      </c>
      <c r="Z49" s="102" t="s">
        <v>336</v>
      </c>
      <c r="AA49" s="102">
        <v>5</v>
      </c>
      <c r="AB49" s="102" t="s">
        <v>336</v>
      </c>
      <c r="AC49" s="102">
        <v>2</v>
      </c>
      <c r="AD49" s="102" t="s">
        <v>336</v>
      </c>
      <c r="AE49" s="61">
        <f t="shared" si="15"/>
        <v>0.16</v>
      </c>
      <c r="AF49" s="89">
        <f t="shared" si="16"/>
        <v>70.800000000000011</v>
      </c>
      <c r="AG49" s="89" t="str">
        <f t="shared" si="17"/>
        <v>BUY</v>
      </c>
      <c r="AH49" s="89" t="str">
        <f t="shared" si="18"/>
        <v>OK</v>
      </c>
      <c r="AI49" s="89" t="str">
        <f t="shared" si="19"/>
        <v>OK</v>
      </c>
      <c r="AJ49" s="89" t="str">
        <f t="shared" si="20"/>
        <v>OK</v>
      </c>
      <c r="AK49" s="89" t="str">
        <f t="shared" si="21"/>
        <v>OK</v>
      </c>
      <c r="AL49" s="106" t="s">
        <v>342</v>
      </c>
      <c r="AM49" s="106" t="s">
        <v>410</v>
      </c>
      <c r="AN49" s="102"/>
      <c r="AO49" s="89"/>
      <c r="AP49" s="102" t="str">
        <f t="shared" si="22"/>
        <v/>
      </c>
      <c r="AQ49" s="102"/>
      <c r="AR49" s="89"/>
      <c r="AS49" s="112" t="str">
        <f t="shared" si="23"/>
        <v/>
      </c>
    </row>
    <row r="50" spans="1:45" ht="15" customHeight="1" x14ac:dyDescent="0.15">
      <c r="A50" s="58" t="s">
        <v>279</v>
      </c>
      <c r="B50" s="100" t="s">
        <v>411</v>
      </c>
      <c r="C50" s="111">
        <v>46295</v>
      </c>
      <c r="D50" s="102">
        <v>4</v>
      </c>
      <c r="E50" s="102" t="s">
        <v>336</v>
      </c>
      <c r="F50" s="102">
        <v>3</v>
      </c>
      <c r="G50" s="102" t="s">
        <v>336</v>
      </c>
      <c r="H50" s="102">
        <v>4</v>
      </c>
      <c r="I50" s="102" t="s">
        <v>336</v>
      </c>
      <c r="J50" s="102">
        <v>3</v>
      </c>
      <c r="K50" s="102" t="s">
        <v>336</v>
      </c>
      <c r="L50" s="102">
        <v>3</v>
      </c>
      <c r="M50" s="102" t="s">
        <v>336</v>
      </c>
      <c r="N50" s="103">
        <f t="shared" si="12"/>
        <v>3.5000000000000004</v>
      </c>
      <c r="O50" s="89">
        <f t="shared" si="13"/>
        <v>2.4500000000000002</v>
      </c>
      <c r="P50" s="102">
        <v>4</v>
      </c>
      <c r="Q50" s="102" t="s">
        <v>336</v>
      </c>
      <c r="R50" s="102">
        <v>3</v>
      </c>
      <c r="S50" s="102" t="s">
        <v>338</v>
      </c>
      <c r="T50" s="102">
        <v>5</v>
      </c>
      <c r="U50" s="102" t="s">
        <v>336</v>
      </c>
      <c r="V50" s="102">
        <v>4</v>
      </c>
      <c r="W50" s="102" t="s">
        <v>336</v>
      </c>
      <c r="X50" s="61">
        <f t="shared" si="14"/>
        <v>0.97</v>
      </c>
      <c r="Y50" s="102">
        <v>5</v>
      </c>
      <c r="Z50" s="102" t="s">
        <v>336</v>
      </c>
      <c r="AA50" s="102">
        <v>4</v>
      </c>
      <c r="AB50" s="102" t="s">
        <v>336</v>
      </c>
      <c r="AC50" s="102">
        <v>2</v>
      </c>
      <c r="AD50" s="102" t="s">
        <v>336</v>
      </c>
      <c r="AE50" s="61">
        <f t="shared" si="15"/>
        <v>0.19999999999999998</v>
      </c>
      <c r="AF50" s="89">
        <f t="shared" si="16"/>
        <v>72.400000000000006</v>
      </c>
      <c r="AG50" s="89" t="str">
        <f t="shared" si="17"/>
        <v>BUY</v>
      </c>
      <c r="AH50" s="89" t="str">
        <f t="shared" si="18"/>
        <v>OK</v>
      </c>
      <c r="AI50" s="89" t="str">
        <f t="shared" si="19"/>
        <v>OK</v>
      </c>
      <c r="AJ50" s="89" t="str">
        <f t="shared" si="20"/>
        <v>OK</v>
      </c>
      <c r="AK50" s="89" t="str">
        <f t="shared" si="21"/>
        <v>OK</v>
      </c>
      <c r="AL50" s="106" t="s">
        <v>366</v>
      </c>
      <c r="AM50" s="106" t="s">
        <v>371</v>
      </c>
      <c r="AN50" s="102"/>
      <c r="AO50" s="89"/>
      <c r="AP50" s="102" t="str">
        <f t="shared" si="22"/>
        <v/>
      </c>
      <c r="AQ50" s="102"/>
      <c r="AR50" s="89"/>
      <c r="AS50" s="112" t="str">
        <f t="shared" si="23"/>
        <v/>
      </c>
    </row>
    <row r="51" spans="1:45" ht="15" customHeight="1" x14ac:dyDescent="0.15">
      <c r="A51" s="58" t="s">
        <v>281</v>
      </c>
      <c r="B51" s="100" t="s">
        <v>412</v>
      </c>
      <c r="C51" s="111">
        <v>46297</v>
      </c>
      <c r="D51" s="102">
        <v>4</v>
      </c>
      <c r="E51" s="102" t="s">
        <v>336</v>
      </c>
      <c r="F51" s="102">
        <v>4</v>
      </c>
      <c r="G51" s="102" t="s">
        <v>336</v>
      </c>
      <c r="H51" s="102">
        <v>4</v>
      </c>
      <c r="I51" s="102" t="s">
        <v>336</v>
      </c>
      <c r="J51" s="102">
        <v>5</v>
      </c>
      <c r="K51" s="102" t="s">
        <v>336</v>
      </c>
      <c r="L51" s="102">
        <v>5</v>
      </c>
      <c r="M51" s="102" t="s">
        <v>336</v>
      </c>
      <c r="N51" s="103">
        <f t="shared" si="12"/>
        <v>4.2857142857142856</v>
      </c>
      <c r="O51" s="89">
        <f t="shared" si="13"/>
        <v>3</v>
      </c>
      <c r="P51" s="102">
        <v>4</v>
      </c>
      <c r="Q51" s="102" t="s">
        <v>336</v>
      </c>
      <c r="R51" s="102">
        <v>2</v>
      </c>
      <c r="S51" s="102" t="s">
        <v>338</v>
      </c>
      <c r="T51" s="102">
        <v>4</v>
      </c>
      <c r="U51" s="102" t="s">
        <v>336</v>
      </c>
      <c r="V51" s="102">
        <v>4</v>
      </c>
      <c r="W51" s="102" t="s">
        <v>336</v>
      </c>
      <c r="X51" s="61">
        <f t="shared" si="14"/>
        <v>0.88000000000000012</v>
      </c>
      <c r="Y51" s="102">
        <v>5</v>
      </c>
      <c r="Z51" s="102" t="s">
        <v>336</v>
      </c>
      <c r="AA51" s="102">
        <v>4</v>
      </c>
      <c r="AB51" s="102" t="s">
        <v>336</v>
      </c>
      <c r="AC51" s="102">
        <v>2</v>
      </c>
      <c r="AD51" s="102" t="s">
        <v>336</v>
      </c>
      <c r="AE51" s="61">
        <f t="shared" si="15"/>
        <v>0.19999999999999998</v>
      </c>
      <c r="AF51" s="89">
        <f t="shared" si="16"/>
        <v>81.599999999999994</v>
      </c>
      <c r="AG51" s="89" t="str">
        <f t="shared" si="17"/>
        <v>STRONG BUY</v>
      </c>
      <c r="AH51" s="89" t="str">
        <f t="shared" si="18"/>
        <v>OK</v>
      </c>
      <c r="AI51" s="89" t="str">
        <f t="shared" si="19"/>
        <v>OK</v>
      </c>
      <c r="AJ51" s="89" t="str">
        <f t="shared" si="20"/>
        <v>OK</v>
      </c>
      <c r="AK51" s="89" t="str">
        <f t="shared" si="21"/>
        <v>OK</v>
      </c>
      <c r="AL51" s="106" t="s">
        <v>342</v>
      </c>
      <c r="AM51" s="106" t="s">
        <v>413</v>
      </c>
      <c r="AN51" s="102"/>
      <c r="AO51" s="89"/>
      <c r="AP51" s="102" t="str">
        <f t="shared" si="22"/>
        <v/>
      </c>
      <c r="AQ51" s="102"/>
      <c r="AR51" s="89"/>
      <c r="AS51" s="112" t="str">
        <f t="shared" si="23"/>
        <v/>
      </c>
    </row>
    <row r="52" spans="1:45" ht="15" customHeight="1" x14ac:dyDescent="0.15">
      <c r="A52" s="58"/>
      <c r="B52" s="100"/>
      <c r="C52" s="102"/>
      <c r="D52" s="102"/>
      <c r="E52" s="102"/>
      <c r="F52" s="102"/>
      <c r="G52" s="102"/>
      <c r="H52" s="102"/>
      <c r="I52" s="102"/>
      <c r="J52" s="102"/>
      <c r="K52" s="102"/>
      <c r="L52" s="102"/>
      <c r="M52" s="102"/>
      <c r="N52" s="103" t="str">
        <f t="shared" si="12"/>
        <v/>
      </c>
      <c r="O52" s="89" t="str">
        <f t="shared" si="13"/>
        <v/>
      </c>
      <c r="P52" s="102"/>
      <c r="Q52" s="102"/>
      <c r="R52" s="102"/>
      <c r="S52" s="102"/>
      <c r="T52" s="102"/>
      <c r="U52" s="102"/>
      <c r="V52" s="102"/>
      <c r="W52" s="102"/>
      <c r="X52" s="61" t="str">
        <f t="shared" si="14"/>
        <v/>
      </c>
      <c r="Y52" s="102"/>
      <c r="Z52" s="102"/>
      <c r="AA52" s="102"/>
      <c r="AB52" s="102"/>
      <c r="AC52" s="102"/>
      <c r="AD52" s="102"/>
      <c r="AE52" s="61" t="str">
        <f t="shared" si="15"/>
        <v/>
      </c>
      <c r="AF52" s="89" t="str">
        <f t="shared" si="16"/>
        <v/>
      </c>
      <c r="AG52" s="89" t="str">
        <f t="shared" si="17"/>
        <v/>
      </c>
      <c r="AH52" s="89" t="str">
        <f t="shared" si="18"/>
        <v/>
      </c>
      <c r="AI52" s="89" t="str">
        <f t="shared" si="19"/>
        <v/>
      </c>
      <c r="AJ52" s="89" t="str">
        <f t="shared" si="20"/>
        <v/>
      </c>
      <c r="AK52" s="89" t="str">
        <f t="shared" si="21"/>
        <v/>
      </c>
      <c r="AL52" s="106"/>
      <c r="AM52" s="106"/>
      <c r="AN52" s="102"/>
      <c r="AO52" s="89"/>
      <c r="AP52" s="102" t="str">
        <f t="shared" si="22"/>
        <v/>
      </c>
      <c r="AQ52" s="102"/>
      <c r="AR52" s="89"/>
      <c r="AS52" s="112" t="str">
        <f t="shared" si="23"/>
        <v/>
      </c>
    </row>
    <row r="53" spans="1:45" ht="15" customHeight="1" x14ac:dyDescent="0.15">
      <c r="A53" s="58"/>
      <c r="B53" s="100"/>
      <c r="C53" s="102"/>
      <c r="D53" s="102"/>
      <c r="E53" s="102"/>
      <c r="F53" s="102"/>
      <c r="G53" s="102"/>
      <c r="H53" s="102"/>
      <c r="I53" s="102"/>
      <c r="J53" s="102"/>
      <c r="K53" s="102"/>
      <c r="L53" s="102"/>
      <c r="M53" s="102"/>
      <c r="N53" s="103" t="str">
        <f t="shared" si="12"/>
        <v/>
      </c>
      <c r="O53" s="89" t="str">
        <f t="shared" si="13"/>
        <v/>
      </c>
      <c r="P53" s="102"/>
      <c r="Q53" s="102"/>
      <c r="R53" s="102"/>
      <c r="S53" s="102"/>
      <c r="T53" s="102"/>
      <c r="U53" s="102"/>
      <c r="V53" s="102"/>
      <c r="W53" s="102"/>
      <c r="X53" s="61" t="str">
        <f t="shared" si="14"/>
        <v/>
      </c>
      <c r="Y53" s="102"/>
      <c r="Z53" s="102"/>
      <c r="AA53" s="102"/>
      <c r="AB53" s="102"/>
      <c r="AC53" s="102"/>
      <c r="AD53" s="102"/>
      <c r="AE53" s="61" t="str">
        <f t="shared" si="15"/>
        <v/>
      </c>
      <c r="AF53" s="89" t="str">
        <f t="shared" si="16"/>
        <v/>
      </c>
      <c r="AG53" s="89" t="str">
        <f t="shared" si="17"/>
        <v/>
      </c>
      <c r="AH53" s="89" t="str">
        <f t="shared" si="18"/>
        <v/>
      </c>
      <c r="AI53" s="89" t="str">
        <f t="shared" si="19"/>
        <v/>
      </c>
      <c r="AJ53" s="89" t="str">
        <f t="shared" si="20"/>
        <v/>
      </c>
      <c r="AK53" s="89" t="str">
        <f t="shared" si="21"/>
        <v/>
      </c>
      <c r="AL53" s="106"/>
      <c r="AM53" s="106"/>
      <c r="AN53" s="102"/>
      <c r="AO53" s="89"/>
      <c r="AP53" s="102" t="str">
        <f t="shared" si="22"/>
        <v/>
      </c>
      <c r="AQ53" s="102"/>
      <c r="AR53" s="89"/>
      <c r="AS53" s="112" t="str">
        <f t="shared" si="23"/>
        <v/>
      </c>
    </row>
    <row r="54" spans="1:45" ht="15" customHeight="1" x14ac:dyDescent="0.15">
      <c r="A54" s="58"/>
      <c r="B54" s="100"/>
      <c r="C54" s="102"/>
      <c r="D54" s="102"/>
      <c r="E54" s="102"/>
      <c r="F54" s="102"/>
      <c r="G54" s="102"/>
      <c r="H54" s="102"/>
      <c r="I54" s="102"/>
      <c r="J54" s="102"/>
      <c r="K54" s="102"/>
      <c r="L54" s="102"/>
      <c r="M54" s="102"/>
      <c r="N54" s="103" t="str">
        <f t="shared" si="12"/>
        <v/>
      </c>
      <c r="O54" s="89" t="str">
        <f t="shared" si="13"/>
        <v/>
      </c>
      <c r="P54" s="102"/>
      <c r="Q54" s="102"/>
      <c r="R54" s="102"/>
      <c r="S54" s="102"/>
      <c r="T54" s="102"/>
      <c r="U54" s="102"/>
      <c r="V54" s="102"/>
      <c r="W54" s="102"/>
      <c r="X54" s="61" t="str">
        <f t="shared" si="14"/>
        <v/>
      </c>
      <c r="Y54" s="102"/>
      <c r="Z54" s="102"/>
      <c r="AA54" s="102"/>
      <c r="AB54" s="102"/>
      <c r="AC54" s="102"/>
      <c r="AD54" s="102"/>
      <c r="AE54" s="61" t="str">
        <f t="shared" si="15"/>
        <v/>
      </c>
      <c r="AF54" s="89" t="str">
        <f t="shared" si="16"/>
        <v/>
      </c>
      <c r="AG54" s="89" t="str">
        <f t="shared" si="17"/>
        <v/>
      </c>
      <c r="AH54" s="89" t="str">
        <f t="shared" si="18"/>
        <v/>
      </c>
      <c r="AI54" s="89" t="str">
        <f t="shared" si="19"/>
        <v/>
      </c>
      <c r="AJ54" s="89" t="str">
        <f t="shared" si="20"/>
        <v/>
      </c>
      <c r="AK54" s="89" t="str">
        <f t="shared" si="21"/>
        <v/>
      </c>
      <c r="AL54" s="106"/>
      <c r="AM54" s="106"/>
      <c r="AN54" s="102"/>
      <c r="AO54" s="89"/>
      <c r="AP54" s="102" t="str">
        <f t="shared" si="22"/>
        <v/>
      </c>
      <c r="AQ54" s="102"/>
      <c r="AR54" s="89"/>
      <c r="AS54" s="112" t="str">
        <f t="shared" si="23"/>
        <v/>
      </c>
    </row>
    <row r="55" spans="1:45" ht="15" customHeight="1" x14ac:dyDescent="0.15">
      <c r="A55" s="58"/>
      <c r="B55" s="100"/>
      <c r="C55" s="102"/>
      <c r="D55" s="102"/>
      <c r="E55" s="102"/>
      <c r="F55" s="102"/>
      <c r="G55" s="102"/>
      <c r="H55" s="102"/>
      <c r="I55" s="102"/>
      <c r="J55" s="102"/>
      <c r="K55" s="102"/>
      <c r="L55" s="102"/>
      <c r="M55" s="102"/>
      <c r="N55" s="103" t="str">
        <f t="shared" si="12"/>
        <v/>
      </c>
      <c r="O55" s="89" t="str">
        <f t="shared" si="13"/>
        <v/>
      </c>
      <c r="P55" s="102"/>
      <c r="Q55" s="102"/>
      <c r="R55" s="102"/>
      <c r="S55" s="102"/>
      <c r="T55" s="102"/>
      <c r="U55" s="102"/>
      <c r="V55" s="102"/>
      <c r="W55" s="102"/>
      <c r="X55" s="61" t="str">
        <f t="shared" si="14"/>
        <v/>
      </c>
      <c r="Y55" s="102"/>
      <c r="Z55" s="102"/>
      <c r="AA55" s="102"/>
      <c r="AB55" s="102"/>
      <c r="AC55" s="102"/>
      <c r="AD55" s="102"/>
      <c r="AE55" s="61" t="str">
        <f t="shared" si="15"/>
        <v/>
      </c>
      <c r="AF55" s="89" t="str">
        <f t="shared" si="16"/>
        <v/>
      </c>
      <c r="AG55" s="89" t="str">
        <f t="shared" si="17"/>
        <v/>
      </c>
      <c r="AH55" s="89" t="str">
        <f t="shared" si="18"/>
        <v/>
      </c>
      <c r="AI55" s="89" t="str">
        <f t="shared" si="19"/>
        <v/>
      </c>
      <c r="AJ55" s="89" t="str">
        <f t="shared" si="20"/>
        <v/>
      </c>
      <c r="AK55" s="89" t="str">
        <f t="shared" si="21"/>
        <v/>
      </c>
      <c r="AL55" s="106"/>
      <c r="AM55" s="106"/>
      <c r="AN55" s="102"/>
      <c r="AO55" s="89"/>
      <c r="AP55" s="102" t="str">
        <f t="shared" si="22"/>
        <v/>
      </c>
      <c r="AQ55" s="102"/>
      <c r="AR55" s="89"/>
      <c r="AS55" s="112" t="str">
        <f t="shared" si="23"/>
        <v/>
      </c>
    </row>
    <row r="56" spans="1:45" ht="15" customHeight="1" x14ac:dyDescent="0.15">
      <c r="A56" s="58"/>
      <c r="B56" s="100"/>
      <c r="C56" s="102"/>
      <c r="D56" s="102"/>
      <c r="E56" s="102"/>
      <c r="F56" s="102"/>
      <c r="G56" s="102"/>
      <c r="H56" s="102"/>
      <c r="I56" s="102"/>
      <c r="J56" s="102"/>
      <c r="K56" s="102"/>
      <c r="L56" s="102"/>
      <c r="M56" s="102"/>
      <c r="N56" s="103" t="str">
        <f t="shared" si="12"/>
        <v/>
      </c>
      <c r="O56" s="89" t="str">
        <f t="shared" si="13"/>
        <v/>
      </c>
      <c r="P56" s="102"/>
      <c r="Q56" s="102"/>
      <c r="R56" s="102"/>
      <c r="S56" s="102"/>
      <c r="T56" s="102"/>
      <c r="U56" s="102"/>
      <c r="V56" s="102"/>
      <c r="W56" s="102"/>
      <c r="X56" s="61" t="str">
        <f t="shared" si="14"/>
        <v/>
      </c>
      <c r="Y56" s="102"/>
      <c r="Z56" s="102"/>
      <c r="AA56" s="102"/>
      <c r="AB56" s="102"/>
      <c r="AC56" s="102"/>
      <c r="AD56" s="102"/>
      <c r="AE56" s="61" t="str">
        <f t="shared" si="15"/>
        <v/>
      </c>
      <c r="AF56" s="89" t="str">
        <f t="shared" si="16"/>
        <v/>
      </c>
      <c r="AG56" s="89" t="str">
        <f t="shared" si="17"/>
        <v/>
      </c>
      <c r="AH56" s="89" t="str">
        <f t="shared" si="18"/>
        <v/>
      </c>
      <c r="AI56" s="89" t="str">
        <f t="shared" si="19"/>
        <v/>
      </c>
      <c r="AJ56" s="89" t="str">
        <f t="shared" si="20"/>
        <v/>
      </c>
      <c r="AK56" s="89" t="str">
        <f t="shared" si="21"/>
        <v/>
      </c>
      <c r="AL56" s="106"/>
      <c r="AM56" s="106"/>
      <c r="AN56" s="102"/>
      <c r="AO56" s="89"/>
      <c r="AP56" s="102" t="str">
        <f t="shared" si="22"/>
        <v/>
      </c>
      <c r="AQ56" s="102"/>
      <c r="AR56" s="89"/>
      <c r="AS56" s="112" t="str">
        <f t="shared" si="23"/>
        <v/>
      </c>
    </row>
    <row r="57" spans="1:45" ht="15" customHeight="1" x14ac:dyDescent="0.15">
      <c r="A57" s="58"/>
      <c r="B57" s="100"/>
      <c r="C57" s="102"/>
      <c r="D57" s="102"/>
      <c r="E57" s="102"/>
      <c r="F57" s="102"/>
      <c r="G57" s="102"/>
      <c r="H57" s="102"/>
      <c r="I57" s="102"/>
      <c r="J57" s="102"/>
      <c r="K57" s="102"/>
      <c r="L57" s="102"/>
      <c r="M57" s="102"/>
      <c r="N57" s="103" t="str">
        <f t="shared" si="12"/>
        <v/>
      </c>
      <c r="O57" s="89" t="str">
        <f t="shared" si="13"/>
        <v/>
      </c>
      <c r="P57" s="102"/>
      <c r="Q57" s="102"/>
      <c r="R57" s="102"/>
      <c r="S57" s="102"/>
      <c r="T57" s="102"/>
      <c r="U57" s="102"/>
      <c r="V57" s="102"/>
      <c r="W57" s="102"/>
      <c r="X57" s="61" t="str">
        <f t="shared" si="14"/>
        <v/>
      </c>
      <c r="Y57" s="102"/>
      <c r="Z57" s="102"/>
      <c r="AA57" s="102"/>
      <c r="AB57" s="102"/>
      <c r="AC57" s="102"/>
      <c r="AD57" s="102"/>
      <c r="AE57" s="61" t="str">
        <f t="shared" si="15"/>
        <v/>
      </c>
      <c r="AF57" s="89" t="str">
        <f t="shared" si="16"/>
        <v/>
      </c>
      <c r="AG57" s="89" t="str">
        <f t="shared" si="17"/>
        <v/>
      </c>
      <c r="AH57" s="89" t="str">
        <f t="shared" si="18"/>
        <v/>
      </c>
      <c r="AI57" s="89" t="str">
        <f t="shared" si="19"/>
        <v/>
      </c>
      <c r="AJ57" s="89" t="str">
        <f t="shared" si="20"/>
        <v/>
      </c>
      <c r="AK57" s="89" t="str">
        <f t="shared" si="21"/>
        <v/>
      </c>
      <c r="AL57" s="106"/>
      <c r="AM57" s="106"/>
      <c r="AN57" s="102"/>
      <c r="AO57" s="89"/>
      <c r="AP57" s="102" t="str">
        <f t="shared" si="22"/>
        <v/>
      </c>
      <c r="AQ57" s="102"/>
      <c r="AR57" s="89"/>
      <c r="AS57" s="112" t="str">
        <f t="shared" si="23"/>
        <v/>
      </c>
    </row>
    <row r="58" spans="1:45" ht="15" customHeight="1" x14ac:dyDescent="0.15">
      <c r="A58" s="58"/>
      <c r="B58" s="100"/>
      <c r="C58" s="102"/>
      <c r="D58" s="102"/>
      <c r="E58" s="102"/>
      <c r="F58" s="102"/>
      <c r="G58" s="102"/>
      <c r="H58" s="102"/>
      <c r="I58" s="102"/>
      <c r="J58" s="102"/>
      <c r="K58" s="102"/>
      <c r="L58" s="102"/>
      <c r="M58" s="102"/>
      <c r="N58" s="103" t="str">
        <f t="shared" si="12"/>
        <v/>
      </c>
      <c r="O58" s="89" t="str">
        <f t="shared" si="13"/>
        <v/>
      </c>
      <c r="P58" s="102"/>
      <c r="Q58" s="102"/>
      <c r="R58" s="102"/>
      <c r="S58" s="102"/>
      <c r="T58" s="102"/>
      <c r="U58" s="102"/>
      <c r="V58" s="102"/>
      <c r="W58" s="102"/>
      <c r="X58" s="61" t="str">
        <f t="shared" si="14"/>
        <v/>
      </c>
      <c r="Y58" s="102"/>
      <c r="Z58" s="102"/>
      <c r="AA58" s="102"/>
      <c r="AB58" s="102"/>
      <c r="AC58" s="102"/>
      <c r="AD58" s="102"/>
      <c r="AE58" s="61" t="str">
        <f t="shared" si="15"/>
        <v/>
      </c>
      <c r="AF58" s="89" t="str">
        <f t="shared" si="16"/>
        <v/>
      </c>
      <c r="AG58" s="89" t="str">
        <f t="shared" si="17"/>
        <v/>
      </c>
      <c r="AH58" s="89" t="str">
        <f t="shared" si="18"/>
        <v/>
      </c>
      <c r="AI58" s="89" t="str">
        <f t="shared" si="19"/>
        <v/>
      </c>
      <c r="AJ58" s="89" t="str">
        <f t="shared" si="20"/>
        <v/>
      </c>
      <c r="AK58" s="89" t="str">
        <f t="shared" si="21"/>
        <v/>
      </c>
      <c r="AL58" s="106"/>
      <c r="AM58" s="106"/>
      <c r="AN58" s="102"/>
      <c r="AO58" s="89"/>
      <c r="AP58" s="102" t="str">
        <f t="shared" si="22"/>
        <v/>
      </c>
      <c r="AQ58" s="102"/>
      <c r="AR58" s="89"/>
      <c r="AS58" s="112" t="str">
        <f t="shared" si="23"/>
        <v/>
      </c>
    </row>
    <row r="59" spans="1:45" ht="15" customHeight="1" x14ac:dyDescent="0.15">
      <c r="A59" s="58"/>
      <c r="B59" s="100"/>
      <c r="C59" s="102"/>
      <c r="D59" s="102"/>
      <c r="E59" s="102"/>
      <c r="F59" s="102"/>
      <c r="G59" s="102"/>
      <c r="H59" s="102"/>
      <c r="I59" s="102"/>
      <c r="J59" s="102"/>
      <c r="K59" s="102"/>
      <c r="L59" s="102"/>
      <c r="M59" s="102"/>
      <c r="N59" s="103" t="str">
        <f t="shared" si="12"/>
        <v/>
      </c>
      <c r="O59" s="89" t="str">
        <f t="shared" si="13"/>
        <v/>
      </c>
      <c r="P59" s="102"/>
      <c r="Q59" s="102"/>
      <c r="R59" s="102"/>
      <c r="S59" s="102"/>
      <c r="T59" s="102"/>
      <c r="U59" s="102"/>
      <c r="V59" s="102"/>
      <c r="W59" s="102"/>
      <c r="X59" s="61" t="str">
        <f t="shared" si="14"/>
        <v/>
      </c>
      <c r="Y59" s="102"/>
      <c r="Z59" s="102"/>
      <c r="AA59" s="102"/>
      <c r="AB59" s="102"/>
      <c r="AC59" s="102"/>
      <c r="AD59" s="102"/>
      <c r="AE59" s="61" t="str">
        <f t="shared" si="15"/>
        <v/>
      </c>
      <c r="AF59" s="89" t="str">
        <f t="shared" si="16"/>
        <v/>
      </c>
      <c r="AG59" s="89" t="str">
        <f t="shared" si="17"/>
        <v/>
      </c>
      <c r="AH59" s="89" t="str">
        <f t="shared" si="18"/>
        <v/>
      </c>
      <c r="AI59" s="89" t="str">
        <f t="shared" si="19"/>
        <v/>
      </c>
      <c r="AJ59" s="89" t="str">
        <f t="shared" si="20"/>
        <v/>
      </c>
      <c r="AK59" s="89" t="str">
        <f t="shared" si="21"/>
        <v/>
      </c>
      <c r="AL59" s="106"/>
      <c r="AM59" s="106"/>
      <c r="AN59" s="102"/>
      <c r="AO59" s="89"/>
      <c r="AP59" s="102" t="str">
        <f t="shared" si="22"/>
        <v/>
      </c>
      <c r="AQ59" s="102"/>
      <c r="AR59" s="89"/>
      <c r="AS59" s="112" t="str">
        <f t="shared" si="23"/>
        <v/>
      </c>
    </row>
    <row r="60" spans="1:45" ht="15" customHeight="1" x14ac:dyDescent="0.15">
      <c r="A60" s="58"/>
      <c r="B60" s="100"/>
      <c r="C60" s="102"/>
      <c r="D60" s="102"/>
      <c r="E60" s="102"/>
      <c r="F60" s="102"/>
      <c r="G60" s="102"/>
      <c r="H60" s="102"/>
      <c r="I60" s="102"/>
      <c r="J60" s="102"/>
      <c r="K60" s="102"/>
      <c r="L60" s="102"/>
      <c r="M60" s="102"/>
      <c r="N60" s="103" t="str">
        <f t="shared" si="12"/>
        <v/>
      </c>
      <c r="O60" s="89" t="str">
        <f t="shared" si="13"/>
        <v/>
      </c>
      <c r="P60" s="102"/>
      <c r="Q60" s="102"/>
      <c r="R60" s="102"/>
      <c r="S60" s="102"/>
      <c r="T60" s="102"/>
      <c r="U60" s="102"/>
      <c r="V60" s="102"/>
      <c r="W60" s="102"/>
      <c r="X60" s="61" t="str">
        <f t="shared" si="14"/>
        <v/>
      </c>
      <c r="Y60" s="102"/>
      <c r="Z60" s="102"/>
      <c r="AA60" s="102"/>
      <c r="AB60" s="102"/>
      <c r="AC60" s="102"/>
      <c r="AD60" s="102"/>
      <c r="AE60" s="61" t="str">
        <f t="shared" si="15"/>
        <v/>
      </c>
      <c r="AF60" s="89" t="str">
        <f t="shared" si="16"/>
        <v/>
      </c>
      <c r="AG60" s="89" t="str">
        <f t="shared" si="17"/>
        <v/>
      </c>
      <c r="AH60" s="89" t="str">
        <f t="shared" si="18"/>
        <v/>
      </c>
      <c r="AI60" s="89" t="str">
        <f t="shared" si="19"/>
        <v/>
      </c>
      <c r="AJ60" s="89" t="str">
        <f t="shared" si="20"/>
        <v/>
      </c>
      <c r="AK60" s="89" t="str">
        <f t="shared" si="21"/>
        <v/>
      </c>
      <c r="AL60" s="106"/>
      <c r="AM60" s="106"/>
      <c r="AN60" s="102"/>
      <c r="AO60" s="89"/>
      <c r="AP60" s="102" t="str">
        <f t="shared" si="22"/>
        <v/>
      </c>
      <c r="AQ60" s="102"/>
      <c r="AR60" s="89"/>
      <c r="AS60" s="112" t="str">
        <f t="shared" si="23"/>
        <v/>
      </c>
    </row>
    <row r="61" spans="1:45" ht="13.5" customHeight="1" x14ac:dyDescent="0.15">
      <c r="AM61" s="113"/>
    </row>
    <row r="62" spans="1:45" ht="15.75" customHeight="1" x14ac:dyDescent="0.2">
      <c r="A62" s="114">
        <f>SUBTOTAL(103,A3:A60)</f>
        <v>30</v>
      </c>
      <c r="B62" s="94" t="s">
        <v>297</v>
      </c>
    </row>
    <row r="63" spans="1:45" ht="13.5" customHeight="1" x14ac:dyDescent="0.2">
      <c r="A63"/>
      <c r="C63" s="115"/>
      <c r="D63"/>
      <c r="E63"/>
      <c r="F63"/>
      <c r="G63"/>
      <c r="H63"/>
      <c r="I63"/>
      <c r="J63"/>
      <c r="K63"/>
      <c r="L63"/>
      <c r="M63"/>
      <c r="R63"/>
      <c r="S63"/>
      <c r="T63"/>
      <c r="U63"/>
      <c r="V63"/>
      <c r="W63"/>
      <c r="Y63"/>
      <c r="Z63"/>
      <c r="AA63"/>
      <c r="AB63"/>
      <c r="AC63"/>
      <c r="AD63"/>
    </row>
    <row r="64" spans="1:45" ht="13.5" customHeight="1" x14ac:dyDescent="0.2">
      <c r="A64"/>
      <c r="C64" s="115"/>
      <c r="D64"/>
      <c r="E64"/>
      <c r="F64"/>
      <c r="G64"/>
      <c r="H64"/>
      <c r="I64"/>
      <c r="J64"/>
      <c r="K64"/>
      <c r="L64"/>
      <c r="M64"/>
      <c r="R64"/>
      <c r="S64"/>
      <c r="T64"/>
      <c r="U64"/>
      <c r="V64"/>
      <c r="W64"/>
      <c r="Y64"/>
      <c r="Z64"/>
      <c r="AA64"/>
      <c r="AB64"/>
      <c r="AC64"/>
      <c r="AD64"/>
    </row>
  </sheetData>
  <autoFilter ref="A2:AS62" xr:uid="{00000000-0009-0000-0000-000006000000}"/>
  <mergeCells count="6">
    <mergeCell ref="AN1:AS1"/>
    <mergeCell ref="D1:O1"/>
    <mergeCell ref="P1:X1"/>
    <mergeCell ref="Y1:AE1"/>
    <mergeCell ref="AH1:AK1"/>
    <mergeCell ref="AL1:AM1"/>
  </mergeCells>
  <conditionalFormatting sqref="N3:N60">
    <cfRule type="cellIs" dxfId="76" priority="13" operator="greaterThanOrEqual">
      <formula>3</formula>
    </cfRule>
  </conditionalFormatting>
  <conditionalFormatting sqref="AG3:AG60">
    <cfRule type="cellIs" dxfId="75" priority="2" operator="equal">
      <formula>"STRONG BUY"</formula>
    </cfRule>
    <cfRule type="cellIs" dxfId="74" priority="3" operator="equal">
      <formula>"BUY"</formula>
    </cfRule>
    <cfRule type="cellIs" dxfId="73" priority="4" operator="equal">
      <formula>"WATCH LIST"</formula>
    </cfRule>
    <cfRule type="cellIs" dxfId="72" priority="5" operator="equal">
      <formula>"AVOID"</formula>
    </cfRule>
    <cfRule type="cellIs" dxfId="71" priority="6" operator="equal">
      <formula>"PASS"</formula>
    </cfRule>
  </conditionalFormatting>
  <conditionalFormatting sqref="AH3:AH60">
    <cfRule type="cellIs" dxfId="70" priority="7" operator="equal">
      <formula>"FAIL"</formula>
    </cfRule>
    <cfRule type="cellIs" dxfId="69" priority="8" operator="equal">
      <formula>"OK"</formula>
    </cfRule>
  </conditionalFormatting>
  <conditionalFormatting sqref="AI3:AI60">
    <cfRule type="cellIs" dxfId="68" priority="11" operator="equal">
      <formula>"REVIEW"</formula>
    </cfRule>
  </conditionalFormatting>
  <conditionalFormatting sqref="AJ3:AJ60">
    <cfRule type="cellIs" dxfId="67" priority="9" operator="equal">
      <formula>"AVOID"</formula>
    </cfRule>
    <cfRule type="cellIs" dxfId="66" priority="10" operator="equal">
      <formula>"OK"</formula>
    </cfRule>
  </conditionalFormatting>
  <conditionalFormatting sqref="AK3:AK60">
    <cfRule type="cellIs" dxfId="65" priority="12" operator="equal">
      <formula>"CAP AT BUY"</formula>
    </cfRule>
  </conditionalFormatting>
  <conditionalFormatting sqref="AP3:AP60">
    <cfRule type="cellIs" dxfId="64" priority="14" operator="equal">
      <formula>"LOW CONF"</formula>
    </cfRule>
    <cfRule type="cellIs" dxfId="63" priority="15" operator="equal">
      <formula>"OK"</formula>
    </cfRule>
  </conditionalFormatting>
  <conditionalFormatting sqref="AS3:AS60">
    <cfRule type="cellIs" dxfId="62" priority="16" operator="equal">
      <formula>"Increased"</formula>
    </cfRule>
    <cfRule type="cellIs" dxfId="61" priority="17" operator="equal">
      <formula>"Decreased"</formula>
    </cfRule>
  </conditionalFormatting>
  <dataValidations count="2">
    <dataValidation type="list" allowBlank="1" sqref="D3:D60 F3:F60 H3:H60 J3:J60 L3:L60 P3:P60 R3:R60 T3:T60 V3:V60 Y3:Y60 AA3:AA60 AC3:AC60" xr:uid="{00000000-0002-0000-0600-000000000000}">
      <formula1>"1,2,3,4,5"</formula1>
      <formula2>0</formula2>
    </dataValidation>
    <dataValidation type="list" allowBlank="1" sqref="E3:E60 G3:G60 I3:I60 K3:K60 M3:M60 Q3:Q60 S3:S60 U3:U60 W3:W60 Z3:Z60 AB3:AB60 AD3:AD60" xr:uid="{00000000-0002-0000-0600-000001000000}">
      <formula1>"H,M,L"</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6"/>
  <sheetViews>
    <sheetView zoomScaleNormal="100" workbookViewId="0">
      <pane xSplit="2" ySplit="14" topLeftCell="G15" activePane="bottomRight" state="frozen"/>
      <selection pane="topRight" activeCell="G1" sqref="G1"/>
      <selection pane="bottomLeft" activeCell="A17" sqref="A17"/>
      <selection pane="bottomRight" activeCell="M27" sqref="M27"/>
    </sheetView>
  </sheetViews>
  <sheetFormatPr baseColWidth="10" defaultColWidth="8.6640625" defaultRowHeight="15" x14ac:dyDescent="0.2"/>
  <cols>
    <col min="1" max="1" width="8" customWidth="1"/>
    <col min="2" max="2" width="24.83203125" customWidth="1"/>
    <col min="3" max="3" width="9" style="26" customWidth="1"/>
    <col min="4" max="5" width="8.6640625" style="26"/>
    <col min="6" max="6" width="12.5" style="26" customWidth="1"/>
    <col min="7" max="7" width="13.33203125" style="26" customWidth="1"/>
    <col min="8" max="8" width="11.1640625" customWidth="1"/>
    <col min="9" max="9" width="10.83203125" style="26" hidden="1" customWidth="1"/>
    <col min="10" max="10" width="9" style="26" customWidth="1"/>
    <col min="11" max="11" width="8.5" style="26" customWidth="1"/>
    <col min="12" max="12" width="7.83203125" style="26" customWidth="1"/>
    <col min="13" max="13" width="6.83203125" style="26" customWidth="1"/>
    <col min="14" max="14" width="8" style="26" customWidth="1"/>
    <col min="15" max="15" width="7.5" style="26" customWidth="1"/>
    <col min="16" max="16" width="10.5" style="26" customWidth="1"/>
    <col min="18" max="18" width="28" customWidth="1"/>
    <col min="19" max="19" width="12.83203125" customWidth="1"/>
  </cols>
  <sheetData>
    <row r="1" spans="1:19" ht="15" customHeight="1" x14ac:dyDescent="0.2">
      <c r="A1" s="116" t="s">
        <v>414</v>
      </c>
      <c r="B1" s="116"/>
      <c r="C1" s="117"/>
      <c r="D1" s="117"/>
      <c r="E1" s="117"/>
      <c r="F1" s="117"/>
      <c r="G1" s="117"/>
      <c r="H1" s="116"/>
      <c r="I1" s="117"/>
      <c r="J1" s="117"/>
      <c r="K1" s="117"/>
      <c r="L1" s="117"/>
      <c r="M1" s="117"/>
      <c r="N1" s="117"/>
      <c r="O1" s="117"/>
      <c r="P1" s="117"/>
      <c r="Q1" s="116"/>
      <c r="R1" s="116"/>
      <c r="S1" s="116"/>
    </row>
    <row r="2" spans="1:19" ht="68.25" customHeight="1" x14ac:dyDescent="0.2">
      <c r="A2" s="118" t="s">
        <v>81</v>
      </c>
      <c r="B2" s="118" t="s">
        <v>287</v>
      </c>
      <c r="C2" s="118" t="s">
        <v>415</v>
      </c>
      <c r="D2" s="118" t="s">
        <v>416</v>
      </c>
      <c r="E2" s="118" t="s">
        <v>417</v>
      </c>
      <c r="F2" s="118" t="s">
        <v>418</v>
      </c>
      <c r="G2" s="118" t="s">
        <v>419</v>
      </c>
      <c r="H2" s="118" t="s">
        <v>420</v>
      </c>
      <c r="I2" s="118" t="s">
        <v>421</v>
      </c>
      <c r="J2" s="118" t="s">
        <v>422</v>
      </c>
      <c r="K2" s="118" t="s">
        <v>423</v>
      </c>
      <c r="L2" s="118" t="s">
        <v>424</v>
      </c>
      <c r="M2" s="118" t="s">
        <v>425</v>
      </c>
      <c r="N2" s="118" t="s">
        <v>426</v>
      </c>
      <c r="O2" s="118" t="s">
        <v>427</v>
      </c>
      <c r="P2" s="118" t="s">
        <v>428</v>
      </c>
      <c r="Q2" s="118" t="s">
        <v>429</v>
      </c>
      <c r="R2" s="118" t="s">
        <v>430</v>
      </c>
      <c r="S2" s="118" t="s">
        <v>431</v>
      </c>
    </row>
    <row r="3" spans="1:19" ht="15" customHeight="1" x14ac:dyDescent="0.2">
      <c r="A3" s="120" t="str">
        <f>IF(Scoring!A3="","",Scoring!A3)</f>
        <v>MU</v>
      </c>
      <c r="B3" s="119" t="str">
        <f>IF(Scoring!B3="","",Scoring!B3)</f>
        <v>Micron Technology</v>
      </c>
      <c r="C3" s="120" t="str">
        <f>IF(Scoring!AG3="","",IF(OR(Scoring!AG3="STRONG BUY",Scoring!AG3="BUY"),"PASS","FAIL"))</f>
        <v>PASS</v>
      </c>
      <c r="D3" s="120" t="str">
        <f>IF(Scoring!AH3="","",IF(Scoring!AH3="OK","PASS","FAIL"))</f>
        <v>PASS</v>
      </c>
      <c r="E3" s="120" t="str">
        <f>IF(Scoring!AI3="","",IF(Scoring!AI3="OK","PASS","FAIL — mandatory review required"))</f>
        <v>PASS</v>
      </c>
      <c r="F3" s="120"/>
      <c r="G3" s="120"/>
      <c r="H3" s="119" t="str">
        <f t="shared" ref="H3:H47" si="0">IF(OR(F3="",G3=""),"",IF(AND(F3="Y",G3="Y"),"Standard initial size","50% of normal initial size + 90-day technical review"))</f>
        <v/>
      </c>
      <c r="I3" s="120"/>
      <c r="J3" s="120"/>
      <c r="K3" s="215" t="str">
        <f t="shared" ref="K3:K47" si="1">IF(I3="","",IF(I3="N","PASS",IF(J3="Y","PASS — risk documented in thesis","FAIL — undocumented binary risk")))</f>
        <v/>
      </c>
      <c r="L3" s="120" t="str">
        <f>IF('Implied-Return Calculator'!S4="","",'Implied-Return Calculator'!S4)</f>
        <v/>
      </c>
      <c r="M3" s="120" t="str">
        <f>IF('Implied-Return Calculator'!T4="","",'Implied-Return Calculator'!T4)</f>
        <v/>
      </c>
      <c r="N3" s="120" t="str">
        <f>IF('Implied-Return Calculator'!U4="","",'Implied-Return Calculator'!U4)</f>
        <v/>
      </c>
      <c r="O3" s="120"/>
      <c r="P3" s="120"/>
      <c r="Q3" s="215" t="str">
        <f t="shared" ref="Q3:Q47" si="2">IF(OR(N3="",O3=""),"",IF(N3&lt;=50,"PASS — within ceiling",IF(AND(O3&gt;0.3,L3="PASS"),"PASS — growth+bear case exception met","FAIL — exceeds 50x, exception not met")))</f>
        <v/>
      </c>
      <c r="R3" s="119" t="str">
        <f t="shared" ref="R3:R47" si="3">IF(OR(C3="",D3="",E3="",K3="",L3="",M3="",N3="",Q3=""),"",IF(AND(C3="PASS",D3="PASS",LEFT(E3,4)="PASS",LEFT(K3,4)="PASS",L3="PASS",M3="PASS",N3="OK",LEFT(Q3,4)="PASS"),"YES","NO — see failing rule(s)"))</f>
        <v/>
      </c>
      <c r="S3" s="119" t="str">
        <f t="shared" ref="S3:S47" si="4">IF(R3="","",IF(R3="YES","Initiate: "&amp;H3,"DO NOT ENTER — resolve failing Entry Rule(s) above first"))</f>
        <v/>
      </c>
    </row>
    <row r="4" spans="1:19" ht="15" customHeight="1" x14ac:dyDescent="0.2">
      <c r="A4" s="120" t="str">
        <f>IF(Scoring!A4="","",Scoring!A4)</f>
        <v>AVGO</v>
      </c>
      <c r="B4" s="119" t="str">
        <f>IF(Scoring!B4="","",Scoring!B4)</f>
        <v>Broadcom Inc.</v>
      </c>
      <c r="C4" s="120" t="str">
        <f>IF(Scoring!AG4="","",IF(OR(Scoring!AG4="STRONG BUY",Scoring!AG4="BUY"),"PASS","FAIL"))</f>
        <v>FAIL</v>
      </c>
      <c r="D4" s="120" t="str">
        <f>IF(Scoring!AH4="","",IF(Scoring!AH4="OK","PASS","FAIL"))</f>
        <v>PASS</v>
      </c>
      <c r="E4" s="120" t="str">
        <f>IF(Scoring!AI4="","",IF(Scoring!AI4="OK","PASS","FAIL — mandatory review required"))</f>
        <v>PASS</v>
      </c>
      <c r="F4" s="120"/>
      <c r="G4" s="120"/>
      <c r="H4" s="119" t="str">
        <f t="shared" si="0"/>
        <v/>
      </c>
      <c r="I4" s="120"/>
      <c r="J4" s="120"/>
      <c r="K4" s="215" t="str">
        <f t="shared" si="1"/>
        <v/>
      </c>
      <c r="L4" s="120" t="str">
        <f>IF('Implied-Return Calculator'!S5="","",'Implied-Return Calculator'!S5)</f>
        <v/>
      </c>
      <c r="M4" s="120" t="str">
        <f>IF('Implied-Return Calculator'!T5="","",'Implied-Return Calculator'!T5)</f>
        <v/>
      </c>
      <c r="N4" s="120" t="str">
        <f>IF('Implied-Return Calculator'!U5="","",'Implied-Return Calculator'!U5)</f>
        <v/>
      </c>
      <c r="O4" s="120"/>
      <c r="P4" s="120"/>
      <c r="Q4" s="215" t="str">
        <f t="shared" si="2"/>
        <v/>
      </c>
      <c r="R4" s="119" t="str">
        <f t="shared" si="3"/>
        <v/>
      </c>
      <c r="S4" s="119" t="str">
        <f t="shared" si="4"/>
        <v/>
      </c>
    </row>
    <row r="5" spans="1:19" ht="15" customHeight="1" x14ac:dyDescent="0.2">
      <c r="A5" s="120" t="str">
        <f>IF(Scoring!A5="","",Scoring!A5)</f>
        <v>PLTR</v>
      </c>
      <c r="B5" s="119" t="str">
        <f>IF(Scoring!B5="","",Scoring!B5)</f>
        <v>Palantir Technologies</v>
      </c>
      <c r="C5" s="120" t="str">
        <f>IF(Scoring!AG5="","",IF(OR(Scoring!AG5="STRONG BUY",Scoring!AG5="BUY"),"PASS","FAIL"))</f>
        <v>PASS</v>
      </c>
      <c r="D5" s="120" t="str">
        <f>IF(Scoring!AH5="","",IF(Scoring!AH5="OK","PASS","FAIL"))</f>
        <v>PASS</v>
      </c>
      <c r="E5" s="120" t="str">
        <f>IF(Scoring!AI5="","",IF(Scoring!AI5="OK","PASS","FAIL — mandatory review required"))</f>
        <v>PASS</v>
      </c>
      <c r="F5" s="120"/>
      <c r="G5" s="120"/>
      <c r="H5" s="119" t="str">
        <f t="shared" si="0"/>
        <v/>
      </c>
      <c r="I5" s="120"/>
      <c r="J5" s="120"/>
      <c r="K5" s="215" t="str">
        <f t="shared" si="1"/>
        <v/>
      </c>
      <c r="L5" s="120" t="str">
        <f>IF('Implied-Return Calculator'!S6="","",'Implied-Return Calculator'!S6)</f>
        <v/>
      </c>
      <c r="M5" s="120" t="str">
        <f>IF('Implied-Return Calculator'!T6="","",'Implied-Return Calculator'!T6)</f>
        <v/>
      </c>
      <c r="N5" s="120" t="str">
        <f>IF('Implied-Return Calculator'!U6="","",'Implied-Return Calculator'!U6)</f>
        <v/>
      </c>
      <c r="O5" s="120"/>
      <c r="P5" s="120"/>
      <c r="Q5" s="215" t="str">
        <f t="shared" si="2"/>
        <v/>
      </c>
      <c r="R5" s="119" t="str">
        <f t="shared" si="3"/>
        <v/>
      </c>
      <c r="S5" s="119" t="str">
        <f t="shared" si="4"/>
        <v/>
      </c>
    </row>
    <row r="6" spans="1:19" ht="15" customHeight="1" x14ac:dyDescent="0.2">
      <c r="A6" s="120" t="str">
        <f>IF(Scoring!A6="","",Scoring!A6)</f>
        <v>NVDA</v>
      </c>
      <c r="B6" s="119" t="str">
        <f>IF(Scoring!B6="","",Scoring!B6)</f>
        <v>NVIDIA Corporation</v>
      </c>
      <c r="C6" s="120" t="str">
        <f>IF(Scoring!AG6="","",IF(OR(Scoring!AG6="STRONG BUY",Scoring!AG6="BUY"),"PASS","FAIL"))</f>
        <v>PASS</v>
      </c>
      <c r="D6" s="120" t="str">
        <f>IF(Scoring!AH6="","",IF(Scoring!AH6="OK","PASS","FAIL"))</f>
        <v>PASS</v>
      </c>
      <c r="E6" s="120" t="str">
        <f>IF(Scoring!AI6="","",IF(Scoring!AI6="OK","PASS","FAIL — mandatory review required"))</f>
        <v>PASS</v>
      </c>
      <c r="F6" s="120"/>
      <c r="G6" s="120"/>
      <c r="H6" s="119" t="str">
        <f t="shared" si="0"/>
        <v/>
      </c>
      <c r="I6" s="120"/>
      <c r="J6" s="120"/>
      <c r="K6" s="215" t="str">
        <f t="shared" si="1"/>
        <v/>
      </c>
      <c r="L6" s="120" t="str">
        <f>IF('Implied-Return Calculator'!S7="","",'Implied-Return Calculator'!S7)</f>
        <v/>
      </c>
      <c r="M6" s="120" t="str">
        <f>IF('Implied-Return Calculator'!T7="","",'Implied-Return Calculator'!T7)</f>
        <v/>
      </c>
      <c r="N6" s="120" t="str">
        <f>IF('Implied-Return Calculator'!U7="","",'Implied-Return Calculator'!U7)</f>
        <v/>
      </c>
      <c r="O6" s="120"/>
      <c r="P6" s="120"/>
      <c r="Q6" s="215" t="str">
        <f t="shared" si="2"/>
        <v/>
      </c>
      <c r="R6" s="119" t="str">
        <f t="shared" si="3"/>
        <v/>
      </c>
      <c r="S6" s="119" t="str">
        <f t="shared" si="4"/>
        <v/>
      </c>
    </row>
    <row r="7" spans="1:19" ht="15" customHeight="1" x14ac:dyDescent="0.2">
      <c r="A7" s="120" t="str">
        <f>IF(Scoring!A7="","",Scoring!A7)</f>
        <v>VRTX</v>
      </c>
      <c r="B7" s="119" t="str">
        <f>IF(Scoring!B7="","",Scoring!B7)</f>
        <v>Vertex Pharmaceuticals</v>
      </c>
      <c r="C7" s="120" t="str">
        <f>IF(Scoring!AG7="","",IF(OR(Scoring!AG7="STRONG BUY",Scoring!AG7="BUY"),"PASS","FAIL"))</f>
        <v>FAIL</v>
      </c>
      <c r="D7" s="120" t="str">
        <f>IF(Scoring!AH7="","",IF(Scoring!AH7="OK","PASS","FAIL"))</f>
        <v>PASS</v>
      </c>
      <c r="E7" s="120" t="str">
        <f>IF(Scoring!AI7="","",IF(Scoring!AI7="OK","PASS","FAIL — mandatory review required"))</f>
        <v>PASS</v>
      </c>
      <c r="F7" s="120"/>
      <c r="G7" s="120"/>
      <c r="H7" s="119" t="str">
        <f t="shared" si="0"/>
        <v/>
      </c>
      <c r="I7" s="120"/>
      <c r="J7" s="120"/>
      <c r="K7" s="215" t="str">
        <f t="shared" si="1"/>
        <v/>
      </c>
      <c r="L7" s="120" t="str">
        <f>IF('Implied-Return Calculator'!S8="","",'Implied-Return Calculator'!S8)</f>
        <v/>
      </c>
      <c r="M7" s="120" t="str">
        <f>IF('Implied-Return Calculator'!T8="","",'Implied-Return Calculator'!T8)</f>
        <v/>
      </c>
      <c r="N7" s="120" t="str">
        <f>IF('Implied-Return Calculator'!U8="","",'Implied-Return Calculator'!U8)</f>
        <v/>
      </c>
      <c r="O7" s="120"/>
      <c r="P7" s="120"/>
      <c r="Q7" s="215" t="str">
        <f t="shared" si="2"/>
        <v/>
      </c>
      <c r="R7" s="119" t="str">
        <f t="shared" si="3"/>
        <v/>
      </c>
      <c r="S7" s="119" t="str">
        <f t="shared" si="4"/>
        <v/>
      </c>
    </row>
    <row r="8" spans="1:19" ht="15" customHeight="1" x14ac:dyDescent="0.2">
      <c r="A8" s="120" t="str">
        <f>IF(Scoring!A8="","",Scoring!A8)</f>
        <v>PLD</v>
      </c>
      <c r="B8" s="119" t="str">
        <f>IF(Scoring!B8="","",Scoring!B8)</f>
        <v>Prologis Inc. (REIT-adapted)</v>
      </c>
      <c r="C8" s="120" t="str">
        <f>IF(Scoring!AG8="","",IF(OR(Scoring!AG8="STRONG BUY",Scoring!AG8="BUY"),"PASS","FAIL"))</f>
        <v>PASS</v>
      </c>
      <c r="D8" s="120" t="str">
        <f>IF(Scoring!AH8="","",IF(Scoring!AH8="OK","PASS","FAIL"))</f>
        <v>PASS</v>
      </c>
      <c r="E8" s="120" t="str">
        <f>IF(Scoring!AI8="","",IF(Scoring!AI8="OK","PASS","FAIL — mandatory review required"))</f>
        <v>PASS</v>
      </c>
      <c r="F8" s="120"/>
      <c r="G8" s="120"/>
      <c r="H8" s="119" t="str">
        <f t="shared" si="0"/>
        <v/>
      </c>
      <c r="I8" s="120"/>
      <c r="J8" s="120"/>
      <c r="K8" s="215" t="str">
        <f t="shared" si="1"/>
        <v/>
      </c>
      <c r="L8" s="120" t="str">
        <f>IF('Implied-Return Calculator'!S9="","",'Implied-Return Calculator'!S9)</f>
        <v/>
      </c>
      <c r="M8" s="120" t="str">
        <f>IF('Implied-Return Calculator'!T9="","",'Implied-Return Calculator'!T9)</f>
        <v/>
      </c>
      <c r="N8" s="120" t="str">
        <f>IF('Implied-Return Calculator'!U9="","",'Implied-Return Calculator'!U9)</f>
        <v/>
      </c>
      <c r="O8" s="120"/>
      <c r="P8" s="120"/>
      <c r="Q8" s="215" t="str">
        <f t="shared" si="2"/>
        <v/>
      </c>
      <c r="R8" s="119" t="str">
        <f t="shared" si="3"/>
        <v/>
      </c>
      <c r="S8" s="119" t="str">
        <f t="shared" si="4"/>
        <v/>
      </c>
    </row>
    <row r="9" spans="1:19" ht="15" customHeight="1" x14ac:dyDescent="0.2">
      <c r="A9" s="120" t="str">
        <f>IF(Scoring!A9="","",Scoring!A9)</f>
        <v>SFM</v>
      </c>
      <c r="B9" s="119" t="str">
        <f>IF(Scoring!B9="","",Scoring!B9)</f>
        <v>Sprouts Farmers Market</v>
      </c>
      <c r="C9" s="120" t="str">
        <f>IF(Scoring!AG9="","",IF(OR(Scoring!AG9="STRONG BUY",Scoring!AG9="BUY"),"PASS","FAIL"))</f>
        <v/>
      </c>
      <c r="D9" s="120" t="str">
        <f>IF(Scoring!AH9="","",IF(Scoring!AH9="OK","PASS","FAIL"))</f>
        <v>FAIL</v>
      </c>
      <c r="E9" s="120" t="str">
        <f>IF(Scoring!AI9="","",IF(Scoring!AI9="OK","PASS","FAIL — mandatory review required"))</f>
        <v>FAIL — mandatory review required</v>
      </c>
      <c r="F9" s="120"/>
      <c r="G9" s="120"/>
      <c r="H9" s="119" t="str">
        <f t="shared" si="0"/>
        <v/>
      </c>
      <c r="I9" s="120"/>
      <c r="J9" s="120"/>
      <c r="K9" s="215" t="str">
        <f t="shared" si="1"/>
        <v/>
      </c>
      <c r="L9" s="120" t="str">
        <f>IF('Implied-Return Calculator'!S10="","",'Implied-Return Calculator'!S10)</f>
        <v/>
      </c>
      <c r="M9" s="120" t="str">
        <f>IF('Implied-Return Calculator'!T10="","",'Implied-Return Calculator'!T10)</f>
        <v/>
      </c>
      <c r="N9" s="120" t="str">
        <f>IF('Implied-Return Calculator'!U10="","",'Implied-Return Calculator'!U10)</f>
        <v/>
      </c>
      <c r="O9" s="120"/>
      <c r="P9" s="120"/>
      <c r="Q9" s="215" t="str">
        <f t="shared" si="2"/>
        <v/>
      </c>
      <c r="R9" s="119" t="str">
        <f t="shared" si="3"/>
        <v/>
      </c>
      <c r="S9" s="119" t="str">
        <f t="shared" si="4"/>
        <v/>
      </c>
    </row>
    <row r="10" spans="1:19" ht="15" customHeight="1" x14ac:dyDescent="0.2">
      <c r="A10" s="120" t="str">
        <f>IF(Scoring!A10="","",Scoring!A10)</f>
        <v>ONON</v>
      </c>
      <c r="B10" s="119" t="str">
        <f>IF(Scoring!B10="","",Scoring!B10)</f>
        <v>On Holding AG</v>
      </c>
      <c r="C10" s="120" t="str">
        <f>IF(Scoring!AG10="","",IF(OR(Scoring!AG10="STRONG BUY",Scoring!AG10="BUY"),"PASS","FAIL"))</f>
        <v/>
      </c>
      <c r="D10" s="120" t="str">
        <f>IF(Scoring!AH10="","",IF(Scoring!AH10="OK","PASS","FAIL"))</f>
        <v>FAIL</v>
      </c>
      <c r="E10" s="120" t="str">
        <f>IF(Scoring!AI10="","",IF(Scoring!AI10="OK","PASS","FAIL — mandatory review required"))</f>
        <v>PASS</v>
      </c>
      <c r="F10" s="120"/>
      <c r="G10" s="120"/>
      <c r="H10" s="119" t="str">
        <f t="shared" si="0"/>
        <v/>
      </c>
      <c r="I10" s="120"/>
      <c r="J10" s="120"/>
      <c r="K10" s="215" t="str">
        <f t="shared" si="1"/>
        <v/>
      </c>
      <c r="L10" s="120" t="str">
        <f>IF('Implied-Return Calculator'!S11="","",'Implied-Return Calculator'!S11)</f>
        <v/>
      </c>
      <c r="M10" s="120" t="str">
        <f>IF('Implied-Return Calculator'!T11="","",'Implied-Return Calculator'!T11)</f>
        <v/>
      </c>
      <c r="N10" s="120" t="str">
        <f>IF('Implied-Return Calculator'!U11="","",'Implied-Return Calculator'!U11)</f>
        <v/>
      </c>
      <c r="O10" s="120"/>
      <c r="P10" s="120"/>
      <c r="Q10" s="215" t="str">
        <f t="shared" si="2"/>
        <v/>
      </c>
      <c r="R10" s="119" t="str">
        <f t="shared" si="3"/>
        <v/>
      </c>
      <c r="S10" s="119" t="str">
        <f t="shared" si="4"/>
        <v/>
      </c>
    </row>
    <row r="11" spans="1:19" ht="15" customHeight="1" x14ac:dyDescent="0.2">
      <c r="A11" s="120" t="str">
        <f>IF(Scoring!A11="","",Scoring!A11)</f>
        <v>TSLA</v>
      </c>
      <c r="B11" s="119" t="str">
        <f>IF(Scoring!B11="","",Scoring!B11)</f>
        <v>Tesla Inc.</v>
      </c>
      <c r="C11" s="120" t="str">
        <f>IF(Scoring!AG11="","",IF(OR(Scoring!AG11="STRONG BUY",Scoring!AG11="BUY"),"PASS","FAIL"))</f>
        <v/>
      </c>
      <c r="D11" s="120" t="str">
        <f>IF(Scoring!AH11="","",IF(Scoring!AH11="OK","PASS","FAIL"))</f>
        <v>FAIL</v>
      </c>
      <c r="E11" s="120" t="str">
        <f>IF(Scoring!AI11="","",IF(Scoring!AI11="OK","PASS","FAIL — mandatory review required"))</f>
        <v>FAIL — mandatory review required</v>
      </c>
      <c r="F11" s="120"/>
      <c r="G11" s="120"/>
      <c r="H11" s="119" t="str">
        <f t="shared" si="0"/>
        <v/>
      </c>
      <c r="I11" s="120"/>
      <c r="J11" s="120"/>
      <c r="K11" s="215" t="str">
        <f t="shared" si="1"/>
        <v/>
      </c>
      <c r="L11" s="120" t="str">
        <f>IF('Implied-Return Calculator'!S12="","",'Implied-Return Calculator'!S12)</f>
        <v/>
      </c>
      <c r="M11" s="120" t="str">
        <f>IF('Implied-Return Calculator'!T12="","",'Implied-Return Calculator'!T12)</f>
        <v/>
      </c>
      <c r="N11" s="120" t="str">
        <f>IF('Implied-Return Calculator'!U12="","",'Implied-Return Calculator'!U12)</f>
        <v/>
      </c>
      <c r="O11" s="120"/>
      <c r="P11" s="120"/>
      <c r="Q11" s="215" t="str">
        <f t="shared" si="2"/>
        <v/>
      </c>
      <c r="R11" s="119" t="str">
        <f t="shared" si="3"/>
        <v/>
      </c>
      <c r="S11" s="119" t="str">
        <f t="shared" si="4"/>
        <v/>
      </c>
    </row>
    <row r="12" spans="1:19" ht="15" customHeight="1" x14ac:dyDescent="0.2">
      <c r="A12" s="120" t="str">
        <f>IF(Scoring!A12="","",Scoring!A12)</f>
        <v>ADBE</v>
      </c>
      <c r="B12" s="119" t="str">
        <f>IF(Scoring!B12="","",Scoring!B12)</f>
        <v>Adobe Inc.</v>
      </c>
      <c r="C12" s="120" t="str">
        <f>IF(Scoring!AG12="","",IF(OR(Scoring!AG12="STRONG BUY",Scoring!AG12="BUY"),"PASS","FAIL"))</f>
        <v>PASS</v>
      </c>
      <c r="D12" s="120" t="str">
        <f>IF(Scoring!AH12="","",IF(Scoring!AH12="OK","PASS","FAIL"))</f>
        <v>PASS</v>
      </c>
      <c r="E12" s="120" t="str">
        <f>IF(Scoring!AI12="","",IF(Scoring!AI12="OK","PASS","FAIL — mandatory review required"))</f>
        <v>PASS</v>
      </c>
      <c r="F12" s="120"/>
      <c r="G12" s="120"/>
      <c r="H12" s="119" t="str">
        <f t="shared" si="0"/>
        <v/>
      </c>
      <c r="I12" s="120"/>
      <c r="J12" s="120"/>
      <c r="K12" s="215" t="str">
        <f t="shared" si="1"/>
        <v/>
      </c>
      <c r="L12" s="120" t="str">
        <f>IF('Implied-Return Calculator'!S13="","",'Implied-Return Calculator'!S13)</f>
        <v/>
      </c>
      <c r="M12" s="120" t="str">
        <f>IF('Implied-Return Calculator'!T13="","",'Implied-Return Calculator'!T13)</f>
        <v/>
      </c>
      <c r="N12" s="120" t="str">
        <f>IF('Implied-Return Calculator'!U13="","",'Implied-Return Calculator'!U13)</f>
        <v/>
      </c>
      <c r="O12" s="120"/>
      <c r="P12" s="120"/>
      <c r="Q12" s="215" t="str">
        <f t="shared" si="2"/>
        <v/>
      </c>
      <c r="R12" s="119" t="str">
        <f t="shared" si="3"/>
        <v/>
      </c>
      <c r="S12" s="119" t="str">
        <f t="shared" si="4"/>
        <v/>
      </c>
    </row>
    <row r="13" spans="1:19" ht="15" customHeight="1" x14ac:dyDescent="0.2">
      <c r="A13" s="120" t="str">
        <f>IF(Scoring!A13="","",Scoring!A13)</f>
        <v>ANET</v>
      </c>
      <c r="B13" s="119" t="str">
        <f>IF(Scoring!B13="","",Scoring!B13)</f>
        <v>Arista Networks</v>
      </c>
      <c r="C13" s="120" t="str">
        <f>IF(Scoring!AG13="","",IF(OR(Scoring!AG13="STRONG BUY",Scoring!AG13="BUY"),"PASS","FAIL"))</f>
        <v>PASS</v>
      </c>
      <c r="D13" s="120" t="str">
        <f>IF(Scoring!AH13="","",IF(Scoring!AH13="OK","PASS","FAIL"))</f>
        <v>PASS</v>
      </c>
      <c r="E13" s="120" t="str">
        <f>IF(Scoring!AI13="","",IF(Scoring!AI13="OK","PASS","FAIL — mandatory review required"))</f>
        <v>PASS</v>
      </c>
      <c r="F13" s="120"/>
      <c r="G13" s="120"/>
      <c r="H13" s="119" t="str">
        <f t="shared" si="0"/>
        <v/>
      </c>
      <c r="I13" s="120"/>
      <c r="J13" s="120"/>
      <c r="K13" s="215" t="str">
        <f t="shared" si="1"/>
        <v/>
      </c>
      <c r="L13" s="120" t="str">
        <f>IF('Implied-Return Calculator'!S14="","",'Implied-Return Calculator'!S14)</f>
        <v/>
      </c>
      <c r="M13" s="120" t="str">
        <f>IF('Implied-Return Calculator'!T14="","",'Implied-Return Calculator'!T14)</f>
        <v/>
      </c>
      <c r="N13" s="120" t="str">
        <f>IF('Implied-Return Calculator'!U14="","",'Implied-Return Calculator'!U14)</f>
        <v/>
      </c>
      <c r="O13" s="120"/>
      <c r="P13" s="120"/>
      <c r="Q13" s="215" t="str">
        <f t="shared" si="2"/>
        <v/>
      </c>
      <c r="R13" s="119" t="str">
        <f t="shared" si="3"/>
        <v/>
      </c>
      <c r="S13" s="119" t="str">
        <f t="shared" si="4"/>
        <v/>
      </c>
    </row>
    <row r="14" spans="1:19" ht="15" customHeight="1" x14ac:dyDescent="0.2">
      <c r="A14" s="120" t="str">
        <f>IF(Scoring!A14="","",Scoring!A14)</f>
        <v>ASML</v>
      </c>
      <c r="B14" s="119" t="str">
        <f>IF(Scoring!B14="","",Scoring!B14)</f>
        <v>ASML Holding</v>
      </c>
      <c r="C14" s="120" t="str">
        <f>IF(Scoring!AG14="","",IF(OR(Scoring!AG14="STRONG BUY",Scoring!AG14="BUY"),"PASS","FAIL"))</f>
        <v>PASS</v>
      </c>
      <c r="D14" s="120" t="str">
        <f>IF(Scoring!AH14="","",IF(Scoring!AH14="OK","PASS","FAIL"))</f>
        <v>PASS</v>
      </c>
      <c r="E14" s="120" t="str">
        <f>IF(Scoring!AI14="","",IF(Scoring!AI14="OK","PASS","FAIL — mandatory review required"))</f>
        <v>PASS</v>
      </c>
      <c r="F14" s="120"/>
      <c r="G14" s="120"/>
      <c r="H14" s="119" t="str">
        <f t="shared" si="0"/>
        <v/>
      </c>
      <c r="I14" s="120"/>
      <c r="J14" s="120"/>
      <c r="K14" s="215" t="str">
        <f t="shared" si="1"/>
        <v/>
      </c>
      <c r="L14" s="120" t="str">
        <f>IF('Implied-Return Calculator'!S15="","",'Implied-Return Calculator'!S15)</f>
        <v/>
      </c>
      <c r="M14" s="120" t="str">
        <f>IF('Implied-Return Calculator'!T15="","",'Implied-Return Calculator'!T15)</f>
        <v/>
      </c>
      <c r="N14" s="120" t="str">
        <f>IF('Implied-Return Calculator'!U15="","",'Implied-Return Calculator'!U15)</f>
        <v/>
      </c>
      <c r="O14" s="120"/>
      <c r="P14" s="120"/>
      <c r="Q14" s="215" t="str">
        <f t="shared" si="2"/>
        <v/>
      </c>
      <c r="R14" s="119" t="str">
        <f t="shared" si="3"/>
        <v/>
      </c>
      <c r="S14" s="119" t="str">
        <f t="shared" si="4"/>
        <v/>
      </c>
    </row>
    <row r="15" spans="1:19" ht="15" customHeight="1" x14ac:dyDescent="0.2">
      <c r="A15" s="120" t="str">
        <f>IF(Scoring!A15="","",Scoring!A15)</f>
        <v>CRWD</v>
      </c>
      <c r="B15" s="119" t="str">
        <f>IF(Scoring!B15="","",Scoring!B15)</f>
        <v>CrowdStrike Holdings</v>
      </c>
      <c r="C15" s="120" t="str">
        <f>IF(Scoring!AG15="","",IF(OR(Scoring!AG15="STRONG BUY",Scoring!AG15="BUY"),"PASS","FAIL"))</f>
        <v>FAIL</v>
      </c>
      <c r="D15" s="120" t="str">
        <f>IF(Scoring!AH15="","",IF(Scoring!AH15="OK","PASS","FAIL"))</f>
        <v>PASS</v>
      </c>
      <c r="E15" s="120" t="str">
        <f>IF(Scoring!AI15="","",IF(Scoring!AI15="OK","PASS","FAIL — mandatory review required"))</f>
        <v>PASS</v>
      </c>
      <c r="F15" s="120"/>
      <c r="G15" s="120"/>
      <c r="H15" s="119" t="str">
        <f t="shared" si="0"/>
        <v/>
      </c>
      <c r="I15" s="120"/>
      <c r="J15" s="120"/>
      <c r="K15" s="215" t="str">
        <f t="shared" si="1"/>
        <v/>
      </c>
      <c r="L15" s="120" t="str">
        <f>IF('Implied-Return Calculator'!S16="","",'Implied-Return Calculator'!S16)</f>
        <v/>
      </c>
      <c r="M15" s="120" t="str">
        <f>IF('Implied-Return Calculator'!T16="","",'Implied-Return Calculator'!T16)</f>
        <v/>
      </c>
      <c r="N15" s="120" t="str">
        <f>IF('Implied-Return Calculator'!U16="","",'Implied-Return Calculator'!U16)</f>
        <v/>
      </c>
      <c r="O15" s="120"/>
      <c r="P15" s="120"/>
      <c r="Q15" s="215" t="str">
        <f t="shared" si="2"/>
        <v/>
      </c>
      <c r="R15" s="119" t="str">
        <f t="shared" si="3"/>
        <v/>
      </c>
      <c r="S15" s="119" t="str">
        <f t="shared" si="4"/>
        <v/>
      </c>
    </row>
    <row r="16" spans="1:19" ht="15" customHeight="1" x14ac:dyDescent="0.2">
      <c r="A16" s="120" t="str">
        <f>IF(Scoring!A16="","",Scoring!A16)</f>
        <v>KLAC</v>
      </c>
      <c r="B16" s="119" t="str">
        <f>IF(Scoring!B16="","",Scoring!B16)</f>
        <v>KLA Corporation</v>
      </c>
      <c r="C16" s="120" t="str">
        <f>IF(Scoring!AG16="","",IF(OR(Scoring!AG16="STRONG BUY",Scoring!AG16="BUY"),"PASS","FAIL"))</f>
        <v>PASS</v>
      </c>
      <c r="D16" s="120" t="str">
        <f>IF(Scoring!AH16="","",IF(Scoring!AH16="OK","PASS","FAIL"))</f>
        <v>PASS</v>
      </c>
      <c r="E16" s="120" t="str">
        <f>IF(Scoring!AI16="","",IF(Scoring!AI16="OK","PASS","FAIL — mandatory review required"))</f>
        <v>PASS</v>
      </c>
      <c r="F16" s="120"/>
      <c r="G16" s="120"/>
      <c r="H16" s="119" t="str">
        <f t="shared" si="0"/>
        <v/>
      </c>
      <c r="I16" s="120"/>
      <c r="J16" s="120"/>
      <c r="K16" s="215" t="str">
        <f t="shared" si="1"/>
        <v/>
      </c>
      <c r="L16" s="120" t="str">
        <f>IF('Implied-Return Calculator'!S17="","",'Implied-Return Calculator'!S17)</f>
        <v/>
      </c>
      <c r="M16" s="120" t="str">
        <f>IF('Implied-Return Calculator'!T17="","",'Implied-Return Calculator'!T17)</f>
        <v/>
      </c>
      <c r="N16" s="120" t="str">
        <f>IF('Implied-Return Calculator'!U17="","",'Implied-Return Calculator'!U17)</f>
        <v/>
      </c>
      <c r="O16" s="120"/>
      <c r="P16" s="120"/>
      <c r="Q16" s="215" t="str">
        <f t="shared" si="2"/>
        <v/>
      </c>
      <c r="R16" s="119" t="str">
        <f t="shared" si="3"/>
        <v/>
      </c>
      <c r="S16" s="119" t="str">
        <f t="shared" si="4"/>
        <v/>
      </c>
    </row>
    <row r="17" spans="1:19" ht="15" customHeight="1" x14ac:dyDescent="0.2">
      <c r="A17" s="120" t="str">
        <f>IF(Scoring!A17="","",Scoring!A17)</f>
        <v>TSM</v>
      </c>
      <c r="B17" s="119" t="str">
        <f>IF(Scoring!B17="","",Scoring!B17)</f>
        <v>Taiwan Semiconductor Mfg.</v>
      </c>
      <c r="C17" s="120" t="str">
        <f>IF(Scoring!AG17="","",IF(OR(Scoring!AG17="STRONG BUY",Scoring!AG17="BUY"),"PASS","FAIL"))</f>
        <v>PASS</v>
      </c>
      <c r="D17" s="120" t="str">
        <f>IF(Scoring!AH17="","",IF(Scoring!AH17="OK","PASS","FAIL"))</f>
        <v>PASS</v>
      </c>
      <c r="E17" s="120" t="str">
        <f>IF(Scoring!AI17="","",IF(Scoring!AI17="OK","PASS","FAIL — mandatory review required"))</f>
        <v>PASS</v>
      </c>
      <c r="F17" s="120"/>
      <c r="G17" s="120"/>
      <c r="H17" s="119" t="str">
        <f t="shared" si="0"/>
        <v/>
      </c>
      <c r="I17" s="120"/>
      <c r="J17" s="120"/>
      <c r="K17" s="215" t="str">
        <f t="shared" si="1"/>
        <v/>
      </c>
      <c r="L17" s="120" t="str">
        <f>IF('Implied-Return Calculator'!S18="","",'Implied-Return Calculator'!S18)</f>
        <v/>
      </c>
      <c r="M17" s="120" t="str">
        <f>IF('Implied-Return Calculator'!T18="","",'Implied-Return Calculator'!T18)</f>
        <v/>
      </c>
      <c r="N17" s="120" t="str">
        <f>IF('Implied-Return Calculator'!U18="","",'Implied-Return Calculator'!U18)</f>
        <v/>
      </c>
      <c r="O17" s="120"/>
      <c r="P17" s="120"/>
      <c r="Q17" s="215" t="str">
        <f t="shared" si="2"/>
        <v/>
      </c>
      <c r="R17" s="119" t="str">
        <f t="shared" si="3"/>
        <v/>
      </c>
      <c r="S17" s="119" t="str">
        <f t="shared" si="4"/>
        <v/>
      </c>
    </row>
    <row r="18" spans="1:19" ht="15" customHeight="1" x14ac:dyDescent="0.2">
      <c r="A18" s="120" t="str">
        <f>IF(Scoring!A18="","",Scoring!A18)</f>
        <v>VRT</v>
      </c>
      <c r="B18" s="119" t="str">
        <f>IF(Scoring!B18="","",Scoring!B18)</f>
        <v>Vertiv Holdings</v>
      </c>
      <c r="C18" s="120" t="str">
        <f>IF(Scoring!AG18="","",IF(OR(Scoring!AG18="STRONG BUY",Scoring!AG18="BUY"),"PASS","FAIL"))</f>
        <v>PASS</v>
      </c>
      <c r="D18" s="120" t="str">
        <f>IF(Scoring!AH18="","",IF(Scoring!AH18="OK","PASS","FAIL"))</f>
        <v>PASS</v>
      </c>
      <c r="E18" s="120" t="str">
        <f>IF(Scoring!AI18="","",IF(Scoring!AI18="OK","PASS","FAIL — mandatory review required"))</f>
        <v>PASS</v>
      </c>
      <c r="F18" s="120"/>
      <c r="G18" s="120"/>
      <c r="H18" s="119" t="str">
        <f t="shared" si="0"/>
        <v/>
      </c>
      <c r="I18" s="120"/>
      <c r="J18" s="120"/>
      <c r="K18" s="215" t="str">
        <f t="shared" si="1"/>
        <v/>
      </c>
      <c r="L18" s="120" t="str">
        <f>IF('Implied-Return Calculator'!S19="","",'Implied-Return Calculator'!S19)</f>
        <v/>
      </c>
      <c r="M18" s="120" t="str">
        <f>IF('Implied-Return Calculator'!T19="","",'Implied-Return Calculator'!T19)</f>
        <v/>
      </c>
      <c r="N18" s="120" t="str">
        <f>IF('Implied-Return Calculator'!U19="","",'Implied-Return Calculator'!U19)</f>
        <v/>
      </c>
      <c r="O18" s="120"/>
      <c r="P18" s="120"/>
      <c r="Q18" s="215" t="str">
        <f t="shared" si="2"/>
        <v/>
      </c>
      <c r="R18" s="119" t="str">
        <f t="shared" si="3"/>
        <v/>
      </c>
      <c r="S18" s="119" t="str">
        <f t="shared" si="4"/>
        <v/>
      </c>
    </row>
    <row r="19" spans="1:19" ht="15" customHeight="1" x14ac:dyDescent="0.2">
      <c r="A19" s="120" t="str">
        <f>IF(Scoring!A19="","",Scoring!A19)</f>
        <v>COST</v>
      </c>
      <c r="B19" s="119" t="str">
        <f>IF(Scoring!B19="","",Scoring!B19)</f>
        <v>Costco Wholesale Corp.</v>
      </c>
      <c r="C19" s="120" t="str">
        <f>IF(Scoring!AG19="","",IF(OR(Scoring!AG19="STRONG BUY",Scoring!AG19="BUY"),"PASS","FAIL"))</f>
        <v>PASS</v>
      </c>
      <c r="D19" s="120" t="str">
        <f>IF(Scoring!AH19="","",IF(Scoring!AH19="OK","PASS","FAIL"))</f>
        <v>PASS</v>
      </c>
      <c r="E19" s="120" t="str">
        <f>IF(Scoring!AI19="","",IF(Scoring!AI19="OK","PASS","FAIL — mandatory review required"))</f>
        <v>PASS</v>
      </c>
      <c r="F19" s="120" t="s">
        <v>214</v>
      </c>
      <c r="G19" s="120" t="s">
        <v>214</v>
      </c>
      <c r="H19" s="119" t="str">
        <f t="shared" si="0"/>
        <v>Standard initial size</v>
      </c>
      <c r="I19" s="120" t="s">
        <v>213</v>
      </c>
      <c r="J19" s="120"/>
      <c r="K19" s="215" t="str">
        <f t="shared" si="1"/>
        <v>PASS</v>
      </c>
      <c r="L19" s="120" t="str">
        <f>IF('Implied-Return Calculator'!S20="","",'Implied-Return Calculator'!S20)</f>
        <v>FAIL</v>
      </c>
      <c r="M19" s="120" t="str">
        <f>IF('Implied-Return Calculator'!T20="","",'Implied-Return Calculator'!T20)</f>
        <v>PASS</v>
      </c>
      <c r="N19" s="120" t="str">
        <f>IF('Implied-Return Calculator'!U20="","",'Implied-Return Calculator'!U20)</f>
        <v>OK</v>
      </c>
      <c r="O19" s="120">
        <v>61.48</v>
      </c>
      <c r="P19" s="120">
        <v>7.0000000000000007E-2</v>
      </c>
      <c r="Q19" s="215" t="str">
        <f t="shared" si="2"/>
        <v>FAIL — exceeds 50x, exception not met</v>
      </c>
      <c r="R19" s="119" t="str">
        <f t="shared" si="3"/>
        <v>NO — see failing rule(s)</v>
      </c>
      <c r="S19" s="119" t="str">
        <f t="shared" si="4"/>
        <v>DO NOT ENTER — resolve failing Entry Rule(s) above first</v>
      </c>
    </row>
    <row r="20" spans="1:19" ht="15" customHeight="1" x14ac:dyDescent="0.2">
      <c r="A20" s="120" t="str">
        <f>IF(Scoring!A20="","",Scoring!A20)</f>
        <v>V</v>
      </c>
      <c r="B20" s="119" t="str">
        <f>IF(Scoring!B20="","",Scoring!B20)</f>
        <v>Visa Inc.</v>
      </c>
      <c r="C20" s="120" t="str">
        <f>IF(Scoring!AG20="","",IF(OR(Scoring!AG20="STRONG BUY",Scoring!AG20="BUY"),"PASS","FAIL"))</f>
        <v>PASS</v>
      </c>
      <c r="D20" s="120" t="str">
        <f>IF(Scoring!AH20="","",IF(Scoring!AH20="OK","PASS","FAIL"))</f>
        <v>PASS</v>
      </c>
      <c r="E20" s="120" t="str">
        <f>IF(Scoring!AI20="","",IF(Scoring!AI20="OK","PASS","FAIL — mandatory review required"))</f>
        <v>PASS</v>
      </c>
      <c r="F20" s="120" t="s">
        <v>214</v>
      </c>
      <c r="G20" s="120" t="s">
        <v>214</v>
      </c>
      <c r="H20" s="119" t="str">
        <f t="shared" si="0"/>
        <v>Standard initial size</v>
      </c>
      <c r="I20" s="120" t="s">
        <v>214</v>
      </c>
      <c r="J20" s="120" t="s">
        <v>214</v>
      </c>
      <c r="K20" s="215" t="str">
        <f t="shared" si="1"/>
        <v>PASS — risk documented in thesis</v>
      </c>
      <c r="L20" s="120" t="str">
        <f>IF('Implied-Return Calculator'!S21="","",'Implied-Return Calculator'!S21)</f>
        <v>PASS</v>
      </c>
      <c r="M20" s="120" t="str">
        <f>IF('Implied-Return Calculator'!T21="","",'Implied-Return Calculator'!T21)</f>
        <v>PASS</v>
      </c>
      <c r="N20" s="120" t="str">
        <f>IF('Implied-Return Calculator'!U21="","",'Implied-Return Calculator'!U21)</f>
        <v>OK</v>
      </c>
      <c r="O20" s="120">
        <v>34.36</v>
      </c>
      <c r="P20" s="120">
        <v>0.11</v>
      </c>
      <c r="Q20" s="215" t="str">
        <f t="shared" si="2"/>
        <v>PASS — growth+bear case exception met</v>
      </c>
      <c r="R20" s="119" t="str">
        <f t="shared" si="3"/>
        <v>YES</v>
      </c>
      <c r="S20" s="119" t="str">
        <f t="shared" si="4"/>
        <v>Initiate: Standard initial size</v>
      </c>
    </row>
    <row r="21" spans="1:19" ht="15" customHeight="1" x14ac:dyDescent="0.2">
      <c r="A21" s="120" t="str">
        <f>IF(Scoring!A21="","",Scoring!A21)</f>
        <v>NEE</v>
      </c>
      <c r="B21" s="119" t="str">
        <f>IF(Scoring!B21="","",Scoring!B21)</f>
        <v>NextEra Energy Inc.</v>
      </c>
      <c r="C21" s="120" t="str">
        <f>IF(Scoring!AG21="","",IF(OR(Scoring!AG21="STRONG BUY",Scoring!AG21="BUY"),"PASS","FAIL"))</f>
        <v/>
      </c>
      <c r="D21" s="120" t="str">
        <f>IF(Scoring!AH21="","",IF(Scoring!AH21="OK","PASS","FAIL"))</f>
        <v>FAIL</v>
      </c>
      <c r="E21" s="120" t="str">
        <f>IF(Scoring!AI21="","",IF(Scoring!AI21="OK","PASS","FAIL — mandatory review required"))</f>
        <v>FAIL — mandatory review required</v>
      </c>
      <c r="F21" s="120"/>
      <c r="G21" s="120"/>
      <c r="H21" s="119" t="str">
        <f t="shared" si="0"/>
        <v/>
      </c>
      <c r="I21" s="120"/>
      <c r="J21" s="120"/>
      <c r="K21" s="215" t="str">
        <f t="shared" si="1"/>
        <v/>
      </c>
      <c r="L21" s="120" t="str">
        <f>IF('Implied-Return Calculator'!S22="","",'Implied-Return Calculator'!S22)</f>
        <v/>
      </c>
      <c r="M21" s="120" t="str">
        <f>IF('Implied-Return Calculator'!T22="","",'Implied-Return Calculator'!T22)</f>
        <v/>
      </c>
      <c r="N21" s="120" t="str">
        <f>IF('Implied-Return Calculator'!U22="","",'Implied-Return Calculator'!U22)</f>
        <v/>
      </c>
      <c r="O21" s="120"/>
      <c r="P21" s="120"/>
      <c r="Q21" s="215" t="str">
        <f t="shared" si="2"/>
        <v/>
      </c>
      <c r="R21" s="119" t="str">
        <f t="shared" si="3"/>
        <v/>
      </c>
      <c r="S21" s="119" t="str">
        <f t="shared" si="4"/>
        <v/>
      </c>
    </row>
    <row r="22" spans="1:19" ht="15" customHeight="1" x14ac:dyDescent="0.2">
      <c r="A22" s="120" t="str">
        <f>IF(Scoring!A22="","",Scoring!A22)</f>
        <v>CRK</v>
      </c>
      <c r="B22" s="119" t="str">
        <f>IF(Scoring!B22="","",Scoring!B22)</f>
        <v>Comstock Resources Inc.</v>
      </c>
      <c r="C22" s="120" t="str">
        <f>IF(Scoring!AG22="","",IF(OR(Scoring!AG22="STRONG BUY",Scoring!AG22="BUY"),"PASS","FAIL"))</f>
        <v/>
      </c>
      <c r="D22" s="120" t="str">
        <f>IF(Scoring!AH22="","",IF(Scoring!AH22="OK","PASS","FAIL"))</f>
        <v>FAIL</v>
      </c>
      <c r="E22" s="120" t="str">
        <f>IF(Scoring!AI22="","",IF(Scoring!AI22="OK","PASS","FAIL — mandatory review required"))</f>
        <v>FAIL — mandatory review required</v>
      </c>
      <c r="F22" s="120"/>
      <c r="G22" s="120"/>
      <c r="H22" s="119" t="str">
        <f t="shared" si="0"/>
        <v/>
      </c>
      <c r="I22" s="120"/>
      <c r="J22" s="120"/>
      <c r="K22" s="215" t="str">
        <f t="shared" si="1"/>
        <v/>
      </c>
      <c r="L22" s="120" t="str">
        <f>IF('Implied-Return Calculator'!S23="","",'Implied-Return Calculator'!S23)</f>
        <v/>
      </c>
      <c r="M22" s="120" t="str">
        <f>IF('Implied-Return Calculator'!T23="","",'Implied-Return Calculator'!T23)</f>
        <v/>
      </c>
      <c r="N22" s="120" t="str">
        <f>IF('Implied-Return Calculator'!U23="","",'Implied-Return Calculator'!U23)</f>
        <v/>
      </c>
      <c r="O22" s="120"/>
      <c r="P22" s="120"/>
      <c r="Q22" s="215" t="str">
        <f t="shared" si="2"/>
        <v/>
      </c>
      <c r="R22" s="119" t="str">
        <f t="shared" si="3"/>
        <v/>
      </c>
      <c r="S22" s="119" t="str">
        <f t="shared" si="4"/>
        <v/>
      </c>
    </row>
    <row r="23" spans="1:19" ht="15" customHeight="1" x14ac:dyDescent="0.2">
      <c r="A23" s="120" t="str">
        <f>IF(Scoring!A23="","",Scoring!A23)</f>
        <v>ET</v>
      </c>
      <c r="B23" s="119" t="str">
        <f>IF(Scoring!B23="","",Scoring!B23)</f>
        <v>Energy Transfer LP</v>
      </c>
      <c r="C23" s="120" t="str">
        <f>IF(Scoring!AG23="","",IF(OR(Scoring!AG23="STRONG BUY",Scoring!AG23="BUY"),"PASS","FAIL"))</f>
        <v/>
      </c>
      <c r="D23" s="120" t="str">
        <f>IF(Scoring!AH23="","",IF(Scoring!AH23="OK","PASS","FAIL"))</f>
        <v>PASS</v>
      </c>
      <c r="E23" s="120" t="str">
        <f>IF(Scoring!AI23="","",IF(Scoring!AI23="OK","PASS","FAIL — mandatory review required"))</f>
        <v>FAIL — mandatory review required</v>
      </c>
      <c r="F23" s="120"/>
      <c r="G23" s="120"/>
      <c r="H23" s="119" t="str">
        <f t="shared" si="0"/>
        <v/>
      </c>
      <c r="I23" s="120"/>
      <c r="J23" s="120"/>
      <c r="K23" s="215" t="str">
        <f t="shared" si="1"/>
        <v/>
      </c>
      <c r="L23" s="120" t="str">
        <f>IF('Implied-Return Calculator'!S24="","",'Implied-Return Calculator'!S24)</f>
        <v/>
      </c>
      <c r="M23" s="120" t="str">
        <f>IF('Implied-Return Calculator'!T24="","",'Implied-Return Calculator'!T24)</f>
        <v/>
      </c>
      <c r="N23" s="120" t="str">
        <f>IF('Implied-Return Calculator'!U24="","",'Implied-Return Calculator'!U24)</f>
        <v/>
      </c>
      <c r="O23" s="120"/>
      <c r="P23" s="120"/>
      <c r="Q23" s="215" t="str">
        <f t="shared" si="2"/>
        <v/>
      </c>
      <c r="R23" s="119" t="str">
        <f t="shared" si="3"/>
        <v/>
      </c>
      <c r="S23" s="119" t="str">
        <f t="shared" si="4"/>
        <v/>
      </c>
    </row>
    <row r="24" spans="1:19" ht="15" customHeight="1" x14ac:dyDescent="0.2">
      <c r="A24" s="120" t="str">
        <f>IF(Scoring!A24="","",Scoring!A24)</f>
        <v>LBRT</v>
      </c>
      <c r="B24" s="119" t="str">
        <f>IF(Scoring!B24="","",Scoring!B24)</f>
        <v>Liberty Energy Inc.</v>
      </c>
      <c r="C24" s="120" t="str">
        <f>IF(Scoring!AG24="","",IF(OR(Scoring!AG24="STRONG BUY",Scoring!AG24="BUY"),"PASS","FAIL"))</f>
        <v/>
      </c>
      <c r="D24" s="120" t="str">
        <f>IF(Scoring!AH24="","",IF(Scoring!AH24="OK","PASS","FAIL"))</f>
        <v>FAIL</v>
      </c>
      <c r="E24" s="120" t="str">
        <f>IF(Scoring!AI24="","",IF(Scoring!AI24="OK","PASS","FAIL — mandatory review required"))</f>
        <v>FAIL — mandatory review required</v>
      </c>
      <c r="F24" s="120"/>
      <c r="G24" s="120"/>
      <c r="H24" s="119" t="str">
        <f t="shared" si="0"/>
        <v/>
      </c>
      <c r="I24" s="120"/>
      <c r="J24" s="120"/>
      <c r="K24" s="215" t="str">
        <f t="shared" si="1"/>
        <v/>
      </c>
      <c r="L24" s="120" t="str">
        <f>IF('Implied-Return Calculator'!S25="","",'Implied-Return Calculator'!S25)</f>
        <v/>
      </c>
      <c r="M24" s="120" t="str">
        <f>IF('Implied-Return Calculator'!T25="","",'Implied-Return Calculator'!T25)</f>
        <v/>
      </c>
      <c r="N24" s="120" t="str">
        <f>IF('Implied-Return Calculator'!U25="","",'Implied-Return Calculator'!U25)</f>
        <v/>
      </c>
      <c r="O24" s="120"/>
      <c r="P24" s="120"/>
      <c r="Q24" s="215" t="str">
        <f t="shared" si="2"/>
        <v/>
      </c>
      <c r="R24" s="119" t="str">
        <f t="shared" si="3"/>
        <v/>
      </c>
      <c r="S24" s="119" t="str">
        <f t="shared" si="4"/>
        <v/>
      </c>
    </row>
    <row r="25" spans="1:19" ht="15" customHeight="1" x14ac:dyDescent="0.2">
      <c r="A25" s="120" t="str">
        <f>IF(Scoring!A25="","",Scoring!A25)</f>
        <v>NOV</v>
      </c>
      <c r="B25" s="119" t="str">
        <f>IF(Scoring!B25="","",Scoring!B25)</f>
        <v>NOV Inc.</v>
      </c>
      <c r="C25" s="120" t="str">
        <f>IF(Scoring!AG25="","",IF(OR(Scoring!AG25="STRONG BUY",Scoring!AG25="BUY"),"PASS","FAIL"))</f>
        <v/>
      </c>
      <c r="D25" s="120" t="str">
        <f>IF(Scoring!AH25="","",IF(Scoring!AH25="OK","PASS","FAIL"))</f>
        <v>FAIL</v>
      </c>
      <c r="E25" s="120" t="str">
        <f>IF(Scoring!AI25="","",IF(Scoring!AI25="OK","PASS","FAIL — mandatory review required"))</f>
        <v>PASS</v>
      </c>
      <c r="F25" s="120"/>
      <c r="G25" s="120"/>
      <c r="H25" s="119" t="str">
        <f t="shared" si="0"/>
        <v/>
      </c>
      <c r="I25" s="120"/>
      <c r="J25" s="120"/>
      <c r="K25" s="215" t="str">
        <f t="shared" si="1"/>
        <v/>
      </c>
      <c r="L25" s="120" t="str">
        <f>IF('Implied-Return Calculator'!S26="","",'Implied-Return Calculator'!S26)</f>
        <v/>
      </c>
      <c r="M25" s="120" t="str">
        <f>IF('Implied-Return Calculator'!T26="","",'Implied-Return Calculator'!T26)</f>
        <v/>
      </c>
      <c r="N25" s="120" t="str">
        <f>IF('Implied-Return Calculator'!U26="","",'Implied-Return Calculator'!U26)</f>
        <v/>
      </c>
      <c r="O25" s="120"/>
      <c r="P25" s="120"/>
      <c r="Q25" s="215" t="str">
        <f t="shared" si="2"/>
        <v/>
      </c>
      <c r="R25" s="119" t="str">
        <f t="shared" si="3"/>
        <v/>
      </c>
      <c r="S25" s="119" t="str">
        <f t="shared" si="4"/>
        <v/>
      </c>
    </row>
    <row r="26" spans="1:19" ht="15" customHeight="1" x14ac:dyDescent="0.2">
      <c r="A26" s="120" t="str">
        <f>IF(Scoring!A26="","",Scoring!A26)</f>
        <v>CE</v>
      </c>
      <c r="B26" s="119" t="str">
        <f>IF(Scoring!B26="","",Scoring!B26)</f>
        <v>Celanese Corp.</v>
      </c>
      <c r="C26" s="120" t="str">
        <f>IF(Scoring!AG26="","",IF(OR(Scoring!AG26="STRONG BUY",Scoring!AG26="BUY"),"PASS","FAIL"))</f>
        <v/>
      </c>
      <c r="D26" s="120" t="str">
        <f>IF(Scoring!AH26="","",IF(Scoring!AH26="OK","PASS","FAIL"))</f>
        <v>FAIL</v>
      </c>
      <c r="E26" s="120" t="str">
        <f>IF(Scoring!AI26="","",IF(Scoring!AI26="OK","PASS","FAIL — mandatory review required"))</f>
        <v>FAIL — mandatory review required</v>
      </c>
      <c r="F26" s="120"/>
      <c r="G26" s="120"/>
      <c r="H26" s="119" t="str">
        <f t="shared" si="0"/>
        <v/>
      </c>
      <c r="I26" s="120"/>
      <c r="J26" s="120"/>
      <c r="K26" s="215" t="str">
        <f t="shared" si="1"/>
        <v/>
      </c>
      <c r="L26" s="120" t="str">
        <f>IF('Implied-Return Calculator'!S27="","",'Implied-Return Calculator'!S27)</f>
        <v/>
      </c>
      <c r="M26" s="120" t="str">
        <f>IF('Implied-Return Calculator'!T27="","",'Implied-Return Calculator'!T27)</f>
        <v/>
      </c>
      <c r="N26" s="120" t="str">
        <f>IF('Implied-Return Calculator'!U27="","",'Implied-Return Calculator'!U27)</f>
        <v/>
      </c>
      <c r="O26" s="120"/>
      <c r="P26" s="120"/>
      <c r="Q26" s="215" t="str">
        <f t="shared" si="2"/>
        <v/>
      </c>
      <c r="R26" s="119" t="str">
        <f t="shared" si="3"/>
        <v/>
      </c>
      <c r="S26" s="119" t="str">
        <f t="shared" si="4"/>
        <v/>
      </c>
    </row>
    <row r="27" spans="1:19" ht="15" customHeight="1" x14ac:dyDescent="0.2">
      <c r="A27" s="120" t="str">
        <f>IF(Scoring!A27="","",Scoring!A27)</f>
        <v>CLF</v>
      </c>
      <c r="B27" s="119" t="str">
        <f>IF(Scoring!B27="","",Scoring!B27)</f>
        <v>Cleveland-Cliffs Inc.</v>
      </c>
      <c r="C27" s="120" t="str">
        <f>IF(Scoring!AG27="","",IF(OR(Scoring!AG27="STRONG BUY",Scoring!AG27="BUY"),"PASS","FAIL"))</f>
        <v/>
      </c>
      <c r="D27" s="120" t="str">
        <f>IF(Scoring!AH27="","",IF(Scoring!AH27="OK","PASS","FAIL"))</f>
        <v>FAIL</v>
      </c>
      <c r="E27" s="120" t="str">
        <f>IF(Scoring!AI27="","",IF(Scoring!AI27="OK","PASS","FAIL — mandatory review required"))</f>
        <v>FAIL — mandatory review required</v>
      </c>
      <c r="F27" s="120"/>
      <c r="G27" s="120"/>
      <c r="H27" s="119" t="str">
        <f t="shared" si="0"/>
        <v/>
      </c>
      <c r="I27" s="120"/>
      <c r="J27" s="120"/>
      <c r="K27" s="215" t="str">
        <f t="shared" si="1"/>
        <v/>
      </c>
      <c r="L27" s="120" t="str">
        <f>IF('Implied-Return Calculator'!S28="","",'Implied-Return Calculator'!S28)</f>
        <v/>
      </c>
      <c r="M27" s="120" t="str">
        <f>IF('Implied-Return Calculator'!T28="","",'Implied-Return Calculator'!T28)</f>
        <v/>
      </c>
      <c r="N27" s="120" t="str">
        <f>IF('Implied-Return Calculator'!U28="","",'Implied-Return Calculator'!U28)</f>
        <v/>
      </c>
      <c r="O27" s="120"/>
      <c r="P27" s="120"/>
      <c r="Q27" s="215" t="str">
        <f t="shared" si="2"/>
        <v/>
      </c>
      <c r="R27" s="119" t="str">
        <f t="shared" si="3"/>
        <v/>
      </c>
      <c r="S27" s="119" t="str">
        <f t="shared" si="4"/>
        <v/>
      </c>
    </row>
    <row r="28" spans="1:19" ht="15" customHeight="1" x14ac:dyDescent="0.2">
      <c r="A28" s="120" t="str">
        <f>IF(Scoring!A28="","",Scoring!A28)</f>
        <v>LIN</v>
      </c>
      <c r="B28" s="119" t="str">
        <f>IF(Scoring!B28="","",Scoring!B28)</f>
        <v>Linde plc</v>
      </c>
      <c r="C28" s="120" t="str">
        <f>IF(Scoring!AG28="","",IF(OR(Scoring!AG28="STRONG BUY",Scoring!AG28="BUY"),"PASS","FAIL"))</f>
        <v/>
      </c>
      <c r="D28" s="120" t="str">
        <f>IF(Scoring!AH28="","",IF(Scoring!AH28="OK","PASS","FAIL"))</f>
        <v>PASS</v>
      </c>
      <c r="E28" s="120" t="str">
        <f>IF(Scoring!AI28="","",IF(Scoring!AI28="OK","PASS","FAIL — mandatory review required"))</f>
        <v>PASS</v>
      </c>
      <c r="F28" s="120"/>
      <c r="G28" s="120"/>
      <c r="H28" s="119" t="str">
        <f t="shared" si="0"/>
        <v/>
      </c>
      <c r="I28" s="120"/>
      <c r="J28" s="120"/>
      <c r="K28" s="215" t="str">
        <f t="shared" si="1"/>
        <v/>
      </c>
      <c r="L28" s="120" t="str">
        <f>IF('Implied-Return Calculator'!S29="","",'Implied-Return Calculator'!S29)</f>
        <v/>
      </c>
      <c r="M28" s="120" t="str">
        <f>IF('Implied-Return Calculator'!T29="","",'Implied-Return Calculator'!T29)</f>
        <v/>
      </c>
      <c r="N28" s="120" t="str">
        <f>IF('Implied-Return Calculator'!U29="","",'Implied-Return Calculator'!U29)</f>
        <v/>
      </c>
      <c r="O28" s="120"/>
      <c r="P28" s="120"/>
      <c r="Q28" s="215" t="str">
        <f t="shared" si="2"/>
        <v/>
      </c>
      <c r="R28" s="119" t="str">
        <f t="shared" si="3"/>
        <v/>
      </c>
      <c r="S28" s="119" t="str">
        <f t="shared" si="4"/>
        <v/>
      </c>
    </row>
    <row r="29" spans="1:19" ht="15" customHeight="1" x14ac:dyDescent="0.2">
      <c r="A29" s="120" t="str">
        <f>IF(Scoring!A29="","",Scoring!A29)</f>
        <v>DEO</v>
      </c>
      <c r="B29" s="119" t="str">
        <f>IF(Scoring!B29="","",Scoring!B29)</f>
        <v>Diageo plc</v>
      </c>
      <c r="C29" s="120" t="str">
        <f>IF(Scoring!AG29="","",IF(OR(Scoring!AG29="STRONG BUY",Scoring!AG29="BUY"),"PASS","FAIL"))</f>
        <v/>
      </c>
      <c r="D29" s="120" t="str">
        <f>IF(Scoring!AH29="","",IF(Scoring!AH29="OK","PASS","FAIL"))</f>
        <v>FAIL</v>
      </c>
      <c r="E29" s="120" t="str">
        <f>IF(Scoring!AI29="","",IF(Scoring!AI29="OK","PASS","FAIL — mandatory review required"))</f>
        <v>PASS</v>
      </c>
      <c r="F29" s="120"/>
      <c r="G29" s="120"/>
      <c r="H29" s="119" t="str">
        <f t="shared" si="0"/>
        <v/>
      </c>
      <c r="I29" s="120"/>
      <c r="J29" s="120"/>
      <c r="K29" s="215" t="str">
        <f t="shared" si="1"/>
        <v/>
      </c>
      <c r="L29" s="120" t="str">
        <f>IF('Implied-Return Calculator'!S30="","",'Implied-Return Calculator'!S30)</f>
        <v/>
      </c>
      <c r="M29" s="120" t="str">
        <f>IF('Implied-Return Calculator'!T30="","",'Implied-Return Calculator'!T30)</f>
        <v/>
      </c>
      <c r="N29" s="120" t="str">
        <f>IF('Implied-Return Calculator'!U30="","",'Implied-Return Calculator'!U30)</f>
        <v/>
      </c>
      <c r="O29" s="120"/>
      <c r="P29" s="120"/>
      <c r="Q29" s="215" t="str">
        <f t="shared" si="2"/>
        <v/>
      </c>
      <c r="R29" s="119" t="str">
        <f t="shared" si="3"/>
        <v/>
      </c>
      <c r="S29" s="119" t="str">
        <f t="shared" si="4"/>
        <v/>
      </c>
    </row>
    <row r="30" spans="1:19" ht="15" customHeight="1" x14ac:dyDescent="0.2">
      <c r="A30" s="120" t="str">
        <f>IF(Scoring!A30="","",Scoring!A30)</f>
        <v>EL</v>
      </c>
      <c r="B30" s="119" t="str">
        <f>IF(Scoring!B30="","",Scoring!B30)</f>
        <v>Estee Lauder Companies</v>
      </c>
      <c r="C30" s="120" t="str">
        <f>IF(Scoring!AG30="","",IF(OR(Scoring!AG30="STRONG BUY",Scoring!AG30="BUY"),"PASS","FAIL"))</f>
        <v/>
      </c>
      <c r="D30" s="120" t="str">
        <f>IF(Scoring!AH30="","",IF(Scoring!AH30="OK","PASS","FAIL"))</f>
        <v>FAIL</v>
      </c>
      <c r="E30" s="120" t="str">
        <f>IF(Scoring!AI30="","",IF(Scoring!AI30="OK","PASS","FAIL — mandatory review required"))</f>
        <v>FAIL — mandatory review required</v>
      </c>
      <c r="F30" s="120"/>
      <c r="G30" s="120"/>
      <c r="H30" s="119" t="str">
        <f t="shared" si="0"/>
        <v/>
      </c>
      <c r="I30" s="120"/>
      <c r="J30" s="120"/>
      <c r="K30" s="215" t="str">
        <f t="shared" si="1"/>
        <v/>
      </c>
      <c r="L30" s="120" t="str">
        <f>IF('Implied-Return Calculator'!S31="","",'Implied-Return Calculator'!S31)</f>
        <v/>
      </c>
      <c r="M30" s="120" t="str">
        <f>IF('Implied-Return Calculator'!T31="","",'Implied-Return Calculator'!T31)</f>
        <v/>
      </c>
      <c r="N30" s="120" t="str">
        <f>IF('Implied-Return Calculator'!U31="","",'Implied-Return Calculator'!U31)</f>
        <v/>
      </c>
      <c r="O30" s="120"/>
      <c r="P30" s="120"/>
      <c r="Q30" s="215" t="str">
        <f t="shared" si="2"/>
        <v/>
      </c>
      <c r="R30" s="119" t="str">
        <f t="shared" si="3"/>
        <v/>
      </c>
      <c r="S30" s="119" t="str">
        <f t="shared" si="4"/>
        <v/>
      </c>
    </row>
    <row r="31" spans="1:19" ht="15" customHeight="1" x14ac:dyDescent="0.2">
      <c r="A31" s="120" t="str">
        <f>IF(Scoring!A31="","",Scoring!A31)</f>
        <v>HRL</v>
      </c>
      <c r="B31" s="119" t="str">
        <f>IF(Scoring!B31="","",Scoring!B31)</f>
        <v>Hormel Foods Corp.</v>
      </c>
      <c r="C31" s="120" t="str">
        <f>IF(Scoring!AG31="","",IF(OR(Scoring!AG31="STRONG BUY",Scoring!AG31="BUY"),"PASS","FAIL"))</f>
        <v/>
      </c>
      <c r="D31" s="120" t="str">
        <f>IF(Scoring!AH31="","",IF(Scoring!AH31="OK","PASS","FAIL"))</f>
        <v>FAIL</v>
      </c>
      <c r="E31" s="120" t="str">
        <f>IF(Scoring!AI31="","",IF(Scoring!AI31="OK","PASS","FAIL — mandatory review required"))</f>
        <v>FAIL — mandatory review required</v>
      </c>
      <c r="F31" s="120"/>
      <c r="G31" s="120"/>
      <c r="H31" s="119" t="str">
        <f t="shared" si="0"/>
        <v/>
      </c>
      <c r="I31" s="120"/>
      <c r="J31" s="120"/>
      <c r="K31" s="215" t="str">
        <f t="shared" si="1"/>
        <v/>
      </c>
      <c r="L31" s="120" t="str">
        <f>IF('Implied-Return Calculator'!S32="","",'Implied-Return Calculator'!S32)</f>
        <v/>
      </c>
      <c r="M31" s="120" t="str">
        <f>IF('Implied-Return Calculator'!T32="","",'Implied-Return Calculator'!T32)</f>
        <v/>
      </c>
      <c r="N31" s="120" t="str">
        <f>IF('Implied-Return Calculator'!U32="","",'Implied-Return Calculator'!U32)</f>
        <v/>
      </c>
      <c r="O31" s="120"/>
      <c r="P31" s="120"/>
      <c r="Q31" s="215" t="str">
        <f t="shared" si="2"/>
        <v/>
      </c>
      <c r="R31" s="119" t="str">
        <f t="shared" si="3"/>
        <v/>
      </c>
      <c r="S31" s="119" t="str">
        <f t="shared" si="4"/>
        <v/>
      </c>
    </row>
    <row r="32" spans="1:19" ht="15" customHeight="1" x14ac:dyDescent="0.2">
      <c r="A32" s="120" t="str">
        <f>IF(Scoring!A32="","",Scoring!A32)</f>
        <v>PG</v>
      </c>
      <c r="B32" s="119" t="str">
        <f>IF(Scoring!B32="","",Scoring!B32)</f>
        <v>Procter &amp; Gamble Co.</v>
      </c>
      <c r="C32" s="120" t="str">
        <f>IF(Scoring!AG32="","",IF(OR(Scoring!AG32="STRONG BUY",Scoring!AG32="BUY"),"PASS","FAIL"))</f>
        <v/>
      </c>
      <c r="D32" s="120" t="str">
        <f>IF(Scoring!AH32="","",IF(Scoring!AH32="OK","PASS","FAIL"))</f>
        <v>PASS</v>
      </c>
      <c r="E32" s="120" t="str">
        <f>IF(Scoring!AI32="","",IF(Scoring!AI32="OK","PASS","FAIL — mandatory review required"))</f>
        <v>PASS</v>
      </c>
      <c r="F32" s="120"/>
      <c r="G32" s="120"/>
      <c r="H32" s="119" t="str">
        <f t="shared" si="0"/>
        <v/>
      </c>
      <c r="I32" s="120"/>
      <c r="J32" s="120"/>
      <c r="K32" s="215" t="str">
        <f t="shared" si="1"/>
        <v/>
      </c>
      <c r="L32" s="120" t="str">
        <f>IF('Implied-Return Calculator'!S33="","",'Implied-Return Calculator'!S33)</f>
        <v/>
      </c>
      <c r="M32" s="120" t="str">
        <f>IF('Implied-Return Calculator'!T33="","",'Implied-Return Calculator'!T33)</f>
        <v/>
      </c>
      <c r="N32" s="120" t="str">
        <f>IF('Implied-Return Calculator'!U33="","",'Implied-Return Calculator'!U33)</f>
        <v/>
      </c>
      <c r="O32" s="120"/>
      <c r="P32" s="120"/>
      <c r="Q32" s="215" t="str">
        <f t="shared" si="2"/>
        <v/>
      </c>
      <c r="R32" s="119" t="str">
        <f t="shared" si="3"/>
        <v/>
      </c>
      <c r="S32" s="119" t="str">
        <f t="shared" si="4"/>
        <v/>
      </c>
    </row>
    <row r="33" spans="1:19" ht="15" customHeight="1" x14ac:dyDescent="0.2">
      <c r="A33" s="120" t="str">
        <f>IF(Scoring!A33="","",Scoring!A33)</f>
        <v>CMG</v>
      </c>
      <c r="B33" s="119" t="str">
        <f>IF(Scoring!B33="","",Scoring!B33)</f>
        <v>Chipotle Mexican Grill</v>
      </c>
      <c r="C33" s="120" t="str">
        <f>IF(Scoring!AG33="","",IF(OR(Scoring!AG33="STRONG BUY",Scoring!AG33="BUY"),"PASS","FAIL"))</f>
        <v/>
      </c>
      <c r="D33" s="120" t="str">
        <f>IF(Scoring!AH33="","",IF(Scoring!AH33="OK","PASS","FAIL"))</f>
        <v>PASS</v>
      </c>
      <c r="E33" s="120" t="str">
        <f>IF(Scoring!AI33="","",IF(Scoring!AI33="OK","PASS","FAIL — mandatory review required"))</f>
        <v>PASS</v>
      </c>
      <c r="F33" s="120"/>
      <c r="G33" s="120"/>
      <c r="H33" s="119" t="str">
        <f t="shared" si="0"/>
        <v/>
      </c>
      <c r="I33" s="120"/>
      <c r="J33" s="120"/>
      <c r="K33" s="215" t="str">
        <f t="shared" si="1"/>
        <v/>
      </c>
      <c r="L33" s="120" t="str">
        <f>IF('Implied-Return Calculator'!S34="","",'Implied-Return Calculator'!S34)</f>
        <v/>
      </c>
      <c r="M33" s="120" t="str">
        <f>IF('Implied-Return Calculator'!T34="","",'Implied-Return Calculator'!T34)</f>
        <v/>
      </c>
      <c r="N33" s="120" t="str">
        <f>IF('Implied-Return Calculator'!U34="","",'Implied-Return Calculator'!U34)</f>
        <v/>
      </c>
      <c r="O33" s="120"/>
      <c r="P33" s="120"/>
      <c r="Q33" s="215" t="str">
        <f t="shared" si="2"/>
        <v/>
      </c>
      <c r="R33" s="119" t="str">
        <f t="shared" si="3"/>
        <v/>
      </c>
      <c r="S33" s="119" t="str">
        <f t="shared" si="4"/>
        <v/>
      </c>
    </row>
    <row r="34" spans="1:19" ht="15" customHeight="1" x14ac:dyDescent="0.2">
      <c r="A34" s="120" t="str">
        <f>IF(Scoring!A34="","",Scoring!A34)</f>
        <v>DPZ</v>
      </c>
      <c r="B34" s="119" t="str">
        <f>IF(Scoring!B34="","",Scoring!B34)</f>
        <v>Domino's Pizza Inc.</v>
      </c>
      <c r="C34" s="120" t="str">
        <f>IF(Scoring!AG34="","",IF(OR(Scoring!AG34="STRONG BUY",Scoring!AG34="BUY"),"PASS","FAIL"))</f>
        <v/>
      </c>
      <c r="D34" s="120" t="str">
        <f>IF(Scoring!AH34="","",IF(Scoring!AH34="OK","PASS","FAIL"))</f>
        <v>PASS</v>
      </c>
      <c r="E34" s="120" t="str">
        <f>IF(Scoring!AI34="","",IF(Scoring!AI34="OK","PASS","FAIL — mandatory review required"))</f>
        <v>PASS</v>
      </c>
      <c r="F34" s="120"/>
      <c r="G34" s="120"/>
      <c r="H34" s="119" t="str">
        <f t="shared" si="0"/>
        <v/>
      </c>
      <c r="I34" s="120"/>
      <c r="J34" s="120"/>
      <c r="K34" s="215" t="str">
        <f t="shared" si="1"/>
        <v/>
      </c>
      <c r="L34" s="120" t="str">
        <f>IF('Implied-Return Calculator'!S35="","",'Implied-Return Calculator'!S35)</f>
        <v/>
      </c>
      <c r="M34" s="120" t="str">
        <f>IF('Implied-Return Calculator'!T35="","",'Implied-Return Calculator'!T35)</f>
        <v/>
      </c>
      <c r="N34" s="120" t="str">
        <f>IF('Implied-Return Calculator'!U35="","",'Implied-Return Calculator'!U35)</f>
        <v/>
      </c>
      <c r="O34" s="120"/>
      <c r="P34" s="120"/>
      <c r="Q34" s="215" t="str">
        <f t="shared" si="2"/>
        <v/>
      </c>
      <c r="R34" s="119" t="str">
        <f t="shared" si="3"/>
        <v/>
      </c>
      <c r="S34" s="119" t="str">
        <f t="shared" si="4"/>
        <v/>
      </c>
    </row>
    <row r="35" spans="1:19" ht="15" customHeight="1" x14ac:dyDescent="0.2">
      <c r="A35" s="120" t="str">
        <f>IF(Scoring!A35="","",Scoring!A35)</f>
        <v>PZZA</v>
      </c>
      <c r="B35" s="119" t="str">
        <f>IF(Scoring!B35="","",Scoring!B35)</f>
        <v>Papa John's Intl.</v>
      </c>
      <c r="C35" s="120" t="str">
        <f>IF(Scoring!AG35="","",IF(OR(Scoring!AG35="STRONG BUY",Scoring!AG35="BUY"),"PASS","FAIL"))</f>
        <v/>
      </c>
      <c r="D35" s="120" t="str">
        <f>IF(Scoring!AH35="","",IF(Scoring!AH35="OK","PASS","FAIL"))</f>
        <v>FAIL</v>
      </c>
      <c r="E35" s="120" t="str">
        <f>IF(Scoring!AI35="","",IF(Scoring!AI35="OK","PASS","FAIL — mandatory review required"))</f>
        <v>FAIL — mandatory review required</v>
      </c>
      <c r="F35" s="120"/>
      <c r="G35" s="120"/>
      <c r="H35" s="119" t="str">
        <f t="shared" si="0"/>
        <v/>
      </c>
      <c r="I35" s="120"/>
      <c r="J35" s="120"/>
      <c r="K35" s="215" t="str">
        <f t="shared" si="1"/>
        <v/>
      </c>
      <c r="L35" s="120" t="str">
        <f>IF('Implied-Return Calculator'!S36="","",'Implied-Return Calculator'!S36)</f>
        <v/>
      </c>
      <c r="M35" s="120" t="str">
        <f>IF('Implied-Return Calculator'!T36="","",'Implied-Return Calculator'!T36)</f>
        <v/>
      </c>
      <c r="N35" s="120" t="str">
        <f>IF('Implied-Return Calculator'!U36="","",'Implied-Return Calculator'!U36)</f>
        <v/>
      </c>
      <c r="O35" s="120"/>
      <c r="P35" s="120"/>
      <c r="Q35" s="215" t="str">
        <f t="shared" si="2"/>
        <v/>
      </c>
      <c r="R35" s="119" t="str">
        <f t="shared" si="3"/>
        <v/>
      </c>
      <c r="S35" s="119" t="str">
        <f t="shared" si="4"/>
        <v/>
      </c>
    </row>
    <row r="36" spans="1:19" ht="15" customHeight="1" x14ac:dyDescent="0.2">
      <c r="A36" s="120" t="str">
        <f>IF(Scoring!A36="","",Scoring!A36)</f>
        <v>YUM</v>
      </c>
      <c r="B36" s="119" t="str">
        <f>IF(Scoring!B36="","",Scoring!B36)</f>
        <v>Yum! Brands Inc.</v>
      </c>
      <c r="C36" s="120" t="str">
        <f>IF(Scoring!AG36="","",IF(OR(Scoring!AG36="STRONG BUY",Scoring!AG36="BUY"),"PASS","FAIL"))</f>
        <v/>
      </c>
      <c r="D36" s="120" t="str">
        <f>IF(Scoring!AH36="","",IF(Scoring!AH36="OK","PASS","FAIL"))</f>
        <v>PASS</v>
      </c>
      <c r="E36" s="120" t="str">
        <f>IF(Scoring!AI36="","",IF(Scoring!AI36="OK","PASS","FAIL — mandatory review required"))</f>
        <v>PASS</v>
      </c>
      <c r="F36" s="120"/>
      <c r="G36" s="120"/>
      <c r="H36" s="119" t="str">
        <f t="shared" si="0"/>
        <v/>
      </c>
      <c r="I36" s="120"/>
      <c r="J36" s="120"/>
      <c r="K36" s="215" t="str">
        <f t="shared" si="1"/>
        <v/>
      </c>
      <c r="L36" s="120" t="str">
        <f>IF('Implied-Return Calculator'!S37="","",'Implied-Return Calculator'!S37)</f>
        <v/>
      </c>
      <c r="M36" s="120" t="str">
        <f>IF('Implied-Return Calculator'!T37="","",'Implied-Return Calculator'!T37)</f>
        <v/>
      </c>
      <c r="N36" s="120" t="str">
        <f>IF('Implied-Return Calculator'!U37="","",'Implied-Return Calculator'!U37)</f>
        <v/>
      </c>
      <c r="O36" s="120"/>
      <c r="P36" s="120"/>
      <c r="Q36" s="215" t="str">
        <f t="shared" si="2"/>
        <v/>
      </c>
      <c r="R36" s="119" t="str">
        <f t="shared" si="3"/>
        <v/>
      </c>
      <c r="S36" s="119" t="str">
        <f t="shared" si="4"/>
        <v/>
      </c>
    </row>
    <row r="37" spans="1:19" ht="15" customHeight="1" x14ac:dyDescent="0.2">
      <c r="A37" s="120" t="str">
        <f>IF(Scoring!A37="","",Scoring!A37)</f>
        <v>NKE</v>
      </c>
      <c r="B37" s="119" t="str">
        <f>IF(Scoring!B37="","",Scoring!B37)</f>
        <v>Nike Inc.</v>
      </c>
      <c r="C37" s="120" t="str">
        <f>IF(Scoring!AG37="","",IF(OR(Scoring!AG37="STRONG BUY",Scoring!AG37="BUY"),"PASS","FAIL"))</f>
        <v/>
      </c>
      <c r="D37" s="120" t="str">
        <f>IF(Scoring!AH37="","",IF(Scoring!AH37="OK","PASS","FAIL"))</f>
        <v>FAIL</v>
      </c>
      <c r="E37" s="120" t="str">
        <f>IF(Scoring!AI37="","",IF(Scoring!AI37="OK","PASS","FAIL — mandatory review required"))</f>
        <v>FAIL — mandatory review required</v>
      </c>
      <c r="F37" s="120"/>
      <c r="G37" s="120"/>
      <c r="H37" s="119" t="str">
        <f t="shared" si="0"/>
        <v/>
      </c>
      <c r="I37" s="120"/>
      <c r="J37" s="120"/>
      <c r="K37" s="215" t="str">
        <f t="shared" si="1"/>
        <v/>
      </c>
      <c r="L37" s="120" t="str">
        <f>IF('Implied-Return Calculator'!S38="","",'Implied-Return Calculator'!S38)</f>
        <v/>
      </c>
      <c r="M37" s="120" t="str">
        <f>IF('Implied-Return Calculator'!T38="","",'Implied-Return Calculator'!T38)</f>
        <v/>
      </c>
      <c r="N37" s="120" t="str">
        <f>IF('Implied-Return Calculator'!U38="","",'Implied-Return Calculator'!U38)</f>
        <v/>
      </c>
      <c r="O37" s="120"/>
      <c r="P37" s="120"/>
      <c r="Q37" s="215" t="str">
        <f t="shared" si="2"/>
        <v/>
      </c>
      <c r="R37" s="119" t="str">
        <f t="shared" si="3"/>
        <v/>
      </c>
      <c r="S37" s="119" t="str">
        <f t="shared" si="4"/>
        <v/>
      </c>
    </row>
    <row r="38" spans="1:19" ht="15" customHeight="1" x14ac:dyDescent="0.2">
      <c r="A38" s="120" t="str">
        <f>IF(Scoring!A38="","",Scoring!A38)</f>
        <v>VFC</v>
      </c>
      <c r="B38" s="119" t="str">
        <f>IF(Scoring!B38="","",Scoring!B38)</f>
        <v>V.F. Corporation</v>
      </c>
      <c r="C38" s="120" t="str">
        <f>IF(Scoring!AG38="","",IF(OR(Scoring!AG38="STRONG BUY",Scoring!AG38="BUY"),"PASS","FAIL"))</f>
        <v/>
      </c>
      <c r="D38" s="120" t="str">
        <f>IF(Scoring!AH38="","",IF(Scoring!AH38="OK","PASS","FAIL"))</f>
        <v>FAIL</v>
      </c>
      <c r="E38" s="120" t="str">
        <f>IF(Scoring!AI38="","",IF(Scoring!AI38="OK","PASS","FAIL — mandatory review required"))</f>
        <v>PASS</v>
      </c>
      <c r="F38" s="120"/>
      <c r="G38" s="120"/>
      <c r="H38" s="119" t="str">
        <f t="shared" si="0"/>
        <v/>
      </c>
      <c r="I38" s="120"/>
      <c r="J38" s="120"/>
      <c r="K38" s="215" t="str">
        <f t="shared" si="1"/>
        <v/>
      </c>
      <c r="L38" s="120" t="str">
        <f>IF('Implied-Return Calculator'!S39="","",'Implied-Return Calculator'!S39)</f>
        <v/>
      </c>
      <c r="M38" s="120" t="str">
        <f>IF('Implied-Return Calculator'!T39="","",'Implied-Return Calculator'!T39)</f>
        <v/>
      </c>
      <c r="N38" s="120" t="str">
        <f>IF('Implied-Return Calculator'!U39="","",'Implied-Return Calculator'!U39)</f>
        <v/>
      </c>
      <c r="O38" s="120"/>
      <c r="P38" s="120"/>
      <c r="Q38" s="215" t="str">
        <f t="shared" si="2"/>
        <v/>
      </c>
      <c r="R38" s="119" t="str">
        <f t="shared" si="3"/>
        <v/>
      </c>
      <c r="S38" s="119" t="str">
        <f t="shared" si="4"/>
        <v/>
      </c>
    </row>
    <row r="39" spans="1:19" ht="15" customHeight="1" x14ac:dyDescent="0.2">
      <c r="A39" s="120" t="str">
        <f>IF(Scoring!A39="","",Scoring!A39)</f>
        <v>GOOS</v>
      </c>
      <c r="B39" s="119" t="str">
        <f>IF(Scoring!B39="","",Scoring!B39)</f>
        <v>Canada Goose Holdings</v>
      </c>
      <c r="C39" s="120" t="str">
        <f>IF(Scoring!AG39="","",IF(OR(Scoring!AG39="STRONG BUY",Scoring!AG39="BUY"),"PASS","FAIL"))</f>
        <v/>
      </c>
      <c r="D39" s="120" t="str">
        <f>IF(Scoring!AH39="","",IF(Scoring!AH39="OK","PASS","FAIL"))</f>
        <v>FAIL</v>
      </c>
      <c r="E39" s="120" t="str">
        <f>IF(Scoring!AI39="","",IF(Scoring!AI39="OK","PASS","FAIL — mandatory review required"))</f>
        <v>FAIL — mandatory review required</v>
      </c>
      <c r="F39" s="120"/>
      <c r="G39" s="120"/>
      <c r="H39" s="119" t="str">
        <f t="shared" si="0"/>
        <v/>
      </c>
      <c r="I39" s="120"/>
      <c r="J39" s="120"/>
      <c r="K39" s="215" t="str">
        <f t="shared" si="1"/>
        <v/>
      </c>
      <c r="L39" s="120" t="str">
        <f>IF('Implied-Return Calculator'!S40="","",'Implied-Return Calculator'!S40)</f>
        <v/>
      </c>
      <c r="M39" s="120" t="str">
        <f>IF('Implied-Return Calculator'!T40="","",'Implied-Return Calculator'!T40)</f>
        <v/>
      </c>
      <c r="N39" s="120" t="str">
        <f>IF('Implied-Return Calculator'!U40="","",'Implied-Return Calculator'!U40)</f>
        <v/>
      </c>
      <c r="O39" s="120"/>
      <c r="P39" s="120"/>
      <c r="Q39" s="215" t="str">
        <f t="shared" si="2"/>
        <v/>
      </c>
      <c r="R39" s="119" t="str">
        <f t="shared" si="3"/>
        <v/>
      </c>
      <c r="S39" s="119" t="str">
        <f t="shared" si="4"/>
        <v/>
      </c>
    </row>
    <row r="40" spans="1:19" ht="15" customHeight="1" x14ac:dyDescent="0.2">
      <c r="A40" s="120" t="str">
        <f>IF(Scoring!A40="","",Scoring!A40)</f>
        <v>AAP</v>
      </c>
      <c r="B40" s="119" t="str">
        <f>IF(Scoring!B40="","",Scoring!B40)</f>
        <v>Advance Auto Parts Inc.</v>
      </c>
      <c r="C40" s="120" t="str">
        <f>IF(Scoring!AG40="","",IF(OR(Scoring!AG40="STRONG BUY",Scoring!AG40="BUY"),"PASS","FAIL"))</f>
        <v/>
      </c>
      <c r="D40" s="120" t="str">
        <f>IF(Scoring!AH40="","",IF(Scoring!AH40="OK","PASS","FAIL"))</f>
        <v>FAIL</v>
      </c>
      <c r="E40" s="120" t="str">
        <f>IF(Scoring!AI40="","",IF(Scoring!AI40="OK","PASS","FAIL — mandatory review required"))</f>
        <v>FAIL — mandatory review required</v>
      </c>
      <c r="F40" s="120"/>
      <c r="G40" s="120"/>
      <c r="H40" s="119" t="str">
        <f t="shared" si="0"/>
        <v/>
      </c>
      <c r="I40" s="120"/>
      <c r="J40" s="120"/>
      <c r="K40" s="215" t="str">
        <f t="shared" si="1"/>
        <v/>
      </c>
      <c r="L40" s="120" t="str">
        <f>IF('Implied-Return Calculator'!S41="","",'Implied-Return Calculator'!S41)</f>
        <v/>
      </c>
      <c r="M40" s="120" t="str">
        <f>IF('Implied-Return Calculator'!T41="","",'Implied-Return Calculator'!T41)</f>
        <v/>
      </c>
      <c r="N40" s="120" t="str">
        <f>IF('Implied-Return Calculator'!U41="","",'Implied-Return Calculator'!U41)</f>
        <v/>
      </c>
      <c r="O40" s="120"/>
      <c r="P40" s="120"/>
      <c r="Q40" s="215" t="str">
        <f t="shared" si="2"/>
        <v/>
      </c>
      <c r="R40" s="119" t="str">
        <f t="shared" si="3"/>
        <v/>
      </c>
      <c r="S40" s="119" t="str">
        <f t="shared" si="4"/>
        <v/>
      </c>
    </row>
    <row r="41" spans="1:19" ht="15" customHeight="1" x14ac:dyDescent="0.2">
      <c r="A41" s="120" t="str">
        <f>IF(Scoring!A41="","",Scoring!A41)</f>
        <v>BABA</v>
      </c>
      <c r="B41" s="119" t="str">
        <f>IF(Scoring!B41="","",Scoring!B41)</f>
        <v>Alibaba Group Holding Ltd.</v>
      </c>
      <c r="C41" s="120" t="str">
        <f>IF(Scoring!AG41="","",IF(OR(Scoring!AG41="STRONG BUY",Scoring!AG41="BUY"),"PASS","FAIL"))</f>
        <v/>
      </c>
      <c r="D41" s="120" t="str">
        <f>IF(Scoring!AH41="","",IF(Scoring!AH41="OK","PASS","FAIL"))</f>
        <v>FAIL</v>
      </c>
      <c r="E41" s="120" t="str">
        <f>IF(Scoring!AI41="","",IF(Scoring!AI41="OK","PASS","FAIL — mandatory review required"))</f>
        <v>PASS</v>
      </c>
      <c r="F41" s="120"/>
      <c r="G41" s="120"/>
      <c r="H41" s="119" t="str">
        <f t="shared" si="0"/>
        <v/>
      </c>
      <c r="I41" s="120"/>
      <c r="J41" s="120"/>
      <c r="K41" s="215" t="str">
        <f t="shared" si="1"/>
        <v/>
      </c>
      <c r="L41" s="120" t="str">
        <f>IF('Implied-Return Calculator'!S42="","",'Implied-Return Calculator'!S42)</f>
        <v/>
      </c>
      <c r="M41" s="120" t="str">
        <f>IF('Implied-Return Calculator'!T42="","",'Implied-Return Calculator'!T42)</f>
        <v/>
      </c>
      <c r="N41" s="120" t="str">
        <f>IF('Implied-Return Calculator'!U42="","",'Implied-Return Calculator'!U42)</f>
        <v/>
      </c>
      <c r="O41" s="120"/>
      <c r="P41" s="120"/>
      <c r="Q41" s="215" t="str">
        <f t="shared" si="2"/>
        <v/>
      </c>
      <c r="R41" s="119" t="str">
        <f t="shared" si="3"/>
        <v/>
      </c>
      <c r="S41" s="119" t="str">
        <f t="shared" si="4"/>
        <v/>
      </c>
    </row>
    <row r="42" spans="1:19" ht="15" customHeight="1" x14ac:dyDescent="0.2">
      <c r="A42" s="120" t="str">
        <f>IF(Scoring!A42="","",Scoring!A42)</f>
        <v>ETSY</v>
      </c>
      <c r="B42" s="119" t="str">
        <f>IF(Scoring!B42="","",Scoring!B42)</f>
        <v>Etsy Inc.</v>
      </c>
      <c r="C42" s="120" t="str">
        <f>IF(Scoring!AG42="","",IF(OR(Scoring!AG42="STRONG BUY",Scoring!AG42="BUY"),"PASS","FAIL"))</f>
        <v/>
      </c>
      <c r="D42" s="120" t="str">
        <f>IF(Scoring!AH42="","",IF(Scoring!AH42="OK","PASS","FAIL"))</f>
        <v>PASS</v>
      </c>
      <c r="E42" s="120" t="str">
        <f>IF(Scoring!AI42="","",IF(Scoring!AI42="OK","PASS","FAIL — mandatory review required"))</f>
        <v>PASS</v>
      </c>
      <c r="F42" s="120"/>
      <c r="G42" s="120"/>
      <c r="H42" s="119" t="str">
        <f t="shared" si="0"/>
        <v/>
      </c>
      <c r="I42" s="120"/>
      <c r="J42" s="120"/>
      <c r="K42" s="215" t="str">
        <f t="shared" si="1"/>
        <v/>
      </c>
      <c r="L42" s="120" t="str">
        <f>IF('Implied-Return Calculator'!S43="","",'Implied-Return Calculator'!S43)</f>
        <v/>
      </c>
      <c r="M42" s="120" t="str">
        <f>IF('Implied-Return Calculator'!T43="","",'Implied-Return Calculator'!T43)</f>
        <v/>
      </c>
      <c r="N42" s="120" t="str">
        <f>IF('Implied-Return Calculator'!U43="","",'Implied-Return Calculator'!U43)</f>
        <v/>
      </c>
      <c r="O42" s="120"/>
      <c r="P42" s="120"/>
      <c r="Q42" s="215" t="str">
        <f t="shared" si="2"/>
        <v/>
      </c>
      <c r="R42" s="119" t="str">
        <f t="shared" si="3"/>
        <v/>
      </c>
      <c r="S42" s="119" t="str">
        <f t="shared" si="4"/>
        <v/>
      </c>
    </row>
    <row r="43" spans="1:19" ht="15" customHeight="1" x14ac:dyDescent="0.2">
      <c r="A43" s="120" t="str">
        <f>IF(Scoring!A43="","",Scoring!A43)</f>
        <v>GE</v>
      </c>
      <c r="B43" s="119" t="str">
        <f>IF(Scoring!B43="","",Scoring!B43)</f>
        <v>GE Aerospace</v>
      </c>
      <c r="C43" s="120" t="str">
        <f>IF(Scoring!AG43="","",IF(OR(Scoring!AG43="STRONG BUY",Scoring!AG43="BUY"),"PASS","FAIL"))</f>
        <v>PASS</v>
      </c>
      <c r="D43" s="120" t="str">
        <f>IF(Scoring!AH43="","",IF(Scoring!AH43="OK","PASS","FAIL"))</f>
        <v>PASS</v>
      </c>
      <c r="E43" s="120" t="str">
        <f>IF(Scoring!AI43="","",IF(Scoring!AI43="OK","PASS","FAIL — mandatory review required"))</f>
        <v>PASS</v>
      </c>
      <c r="F43" s="120"/>
      <c r="G43" s="120"/>
      <c r="H43" s="119" t="str">
        <f t="shared" si="0"/>
        <v/>
      </c>
      <c r="I43" s="120"/>
      <c r="J43" s="120"/>
      <c r="K43" s="215" t="str">
        <f t="shared" si="1"/>
        <v/>
      </c>
      <c r="L43" s="120" t="str">
        <f>IF('Implied-Return Calculator'!S44="","",'Implied-Return Calculator'!S44)</f>
        <v/>
      </c>
      <c r="M43" s="120" t="str">
        <f>IF('Implied-Return Calculator'!T44="","",'Implied-Return Calculator'!T44)</f>
        <v/>
      </c>
      <c r="N43" s="120" t="str">
        <f>IF('Implied-Return Calculator'!U44="","",'Implied-Return Calculator'!U44)</f>
        <v/>
      </c>
      <c r="O43" s="120"/>
      <c r="P43" s="120"/>
      <c r="Q43" s="215" t="str">
        <f t="shared" si="2"/>
        <v/>
      </c>
      <c r="R43" s="119" t="str">
        <f t="shared" si="3"/>
        <v/>
      </c>
      <c r="S43" s="119" t="str">
        <f t="shared" si="4"/>
        <v/>
      </c>
    </row>
    <row r="44" spans="1:19" ht="15" customHeight="1" x14ac:dyDescent="0.2">
      <c r="A44" s="120" t="str">
        <f>IF(Scoring!A44="","",Scoring!A44)</f>
        <v>PH</v>
      </c>
      <c r="B44" s="119" t="str">
        <f>IF(Scoring!B44="","",Scoring!B44)</f>
        <v>Parker-Hannifin Corporation</v>
      </c>
      <c r="C44" s="120" t="str">
        <f>IF(Scoring!AG44="","",IF(OR(Scoring!AG44="STRONG BUY",Scoring!AG44="BUY"),"PASS","FAIL"))</f>
        <v/>
      </c>
      <c r="D44" s="120" t="str">
        <f>IF(Scoring!AH44="","",IF(Scoring!AH44="OK","PASS","FAIL"))</f>
        <v>PASS</v>
      </c>
      <c r="E44" s="120" t="str">
        <f>IF(Scoring!AI44="","",IF(Scoring!AI44="OK","PASS","FAIL — mandatory review required"))</f>
        <v>PASS</v>
      </c>
      <c r="F44" s="120"/>
      <c r="G44" s="120"/>
      <c r="H44" s="119" t="str">
        <f t="shared" si="0"/>
        <v/>
      </c>
      <c r="I44" s="120"/>
      <c r="J44" s="120"/>
      <c r="K44" s="215" t="str">
        <f t="shared" si="1"/>
        <v/>
      </c>
      <c r="L44" s="120" t="str">
        <f>IF('Implied-Return Calculator'!S45="","",'Implied-Return Calculator'!S45)</f>
        <v/>
      </c>
      <c r="M44" s="120" t="str">
        <f>IF('Implied-Return Calculator'!T45="","",'Implied-Return Calculator'!T45)</f>
        <v/>
      </c>
      <c r="N44" s="120" t="str">
        <f>IF('Implied-Return Calculator'!U45="","",'Implied-Return Calculator'!U45)</f>
        <v/>
      </c>
      <c r="O44" s="120"/>
      <c r="P44" s="120"/>
      <c r="Q44" s="215" t="str">
        <f t="shared" si="2"/>
        <v/>
      </c>
      <c r="R44" s="119" t="str">
        <f t="shared" si="3"/>
        <v/>
      </c>
      <c r="S44" s="119" t="str">
        <f t="shared" si="4"/>
        <v/>
      </c>
    </row>
    <row r="45" spans="1:19" ht="15" customHeight="1" x14ac:dyDescent="0.2">
      <c r="A45" s="120" t="str">
        <f>IF(Scoring!A45="","",Scoring!A45)</f>
        <v>ETN</v>
      </c>
      <c r="B45" s="119" t="str">
        <f>IF(Scoring!B45="","",Scoring!B45)</f>
        <v>Eaton Corporation plc</v>
      </c>
      <c r="C45" s="120" t="str">
        <f>IF(Scoring!AG45="","",IF(OR(Scoring!AG45="STRONG BUY",Scoring!AG45="BUY"),"PASS","FAIL"))</f>
        <v/>
      </c>
      <c r="D45" s="120" t="str">
        <f>IF(Scoring!AH45="","",IF(Scoring!AH45="OK","PASS","FAIL"))</f>
        <v>PASS</v>
      </c>
      <c r="E45" s="120" t="str">
        <f>IF(Scoring!AI45="","",IF(Scoring!AI45="OK","PASS","FAIL — mandatory review required"))</f>
        <v>PASS</v>
      </c>
      <c r="F45" s="120"/>
      <c r="G45" s="120"/>
      <c r="H45" s="119" t="str">
        <f t="shared" si="0"/>
        <v/>
      </c>
      <c r="I45" s="120"/>
      <c r="J45" s="120"/>
      <c r="K45" s="215" t="str">
        <f t="shared" si="1"/>
        <v/>
      </c>
      <c r="L45" s="120" t="str">
        <f>IF('Implied-Return Calculator'!S46="","",'Implied-Return Calculator'!S46)</f>
        <v/>
      </c>
      <c r="M45" s="120" t="str">
        <f>IF('Implied-Return Calculator'!T46="","",'Implied-Return Calculator'!T46)</f>
        <v/>
      </c>
      <c r="N45" s="120" t="str">
        <f>IF('Implied-Return Calculator'!U46="","",'Implied-Return Calculator'!U46)</f>
        <v/>
      </c>
      <c r="O45" s="120"/>
      <c r="P45" s="120"/>
      <c r="Q45" s="215" t="str">
        <f t="shared" si="2"/>
        <v/>
      </c>
      <c r="R45" s="119" t="str">
        <f t="shared" si="3"/>
        <v/>
      </c>
      <c r="S45" s="119" t="str">
        <f t="shared" si="4"/>
        <v/>
      </c>
    </row>
    <row r="46" spans="1:19" ht="15" customHeight="1" x14ac:dyDescent="0.2">
      <c r="A46" s="120" t="str">
        <f>IF(Scoring!A46="","",Scoring!A46)</f>
        <v>DIS</v>
      </c>
      <c r="B46" s="119" t="str">
        <f>IF(Scoring!B46="","",Scoring!B46)</f>
        <v>The Walt Disney Company</v>
      </c>
      <c r="C46" s="120" t="str">
        <f>IF(Scoring!AG46="","",IF(OR(Scoring!AG46="STRONG BUY",Scoring!AG46="BUY"),"PASS","FAIL"))</f>
        <v/>
      </c>
      <c r="D46" s="120" t="str">
        <f>IF(Scoring!AH46="","",IF(Scoring!AH46="OK","PASS","FAIL"))</f>
        <v>FAIL</v>
      </c>
      <c r="E46" s="120" t="str">
        <f>IF(Scoring!AI46="","",IF(Scoring!AI46="OK","PASS","FAIL — mandatory review required"))</f>
        <v>PASS</v>
      </c>
      <c r="F46" s="120"/>
      <c r="G46" s="120"/>
      <c r="H46" s="119" t="str">
        <f t="shared" si="0"/>
        <v/>
      </c>
      <c r="I46" s="120"/>
      <c r="J46" s="120"/>
      <c r="K46" s="215" t="str">
        <f t="shared" si="1"/>
        <v/>
      </c>
      <c r="L46" s="120" t="str">
        <f>IF('Implied-Return Calculator'!S47="","",'Implied-Return Calculator'!S47)</f>
        <v/>
      </c>
      <c r="M46" s="120" t="str">
        <f>IF('Implied-Return Calculator'!T47="","",'Implied-Return Calculator'!T47)</f>
        <v/>
      </c>
      <c r="N46" s="120" t="str">
        <f>IF('Implied-Return Calculator'!U47="","",'Implied-Return Calculator'!U47)</f>
        <v/>
      </c>
      <c r="O46" s="120"/>
      <c r="P46" s="120"/>
      <c r="Q46" s="215" t="str">
        <f t="shared" si="2"/>
        <v/>
      </c>
      <c r="R46" s="119" t="str">
        <f t="shared" si="3"/>
        <v/>
      </c>
      <c r="S46" s="119" t="str">
        <f t="shared" si="4"/>
        <v/>
      </c>
    </row>
    <row r="47" spans="1:19" ht="15" customHeight="1" x14ac:dyDescent="0.2">
      <c r="A47" s="120" t="str">
        <f>IF(Scoring!A47="","",Scoring!A47)</f>
        <v>NFLX</v>
      </c>
      <c r="B47" s="119" t="str">
        <f>IF(Scoring!B47="","",Scoring!B47)</f>
        <v>Netflix, Inc.</v>
      </c>
      <c r="C47" s="120" t="str">
        <f>IF(Scoring!AG47="","",IF(OR(Scoring!AG47="STRONG BUY",Scoring!AG47="BUY"),"PASS","FAIL"))</f>
        <v>PASS</v>
      </c>
      <c r="D47" s="120" t="str">
        <f>IF(Scoring!AH47="","",IF(Scoring!AH47="OK","PASS","FAIL"))</f>
        <v>PASS</v>
      </c>
      <c r="E47" s="120" t="str">
        <f>IF(Scoring!AI47="","",IF(Scoring!AI47="OK","PASS","FAIL — mandatory review required"))</f>
        <v>PASS</v>
      </c>
      <c r="F47" s="120"/>
      <c r="G47" s="120"/>
      <c r="H47" s="119" t="str">
        <f t="shared" si="0"/>
        <v/>
      </c>
      <c r="I47" s="120"/>
      <c r="J47" s="120"/>
      <c r="K47" s="215" t="str">
        <f t="shared" si="1"/>
        <v/>
      </c>
      <c r="L47" s="120" t="str">
        <f>IF('Implied-Return Calculator'!S48="","",'Implied-Return Calculator'!S48)</f>
        <v/>
      </c>
      <c r="M47" s="120" t="str">
        <f>IF('Implied-Return Calculator'!T48="","",'Implied-Return Calculator'!T48)</f>
        <v/>
      </c>
      <c r="N47" s="120" t="str">
        <f>IF('Implied-Return Calculator'!U48="","",'Implied-Return Calculator'!U48)</f>
        <v/>
      </c>
      <c r="O47" s="120"/>
      <c r="P47" s="120"/>
      <c r="Q47" s="215" t="str">
        <f t="shared" si="2"/>
        <v/>
      </c>
      <c r="R47" s="119" t="str">
        <f t="shared" si="3"/>
        <v/>
      </c>
      <c r="S47" s="119" t="str">
        <f t="shared" si="4"/>
        <v/>
      </c>
    </row>
    <row r="48" spans="1:19" x14ac:dyDescent="0.2">
      <c r="K48" s="121"/>
      <c r="Q48" s="121"/>
    </row>
    <row r="49" spans="11:17" x14ac:dyDescent="0.2">
      <c r="K49" s="121"/>
      <c r="Q49" s="121"/>
    </row>
    <row r="50" spans="11:17" x14ac:dyDescent="0.2">
      <c r="K50" s="121"/>
      <c r="Q50" s="121"/>
    </row>
    <row r="51" spans="11:17" x14ac:dyDescent="0.2">
      <c r="K51" s="121"/>
      <c r="Q51" s="121"/>
    </row>
    <row r="52" spans="11:17" x14ac:dyDescent="0.2">
      <c r="K52" s="121"/>
      <c r="Q52" s="121"/>
    </row>
    <row r="53" spans="11:17" x14ac:dyDescent="0.2">
      <c r="K53" s="121"/>
      <c r="Q53" s="121"/>
    </row>
    <row r="54" spans="11:17" x14ac:dyDescent="0.2">
      <c r="K54" s="121"/>
      <c r="Q54" s="121"/>
    </row>
    <row r="55" spans="11:17" x14ac:dyDescent="0.2">
      <c r="K55" s="121"/>
      <c r="Q55" s="121"/>
    </row>
    <row r="56" spans="11:17" x14ac:dyDescent="0.2">
      <c r="K56" s="121"/>
      <c r="Q56" s="121"/>
    </row>
    <row r="57" spans="11:17" x14ac:dyDescent="0.2">
      <c r="K57" s="121"/>
      <c r="Q57" s="121"/>
    </row>
    <row r="58" spans="11:17" x14ac:dyDescent="0.2">
      <c r="K58" s="121"/>
      <c r="Q58" s="121"/>
    </row>
    <row r="59" spans="11:17" x14ac:dyDescent="0.2">
      <c r="K59" s="121"/>
      <c r="Q59" s="121"/>
    </row>
    <row r="60" spans="11:17" x14ac:dyDescent="0.2">
      <c r="K60" s="121"/>
      <c r="Q60" s="121"/>
    </row>
    <row r="61" spans="11:17" x14ac:dyDescent="0.2">
      <c r="K61" s="121"/>
      <c r="Q61" s="121"/>
    </row>
    <row r="62" spans="11:17" x14ac:dyDescent="0.2">
      <c r="K62" s="121"/>
      <c r="Q62" s="121"/>
    </row>
    <row r="63" spans="11:17" x14ac:dyDescent="0.2">
      <c r="K63" s="121"/>
      <c r="Q63" s="121"/>
    </row>
    <row r="64" spans="11:17" x14ac:dyDescent="0.2">
      <c r="K64" s="121"/>
      <c r="Q64" s="121"/>
    </row>
    <row r="65" spans="11:17" x14ac:dyDescent="0.2">
      <c r="K65" s="121"/>
      <c r="Q65" s="121"/>
    </row>
    <row r="66" spans="11:17" x14ac:dyDescent="0.2">
      <c r="K66" s="121"/>
      <c r="Q66" s="121"/>
    </row>
  </sheetData>
  <conditionalFormatting sqref="R3:R122">
    <cfRule type="containsText" dxfId="26" priority="7" operator="containsText" text="yes">
      <formula>NOT(ISERROR(SEARCH("yes",R3)))</formula>
    </cfRule>
  </conditionalFormatting>
  <conditionalFormatting sqref="L3:M66">
    <cfRule type="containsText" dxfId="25" priority="5" operator="containsText" text="pass">
      <formula>NOT(ISERROR(SEARCH("pass",L3)))</formula>
    </cfRule>
    <cfRule type="containsText" dxfId="24" priority="6" operator="containsText" text="fail">
      <formula>NOT(ISERROR(SEARCH("fail",L3)))</formula>
    </cfRule>
  </conditionalFormatting>
  <conditionalFormatting sqref="Q3:Q66">
    <cfRule type="containsText" dxfId="23" priority="3" operator="containsText" text="pass">
      <formula>NOT(ISERROR(SEARCH("pass",Q3)))</formula>
    </cfRule>
    <cfRule type="containsText" dxfId="22" priority="4" operator="containsText" text="fail">
      <formula>NOT(ISERROR(SEARCH("fail",Q3)))</formula>
    </cfRule>
  </conditionalFormatting>
  <conditionalFormatting sqref="K3:K66">
    <cfRule type="containsText" dxfId="20" priority="1" operator="containsText" text="pass">
      <formula>NOT(ISERROR(SEARCH("pass",K3)))</formula>
    </cfRule>
    <cfRule type="containsText" dxfId="19" priority="2" operator="containsText" text="fail">
      <formula>NOT(ISERROR(SEARCH("fail",K3)))</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2"/>
  <sheetViews>
    <sheetView showGridLines="0" zoomScaleNormal="100" workbookViewId="0">
      <pane ySplit="2" topLeftCell="A3" activePane="bottomLeft" state="frozen"/>
      <selection pane="bottomLeft" activeCell="N26" sqref="N26"/>
    </sheetView>
  </sheetViews>
  <sheetFormatPr baseColWidth="10" defaultColWidth="8.6640625" defaultRowHeight="15" x14ac:dyDescent="0.2"/>
  <cols>
    <col min="1" max="1" width="10" customWidth="1"/>
    <col min="2" max="2" width="20" style="121" customWidth="1"/>
    <col min="3" max="3" width="9.33203125" customWidth="1"/>
    <col min="4" max="4" width="13" customWidth="1"/>
    <col min="5" max="5" width="15" customWidth="1"/>
    <col min="6" max="6" width="6.33203125" customWidth="1"/>
    <col min="7" max="8" width="11" customWidth="1"/>
    <col min="9" max="9" width="12" customWidth="1"/>
  </cols>
  <sheetData>
    <row r="1" spans="1:9" ht="42" customHeight="1" x14ac:dyDescent="0.2">
      <c r="A1" s="216" t="s">
        <v>432</v>
      </c>
      <c r="B1" s="216"/>
      <c r="C1" s="216"/>
      <c r="D1" s="216"/>
      <c r="E1" s="216"/>
      <c r="F1" s="216"/>
      <c r="G1" s="216"/>
      <c r="H1" s="216"/>
      <c r="I1" s="216"/>
    </row>
    <row r="2" spans="1:9" ht="25.5" customHeight="1" x14ac:dyDescent="0.2">
      <c r="A2" s="98" t="s">
        <v>81</v>
      </c>
      <c r="B2" s="98" t="s">
        <v>287</v>
      </c>
      <c r="C2" s="98" t="s">
        <v>433</v>
      </c>
      <c r="D2" s="98" t="s">
        <v>434</v>
      </c>
      <c r="E2" s="98" t="s">
        <v>435</v>
      </c>
      <c r="F2" s="98" t="s">
        <v>436</v>
      </c>
      <c r="G2" s="98" t="s">
        <v>437</v>
      </c>
      <c r="H2" s="98" t="s">
        <v>438</v>
      </c>
      <c r="I2" s="98" t="s">
        <v>439</v>
      </c>
    </row>
    <row r="3" spans="1:9" ht="15" customHeight="1" x14ac:dyDescent="0.2">
      <c r="A3" s="102" t="s">
        <v>277</v>
      </c>
      <c r="B3" s="100" t="s">
        <v>409</v>
      </c>
      <c r="C3" s="122">
        <v>97.5</v>
      </c>
      <c r="D3" s="107">
        <v>8644982</v>
      </c>
      <c r="E3" s="123">
        <v>168712.37222399999</v>
      </c>
      <c r="F3" s="124">
        <v>31.451613999999999</v>
      </c>
      <c r="G3" s="122">
        <v>81.97</v>
      </c>
      <c r="H3" s="122">
        <v>135.24</v>
      </c>
      <c r="I3" s="109">
        <v>2.58</v>
      </c>
    </row>
    <row r="4" spans="1:9" ht="15" customHeight="1" x14ac:dyDescent="0.2">
      <c r="A4" s="102" t="s">
        <v>95</v>
      </c>
      <c r="B4" s="100" t="s">
        <v>96</v>
      </c>
      <c r="C4" s="122">
        <v>237.69</v>
      </c>
      <c r="D4" s="107">
        <v>3115208</v>
      </c>
      <c r="E4" s="123">
        <v>92508.946431999997</v>
      </c>
      <c r="F4" s="124">
        <v>13.263951</v>
      </c>
      <c r="G4" s="122">
        <v>190.12</v>
      </c>
      <c r="H4" s="122">
        <v>363.7</v>
      </c>
      <c r="I4" s="109"/>
    </row>
    <row r="5" spans="1:9" ht="15" customHeight="1" x14ac:dyDescent="0.2">
      <c r="A5" s="102" t="s">
        <v>100</v>
      </c>
      <c r="B5" s="100" t="s">
        <v>101</v>
      </c>
      <c r="C5" s="122">
        <v>207.35</v>
      </c>
      <c r="D5" s="107">
        <v>4113045</v>
      </c>
      <c r="E5" s="123">
        <v>261514.952704</v>
      </c>
      <c r="F5" s="124">
        <v>65.825389999999999</v>
      </c>
      <c r="G5" s="122">
        <v>114.52</v>
      </c>
      <c r="H5" s="122">
        <v>214.89</v>
      </c>
      <c r="I5" s="109"/>
    </row>
    <row r="6" spans="1:9" ht="15" customHeight="1" x14ac:dyDescent="0.2">
      <c r="A6" s="102" t="s">
        <v>102</v>
      </c>
      <c r="B6" s="100" t="s">
        <v>103</v>
      </c>
      <c r="C6" s="122">
        <v>1867.31</v>
      </c>
      <c r="D6" s="107">
        <v>1345027</v>
      </c>
      <c r="E6" s="123">
        <v>717233.78278400004</v>
      </c>
      <c r="F6" s="124">
        <v>64.927329999999998</v>
      </c>
      <c r="G6" s="122">
        <v>935.41</v>
      </c>
      <c r="H6" s="122">
        <v>1999.96</v>
      </c>
      <c r="I6" s="109">
        <v>0.49</v>
      </c>
    </row>
    <row r="7" spans="1:9" ht="15" customHeight="1" x14ac:dyDescent="0.2">
      <c r="A7" s="102" t="s">
        <v>165</v>
      </c>
      <c r="B7" s="100" t="s">
        <v>166</v>
      </c>
      <c r="C7" s="122">
        <v>355.14</v>
      </c>
      <c r="D7" s="107">
        <v>24639562</v>
      </c>
      <c r="E7" s="123">
        <v>1695307.0059519999</v>
      </c>
      <c r="F7" s="124">
        <v>45.240769999999998</v>
      </c>
      <c r="G7" s="122">
        <v>289.95999999999998</v>
      </c>
      <c r="H7" s="122">
        <v>495</v>
      </c>
      <c r="I7" s="109">
        <v>0.73</v>
      </c>
    </row>
    <row r="8" spans="1:9" ht="15" customHeight="1" x14ac:dyDescent="0.2">
      <c r="A8" s="102" t="s">
        <v>156</v>
      </c>
      <c r="B8" s="100" t="s">
        <v>157</v>
      </c>
      <c r="C8" s="122">
        <v>120.03</v>
      </c>
      <c r="D8" s="107">
        <v>1577333</v>
      </c>
      <c r="E8" s="123"/>
      <c r="F8" s="124">
        <v>11.920055</v>
      </c>
      <c r="G8" s="122">
        <v>93.87</v>
      </c>
      <c r="H8" s="122">
        <v>129.05000000000001</v>
      </c>
      <c r="I8" s="109">
        <v>1.25</v>
      </c>
    </row>
    <row r="9" spans="1:9" ht="15" customHeight="1" x14ac:dyDescent="0.2">
      <c r="A9" s="102" t="s">
        <v>231</v>
      </c>
      <c r="B9" s="100" t="s">
        <v>387</v>
      </c>
      <c r="C9" s="122">
        <v>32.36</v>
      </c>
      <c r="D9" s="107">
        <v>15057494</v>
      </c>
      <c r="E9" s="123">
        <v>40948.928511999999</v>
      </c>
      <c r="F9" s="124">
        <v>29.962962999999998</v>
      </c>
      <c r="G9" s="122">
        <v>28.04</v>
      </c>
      <c r="H9" s="122">
        <v>42.82</v>
      </c>
      <c r="I9" s="109"/>
    </row>
    <row r="10" spans="1:9" ht="15" customHeight="1" x14ac:dyDescent="0.2">
      <c r="A10" s="102" t="s">
        <v>233</v>
      </c>
      <c r="B10" s="100" t="s">
        <v>358</v>
      </c>
      <c r="C10" s="122">
        <v>920.65</v>
      </c>
      <c r="D10" s="107">
        <v>2025566</v>
      </c>
      <c r="E10" s="123">
        <v>408092.83584000001</v>
      </c>
      <c r="F10" s="124">
        <v>44.454371999999999</v>
      </c>
      <c r="G10" s="122">
        <v>844.06</v>
      </c>
      <c r="H10" s="122">
        <v>1096.5</v>
      </c>
      <c r="I10" s="109">
        <v>0.64</v>
      </c>
    </row>
    <row r="11" spans="1:9" ht="15" customHeight="1" x14ac:dyDescent="0.2">
      <c r="A11" s="102" t="s">
        <v>104</v>
      </c>
      <c r="B11" s="100" t="s">
        <v>105</v>
      </c>
      <c r="C11" s="122">
        <v>270.04000000000002</v>
      </c>
      <c r="D11" s="107">
        <v>5857040</v>
      </c>
      <c r="E11" s="123">
        <v>276503.36358399998</v>
      </c>
      <c r="F11" s="124">
        <v>4500.6670000000004</v>
      </c>
      <c r="G11" s="122">
        <v>85.68</v>
      </c>
      <c r="H11" s="122">
        <v>273.5351</v>
      </c>
      <c r="I11" s="109"/>
    </row>
    <row r="12" spans="1:9" ht="15" customHeight="1" x14ac:dyDescent="0.2">
      <c r="A12" s="102" t="s">
        <v>238</v>
      </c>
      <c r="B12" s="100" t="s">
        <v>389</v>
      </c>
      <c r="C12" s="122">
        <v>297.61500000000001</v>
      </c>
      <c r="D12" s="107">
        <v>579133</v>
      </c>
      <c r="E12" s="123">
        <v>9845.6207360000008</v>
      </c>
      <c r="F12" s="124">
        <v>16.86204</v>
      </c>
      <c r="G12" s="122">
        <v>282</v>
      </c>
      <c r="H12" s="122">
        <v>442.35</v>
      </c>
      <c r="I12" s="109">
        <v>2.67</v>
      </c>
    </row>
    <row r="13" spans="1:9" ht="15" customHeight="1" x14ac:dyDescent="0.2">
      <c r="A13" s="102" t="s">
        <v>126</v>
      </c>
      <c r="B13" s="100" t="s">
        <v>127</v>
      </c>
      <c r="C13" s="122">
        <v>153.05000000000001</v>
      </c>
      <c r="D13" s="107">
        <v>307298</v>
      </c>
      <c r="E13" s="123"/>
      <c r="F13" s="124">
        <v>14.554879</v>
      </c>
      <c r="G13" s="122">
        <v>137.16</v>
      </c>
      <c r="H13" s="122">
        <v>167.06</v>
      </c>
      <c r="I13" s="109">
        <v>3.24</v>
      </c>
    </row>
    <row r="14" spans="1:9" ht="15" customHeight="1" x14ac:dyDescent="0.2">
      <c r="A14" s="102" t="s">
        <v>241</v>
      </c>
      <c r="B14" s="100" t="s">
        <v>368</v>
      </c>
      <c r="C14" s="122">
        <v>20.47</v>
      </c>
      <c r="D14" s="107">
        <v>11114908</v>
      </c>
      <c r="E14" s="123">
        <v>70484.336639999994</v>
      </c>
      <c r="F14" s="124">
        <v>14.020547000000001</v>
      </c>
      <c r="G14" s="122">
        <v>16.18</v>
      </c>
      <c r="H14" s="122">
        <v>21.84</v>
      </c>
      <c r="I14" s="109">
        <v>6.64</v>
      </c>
    </row>
    <row r="15" spans="1:9" ht="15" customHeight="1" x14ac:dyDescent="0.2">
      <c r="A15" s="102" t="s">
        <v>243</v>
      </c>
      <c r="B15" s="100" t="s">
        <v>404</v>
      </c>
      <c r="C15" s="122">
        <v>436.11</v>
      </c>
      <c r="D15" s="107">
        <v>2088721</v>
      </c>
      <c r="E15" s="123">
        <v>169385.11564800001</v>
      </c>
      <c r="F15" s="124">
        <v>44.455654000000003</v>
      </c>
      <c r="G15" s="122">
        <v>311.92</v>
      </c>
      <c r="H15" s="122">
        <v>478</v>
      </c>
      <c r="I15" s="109">
        <v>1.01</v>
      </c>
    </row>
    <row r="16" spans="1:9" ht="15" customHeight="1" x14ac:dyDescent="0.2">
      <c r="A16" s="102" t="s">
        <v>245</v>
      </c>
      <c r="B16" s="100" t="s">
        <v>400</v>
      </c>
      <c r="C16" s="122">
        <v>72.77</v>
      </c>
      <c r="D16" s="107">
        <v>1975132</v>
      </c>
      <c r="E16" s="123">
        <v>6678.9570560000002</v>
      </c>
      <c r="F16" s="124">
        <v>23.028479000000001</v>
      </c>
      <c r="G16" s="122">
        <v>44</v>
      </c>
      <c r="H16" s="122">
        <v>87.974000000000004</v>
      </c>
      <c r="I16" s="109"/>
    </row>
    <row r="17" spans="1:9" ht="15" customHeight="1" x14ac:dyDescent="0.2">
      <c r="A17" s="102" t="s">
        <v>140</v>
      </c>
      <c r="B17" s="100" t="s">
        <v>141</v>
      </c>
      <c r="C17" s="122">
        <v>309.56</v>
      </c>
      <c r="D17" s="107">
        <v>4148627</v>
      </c>
      <c r="E17" s="123">
        <v>321187.84000000003</v>
      </c>
      <c r="F17" s="124">
        <v>36.504719999999999</v>
      </c>
      <c r="G17" s="122">
        <v>268.91000000000003</v>
      </c>
      <c r="H17" s="122">
        <v>388.84</v>
      </c>
      <c r="I17" s="109">
        <v>0.61</v>
      </c>
    </row>
    <row r="18" spans="1:9" ht="15" customHeight="1" x14ac:dyDescent="0.2">
      <c r="A18" s="102" t="s">
        <v>162</v>
      </c>
      <c r="B18" s="100" t="s">
        <v>163</v>
      </c>
      <c r="C18" s="122">
        <v>69.42</v>
      </c>
      <c r="D18" s="107">
        <v>273443</v>
      </c>
      <c r="E18" s="123"/>
      <c r="F18" s="124">
        <v>24.468174000000001</v>
      </c>
      <c r="G18" s="122">
        <v>63.24</v>
      </c>
      <c r="H18" s="122">
        <v>70.23</v>
      </c>
      <c r="I18" s="109">
        <v>0.62</v>
      </c>
    </row>
    <row r="19" spans="1:9" ht="15" customHeight="1" x14ac:dyDescent="0.2">
      <c r="A19" s="102" t="s">
        <v>187</v>
      </c>
      <c r="B19" s="100" t="s">
        <v>188</v>
      </c>
      <c r="C19" s="122">
        <v>56.1</v>
      </c>
      <c r="D19" s="107">
        <v>4897921</v>
      </c>
      <c r="E19" s="123"/>
      <c r="F19" s="124">
        <v>24.939985</v>
      </c>
      <c r="G19" s="122">
        <v>55.1</v>
      </c>
      <c r="H19" s="122">
        <v>59.9</v>
      </c>
      <c r="I19" s="109">
        <v>7.97</v>
      </c>
    </row>
    <row r="20" spans="1:9" ht="15" customHeight="1" x14ac:dyDescent="0.2">
      <c r="A20" s="102" t="s">
        <v>152</v>
      </c>
      <c r="B20" s="100" t="s">
        <v>153</v>
      </c>
      <c r="C20" s="122">
        <v>61.04</v>
      </c>
      <c r="D20" s="107">
        <v>7333590</v>
      </c>
      <c r="E20" s="123">
        <v>225986.3</v>
      </c>
      <c r="F20" s="124">
        <v>29.525686</v>
      </c>
      <c r="G20" s="122">
        <v>53.51</v>
      </c>
      <c r="H20" s="122">
        <v>61.72</v>
      </c>
      <c r="I20" s="109">
        <v>10.84</v>
      </c>
    </row>
    <row r="21" spans="1:9" ht="15" customHeight="1" x14ac:dyDescent="0.2">
      <c r="A21" s="102" t="s">
        <v>275</v>
      </c>
      <c r="B21" s="100" t="s">
        <v>408</v>
      </c>
      <c r="C21" s="122">
        <v>54.33</v>
      </c>
      <c r="D21" s="107">
        <v>1354391</v>
      </c>
      <c r="E21" s="123">
        <v>5492.9822720000002</v>
      </c>
      <c r="F21" s="124">
        <v>61.738639999999997</v>
      </c>
      <c r="G21" s="122">
        <v>32.549999999999997</v>
      </c>
      <c r="H21" s="122">
        <v>77.680000000000007</v>
      </c>
      <c r="I21" s="109">
        <v>3.61</v>
      </c>
    </row>
    <row r="22" spans="1:9" ht="15" customHeight="1" x14ac:dyDescent="0.2">
      <c r="A22" s="102" t="s">
        <v>106</v>
      </c>
      <c r="B22" s="100" t="s">
        <v>107</v>
      </c>
      <c r="C22" s="122">
        <v>206.89</v>
      </c>
      <c r="D22" s="107">
        <v>7356292</v>
      </c>
      <c r="E22" s="123">
        <v>269992.78796799999</v>
      </c>
      <c r="F22" s="124">
        <v>56.527320000000003</v>
      </c>
      <c r="G22" s="122">
        <v>98.096999999999994</v>
      </c>
      <c r="H22" s="122">
        <v>307.37</v>
      </c>
      <c r="I22" s="109">
        <v>0.44</v>
      </c>
    </row>
    <row r="23" spans="1:9" ht="15" customHeight="1" x14ac:dyDescent="0.2">
      <c r="A23" s="102" t="s">
        <v>252</v>
      </c>
      <c r="B23" s="100" t="s">
        <v>378</v>
      </c>
      <c r="C23" s="122">
        <v>479.48</v>
      </c>
      <c r="D23" s="107">
        <v>2534284</v>
      </c>
      <c r="E23" s="123">
        <v>221030.776832</v>
      </c>
      <c r="F23" s="124">
        <v>30.954165</v>
      </c>
      <c r="G23" s="122">
        <v>387.78</v>
      </c>
      <c r="H23" s="122">
        <v>548.20000000000005</v>
      </c>
      <c r="I23" s="109">
        <v>1.33</v>
      </c>
    </row>
    <row r="24" spans="1:9" ht="15" customHeight="1" x14ac:dyDescent="0.2">
      <c r="A24" s="102" t="s">
        <v>136</v>
      </c>
      <c r="B24" s="100" t="s">
        <v>137</v>
      </c>
      <c r="C24" s="122">
        <v>51.17</v>
      </c>
      <c r="D24" s="107">
        <v>347350</v>
      </c>
      <c r="E24" s="123"/>
      <c r="F24" s="124">
        <v>17.65314</v>
      </c>
      <c r="G24" s="122">
        <v>49.15</v>
      </c>
      <c r="H24" s="122">
        <v>58.47</v>
      </c>
      <c r="I24" s="109"/>
    </row>
    <row r="25" spans="1:9" ht="15" customHeight="1" x14ac:dyDescent="0.2">
      <c r="A25" s="102" t="s">
        <v>108</v>
      </c>
      <c r="B25" s="100" t="s">
        <v>109</v>
      </c>
      <c r="C25" s="122">
        <v>1074.8900000000001</v>
      </c>
      <c r="D25" s="107">
        <v>27337514</v>
      </c>
      <c r="E25" s="123">
        <v>1213973.397504</v>
      </c>
      <c r="F25" s="124">
        <v>14.461052</v>
      </c>
      <c r="G25" s="122">
        <v>179.61</v>
      </c>
      <c r="H25" s="122">
        <v>1255</v>
      </c>
      <c r="I25" s="109">
        <v>0.06</v>
      </c>
    </row>
    <row r="26" spans="1:9" ht="15" customHeight="1" x14ac:dyDescent="0.2">
      <c r="A26" s="102" t="s">
        <v>143</v>
      </c>
      <c r="B26" s="100" t="s">
        <v>144</v>
      </c>
      <c r="C26" s="122">
        <v>67.06</v>
      </c>
      <c r="D26" s="107">
        <v>38672123</v>
      </c>
      <c r="E26" s="123">
        <v>279233.78995200002</v>
      </c>
      <c r="F26" s="124">
        <v>21.088049000000002</v>
      </c>
      <c r="G26" s="122">
        <v>65.08</v>
      </c>
      <c r="H26" s="122">
        <v>124.86</v>
      </c>
      <c r="I26" s="109"/>
    </row>
    <row r="27" spans="1:9" ht="15" customHeight="1" x14ac:dyDescent="0.2">
      <c r="A27" s="102" t="s">
        <v>110</v>
      </c>
      <c r="B27" s="100" t="s">
        <v>111</v>
      </c>
      <c r="C27" s="122">
        <v>233.95</v>
      </c>
      <c r="D27" s="107">
        <v>135167817</v>
      </c>
      <c r="E27" s="123">
        <v>5649190.6170880003</v>
      </c>
      <c r="F27" s="124">
        <v>29.576487</v>
      </c>
      <c r="G27" s="122">
        <v>164.27</v>
      </c>
      <c r="H27" s="122">
        <v>237.88</v>
      </c>
      <c r="I27" s="109">
        <v>0.43</v>
      </c>
    </row>
    <row r="28" spans="1:9" ht="15" customHeight="1" x14ac:dyDescent="0.2">
      <c r="A28" s="102" t="s">
        <v>263</v>
      </c>
      <c r="B28" s="100" t="s">
        <v>386</v>
      </c>
      <c r="C28" s="122">
        <v>144.91</v>
      </c>
      <c r="D28" s="107">
        <v>6219527</v>
      </c>
      <c r="E28" s="123">
        <v>336578.47807999997</v>
      </c>
      <c r="F28" s="124">
        <v>21.889728999999999</v>
      </c>
      <c r="G28" s="122">
        <v>137.62</v>
      </c>
      <c r="H28" s="122">
        <v>167.25</v>
      </c>
      <c r="I28" s="109">
        <v>3</v>
      </c>
    </row>
    <row r="29" spans="1:9" ht="15" customHeight="1" x14ac:dyDescent="0.2">
      <c r="A29" s="102" t="s">
        <v>265</v>
      </c>
      <c r="B29" s="100" t="s">
        <v>402</v>
      </c>
      <c r="C29" s="122">
        <v>972.55</v>
      </c>
      <c r="D29" s="107">
        <v>343039</v>
      </c>
      <c r="E29" s="123">
        <v>122650.632192</v>
      </c>
      <c r="F29" s="124">
        <v>34.148524999999999</v>
      </c>
      <c r="G29" s="122">
        <v>715.37</v>
      </c>
      <c r="H29" s="122">
        <v>1099.94</v>
      </c>
      <c r="I29" s="109">
        <v>0.82</v>
      </c>
    </row>
    <row r="30" spans="1:9" ht="15" customHeight="1" x14ac:dyDescent="0.2">
      <c r="A30" s="102" t="s">
        <v>170</v>
      </c>
      <c r="B30" s="100" t="s">
        <v>344</v>
      </c>
      <c r="C30" s="122">
        <v>128.91</v>
      </c>
      <c r="D30" s="107">
        <v>3811300</v>
      </c>
      <c r="E30" s="123">
        <v>125312.30310400001</v>
      </c>
      <c r="F30" s="124">
        <v>28.646667000000001</v>
      </c>
      <c r="G30" s="122">
        <v>111.03</v>
      </c>
      <c r="H30" s="122">
        <v>153.35</v>
      </c>
      <c r="I30" s="109">
        <v>3.32</v>
      </c>
    </row>
    <row r="31" spans="1:9" ht="15" customHeight="1" x14ac:dyDescent="0.2">
      <c r="A31" s="102" t="s">
        <v>112</v>
      </c>
      <c r="B31" s="100" t="s">
        <v>113</v>
      </c>
      <c r="C31" s="122">
        <v>188.75</v>
      </c>
      <c r="D31" s="107">
        <v>17932108</v>
      </c>
      <c r="E31" s="123">
        <v>453577.27743999998</v>
      </c>
      <c r="F31" s="124">
        <v>161.32480000000001</v>
      </c>
      <c r="G31" s="122">
        <v>106.37</v>
      </c>
      <c r="H31" s="122">
        <v>207.52</v>
      </c>
      <c r="I31" s="109"/>
    </row>
    <row r="32" spans="1:9" ht="15" customHeight="1" x14ac:dyDescent="0.2">
      <c r="A32" s="102" t="s">
        <v>132</v>
      </c>
      <c r="B32" s="100" t="s">
        <v>133</v>
      </c>
      <c r="C32" s="122">
        <v>32.72</v>
      </c>
      <c r="D32" s="107">
        <v>20649814</v>
      </c>
      <c r="E32" s="123"/>
      <c r="F32" s="124">
        <v>18.057316</v>
      </c>
      <c r="G32" s="122">
        <v>26.32</v>
      </c>
      <c r="H32" s="122">
        <v>35.31</v>
      </c>
      <c r="I32" s="109">
        <v>3</v>
      </c>
    </row>
    <row r="33" spans="1:9" ht="15" customHeight="1" x14ac:dyDescent="0.2">
      <c r="A33" s="102" t="s">
        <v>279</v>
      </c>
      <c r="B33" s="100" t="s">
        <v>411</v>
      </c>
      <c r="C33" s="122">
        <v>48.74</v>
      </c>
      <c r="D33" s="107">
        <v>11141176</v>
      </c>
      <c r="E33" s="123">
        <v>72337.145856000003</v>
      </c>
      <c r="F33" s="124">
        <v>23.775611999999999</v>
      </c>
      <c r="G33" s="122">
        <v>31.64</v>
      </c>
      <c r="H33" s="122">
        <v>60.46</v>
      </c>
      <c r="I33" s="109">
        <v>2.42</v>
      </c>
    </row>
    <row r="34" spans="1:9" ht="15" customHeight="1" x14ac:dyDescent="0.2">
      <c r="A34" s="102" t="s">
        <v>138</v>
      </c>
      <c r="B34" s="100" t="s">
        <v>139</v>
      </c>
      <c r="C34" s="122">
        <v>153.22999999999999</v>
      </c>
      <c r="D34" s="107">
        <v>2110789</v>
      </c>
      <c r="E34" s="123">
        <v>100824.6</v>
      </c>
      <c r="F34" s="124">
        <v>28.292862</v>
      </c>
      <c r="G34" s="122">
        <v>107.24</v>
      </c>
      <c r="H34" s="122">
        <v>162.30000000000001</v>
      </c>
      <c r="I34" s="109">
        <v>0.71</v>
      </c>
    </row>
    <row r="35" spans="1:9" ht="15" customHeight="1" x14ac:dyDescent="0.2">
      <c r="A35" s="102" t="s">
        <v>114</v>
      </c>
      <c r="B35" s="100" t="s">
        <v>355</v>
      </c>
      <c r="C35" s="122">
        <v>472.78</v>
      </c>
      <c r="D35" s="107">
        <v>9722477</v>
      </c>
      <c r="E35" s="123">
        <v>2452061.159424</v>
      </c>
      <c r="F35" s="124">
        <v>35.334826999999997</v>
      </c>
      <c r="G35" s="122">
        <v>266.82</v>
      </c>
      <c r="H35" s="122">
        <v>479</v>
      </c>
      <c r="I35" s="109">
        <v>0.8</v>
      </c>
    </row>
    <row r="36" spans="1:9" ht="15" customHeight="1" x14ac:dyDescent="0.2">
      <c r="A36" s="102" t="s">
        <v>118</v>
      </c>
      <c r="B36" s="100" t="s">
        <v>119</v>
      </c>
      <c r="C36" s="122">
        <v>360.66</v>
      </c>
      <c r="D36" s="107">
        <v>3987848</v>
      </c>
      <c r="E36" s="123">
        <v>677086.95347199996</v>
      </c>
      <c r="F36" s="124">
        <v>30.668367</v>
      </c>
      <c r="G36" s="122">
        <v>293.89</v>
      </c>
      <c r="H36" s="122">
        <v>385.57</v>
      </c>
      <c r="I36" s="109">
        <v>0.74</v>
      </c>
    </row>
    <row r="37" spans="1:9" ht="15" customHeight="1" x14ac:dyDescent="0.2">
      <c r="A37" s="102" t="s">
        <v>281</v>
      </c>
      <c r="B37" s="100" t="s">
        <v>412</v>
      </c>
      <c r="C37" s="122">
        <v>273.33</v>
      </c>
      <c r="D37" s="107">
        <v>1077706</v>
      </c>
      <c r="E37" s="123">
        <v>44254.543872000002</v>
      </c>
      <c r="F37" s="124">
        <v>44.808197</v>
      </c>
      <c r="G37" s="122">
        <v>148.05000000000001</v>
      </c>
      <c r="H37" s="122">
        <v>310.5</v>
      </c>
      <c r="I37" s="109"/>
    </row>
    <row r="38" spans="1:9" ht="15" customHeight="1" x14ac:dyDescent="0.2">
      <c r="A38" s="102" t="s">
        <v>129</v>
      </c>
      <c r="B38" s="100" t="s">
        <v>130</v>
      </c>
      <c r="C38" s="122">
        <v>51.82</v>
      </c>
      <c r="D38" s="107">
        <v>3089053</v>
      </c>
      <c r="E38" s="123"/>
      <c r="F38" s="124">
        <v>16.458015</v>
      </c>
      <c r="G38" s="122">
        <v>36.56</v>
      </c>
      <c r="H38" s="122">
        <v>56.44</v>
      </c>
      <c r="I38" s="109">
        <v>1.01</v>
      </c>
    </row>
    <row r="39" spans="1:9" ht="15" customHeight="1" x14ac:dyDescent="0.2">
      <c r="A39" s="102" t="s">
        <v>116</v>
      </c>
      <c r="B39" s="100" t="s">
        <v>117</v>
      </c>
      <c r="C39" s="122">
        <v>252.18</v>
      </c>
      <c r="D39" s="107">
        <v>3336969</v>
      </c>
      <c r="E39" s="123">
        <v>97086.308351999993</v>
      </c>
      <c r="F39" s="124">
        <v>57.183674000000003</v>
      </c>
      <c r="G39" s="122">
        <v>147.82</v>
      </c>
      <c r="H39" s="122">
        <v>379.935</v>
      </c>
      <c r="I39" s="109">
        <v>0.1</v>
      </c>
    </row>
    <row r="40" spans="1:9" ht="15" customHeight="1" x14ac:dyDescent="0.2">
      <c r="A40" s="102" t="s">
        <v>167</v>
      </c>
      <c r="B40" s="100" t="s">
        <v>168</v>
      </c>
      <c r="C40" s="122">
        <v>504.73</v>
      </c>
      <c r="D40" s="107">
        <v>939658</v>
      </c>
      <c r="E40" s="123">
        <v>127929.335808</v>
      </c>
      <c r="F40" s="124">
        <v>29.413171999999999</v>
      </c>
      <c r="G40" s="122">
        <v>400.74</v>
      </c>
      <c r="H40" s="122">
        <v>560.25</v>
      </c>
      <c r="I40" s="109"/>
    </row>
    <row r="41" spans="1:9" ht="15" customHeight="1" x14ac:dyDescent="0.2">
      <c r="A41" s="102" t="s">
        <v>134</v>
      </c>
      <c r="B41" s="100" t="s">
        <v>135</v>
      </c>
      <c r="C41" s="122">
        <v>156.46</v>
      </c>
      <c r="D41" s="107">
        <v>1229990</v>
      </c>
      <c r="E41" s="123"/>
      <c r="F41" s="124">
        <v>19.653794999999999</v>
      </c>
      <c r="G41" s="122">
        <v>137.41999999999999</v>
      </c>
      <c r="H41" s="122">
        <v>167.61</v>
      </c>
      <c r="I41" s="109">
        <v>2.2200000000000002</v>
      </c>
    </row>
    <row r="42" spans="1:9" ht="15" customHeight="1" x14ac:dyDescent="0.2">
      <c r="A42" s="102" t="s">
        <v>273</v>
      </c>
      <c r="B42" s="100" t="s">
        <v>391</v>
      </c>
      <c r="C42" s="122">
        <v>136.12</v>
      </c>
      <c r="D42" s="107">
        <v>1751563</v>
      </c>
      <c r="E42" s="123">
        <v>37147.295744000003</v>
      </c>
      <c r="F42" s="124">
        <v>17.143575999999999</v>
      </c>
      <c r="G42" s="122">
        <v>134.26</v>
      </c>
      <c r="H42" s="122">
        <v>170.14</v>
      </c>
      <c r="I42" s="109">
        <v>2.2000000000000002</v>
      </c>
    </row>
  </sheetData>
  <autoFilter ref="A2:I44" xr:uid="{00000000-0009-0000-0000-000008000000}"/>
  <mergeCells count="1">
    <mergeCell ref="A1:I1"/>
  </mergeCell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T162"/>
  <sheetViews>
    <sheetView showGridLines="0" topLeftCell="A199" zoomScaleNormal="100" workbookViewId="0">
      <selection activeCell="V7" sqref="V7"/>
    </sheetView>
  </sheetViews>
  <sheetFormatPr baseColWidth="10" defaultColWidth="8.6640625" defaultRowHeight="15" x14ac:dyDescent="0.2"/>
  <cols>
    <col min="1" max="1" width="10.83203125" customWidth="1"/>
    <col min="2" max="21" width="5.6640625" customWidth="1"/>
    <col min="22" max="22" width="4.1640625" customWidth="1"/>
    <col min="23" max="40" width="10.1640625" customWidth="1"/>
    <col min="42" max="46" width="4.1640625" customWidth="1"/>
  </cols>
  <sheetData>
    <row r="1" spans="1:46" ht="27" customHeight="1" x14ac:dyDescent="0.2">
      <c r="A1" s="180" t="s">
        <v>440</v>
      </c>
      <c r="B1" s="180"/>
      <c r="C1" s="180"/>
      <c r="D1" s="180"/>
      <c r="E1" s="180"/>
      <c r="F1" s="180"/>
      <c r="G1" s="180"/>
      <c r="H1" s="180"/>
      <c r="I1" s="180"/>
      <c r="J1" s="180"/>
      <c r="K1" s="180"/>
      <c r="L1" s="180"/>
      <c r="M1" s="180"/>
      <c r="N1" s="180"/>
      <c r="O1" s="180"/>
      <c r="P1" s="180"/>
      <c r="Q1" s="180"/>
      <c r="R1" s="180"/>
      <c r="S1" s="180"/>
      <c r="T1" s="180"/>
      <c r="U1" s="180"/>
    </row>
    <row r="2" spans="1:46" ht="15" customHeight="1" x14ac:dyDescent="0.2">
      <c r="A2" s="98" t="s">
        <v>285</v>
      </c>
      <c r="B2" s="98" t="str">
        <f>'Price History'!B2</f>
        <v>ADBE</v>
      </c>
      <c r="C2" s="98" t="str">
        <f>'Price History'!C2</f>
        <v>ANET</v>
      </c>
      <c r="D2" s="98" t="str">
        <f>'Price History'!D2</f>
        <v>ASML</v>
      </c>
      <c r="E2" s="98" t="str">
        <f>'Price History'!E2</f>
        <v>AVGO</v>
      </c>
      <c r="F2" s="98" t="str">
        <f>'Price History'!F2</f>
        <v>CRWD</v>
      </c>
      <c r="G2" s="98" t="str">
        <f>'Price History'!G2</f>
        <v>KLAC</v>
      </c>
      <c r="H2" s="98" t="str">
        <f>'Price History'!H2</f>
        <v>MU</v>
      </c>
      <c r="I2" s="98" t="str">
        <f>'Price History'!I2</f>
        <v>NVDA</v>
      </c>
      <c r="J2" s="98" t="str">
        <f>'Price History'!J2</f>
        <v>PLD</v>
      </c>
      <c r="K2" s="98" t="str">
        <f>'Price History'!K2</f>
        <v>PLTR</v>
      </c>
      <c r="L2" s="98" t="str">
        <f>'Price History'!L2</f>
        <v>TSM</v>
      </c>
      <c r="M2" s="98" t="str">
        <f>'Price History'!M2</f>
        <v>VRT</v>
      </c>
      <c r="N2" s="98" t="str">
        <f>'Price History'!N2</f>
        <v>VRTX</v>
      </c>
      <c r="O2" s="98" t="str">
        <f>'Price History'!O2</f>
        <v>AVUV</v>
      </c>
      <c r="P2" s="98" t="str">
        <f>'Price History'!P2</f>
        <v>DVY</v>
      </c>
      <c r="Q2" s="98" t="str">
        <f>'Price History'!Q2</f>
        <v>HELO</v>
      </c>
      <c r="R2" s="98" t="str">
        <f>'Price History'!R2</f>
        <v>JEPQ</v>
      </c>
      <c r="S2" s="98" t="str">
        <f>'Price History'!S2</f>
        <v>SPMO</v>
      </c>
      <c r="T2" s="98" t="str">
        <f>'Price History'!T2</f>
        <v>VFLO</v>
      </c>
      <c r="U2" s="98" t="str">
        <f>'Price History'!U2</f>
        <v>SCHD</v>
      </c>
      <c r="V2" s="126" t="str">
        <f>'Price History'!V2</f>
        <v>V</v>
      </c>
      <c r="W2" s="127" t="s">
        <v>441</v>
      </c>
      <c r="X2" s="127" t="s">
        <v>442</v>
      </c>
      <c r="Y2" s="127" t="s">
        <v>443</v>
      </c>
      <c r="Z2" s="127" t="s">
        <v>444</v>
      </c>
      <c r="AA2" s="127" t="s">
        <v>445</v>
      </c>
      <c r="AB2" s="127" t="s">
        <v>446</v>
      </c>
      <c r="AC2" s="127" t="s">
        <v>447</v>
      </c>
      <c r="AD2" s="127" t="s">
        <v>448</v>
      </c>
      <c r="AE2" s="127" t="s">
        <v>449</v>
      </c>
      <c r="AF2" s="127" t="s">
        <v>450</v>
      </c>
      <c r="AG2" s="127" t="s">
        <v>451</v>
      </c>
      <c r="AH2" s="127" t="s">
        <v>452</v>
      </c>
      <c r="AI2" s="127" t="s">
        <v>453</v>
      </c>
      <c r="AJ2" s="127" t="s">
        <v>454</v>
      </c>
      <c r="AK2" s="127" t="s">
        <v>455</v>
      </c>
      <c r="AL2" s="127" t="s">
        <v>456</v>
      </c>
      <c r="AM2" s="127" t="s">
        <v>457</v>
      </c>
      <c r="AN2" s="127" t="s">
        <v>458</v>
      </c>
      <c r="AO2" s="126" t="s">
        <v>459</v>
      </c>
      <c r="AP2" s="126" t="str">
        <f>'Price History'!W2</f>
        <v>VYM</v>
      </c>
      <c r="AQ2" s="126" t="str">
        <f>'Price History'!X2</f>
        <v>MLPI</v>
      </c>
      <c r="AR2" s="126" t="str">
        <f>'Price History'!Y2</f>
        <v>JEPI</v>
      </c>
      <c r="AS2" s="126" t="str">
        <f>'Price History'!Z2</f>
        <v>GE</v>
      </c>
      <c r="AT2" s="126" t="str">
        <f>'Price History'!AA2</f>
        <v>NFLX</v>
      </c>
    </row>
    <row r="3" spans="1:46" ht="15" customHeight="1" x14ac:dyDescent="0.2">
      <c r="A3" s="128">
        <f>IF('Price History'!A4="","",'Price History'!A4)</f>
        <v>45191</v>
      </c>
      <c r="B3" s="129">
        <f>IFERROR(IF(OR(NOT(ISNUMBER('Price History'!B4)),NOT(ISNUMBER('Price History'!B3)),'Price History'!B3=0),"",'Price History'!B4/'Price History'!B3-1),"")</f>
        <v>-3.02331297623325E-2</v>
      </c>
      <c r="C3" s="129">
        <f>IFERROR(IF(OR(NOT(ISNUMBER('Price History'!C4)),NOT(ISNUMBER('Price History'!C3)),'Price History'!C3=0),"",'Price History'!C4/'Price History'!C3-1),"")</f>
        <v>-2.3819835426591607E-2</v>
      </c>
      <c r="D3" s="129">
        <f>IFERROR(IF(OR(NOT(ISNUMBER('Price History'!D4)),NOT(ISNUMBER('Price History'!D3)),'Price History'!D3=0),"",'Price History'!D4/'Price History'!D3-1),"")</f>
        <v>-1.6013470558924991E-2</v>
      </c>
      <c r="E3" s="129">
        <f>IFERROR(IF(OR(NOT(ISNUMBER('Price History'!E4)),NOT(ISNUMBER('Price History'!E3)),'Price History'!E3=0),"",'Price History'!E4/'Price History'!E3-1),"")</f>
        <v>-2.1219512195121859E-2</v>
      </c>
      <c r="F3" s="129">
        <f>IFERROR(IF(OR(NOT(ISNUMBER('Price History'!F4)),NOT(ISNUMBER('Price History'!F3)),'Price History'!F3=0),"",'Price History'!F4/'Price History'!F3-1),"")</f>
        <v>-1.7408123791102459E-2</v>
      </c>
      <c r="G3" s="129">
        <f>IFERROR(IF(OR(NOT(ISNUMBER('Price History'!G4)),NOT(ISNUMBER('Price History'!G3)),'Price History'!G3=0),"",'Price History'!G4/'Price History'!G3-1),"")</f>
        <v>-5.1860202931229837E-3</v>
      </c>
      <c r="H3" s="129">
        <f>IFERROR(IF(OR(NOT(ISNUMBER('Price History'!H4)),NOT(ISNUMBER('Price History'!H3)),'Price History'!H3=0),"",'Price History'!H4/'Price History'!H3-1),"")</f>
        <v>-1.432498914773539E-2</v>
      </c>
      <c r="I3" s="129">
        <f>IFERROR(IF(OR(NOT(ISNUMBER('Price History'!I4)),NOT(ISNUMBER('Price History'!I3)),'Price History'!I3=0),"",'Price History'!I4/'Price History'!I3-1),"")</f>
        <v>-5.2090472926662135E-2</v>
      </c>
      <c r="J3" s="129">
        <f>IFERROR(IF(OR(NOT(ISNUMBER('Price History'!J4)),NOT(ISNUMBER('Price History'!J3)),'Price History'!J3=0),"",'Price History'!J4/'Price History'!J3-1),"")</f>
        <v>-7.3944921316166035E-2</v>
      </c>
      <c r="K3" s="129">
        <f>IFERROR(IF(OR(NOT(ISNUMBER('Price History'!K4)),NOT(ISNUMBER('Price History'!K3)),'Price History'!K3=0),"",'Price History'!K4/'Price History'!K3-1),"")</f>
        <v>-7.8277886497064575E-2</v>
      </c>
      <c r="L3" s="129">
        <f>IFERROR(IF(OR(NOT(ISNUMBER('Price History'!L4)),NOT(ISNUMBER('Price History'!L3)),'Price History'!L3=0),"",'Price History'!L4/'Price History'!L3-1),"")</f>
        <v>-4.0466472303206991E-2</v>
      </c>
      <c r="M3" s="129">
        <f>IFERROR(IF(OR(NOT(ISNUMBER('Price History'!M4)),NOT(ISNUMBER('Price History'!M3)),'Price History'!M3=0),"",'Price History'!M4/'Price History'!M3-1),"")</f>
        <v>-4.4976328248290343E-2</v>
      </c>
      <c r="N3" s="129">
        <f>IFERROR(IF(OR(NOT(ISNUMBER('Price History'!N4)),NOT(ISNUMBER('Price History'!N3)),'Price History'!N3=0),"",'Price History'!N4/'Price History'!N3-1),"")</f>
        <v>1.8056749785038129E-3</v>
      </c>
      <c r="O3" s="129">
        <f>IFERROR(IF(OR(NOT(ISNUMBER('Price History'!O4)),NOT(ISNUMBER('Price History'!O3)),'Price History'!O3=0),"",'Price History'!O4/'Price History'!O3-1),"")</f>
        <v>-2.9212587969725146E-2</v>
      </c>
      <c r="P3" s="129">
        <f>IFERROR(IF(OR(NOT(ISNUMBER('Price History'!P4)),NOT(ISNUMBER('Price History'!P3)),'Price History'!P3=0),"",'Price History'!P4/'Price History'!P3-1),"")</f>
        <v>-2.1373894025251028E-2</v>
      </c>
      <c r="Q3" s="129" t="str">
        <f>IFERROR(IF(OR(NOT(ISNUMBER('Price History'!Q4)),NOT(ISNUMBER('Price History'!Q3)),'Price History'!Q3=0),"",'Price History'!Q4/'Price History'!Q3-1),"")</f>
        <v/>
      </c>
      <c r="R3" s="129">
        <f>IFERROR(IF(OR(NOT(ISNUMBER('Price History'!R4)),NOT(ISNUMBER('Price History'!R3)),'Price History'!R3=0),"",'Price History'!R4/'Price History'!R3-1),"")</f>
        <v>-2.6972157772621852E-2</v>
      </c>
      <c r="S3" s="129">
        <f>IFERROR(IF(OR(NOT(ISNUMBER('Price History'!S4)),NOT(ISNUMBER('Price History'!S3)),'Price History'!S3=0),"",'Price History'!S4/'Price History'!S3-1),"")</f>
        <v>-2.4292903001908783E-2</v>
      </c>
      <c r="T3" s="129">
        <f>IFERROR(IF(OR(NOT(ISNUMBER('Price History'!T4)),NOT(ISNUMBER('Price History'!T3)),'Price History'!T3=0),"",'Price History'!T4/'Price History'!T3-1),"")</f>
        <v>-1.465927099841513E-2</v>
      </c>
      <c r="U3" s="129">
        <f>IFERROR(IF(OR(NOT(ISNUMBER('Price History'!U4)),NOT(ISNUMBER('Price History'!U3)),'Price History'!U3=0),"",'Price History'!U4/'Price History'!U3-1),"")</f>
        <v>-2.2935779816513735E-2</v>
      </c>
      <c r="V3" s="130">
        <f>IFERROR(IF(OR(NOT(ISNUMBER('Price History'!V4)),NOT(ISNUMBER('Price History'!V3)),'Price History'!V3=0),"",'Price History'!V4/'Price History'!V3-1),"")</f>
        <v>-2.482705937274543E-2</v>
      </c>
      <c r="W3" s="131">
        <f>IFERROR('Price History'!B3+(INDEX('Price History'!B:B,MATCH(9.99E+307,'Returns (Calc)'!$A:$A)+1)-'Price History'!B3)*(ROW()-3)/(MATCH(9.99E+307,'Returns (Calc)'!$A:$A)-3),"")</f>
        <v>528.89</v>
      </c>
      <c r="X3" s="131">
        <f>IFERROR('Price History'!C3+(INDEX('Price History'!C:C,MATCH(9.99E+307,'Returns (Calc)'!$A:$A)+1)-'Price History'!C3)*(ROW()-3)/(MATCH(9.99E+307,'Returns (Calc)'!$A:$A)-3),"")</f>
        <v>46.18</v>
      </c>
      <c r="Y3" s="131">
        <f>IFERROR('Price History'!D3+(INDEX('Price History'!D:D,MATCH(9.99E+307,'Returns (Calc)'!$A:$A)+1)-'Price History'!D3)*(ROW()-3)/(MATCH(9.99E+307,'Returns (Calc)'!$A:$A)-3),"")</f>
        <v>582.01</v>
      </c>
      <c r="Z3" s="131">
        <f>IFERROR('Price History'!E3+(INDEX('Price History'!E:E,MATCH(9.99E+307,'Returns (Calc)'!$A:$A)+1)-'Price History'!E3)*(ROW()-3)/(MATCH(9.99E+307,'Returns (Calc)'!$A:$A)-3),"")</f>
        <v>82</v>
      </c>
      <c r="AA3" s="131">
        <f>IFERROR('Price History'!F3+(INDEX('Price History'!F:F,MATCH(9.99E+307,'Returns (Calc)'!$A:$A)+1)-'Price History'!F3)*(ROW()-3)/(MATCH(9.99E+307,'Returns (Calc)'!$A:$A)-3),"")</f>
        <v>41.36</v>
      </c>
      <c r="AB3" s="131">
        <f>IFERROR('Price History'!G3+(INDEX('Price History'!G:G,MATCH(9.99E+307,'Returns (Calc)'!$A:$A)+1)-'Price History'!G3)*(ROW()-3)/(MATCH(9.99E+307,'Returns (Calc)'!$A:$A)-3),"")</f>
        <v>44.35</v>
      </c>
      <c r="AC3" s="131">
        <f>IFERROR('Price History'!H3+(INDEX('Price History'!H:H,MATCH(9.99E+307,'Returns (Calc)'!$A:$A)+1)-'Price History'!H3)*(ROW()-3)/(MATCH(9.99E+307,'Returns (Calc)'!$A:$A)-3),"")</f>
        <v>69.11</v>
      </c>
      <c r="AD3" s="131">
        <f>IFERROR('Price History'!I3+(INDEX('Price History'!I:I,MATCH(9.99E+307,'Returns (Calc)'!$A:$A)+1)-'Price History'!I3)*(ROW()-3)/(MATCH(9.99E+307,'Returns (Calc)'!$A:$A)-3),"")</f>
        <v>43.77</v>
      </c>
      <c r="AE3" s="131">
        <f>IFERROR('Price History'!J3+(INDEX('Price History'!J:J,MATCH(9.99E+307,'Returns (Calc)'!$A:$A)+1)-'Price History'!J3)*(ROW()-3)/(MATCH(9.99E+307,'Returns (Calc)'!$A:$A)-3),"")</f>
        <v>111.84</v>
      </c>
      <c r="AF3" s="131">
        <f>IFERROR('Price History'!K3+(INDEX('Price History'!K:K,MATCH(9.99E+307,'Returns (Calc)'!$A:$A)+1)-'Price History'!K3)*(ROW()-3)/(MATCH(9.99E+307,'Returns (Calc)'!$A:$A)-3),"")</f>
        <v>15.33</v>
      </c>
      <c r="AG3" s="131">
        <f>IFERROR('Price History'!L3+(INDEX('Price History'!L:L,MATCH(9.99E+307,'Returns (Calc)'!$A:$A)+1)-'Price History'!L3)*(ROW()-3)/(MATCH(9.99E+307,'Returns (Calc)'!$A:$A)-3),"")</f>
        <v>85.75</v>
      </c>
      <c r="AH3" s="131">
        <f>IFERROR('Price History'!M3+(INDEX('Price History'!M:M,MATCH(9.99E+307,'Returns (Calc)'!$A:$A)+1)-'Price History'!M3)*(ROW()-3)/(MATCH(9.99E+307,'Returns (Calc)'!$A:$A)-3),"")</f>
        <v>38.020000000000003</v>
      </c>
      <c r="AI3" s="131">
        <f>IFERROR('Price History'!N3+(INDEX('Price History'!N:N,MATCH(9.99E+307,'Returns (Calc)'!$A:$A)+1)-'Price History'!N3)*(ROW()-3)/(MATCH(9.99E+307,'Returns (Calc)'!$A:$A)-3),"")</f>
        <v>348.9</v>
      </c>
      <c r="AJ3" s="131">
        <f>IFERROR('Price History'!O3+(INDEX('Price History'!O:O,MATCH(9.99E+307,'Returns (Calc)'!$A:$A)+1)-'Price History'!O3)*(ROW()-3)/(MATCH(9.99E+307,'Returns (Calc)'!$A:$A)-3),"")</f>
        <v>75.31</v>
      </c>
      <c r="AK3" s="131">
        <f>IFERROR('Price History'!Q3+(INDEX('Price History'!Q:Q,MATCH(9.99E+307,'Returns (Calc)'!$A:$A)+1)-'Price History'!Q3)*(ROW()-3)/(MATCH(9.99E+307,'Returns (Calc)'!$A:$A)-3),"")</f>
        <v>0</v>
      </c>
      <c r="AL3" s="131">
        <f>IFERROR('Price History'!R3+(INDEX('Price History'!R:R,MATCH(9.99E+307,'Returns (Calc)'!$A:$A)+1)-'Price History'!R3)*(ROW()-3)/(MATCH(9.99E+307,'Returns (Calc)'!$A:$A)-3),"")</f>
        <v>34.479999999999997</v>
      </c>
      <c r="AM3" s="131">
        <f>IFERROR('Price History'!S3+(INDEX('Price History'!S:S,MATCH(9.99E+307,'Returns (Calc)'!$A:$A)+1)-'Price History'!S3)*(ROW()-3)/(MATCH(9.99E+307,'Returns (Calc)'!$A:$A)-3),"")</f>
        <v>57.63</v>
      </c>
      <c r="AN3" s="131">
        <f>IFERROR('Price History'!T3+(INDEX('Price History'!T:T,MATCH(9.99E+307,'Returns (Calc)'!$A:$A)+1)-'Price History'!T3)*(ROW()-3)/(MATCH(9.99E+307,'Returns (Calc)'!$A:$A)-3),"")</f>
        <v>25.24</v>
      </c>
      <c r="AO3" s="132">
        <f>IFERROR('Price History'!V3+(INDEX('Price History'!V:V,MATCH(9.99E+307,'Returns (Calc)'!$A:$A)+1)-'Price History'!V3)*(ROW()-3)/(MATCH(9.99E+307,'Returns (Calc)'!$A:$A)-3),"")</f>
        <v>235.63</v>
      </c>
      <c r="AP3" s="130">
        <f>IFERROR(IF(OR(NOT(ISNUMBER('Price History'!W4)),NOT(ISNUMBER('Price History'!W3)),'Price History'!W3=0),"",'Price History'!W4/'Price History'!W3-1),"")</f>
        <v>-2.1807485546201488E-2</v>
      </c>
      <c r="AQ3" s="130" t="str">
        <f>IFERROR(IF(OR(NOT(ISNUMBER('Price History'!X4)),NOT(ISNUMBER('Price History'!X3)),'Price History'!X3=0),"",'Price History'!X4/'Price History'!X3-1),"")</f>
        <v/>
      </c>
      <c r="AR3" s="130">
        <f>IFERROR(IF(OR(NOT(ISNUMBER('Price History'!Y4)),NOT(ISNUMBER('Price History'!Y3)),'Price History'!Y3=0),"",'Price History'!Y4/'Price History'!Y3-1),"")</f>
        <v>-1.8736988202636917E-2</v>
      </c>
      <c r="AS3" s="130">
        <f>IFERROR(IF(OR(NOT(ISNUMBER('Price History'!Z4)),NOT(ISNUMBER('Price History'!Z3)),'Price History'!Z3=0),"",'Price History'!Z4/'Price History'!Z3-1),"")</f>
        <v>-3.6722540802823223E-2</v>
      </c>
      <c r="AT3" s="130">
        <f>IFERROR(IF(OR(NOT(ISNUMBER('Price History'!AA4)),NOT(ISNUMBER('Price History'!AA3)),'Price History'!AA3=0),"",'Price History'!AA4/'Price History'!AA3-1),"")</f>
        <v>-4.3083900226757343E-2</v>
      </c>
    </row>
    <row r="4" spans="1:46" ht="15" customHeight="1" x14ac:dyDescent="0.2">
      <c r="A4" s="128">
        <f>IF('Price History'!A5="","",'Price History'!A5)</f>
        <v>45198</v>
      </c>
      <c r="B4" s="129">
        <f>IFERROR(IF(OR(NOT(ISNUMBER('Price History'!B5)),NOT(ISNUMBER('Price History'!B4)),'Price History'!B4=0),"",'Price History'!B5/'Price History'!B4-1),"")</f>
        <v>-5.849093390524418E-3</v>
      </c>
      <c r="C4" s="129">
        <f>IFERROR(IF(OR(NOT(ISNUMBER('Price History'!C5)),NOT(ISNUMBER('Price History'!C4)),'Price History'!C4=0),"",'Price History'!C5/'Price History'!C4-1),"")</f>
        <v>1.9964507542147292E-2</v>
      </c>
      <c r="D4" s="129">
        <f>IFERROR(IF(OR(NOT(ISNUMBER('Price History'!D5)),NOT(ISNUMBER('Price History'!D4)),'Price History'!D4=0),"",'Price History'!D5/'Price History'!D4-1),"")</f>
        <v>2.6541409837783636E-3</v>
      </c>
      <c r="E4" s="129">
        <f>IFERROR(IF(OR(NOT(ISNUMBER('Price History'!E5)),NOT(ISNUMBER('Price History'!E4)),'Price History'!E4=0),"",'Price History'!E5/'Price History'!E4-1),"")</f>
        <v>1.8689259905306788E-3</v>
      </c>
      <c r="F4" s="129">
        <f>IFERROR(IF(OR(NOT(ISNUMBER('Price History'!F5)),NOT(ISNUMBER('Price History'!F4)),'Price History'!F4=0),"",'Price History'!F5/'Price History'!F4-1),"")</f>
        <v>2.9773622047244208E-2</v>
      </c>
      <c r="G4" s="129">
        <f>IFERROR(IF(OR(NOT(ISNUMBER('Price History'!G5)),NOT(ISNUMBER('Price History'!G4)),'Price History'!G4=0),"",'Price History'!G5/'Price History'!G4-1),"")</f>
        <v>1.5185856754306393E-2</v>
      </c>
      <c r="H4" s="129">
        <f>IFERROR(IF(OR(NOT(ISNUMBER('Price History'!H5)),NOT(ISNUMBER('Price History'!H4)),'Price History'!H4=0),"",'Price History'!H5/'Price History'!H4-1),"")</f>
        <v>-1.2331180270111597E-2</v>
      </c>
      <c r="I4" s="129">
        <f>IFERROR(IF(OR(NOT(ISNUMBER('Price History'!I5)),NOT(ISNUMBER('Price History'!I4)),'Price History'!I4=0),"",'Price History'!I5/'Price History'!I4-1),"")</f>
        <v>4.5312123403229654E-2</v>
      </c>
      <c r="J4" s="129">
        <f>IFERROR(IF(OR(NOT(ISNUMBER('Price History'!J5)),NOT(ISNUMBER('Price History'!J4)),'Price History'!J4=0),"",'Price History'!J5/'Price History'!J4-1),"")</f>
        <v>-1.6317466447813067E-2</v>
      </c>
      <c r="K4" s="129">
        <f>IFERROR(IF(OR(NOT(ISNUMBER('Price History'!K5)),NOT(ISNUMBER('Price History'!K4)),'Price History'!K4=0),"",'Price History'!K5/'Price History'!K4-1),"")</f>
        <v>0.13234253361641901</v>
      </c>
      <c r="L4" s="129">
        <f>IFERROR(IF(OR(NOT(ISNUMBER('Price History'!L5)),NOT(ISNUMBER('Price History'!L4)),'Price History'!L4=0),"",'Price History'!L5/'Price History'!L4-1),"")</f>
        <v>1.4705882352941124E-2</v>
      </c>
      <c r="M4" s="129">
        <f>IFERROR(IF(OR(NOT(ISNUMBER('Price History'!M5)),NOT(ISNUMBER('Price History'!M4)),'Price History'!M4=0),"",'Price History'!M5/'Price History'!M4-1),"")</f>
        <v>2.0655466813549905E-2</v>
      </c>
      <c r="N4" s="129">
        <f>IFERROR(IF(OR(NOT(ISNUMBER('Price History'!N5)),NOT(ISNUMBER('Price History'!N4)),'Price History'!N4=0),"",'Price History'!N5/'Price History'!N4-1),"")</f>
        <v>-5.1211627042027086E-3</v>
      </c>
      <c r="O4" s="129">
        <f>IFERROR(IF(OR(NOT(ISNUMBER('Price History'!O5)),NOT(ISNUMBER('Price History'!O4)),'Price History'!O4=0),"",'Price History'!O5/'Price History'!O4-1),"")</f>
        <v>1.6413623307345082E-2</v>
      </c>
      <c r="P4" s="129">
        <f>IFERROR(IF(OR(NOT(ISNUMBER('Price History'!P5)),NOT(ISNUMBER('Price History'!P4)),'Price History'!P4=0),"",'Price History'!P5/'Price History'!P4-1),"")</f>
        <v>-1.8793173506704508E-2</v>
      </c>
      <c r="Q4" s="129" t="str">
        <f>IFERROR(IF(OR(NOT(ISNUMBER('Price History'!Q5)),NOT(ISNUMBER('Price History'!Q4)),'Price History'!Q4=0),"",'Price History'!Q5/'Price History'!Q4-1),"")</f>
        <v/>
      </c>
      <c r="R4" s="129">
        <f>IFERROR(IF(OR(NOT(ISNUMBER('Price History'!R5)),NOT(ISNUMBER('Price History'!R4)),'Price History'!R4=0),"",'Price History'!R5/'Price History'!R4-1),"")</f>
        <v>5.9612518628915367E-4</v>
      </c>
      <c r="S4" s="129">
        <f>IFERROR(IF(OR(NOT(ISNUMBER('Price History'!S5)),NOT(ISNUMBER('Price History'!S4)),'Price History'!S4=0),"",'Price History'!S5/'Price History'!S4-1),"")</f>
        <v>-3.0232971723278546E-3</v>
      </c>
      <c r="T4" s="129">
        <f>IFERROR(IF(OR(NOT(ISNUMBER('Price History'!T5)),NOT(ISNUMBER('Price History'!T4)),'Price History'!T4=0),"",'Price History'!T5/'Price History'!T4-1),"")</f>
        <v>2.8146361077603377E-3</v>
      </c>
      <c r="U4" s="129">
        <f>IFERROR(IF(OR(NOT(ISNUMBER('Price History'!U5)),NOT(ISNUMBER('Price History'!U4)),'Price History'!U4=0),"",'Price History'!U5/'Price History'!U4-1),"")</f>
        <v>-7.5117370892018309E-3</v>
      </c>
      <c r="V4" s="130">
        <f>IFERROR(IF(OR(NOT(ISNUMBER('Price History'!V5)),NOT(ISNUMBER('Price History'!V4)),'Price History'!V4=0),"",'Price History'!V5/'Price History'!V4-1),"")</f>
        <v>-2.1585864740186311E-2</v>
      </c>
      <c r="W4" s="131">
        <f>IFERROR('Price History'!B3+(INDEX('Price History'!B:B,MATCH(9.99E+307,'Returns (Calc)'!$A:$A)+1)-'Price History'!B3)*(ROW()-3)/(MATCH(9.99E+307,'Returns (Calc)'!$A:$A)-3),"")</f>
        <v>527.04696202531647</v>
      </c>
      <c r="X4" s="131">
        <f>IFERROR('Price History'!C3+(INDEX('Price History'!C:C,MATCH(9.99E+307,'Returns (Calc)'!$A:$A)+1)-'Price History'!C3)*(ROW()-3)/(MATCH(9.99E+307,'Returns (Calc)'!$A:$A)-3),"")</f>
        <v>47.200063291139237</v>
      </c>
      <c r="Y4" s="131">
        <f>IFERROR('Price History'!D3+(INDEX('Price History'!D:D,MATCH(9.99E+307,'Returns (Calc)'!$A:$A)+1)-'Price History'!D3)*(ROW()-3)/(MATCH(9.99E+307,'Returns (Calc)'!$A:$A)-3),"")</f>
        <v>590.14481012658223</v>
      </c>
      <c r="Z4" s="131">
        <f>IFERROR('Price History'!E3+(INDEX('Price History'!E:E,MATCH(9.99E+307,'Returns (Calc)'!$A:$A)+1)-'Price History'!E3)*(ROW()-3)/(MATCH(9.99E+307,'Returns (Calc)'!$A:$A)-3),"")</f>
        <v>83.728734177215188</v>
      </c>
      <c r="AA4" s="131">
        <f>IFERROR('Price History'!F3+(INDEX('Price History'!F:F,MATCH(9.99E+307,'Returns (Calc)'!$A:$A)+1)-'Price History'!F3)*(ROW()-3)/(MATCH(9.99E+307,'Returns (Calc)'!$A:$A)-3),"")</f>
        <v>42.807341772151901</v>
      </c>
      <c r="AB4" s="131">
        <f>IFERROR('Price History'!G3+(INDEX('Price History'!G:G,MATCH(9.99E+307,'Returns (Calc)'!$A:$A)+1)-'Price History'!G3)*(ROW()-3)/(MATCH(9.99E+307,'Returns (Calc)'!$A:$A)-3),"")</f>
        <v>45.378734177215193</v>
      </c>
      <c r="AC4" s="131">
        <f>IFERROR('Price History'!H3+(INDEX('Price History'!H:H,MATCH(9.99E+307,'Returns (Calc)'!$A:$A)+1)-'Price History'!H3)*(ROW()-3)/(MATCH(9.99E+307,'Returns (Calc)'!$A:$A)-3),"")</f>
        <v>75.475696202531651</v>
      </c>
      <c r="AD4" s="131">
        <f>IFERROR('Price History'!I3+(INDEX('Price History'!I:I,MATCH(9.99E+307,'Returns (Calc)'!$A:$A)+1)-'Price History'!I3)*(ROW()-3)/(MATCH(9.99E+307,'Returns (Calc)'!$A:$A)-3),"")</f>
        <v>44.973670886075951</v>
      </c>
      <c r="AE4" s="131">
        <f>IFERROR('Price History'!J3+(INDEX('Price History'!J:J,MATCH(9.99E+307,'Returns (Calc)'!$A:$A)+1)-'Price History'!J3)*(ROW()-3)/(MATCH(9.99E+307,'Returns (Calc)'!$A:$A)-3),"")</f>
        <v>111.94803797468354</v>
      </c>
      <c r="AF4" s="131">
        <f>IFERROR('Price History'!K3+(INDEX('Price History'!K:K,MATCH(9.99E+307,'Returns (Calc)'!$A:$A)+1)-'Price History'!K3)*(ROW()-3)/(MATCH(9.99E+307,'Returns (Calc)'!$A:$A)-3),"")</f>
        <v>16.427594936708861</v>
      </c>
      <c r="AG4" s="131">
        <f>IFERROR('Price History'!L3+(INDEX('Price History'!L:L,MATCH(9.99E+307,'Returns (Calc)'!$A:$A)+1)-'Price History'!L3)*(ROW()-3)/(MATCH(9.99E+307,'Returns (Calc)'!$A:$A)-3),"")</f>
        <v>88.199556962025312</v>
      </c>
      <c r="AH4" s="131">
        <f>IFERROR('Price History'!M3+(INDEX('Price History'!M:M,MATCH(9.99E+307,'Returns (Calc)'!$A:$A)+1)-'Price History'!M3)*(ROW()-3)/(MATCH(9.99E+307,'Returns (Calc)'!$A:$A)-3),"")</f>
        <v>39.375443037974684</v>
      </c>
      <c r="AI4" s="131">
        <f>IFERROR('Price History'!N3+(INDEX('Price History'!N:N,MATCH(9.99E+307,'Returns (Calc)'!$A:$A)+1)-'Price History'!N3)*(ROW()-3)/(MATCH(9.99E+307,'Returns (Calc)'!$A:$A)-3),"")</f>
        <v>349.88626582278476</v>
      </c>
      <c r="AJ4" s="131">
        <f>IFERROR('Price History'!O3+(INDEX('Price History'!O:O,MATCH(9.99E+307,'Returns (Calc)'!$A:$A)+1)-'Price History'!O3)*(ROW()-3)/(MATCH(9.99E+307,'Returns (Calc)'!$A:$A)-3),"")</f>
        <v>75.59303797468354</v>
      </c>
      <c r="AK4" s="131">
        <f>IFERROR('Price History'!Q3+(INDEX('Price History'!Q:Q,MATCH(9.99E+307,'Returns (Calc)'!$A:$A)+1)-'Price History'!Q3)*(ROW()-3)/(MATCH(9.99E+307,'Returns (Calc)'!$A:$A)-3),"")</f>
        <v>0.43936708860759494</v>
      </c>
      <c r="AL4" s="131">
        <f>IFERROR('Price History'!R3+(INDEX('Price History'!R:R,MATCH(9.99E+307,'Returns (Calc)'!$A:$A)+1)-'Price History'!R3)*(ROW()-3)/(MATCH(9.99E+307,'Returns (Calc)'!$A:$A)-3),"")</f>
        <v>34.648101265822781</v>
      </c>
      <c r="AM4" s="131">
        <f>IFERROR('Price History'!S3+(INDEX('Price History'!S:S,MATCH(9.99E+307,'Returns (Calc)'!$A:$A)+1)-'Price History'!S3)*(ROW()-3)/(MATCH(9.99E+307,'Returns (Calc)'!$A:$A)-3),"")</f>
        <v>58.235063291139241</v>
      </c>
      <c r="AN4" s="131">
        <f>IFERROR('Price History'!T3+(INDEX('Price History'!T:T,MATCH(9.99E+307,'Returns (Calc)'!$A:$A)+1)-'Price History'!T3)*(ROW()-3)/(MATCH(9.99E+307,'Returns (Calc)'!$A:$A)-3),"")</f>
        <v>25.408227848101266</v>
      </c>
      <c r="AO4" s="132">
        <f>IFERROR('Price History'!V3+(INDEX('Price History'!V:V,MATCH(9.99E+307,'Returns (Calc)'!$A:$A)+1)-'Price History'!V3)*(ROW()-3)/(MATCH(9.99E+307,'Returns (Calc)'!$A:$A)-3),"")</f>
        <v>236.42132911392406</v>
      </c>
      <c r="AP4" s="130">
        <f>IFERROR(IF(OR(NOT(ISNUMBER('Price History'!W5)),NOT(ISNUMBER('Price History'!W4)),'Price History'!W4=0),"",'Price History'!W5/'Price History'!W4-1),"")</f>
        <v>-1.2754043965159778E-2</v>
      </c>
      <c r="AQ4" s="130" t="str">
        <f>IFERROR(IF(OR(NOT(ISNUMBER('Price History'!X5)),NOT(ISNUMBER('Price History'!X4)),'Price History'!X4=0),"",'Price History'!X5/'Price History'!X4-1),"")</f>
        <v/>
      </c>
      <c r="AR4" s="130">
        <f>IFERROR(IF(OR(NOT(ISNUMBER('Price History'!Y5)),NOT(ISNUMBER('Price History'!Y4)),'Price History'!Y4=0),"",'Price History'!Y5/'Price History'!Y4-1),"")</f>
        <v>-1.1079679396511E-2</v>
      </c>
      <c r="AS4" s="130">
        <f>IFERROR(IF(OR(NOT(ISNUMBER('Price History'!Z5)),NOT(ISNUMBER('Price History'!Z4)),'Price History'!Z4=0),"",'Price History'!Z5/'Price History'!Z4-1),"")</f>
        <v>-5.6096164854034791E-3</v>
      </c>
      <c r="AT4" s="130">
        <f>IFERROR(IF(OR(NOT(ISNUMBER('Price History'!AA5)),NOT(ISNUMBER('Price History'!AA4)),'Price History'!AA4=0),"",'Price History'!AA5/'Price History'!AA4-1),"")</f>
        <v>-5.7925223802001158E-3</v>
      </c>
    </row>
    <row r="5" spans="1:46" ht="15" customHeight="1" x14ac:dyDescent="0.2">
      <c r="A5" s="128">
        <f>IF('Price History'!A6="","",'Price History'!A6)</f>
        <v>45205</v>
      </c>
      <c r="B5" s="129">
        <f>IFERROR(IF(OR(NOT(ISNUMBER('Price History'!B6)),NOT(ISNUMBER('Price History'!B5)),'Price History'!B5=0),"",'Price History'!B6/'Price History'!B5-1),"")</f>
        <v>3.2908413414394877E-2</v>
      </c>
      <c r="C5" s="129">
        <f>IFERROR(IF(OR(NOT(ISNUMBER('Price History'!C6)),NOT(ISNUMBER('Price History'!C5)),'Price History'!C5=0),"",'Price History'!C6/'Price History'!C5-1),"")</f>
        <v>5.5023923444976086E-2</v>
      </c>
      <c r="D5" s="129">
        <f>IFERROR(IF(OR(NOT(ISNUMBER('Price History'!D6)),NOT(ISNUMBER('Price History'!D5)),'Price History'!D5=0),"",'Price History'!D6/'Price History'!D5-1),"")</f>
        <v>1.4768116194423753E-2</v>
      </c>
      <c r="E5" s="129">
        <f>IFERROR(IF(OR(NOT(ISNUMBER('Price History'!E6)),NOT(ISNUMBER('Price History'!E5)),'Price History'!E5=0),"",'Price History'!E6/'Price History'!E5-1),"")</f>
        <v>1.7659495087675614E-2</v>
      </c>
      <c r="F5" s="129">
        <f>IFERROR(IF(OR(NOT(ISNUMBER('Price History'!F6)),NOT(ISNUMBER('Price History'!F5)),'Price History'!F5=0),"",'Price History'!F6/'Price History'!F5-1),"")</f>
        <v>5.5436081242532964E-2</v>
      </c>
      <c r="G5" s="129">
        <f>IFERROR(IF(OR(NOT(ISNUMBER('Price History'!G6)),NOT(ISNUMBER('Price History'!G5)),'Price History'!G5=0),"",'Price History'!G6/'Price History'!G5-1),"")</f>
        <v>2.031703505246707E-2</v>
      </c>
      <c r="H5" s="129">
        <f>IFERROR(IF(OR(NOT(ISNUMBER('Price History'!H6)),NOT(ISNUMBER('Price History'!H5)),'Price History'!H5=0),"",'Price History'!H6/'Price History'!H5-1),"")</f>
        <v>3.0023781212841882E-2</v>
      </c>
      <c r="I5" s="129">
        <f>IFERROR(IF(OR(NOT(ISNUMBER('Price History'!I6)),NOT(ISNUMBER('Price History'!I5)),'Price History'!I5=0),"",'Price History'!I6/'Price History'!I5-1),"")</f>
        <v>5.210975328568157E-2</v>
      </c>
      <c r="J5" s="129">
        <f>IFERROR(IF(OR(NOT(ISNUMBER('Price History'!J6)),NOT(ISNUMBER('Price History'!J5)),'Price History'!J5=0),"",'Price History'!J6/'Price History'!J5-1),"")</f>
        <v>-2.9446407538280317E-2</v>
      </c>
      <c r="K5" s="129">
        <f>IFERROR(IF(OR(NOT(ISNUMBER('Price History'!K6)),NOT(ISNUMBER('Price History'!K5)),'Price History'!K5=0),"",'Price History'!K6/'Price History'!K5-1),"")</f>
        <v>3.8124999999999964E-2</v>
      </c>
      <c r="L5" s="129">
        <f>IFERROR(IF(OR(NOT(ISNUMBER('Price History'!L6)),NOT(ISNUMBER('Price History'!L5)),'Price History'!L5=0),"",'Price History'!L6/'Price History'!L5-1),"")</f>
        <v>2.7548209366391241E-2</v>
      </c>
      <c r="M5" s="129">
        <f>IFERROR(IF(OR(NOT(ISNUMBER('Price History'!M6)),NOT(ISNUMBER('Price History'!M5)),'Price History'!M5=0),"",'Price History'!M6/'Price History'!M5-1),"")</f>
        <v>6.907717215326481E-2</v>
      </c>
      <c r="N5" s="129">
        <f>IFERROR(IF(OR(NOT(ISNUMBER('Price History'!N6)),NOT(ISNUMBER('Price History'!N5)),'Price History'!N5=0),"",'Price History'!N6/'Price History'!N5-1),"")</f>
        <v>3.7039167193880562E-2</v>
      </c>
      <c r="O5" s="129">
        <f>IFERROR(IF(OR(NOT(ISNUMBER('Price History'!O6)),NOT(ISNUMBER('Price History'!O5)),'Price History'!O5=0),"",'Price History'!O6/'Price History'!O5-1),"")</f>
        <v>-3.0143991387431179E-2</v>
      </c>
      <c r="P5" s="129">
        <f>IFERROR(IF(OR(NOT(ISNUMBER('Price History'!P6)),NOT(ISNUMBER('Price History'!P5)),'Price History'!P5=0),"",'Price History'!P6/'Price History'!P5-1),"")</f>
        <v>-2.2259033026193253E-2</v>
      </c>
      <c r="Q5" s="129">
        <f>IFERROR(IF(OR(NOT(ISNUMBER('Price History'!Q6)),NOT(ISNUMBER('Price History'!Q5)),'Price History'!Q5=0),"",'Price History'!Q6/'Price History'!Q5-1),"")</f>
        <v>3.2719836400818547E-3</v>
      </c>
      <c r="R5" s="129">
        <f>IFERROR(IF(OR(NOT(ISNUMBER('Price History'!R6)),NOT(ISNUMBER('Price History'!R5)),'Price History'!R5=0),"",'Price History'!R6/'Price History'!R5-1),"")</f>
        <v>1.3106940720881699E-2</v>
      </c>
      <c r="S5" s="129">
        <f>IFERROR(IF(OR(NOT(ISNUMBER('Price History'!S6)),NOT(ISNUMBER('Price History'!S5)),'Price History'!S5=0),"",'Price History'!S6/'Price History'!S5-1),"")</f>
        <v>1.1059579022475896E-2</v>
      </c>
      <c r="T5" s="129">
        <f>IFERROR(IF(OR(NOT(ISNUMBER('Price History'!T6)),NOT(ISNUMBER('Price History'!T5)),'Price History'!T5=0),"",'Price History'!T6/'Price History'!T5-1),"")</f>
        <v>-1.8845228548516557E-2</v>
      </c>
      <c r="U5" s="129">
        <f>IFERROR(IF(OR(NOT(ISNUMBER('Price History'!U6)),NOT(ISNUMBER('Price History'!U5)),'Price History'!U5=0),"",'Price History'!U6/'Price History'!U5-1),"")</f>
        <v>-1.6083254493850507E-2</v>
      </c>
      <c r="V5" s="130">
        <f>IFERROR(IF(OR(NOT(ISNUMBER('Price History'!V6)),NOT(ISNUMBER('Price History'!V5)),'Price History'!V5=0),"",'Price History'!V6/'Price History'!V5-1),"")</f>
        <v>2.1884174005871504E-2</v>
      </c>
      <c r="W5" s="131">
        <f>IFERROR('Price History'!B3+(INDEX('Price History'!B:B,MATCH(9.99E+307,'Returns (Calc)'!$A:$A)+1)-'Price History'!B3)*(ROW()-3)/(MATCH(9.99E+307,'Returns (Calc)'!$A:$A)-3),"")</f>
        <v>525.20392405063285</v>
      </c>
      <c r="X5" s="131">
        <f>IFERROR('Price History'!C3+(INDEX('Price History'!C:C,MATCH(9.99E+307,'Returns (Calc)'!$A:$A)+1)-'Price History'!C3)*(ROW()-3)/(MATCH(9.99E+307,'Returns (Calc)'!$A:$A)-3),"")</f>
        <v>48.220126582278482</v>
      </c>
      <c r="Y5" s="131">
        <f>IFERROR('Price History'!D3+(INDEX('Price History'!D:D,MATCH(9.99E+307,'Returns (Calc)'!$A:$A)+1)-'Price History'!D3)*(ROW()-3)/(MATCH(9.99E+307,'Returns (Calc)'!$A:$A)-3),"")</f>
        <v>598.27962025316458</v>
      </c>
      <c r="Z5" s="131">
        <f>IFERROR('Price History'!E3+(INDEX('Price History'!E:E,MATCH(9.99E+307,'Returns (Calc)'!$A:$A)+1)-'Price History'!E3)*(ROW()-3)/(MATCH(9.99E+307,'Returns (Calc)'!$A:$A)-3),"")</f>
        <v>85.457468354430375</v>
      </c>
      <c r="AA5" s="131">
        <f>IFERROR('Price History'!F3+(INDEX('Price History'!F:F,MATCH(9.99E+307,'Returns (Calc)'!$A:$A)+1)-'Price History'!F3)*(ROW()-3)/(MATCH(9.99E+307,'Returns (Calc)'!$A:$A)-3),"")</f>
        <v>44.254683544303795</v>
      </c>
      <c r="AB5" s="131">
        <f>IFERROR('Price History'!G3+(INDEX('Price History'!G:G,MATCH(9.99E+307,'Returns (Calc)'!$A:$A)+1)-'Price History'!G3)*(ROW()-3)/(MATCH(9.99E+307,'Returns (Calc)'!$A:$A)-3),"")</f>
        <v>46.407468354430378</v>
      </c>
      <c r="AC5" s="131">
        <f>IFERROR('Price History'!H3+(INDEX('Price History'!H:H,MATCH(9.99E+307,'Returns (Calc)'!$A:$A)+1)-'Price History'!H3)*(ROW()-3)/(MATCH(9.99E+307,'Returns (Calc)'!$A:$A)-3),"")</f>
        <v>81.841392405063289</v>
      </c>
      <c r="AD5" s="131">
        <f>IFERROR('Price History'!I3+(INDEX('Price History'!I:I,MATCH(9.99E+307,'Returns (Calc)'!$A:$A)+1)-'Price History'!I3)*(ROW()-3)/(MATCH(9.99E+307,'Returns (Calc)'!$A:$A)-3),"")</f>
        <v>46.177341772151905</v>
      </c>
      <c r="AE5" s="131">
        <f>IFERROR('Price History'!J3+(INDEX('Price History'!J:J,MATCH(9.99E+307,'Returns (Calc)'!$A:$A)+1)-'Price History'!J3)*(ROW()-3)/(MATCH(9.99E+307,'Returns (Calc)'!$A:$A)-3),"")</f>
        <v>112.0560759493671</v>
      </c>
      <c r="AF5" s="131">
        <f>IFERROR('Price History'!K3+(INDEX('Price History'!K:K,MATCH(9.99E+307,'Returns (Calc)'!$A:$A)+1)-'Price History'!K3)*(ROW()-3)/(MATCH(9.99E+307,'Returns (Calc)'!$A:$A)-3),"")</f>
        <v>17.525189873417723</v>
      </c>
      <c r="AG5" s="131">
        <f>IFERROR('Price History'!L3+(INDEX('Price History'!L:L,MATCH(9.99E+307,'Returns (Calc)'!$A:$A)+1)-'Price History'!L3)*(ROW()-3)/(MATCH(9.99E+307,'Returns (Calc)'!$A:$A)-3),"")</f>
        <v>90.649113924050639</v>
      </c>
      <c r="AH5" s="131">
        <f>IFERROR('Price History'!M3+(INDEX('Price History'!M:M,MATCH(9.99E+307,'Returns (Calc)'!$A:$A)+1)-'Price History'!M3)*(ROW()-3)/(MATCH(9.99E+307,'Returns (Calc)'!$A:$A)-3),"")</f>
        <v>40.730886075949371</v>
      </c>
      <c r="AI5" s="131">
        <f>IFERROR('Price History'!N3+(INDEX('Price History'!N:N,MATCH(9.99E+307,'Returns (Calc)'!$A:$A)+1)-'Price History'!N3)*(ROW()-3)/(MATCH(9.99E+307,'Returns (Calc)'!$A:$A)-3),"")</f>
        <v>350.87253164556961</v>
      </c>
      <c r="AJ5" s="131">
        <f>IFERROR('Price History'!O3+(INDEX('Price History'!O:O,MATCH(9.99E+307,'Returns (Calc)'!$A:$A)+1)-'Price History'!O3)*(ROW()-3)/(MATCH(9.99E+307,'Returns (Calc)'!$A:$A)-3),"")</f>
        <v>75.876075949367092</v>
      </c>
      <c r="AK5" s="131">
        <f>IFERROR('Price History'!Q3+(INDEX('Price History'!Q:Q,MATCH(9.99E+307,'Returns (Calc)'!$A:$A)+1)-'Price History'!Q3)*(ROW()-3)/(MATCH(9.99E+307,'Returns (Calc)'!$A:$A)-3),"")</f>
        <v>0.87873417721518987</v>
      </c>
      <c r="AL5" s="131">
        <f>IFERROR('Price History'!R3+(INDEX('Price History'!R:R,MATCH(9.99E+307,'Returns (Calc)'!$A:$A)+1)-'Price History'!R3)*(ROW()-3)/(MATCH(9.99E+307,'Returns (Calc)'!$A:$A)-3),"")</f>
        <v>34.816202531645565</v>
      </c>
      <c r="AM5" s="131">
        <f>IFERROR('Price History'!S3+(INDEX('Price History'!S:S,MATCH(9.99E+307,'Returns (Calc)'!$A:$A)+1)-'Price History'!S3)*(ROW()-3)/(MATCH(9.99E+307,'Returns (Calc)'!$A:$A)-3),"")</f>
        <v>58.840126582278486</v>
      </c>
      <c r="AN5" s="131">
        <f>IFERROR('Price History'!T3+(INDEX('Price History'!T:T,MATCH(9.99E+307,'Returns (Calc)'!$A:$A)+1)-'Price History'!T3)*(ROW()-3)/(MATCH(9.99E+307,'Returns (Calc)'!$A:$A)-3),"")</f>
        <v>25.57645569620253</v>
      </c>
      <c r="AO5" s="132">
        <f>IFERROR('Price History'!V3+(INDEX('Price History'!V:V,MATCH(9.99E+307,'Returns (Calc)'!$A:$A)+1)-'Price History'!V3)*(ROW()-3)/(MATCH(9.99E+307,'Returns (Calc)'!$A:$A)-3),"")</f>
        <v>237.2126582278481</v>
      </c>
      <c r="AP5" s="130">
        <f>IFERROR(IF(OR(NOT(ISNUMBER('Price History'!W6)),NOT(ISNUMBER('Price History'!W5)),'Price History'!W5=0),"",'Price History'!W6/'Price History'!W5-1),"")</f>
        <v>-1.9430732065959355E-2</v>
      </c>
      <c r="AQ5" s="130" t="str">
        <f>IFERROR(IF(OR(NOT(ISNUMBER('Price History'!X6)),NOT(ISNUMBER('Price History'!X5)),'Price History'!X5=0),"",'Price History'!X6/'Price History'!X5-1),"")</f>
        <v/>
      </c>
      <c r="AR5" s="130">
        <f>IFERROR(IF(OR(NOT(ISNUMBER('Price History'!Y6)),NOT(ISNUMBER('Price History'!Y5)),'Price History'!Y5=0),"",'Price History'!Y6/'Price History'!Y5-1),"")</f>
        <v>-3.5756853396902155E-3</v>
      </c>
      <c r="AS5" s="130">
        <f>IFERROR(IF(OR(NOT(ISNUMBER('Price History'!Z6)),NOT(ISNUMBER('Price History'!Z5)),'Price History'!Z5=0),"",'Price History'!Z6/'Price History'!Z5-1),"")</f>
        <v>8.4043288049735487E-3</v>
      </c>
      <c r="AT5" s="130">
        <f>IFERROR(IF(OR(NOT(ISNUMBER('Price History'!AA6)),NOT(ISNUMBER('Price History'!AA5)),'Price History'!AA5=0),"",'Price History'!AA6/'Price History'!AA5-1),"")</f>
        <v>1.0328389830508433E-2</v>
      </c>
    </row>
    <row r="6" spans="1:46" ht="15" customHeight="1" x14ac:dyDescent="0.2">
      <c r="A6" s="128">
        <f>IF('Price History'!A7="","",'Price History'!A7)</f>
        <v>45212</v>
      </c>
      <c r="B6" s="129">
        <f>IFERROR(IF(OR(NOT(ISNUMBER('Price History'!B7)),NOT(ISNUMBER('Price History'!B6)),'Price History'!B6=0),"",'Price History'!B7/'Price History'!B6-1),"")</f>
        <v>4.1922989291410362E-2</v>
      </c>
      <c r="C6" s="129">
        <f>IFERROR(IF(OR(NOT(ISNUMBER('Price History'!C7)),NOT(ISNUMBER('Price History'!C6)),'Price History'!C6=0),"",'Price History'!C7/'Price History'!C6-1),"")</f>
        <v>-2.1645021645021578E-2</v>
      </c>
      <c r="D6" s="129">
        <f>IFERROR(IF(OR(NOT(ISNUMBER('Price History'!D7)),NOT(ISNUMBER('Price History'!D6)),'Price History'!D6=0),"",'Price History'!D7/'Price History'!D6-1),"")</f>
        <v>4.0158574885442722E-3</v>
      </c>
      <c r="E6" s="129">
        <f>IFERROR(IF(OR(NOT(ISNUMBER('Price History'!E7)),NOT(ISNUMBER('Price History'!E6)),'Price History'!E6=0),"",'Price History'!E7/'Price History'!E6-1),"")</f>
        <v>4.4849077355493039E-2</v>
      </c>
      <c r="F6" s="129">
        <f>IFERROR(IF(OR(NOT(ISNUMBER('Price History'!F7)),NOT(ISNUMBER('Price History'!F6)),'Price History'!F6=0),"",'Price History'!F7/'Price History'!F6-1),"")</f>
        <v>5.1165949739642169E-2</v>
      </c>
      <c r="G6" s="129">
        <f>IFERROR(IF(OR(NOT(ISNUMBER('Price History'!G7)),NOT(ISNUMBER('Price History'!G6)),'Price History'!G6=0),"",'Price History'!G7/'Price History'!G6-1),"")</f>
        <v>4.0262582056892704E-2</v>
      </c>
      <c r="H6" s="129">
        <f>IFERROR(IF(OR(NOT(ISNUMBER('Price History'!H7)),NOT(ISNUMBER('Price History'!H6)),'Price History'!H6=0),"",'Price History'!H7/'Price History'!H6-1),"")</f>
        <v>-1.067821067821062E-2</v>
      </c>
      <c r="I6" s="129">
        <f>IFERROR(IF(OR(NOT(ISNUMBER('Price History'!I7)),NOT(ISNUMBER('Price History'!I6)),'Price History'!I6=0),"",'Price History'!I7/'Price History'!I6-1),"")</f>
        <v>-6.5746219592374144E-3</v>
      </c>
      <c r="J6" s="129">
        <f>IFERROR(IF(OR(NOT(ISNUMBER('Price History'!J7)),NOT(ISNUMBER('Price History'!J6)),'Price History'!J6=0),"",'Price History'!J7/'Price History'!J6-1),"")</f>
        <v>6.8770226537218093E-3</v>
      </c>
      <c r="K6" s="129">
        <f>IFERROR(IF(OR(NOT(ISNUMBER('Price History'!K7)),NOT(ISNUMBER('Price History'!K6)),'Price History'!K6=0),"",'Price History'!K7/'Price History'!K6-1),"")</f>
        <v>4.5153521974714117E-2</v>
      </c>
      <c r="L6" s="129">
        <f>IFERROR(IF(OR(NOT(ISNUMBER('Price History'!L7)),NOT(ISNUMBER('Price History'!L6)),'Price History'!L6=0),"",'Price History'!L7/'Price History'!L6-1),"")</f>
        <v>1.3171698333138915E-2</v>
      </c>
      <c r="M6" s="129">
        <f>IFERROR(IF(OR(NOT(ISNUMBER('Price History'!M7)),NOT(ISNUMBER('Price History'!M6)),'Price History'!M6=0),"",'Price History'!M7/'Price History'!M6-1),"")</f>
        <v>-1.6910651186269443E-2</v>
      </c>
      <c r="N6" s="129">
        <f>IFERROR(IF(OR(NOT(ISNUMBER('Price History'!N7)),NOT(ISNUMBER('Price History'!N6)),'Price History'!N6=0),"",'Price History'!N7/'Price History'!N6-1),"")</f>
        <v>2.8783761299983279E-2</v>
      </c>
      <c r="O6" s="129">
        <f>IFERROR(IF(OR(NOT(ISNUMBER('Price History'!O7)),NOT(ISNUMBER('Price History'!O6)),'Price History'!O6=0),"",'Price History'!O7/'Price History'!O6-1),"")</f>
        <v>2.6363257943666785E-3</v>
      </c>
      <c r="P6" s="129">
        <f>IFERROR(IF(OR(NOT(ISNUMBER('Price History'!P7)),NOT(ISNUMBER('Price History'!P6)),'Price History'!P6=0),"",'Price History'!P7/'Price History'!P6-1),"")</f>
        <v>1.365946632782733E-2</v>
      </c>
      <c r="Q6" s="129">
        <f>IFERROR(IF(OR(NOT(ISNUMBER('Price History'!Q7)),NOT(ISNUMBER('Price History'!Q6)),'Price History'!Q6=0),"",'Price History'!Q7/'Price History'!Q6-1),"")</f>
        <v>3.4651447207501018E-3</v>
      </c>
      <c r="R6" s="129">
        <f>IFERROR(IF(OR(NOT(ISNUMBER('Price History'!R7)),NOT(ISNUMBER('Price History'!R6)),'Price History'!R6=0),"",'Price History'!R7/'Price History'!R6-1),"")</f>
        <v>2.646280505733678E-3</v>
      </c>
      <c r="S6" s="129">
        <f>IFERROR(IF(OR(NOT(ISNUMBER('Price History'!S7)),NOT(ISNUMBER('Price History'!S6)),'Price History'!S6=0),"",'Price History'!S7/'Price History'!S6-1),"")</f>
        <v>5.6457304163726185E-3</v>
      </c>
      <c r="T6" s="129">
        <f>IFERROR(IF(OR(NOT(ISNUMBER('Price History'!T7)),NOT(ISNUMBER('Price History'!T6)),'Price History'!T6=0),"",'Price History'!T7/'Price History'!T6-1),"")</f>
        <v>1.4303228442991367E-2</v>
      </c>
      <c r="U6" s="129">
        <f>IFERROR(IF(OR(NOT(ISNUMBER('Price History'!U7)),NOT(ISNUMBER('Price History'!U6)),'Price History'!U6=0),"",'Price History'!U7/'Price History'!U6-1),"")</f>
        <v>1.0096153846153921E-2</v>
      </c>
      <c r="V6" s="130">
        <f>IFERROR(IF(OR(NOT(ISNUMBER('Price History'!V7)),NOT(ISNUMBER('Price History'!V6)),'Price History'!V6=0),"",'Price History'!V7/'Price History'!V6-1),"")</f>
        <v>1.1186558718551343E-2</v>
      </c>
      <c r="W6" s="131">
        <f>IFERROR('Price History'!B3+(INDEX('Price History'!B:B,MATCH(9.99E+307,'Returns (Calc)'!$A:$A)+1)-'Price History'!B3)*(ROW()-3)/(MATCH(9.99E+307,'Returns (Calc)'!$A:$A)-3),"")</f>
        <v>523.36088607594934</v>
      </c>
      <c r="X6" s="131">
        <f>IFERROR('Price History'!C3+(INDEX('Price History'!C:C,MATCH(9.99E+307,'Returns (Calc)'!$A:$A)+1)-'Price History'!C3)*(ROW()-3)/(MATCH(9.99E+307,'Returns (Calc)'!$A:$A)-3),"")</f>
        <v>49.240189873417719</v>
      </c>
      <c r="Y6" s="131">
        <f>IFERROR('Price History'!D3+(INDEX('Price History'!D:D,MATCH(9.99E+307,'Returns (Calc)'!$A:$A)+1)-'Price History'!D3)*(ROW()-3)/(MATCH(9.99E+307,'Returns (Calc)'!$A:$A)-3),"")</f>
        <v>606.41443037974682</v>
      </c>
      <c r="Z6" s="131">
        <f>IFERROR('Price History'!E3+(INDEX('Price History'!E:E,MATCH(9.99E+307,'Returns (Calc)'!$A:$A)+1)-'Price History'!E3)*(ROW()-3)/(MATCH(9.99E+307,'Returns (Calc)'!$A:$A)-3),"")</f>
        <v>87.186202531645563</v>
      </c>
      <c r="AA6" s="131">
        <f>IFERROR('Price History'!F3+(INDEX('Price History'!F:F,MATCH(9.99E+307,'Returns (Calc)'!$A:$A)+1)-'Price History'!F3)*(ROW()-3)/(MATCH(9.99E+307,'Returns (Calc)'!$A:$A)-3),"")</f>
        <v>45.702025316455696</v>
      </c>
      <c r="AB6" s="131">
        <f>IFERROR('Price History'!G3+(INDEX('Price History'!G:G,MATCH(9.99E+307,'Returns (Calc)'!$A:$A)+1)-'Price History'!G3)*(ROW()-3)/(MATCH(9.99E+307,'Returns (Calc)'!$A:$A)-3),"")</f>
        <v>47.43620253164557</v>
      </c>
      <c r="AC6" s="131">
        <f>IFERROR('Price History'!H3+(INDEX('Price History'!H:H,MATCH(9.99E+307,'Returns (Calc)'!$A:$A)+1)-'Price History'!H3)*(ROW()-3)/(MATCH(9.99E+307,'Returns (Calc)'!$A:$A)-3),"")</f>
        <v>88.20708860759494</v>
      </c>
      <c r="AD6" s="131">
        <f>IFERROR('Price History'!I3+(INDEX('Price History'!I:I,MATCH(9.99E+307,'Returns (Calc)'!$A:$A)+1)-'Price History'!I3)*(ROW()-3)/(MATCH(9.99E+307,'Returns (Calc)'!$A:$A)-3),"")</f>
        <v>47.381012658227853</v>
      </c>
      <c r="AE6" s="131">
        <f>IFERROR('Price History'!J3+(INDEX('Price History'!J:J,MATCH(9.99E+307,'Returns (Calc)'!$A:$A)+1)-'Price History'!J3)*(ROW()-3)/(MATCH(9.99E+307,'Returns (Calc)'!$A:$A)-3),"")</f>
        <v>112.16411392405064</v>
      </c>
      <c r="AF6" s="131">
        <f>IFERROR('Price History'!K3+(INDEX('Price History'!K:K,MATCH(9.99E+307,'Returns (Calc)'!$A:$A)+1)-'Price History'!K3)*(ROW()-3)/(MATCH(9.99E+307,'Returns (Calc)'!$A:$A)-3),"")</f>
        <v>18.622784810126582</v>
      </c>
      <c r="AG6" s="131">
        <f>IFERROR('Price History'!L3+(INDEX('Price History'!L:L,MATCH(9.99E+307,'Returns (Calc)'!$A:$A)+1)-'Price History'!L3)*(ROW()-3)/(MATCH(9.99E+307,'Returns (Calc)'!$A:$A)-3),"")</f>
        <v>93.098670886075951</v>
      </c>
      <c r="AH6" s="131">
        <f>IFERROR('Price History'!M3+(INDEX('Price History'!M:M,MATCH(9.99E+307,'Returns (Calc)'!$A:$A)+1)-'Price History'!M3)*(ROW()-3)/(MATCH(9.99E+307,'Returns (Calc)'!$A:$A)-3),"")</f>
        <v>42.086329113924052</v>
      </c>
      <c r="AI6" s="131">
        <f>IFERROR('Price History'!N3+(INDEX('Price History'!N:N,MATCH(9.99E+307,'Returns (Calc)'!$A:$A)+1)-'Price History'!N3)*(ROW()-3)/(MATCH(9.99E+307,'Returns (Calc)'!$A:$A)-3),"")</f>
        <v>351.8587974683544</v>
      </c>
      <c r="AJ6" s="131">
        <f>IFERROR('Price History'!O3+(INDEX('Price History'!O:O,MATCH(9.99E+307,'Returns (Calc)'!$A:$A)+1)-'Price History'!O3)*(ROW()-3)/(MATCH(9.99E+307,'Returns (Calc)'!$A:$A)-3),"")</f>
        <v>76.159113924050629</v>
      </c>
      <c r="AK6" s="131">
        <f>IFERROR('Price History'!Q3+(INDEX('Price History'!Q:Q,MATCH(9.99E+307,'Returns (Calc)'!$A:$A)+1)-'Price History'!Q3)*(ROW()-3)/(MATCH(9.99E+307,'Returns (Calc)'!$A:$A)-3),"")</f>
        <v>1.3181012658227849</v>
      </c>
      <c r="AL6" s="131">
        <f>IFERROR('Price History'!R3+(INDEX('Price History'!R:R,MATCH(9.99E+307,'Returns (Calc)'!$A:$A)+1)-'Price History'!R3)*(ROW()-3)/(MATCH(9.99E+307,'Returns (Calc)'!$A:$A)-3),"")</f>
        <v>34.98430379746835</v>
      </c>
      <c r="AM6" s="131">
        <f>IFERROR('Price History'!S3+(INDEX('Price History'!S:S,MATCH(9.99E+307,'Returns (Calc)'!$A:$A)+1)-'Price History'!S3)*(ROW()-3)/(MATCH(9.99E+307,'Returns (Calc)'!$A:$A)-3),"")</f>
        <v>59.445189873417725</v>
      </c>
      <c r="AN6" s="131">
        <f>IFERROR('Price History'!T3+(INDEX('Price History'!T:T,MATCH(9.99E+307,'Returns (Calc)'!$A:$A)+1)-'Price History'!T3)*(ROW()-3)/(MATCH(9.99E+307,'Returns (Calc)'!$A:$A)-3),"")</f>
        <v>25.744683544303797</v>
      </c>
      <c r="AO6" s="132">
        <f>IFERROR('Price History'!V3+(INDEX('Price History'!V:V,MATCH(9.99E+307,'Returns (Calc)'!$A:$A)+1)-'Price History'!V3)*(ROW()-3)/(MATCH(9.99E+307,'Returns (Calc)'!$A:$A)-3),"")</f>
        <v>238.00398734177216</v>
      </c>
      <c r="AP6" s="130">
        <f>IFERROR(IF(OR(NOT(ISNUMBER('Price History'!W7)),NOT(ISNUMBER('Price History'!W6)),'Price History'!W6=0),"",'Price History'!W7/'Price History'!W6-1),"")</f>
        <v>1.1353898886032665E-2</v>
      </c>
      <c r="AQ6" s="130" t="str">
        <f>IFERROR(IF(OR(NOT(ISNUMBER('Price History'!X7)),NOT(ISNUMBER('Price History'!X6)),'Price History'!X6=0),"",'Price History'!X7/'Price History'!X6-1),"")</f>
        <v/>
      </c>
      <c r="AR6" s="130">
        <f>IFERROR(IF(OR(NOT(ISNUMBER('Price History'!Y7)),NOT(ISNUMBER('Price History'!Y6)),'Price History'!Y6=0),"",'Price History'!Y7/'Price History'!Y6-1),"")</f>
        <v>8.612440191387627E-3</v>
      </c>
      <c r="AS6" s="130">
        <f>IFERROR(IF(OR(NOT(ISNUMBER('Price History'!Z7)),NOT(ISNUMBER('Price History'!Z6)),'Price History'!Z6=0),"",'Price History'!Z7/'Price History'!Z6-1),"")</f>
        <v>-1.8837766868364025E-2</v>
      </c>
      <c r="AT6" s="130">
        <f>IFERROR(IF(OR(NOT(ISNUMBER('Price History'!AA7)),NOT(ISNUMBER('Price History'!AA6)),'Price History'!AA6=0),"",'Price History'!AA7/'Price History'!AA6-1),"")</f>
        <v>-6.7627785058977707E-2</v>
      </c>
    </row>
    <row r="7" spans="1:46" ht="15" customHeight="1" x14ac:dyDescent="0.2">
      <c r="A7" s="128">
        <f>IF('Price History'!A8="","",'Price History'!A8)</f>
        <v>45219</v>
      </c>
      <c r="B7" s="129">
        <f>IFERROR(IF(OR(NOT(ISNUMBER('Price History'!B8)),NOT(ISNUMBER('Price History'!B7)),'Price History'!B7=0),"",'Price History'!B8/'Price History'!B7-1),"")</f>
        <v>-1.4213863984255282E-2</v>
      </c>
      <c r="C7" s="129">
        <f>IFERROR(IF(OR(NOT(ISNUMBER('Price History'!C8)),NOT(ISNUMBER('Price History'!C7)),'Price History'!C7=0),"",'Price History'!C8/'Price History'!C7-1),"")</f>
        <v>-1.9595448798988668E-2</v>
      </c>
      <c r="D7" s="129">
        <f>IFERROR(IF(OR(NOT(ISNUMBER('Price History'!D8)),NOT(ISNUMBER('Price History'!D7)),'Price History'!D7=0),"",'Price History'!D8/'Price History'!D7-1),"")</f>
        <v>-3.2767550382031607E-2</v>
      </c>
      <c r="E7" s="129">
        <f>IFERROR(IF(OR(NOT(ISNUMBER('Price History'!E8)),NOT(ISNUMBER('Price History'!E7)),'Price History'!E7=0),"",'Price History'!E8/'Price History'!E7-1),"")</f>
        <v>-3.3450292397660841E-2</v>
      </c>
      <c r="F7" s="129">
        <f>IFERROR(IF(OR(NOT(ISNUMBER('Price History'!F8)),NOT(ISNUMBER('Price History'!F7)),'Price History'!F7=0),"",'Price History'!F8/'Price History'!F7-1),"")</f>
        <v>-3.7475769976308415E-2</v>
      </c>
      <c r="G7" s="129">
        <f>IFERROR(IF(OR(NOT(ISNUMBER('Price History'!G8)),NOT(ISNUMBER('Price History'!G7)),'Price History'!G7=0),"",'Price History'!G8/'Price History'!G7-1),"")</f>
        <v>-5.006310475389153E-2</v>
      </c>
      <c r="H7" s="129">
        <f>IFERROR(IF(OR(NOT(ISNUMBER('Price History'!H8)),NOT(ISNUMBER('Price History'!H7)),'Price History'!H7=0),"",'Price History'!H8/'Price History'!H7-1),"")</f>
        <v>-2.87339556592765E-2</v>
      </c>
      <c r="I7" s="129">
        <f>IFERROR(IF(OR(NOT(ISNUMBER('Price History'!I8)),NOT(ISNUMBER('Price History'!I7)),'Price History'!I7=0),"",'Price History'!I8/'Price History'!I7-1),"")</f>
        <v>-8.9786013677476295E-2</v>
      </c>
      <c r="J7" s="129">
        <f>IFERROR(IF(OR(NOT(ISNUMBER('Price History'!J8)),NOT(ISNUMBER('Price History'!J7)),'Price History'!J7=0),"",'Price History'!J8/'Price History'!J7-1),"")</f>
        <v>-6.588991562876656E-2</v>
      </c>
      <c r="K7" s="129">
        <f>IFERROR(IF(OR(NOT(ISNUMBER('Price History'!K8)),NOT(ISNUMBER('Price History'!K7)),'Price History'!K7=0),"",'Price History'!K8/'Price History'!K7-1),"")</f>
        <v>-7.2004608294930827E-2</v>
      </c>
      <c r="L7" s="129">
        <f>IFERROR(IF(OR(NOT(ISNUMBER('Price History'!L8)),NOT(ISNUMBER('Price History'!L7)),'Price History'!L7=0),"",'Price History'!L8/'Price History'!L7-1),"")</f>
        <v>9.3189139438565327E-3</v>
      </c>
      <c r="M7" s="129">
        <f>IFERROR(IF(OR(NOT(ISNUMBER('Price History'!M8)),NOT(ISNUMBER('Price History'!M7)),'Price History'!M7=0),"",'Price History'!M8/'Price History'!M7-1),"")</f>
        <v>-6.0333761232349237E-2</v>
      </c>
      <c r="N7" s="129">
        <f>IFERROR(IF(OR(NOT(ISNUMBER('Price History'!N8)),NOT(ISNUMBER('Price History'!N7)),'Price History'!N7=0),"",'Price History'!N8/'Price History'!N7-1),"")</f>
        <v>-2.4636118598382661E-2</v>
      </c>
      <c r="O7" s="129">
        <f>IFERROR(IF(OR(NOT(ISNUMBER('Price History'!O8)),NOT(ISNUMBER('Price History'!O7)),'Price History'!O7=0),"",'Price History'!O8/'Price History'!O7-1),"")</f>
        <v>-1.6745087185164764E-2</v>
      </c>
      <c r="P7" s="129">
        <f>IFERROR(IF(OR(NOT(ISNUMBER('Price History'!P8)),NOT(ISNUMBER('Price History'!P7)),'Price History'!P7=0),"",'Price History'!P8/'Price History'!P7-1),"")</f>
        <v>-1.9011804032173951E-2</v>
      </c>
      <c r="Q7" s="129">
        <f>IFERROR(IF(OR(NOT(ISNUMBER('Price History'!Q8)),NOT(ISNUMBER('Price History'!Q7)),'Price History'!Q7=0),"",'Price History'!Q8/'Price History'!Q7-1),"")</f>
        <v>-1.137517773715202E-2</v>
      </c>
      <c r="R7" s="129">
        <f>IFERROR(IF(OR(NOT(ISNUMBER('Price History'!R8)),NOT(ISNUMBER('Price History'!R7)),'Price History'!R7=0),"",'Price History'!R8/'Price History'!R7-1),"")</f>
        <v>-1.9648093841642233E-2</v>
      </c>
      <c r="S7" s="129">
        <f>IFERROR(IF(OR(NOT(ISNUMBER('Price History'!S8)),NOT(ISNUMBER('Price History'!S7)),'Price History'!S7=0),"",'Price History'!S8/'Price History'!S7-1),"")</f>
        <v>-2.8947368421052611E-2</v>
      </c>
      <c r="T7" s="129">
        <f>IFERROR(IF(OR(NOT(ISNUMBER('Price History'!T8)),NOT(ISNUMBER('Price History'!T7)),'Price History'!T7=0),"",'Price History'!T8/'Price History'!T7-1),"")</f>
        <v>-1.248992747784039E-2</v>
      </c>
      <c r="U7" s="129">
        <f>IFERROR(IF(OR(NOT(ISNUMBER('Price History'!U8)),NOT(ISNUMBER('Price History'!U7)),'Price History'!U7=0),"",'Price History'!U8/'Price History'!U7-1),"")</f>
        <v>-1.4754878629224311E-2</v>
      </c>
      <c r="V7" s="130">
        <f>IFERROR(IF(OR(NOT(ISNUMBER('Price History'!V8)),NOT(ISNUMBER('Price History'!V7)),'Price History'!V7=0),"",'Price History'!V8/'Price History'!V7-1),"")</f>
        <v>-1.8036244673066193E-2</v>
      </c>
      <c r="W7" s="131">
        <f>IFERROR('Price History'!B3+(INDEX('Price History'!B:B,MATCH(9.99E+307,'Returns (Calc)'!$A:$A)+1)-'Price History'!B3)*(ROW()-3)/(MATCH(9.99E+307,'Returns (Calc)'!$A:$A)-3),"")</f>
        <v>521.51784810126583</v>
      </c>
      <c r="X7" s="131">
        <f>IFERROR('Price History'!C3+(INDEX('Price History'!C:C,MATCH(9.99E+307,'Returns (Calc)'!$A:$A)+1)-'Price History'!C3)*(ROW()-3)/(MATCH(9.99E+307,'Returns (Calc)'!$A:$A)-3),"")</f>
        <v>50.260253164556964</v>
      </c>
      <c r="Y7" s="131">
        <f>IFERROR('Price History'!D3+(INDEX('Price History'!D:D,MATCH(9.99E+307,'Returns (Calc)'!$A:$A)+1)-'Price History'!D3)*(ROW()-3)/(MATCH(9.99E+307,'Returns (Calc)'!$A:$A)-3),"")</f>
        <v>614.54924050632906</v>
      </c>
      <c r="Z7" s="131">
        <f>IFERROR('Price History'!E3+(INDEX('Price History'!E:E,MATCH(9.99E+307,'Returns (Calc)'!$A:$A)+1)-'Price History'!E3)*(ROW()-3)/(MATCH(9.99E+307,'Returns (Calc)'!$A:$A)-3),"")</f>
        <v>88.914936708860765</v>
      </c>
      <c r="AA7" s="131">
        <f>IFERROR('Price History'!F3+(INDEX('Price History'!F:F,MATCH(9.99E+307,'Returns (Calc)'!$A:$A)+1)-'Price History'!F3)*(ROW()-3)/(MATCH(9.99E+307,'Returns (Calc)'!$A:$A)-3),"")</f>
        <v>47.149367088607598</v>
      </c>
      <c r="AB7" s="131">
        <f>IFERROR('Price History'!G3+(INDEX('Price History'!G:G,MATCH(9.99E+307,'Returns (Calc)'!$A:$A)+1)-'Price History'!G3)*(ROW()-3)/(MATCH(9.99E+307,'Returns (Calc)'!$A:$A)-3),"")</f>
        <v>48.464936708860762</v>
      </c>
      <c r="AC7" s="131">
        <f>IFERROR('Price History'!H3+(INDEX('Price History'!H:H,MATCH(9.99E+307,'Returns (Calc)'!$A:$A)+1)-'Price History'!H3)*(ROW()-3)/(MATCH(9.99E+307,'Returns (Calc)'!$A:$A)-3),"")</f>
        <v>94.572784810126592</v>
      </c>
      <c r="AD7" s="131">
        <f>IFERROR('Price History'!I3+(INDEX('Price History'!I:I,MATCH(9.99E+307,'Returns (Calc)'!$A:$A)+1)-'Price History'!I3)*(ROW()-3)/(MATCH(9.99E+307,'Returns (Calc)'!$A:$A)-3),"")</f>
        <v>48.5846835443038</v>
      </c>
      <c r="AE7" s="131">
        <f>IFERROR('Price History'!J3+(INDEX('Price History'!J:J,MATCH(9.99E+307,'Returns (Calc)'!$A:$A)+1)-'Price History'!J3)*(ROW()-3)/(MATCH(9.99E+307,'Returns (Calc)'!$A:$A)-3),"")</f>
        <v>112.27215189873418</v>
      </c>
      <c r="AF7" s="131">
        <f>IFERROR('Price History'!K3+(INDEX('Price History'!K:K,MATCH(9.99E+307,'Returns (Calc)'!$A:$A)+1)-'Price History'!K3)*(ROW()-3)/(MATCH(9.99E+307,'Returns (Calc)'!$A:$A)-3),"")</f>
        <v>19.720379746835441</v>
      </c>
      <c r="AG7" s="131">
        <f>IFERROR('Price History'!L3+(INDEX('Price History'!L:L,MATCH(9.99E+307,'Returns (Calc)'!$A:$A)+1)-'Price History'!L3)*(ROW()-3)/(MATCH(9.99E+307,'Returns (Calc)'!$A:$A)-3),"")</f>
        <v>95.548227848101263</v>
      </c>
      <c r="AH7" s="131">
        <f>IFERROR('Price History'!M3+(INDEX('Price History'!M:M,MATCH(9.99E+307,'Returns (Calc)'!$A:$A)+1)-'Price History'!M3)*(ROW()-3)/(MATCH(9.99E+307,'Returns (Calc)'!$A:$A)-3),"")</f>
        <v>43.441772151898739</v>
      </c>
      <c r="AI7" s="131">
        <f>IFERROR('Price History'!N3+(INDEX('Price History'!N:N,MATCH(9.99E+307,'Returns (Calc)'!$A:$A)+1)-'Price History'!N3)*(ROW()-3)/(MATCH(9.99E+307,'Returns (Calc)'!$A:$A)-3),"")</f>
        <v>352.84506329113924</v>
      </c>
      <c r="AJ7" s="131">
        <f>IFERROR('Price History'!O3+(INDEX('Price History'!O:O,MATCH(9.99E+307,'Returns (Calc)'!$A:$A)+1)-'Price History'!O3)*(ROW()-3)/(MATCH(9.99E+307,'Returns (Calc)'!$A:$A)-3),"")</f>
        <v>76.442151898734181</v>
      </c>
      <c r="AK7" s="131">
        <f>IFERROR('Price History'!Q3+(INDEX('Price History'!Q:Q,MATCH(9.99E+307,'Returns (Calc)'!$A:$A)+1)-'Price History'!Q3)*(ROW()-3)/(MATCH(9.99E+307,'Returns (Calc)'!$A:$A)-3),"")</f>
        <v>1.7574683544303797</v>
      </c>
      <c r="AL7" s="131">
        <f>IFERROR('Price History'!R3+(INDEX('Price History'!R:R,MATCH(9.99E+307,'Returns (Calc)'!$A:$A)+1)-'Price History'!R3)*(ROW()-3)/(MATCH(9.99E+307,'Returns (Calc)'!$A:$A)-3),"")</f>
        <v>35.152405063291134</v>
      </c>
      <c r="AM7" s="131">
        <f>IFERROR('Price History'!S3+(INDEX('Price History'!S:S,MATCH(9.99E+307,'Returns (Calc)'!$A:$A)+1)-'Price History'!S3)*(ROW()-3)/(MATCH(9.99E+307,'Returns (Calc)'!$A:$A)-3),"")</f>
        <v>60.050253164556963</v>
      </c>
      <c r="AN7" s="131">
        <f>IFERROR('Price History'!T3+(INDEX('Price History'!T:T,MATCH(9.99E+307,'Returns (Calc)'!$A:$A)+1)-'Price History'!T3)*(ROW()-3)/(MATCH(9.99E+307,'Returns (Calc)'!$A:$A)-3),"")</f>
        <v>25.912911392405061</v>
      </c>
      <c r="AO7" s="132">
        <f>IFERROR('Price History'!V3+(INDEX('Price History'!V:V,MATCH(9.99E+307,'Returns (Calc)'!$A:$A)+1)-'Price History'!V3)*(ROW()-3)/(MATCH(9.99E+307,'Returns (Calc)'!$A:$A)-3),"")</f>
        <v>238.7953164556962</v>
      </c>
      <c r="AP7" s="130">
        <f>IFERROR(IF(OR(NOT(ISNUMBER('Price History'!W8)),NOT(ISNUMBER('Price History'!W7)),'Price History'!W7=0),"",'Price History'!W8/'Price History'!W7-1),"")</f>
        <v>-1.2179622961237091E-2</v>
      </c>
      <c r="AQ7" s="130" t="str">
        <f>IFERROR(IF(OR(NOT(ISNUMBER('Price History'!X8)),NOT(ISNUMBER('Price History'!X7)),'Price History'!X7=0),"",'Price History'!X8/'Price History'!X7-1),"")</f>
        <v/>
      </c>
      <c r="AR7" s="130">
        <f>IFERROR(IF(OR(NOT(ISNUMBER('Price History'!Y8)),NOT(ISNUMBER('Price History'!Y7)),'Price History'!Y7=0),"",'Price History'!Y8/'Price History'!Y7-1),"")</f>
        <v>-1.4705882352941124E-2</v>
      </c>
      <c r="AS7" s="130">
        <f>IFERROR(IF(OR(NOT(ISNUMBER('Price History'!Z8)),NOT(ISNUMBER('Price History'!Z7)),'Price History'!Z7=0),"",'Price History'!Z8/'Price History'!Z7-1),"")</f>
        <v>-3.0137305096579081E-2</v>
      </c>
      <c r="AT7" s="130">
        <f>IFERROR(IF(OR(NOT(ISNUMBER('Price History'!AA8)),NOT(ISNUMBER('Price History'!AA7)),'Price History'!AA7=0),"",'Price History'!AA8/'Price History'!AA7-1),"")</f>
        <v>0.12735451222940686</v>
      </c>
    </row>
    <row r="8" spans="1:46" ht="15" customHeight="1" x14ac:dyDescent="0.2">
      <c r="A8" s="128">
        <f>IF('Price History'!A9="","",'Price History'!A9)</f>
        <v>45226</v>
      </c>
      <c r="B8" s="129">
        <f>IFERROR(IF(OR(NOT(ISNUMBER('Price History'!B9)),NOT(ISNUMBER('Price History'!B8)),'Price History'!B8=0),"",'Price History'!B9/'Price History'!B8-1),"")</f>
        <v>-6.0706891452233069E-2</v>
      </c>
      <c r="C8" s="129">
        <f>IFERROR(IF(OR(NOT(ISNUMBER('Price History'!C9)),NOT(ISNUMBER('Price History'!C8)),'Price History'!C8=0),"",'Price History'!C9/'Price History'!C8-1),"")</f>
        <v>-5.3298946915968259E-2</v>
      </c>
      <c r="D8" s="129">
        <f>IFERROR(IF(OR(NOT(ISNUMBER('Price History'!D9)),NOT(ISNUMBER('Price History'!D8)),'Price History'!D8=0),"",'Price History'!D9/'Price History'!D8-1),"")</f>
        <v>1.7071360407167724E-2</v>
      </c>
      <c r="E8" s="129">
        <f>IFERROR(IF(OR(NOT(ISNUMBER('Price History'!E9)),NOT(ISNUMBER('Price History'!E8)),'Price History'!E8=0),"",'Price History'!E9/'Price History'!E8-1),"")</f>
        <v>-1.7909002904162641E-2</v>
      </c>
      <c r="F8" s="129">
        <f>IFERROR(IF(OR(NOT(ISNUMBER('Price History'!F9)),NOT(ISNUMBER('Price History'!F8)),'Price History'!F8=0),"",'Price History'!F9/'Price History'!F8-1),"")</f>
        <v>-3.3117028417990579E-2</v>
      </c>
      <c r="G8" s="129">
        <f>IFERROR(IF(OR(NOT(ISNUMBER('Price History'!G9)),NOT(ISNUMBER('Price History'!G8)),'Price History'!G8=0),"",'Price History'!G9/'Price History'!G8-1),"")</f>
        <v>-9.7431355181576418E-3</v>
      </c>
      <c r="H8" s="129">
        <f>IFERROR(IF(OR(NOT(ISNUMBER('Price History'!H9)),NOT(ISNUMBER('Price History'!H8)),'Price History'!H8=0),"",'Price History'!H9/'Price History'!H8-1),"")</f>
        <v>-2.3426940982129496E-2</v>
      </c>
      <c r="I8" s="129">
        <f>IFERROR(IF(OR(NOT(ISNUMBER('Price History'!I9)),NOT(ISNUMBER('Price History'!I8)),'Price History'!I8=0),"",'Price History'!I9/'Price History'!I8-1),"")</f>
        <v>-2.1328162869607259E-2</v>
      </c>
      <c r="J8" s="129">
        <f>IFERROR(IF(OR(NOT(ISNUMBER('Price History'!J9)),NOT(ISNUMBER('Price History'!J8)),'Price History'!J8=0),"",'Price History'!J9/'Price History'!J8-1),"")</f>
        <v>-4.9892473118279601E-2</v>
      </c>
      <c r="K8" s="129">
        <f>IFERROR(IF(OR(NOT(ISNUMBER('Price History'!K9)),NOT(ISNUMBER('Price History'!K8)),'Price History'!K8=0),"",'Price History'!K9/'Price History'!K8-1),"")</f>
        <v>-6.4556176288019795E-2</v>
      </c>
      <c r="L8" s="129">
        <f>IFERROR(IF(OR(NOT(ISNUMBER('Price History'!L9)),NOT(ISNUMBER('Price History'!L8)),'Price History'!L8=0),"",'Price History'!L9/'Price History'!L8-1),"")</f>
        <v>-5.8246893878946771E-2</v>
      </c>
      <c r="M8" s="129">
        <f>IFERROR(IF(OR(NOT(ISNUMBER('Price History'!M9)),NOT(ISNUMBER('Price History'!M8)),'Price History'!M8=0),"",'Price History'!M9/'Price History'!M8-1),"")</f>
        <v>-8.7431693989070691E-3</v>
      </c>
      <c r="N8" s="129">
        <f>IFERROR(IF(OR(NOT(ISNUMBER('Price History'!N9)),NOT(ISNUMBER('Price History'!N8)),'Price History'!N8=0),"",'Price History'!N9/'Price History'!N8-1),"")</f>
        <v>-1.8183827999779023E-2</v>
      </c>
      <c r="O8" s="129">
        <f>IFERROR(IF(OR(NOT(ISNUMBER('Price History'!O9)),NOT(ISNUMBER('Price History'!O8)),'Price History'!O8=0),"",'Price History'!O9/'Price History'!O8-1),"")</f>
        <v>-1.5482054890921804E-2</v>
      </c>
      <c r="P8" s="129">
        <f>IFERROR(IF(OR(NOT(ISNUMBER('Price History'!P9)),NOT(ISNUMBER('Price History'!P8)),'Price History'!P8=0),"",'Price History'!P9/'Price History'!P8-1),"")</f>
        <v>-1.6079224789692148E-2</v>
      </c>
      <c r="Q8" s="129">
        <f>IFERROR(IF(OR(NOT(ISNUMBER('Price History'!Q9)),NOT(ISNUMBER('Price History'!Q8)),'Price History'!Q8=0),"",'Price History'!Q9/'Price History'!Q8-1),"")</f>
        <v>-1.7259091843024543E-2</v>
      </c>
      <c r="R8" s="129">
        <f>IFERROR(IF(OR(NOT(ISNUMBER('Price History'!R9)),NOT(ISNUMBER('Price History'!R8)),'Price History'!R8=0),"",'Price History'!R9/'Price History'!R8-1),"")</f>
        <v>-2.0939276099312121E-2</v>
      </c>
      <c r="S8" s="129">
        <f>IFERROR(IF(OR(NOT(ISNUMBER('Price History'!S9)),NOT(ISNUMBER('Price History'!S8)),'Price History'!S8=0),"",'Price History'!S9/'Price History'!S8-1),"")</f>
        <v>-2.0234869015356871E-2</v>
      </c>
      <c r="T8" s="129">
        <f>IFERROR(IF(OR(NOT(ISNUMBER('Price History'!T9)),NOT(ISNUMBER('Price History'!T8)),'Price History'!T8=0),"",'Price History'!T9/'Price History'!T8-1),"")</f>
        <v>-3.3047735618115137E-2</v>
      </c>
      <c r="U8" s="129">
        <f>IFERROR(IF(OR(NOT(ISNUMBER('Price History'!U9)),NOT(ISNUMBER('Price History'!U8)),'Price History'!U8=0),"",'Price History'!U9/'Price History'!U8-1),"")</f>
        <v>-3.4299516908212646E-2</v>
      </c>
      <c r="V8" s="130">
        <f>IFERROR(IF(OR(NOT(ISNUMBER('Price History'!V9)),NOT(ISNUMBER('Price History'!V8)),'Price History'!V8=0),"",'Price History'!V9/'Price History'!V8-1),"")</f>
        <v>-1.7622304050499804E-2</v>
      </c>
      <c r="W8" s="131">
        <f>IFERROR('Price History'!B3+(INDEX('Price History'!B:B,MATCH(9.99E+307,'Returns (Calc)'!$A:$A)+1)-'Price History'!B3)*(ROW()-3)/(MATCH(9.99E+307,'Returns (Calc)'!$A:$A)-3),"")</f>
        <v>519.67481012658232</v>
      </c>
      <c r="X8" s="131">
        <f>IFERROR('Price History'!C3+(INDEX('Price History'!C:C,MATCH(9.99E+307,'Returns (Calc)'!$A:$A)+1)-'Price History'!C3)*(ROW()-3)/(MATCH(9.99E+307,'Returns (Calc)'!$A:$A)-3),"")</f>
        <v>51.280316455696202</v>
      </c>
      <c r="Y8" s="131">
        <f>IFERROR('Price History'!D3+(INDEX('Price History'!D:D,MATCH(9.99E+307,'Returns (Calc)'!$A:$A)+1)-'Price History'!D3)*(ROW()-3)/(MATCH(9.99E+307,'Returns (Calc)'!$A:$A)-3),"")</f>
        <v>622.68405063291141</v>
      </c>
      <c r="Z8" s="131">
        <f>IFERROR('Price History'!E3+(INDEX('Price History'!E:E,MATCH(9.99E+307,'Returns (Calc)'!$A:$A)+1)-'Price History'!E3)*(ROW()-3)/(MATCH(9.99E+307,'Returns (Calc)'!$A:$A)-3),"")</f>
        <v>90.643670886075952</v>
      </c>
      <c r="AA8" s="131">
        <f>IFERROR('Price History'!F3+(INDEX('Price History'!F:F,MATCH(9.99E+307,'Returns (Calc)'!$A:$A)+1)-'Price History'!F3)*(ROW()-3)/(MATCH(9.99E+307,'Returns (Calc)'!$A:$A)-3),"")</f>
        <v>48.596708860759492</v>
      </c>
      <c r="AB8" s="131">
        <f>IFERROR('Price History'!G3+(INDEX('Price History'!G:G,MATCH(9.99E+307,'Returns (Calc)'!$A:$A)+1)-'Price History'!G3)*(ROW()-3)/(MATCH(9.99E+307,'Returns (Calc)'!$A:$A)-3),"")</f>
        <v>49.493670886075947</v>
      </c>
      <c r="AC8" s="131">
        <f>IFERROR('Price History'!H3+(INDEX('Price History'!H:H,MATCH(9.99E+307,'Returns (Calc)'!$A:$A)+1)-'Price History'!H3)*(ROW()-3)/(MATCH(9.99E+307,'Returns (Calc)'!$A:$A)-3),"")</f>
        <v>100.93848101265823</v>
      </c>
      <c r="AD8" s="131">
        <f>IFERROR('Price History'!I3+(INDEX('Price History'!I:I,MATCH(9.99E+307,'Returns (Calc)'!$A:$A)+1)-'Price History'!I3)*(ROW()-3)/(MATCH(9.99E+307,'Returns (Calc)'!$A:$A)-3),"")</f>
        <v>49.788354430379748</v>
      </c>
      <c r="AE8" s="131">
        <f>IFERROR('Price History'!J3+(INDEX('Price History'!J:J,MATCH(9.99E+307,'Returns (Calc)'!$A:$A)+1)-'Price History'!J3)*(ROW()-3)/(MATCH(9.99E+307,'Returns (Calc)'!$A:$A)-3),"")</f>
        <v>112.38018987341772</v>
      </c>
      <c r="AF8" s="131">
        <f>IFERROR('Price History'!K3+(INDEX('Price History'!K:K,MATCH(9.99E+307,'Returns (Calc)'!$A:$A)+1)-'Price History'!K3)*(ROW()-3)/(MATCH(9.99E+307,'Returns (Calc)'!$A:$A)-3),"")</f>
        <v>20.817974683544303</v>
      </c>
      <c r="AG8" s="131">
        <f>IFERROR('Price History'!L3+(INDEX('Price History'!L:L,MATCH(9.99E+307,'Returns (Calc)'!$A:$A)+1)-'Price History'!L3)*(ROW()-3)/(MATCH(9.99E+307,'Returns (Calc)'!$A:$A)-3),"")</f>
        <v>97.997784810126575</v>
      </c>
      <c r="AH8" s="131">
        <f>IFERROR('Price History'!M3+(INDEX('Price History'!M:M,MATCH(9.99E+307,'Returns (Calc)'!$A:$A)+1)-'Price History'!M3)*(ROW()-3)/(MATCH(9.99E+307,'Returns (Calc)'!$A:$A)-3),"")</f>
        <v>44.79721518987342</v>
      </c>
      <c r="AI8" s="131">
        <f>IFERROR('Price History'!N3+(INDEX('Price History'!N:N,MATCH(9.99E+307,'Returns (Calc)'!$A:$A)+1)-'Price History'!N3)*(ROW()-3)/(MATCH(9.99E+307,'Returns (Calc)'!$A:$A)-3),"")</f>
        <v>353.83132911392403</v>
      </c>
      <c r="AJ8" s="131">
        <f>IFERROR('Price History'!O3+(INDEX('Price History'!O:O,MATCH(9.99E+307,'Returns (Calc)'!$A:$A)+1)-'Price History'!O3)*(ROW()-3)/(MATCH(9.99E+307,'Returns (Calc)'!$A:$A)-3),"")</f>
        <v>76.725189873417719</v>
      </c>
      <c r="AK8" s="131">
        <f>IFERROR('Price History'!Q3+(INDEX('Price History'!Q:Q,MATCH(9.99E+307,'Returns (Calc)'!$A:$A)+1)-'Price History'!Q3)*(ROW()-3)/(MATCH(9.99E+307,'Returns (Calc)'!$A:$A)-3),"")</f>
        <v>2.1968354430379748</v>
      </c>
      <c r="AL8" s="131">
        <f>IFERROR('Price History'!R3+(INDEX('Price History'!R:R,MATCH(9.99E+307,'Returns (Calc)'!$A:$A)+1)-'Price History'!R3)*(ROW()-3)/(MATCH(9.99E+307,'Returns (Calc)'!$A:$A)-3),"")</f>
        <v>35.320506329113918</v>
      </c>
      <c r="AM8" s="131">
        <f>IFERROR('Price History'!S3+(INDEX('Price History'!S:S,MATCH(9.99E+307,'Returns (Calc)'!$A:$A)+1)-'Price History'!S3)*(ROW()-3)/(MATCH(9.99E+307,'Returns (Calc)'!$A:$A)-3),"")</f>
        <v>60.655316455696209</v>
      </c>
      <c r="AN8" s="131">
        <f>IFERROR('Price History'!T3+(INDEX('Price History'!T:T,MATCH(9.99E+307,'Returns (Calc)'!$A:$A)+1)-'Price History'!T3)*(ROW()-3)/(MATCH(9.99E+307,'Returns (Calc)'!$A:$A)-3),"")</f>
        <v>26.081139240506328</v>
      </c>
      <c r="AO8" s="132">
        <f>IFERROR('Price History'!V3+(INDEX('Price History'!V:V,MATCH(9.99E+307,'Returns (Calc)'!$A:$A)+1)-'Price History'!V3)*(ROW()-3)/(MATCH(9.99E+307,'Returns (Calc)'!$A:$A)-3),"")</f>
        <v>239.58664556962026</v>
      </c>
      <c r="AP8" s="130">
        <f>IFERROR(IF(OR(NOT(ISNUMBER('Price History'!W9)),NOT(ISNUMBER('Price History'!W8)),'Price History'!W8=0),"",'Price History'!W9/'Price History'!W8-1),"")</f>
        <v>-2.4766806046960466E-2</v>
      </c>
      <c r="AQ8" s="130" t="str">
        <f>IFERROR(IF(OR(NOT(ISNUMBER('Price History'!X9)),NOT(ISNUMBER('Price History'!X8)),'Price History'!X8=0),"",'Price History'!X9/'Price History'!X8-1),"")</f>
        <v/>
      </c>
      <c r="AR8" s="130">
        <f>IFERROR(IF(OR(NOT(ISNUMBER('Price History'!Y9)),NOT(ISNUMBER('Price History'!Y8)),'Price History'!Y8=0),"",'Price History'!Y9/'Price History'!Y8-1),"")</f>
        <v>-2.2147327876745337E-2</v>
      </c>
      <c r="AS8" s="130">
        <f>IFERROR(IF(OR(NOT(ISNUMBER('Price History'!Z9)),NOT(ISNUMBER('Price History'!Z8)),'Price History'!Z8=0),"",'Price History'!Z9/'Price History'!Z8-1),"")</f>
        <v>2.5194961007799499E-3</v>
      </c>
      <c r="AT8" s="130">
        <f>IFERROR(IF(OR(NOT(ISNUMBER('Price History'!AA9)),NOT(ISNUMBER('Price History'!AA8)),'Price History'!AA8=0),"",'Price History'!AA9/'Price History'!AA8-1),"")</f>
        <v>-7.7306733167082919E-3</v>
      </c>
    </row>
    <row r="9" spans="1:46" ht="15" customHeight="1" x14ac:dyDescent="0.2">
      <c r="A9" s="128">
        <f>IF('Price History'!A10="","",'Price History'!A10)</f>
        <v>45233</v>
      </c>
      <c r="B9" s="129">
        <f>IFERROR(IF(OR(NOT(ISNUMBER('Price History'!B10)),NOT(ISNUMBER('Price History'!B9)),'Price History'!B9=0),"",'Price History'!B10/'Price History'!B9-1),"")</f>
        <v>0.10930488860899001</v>
      </c>
      <c r="C9" s="129">
        <f>IFERROR(IF(OR(NOT(ISNUMBER('Price History'!C10)),NOT(ISNUMBER('Price History'!C9)),'Price History'!C9=0),"",'Price History'!C10/'Price History'!C9-1),"")</f>
        <v>0.20590238365493763</v>
      </c>
      <c r="D9" s="129">
        <f>IFERROR(IF(OR(NOT(ISNUMBER('Price History'!D10)),NOT(ISNUMBER('Price History'!D9)),'Price History'!D9=0),"",'Price History'!D10/'Price History'!D9-1),"")</f>
        <v>9.1604114539894477E-2</v>
      </c>
      <c r="E9" s="129">
        <f>IFERROR(IF(OR(NOT(ISNUMBER('Price History'!E10)),NOT(ISNUMBER('Price History'!E9)),'Price History'!E9=0),"",'Price History'!E10/'Price History'!E9-1),"")</f>
        <v>5.2858551010350086E-2</v>
      </c>
      <c r="F9" s="129">
        <f>IFERROR(IF(OR(NOT(ISNUMBER('Price History'!F10)),NOT(ISNUMBER('Price History'!F9)),'Price History'!F9=0),"",'Price History'!F10/'Price History'!F9-1),"")</f>
        <v>8.9099745429298771E-2</v>
      </c>
      <c r="G9" s="129">
        <f>IFERROR(IF(OR(NOT(ISNUMBER('Price History'!G10)),NOT(ISNUMBER('Price History'!G9)),'Price History'!G9=0),"",'Price History'!G10/'Price History'!G9-1),"")</f>
        <v>9.1010733452594028E-2</v>
      </c>
      <c r="H9" s="129">
        <f>IFERROR(IF(OR(NOT(ISNUMBER('Price History'!H10)),NOT(ISNUMBER('Price History'!H9)),'Price History'!H9=0),"",'Price History'!H10/'Price History'!H9-1),"")</f>
        <v>0.10564354913117024</v>
      </c>
      <c r="I9" s="129">
        <f>IFERROR(IF(OR(NOT(ISNUMBER('Price History'!I10)),NOT(ISNUMBER('Price History'!I9)),'Price History'!I9=0),"",'Price History'!I10/'Price History'!I9-1),"")</f>
        <v>0.11119366022783539</v>
      </c>
      <c r="J9" s="129">
        <f>IFERROR(IF(OR(NOT(ISNUMBER('Price History'!J10)),NOT(ISNUMBER('Price History'!J9)),'Price History'!J9=0),"",'Price History'!J10/'Price History'!J9-1),"")</f>
        <v>9.4839293798098634E-2</v>
      </c>
      <c r="K9" s="129">
        <f>IFERROR(IF(OR(NOT(ISNUMBER('Price History'!K10)),NOT(ISNUMBER('Price History'!K9)),'Price History'!K9=0),"",'Price History'!K10/'Price History'!K9-1),"")</f>
        <v>0.25348374253483752</v>
      </c>
      <c r="L9" s="129">
        <f>IFERROR(IF(OR(NOT(ISNUMBER('Price History'!L10)),NOT(ISNUMBER('Price History'!L9)),'Price History'!L9=0),"",'Price History'!L10/'Price History'!L9-1),"")</f>
        <v>6.7417090292907211E-2</v>
      </c>
      <c r="M9" s="129">
        <f>IFERROR(IF(OR(NOT(ISNUMBER('Price History'!M10)),NOT(ISNUMBER('Price History'!M9)),'Price History'!M9=0),"",'Price History'!M10/'Price History'!M9-1),"")</f>
        <v>0.11025358324145529</v>
      </c>
      <c r="N9" s="129">
        <f>IFERROR(IF(OR(NOT(ISNUMBER('Price History'!N10)),NOT(ISNUMBER('Price History'!N9)),'Price History'!N9=0),"",'Price History'!N10/'Price History'!N9-1),"")</f>
        <v>5.8883134429182693E-2</v>
      </c>
      <c r="O9" s="129">
        <f>IFERROR(IF(OR(NOT(ISNUMBER('Price History'!O10)),NOT(ISNUMBER('Price History'!O9)),'Price History'!O9=0),"",'Price History'!O10/'Price History'!O9-1),"")</f>
        <v>7.1622587562544471E-2</v>
      </c>
      <c r="P9" s="129">
        <f>IFERROR(IF(OR(NOT(ISNUMBER('Price History'!P10)),NOT(ISNUMBER('Price History'!P9)),'Price History'!P9=0),"",'Price History'!P10/'Price History'!P9-1),"")</f>
        <v>5.8658008658008409E-2</v>
      </c>
      <c r="Q9" s="129">
        <f>IFERROR(IF(OR(NOT(ISNUMBER('Price History'!Q10)),NOT(ISNUMBER('Price History'!Q9)),'Price History'!Q9=0),"",'Price History'!Q10/'Price History'!Q9-1),"")</f>
        <v>4.035124398912826E-2</v>
      </c>
      <c r="R9" s="129">
        <f>IFERROR(IF(OR(NOT(ISNUMBER('Price History'!R10)),NOT(ISNUMBER('Price History'!R9)),'Price History'!R9=0),"",'Price History'!R10/'Price History'!R9-1),"")</f>
        <v>5.7439657806293898E-2</v>
      </c>
      <c r="S9" s="129">
        <f>IFERROR(IF(OR(NOT(ISNUMBER('Price History'!S10)),NOT(ISNUMBER('Price History'!S9)),'Price History'!S9=0),"",'Price History'!S10/'Price History'!S9-1),"")</f>
        <v>5.8454729854324317E-2</v>
      </c>
      <c r="T9" s="129">
        <f>IFERROR(IF(OR(NOT(ISNUMBER('Price History'!T10)),NOT(ISNUMBER('Price History'!T9)),'Price History'!T9=0),"",'Price History'!T10/'Price History'!T9-1),"")</f>
        <v>5.8649789029535881E-2</v>
      </c>
      <c r="U9" s="129">
        <f>IFERROR(IF(OR(NOT(ISNUMBER('Price History'!U10)),NOT(ISNUMBER('Price History'!U9)),'Price History'!U9=0),"",'Price History'!U10/'Price History'!U9-1),"")</f>
        <v>5.002501250625313E-2</v>
      </c>
      <c r="V9" s="130">
        <f>IFERROR(IF(OR(NOT(ISNUMBER('Price History'!V10)),NOT(ISNUMBER('Price History'!V9)),'Price History'!V9=0),"",'Price History'!V10/'Price History'!V9-1),"")</f>
        <v>6.2516733601071017E-2</v>
      </c>
      <c r="W9" s="131">
        <f>IFERROR('Price History'!B3+(INDEX('Price History'!B:B,MATCH(9.99E+307,'Returns (Calc)'!$A:$A)+1)-'Price History'!B3)*(ROW()-3)/(MATCH(9.99E+307,'Returns (Calc)'!$A:$A)-3),"")</f>
        <v>517.83177215189869</v>
      </c>
      <c r="X9" s="131">
        <f>IFERROR('Price History'!C3+(INDEX('Price History'!C:C,MATCH(9.99E+307,'Returns (Calc)'!$A:$A)+1)-'Price History'!C3)*(ROW()-3)/(MATCH(9.99E+307,'Returns (Calc)'!$A:$A)-3),"")</f>
        <v>52.300379746835446</v>
      </c>
      <c r="Y9" s="131">
        <f>IFERROR('Price History'!D3+(INDEX('Price History'!D:D,MATCH(9.99E+307,'Returns (Calc)'!$A:$A)+1)-'Price History'!D3)*(ROW()-3)/(MATCH(9.99E+307,'Returns (Calc)'!$A:$A)-3),"")</f>
        <v>630.81886075949365</v>
      </c>
      <c r="Z9" s="131">
        <f>IFERROR('Price History'!E3+(INDEX('Price History'!E:E,MATCH(9.99E+307,'Returns (Calc)'!$A:$A)+1)-'Price History'!E3)*(ROW()-3)/(MATCH(9.99E+307,'Returns (Calc)'!$A:$A)-3),"")</f>
        <v>92.37240506329114</v>
      </c>
      <c r="AA9" s="131">
        <f>IFERROR('Price History'!F3+(INDEX('Price History'!F:F,MATCH(9.99E+307,'Returns (Calc)'!$A:$A)+1)-'Price History'!F3)*(ROW()-3)/(MATCH(9.99E+307,'Returns (Calc)'!$A:$A)-3),"")</f>
        <v>50.044050632911393</v>
      </c>
      <c r="AB9" s="131">
        <f>IFERROR('Price History'!G3+(INDEX('Price History'!G:G,MATCH(9.99E+307,'Returns (Calc)'!$A:$A)+1)-'Price History'!G3)*(ROW()-3)/(MATCH(9.99E+307,'Returns (Calc)'!$A:$A)-3),"")</f>
        <v>50.522405063291139</v>
      </c>
      <c r="AC9" s="131">
        <f>IFERROR('Price History'!H3+(INDEX('Price History'!H:H,MATCH(9.99E+307,'Returns (Calc)'!$A:$A)+1)-'Price History'!H3)*(ROW()-3)/(MATCH(9.99E+307,'Returns (Calc)'!$A:$A)-3),"")</f>
        <v>107.30417721518987</v>
      </c>
      <c r="AD9" s="131">
        <f>IFERROR('Price History'!I3+(INDEX('Price History'!I:I,MATCH(9.99E+307,'Returns (Calc)'!$A:$A)+1)-'Price History'!I3)*(ROW()-3)/(MATCH(9.99E+307,'Returns (Calc)'!$A:$A)-3),"")</f>
        <v>50.992025316455695</v>
      </c>
      <c r="AE9" s="131">
        <f>IFERROR('Price History'!J3+(INDEX('Price History'!J:J,MATCH(9.99E+307,'Returns (Calc)'!$A:$A)+1)-'Price History'!J3)*(ROW()-3)/(MATCH(9.99E+307,'Returns (Calc)'!$A:$A)-3),"")</f>
        <v>112.48822784810127</v>
      </c>
      <c r="AF9" s="131">
        <f>IFERROR('Price History'!K3+(INDEX('Price History'!K:K,MATCH(9.99E+307,'Returns (Calc)'!$A:$A)+1)-'Price History'!K3)*(ROW()-3)/(MATCH(9.99E+307,'Returns (Calc)'!$A:$A)-3),"")</f>
        <v>21.915569620253166</v>
      </c>
      <c r="AG9" s="131">
        <f>IFERROR('Price History'!L3+(INDEX('Price History'!L:L,MATCH(9.99E+307,'Returns (Calc)'!$A:$A)+1)-'Price History'!L3)*(ROW()-3)/(MATCH(9.99E+307,'Returns (Calc)'!$A:$A)-3),"")</f>
        <v>100.4473417721519</v>
      </c>
      <c r="AH9" s="131">
        <f>IFERROR('Price History'!M3+(INDEX('Price History'!M:M,MATCH(9.99E+307,'Returns (Calc)'!$A:$A)+1)-'Price History'!M3)*(ROW()-3)/(MATCH(9.99E+307,'Returns (Calc)'!$A:$A)-3),"")</f>
        <v>46.152658227848107</v>
      </c>
      <c r="AI9" s="131">
        <f>IFERROR('Price History'!N3+(INDEX('Price History'!N:N,MATCH(9.99E+307,'Returns (Calc)'!$A:$A)+1)-'Price History'!N3)*(ROW()-3)/(MATCH(9.99E+307,'Returns (Calc)'!$A:$A)-3),"")</f>
        <v>354.81759493670882</v>
      </c>
      <c r="AJ9" s="131">
        <f>IFERROR('Price History'!O3+(INDEX('Price History'!O:O,MATCH(9.99E+307,'Returns (Calc)'!$A:$A)+1)-'Price History'!O3)*(ROW()-3)/(MATCH(9.99E+307,'Returns (Calc)'!$A:$A)-3),"")</f>
        <v>77.008227848101271</v>
      </c>
      <c r="AK9" s="131">
        <f>IFERROR('Price History'!Q3+(INDEX('Price History'!Q:Q,MATCH(9.99E+307,'Returns (Calc)'!$A:$A)+1)-'Price History'!Q3)*(ROW()-3)/(MATCH(9.99E+307,'Returns (Calc)'!$A:$A)-3),"")</f>
        <v>2.6362025316455697</v>
      </c>
      <c r="AL9" s="131">
        <f>IFERROR('Price History'!R3+(INDEX('Price History'!R:R,MATCH(9.99E+307,'Returns (Calc)'!$A:$A)+1)-'Price History'!R3)*(ROW()-3)/(MATCH(9.99E+307,'Returns (Calc)'!$A:$A)-3),"")</f>
        <v>35.488607594936703</v>
      </c>
      <c r="AM9" s="131">
        <f>IFERROR('Price History'!S3+(INDEX('Price History'!S:S,MATCH(9.99E+307,'Returns (Calc)'!$A:$A)+1)-'Price History'!S3)*(ROW()-3)/(MATCH(9.99E+307,'Returns (Calc)'!$A:$A)-3),"")</f>
        <v>61.260379746835447</v>
      </c>
      <c r="AN9" s="131">
        <f>IFERROR('Price History'!T3+(INDEX('Price History'!T:T,MATCH(9.99E+307,'Returns (Calc)'!$A:$A)+1)-'Price History'!T3)*(ROW()-3)/(MATCH(9.99E+307,'Returns (Calc)'!$A:$A)-3),"")</f>
        <v>26.249367088607592</v>
      </c>
      <c r="AO9" s="132">
        <f>IFERROR('Price History'!V3+(INDEX('Price History'!V:V,MATCH(9.99E+307,'Returns (Calc)'!$A:$A)+1)-'Price History'!V3)*(ROW()-3)/(MATCH(9.99E+307,'Returns (Calc)'!$A:$A)-3),"")</f>
        <v>240.37797468354429</v>
      </c>
      <c r="AP9" s="130">
        <f>IFERROR(IF(OR(NOT(ISNUMBER('Price History'!W10)),NOT(ISNUMBER('Price History'!W9)),'Price History'!W9=0),"",'Price History'!W10/'Price History'!W9-1),"")</f>
        <v>5.1781002638522589E-2</v>
      </c>
      <c r="AQ9" s="130" t="str">
        <f>IFERROR(IF(OR(NOT(ISNUMBER('Price History'!X10)),NOT(ISNUMBER('Price History'!X9)),'Price History'!X9=0),"",'Price History'!X10/'Price History'!X9-1),"")</f>
        <v/>
      </c>
      <c r="AR9" s="130">
        <f>IFERROR(IF(OR(NOT(ISNUMBER('Price History'!Y10)),NOT(ISNUMBER('Price History'!Y9)),'Price History'!Y9=0),"",'Price History'!Y10/'Price History'!Y9-1),"")</f>
        <v>4.7513540128015785E-2</v>
      </c>
      <c r="AS9" s="130">
        <f>IFERROR(IF(OR(NOT(ISNUMBER('Price History'!Z10)),NOT(ISNUMBER('Price History'!Z9)),'Price History'!Z9=0),"",'Price History'!Z10/'Price History'!Z9-1),"")</f>
        <v>2.4174246050741921E-2</v>
      </c>
      <c r="AT9" s="130">
        <f>IFERROR(IF(OR(NOT(ISNUMBER('Price History'!AA10)),NOT(ISNUMBER('Price History'!AA9)),'Price History'!AA9=0),"",'Price History'!AA10/'Price History'!AA9-1),"")</f>
        <v>8.6705202312138852E-2</v>
      </c>
    </row>
    <row r="10" spans="1:46" ht="15" customHeight="1" x14ac:dyDescent="0.2">
      <c r="A10" s="128">
        <f>IF('Price History'!A11="","",'Price History'!A11)</f>
        <v>45240</v>
      </c>
      <c r="B10" s="129">
        <f>IFERROR(IF(OR(NOT(ISNUMBER('Price History'!B11)),NOT(ISNUMBER('Price History'!B10)),'Price History'!B10=0),"",'Price History'!B11/'Price History'!B10-1),"")</f>
        <v>5.953943866870115E-2</v>
      </c>
      <c r="C10" s="129">
        <f>IFERROR(IF(OR(NOT(ISNUMBER('Price History'!C11)),NOT(ISNUMBER('Price History'!C10)),'Price History'!C10=0),"",'Price History'!C11/'Price History'!C10-1),"")</f>
        <v>-2.654367469879515E-2</v>
      </c>
      <c r="D10" s="129">
        <f>IFERROR(IF(OR(NOT(ISNUMBER('Price History'!D11)),NOT(ISNUMBER('Price History'!D10)),'Price History'!D10=0),"",'Price History'!D11/'Price History'!D10-1),"")</f>
        <v>2.9383675028651579E-2</v>
      </c>
      <c r="E10" s="129">
        <f>IFERROR(IF(OR(NOT(ISNUMBER('Price History'!E11)),NOT(ISNUMBER('Price History'!E10)),'Price History'!E10=0),"",'Price History'!E11/'Price History'!E10-1),"")</f>
        <v>8.4727911059098826E-2</v>
      </c>
      <c r="F10" s="129">
        <f>IFERROR(IF(OR(NOT(ISNUMBER('Price History'!F11)),NOT(ISNUMBER('Price History'!F10)),'Price History'!F10=0),"",'Price History'!F11/'Price History'!F10-1),"")</f>
        <v>4.2923926901827336E-2</v>
      </c>
      <c r="G10" s="129">
        <f>IFERROR(IF(OR(NOT(ISNUMBER('Price History'!G11)),NOT(ISNUMBER('Price History'!G10)),'Price History'!G10=0),"",'Price History'!G11/'Price History'!G10-1),"")</f>
        <v>6.9276491084238723E-2</v>
      </c>
      <c r="H10" s="129">
        <f>IFERROR(IF(OR(NOT(ISNUMBER('Price History'!H11)),NOT(ISNUMBER('Price History'!H10)),'Price History'!H10=0),"",'Price History'!H11/'Price History'!H10-1),"")</f>
        <v>3.8247566063977834E-2</v>
      </c>
      <c r="I10" s="129">
        <f>IFERROR(IF(OR(NOT(ISNUMBER('Price History'!I11)),NOT(ISNUMBER('Price History'!I10)),'Price History'!I10=0),"",'Price History'!I11/'Price History'!I10-1),"")</f>
        <v>7.3991531089814933E-2</v>
      </c>
      <c r="J10" s="129">
        <f>IFERROR(IF(OR(NOT(ISNUMBER('Price History'!J11)),NOT(ISNUMBER('Price History'!J10)),'Price History'!J10=0),"",'Price History'!J11/'Price History'!J10-1),"")</f>
        <v>-1.8709944180276938E-2</v>
      </c>
      <c r="K10" s="129">
        <f>IFERROR(IF(OR(NOT(ISNUMBER('Price History'!K11)),NOT(ISNUMBER('Price History'!K10)),'Price History'!K10=0),"",'Price History'!K11/'Price History'!K10-1),"")</f>
        <v>4.1291688724192754E-2</v>
      </c>
      <c r="L10" s="129">
        <f>IFERROR(IF(OR(NOT(ISNUMBER('Price History'!L11)),NOT(ISNUMBER('Price History'!L10)),'Price History'!L10=0),"",'Price History'!L11/'Price History'!L10-1),"")</f>
        <v>6.1571606758135999E-2</v>
      </c>
      <c r="M10" s="129">
        <f>IFERROR(IF(OR(NOT(ISNUMBER('Price History'!M11)),NOT(ISNUMBER('Price History'!M10)),'Price History'!M10=0),"",'Price History'!M11/'Price History'!M10-1),"")</f>
        <v>3.4508440913604721E-2</v>
      </c>
      <c r="N10" s="129">
        <f>IFERROR(IF(OR(NOT(ISNUMBER('Price History'!N11)),NOT(ISNUMBER('Price History'!N10)),'Price History'!N10=0),"",'Price History'!N11/'Price History'!N10-1),"")</f>
        <v>-6.7783094098884389E-3</v>
      </c>
      <c r="O10" s="129">
        <f>IFERROR(IF(OR(NOT(ISNUMBER('Price History'!O11)),NOT(ISNUMBER('Price History'!O10)),'Price History'!O10=0),"",'Price History'!O11/'Price History'!O10-1),"")</f>
        <v>-3.415154749199556E-2</v>
      </c>
      <c r="P10" s="129">
        <f>IFERROR(IF(OR(NOT(ISNUMBER('Price History'!P11)),NOT(ISNUMBER('Price History'!P10)),'Price History'!P10=0),"",'Price History'!P11/'Price History'!P10-1),"")</f>
        <v>-2.2592516867716128E-2</v>
      </c>
      <c r="Q10" s="129">
        <f>IFERROR(IF(OR(NOT(ISNUMBER('Price History'!Q11)),NOT(ISNUMBER('Price History'!Q10)),'Price History'!Q10=0),"",'Price History'!Q11/'Price History'!Q10-1),"")</f>
        <v>1.0048231511254002E-2</v>
      </c>
      <c r="R10" s="129">
        <f>IFERROR(IF(OR(NOT(ISNUMBER('Price History'!R11)),NOT(ISNUMBER('Price History'!R10)),'Price History'!R10=0),"",'Price History'!R11/'Price History'!R10-1),"")</f>
        <v>2.080323605894252E-2</v>
      </c>
      <c r="S10" s="129">
        <f>IFERROR(IF(OR(NOT(ISNUMBER('Price History'!S11)),NOT(ISNUMBER('Price History'!S10)),'Price History'!S10=0),"",'Price History'!S11/'Price History'!S10-1),"")</f>
        <v>2.9442508710801452E-2</v>
      </c>
      <c r="T10" s="129">
        <f>IFERROR(IF(OR(NOT(ISNUMBER('Price History'!T11)),NOT(ISNUMBER('Price History'!T10)),'Price History'!T10=0),"",'Price History'!T11/'Price History'!T10-1),"")</f>
        <v>-6.3770426464726526E-3</v>
      </c>
      <c r="U10" s="129">
        <f>IFERROR(IF(OR(NOT(ISNUMBER('Price History'!U11)),NOT(ISNUMBER('Price History'!U10)),'Price History'!U10=0),"",'Price History'!U11/'Price History'!U10-1),"")</f>
        <v>-1.1434016198189512E-2</v>
      </c>
      <c r="V10" s="130">
        <f>IFERROR(IF(OR(NOT(ISNUMBER('Price History'!V11)),NOT(ISNUMBER('Price History'!V10)),'Price History'!V10=0),"",'Price History'!V11/'Price History'!V10-1),"")</f>
        <v>8.9034479862246663E-3</v>
      </c>
      <c r="W10" s="131">
        <f>IFERROR('Price History'!B3+(INDEX('Price History'!B:B,MATCH(9.99E+307,'Returns (Calc)'!$A:$A)+1)-'Price History'!B3)*(ROW()-3)/(MATCH(9.99E+307,'Returns (Calc)'!$A:$A)-3),"")</f>
        <v>515.98873417721518</v>
      </c>
      <c r="X10" s="131">
        <f>IFERROR('Price History'!C3+(INDEX('Price History'!C:C,MATCH(9.99E+307,'Returns (Calc)'!$A:$A)+1)-'Price History'!C3)*(ROW()-3)/(MATCH(9.99E+307,'Returns (Calc)'!$A:$A)-3),"")</f>
        <v>53.320443037974684</v>
      </c>
      <c r="Y10" s="131">
        <f>IFERROR('Price History'!D3+(INDEX('Price History'!D:D,MATCH(9.99E+307,'Returns (Calc)'!$A:$A)+1)-'Price History'!D3)*(ROW()-3)/(MATCH(9.99E+307,'Returns (Calc)'!$A:$A)-3),"")</f>
        <v>638.953670886076</v>
      </c>
      <c r="Z10" s="131">
        <f>IFERROR('Price History'!E3+(INDEX('Price History'!E:E,MATCH(9.99E+307,'Returns (Calc)'!$A:$A)+1)-'Price History'!E3)*(ROW()-3)/(MATCH(9.99E+307,'Returns (Calc)'!$A:$A)-3),"")</f>
        <v>94.101139240506328</v>
      </c>
      <c r="AA10" s="131">
        <f>IFERROR('Price History'!F3+(INDEX('Price History'!F:F,MATCH(9.99E+307,'Returns (Calc)'!$A:$A)+1)-'Price History'!F3)*(ROW()-3)/(MATCH(9.99E+307,'Returns (Calc)'!$A:$A)-3),"")</f>
        <v>51.491392405063294</v>
      </c>
      <c r="AB10" s="131">
        <f>IFERROR('Price History'!G3+(INDEX('Price History'!G:G,MATCH(9.99E+307,'Returns (Calc)'!$A:$A)+1)-'Price History'!G3)*(ROW()-3)/(MATCH(9.99E+307,'Returns (Calc)'!$A:$A)-3),"")</f>
        <v>51.55113924050633</v>
      </c>
      <c r="AC10" s="131">
        <f>IFERROR('Price History'!H3+(INDEX('Price History'!H:H,MATCH(9.99E+307,'Returns (Calc)'!$A:$A)+1)-'Price History'!H3)*(ROW()-3)/(MATCH(9.99E+307,'Returns (Calc)'!$A:$A)-3),"")</f>
        <v>113.66987341772153</v>
      </c>
      <c r="AD10" s="131">
        <f>IFERROR('Price History'!I3+(INDEX('Price History'!I:I,MATCH(9.99E+307,'Returns (Calc)'!$A:$A)+1)-'Price History'!I3)*(ROW()-3)/(MATCH(9.99E+307,'Returns (Calc)'!$A:$A)-3),"")</f>
        <v>52.19569620253165</v>
      </c>
      <c r="AE10" s="131">
        <f>IFERROR('Price History'!J3+(INDEX('Price History'!J:J,MATCH(9.99E+307,'Returns (Calc)'!$A:$A)+1)-'Price History'!J3)*(ROW()-3)/(MATCH(9.99E+307,'Returns (Calc)'!$A:$A)-3),"")</f>
        <v>112.59626582278482</v>
      </c>
      <c r="AF10" s="131">
        <f>IFERROR('Price History'!K3+(INDEX('Price History'!K:K,MATCH(9.99E+307,'Returns (Calc)'!$A:$A)+1)-'Price History'!K3)*(ROW()-3)/(MATCH(9.99E+307,'Returns (Calc)'!$A:$A)-3),"")</f>
        <v>23.013164556962025</v>
      </c>
      <c r="AG10" s="131">
        <f>IFERROR('Price History'!L3+(INDEX('Price History'!L:L,MATCH(9.99E+307,'Returns (Calc)'!$A:$A)+1)-'Price History'!L3)*(ROW()-3)/(MATCH(9.99E+307,'Returns (Calc)'!$A:$A)-3),"")</f>
        <v>102.89689873417721</v>
      </c>
      <c r="AH10" s="131">
        <f>IFERROR('Price History'!M3+(INDEX('Price History'!M:M,MATCH(9.99E+307,'Returns (Calc)'!$A:$A)+1)-'Price History'!M3)*(ROW()-3)/(MATCH(9.99E+307,'Returns (Calc)'!$A:$A)-3),"")</f>
        <v>47.508101265822788</v>
      </c>
      <c r="AI10" s="131">
        <f>IFERROR('Price History'!N3+(INDEX('Price History'!N:N,MATCH(9.99E+307,'Returns (Calc)'!$A:$A)+1)-'Price History'!N3)*(ROW()-3)/(MATCH(9.99E+307,'Returns (Calc)'!$A:$A)-3),"")</f>
        <v>355.80386075949366</v>
      </c>
      <c r="AJ10" s="131">
        <f>IFERROR('Price History'!O3+(INDEX('Price History'!O:O,MATCH(9.99E+307,'Returns (Calc)'!$A:$A)+1)-'Price History'!O3)*(ROW()-3)/(MATCH(9.99E+307,'Returns (Calc)'!$A:$A)-3),"")</f>
        <v>77.291265822784808</v>
      </c>
      <c r="AK10" s="131">
        <f>IFERROR('Price History'!Q3+(INDEX('Price History'!Q:Q,MATCH(9.99E+307,'Returns (Calc)'!$A:$A)+1)-'Price History'!Q3)*(ROW()-3)/(MATCH(9.99E+307,'Returns (Calc)'!$A:$A)-3),"")</f>
        <v>3.0755696202531646</v>
      </c>
      <c r="AL10" s="131">
        <f>IFERROR('Price History'!R3+(INDEX('Price History'!R:R,MATCH(9.99E+307,'Returns (Calc)'!$A:$A)+1)-'Price History'!R3)*(ROW()-3)/(MATCH(9.99E+307,'Returns (Calc)'!$A:$A)-3),"")</f>
        <v>35.656708860759494</v>
      </c>
      <c r="AM10" s="131">
        <f>IFERROR('Price History'!S3+(INDEX('Price History'!S:S,MATCH(9.99E+307,'Returns (Calc)'!$A:$A)+1)-'Price History'!S3)*(ROW()-3)/(MATCH(9.99E+307,'Returns (Calc)'!$A:$A)-3),"")</f>
        <v>61.865443037974686</v>
      </c>
      <c r="AN10" s="131">
        <f>IFERROR('Price History'!T3+(INDEX('Price History'!T:T,MATCH(9.99E+307,'Returns (Calc)'!$A:$A)+1)-'Price History'!T3)*(ROW()-3)/(MATCH(9.99E+307,'Returns (Calc)'!$A:$A)-3),"")</f>
        <v>26.417594936708859</v>
      </c>
      <c r="AO10" s="132">
        <f>IFERROR('Price History'!V3+(INDEX('Price History'!V:V,MATCH(9.99E+307,'Returns (Calc)'!$A:$A)+1)-'Price History'!V3)*(ROW()-3)/(MATCH(9.99E+307,'Returns (Calc)'!$A:$A)-3),"")</f>
        <v>241.16930379746836</v>
      </c>
      <c r="AP10" s="130">
        <f>IFERROR(IF(OR(NOT(ISNUMBER('Price History'!W11)),NOT(ISNUMBER('Price History'!W10)),'Price History'!W10=0),"",'Price History'!W11/'Price History'!W10-1),"")</f>
        <v>-1.1288805268109159E-2</v>
      </c>
      <c r="AQ10" s="130" t="str">
        <f>IFERROR(IF(OR(NOT(ISNUMBER('Price History'!X11)),NOT(ISNUMBER('Price History'!X10)),'Price History'!X10=0),"",'Price History'!X11/'Price History'!X10-1),"")</f>
        <v/>
      </c>
      <c r="AR10" s="130">
        <f>IFERROR(IF(OR(NOT(ISNUMBER('Price History'!Y11)),NOT(ISNUMBER('Price History'!Y10)),'Price History'!Y10=0),"",'Price History'!Y11/'Price History'!Y10-1),"")</f>
        <v>3.9952996474736935E-3</v>
      </c>
      <c r="AS10" s="130">
        <f>IFERROR(IF(OR(NOT(ISNUMBER('Price History'!Z11)),NOT(ISNUMBER('Price History'!Z10)),'Price History'!Z10=0),"",'Price History'!Z11/'Price History'!Z10-1),"")</f>
        <v>5.8308015891563425E-2</v>
      </c>
      <c r="AT10" s="130">
        <f>IFERROR(IF(OR(NOT(ISNUMBER('Price History'!AA11)),NOT(ISNUMBER('Price History'!AA10)),'Price History'!AA10=0),"",'Price History'!AA11/'Price History'!AA10-1),"")</f>
        <v>3.4227567067530051E-2</v>
      </c>
    </row>
    <row r="11" spans="1:46" ht="15" customHeight="1" x14ac:dyDescent="0.2">
      <c r="A11" s="128">
        <f>IF('Price History'!A12="","",'Price History'!A12)</f>
        <v>45247</v>
      </c>
      <c r="B11" s="129">
        <f>IFERROR(IF(OR(NOT(ISNUMBER('Price History'!B12)),NOT(ISNUMBER('Price History'!B11)),'Price History'!B11=0),"",'Price History'!B12/'Price History'!B11-1),"")</f>
        <v>9.1088711027760283E-3</v>
      </c>
      <c r="C11" s="129">
        <f>IFERROR(IF(OR(NOT(ISNUMBER('Price History'!C12)),NOT(ISNUMBER('Price History'!C11)),'Price History'!C11=0),"",'Price History'!C12/'Price History'!C11-1),"")</f>
        <v>3.7710307484045469E-2</v>
      </c>
      <c r="D11" s="129">
        <f>IFERROR(IF(OR(NOT(ISNUMBER('Price History'!D12)),NOT(ISNUMBER('Price History'!D11)),'Price History'!D11=0),"",'Price History'!D12/'Price History'!D11-1),"")</f>
        <v>3.7513530230400383E-2</v>
      </c>
      <c r="E11" s="129">
        <f>IFERROR(IF(OR(NOT(ISNUMBER('Price History'!E12)),NOT(ISNUMBER('Price History'!E11)),'Price History'!E11=0),"",'Price History'!E12/'Price History'!E11-1),"")</f>
        <v>2.1145754666091365E-2</v>
      </c>
      <c r="F11" s="129">
        <f>IFERROR(IF(OR(NOT(ISNUMBER('Price History'!F12)),NOT(ISNUMBER('Price History'!F11)),'Price History'!F11=0),"",'Price History'!F12/'Price History'!F11-1),"")</f>
        <v>5.4808475957620395E-2</v>
      </c>
      <c r="G11" s="129">
        <f>IFERROR(IF(OR(NOT(ISNUMBER('Price History'!G12)),NOT(ISNUMBER('Price History'!G11)),'Price History'!G11=0),"",'Price History'!G12/'Price History'!G11-1),"")</f>
        <v>2.204331991566022E-2</v>
      </c>
      <c r="H11" s="129">
        <f>IFERROR(IF(OR(NOT(ISNUMBER('Price History'!H12)),NOT(ISNUMBER('Price History'!H11)),'Price History'!H11=0),"",'Price History'!H12/'Price History'!H11-1),"")</f>
        <v>2.920294708640303E-2</v>
      </c>
      <c r="I11" s="129">
        <f>IFERROR(IF(OR(NOT(ISNUMBER('Price History'!I12)),NOT(ISNUMBER('Price History'!I11)),'Price History'!I11=0),"",'Price History'!I12/'Price History'!I11-1),"")</f>
        <v>1.9921145465864321E-2</v>
      </c>
      <c r="J11" s="129">
        <f>IFERROR(IF(OR(NOT(ISNUMBER('Price History'!J12)),NOT(ISNUMBER('Price History'!J11)),'Price History'!J11=0),"",'Price History'!J12/'Price History'!J11-1),"")</f>
        <v>5.2775729484883405E-2</v>
      </c>
      <c r="K11" s="129">
        <f>IFERROR(IF(OR(NOT(ISNUMBER('Price History'!K12)),NOT(ISNUMBER('Price History'!K11)),'Price History'!K11=0),"",'Price History'!K12/'Price History'!K11-1),"")</f>
        <v>4.1687849517030751E-2</v>
      </c>
      <c r="L11" s="129">
        <f>IFERROR(IF(OR(NOT(ISNUMBER('Price History'!L12)),NOT(ISNUMBER('Price History'!L11)),'Price History'!L11=0),"",'Price History'!L12/'Price History'!L11-1),"")</f>
        <v>2.2003845332194016E-2</v>
      </c>
      <c r="M11" s="129">
        <f>IFERROR(IF(OR(NOT(ISNUMBER('Price History'!M12)),NOT(ISNUMBER('Price History'!M11)),'Price History'!M11=0),"",'Price History'!M12/'Price History'!M11-1),"")</f>
        <v>3.4797216222702154E-2</v>
      </c>
      <c r="N11" s="129">
        <f>IFERROR(IF(OR(NOT(ISNUMBER('Price History'!N12)),NOT(ISNUMBER('Price History'!N11)),'Price History'!N11=0),"",'Price History'!N12/'Price History'!N11-1),"")</f>
        <v>-6.1956376287970016E-2</v>
      </c>
      <c r="O11" s="129">
        <f>IFERROR(IF(OR(NOT(ISNUMBER('Price History'!O12)),NOT(ISNUMBER('Price History'!O11)),'Price History'!O11=0),"",'Price History'!O12/'Price History'!O11-1),"")</f>
        <v>5.5524861878452958E-2</v>
      </c>
      <c r="P11" s="129">
        <f>IFERROR(IF(OR(NOT(ISNUMBER('Price History'!P12)),NOT(ISNUMBER('Price History'!P11)),'Price History'!P11=0),"",'Price History'!P12/'Price History'!P11-1),"")</f>
        <v>3.5456542202698449E-2</v>
      </c>
      <c r="Q11" s="129">
        <f>IFERROR(IF(OR(NOT(ISNUMBER('Price History'!Q12)),NOT(ISNUMBER('Price History'!Q11)),'Price History'!Q11=0),"",'Price History'!Q12/'Price History'!Q11-1),"")</f>
        <v>1.2932749701551893E-2</v>
      </c>
      <c r="R11" s="129">
        <f>IFERROR(IF(OR(NOT(ISNUMBER('Price History'!R12)),NOT(ISNUMBER('Price History'!R11)),'Price History'!R11=0),"",'Price History'!R12/'Price History'!R11-1),"")</f>
        <v>9.3405038211151759E-3</v>
      </c>
      <c r="S11" s="129">
        <f>IFERROR(IF(OR(NOT(ISNUMBER('Price History'!S12)),NOT(ISNUMBER('Price History'!S11)),'Price History'!S11=0),"",'Price History'!S12/'Price History'!S11-1),"")</f>
        <v>2.1661871721103232E-2</v>
      </c>
      <c r="T11" s="129">
        <f>IFERROR(IF(OR(NOT(ISNUMBER('Price History'!T12)),NOT(ISNUMBER('Price History'!T11)),'Price History'!T11=0),"",'Price History'!T12/'Price History'!T11-1),"")</f>
        <v>2.5671881267549157E-2</v>
      </c>
      <c r="U11" s="129">
        <f>IFERROR(IF(OR(NOT(ISNUMBER('Price History'!U12)),NOT(ISNUMBER('Price History'!U11)),'Price History'!U11=0),"",'Price History'!U12/'Price History'!U11-1),"")</f>
        <v>2.4096385542168752E-2</v>
      </c>
      <c r="V11" s="130">
        <f>IFERROR(IF(OR(NOT(ISNUMBER('Price History'!V12)),NOT(ISNUMBER('Price History'!V11)),'Price History'!V11=0),"",'Price History'!V12/'Price History'!V11-1),"")</f>
        <v>1.7566498772010108E-2</v>
      </c>
      <c r="W11" s="131">
        <f>IFERROR('Price History'!B3+(INDEX('Price History'!B:B,MATCH(9.99E+307,'Returns (Calc)'!$A:$A)+1)-'Price History'!B3)*(ROW()-3)/(MATCH(9.99E+307,'Returns (Calc)'!$A:$A)-3),"")</f>
        <v>514.14569620253167</v>
      </c>
      <c r="X11" s="131">
        <f>IFERROR('Price History'!C3+(INDEX('Price History'!C:C,MATCH(9.99E+307,'Returns (Calc)'!$A:$A)+1)-'Price History'!C3)*(ROW()-3)/(MATCH(9.99E+307,'Returns (Calc)'!$A:$A)-3),"")</f>
        <v>54.340506329113921</v>
      </c>
      <c r="Y11" s="131">
        <f>IFERROR('Price History'!D3+(INDEX('Price History'!D:D,MATCH(9.99E+307,'Returns (Calc)'!$A:$A)+1)-'Price History'!D3)*(ROW()-3)/(MATCH(9.99E+307,'Returns (Calc)'!$A:$A)-3),"")</f>
        <v>647.08848101265824</v>
      </c>
      <c r="Z11" s="131">
        <f>IFERROR('Price History'!E3+(INDEX('Price History'!E:E,MATCH(9.99E+307,'Returns (Calc)'!$A:$A)+1)-'Price History'!E3)*(ROW()-3)/(MATCH(9.99E+307,'Returns (Calc)'!$A:$A)-3),"")</f>
        <v>95.829873417721515</v>
      </c>
      <c r="AA11" s="131">
        <f>IFERROR('Price History'!F3+(INDEX('Price History'!F:F,MATCH(9.99E+307,'Returns (Calc)'!$A:$A)+1)-'Price History'!F3)*(ROW()-3)/(MATCH(9.99E+307,'Returns (Calc)'!$A:$A)-3),"")</f>
        <v>52.938734177215188</v>
      </c>
      <c r="AB11" s="131">
        <f>IFERROR('Price History'!G3+(INDEX('Price History'!G:G,MATCH(9.99E+307,'Returns (Calc)'!$A:$A)+1)-'Price History'!G3)*(ROW()-3)/(MATCH(9.99E+307,'Returns (Calc)'!$A:$A)-3),"")</f>
        <v>52.579873417721522</v>
      </c>
      <c r="AC11" s="131">
        <f>IFERROR('Price History'!H3+(INDEX('Price History'!H:H,MATCH(9.99E+307,'Returns (Calc)'!$A:$A)+1)-'Price History'!H3)*(ROW()-3)/(MATCH(9.99E+307,'Returns (Calc)'!$A:$A)-3),"")</f>
        <v>120.03556962025317</v>
      </c>
      <c r="AD11" s="131">
        <f>IFERROR('Price History'!I3+(INDEX('Price History'!I:I,MATCH(9.99E+307,'Returns (Calc)'!$A:$A)+1)-'Price History'!I3)*(ROW()-3)/(MATCH(9.99E+307,'Returns (Calc)'!$A:$A)-3),"")</f>
        <v>53.399367088607598</v>
      </c>
      <c r="AE11" s="131">
        <f>IFERROR('Price History'!J3+(INDEX('Price History'!J:J,MATCH(9.99E+307,'Returns (Calc)'!$A:$A)+1)-'Price History'!J3)*(ROW()-3)/(MATCH(9.99E+307,'Returns (Calc)'!$A:$A)-3),"")</f>
        <v>112.70430379746836</v>
      </c>
      <c r="AF11" s="131">
        <f>IFERROR('Price History'!K3+(INDEX('Price History'!K:K,MATCH(9.99E+307,'Returns (Calc)'!$A:$A)+1)-'Price History'!K3)*(ROW()-3)/(MATCH(9.99E+307,'Returns (Calc)'!$A:$A)-3),"")</f>
        <v>24.110759493670884</v>
      </c>
      <c r="AG11" s="131">
        <f>IFERROR('Price History'!L3+(INDEX('Price History'!L:L,MATCH(9.99E+307,'Returns (Calc)'!$A:$A)+1)-'Price History'!L3)*(ROW()-3)/(MATCH(9.99E+307,'Returns (Calc)'!$A:$A)-3),"")</f>
        <v>105.34645569620253</v>
      </c>
      <c r="AH11" s="131">
        <f>IFERROR('Price History'!M3+(INDEX('Price History'!M:M,MATCH(9.99E+307,'Returns (Calc)'!$A:$A)+1)-'Price History'!M3)*(ROW()-3)/(MATCH(9.99E+307,'Returns (Calc)'!$A:$A)-3),"")</f>
        <v>48.863544303797468</v>
      </c>
      <c r="AI11" s="131">
        <f>IFERROR('Price History'!N3+(INDEX('Price History'!N:N,MATCH(9.99E+307,'Returns (Calc)'!$A:$A)+1)-'Price History'!N3)*(ROW()-3)/(MATCH(9.99E+307,'Returns (Calc)'!$A:$A)-3),"")</f>
        <v>356.79012658227845</v>
      </c>
      <c r="AJ11" s="131">
        <f>IFERROR('Price History'!O3+(INDEX('Price History'!O:O,MATCH(9.99E+307,'Returns (Calc)'!$A:$A)+1)-'Price History'!O3)*(ROW()-3)/(MATCH(9.99E+307,'Returns (Calc)'!$A:$A)-3),"")</f>
        <v>77.57430379746836</v>
      </c>
      <c r="AK11" s="131">
        <f>IFERROR('Price History'!Q3+(INDEX('Price History'!Q:Q,MATCH(9.99E+307,'Returns (Calc)'!$A:$A)+1)-'Price History'!Q3)*(ROW()-3)/(MATCH(9.99E+307,'Returns (Calc)'!$A:$A)-3),"")</f>
        <v>3.5149367088607595</v>
      </c>
      <c r="AL11" s="131">
        <f>IFERROR('Price History'!R3+(INDEX('Price History'!R:R,MATCH(9.99E+307,'Returns (Calc)'!$A:$A)+1)-'Price History'!R3)*(ROW()-3)/(MATCH(9.99E+307,'Returns (Calc)'!$A:$A)-3),"")</f>
        <v>35.824810126582278</v>
      </c>
      <c r="AM11" s="131">
        <f>IFERROR('Price History'!S3+(INDEX('Price History'!S:S,MATCH(9.99E+307,'Returns (Calc)'!$A:$A)+1)-'Price History'!S3)*(ROW()-3)/(MATCH(9.99E+307,'Returns (Calc)'!$A:$A)-3),"")</f>
        <v>62.470506329113924</v>
      </c>
      <c r="AN11" s="131">
        <f>IFERROR('Price History'!T3+(INDEX('Price History'!T:T,MATCH(9.99E+307,'Returns (Calc)'!$A:$A)+1)-'Price History'!T3)*(ROW()-3)/(MATCH(9.99E+307,'Returns (Calc)'!$A:$A)-3),"")</f>
        <v>26.585822784810127</v>
      </c>
      <c r="AO11" s="132">
        <f>IFERROR('Price History'!V3+(INDEX('Price History'!V:V,MATCH(9.99E+307,'Returns (Calc)'!$A:$A)+1)-'Price History'!V3)*(ROW()-3)/(MATCH(9.99E+307,'Returns (Calc)'!$A:$A)-3),"")</f>
        <v>241.96063291139239</v>
      </c>
      <c r="AP11" s="130">
        <f>IFERROR(IF(OR(NOT(ISNUMBER('Price History'!W12)),NOT(ISNUMBER('Price History'!W11)),'Price History'!W11=0),"",'Price History'!W12/'Price History'!W11-1),"")</f>
        <v>2.5584099799133009E-2</v>
      </c>
      <c r="AQ11" s="130" t="str">
        <f>IFERROR(IF(OR(NOT(ISNUMBER('Price History'!X12)),NOT(ISNUMBER('Price History'!X11)),'Price History'!X11=0),"",'Price History'!X12/'Price History'!X11-1),"")</f>
        <v/>
      </c>
      <c r="AR11" s="130">
        <f>IFERROR(IF(OR(NOT(ISNUMBER('Price History'!Y12)),NOT(ISNUMBER('Price History'!Y11)),'Price History'!Y11=0),"",'Price History'!Y12/'Price History'!Y11-1),"")</f>
        <v>8.6610486891387506E-3</v>
      </c>
      <c r="AS11" s="130">
        <f>IFERROR(IF(OR(NOT(ISNUMBER('Price History'!Z12)),NOT(ISNUMBER('Price History'!Z11)),'Price History'!Z11=0),"",'Price History'!Z12/'Price History'!Z11-1),"")</f>
        <v>4.041073203047385E-2</v>
      </c>
      <c r="AT11" s="130">
        <f>IFERROR(IF(OR(NOT(ISNUMBER('Price History'!AA12)),NOT(ISNUMBER('Price History'!AA11)),'Price History'!AA11=0),"",'Price History'!AA12/'Price History'!AA11-1),"")</f>
        <v>4.1815742397137923E-2</v>
      </c>
    </row>
    <row r="12" spans="1:46" ht="15" customHeight="1" x14ac:dyDescent="0.2">
      <c r="A12" s="128">
        <f>IF('Price History'!A13="","",'Price History'!A13)</f>
        <v>45254</v>
      </c>
      <c r="B12" s="129">
        <f>IFERROR(IF(OR(NOT(ISNUMBER('Price History'!B13)),NOT(ISNUMBER('Price History'!B12)),'Price History'!B12=0),"",'Price History'!B13/'Price History'!B12-1),"")</f>
        <v>2.7826635250389975E-2</v>
      </c>
      <c r="C12" s="129">
        <f>IFERROR(IF(OR(NOT(ISNUMBER('Price History'!C13)),NOT(ISNUMBER('Price History'!C12)),'Price History'!C12=0),"",'Price History'!C13/'Price History'!C12-1),"")</f>
        <v>1.7517704062616657E-2</v>
      </c>
      <c r="D12" s="129">
        <f>IFERROR(IF(OR(NOT(ISNUMBER('Price History'!D13)),NOT(ISNUMBER('Price History'!D12)),'Price History'!D12=0),"",'Price History'!D13/'Price History'!D12-1),"")</f>
        <v>7.4222010253963688E-3</v>
      </c>
      <c r="E12" s="129">
        <f>IFERROR(IF(OR(NOT(ISNUMBER('Price History'!E13)),NOT(ISNUMBER('Price History'!E12)),'Price History'!E12=0),"",'Price History'!E13/'Price History'!E12-1),"")</f>
        <v>1.1621764395139955E-3</v>
      </c>
      <c r="F12" s="129">
        <f>IFERROR(IF(OR(NOT(ISNUMBER('Price History'!F13)),NOT(ISNUMBER('Price History'!F12)),'Price History'!F12=0),"",'Price History'!F13/'Price History'!F12-1),"")</f>
        <v>1.7384585667374886E-2</v>
      </c>
      <c r="G12" s="129">
        <f>IFERROR(IF(OR(NOT(ISNUMBER('Price History'!G13)),NOT(ISNUMBER('Price History'!G12)),'Price History'!G12=0),"",'Price History'!G13/'Price History'!G12-1),"")</f>
        <v>2.0442610652663173E-2</v>
      </c>
      <c r="H12" s="129">
        <f>IFERROR(IF(OR(NOT(ISNUMBER('Price History'!H13)),NOT(ISNUMBER('Price History'!H12)),'Price History'!H12=0),"",'Price History'!H13/'Price History'!H12-1),"")</f>
        <v>-8.8507093583234386E-3</v>
      </c>
      <c r="I12" s="129">
        <f>IFERROR(IF(OR(NOT(ISNUMBER('Price History'!I13)),NOT(ISNUMBER('Price History'!I12)),'Price History'!I12=0),"",'Price History'!I13/'Price History'!I12-1),"")</f>
        <v>-3.0925737538148423E-2</v>
      </c>
      <c r="J12" s="129">
        <f>IFERROR(IF(OR(NOT(ISNUMBER('Price History'!J13)),NOT(ISNUMBER('Price History'!J12)),'Price History'!J12=0),"",'Price History'!J13/'Price History'!J12-1),"")</f>
        <v>1.7510506303782369E-2</v>
      </c>
      <c r="K12" s="129">
        <f>IFERROR(IF(OR(NOT(ISNUMBER('Price History'!K13)),NOT(ISNUMBER('Price History'!K12)),'Price History'!K12=0),"",'Price History'!K13/'Price History'!K12-1),"")</f>
        <v>-6.2957540263543166E-2</v>
      </c>
      <c r="L12" s="129">
        <f>IFERROR(IF(OR(NOT(ISNUMBER('Price History'!L13)),NOT(ISNUMBER('Price History'!L12)),'Price History'!L12=0),"",'Price History'!L13/'Price History'!L12-1),"")</f>
        <v>-1.7558528428093689E-2</v>
      </c>
      <c r="M12" s="129">
        <f>IFERROR(IF(OR(NOT(ISNUMBER('Price History'!M13)),NOT(ISNUMBER('Price History'!M12)),'Price History'!M12=0),"",'Price History'!M13/'Price History'!M12-1),"")</f>
        <v>-1.3914656771799483E-2</v>
      </c>
      <c r="N12" s="129">
        <f>IFERROR(IF(OR(NOT(ISNUMBER('Price History'!N13)),NOT(ISNUMBER('Price History'!N12)),'Price History'!N12=0),"",'Price History'!N13/'Price History'!N12-1),"")</f>
        <v>7.2467902995720923E-3</v>
      </c>
      <c r="O12" s="129">
        <f>IFERROR(IF(OR(NOT(ISNUMBER('Price History'!O13)),NOT(ISNUMBER('Price History'!O12)),'Price History'!O12=0),"",'Price History'!O13/'Price History'!O12-1),"")</f>
        <v>1.3085579691196614E-4</v>
      </c>
      <c r="P12" s="129">
        <f>IFERROR(IF(OR(NOT(ISNUMBER('Price History'!P13)),NOT(ISNUMBER('Price History'!P12)),'Price History'!P12=0),"",'Price History'!P13/'Price History'!P12-1),"")</f>
        <v>3.5353535353535026E-3</v>
      </c>
      <c r="Q12" s="129">
        <f>IFERROR(IF(OR(NOT(ISNUMBER('Price History'!Q13)),NOT(ISNUMBER('Price History'!Q12)),'Price History'!Q12=0),"",'Price History'!Q13/'Price History'!Q12-1),"")</f>
        <v>4.3213514044393442E-3</v>
      </c>
      <c r="R12" s="129">
        <f>IFERROR(IF(OR(NOT(ISNUMBER('Price History'!R13)),NOT(ISNUMBER('Price History'!R12)),'Price History'!R12=0),"",'Price History'!R13/'Price History'!R12-1),"")</f>
        <v>5.328098710039475E-3</v>
      </c>
      <c r="S12" s="129">
        <f>IFERROR(IF(OR(NOT(ISNUMBER('Price History'!S13)),NOT(ISNUMBER('Price History'!S12)),'Price History'!S12=0),"",'Price History'!S13/'Price History'!S12-1),"")</f>
        <v>5.4662912042406919E-3</v>
      </c>
      <c r="T12" s="129">
        <f>IFERROR(IF(OR(NOT(ISNUMBER('Price History'!T13)),NOT(ISNUMBER('Price History'!T12)),'Price History'!T12=0),"",'Price History'!T13/'Price History'!T12-1),"")</f>
        <v>7.0394994133751165E-3</v>
      </c>
      <c r="U12" s="129">
        <f>IFERROR(IF(OR(NOT(ISNUMBER('Price History'!U13)),NOT(ISNUMBER('Price History'!U12)),'Price History'!U12=0),"",'Price History'!U13/'Price History'!U12-1),"")</f>
        <v>9.4117647058822307E-3</v>
      </c>
      <c r="V12" s="130">
        <f>IFERROR(IF(OR(NOT(ISNUMBER('Price History'!V13)),NOT(ISNUMBER('Price History'!V12)),'Price History'!V12=0),"",'Price History'!V13/'Price History'!V12-1),"")</f>
        <v>1.9022294947842022E-2</v>
      </c>
      <c r="W12" s="131">
        <f>IFERROR('Price History'!B3+(INDEX('Price History'!B:B,MATCH(9.99E+307,'Returns (Calc)'!$A:$A)+1)-'Price History'!B3)*(ROW()-3)/(MATCH(9.99E+307,'Returns (Calc)'!$A:$A)-3),"")</f>
        <v>512.30265822784804</v>
      </c>
      <c r="X12" s="131">
        <f>IFERROR('Price History'!C3+(INDEX('Price History'!C:C,MATCH(9.99E+307,'Returns (Calc)'!$A:$A)+1)-'Price History'!C3)*(ROW()-3)/(MATCH(9.99E+307,'Returns (Calc)'!$A:$A)-3),"")</f>
        <v>55.360569620253166</v>
      </c>
      <c r="Y12" s="131">
        <f>IFERROR('Price History'!D3+(INDEX('Price History'!D:D,MATCH(9.99E+307,'Returns (Calc)'!$A:$A)+1)-'Price History'!D3)*(ROW()-3)/(MATCH(9.99E+307,'Returns (Calc)'!$A:$A)-3),"")</f>
        <v>655.22329113924047</v>
      </c>
      <c r="Z12" s="131">
        <f>IFERROR('Price History'!E3+(INDEX('Price History'!E:E,MATCH(9.99E+307,'Returns (Calc)'!$A:$A)+1)-'Price History'!E3)*(ROW()-3)/(MATCH(9.99E+307,'Returns (Calc)'!$A:$A)-3),"")</f>
        <v>97.558607594936703</v>
      </c>
      <c r="AA12" s="131">
        <f>IFERROR('Price History'!F3+(INDEX('Price History'!F:F,MATCH(9.99E+307,'Returns (Calc)'!$A:$A)+1)-'Price History'!F3)*(ROW()-3)/(MATCH(9.99E+307,'Returns (Calc)'!$A:$A)-3),"")</f>
        <v>54.38607594936709</v>
      </c>
      <c r="AB12" s="131">
        <f>IFERROR('Price History'!G3+(INDEX('Price History'!G:G,MATCH(9.99E+307,'Returns (Calc)'!$A:$A)+1)-'Price History'!G3)*(ROW()-3)/(MATCH(9.99E+307,'Returns (Calc)'!$A:$A)-3),"")</f>
        <v>53.608607594936707</v>
      </c>
      <c r="AC12" s="131">
        <f>IFERROR('Price History'!H3+(INDEX('Price History'!H:H,MATCH(9.99E+307,'Returns (Calc)'!$A:$A)+1)-'Price History'!H3)*(ROW()-3)/(MATCH(9.99E+307,'Returns (Calc)'!$A:$A)-3),"")</f>
        <v>126.40126582278481</v>
      </c>
      <c r="AD12" s="131">
        <f>IFERROR('Price History'!I3+(INDEX('Price History'!I:I,MATCH(9.99E+307,'Returns (Calc)'!$A:$A)+1)-'Price History'!I3)*(ROW()-3)/(MATCH(9.99E+307,'Returns (Calc)'!$A:$A)-3),"")</f>
        <v>54.603037974683545</v>
      </c>
      <c r="AE12" s="131">
        <f>IFERROR('Price History'!J3+(INDEX('Price History'!J:J,MATCH(9.99E+307,'Returns (Calc)'!$A:$A)+1)-'Price History'!J3)*(ROW()-3)/(MATCH(9.99E+307,'Returns (Calc)'!$A:$A)-3),"")</f>
        <v>112.8123417721519</v>
      </c>
      <c r="AF12" s="131">
        <f>IFERROR('Price History'!K3+(INDEX('Price History'!K:K,MATCH(9.99E+307,'Returns (Calc)'!$A:$A)+1)-'Price History'!K3)*(ROW()-3)/(MATCH(9.99E+307,'Returns (Calc)'!$A:$A)-3),"")</f>
        <v>25.208354430379746</v>
      </c>
      <c r="AG12" s="131">
        <f>IFERROR('Price History'!L3+(INDEX('Price History'!L:L,MATCH(9.99E+307,'Returns (Calc)'!$A:$A)+1)-'Price History'!L3)*(ROW()-3)/(MATCH(9.99E+307,'Returns (Calc)'!$A:$A)-3),"")</f>
        <v>107.79601265822785</v>
      </c>
      <c r="AH12" s="131">
        <f>IFERROR('Price History'!M3+(INDEX('Price History'!M:M,MATCH(9.99E+307,'Returns (Calc)'!$A:$A)+1)-'Price History'!M3)*(ROW()-3)/(MATCH(9.99E+307,'Returns (Calc)'!$A:$A)-3),"")</f>
        <v>50.218987341772156</v>
      </c>
      <c r="AI12" s="131">
        <f>IFERROR('Price History'!N3+(INDEX('Price History'!N:N,MATCH(9.99E+307,'Returns (Calc)'!$A:$A)+1)-'Price History'!N3)*(ROW()-3)/(MATCH(9.99E+307,'Returns (Calc)'!$A:$A)-3),"")</f>
        <v>357.77639240506329</v>
      </c>
      <c r="AJ12" s="131">
        <f>IFERROR('Price History'!O3+(INDEX('Price History'!O:O,MATCH(9.99E+307,'Returns (Calc)'!$A:$A)+1)-'Price History'!O3)*(ROW()-3)/(MATCH(9.99E+307,'Returns (Calc)'!$A:$A)-3),"")</f>
        <v>77.857341772151898</v>
      </c>
      <c r="AK12" s="131">
        <f>IFERROR('Price History'!Q3+(INDEX('Price History'!Q:Q,MATCH(9.99E+307,'Returns (Calc)'!$A:$A)+1)-'Price History'!Q3)*(ROW()-3)/(MATCH(9.99E+307,'Returns (Calc)'!$A:$A)-3),"")</f>
        <v>3.9543037974683544</v>
      </c>
      <c r="AL12" s="131">
        <f>IFERROR('Price History'!R3+(INDEX('Price History'!R:R,MATCH(9.99E+307,'Returns (Calc)'!$A:$A)+1)-'Price History'!R3)*(ROW()-3)/(MATCH(9.99E+307,'Returns (Calc)'!$A:$A)-3),"")</f>
        <v>35.992911392405063</v>
      </c>
      <c r="AM12" s="131">
        <f>IFERROR('Price History'!S3+(INDEX('Price History'!S:S,MATCH(9.99E+307,'Returns (Calc)'!$A:$A)+1)-'Price History'!S3)*(ROW()-3)/(MATCH(9.99E+307,'Returns (Calc)'!$A:$A)-3),"")</f>
        <v>63.075569620253169</v>
      </c>
      <c r="AN12" s="131">
        <f>IFERROR('Price History'!T3+(INDEX('Price History'!T:T,MATCH(9.99E+307,'Returns (Calc)'!$A:$A)+1)-'Price History'!T3)*(ROW()-3)/(MATCH(9.99E+307,'Returns (Calc)'!$A:$A)-3),"")</f>
        <v>26.75405063291139</v>
      </c>
      <c r="AO12" s="132">
        <f>IFERROR('Price History'!V3+(INDEX('Price History'!V:V,MATCH(9.99E+307,'Returns (Calc)'!$A:$A)+1)-'Price History'!V3)*(ROW()-3)/(MATCH(9.99E+307,'Returns (Calc)'!$A:$A)-3),"")</f>
        <v>242.75196202531646</v>
      </c>
      <c r="AP12" s="130">
        <f>IFERROR(IF(OR(NOT(ISNUMBER('Price History'!W13)),NOT(ISNUMBER('Price History'!W12)),'Price History'!W12=0),"",'Price History'!W13/'Price History'!W12-1),"")</f>
        <v>7.009586640552401E-3</v>
      </c>
      <c r="AQ12" s="130" t="str">
        <f>IFERROR(IF(OR(NOT(ISNUMBER('Price History'!X13)),NOT(ISNUMBER('Price History'!X12)),'Price History'!X12=0),"",'Price History'!X13/'Price History'!X12-1),"")</f>
        <v/>
      </c>
      <c r="AR12" s="130">
        <f>IFERROR(IF(OR(NOT(ISNUMBER('Price History'!Y13)),NOT(ISNUMBER('Price History'!Y12)),'Price History'!Y12=0),"",'Price History'!Y13/'Price History'!Y12-1),"")</f>
        <v>7.6583894174981904E-3</v>
      </c>
      <c r="AS12" s="130">
        <f>IFERROR(IF(OR(NOT(ISNUMBER('Price History'!Z13)),NOT(ISNUMBER('Price History'!Z12)),'Price History'!Z12=0),"",'Price History'!Z13/'Price History'!Z12-1),"")</f>
        <v>4.2449326116944519E-4</v>
      </c>
      <c r="AT12" s="130">
        <f>IFERROR(IF(OR(NOT(ISNUMBER('Price History'!AA13)),NOT(ISNUMBER('Price History'!AA12)),'Price History'!AA12=0),"",'Price History'!AA13/'Price History'!AA12-1),"")</f>
        <v>2.9405451813693917E-2</v>
      </c>
    </row>
    <row r="13" spans="1:46" ht="15" customHeight="1" x14ac:dyDescent="0.2">
      <c r="A13" s="128">
        <f>IF('Price History'!A14="","",'Price History'!A14)</f>
        <v>45261</v>
      </c>
      <c r="B13" s="129">
        <f>IFERROR(IF(OR(NOT(ISNUMBER('Price History'!B14)),NOT(ISNUMBER('Price History'!B13)),'Price History'!B13=0),"",'Price History'!B14/'Price History'!B13-1),"")</f>
        <v>-1.1236136448024681E-2</v>
      </c>
      <c r="C13" s="129">
        <f>IFERROR(IF(OR(NOT(ISNUMBER('Price History'!C14)),NOT(ISNUMBER('Price History'!C13)),'Price History'!C13=0),"",'Price History'!C14/'Price History'!C13-1),"")</f>
        <v>-8.058608058608141E-3</v>
      </c>
      <c r="D13" s="129">
        <f>IFERROR(IF(OR(NOT(ISNUMBER('Price History'!D14)),NOT(ISNUMBER('Price History'!D13)),'Price History'!D13=0),"",'Price History'!D14/'Price History'!D13-1),"")</f>
        <v>1.4794212504067872E-3</v>
      </c>
      <c r="E13" s="129">
        <f>IFERROR(IF(OR(NOT(ISNUMBER('Price History'!E14)),NOT(ISNUMBER('Price History'!E13)),'Price History'!E13=0),"",'Price History'!E14/'Price History'!E13-1),"")</f>
        <v>-4.9915576192486322E-2</v>
      </c>
      <c r="F13" s="129">
        <f>IFERROR(IF(OR(NOT(ISNUMBER('Price History'!F14)),NOT(ISNUMBER('Price History'!F13)),'Price History'!F13=0),"",'Price History'!F14/'Price History'!F13-1),"")</f>
        <v>0.11562559331687861</v>
      </c>
      <c r="G13" s="129">
        <f>IFERROR(IF(OR(NOT(ISNUMBER('Price History'!G14)),NOT(ISNUMBER('Price History'!G13)),'Price History'!G13=0),"",'Price History'!G14/'Price History'!G13-1),"")</f>
        <v>-1.1946333394596609E-2</v>
      </c>
      <c r="H13" s="129">
        <f>IFERROR(IF(OR(NOT(ISNUMBER('Price History'!H14)),NOT(ISNUMBER('Price History'!H13)),'Price History'!H13=0),"",'Price History'!H14/'Price History'!H13-1),"")</f>
        <v>-1.2212738017071678E-2</v>
      </c>
      <c r="I13" s="129">
        <f>IFERROR(IF(OR(NOT(ISNUMBER('Price History'!I14)),NOT(ISNUMBER('Price History'!I13)),'Price History'!I13=0),"",'Price History'!I14/'Price History'!I13-1),"")</f>
        <v>-2.0995171110644528E-2</v>
      </c>
      <c r="J13" s="129">
        <f>IFERROR(IF(OR(NOT(ISNUMBER('Price History'!J14)),NOT(ISNUMBER('Price History'!J13)),'Price History'!J13=0),"",'Price History'!J14/'Price History'!J13-1),"")</f>
        <v>5.5856033041597142E-2</v>
      </c>
      <c r="K13" s="129">
        <f>IFERROR(IF(OR(NOT(ISNUMBER('Price History'!K14)),NOT(ISNUMBER('Price History'!K13)),'Price History'!K13=0),"",'Price History'!K14/'Price History'!K13-1),"")</f>
        <v>5.5729166666666607E-2</v>
      </c>
      <c r="L13" s="129">
        <f>IFERROR(IF(OR(NOT(ISNUMBER('Price History'!L14)),NOT(ISNUMBER('Price History'!L13)),'Price History'!L13=0),"",'Price History'!L14/'Price History'!L13-1),"")</f>
        <v>7.3404255319149403E-3</v>
      </c>
      <c r="M13" s="129">
        <f>IFERROR(IF(OR(NOT(ISNUMBER('Price History'!M14)),NOT(ISNUMBER('Price History'!M13)),'Price History'!M13=0),"",'Price History'!M14/'Price History'!M13-1),"")</f>
        <v>5.7619943555973663E-2</v>
      </c>
      <c r="N13" s="129">
        <f>IFERROR(IF(OR(NOT(ISNUMBER('Price History'!N14)),NOT(ISNUMBER('Price History'!N13)),'Price History'!N13=0),"",'Price History'!N14/'Price History'!N13-1),"")</f>
        <v>-5.3251756174937936E-3</v>
      </c>
      <c r="O13" s="129">
        <f>IFERROR(IF(OR(NOT(ISNUMBER('Price History'!O14)),NOT(ISNUMBER('Price History'!O13)),'Price History'!O13=0),"",'Price History'!O14/'Price History'!O13-1),"")</f>
        <v>3.3494701033625285E-2</v>
      </c>
      <c r="P13" s="129">
        <f>IFERROR(IF(OR(NOT(ISNUMBER('Price History'!P14)),NOT(ISNUMBER('Price History'!P13)),'Price History'!P13=0),"",'Price History'!P14/'Price History'!P13-1),"")</f>
        <v>2.9290387518872807E-2</v>
      </c>
      <c r="Q13" s="129">
        <f>IFERROR(IF(OR(NOT(ISNUMBER('Price History'!Q14)),NOT(ISNUMBER('Price History'!Q13)),'Price History'!Q13=0),"",'Price History'!Q14/'Price History'!Q13-1),"")</f>
        <v>9.7789947193427373E-4</v>
      </c>
      <c r="R13" s="129">
        <f>IFERROR(IF(OR(NOT(ISNUMBER('Price History'!R14)),NOT(ISNUMBER('Price History'!R13)),'Price History'!R13=0),"",'Price History'!R14/'Price History'!R13-1),"")</f>
        <v>1.9525801952580135E-3</v>
      </c>
      <c r="S13" s="129">
        <f>IFERROR(IF(OR(NOT(ISNUMBER('Price History'!S14)),NOT(ISNUMBER('Price History'!S13)),'Price History'!S13=0),"",'Price History'!S14/'Price History'!S13-1),"")</f>
        <v>-2.1416803953872021E-3</v>
      </c>
      <c r="T13" s="129">
        <f>IFERROR(IF(OR(NOT(ISNUMBER('Price History'!T14)),NOT(ISNUMBER('Price History'!T13)),'Price History'!T13=0),"",'Price History'!T14/'Price History'!T13-1),"")</f>
        <v>1.3592233009708687E-2</v>
      </c>
      <c r="U13" s="129">
        <f>IFERROR(IF(OR(NOT(ISNUMBER('Price History'!U14)),NOT(ISNUMBER('Price History'!U13)),'Price History'!U13=0),"",'Price History'!U14/'Price History'!U13-1),"")</f>
        <v>1.8648018648018683E-2</v>
      </c>
      <c r="V13" s="130">
        <f>IFERROR(IF(OR(NOT(ISNUMBER('Price History'!V14)),NOT(ISNUMBER('Price History'!V13)),'Price History'!V13=0),"",'Price History'!V14/'Price History'!V13-1),"")</f>
        <v>8.4303492573263306E-3</v>
      </c>
      <c r="W13" s="131">
        <f>IFERROR('Price History'!B3+(INDEX('Price History'!B:B,MATCH(9.99E+307,'Returns (Calc)'!$A:$A)+1)-'Price History'!B3)*(ROW()-3)/(MATCH(9.99E+307,'Returns (Calc)'!$A:$A)-3),"")</f>
        <v>510.45962025316453</v>
      </c>
      <c r="X13" s="131">
        <f>IFERROR('Price History'!C3+(INDEX('Price History'!C:C,MATCH(9.99E+307,'Returns (Calc)'!$A:$A)+1)-'Price History'!C3)*(ROW()-3)/(MATCH(9.99E+307,'Returns (Calc)'!$A:$A)-3),"")</f>
        <v>56.380632911392404</v>
      </c>
      <c r="Y13" s="131">
        <f>IFERROR('Price History'!D3+(INDEX('Price History'!D:D,MATCH(9.99E+307,'Returns (Calc)'!$A:$A)+1)-'Price History'!D3)*(ROW()-3)/(MATCH(9.99E+307,'Returns (Calc)'!$A:$A)-3),"")</f>
        <v>663.35810126582282</v>
      </c>
      <c r="Z13" s="131">
        <f>IFERROR('Price History'!E3+(INDEX('Price History'!E:E,MATCH(9.99E+307,'Returns (Calc)'!$A:$A)+1)-'Price History'!E3)*(ROW()-3)/(MATCH(9.99E+307,'Returns (Calc)'!$A:$A)-3),"")</f>
        <v>99.287341772151905</v>
      </c>
      <c r="AA13" s="131">
        <f>IFERROR('Price History'!F3+(INDEX('Price History'!F:F,MATCH(9.99E+307,'Returns (Calc)'!$A:$A)+1)-'Price History'!F3)*(ROW()-3)/(MATCH(9.99E+307,'Returns (Calc)'!$A:$A)-3),"")</f>
        <v>55.833417721518984</v>
      </c>
      <c r="AB13" s="131">
        <f>IFERROR('Price History'!G3+(INDEX('Price History'!G:G,MATCH(9.99E+307,'Returns (Calc)'!$A:$A)+1)-'Price History'!G3)*(ROW()-3)/(MATCH(9.99E+307,'Returns (Calc)'!$A:$A)-3),"")</f>
        <v>54.637341772151899</v>
      </c>
      <c r="AC13" s="131">
        <f>IFERROR('Price History'!H3+(INDEX('Price History'!H:H,MATCH(9.99E+307,'Returns (Calc)'!$A:$A)+1)-'Price History'!H3)*(ROW()-3)/(MATCH(9.99E+307,'Returns (Calc)'!$A:$A)-3),"")</f>
        <v>132.76696202531645</v>
      </c>
      <c r="AD13" s="131">
        <f>IFERROR('Price History'!I3+(INDEX('Price History'!I:I,MATCH(9.99E+307,'Returns (Calc)'!$A:$A)+1)-'Price History'!I3)*(ROW()-3)/(MATCH(9.99E+307,'Returns (Calc)'!$A:$A)-3),"")</f>
        <v>55.806708860759493</v>
      </c>
      <c r="AE13" s="131">
        <f>IFERROR('Price History'!J3+(INDEX('Price History'!J:J,MATCH(9.99E+307,'Returns (Calc)'!$A:$A)+1)-'Price History'!J3)*(ROW()-3)/(MATCH(9.99E+307,'Returns (Calc)'!$A:$A)-3),"")</f>
        <v>112.92037974683545</v>
      </c>
      <c r="AF13" s="131">
        <f>IFERROR('Price History'!K3+(INDEX('Price History'!K:K,MATCH(9.99E+307,'Returns (Calc)'!$A:$A)+1)-'Price History'!K3)*(ROW()-3)/(MATCH(9.99E+307,'Returns (Calc)'!$A:$A)-3),"")</f>
        <v>26.305949367088608</v>
      </c>
      <c r="AG13" s="131">
        <f>IFERROR('Price History'!L3+(INDEX('Price History'!L:L,MATCH(9.99E+307,'Returns (Calc)'!$A:$A)+1)-'Price History'!L3)*(ROW()-3)/(MATCH(9.99E+307,'Returns (Calc)'!$A:$A)-3),"")</f>
        <v>110.24556962025316</v>
      </c>
      <c r="AH13" s="131">
        <f>IFERROR('Price History'!M3+(INDEX('Price History'!M:M,MATCH(9.99E+307,'Returns (Calc)'!$A:$A)+1)-'Price History'!M3)*(ROW()-3)/(MATCH(9.99E+307,'Returns (Calc)'!$A:$A)-3),"")</f>
        <v>51.574430379746836</v>
      </c>
      <c r="AI13" s="131">
        <f>IFERROR('Price History'!N3+(INDEX('Price History'!N:N,MATCH(9.99E+307,'Returns (Calc)'!$A:$A)+1)-'Price History'!N3)*(ROW()-3)/(MATCH(9.99E+307,'Returns (Calc)'!$A:$A)-3),"")</f>
        <v>358.76265822784808</v>
      </c>
      <c r="AJ13" s="131">
        <f>IFERROR('Price History'!O3+(INDEX('Price History'!O:O,MATCH(9.99E+307,'Returns (Calc)'!$A:$A)+1)-'Price History'!O3)*(ROW()-3)/(MATCH(9.99E+307,'Returns (Calc)'!$A:$A)-3),"")</f>
        <v>78.14037974683545</v>
      </c>
      <c r="AK13" s="131">
        <f>IFERROR('Price History'!Q3+(INDEX('Price History'!Q:Q,MATCH(9.99E+307,'Returns (Calc)'!$A:$A)+1)-'Price History'!Q3)*(ROW()-3)/(MATCH(9.99E+307,'Returns (Calc)'!$A:$A)-3),"")</f>
        <v>4.3936708860759497</v>
      </c>
      <c r="AL13" s="131">
        <f>IFERROR('Price History'!R3+(INDEX('Price History'!R:R,MATCH(9.99E+307,'Returns (Calc)'!$A:$A)+1)-'Price History'!R3)*(ROW()-3)/(MATCH(9.99E+307,'Returns (Calc)'!$A:$A)-3),"")</f>
        <v>36.161012658227847</v>
      </c>
      <c r="AM13" s="131">
        <f>IFERROR('Price History'!S3+(INDEX('Price History'!S:S,MATCH(9.99E+307,'Returns (Calc)'!$A:$A)+1)-'Price History'!S3)*(ROW()-3)/(MATCH(9.99E+307,'Returns (Calc)'!$A:$A)-3),"")</f>
        <v>63.680632911392408</v>
      </c>
      <c r="AN13" s="131">
        <f>IFERROR('Price History'!T3+(INDEX('Price History'!T:T,MATCH(9.99E+307,'Returns (Calc)'!$A:$A)+1)-'Price History'!T3)*(ROW()-3)/(MATCH(9.99E+307,'Returns (Calc)'!$A:$A)-3),"")</f>
        <v>26.922278481012658</v>
      </c>
      <c r="AO13" s="132">
        <f>IFERROR('Price History'!V3+(INDEX('Price History'!V:V,MATCH(9.99E+307,'Returns (Calc)'!$A:$A)+1)-'Price History'!V3)*(ROW()-3)/(MATCH(9.99E+307,'Returns (Calc)'!$A:$A)-3),"")</f>
        <v>243.54329113924049</v>
      </c>
      <c r="AP13" s="130">
        <f>IFERROR(IF(OR(NOT(ISNUMBER('Price History'!W14)),NOT(ISNUMBER('Price History'!W13)),'Price History'!W13=0),"",'Price History'!W14/'Price History'!W13-1),"")</f>
        <v>1.7299621250895569E-2</v>
      </c>
      <c r="AQ13" s="130" t="str">
        <f>IFERROR(IF(OR(NOT(ISNUMBER('Price History'!X14)),NOT(ISNUMBER('Price History'!X13)),'Price History'!X13=0),"",'Price History'!X14/'Price History'!X13-1),"")</f>
        <v/>
      </c>
      <c r="AR13" s="130">
        <f>IFERROR(IF(OR(NOT(ISNUMBER('Price History'!Y14)),NOT(ISNUMBER('Price History'!Y13)),'Price History'!Y13=0),"",'Price History'!Y14/'Price History'!Y13-1),"")</f>
        <v>4.6061722708428121E-3</v>
      </c>
      <c r="AS13" s="130">
        <f>IFERROR(IF(OR(NOT(ISNUMBER('Price History'!Z14)),NOT(ISNUMBER('Price History'!Z13)),'Price History'!Z13=0),"",'Price History'!Z14/'Price History'!Z13-1),"")</f>
        <v>2.100350058343059E-2</v>
      </c>
      <c r="AT13" s="130">
        <f>IFERROR(IF(OR(NOT(ISNUMBER('Price History'!AA14)),NOT(ISNUMBER('Price History'!AA13)),'Price History'!AA13=0),"",'Price History'!AA14/'Price History'!AA13-1),"")</f>
        <v>-2.8982485404503766E-2</v>
      </c>
    </row>
    <row r="14" spans="1:46" ht="15" customHeight="1" x14ac:dyDescent="0.2">
      <c r="A14" s="128">
        <f>IF('Price History'!A15="","",'Price History'!A15)</f>
        <v>45268</v>
      </c>
      <c r="B14" s="129">
        <f>IFERROR(IF(OR(NOT(ISNUMBER('Price History'!B15)),NOT(ISNUMBER('Price History'!B14)),'Price History'!B14=0),"",'Price History'!B15/'Price History'!B14-1),"")</f>
        <v>-4.0165232582820565E-3</v>
      </c>
      <c r="C14" s="129">
        <f>IFERROR(IF(OR(NOT(ISNUMBER('Price History'!C15)),NOT(ISNUMBER('Price History'!C14)),'Price History'!C14=0),"",'Price History'!C15/'Price History'!C14-1),"")</f>
        <v>3.4158050221565706E-2</v>
      </c>
      <c r="D14" s="129">
        <f>IFERROR(IF(OR(NOT(ISNUMBER('Price History'!D15)),NOT(ISNUMBER('Price History'!D14)),'Price History'!D14=0),"",'Price History'!D15/'Price History'!D14-1),"")</f>
        <v>6.1009838390404525E-3</v>
      </c>
      <c r="E14" s="129">
        <f>IFERROR(IF(OR(NOT(ISNUMBER('Price History'!E15)),NOT(ISNUMBER('Price History'!E14)),'Price History'!E14=0),"",'Price History'!E15/'Price History'!E14-1),"")</f>
        <v>1.5328223925358264E-2</v>
      </c>
      <c r="F14" s="129">
        <f>IFERROR(IF(OR(NOT(ISNUMBER('Price History'!F15)),NOT(ISNUMBER('Price History'!F14)),'Price History'!F14=0),"",'Price History'!F15/'Price History'!F14-1),"")</f>
        <v>3.1994554118447871E-2</v>
      </c>
      <c r="G14" s="129">
        <f>IFERROR(IF(OR(NOT(ISNUMBER('Price History'!G15)),NOT(ISNUMBER('Price History'!G14)),'Price History'!G14=0),"",'Price History'!G15/'Price History'!G14-1),"")</f>
        <v>-2.6599702380952328E-2</v>
      </c>
      <c r="H14" s="129">
        <f>IFERROR(IF(OR(NOT(ISNUMBER('Price History'!H15)),NOT(ISNUMBER('Price History'!H14)),'Price History'!H14=0),"",'Price History'!H15/'Price History'!H14-1),"")</f>
        <v>-1.2762563148098871E-2</v>
      </c>
      <c r="I14" s="129">
        <f>IFERROR(IF(OR(NOT(ISNUMBER('Price History'!I15)),NOT(ISNUMBER('Price History'!I14)),'Price History'!I14=0),"",'Price History'!I15/'Price History'!I14-1),"")</f>
        <v>1.5869611837872499E-2</v>
      </c>
      <c r="J14" s="129">
        <f>IFERROR(IF(OR(NOT(ISNUMBER('Price History'!J15)),NOT(ISNUMBER('Price History'!J14)),'Price History'!J14=0),"",'Price History'!J15/'Price History'!J14-1),"")</f>
        <v>1.3504703362205328E-2</v>
      </c>
      <c r="K14" s="129">
        <f>IFERROR(IF(OR(NOT(ISNUMBER('Price History'!K15)),NOT(ISNUMBER('Price History'!K14)),'Price History'!K14=0),"",'Price History'!K15/'Price History'!K14-1),"")</f>
        <v>-0.12333497779970404</v>
      </c>
      <c r="L14" s="129">
        <f>IFERROR(IF(OR(NOT(ISNUMBER('Price History'!L15)),NOT(ISNUMBER('Price History'!L14)),'Price History'!L14=0),"",'Price History'!L15/'Price History'!L14-1),"")</f>
        <v>1.8270144682648759E-2</v>
      </c>
      <c r="M14" s="129">
        <f>IFERROR(IF(OR(NOT(ISNUMBER('Price History'!M15)),NOT(ISNUMBER('Price History'!M14)),'Price History'!M14=0),"",'Price History'!M15/'Price History'!M14-1),"")</f>
        <v>4.4696464309539552E-2</v>
      </c>
      <c r="N14" s="129">
        <f>IFERROR(IF(OR(NOT(ISNUMBER('Price History'!N15)),NOT(ISNUMBER('Price History'!N14)),'Price History'!N14=0),"",'Price History'!N15/'Price History'!N14-1),"")</f>
        <v>-2.8761817974713999E-3</v>
      </c>
      <c r="O14" s="129">
        <f>IFERROR(IF(OR(NOT(ISNUMBER('Price History'!O15)),NOT(ISNUMBER('Price History'!O14)),'Price History'!O14=0),"",'Price History'!O15/'Price History'!O14-1),"")</f>
        <v>8.3554880364604678E-3</v>
      </c>
      <c r="P14" s="129">
        <f>IFERROR(IF(OR(NOT(ISNUMBER('Price History'!P15)),NOT(ISNUMBER('Price History'!P14)),'Price History'!P14=0),"",'Price History'!P15/'Price History'!P14-1),"")</f>
        <v>2.1513788382554466E-3</v>
      </c>
      <c r="Q14" s="129">
        <f>IFERROR(IF(OR(NOT(ISNUMBER('Price History'!Q15)),NOT(ISNUMBER('Price History'!Q14)),'Price History'!Q14=0),"",'Price History'!Q15/'Price History'!Q14-1),"")</f>
        <v>3.71238765142623E-3</v>
      </c>
      <c r="R14" s="129">
        <f>IFERROR(IF(OR(NOT(ISNUMBER('Price History'!R15)),NOT(ISNUMBER('Price History'!R14)),'Price History'!R14=0),"",'Price History'!R15/'Price History'!R14-1),"")</f>
        <v>7.2383073496657957E-3</v>
      </c>
      <c r="S14" s="129">
        <f>IFERROR(IF(OR(NOT(ISNUMBER('Price History'!S15)),NOT(ISNUMBER('Price History'!S14)),'Price History'!S14=0),"",'Price History'!S15/'Price History'!S14-1),"")</f>
        <v>3.6321611358758332E-3</v>
      </c>
      <c r="T14" s="129">
        <f>IFERROR(IF(OR(NOT(ISNUMBER('Price History'!T15)),NOT(ISNUMBER('Price History'!T14)),'Price History'!T14=0),"",'Price History'!T15/'Price History'!T14-1),"")</f>
        <v>8.8122605363982753E-3</v>
      </c>
      <c r="U14" s="129">
        <f>IFERROR(IF(OR(NOT(ISNUMBER('Price History'!U15)),NOT(ISNUMBER('Price History'!U14)),'Price History'!U14=0),"",'Price History'!U15/'Price History'!U14-1),"")</f>
        <v>1.8306636155605016E-3</v>
      </c>
      <c r="V14" s="130">
        <f>IFERROR(IF(OR(NOT(ISNUMBER('Price History'!V15)),NOT(ISNUMBER('Price History'!V14)),'Price History'!V14=0),"",'Price History'!V15/'Price History'!V14-1),"")</f>
        <v>-2.7468152866242379E-3</v>
      </c>
      <c r="W14" s="131">
        <f>IFERROR('Price History'!B3+(INDEX('Price History'!B:B,MATCH(9.99E+307,'Returns (Calc)'!$A:$A)+1)-'Price History'!B3)*(ROW()-3)/(MATCH(9.99E+307,'Returns (Calc)'!$A:$A)-3),"")</f>
        <v>508.61658227848102</v>
      </c>
      <c r="X14" s="131">
        <f>IFERROR('Price History'!C3+(INDEX('Price History'!C:C,MATCH(9.99E+307,'Returns (Calc)'!$A:$A)+1)-'Price History'!C3)*(ROW()-3)/(MATCH(9.99E+307,'Returns (Calc)'!$A:$A)-3),"")</f>
        <v>57.400696202531648</v>
      </c>
      <c r="Y14" s="131">
        <f>IFERROR('Price History'!D3+(INDEX('Price History'!D:D,MATCH(9.99E+307,'Returns (Calc)'!$A:$A)+1)-'Price History'!D3)*(ROW()-3)/(MATCH(9.99E+307,'Returns (Calc)'!$A:$A)-3),"")</f>
        <v>671.49291139240506</v>
      </c>
      <c r="Z14" s="131">
        <f>IFERROR('Price History'!E3+(INDEX('Price History'!E:E,MATCH(9.99E+307,'Returns (Calc)'!$A:$A)+1)-'Price History'!E3)*(ROW()-3)/(MATCH(9.99E+307,'Returns (Calc)'!$A:$A)-3),"")</f>
        <v>101.01607594936709</v>
      </c>
      <c r="AA14" s="131">
        <f>IFERROR('Price History'!F3+(INDEX('Price History'!F:F,MATCH(9.99E+307,'Returns (Calc)'!$A:$A)+1)-'Price History'!F3)*(ROW()-3)/(MATCH(9.99E+307,'Returns (Calc)'!$A:$A)-3),"")</f>
        <v>57.280759493670885</v>
      </c>
      <c r="AB14" s="131">
        <f>IFERROR('Price History'!G3+(INDEX('Price History'!G:G,MATCH(9.99E+307,'Returns (Calc)'!$A:$A)+1)-'Price History'!G3)*(ROW()-3)/(MATCH(9.99E+307,'Returns (Calc)'!$A:$A)-3),"")</f>
        <v>55.666075949367091</v>
      </c>
      <c r="AC14" s="131">
        <f>IFERROR('Price History'!H3+(INDEX('Price History'!H:H,MATCH(9.99E+307,'Returns (Calc)'!$A:$A)+1)-'Price History'!H3)*(ROW()-3)/(MATCH(9.99E+307,'Returns (Calc)'!$A:$A)-3),"")</f>
        <v>139.13265822784811</v>
      </c>
      <c r="AD14" s="131">
        <f>IFERROR('Price History'!I3+(INDEX('Price History'!I:I,MATCH(9.99E+307,'Returns (Calc)'!$A:$A)+1)-'Price History'!I3)*(ROW()-3)/(MATCH(9.99E+307,'Returns (Calc)'!$A:$A)-3),"")</f>
        <v>57.01037974683544</v>
      </c>
      <c r="AE14" s="131">
        <f>IFERROR('Price History'!J3+(INDEX('Price History'!J:J,MATCH(9.99E+307,'Returns (Calc)'!$A:$A)+1)-'Price History'!J3)*(ROW()-3)/(MATCH(9.99E+307,'Returns (Calc)'!$A:$A)-3),"")</f>
        <v>113.02841772151899</v>
      </c>
      <c r="AF14" s="131">
        <f>IFERROR('Price History'!K3+(INDEX('Price History'!K:K,MATCH(9.99E+307,'Returns (Calc)'!$A:$A)+1)-'Price History'!K3)*(ROW()-3)/(MATCH(9.99E+307,'Returns (Calc)'!$A:$A)-3),"")</f>
        <v>27.403544303797467</v>
      </c>
      <c r="AG14" s="131">
        <f>IFERROR('Price History'!L3+(INDEX('Price History'!L:L,MATCH(9.99E+307,'Returns (Calc)'!$A:$A)+1)-'Price History'!L3)*(ROW()-3)/(MATCH(9.99E+307,'Returns (Calc)'!$A:$A)-3),"")</f>
        <v>112.69512658227848</v>
      </c>
      <c r="AH14" s="131">
        <f>IFERROR('Price History'!M3+(INDEX('Price History'!M:M,MATCH(9.99E+307,'Returns (Calc)'!$A:$A)+1)-'Price History'!M3)*(ROW()-3)/(MATCH(9.99E+307,'Returns (Calc)'!$A:$A)-3),"")</f>
        <v>52.929873417721524</v>
      </c>
      <c r="AI14" s="131">
        <f>IFERROR('Price History'!N3+(INDEX('Price History'!N:N,MATCH(9.99E+307,'Returns (Calc)'!$A:$A)+1)-'Price History'!N3)*(ROW()-3)/(MATCH(9.99E+307,'Returns (Calc)'!$A:$A)-3),"")</f>
        <v>359.74892405063287</v>
      </c>
      <c r="AJ14" s="131">
        <f>IFERROR('Price History'!O3+(INDEX('Price History'!O:O,MATCH(9.99E+307,'Returns (Calc)'!$A:$A)+1)-'Price History'!O3)*(ROW()-3)/(MATCH(9.99E+307,'Returns (Calc)'!$A:$A)-3),"")</f>
        <v>78.423417721518987</v>
      </c>
      <c r="AK14" s="131">
        <f>IFERROR('Price History'!Q3+(INDEX('Price History'!Q:Q,MATCH(9.99E+307,'Returns (Calc)'!$A:$A)+1)-'Price History'!Q3)*(ROW()-3)/(MATCH(9.99E+307,'Returns (Calc)'!$A:$A)-3),"")</f>
        <v>4.8330379746835446</v>
      </c>
      <c r="AL14" s="131">
        <f>IFERROR('Price History'!R3+(INDEX('Price History'!R:R,MATCH(9.99E+307,'Returns (Calc)'!$A:$A)+1)-'Price History'!R3)*(ROW()-3)/(MATCH(9.99E+307,'Returns (Calc)'!$A:$A)-3),"")</f>
        <v>36.329113924050631</v>
      </c>
      <c r="AM14" s="131">
        <f>IFERROR('Price History'!S3+(INDEX('Price History'!S:S,MATCH(9.99E+307,'Returns (Calc)'!$A:$A)+1)-'Price History'!S3)*(ROW()-3)/(MATCH(9.99E+307,'Returns (Calc)'!$A:$A)-3),"")</f>
        <v>64.285696202531653</v>
      </c>
      <c r="AN14" s="131">
        <f>IFERROR('Price History'!T3+(INDEX('Price History'!T:T,MATCH(9.99E+307,'Returns (Calc)'!$A:$A)+1)-'Price History'!T3)*(ROW()-3)/(MATCH(9.99E+307,'Returns (Calc)'!$A:$A)-3),"")</f>
        <v>27.090506329113921</v>
      </c>
      <c r="AO14" s="132">
        <f>IFERROR('Price History'!V3+(INDEX('Price History'!V:V,MATCH(9.99E+307,'Returns (Calc)'!$A:$A)+1)-'Price History'!V3)*(ROW()-3)/(MATCH(9.99E+307,'Returns (Calc)'!$A:$A)-3),"")</f>
        <v>244.33462025316456</v>
      </c>
      <c r="AP14" s="130">
        <f>IFERROR(IF(OR(NOT(ISNUMBER('Price History'!W15)),NOT(ISNUMBER('Price History'!W14)),'Price History'!W14=0),"",'Price History'!W15/'Price History'!W14-1),"")</f>
        <v>-2.3143489635740755E-3</v>
      </c>
      <c r="AQ14" s="130" t="str">
        <f>IFERROR(IF(OR(NOT(ISNUMBER('Price History'!X15)),NOT(ISNUMBER('Price History'!X14)),'Price History'!X14=0),"",'Price History'!X15/'Price History'!X14-1),"")</f>
        <v/>
      </c>
      <c r="AR14" s="130">
        <f>IFERROR(IF(OR(NOT(ISNUMBER('Price History'!Y15)),NOT(ISNUMBER('Price History'!Y14)),'Price History'!Y14=0),"",'Price History'!Y15/'Price History'!Y14-1),"")</f>
        <v>-2.9802842732690182E-3</v>
      </c>
      <c r="AS14" s="130">
        <f>IFERROR(IF(OR(NOT(ISNUMBER('Price History'!Z15)),NOT(ISNUMBER('Price History'!Z14)),'Price History'!Z14=0),"",'Price History'!Z15/'Price History'!Z14-1),"")</f>
        <v>-1.558441558441559E-2</v>
      </c>
      <c r="AT14" s="130">
        <f>IFERROR(IF(OR(NOT(ISNUMBER('Price History'!AA15)),NOT(ISNUMBER('Price History'!AA14)),'Price History'!AA14=0),"",'Price History'!AA15/'Price History'!AA14-1),"")</f>
        <v>-2.5552931071505247E-2</v>
      </c>
    </row>
    <row r="15" spans="1:46" ht="15" customHeight="1" x14ac:dyDescent="0.2">
      <c r="A15" s="128">
        <f>IF('Price History'!A16="","",'Price History'!A16)</f>
        <v>45275</v>
      </c>
      <c r="B15" s="129">
        <f>IFERROR(IF(OR(NOT(ISNUMBER('Price History'!B16)),NOT(ISNUMBER('Price History'!B15)),'Price History'!B15=0),"",'Price History'!B16/'Price History'!B15-1),"")</f>
        <v>-4.1523909444107554E-2</v>
      </c>
      <c r="C15" s="129">
        <f>IFERROR(IF(OR(NOT(ISNUMBER('Price History'!C16)),NOT(ISNUMBER('Price History'!C15)),'Price History'!C15=0),"",'Price History'!C16/'Price History'!C15-1),"")</f>
        <v>5.1597928941260474E-2</v>
      </c>
      <c r="D15" s="129">
        <f>IFERROR(IF(OR(NOT(ISNUMBER('Price History'!D16)),NOT(ISNUMBER('Price History'!D15)),'Price History'!D15=0),"",'Price History'!D16/'Price History'!D15-1),"")</f>
        <v>8.1181082708091656E-2</v>
      </c>
      <c r="E15" s="129">
        <f>IFERROR(IF(OR(NOT(ISNUMBER('Price History'!E16)),NOT(ISNUMBER('Price History'!E15)),'Price History'!E15=0),"",'Price History'!E16/'Price History'!E15-1),"")</f>
        <v>0.19647740947379955</v>
      </c>
      <c r="F15" s="129">
        <f>IFERROR(IF(OR(NOT(ISNUMBER('Price History'!F16)),NOT(ISNUMBER('Price History'!F15)),'Price History'!F15=0),"",'Price History'!F16/'Price History'!F15-1),"")</f>
        <v>7.2229551451187257E-2</v>
      </c>
      <c r="G15" s="129">
        <f>IFERROR(IF(OR(NOT(ISNUMBER('Price History'!G16)),NOT(ISNUMBER('Price History'!G15)),'Price History'!G15=0),"",'Price History'!G16/'Price History'!G15-1),"")</f>
        <v>9.4783107204280626E-2</v>
      </c>
      <c r="H15" s="129">
        <f>IFERROR(IF(OR(NOT(ISNUMBER('Price History'!H16)),NOT(ISNUMBER('Price History'!H15)),'Price History'!H15=0),"",'Price History'!H16/'Price History'!H15-1),"")</f>
        <v>8.5914354969027773E-2</v>
      </c>
      <c r="I15" s="129">
        <f>IFERROR(IF(OR(NOT(ISNUMBER('Price History'!I16)),NOT(ISNUMBER('Price History'!I15)),'Price History'!I15=0),"",'Price History'!I16/'Price History'!I15-1),"")</f>
        <v>2.9132362254591593E-2</v>
      </c>
      <c r="J15" s="129">
        <f>IFERROR(IF(OR(NOT(ISNUMBER('Price History'!J16)),NOT(ISNUMBER('Price History'!J15)),'Price History'!J15=0),"",'Price History'!J16/'Price History'!J15-1),"")</f>
        <v>0.127366292960853</v>
      </c>
      <c r="K15" s="129">
        <f>IFERROR(IF(OR(NOT(ISNUMBER('Price History'!K16)),NOT(ISNUMBER('Price History'!K15)),'Price History'!K15=0),"",'Price History'!K16/'Price History'!K15-1),"")</f>
        <v>2.4198086662915008E-2</v>
      </c>
      <c r="L15" s="129">
        <f>IFERROR(IF(OR(NOT(ISNUMBER('Price History'!L16)),NOT(ISNUMBER('Price History'!L15)),'Price History'!L15=0),"",'Price History'!L16/'Price History'!L15-1),"")</f>
        <v>2.665422111595106E-2</v>
      </c>
      <c r="M15" s="129">
        <f>IFERROR(IF(OR(NOT(ISNUMBER('Price History'!M16)),NOT(ISNUMBER('Price History'!M15)),'Price History'!M15=0),"",'Price History'!M16/'Price History'!M15-1),"")</f>
        <v>1.2558535547041449E-2</v>
      </c>
      <c r="N15" s="129">
        <f>IFERROR(IF(OR(NOT(ISNUMBER('Price History'!N16)),NOT(ISNUMBER('Price History'!N15)),'Price History'!N15=0),"",'Price History'!N16/'Price History'!N15-1),"")</f>
        <v>0.17286877052691718</v>
      </c>
      <c r="O15" s="129">
        <f>IFERROR(IF(OR(NOT(ISNUMBER('Price History'!O16)),NOT(ISNUMBER('Price History'!O15)),'Price History'!O15=0),"",'Price History'!O16/'Price History'!O15-1),"")</f>
        <v>5.4865034526051293E-2</v>
      </c>
      <c r="P15" s="129">
        <f>IFERROR(IF(OR(NOT(ISNUMBER('Price History'!P16)),NOT(ISNUMBER('Price History'!P15)),'Price History'!P15=0),"",'Price History'!P16/'Price History'!P15-1),"")</f>
        <v>2.9859484777517542E-2</v>
      </c>
      <c r="Q15" s="129">
        <f>IFERROR(IF(OR(NOT(ISNUMBER('Price History'!Q16)),NOT(ISNUMBER('Price History'!Q15)),'Price History'!Q15=0),"",'Price History'!Q16/'Price History'!Q15-1),"")</f>
        <v>9.1493089351761814E-3</v>
      </c>
      <c r="R15" s="129">
        <f>IFERROR(IF(OR(NOT(ISNUMBER('Price History'!R16)),NOT(ISNUMBER('Price History'!R15)),'Price History'!R15=0),"",'Price History'!R16/'Price History'!R15-1),"")</f>
        <v>1.5201768933112092E-2</v>
      </c>
      <c r="S15" s="129">
        <f>IFERROR(IF(OR(NOT(ISNUMBER('Price History'!S16)),NOT(ISNUMBER('Price History'!S15)),'Price History'!S15=0),"",'Price History'!S16/'Price History'!S15-1),"")</f>
        <v>3.4216153972692842E-2</v>
      </c>
      <c r="T15" s="129">
        <f>IFERROR(IF(OR(NOT(ISNUMBER('Price History'!T16)),NOT(ISNUMBER('Price History'!T15)),'Price History'!T15=0),"",'Price History'!T16/'Price History'!T15-1),"")</f>
        <v>2.7725028484618219E-2</v>
      </c>
      <c r="U15" s="129">
        <f>IFERROR(IF(OR(NOT(ISNUMBER('Price History'!U16)),NOT(ISNUMBER('Price History'!U15)),'Price History'!U15=0),"",'Price History'!U16/'Price History'!U15-1),"")</f>
        <v>4.020100502512558E-2</v>
      </c>
      <c r="V15" s="130">
        <f>IFERROR(IF(OR(NOT(ISNUMBER('Price History'!V16)),NOT(ISNUMBER('Price History'!V15)),'Price History'!V15=0),"",'Price History'!V16/'Price History'!V15-1),"")</f>
        <v>8.9417588120235258E-3</v>
      </c>
      <c r="W15" s="131">
        <f>IFERROR('Price History'!B3+(INDEX('Price History'!B:B,MATCH(9.99E+307,'Returns (Calc)'!$A:$A)+1)-'Price History'!B3)*(ROW()-3)/(MATCH(9.99E+307,'Returns (Calc)'!$A:$A)-3),"")</f>
        <v>506.77354430379745</v>
      </c>
      <c r="X15" s="131">
        <f>IFERROR('Price History'!C3+(INDEX('Price History'!C:C,MATCH(9.99E+307,'Returns (Calc)'!$A:$A)+1)-'Price History'!C3)*(ROW()-3)/(MATCH(9.99E+307,'Returns (Calc)'!$A:$A)-3),"")</f>
        <v>58.420759493670886</v>
      </c>
      <c r="Y15" s="131">
        <f>IFERROR('Price History'!D3+(INDEX('Price History'!D:D,MATCH(9.99E+307,'Returns (Calc)'!$A:$A)+1)-'Price History'!D3)*(ROW()-3)/(MATCH(9.99E+307,'Returns (Calc)'!$A:$A)-3),"")</f>
        <v>679.6277215189873</v>
      </c>
      <c r="Z15" s="131">
        <f>IFERROR('Price History'!E3+(INDEX('Price History'!E:E,MATCH(9.99E+307,'Returns (Calc)'!$A:$A)+1)-'Price History'!E3)*(ROW()-3)/(MATCH(9.99E+307,'Returns (Calc)'!$A:$A)-3),"")</f>
        <v>102.74481012658228</v>
      </c>
      <c r="AA15" s="131">
        <f>IFERROR('Price History'!F3+(INDEX('Price History'!F:F,MATCH(9.99E+307,'Returns (Calc)'!$A:$A)+1)-'Price History'!F3)*(ROW()-3)/(MATCH(9.99E+307,'Returns (Calc)'!$A:$A)-3),"")</f>
        <v>58.728101265822787</v>
      </c>
      <c r="AB15" s="131">
        <f>IFERROR('Price History'!G3+(INDEX('Price History'!G:G,MATCH(9.99E+307,'Returns (Calc)'!$A:$A)+1)-'Price History'!G3)*(ROW()-3)/(MATCH(9.99E+307,'Returns (Calc)'!$A:$A)-3),"")</f>
        <v>56.694810126582283</v>
      </c>
      <c r="AC15" s="131">
        <f>IFERROR('Price History'!H3+(INDEX('Price History'!H:H,MATCH(9.99E+307,'Returns (Calc)'!$A:$A)+1)-'Price History'!H3)*(ROW()-3)/(MATCH(9.99E+307,'Returns (Calc)'!$A:$A)-3),"")</f>
        <v>145.49835443037975</v>
      </c>
      <c r="AD15" s="131">
        <f>IFERROR('Price History'!I3+(INDEX('Price History'!I:I,MATCH(9.99E+307,'Returns (Calc)'!$A:$A)+1)-'Price History'!I3)*(ROW()-3)/(MATCH(9.99E+307,'Returns (Calc)'!$A:$A)-3),"")</f>
        <v>58.214050632911395</v>
      </c>
      <c r="AE15" s="131">
        <f>IFERROR('Price History'!J3+(INDEX('Price History'!J:J,MATCH(9.99E+307,'Returns (Calc)'!$A:$A)+1)-'Price History'!J3)*(ROW()-3)/(MATCH(9.99E+307,'Returns (Calc)'!$A:$A)-3),"")</f>
        <v>113.13645569620253</v>
      </c>
      <c r="AF15" s="131">
        <f>IFERROR('Price History'!K3+(INDEX('Price History'!K:K,MATCH(9.99E+307,'Returns (Calc)'!$A:$A)+1)-'Price History'!K3)*(ROW()-3)/(MATCH(9.99E+307,'Returns (Calc)'!$A:$A)-3),"")</f>
        <v>28.50113924050633</v>
      </c>
      <c r="AG15" s="131">
        <f>IFERROR('Price History'!L3+(INDEX('Price History'!L:L,MATCH(9.99E+307,'Returns (Calc)'!$A:$A)+1)-'Price History'!L3)*(ROW()-3)/(MATCH(9.99E+307,'Returns (Calc)'!$A:$A)-3),"")</f>
        <v>115.1446835443038</v>
      </c>
      <c r="AH15" s="131">
        <f>IFERROR('Price History'!M3+(INDEX('Price History'!M:M,MATCH(9.99E+307,'Returns (Calc)'!$A:$A)+1)-'Price History'!M3)*(ROW()-3)/(MATCH(9.99E+307,'Returns (Calc)'!$A:$A)-3),"")</f>
        <v>54.285316455696204</v>
      </c>
      <c r="AI15" s="131">
        <f>IFERROR('Price History'!N3+(INDEX('Price History'!N:N,MATCH(9.99E+307,'Returns (Calc)'!$A:$A)+1)-'Price History'!N3)*(ROW()-3)/(MATCH(9.99E+307,'Returns (Calc)'!$A:$A)-3),"")</f>
        <v>360.73518987341771</v>
      </c>
      <c r="AJ15" s="131">
        <f>IFERROR('Price History'!O3+(INDEX('Price History'!O:O,MATCH(9.99E+307,'Returns (Calc)'!$A:$A)+1)-'Price History'!O3)*(ROW()-3)/(MATCH(9.99E+307,'Returns (Calc)'!$A:$A)-3),"")</f>
        <v>78.706455696202539</v>
      </c>
      <c r="AK15" s="131">
        <f>IFERROR('Price History'!Q3+(INDEX('Price History'!Q:Q,MATCH(9.99E+307,'Returns (Calc)'!$A:$A)+1)-'Price History'!Q3)*(ROW()-3)/(MATCH(9.99E+307,'Returns (Calc)'!$A:$A)-3),"")</f>
        <v>5.2724050632911394</v>
      </c>
      <c r="AL15" s="131">
        <f>IFERROR('Price History'!R3+(INDEX('Price History'!R:R,MATCH(9.99E+307,'Returns (Calc)'!$A:$A)+1)-'Price History'!R3)*(ROW()-3)/(MATCH(9.99E+307,'Returns (Calc)'!$A:$A)-3),"")</f>
        <v>36.497215189873415</v>
      </c>
      <c r="AM15" s="131">
        <f>IFERROR('Price History'!S3+(INDEX('Price History'!S:S,MATCH(9.99E+307,'Returns (Calc)'!$A:$A)+1)-'Price History'!S3)*(ROW()-3)/(MATCH(9.99E+307,'Returns (Calc)'!$A:$A)-3),"")</f>
        <v>64.890759493670885</v>
      </c>
      <c r="AN15" s="131">
        <f>IFERROR('Price History'!T3+(INDEX('Price History'!T:T,MATCH(9.99E+307,'Returns (Calc)'!$A:$A)+1)-'Price History'!T3)*(ROW()-3)/(MATCH(9.99E+307,'Returns (Calc)'!$A:$A)-3),"")</f>
        <v>27.258734177215189</v>
      </c>
      <c r="AO15" s="132">
        <f>IFERROR('Price History'!V3+(INDEX('Price History'!V:V,MATCH(9.99E+307,'Returns (Calc)'!$A:$A)+1)-'Price History'!V3)*(ROW()-3)/(MATCH(9.99E+307,'Returns (Calc)'!$A:$A)-3),"")</f>
        <v>245.12594936708859</v>
      </c>
      <c r="AP15" s="130">
        <f>IFERROR(IF(OR(NOT(ISNUMBER('Price History'!W16)),NOT(ISNUMBER('Price History'!W15)),'Price History'!W15=0),"",'Price History'!W16/'Price History'!W15-1),"")</f>
        <v>3.4392334846192529E-2</v>
      </c>
      <c r="AQ15" s="130" t="str">
        <f>IFERROR(IF(OR(NOT(ISNUMBER('Price History'!X16)),NOT(ISNUMBER('Price History'!X15)),'Price History'!X15=0),"",'Price History'!X16/'Price History'!X15-1),"")</f>
        <v/>
      </c>
      <c r="AR15" s="130">
        <f>IFERROR(IF(OR(NOT(ISNUMBER('Price History'!Y16)),NOT(ISNUMBER('Price History'!Y15)),'Price History'!Y15=0),"",'Price History'!Y16/'Price History'!Y15-1),"")</f>
        <v>1.2186709588411171E-2</v>
      </c>
      <c r="AS15" s="130">
        <f>IFERROR(IF(OR(NOT(ISNUMBER('Price History'!Z16)),NOT(ISNUMBER('Price History'!Z15)),'Price History'!Z15=0),"",'Price History'!Z16/'Price History'!Z15-1),"")</f>
        <v>2.1952506596305987E-2</v>
      </c>
      <c r="AT15" s="130">
        <f>IFERROR(IF(OR(NOT(ISNUMBER('Price History'!AA16)),NOT(ISNUMBER('Price History'!AA15)),'Price History'!AA15=0),"",'Price History'!AA16/'Price History'!AA15-1),"")</f>
        <v>4.0326134861172314E-2</v>
      </c>
    </row>
    <row r="16" spans="1:46" ht="15" customHeight="1" x14ac:dyDescent="0.2">
      <c r="A16" s="128">
        <f>IF('Price History'!A17="","",'Price History'!A17)</f>
        <v>45282</v>
      </c>
      <c r="B16" s="129">
        <f>IFERROR(IF(OR(NOT(ISNUMBER('Price History'!B17)),NOT(ISNUMBER('Price History'!B16)),'Price History'!B16=0),"",'Price History'!B17/'Price History'!B16-1),"")</f>
        <v>2.4064445508654497E-2</v>
      </c>
      <c r="C16" s="129">
        <f>IFERROR(IF(OR(NOT(ISNUMBER('Price History'!C17)),NOT(ISNUMBER('Price History'!C16)),'Price History'!C16=0),"",'Price History'!C17/'Price History'!C16-1),"")</f>
        <v>1.1205432937181792E-2</v>
      </c>
      <c r="D16" s="129">
        <f>IFERROR(IF(OR(NOT(ISNUMBER('Price History'!D17)),NOT(ISNUMBER('Price History'!D16)),'Price History'!D16=0),"",'Price History'!D17/'Price History'!D16-1),"")</f>
        <v>-5.7037318702801709E-4</v>
      </c>
      <c r="E16" s="129">
        <f>IFERROR(IF(OR(NOT(ISNUMBER('Price History'!E17)),NOT(ISNUMBER('Price History'!E16)),'Price History'!E16=0),"",'Price History'!E17/'Price History'!E16-1),"")</f>
        <v>-2.377251531498592E-3</v>
      </c>
      <c r="F16" s="129">
        <f>IFERROR(IF(OR(NOT(ISNUMBER('Price History'!F17)),NOT(ISNUMBER('Price History'!F16)),'Price History'!F16=0),"",'Price History'!F17/'Price History'!F16-1),"")</f>
        <v>-1.7071670255306093E-2</v>
      </c>
      <c r="G16" s="129">
        <f>IFERROR(IF(OR(NOT(ISNUMBER('Price History'!G17)),NOT(ISNUMBER('Price History'!G16)),'Price History'!G16=0),"",'Price History'!G17/'Price History'!G16-1),"")</f>
        <v>-4.1892127770990495E-3</v>
      </c>
      <c r="H16" s="129">
        <f>IFERROR(IF(OR(NOT(ISNUMBER('Price History'!H17)),NOT(ISNUMBER('Price History'!H16)),'Price History'!H16=0),"",'Price History'!H17/'Price History'!H16-1),"")</f>
        <v>6.25E-2</v>
      </c>
      <c r="I16" s="129">
        <f>IFERROR(IF(OR(NOT(ISNUMBER('Price History'!I17)),NOT(ISNUMBER('Price History'!I16)),'Price History'!I16=0),"",'Price History'!I17/'Price History'!I16-1),"")</f>
        <v>-1.2307692307692575E-3</v>
      </c>
      <c r="J16" s="129">
        <f>IFERROR(IF(OR(NOT(ISNUMBER('Price History'!J17)),NOT(ISNUMBER('Price History'!J16)),'Price History'!J16=0),"",'Price History'!J17/'Price History'!J16-1),"")</f>
        <v>-1.385718943593095E-2</v>
      </c>
      <c r="K16" s="129">
        <f>IFERROR(IF(OR(NOT(ISNUMBER('Price History'!K17)),NOT(ISNUMBER('Price History'!K16)),'Price History'!K16=0),"",'Price History'!K17/'Price History'!K16-1),"")</f>
        <v>-4.3406593406593363E-2</v>
      </c>
      <c r="L16" s="129">
        <f>IFERROR(IF(OR(NOT(ISNUMBER('Price History'!L17)),NOT(ISNUMBER('Price History'!L16)),'Price History'!L16=0),"",'Price History'!L17/'Price History'!L16-1),"")</f>
        <v>5.8591776947165553E-3</v>
      </c>
      <c r="M16" s="129">
        <f>IFERROR(IF(OR(NOT(ISNUMBER('Price History'!M17)),NOT(ISNUMBER('Price History'!M16)),'Price History'!M16=0),"",'Price History'!M17/'Price History'!M16-1),"")</f>
        <v>2.2072734916964487E-2</v>
      </c>
      <c r="N16" s="129">
        <f>IFERROR(IF(OR(NOT(ISNUMBER('Price History'!N17)),NOT(ISNUMBER('Price History'!N16)),'Price History'!N16=0),"",'Price History'!N17/'Price History'!N16-1),"")</f>
        <v>-1.3221973312554813E-2</v>
      </c>
      <c r="O16" s="129">
        <f>IFERROR(IF(OR(NOT(ISNUMBER('Price History'!O17)),NOT(ISNUMBER('Price History'!O16)),'Price History'!O16=0),"",'Price History'!O17/'Price History'!O16-1),"")</f>
        <v>2.7731492501785304E-2</v>
      </c>
      <c r="P16" s="129">
        <f>IFERROR(IF(OR(NOT(ISNUMBER('Price History'!P17)),NOT(ISNUMBER('Price History'!P16)),'Price History'!P16=0),"",'Price History'!P17/'Price History'!P16-1),"")</f>
        <v>2.6530225506915528E-3</v>
      </c>
      <c r="Q16" s="129">
        <f>IFERROR(IF(OR(NOT(ISNUMBER('Price History'!Q17)),NOT(ISNUMBER('Price History'!Q16)),'Price History'!Q16=0),"",'Price History'!Q17/'Price History'!Q16-1),"")</f>
        <v>1.1574074074072183E-3</v>
      </c>
      <c r="R16" s="129">
        <f>IFERROR(IF(OR(NOT(ISNUMBER('Price History'!R17)),NOT(ISNUMBER('Price History'!R16)),'Price History'!R16=0),"",'Price History'!R17/'Price History'!R16-1),"")</f>
        <v>2.9948271167983265E-3</v>
      </c>
      <c r="S16" s="129">
        <f>IFERROR(IF(OR(NOT(ISNUMBER('Price History'!S17)),NOT(ISNUMBER('Price History'!S16)),'Price History'!S16=0),"",'Price History'!S17/'Price History'!S16-1),"")</f>
        <v>1.4951487195800972E-2</v>
      </c>
      <c r="T16" s="129">
        <f>IFERROR(IF(OR(NOT(ISNUMBER('Price History'!T17)),NOT(ISNUMBER('Price History'!T16)),'Price History'!T16=0),"",'Price History'!T17/'Price History'!T16-1),"")</f>
        <v>1.2195121951219523E-2</v>
      </c>
      <c r="U16" s="129">
        <f>IFERROR(IF(OR(NOT(ISNUMBER('Price History'!U17)),NOT(ISNUMBER('Price History'!U16)),'Price History'!U16=0),"",'Price History'!U17/'Price History'!U16-1),"")</f>
        <v>5.2700922266140093E-3</v>
      </c>
      <c r="V16" s="130">
        <f>IFERROR(IF(OR(NOT(ISNUMBER('Price History'!V17)),NOT(ISNUMBER('Price History'!V16)),'Price History'!V16=0),"",'Price History'!V17/'Price History'!V16-1),"")</f>
        <v>1.5430267062312986E-3</v>
      </c>
      <c r="W16" s="131">
        <f>IFERROR('Price History'!B3+(INDEX('Price History'!B:B,MATCH(9.99E+307,'Returns (Calc)'!$A:$A)+1)-'Price History'!B3)*(ROW()-3)/(MATCH(9.99E+307,'Returns (Calc)'!$A:$A)-3),"")</f>
        <v>504.93050632911388</v>
      </c>
      <c r="X16" s="131">
        <f>IFERROR('Price History'!C3+(INDEX('Price History'!C:C,MATCH(9.99E+307,'Returns (Calc)'!$A:$A)+1)-'Price History'!C3)*(ROW()-3)/(MATCH(9.99E+307,'Returns (Calc)'!$A:$A)-3),"")</f>
        <v>59.440822784810123</v>
      </c>
      <c r="Y16" s="131">
        <f>IFERROR('Price History'!D3+(INDEX('Price History'!D:D,MATCH(9.99E+307,'Returns (Calc)'!$A:$A)+1)-'Price History'!D3)*(ROW()-3)/(MATCH(9.99E+307,'Returns (Calc)'!$A:$A)-3),"")</f>
        <v>687.76253164556965</v>
      </c>
      <c r="Z16" s="131">
        <f>IFERROR('Price History'!E3+(INDEX('Price History'!E:E,MATCH(9.99E+307,'Returns (Calc)'!$A:$A)+1)-'Price History'!E3)*(ROW()-3)/(MATCH(9.99E+307,'Returns (Calc)'!$A:$A)-3),"")</f>
        <v>104.47354430379747</v>
      </c>
      <c r="AA16" s="131">
        <f>IFERROR('Price History'!F3+(INDEX('Price History'!F:F,MATCH(9.99E+307,'Returns (Calc)'!$A:$A)+1)-'Price History'!F3)*(ROW()-3)/(MATCH(9.99E+307,'Returns (Calc)'!$A:$A)-3),"")</f>
        <v>60.175443037974688</v>
      </c>
      <c r="AB16" s="131">
        <f>IFERROR('Price History'!G3+(INDEX('Price History'!G:G,MATCH(9.99E+307,'Returns (Calc)'!$A:$A)+1)-'Price History'!G3)*(ROW()-3)/(MATCH(9.99E+307,'Returns (Calc)'!$A:$A)-3),"")</f>
        <v>57.723544303797468</v>
      </c>
      <c r="AC16" s="131">
        <f>IFERROR('Price History'!H3+(INDEX('Price History'!H:H,MATCH(9.99E+307,'Returns (Calc)'!$A:$A)+1)-'Price History'!H3)*(ROW()-3)/(MATCH(9.99E+307,'Returns (Calc)'!$A:$A)-3),"")</f>
        <v>151.86405063291141</v>
      </c>
      <c r="AD16" s="131">
        <f>IFERROR('Price History'!I3+(INDEX('Price History'!I:I,MATCH(9.99E+307,'Returns (Calc)'!$A:$A)+1)-'Price History'!I3)*(ROW()-3)/(MATCH(9.99E+307,'Returns (Calc)'!$A:$A)-3),"")</f>
        <v>59.417721518987342</v>
      </c>
      <c r="AE16" s="131">
        <f>IFERROR('Price History'!J3+(INDEX('Price History'!J:J,MATCH(9.99E+307,'Returns (Calc)'!$A:$A)+1)-'Price History'!J3)*(ROW()-3)/(MATCH(9.99E+307,'Returns (Calc)'!$A:$A)-3),"")</f>
        <v>113.24449367088607</v>
      </c>
      <c r="AF16" s="131">
        <f>IFERROR('Price History'!K3+(INDEX('Price History'!K:K,MATCH(9.99E+307,'Returns (Calc)'!$A:$A)+1)-'Price History'!K3)*(ROW()-3)/(MATCH(9.99E+307,'Returns (Calc)'!$A:$A)-3),"")</f>
        <v>29.598734177215192</v>
      </c>
      <c r="AG16" s="131">
        <f>IFERROR('Price History'!L3+(INDEX('Price History'!L:L,MATCH(9.99E+307,'Returns (Calc)'!$A:$A)+1)-'Price History'!L3)*(ROW()-3)/(MATCH(9.99E+307,'Returns (Calc)'!$A:$A)-3),"")</f>
        <v>117.59424050632911</v>
      </c>
      <c r="AH16" s="131">
        <f>IFERROR('Price History'!M3+(INDEX('Price History'!M:M,MATCH(9.99E+307,'Returns (Calc)'!$A:$A)+1)-'Price History'!M3)*(ROW()-3)/(MATCH(9.99E+307,'Returns (Calc)'!$A:$A)-3),"")</f>
        <v>55.640759493670885</v>
      </c>
      <c r="AI16" s="131">
        <f>IFERROR('Price History'!N3+(INDEX('Price History'!N:N,MATCH(9.99E+307,'Returns (Calc)'!$A:$A)+1)-'Price History'!N3)*(ROW()-3)/(MATCH(9.99E+307,'Returns (Calc)'!$A:$A)-3),"")</f>
        <v>361.7214556962025</v>
      </c>
      <c r="AJ16" s="131">
        <f>IFERROR('Price History'!O3+(INDEX('Price History'!O:O,MATCH(9.99E+307,'Returns (Calc)'!$A:$A)+1)-'Price History'!O3)*(ROW()-3)/(MATCH(9.99E+307,'Returns (Calc)'!$A:$A)-3),"")</f>
        <v>78.989493670886077</v>
      </c>
      <c r="AK16" s="131">
        <f>IFERROR('Price History'!Q3+(INDEX('Price History'!Q:Q,MATCH(9.99E+307,'Returns (Calc)'!$A:$A)+1)-'Price History'!Q3)*(ROW()-3)/(MATCH(9.99E+307,'Returns (Calc)'!$A:$A)-3),"")</f>
        <v>5.7117721518987343</v>
      </c>
      <c r="AL16" s="131">
        <f>IFERROR('Price History'!R3+(INDEX('Price History'!R:R,MATCH(9.99E+307,'Returns (Calc)'!$A:$A)+1)-'Price History'!R3)*(ROW()-3)/(MATCH(9.99E+307,'Returns (Calc)'!$A:$A)-3),"")</f>
        <v>36.6653164556962</v>
      </c>
      <c r="AM16" s="131">
        <f>IFERROR('Price History'!S3+(INDEX('Price History'!S:S,MATCH(9.99E+307,'Returns (Calc)'!$A:$A)+1)-'Price History'!S3)*(ROW()-3)/(MATCH(9.99E+307,'Returns (Calc)'!$A:$A)-3),"")</f>
        <v>65.49582278481013</v>
      </c>
      <c r="AN16" s="131">
        <f>IFERROR('Price History'!T3+(INDEX('Price History'!T:T,MATCH(9.99E+307,'Returns (Calc)'!$A:$A)+1)-'Price History'!T3)*(ROW()-3)/(MATCH(9.99E+307,'Returns (Calc)'!$A:$A)-3),"")</f>
        <v>27.426962025316456</v>
      </c>
      <c r="AO16" s="132">
        <f>IFERROR('Price History'!V3+(INDEX('Price History'!V:V,MATCH(9.99E+307,'Returns (Calc)'!$A:$A)+1)-'Price History'!V3)*(ROW()-3)/(MATCH(9.99E+307,'Returns (Calc)'!$A:$A)-3),"")</f>
        <v>245.91727848101266</v>
      </c>
      <c r="AP16" s="130">
        <f>IFERROR(IF(OR(NOT(ISNUMBER('Price History'!W17)),NOT(ISNUMBER('Price History'!W16)),'Price History'!W16=0),"",'Price History'!W17/'Price History'!W16-1),"")</f>
        <v>6.8252730109203963E-3</v>
      </c>
      <c r="AQ16" s="130" t="str">
        <f>IFERROR(IF(OR(NOT(ISNUMBER('Price History'!X17)),NOT(ISNUMBER('Price History'!X16)),'Price History'!X16=0),"",'Price History'!X17/'Price History'!X16-1),"")</f>
        <v/>
      </c>
      <c r="AR16" s="130">
        <f>IFERROR(IF(OR(NOT(ISNUMBER('Price History'!Y17)),NOT(ISNUMBER('Price History'!Y16)),'Price History'!Y16=0),"",'Price History'!Y17/'Price History'!Y16-1),"")</f>
        <v>1.3630168105405183E-3</v>
      </c>
      <c r="AS16" s="130">
        <f>IFERROR(IF(OR(NOT(ISNUMBER('Price History'!Z17)),NOT(ISNUMBER('Price History'!Z16)),'Price History'!Z16=0),"",'Price History'!Z17/'Price History'!Z16-1),"")</f>
        <v>2.8090467830217847E-2</v>
      </c>
      <c r="AT16" s="130">
        <f>IFERROR(IF(OR(NOT(ISNUMBER('Price History'!AA17)),NOT(ISNUMBER('Price History'!AA16)),'Price History'!AA16=0),"",'Price History'!AA17/'Price History'!AA16-1),"")</f>
        <v>3.1137470874814666E-2</v>
      </c>
    </row>
    <row r="17" spans="1:46" ht="15" customHeight="1" x14ac:dyDescent="0.2">
      <c r="A17" s="128">
        <f>IF('Price History'!A18="","",'Price History'!A18)</f>
        <v>45289</v>
      </c>
      <c r="B17" s="129">
        <f>IFERROR(IF(OR(NOT(ISNUMBER('Price History'!B18)),NOT(ISNUMBER('Price History'!B17)),'Price History'!B17=0),"",'Price History'!B18/'Price History'!B17-1),"")</f>
        <v>-3.5908141962421869E-3</v>
      </c>
      <c r="C17" s="129">
        <f>IFERROR(IF(OR(NOT(ISNUMBER('Price History'!C18)),NOT(ISNUMBER('Price History'!C17)),'Price History'!C17=0),"",'Price History'!C18/'Price History'!C17-1),"")</f>
        <v>-1.1417058428475513E-2</v>
      </c>
      <c r="D17" s="129">
        <f>IFERROR(IF(OR(NOT(ISNUMBER('Price History'!D18)),NOT(ISNUMBER('Price History'!D17)),'Price History'!D17=0),"",'Price History'!D18/'Price History'!D17-1),"")</f>
        <v>5.8292795608336778E-3</v>
      </c>
      <c r="E17" s="129">
        <f>IFERROR(IF(OR(NOT(ISNUMBER('Price History'!E18)),NOT(ISNUMBER('Price History'!E17)),'Price History'!E17=0),"",'Price History'!E18/'Price History'!E17-1),"")</f>
        <v>-5.0407845293739539E-3</v>
      </c>
      <c r="F17" s="129">
        <f>IFERROR(IF(OR(NOT(ISNUMBER('Price History'!F18)),NOT(ISNUMBER('Price History'!F17)),'Price History'!F17=0),"",'Price History'!F18/'Price History'!F17-1),"")</f>
        <v>-1.2517602879048573E-3</v>
      </c>
      <c r="G17" s="129">
        <f>IFERROR(IF(OR(NOT(ISNUMBER('Price History'!G18)),NOT(ISNUMBER('Price History'!G17)),'Price History'!G17=0),"",'Price History'!G18/'Price History'!G17-1),"")</f>
        <v>-2.2787028921997798E-3</v>
      </c>
      <c r="H17" s="129">
        <f>IFERROR(IF(OR(NOT(ISNUMBER('Price History'!H18)),NOT(ISNUMBER('Price History'!H17)),'Price History'!H17=0),"",'Price History'!H18/'Price History'!H17-1),"")</f>
        <v>-1.2021475256769332E-2</v>
      </c>
      <c r="I17" s="129">
        <f>IFERROR(IF(OR(NOT(ISNUMBER('Price History'!I18)),NOT(ISNUMBER('Price History'!I17)),'Price History'!I17=0),"",'Price History'!I18/'Price History'!I17-1),"")</f>
        <v>1.4171287738755423E-2</v>
      </c>
      <c r="J17" s="129">
        <f>IFERROR(IF(OR(NOT(ISNUMBER('Price History'!J18)),NOT(ISNUMBER('Price History'!J17)),'Price History'!J17=0),"",'Price History'!J18/'Price History'!J17-1),"")</f>
        <v>6.7779798313769568E-3</v>
      </c>
      <c r="K17" s="129">
        <f>IFERROR(IF(OR(NOT(ISNUMBER('Price History'!K18)),NOT(ISNUMBER('Price History'!K17)),'Price History'!K17=0),"",'Price History'!K18/'Price History'!K17-1),"")</f>
        <v>-1.378518093049963E-2</v>
      </c>
      <c r="L17" s="129">
        <f>IFERROR(IF(OR(NOT(ISNUMBER('Price History'!L18)),NOT(ISNUMBER('Price History'!L17)),'Price History'!L17=0),"",'Price History'!L18/'Price History'!L17-1),"")</f>
        <v>8.3358441297580743E-3</v>
      </c>
      <c r="M17" s="129">
        <f>IFERROR(IF(OR(NOT(ISNUMBER('Price History'!M18)),NOT(ISNUMBER('Price History'!M17)),'Price History'!M17=0),"",'Price History'!M18/'Price History'!M17-1),"")</f>
        <v>-1.5425750719868403E-2</v>
      </c>
      <c r="N17" s="129">
        <f>IFERROR(IF(OR(NOT(ISNUMBER('Price History'!N18)),NOT(ISNUMBER('Price History'!N17)),'Price History'!N17=0),"",'Price History'!N18/'Price History'!N17-1),"")</f>
        <v>4.0468846391117363E-3</v>
      </c>
      <c r="O17" s="129">
        <f>IFERROR(IF(OR(NOT(ISNUMBER('Price History'!O18)),NOT(ISNUMBER('Price History'!O17)),'Price History'!O17=0),"",'Price History'!O18/'Price History'!O17-1),"")</f>
        <v>-3.7058482918355118E-3</v>
      </c>
      <c r="P17" s="129">
        <f>IFERROR(IF(OR(NOT(ISNUMBER('Price History'!P18)),NOT(ISNUMBER('Price History'!P17)),'Price History'!P17=0),"",'Price History'!P18/'Price History'!P17-1),"")</f>
        <v>4.0635040635041975E-3</v>
      </c>
      <c r="Q17" s="129">
        <f>IFERROR(IF(OR(NOT(ISNUMBER('Price History'!Q18)),NOT(ISNUMBER('Price History'!Q17)),'Price History'!Q17=0),"",'Price History'!Q18/'Price History'!Q17-1),"")</f>
        <v>1.734104046242857E-3</v>
      </c>
      <c r="R17" s="129">
        <f>IFERROR(IF(OR(NOT(ISNUMBER('Price History'!R18)),NOT(ISNUMBER('Price History'!R17)),'Price History'!R17=0),"",'Price History'!R18/'Price History'!R17-1),"")</f>
        <v>3.2573289902280145E-3</v>
      </c>
      <c r="S17" s="129">
        <f>IFERROR(IF(OR(NOT(ISNUMBER('Price History'!S18)),NOT(ISNUMBER('Price History'!S17)),'Price History'!S17=0),"",'Price History'!S18/'Price History'!S17-1),"")</f>
        <v>7.0521861777150807E-3</v>
      </c>
      <c r="T17" s="129">
        <f>IFERROR(IF(OR(NOT(ISNUMBER('Price History'!T18)),NOT(ISNUMBER('Price History'!T17)),'Price History'!T17=0),"",'Price History'!T18/'Price History'!T17-1),"")</f>
        <v>-2.1905805038335835E-3</v>
      </c>
      <c r="U17" s="129">
        <f>IFERROR(IF(OR(NOT(ISNUMBER('Price History'!U18)),NOT(ISNUMBER('Price History'!U17)),'Price History'!U17=0),"",'Price History'!U18/'Price History'!U17-1),"")</f>
        <v>3.9318479685452878E-3</v>
      </c>
      <c r="V17" s="130">
        <f>IFERROR(IF(OR(NOT(ISNUMBER('Price History'!V18)),NOT(ISNUMBER('Price History'!V17)),'Price History'!V17=0),"",'Price History'!V18/'Price History'!V17-1),"")</f>
        <v>7.4267203918780833E-3</v>
      </c>
      <c r="W17" s="131">
        <f>IFERROR('Price History'!B3+(INDEX('Price History'!B:B,MATCH(9.99E+307,'Returns (Calc)'!$A:$A)+1)-'Price History'!B3)*(ROW()-3)/(MATCH(9.99E+307,'Returns (Calc)'!$A:$A)-3),"")</f>
        <v>503.08746835443037</v>
      </c>
      <c r="X17" s="131">
        <f>IFERROR('Price History'!C3+(INDEX('Price History'!C:C,MATCH(9.99E+307,'Returns (Calc)'!$A:$A)+1)-'Price History'!C3)*(ROW()-3)/(MATCH(9.99E+307,'Returns (Calc)'!$A:$A)-3),"")</f>
        <v>60.460886075949361</v>
      </c>
      <c r="Y17" s="131">
        <f>IFERROR('Price History'!D3+(INDEX('Price History'!D:D,MATCH(9.99E+307,'Returns (Calc)'!$A:$A)+1)-'Price History'!D3)*(ROW()-3)/(MATCH(9.99E+307,'Returns (Calc)'!$A:$A)-3),"")</f>
        <v>695.89734177215189</v>
      </c>
      <c r="Z17" s="131">
        <f>IFERROR('Price History'!E3+(INDEX('Price History'!E:E,MATCH(9.99E+307,'Returns (Calc)'!$A:$A)+1)-'Price History'!E3)*(ROW()-3)/(MATCH(9.99E+307,'Returns (Calc)'!$A:$A)-3),"")</f>
        <v>106.20227848101266</v>
      </c>
      <c r="AA17" s="131">
        <f>IFERROR('Price History'!F3+(INDEX('Price History'!F:F,MATCH(9.99E+307,'Returns (Calc)'!$A:$A)+1)-'Price History'!F3)*(ROW()-3)/(MATCH(9.99E+307,'Returns (Calc)'!$A:$A)-3),"")</f>
        <v>61.622784810126582</v>
      </c>
      <c r="AB17" s="131">
        <f>IFERROR('Price History'!G3+(INDEX('Price History'!G:G,MATCH(9.99E+307,'Returns (Calc)'!$A:$A)+1)-'Price History'!G3)*(ROW()-3)/(MATCH(9.99E+307,'Returns (Calc)'!$A:$A)-3),"")</f>
        <v>58.752278481012659</v>
      </c>
      <c r="AC17" s="131">
        <f>IFERROR('Price History'!H3+(INDEX('Price History'!H:H,MATCH(9.99E+307,'Returns (Calc)'!$A:$A)+1)-'Price History'!H3)*(ROW()-3)/(MATCH(9.99E+307,'Returns (Calc)'!$A:$A)-3),"")</f>
        <v>158.22974683544305</v>
      </c>
      <c r="AD17" s="131">
        <f>IFERROR('Price History'!I3+(INDEX('Price History'!I:I,MATCH(9.99E+307,'Returns (Calc)'!$A:$A)+1)-'Price History'!I3)*(ROW()-3)/(MATCH(9.99E+307,'Returns (Calc)'!$A:$A)-3),"")</f>
        <v>60.62139240506329</v>
      </c>
      <c r="AE17" s="131">
        <f>IFERROR('Price History'!J3+(INDEX('Price History'!J:J,MATCH(9.99E+307,'Returns (Calc)'!$A:$A)+1)-'Price History'!J3)*(ROW()-3)/(MATCH(9.99E+307,'Returns (Calc)'!$A:$A)-3),"")</f>
        <v>113.35253164556963</v>
      </c>
      <c r="AF17" s="131">
        <f>IFERROR('Price History'!K3+(INDEX('Price History'!K:K,MATCH(9.99E+307,'Returns (Calc)'!$A:$A)+1)-'Price History'!K3)*(ROW()-3)/(MATCH(9.99E+307,'Returns (Calc)'!$A:$A)-3),"")</f>
        <v>30.696329113924051</v>
      </c>
      <c r="AG17" s="131">
        <f>IFERROR('Price History'!L3+(INDEX('Price History'!L:L,MATCH(9.99E+307,'Returns (Calc)'!$A:$A)+1)-'Price History'!L3)*(ROW()-3)/(MATCH(9.99E+307,'Returns (Calc)'!$A:$A)-3),"")</f>
        <v>120.04379746835443</v>
      </c>
      <c r="AH17" s="131">
        <f>IFERROR('Price History'!M3+(INDEX('Price History'!M:M,MATCH(9.99E+307,'Returns (Calc)'!$A:$A)+1)-'Price History'!M3)*(ROW()-3)/(MATCH(9.99E+307,'Returns (Calc)'!$A:$A)-3),"")</f>
        <v>56.996202531645572</v>
      </c>
      <c r="AI17" s="131">
        <f>IFERROR('Price History'!N3+(INDEX('Price History'!N:N,MATCH(9.99E+307,'Returns (Calc)'!$A:$A)+1)-'Price History'!N3)*(ROW()-3)/(MATCH(9.99E+307,'Returns (Calc)'!$A:$A)-3),"")</f>
        <v>362.70772151898734</v>
      </c>
      <c r="AJ17" s="131">
        <f>IFERROR('Price History'!O3+(INDEX('Price History'!O:O,MATCH(9.99E+307,'Returns (Calc)'!$A:$A)+1)-'Price History'!O3)*(ROW()-3)/(MATCH(9.99E+307,'Returns (Calc)'!$A:$A)-3),"")</f>
        <v>79.272531645569629</v>
      </c>
      <c r="AK17" s="131">
        <f>IFERROR('Price History'!Q3+(INDEX('Price History'!Q:Q,MATCH(9.99E+307,'Returns (Calc)'!$A:$A)+1)-'Price History'!Q3)*(ROW()-3)/(MATCH(9.99E+307,'Returns (Calc)'!$A:$A)-3),"")</f>
        <v>6.1511392405063292</v>
      </c>
      <c r="AL17" s="131">
        <f>IFERROR('Price History'!R3+(INDEX('Price History'!R:R,MATCH(9.99E+307,'Returns (Calc)'!$A:$A)+1)-'Price History'!R3)*(ROW()-3)/(MATCH(9.99E+307,'Returns (Calc)'!$A:$A)-3),"")</f>
        <v>36.833417721518984</v>
      </c>
      <c r="AM17" s="131">
        <f>IFERROR('Price History'!S3+(INDEX('Price History'!S:S,MATCH(9.99E+307,'Returns (Calc)'!$A:$A)+1)-'Price History'!S3)*(ROW()-3)/(MATCH(9.99E+307,'Returns (Calc)'!$A:$A)-3),"")</f>
        <v>66.100886075949376</v>
      </c>
      <c r="AN17" s="131">
        <f>IFERROR('Price History'!T3+(INDEX('Price History'!T:T,MATCH(9.99E+307,'Returns (Calc)'!$A:$A)+1)-'Price History'!T3)*(ROW()-3)/(MATCH(9.99E+307,'Returns (Calc)'!$A:$A)-3),"")</f>
        <v>27.59518987341772</v>
      </c>
      <c r="AO17" s="132">
        <f>IFERROR('Price History'!V3+(INDEX('Price History'!V:V,MATCH(9.99E+307,'Returns (Calc)'!$A:$A)+1)-'Price History'!V3)*(ROW()-3)/(MATCH(9.99E+307,'Returns (Calc)'!$A:$A)-3),"")</f>
        <v>246.70860759493669</v>
      </c>
      <c r="AP17" s="130">
        <f>IFERROR(IF(OR(NOT(ISNUMBER('Price History'!W18)),NOT(ISNUMBER('Price History'!W17)),'Price History'!W17=0),"",'Price History'!W18/'Price History'!W17-1),"")</f>
        <v>6.1011040092968649E-3</v>
      </c>
      <c r="AQ17" s="130" t="str">
        <f>IFERROR(IF(OR(NOT(ISNUMBER('Price History'!X18)),NOT(ISNUMBER('Price History'!X17)),'Price History'!X17=0),"",'Price History'!X18/'Price History'!X17-1),"")</f>
        <v/>
      </c>
      <c r="AR17" s="130">
        <f>IFERROR(IF(OR(NOT(ISNUMBER('Price History'!Y18)),NOT(ISNUMBER('Price History'!Y17)),'Price History'!Y17=0),"",'Price History'!Y18/'Price History'!Y17-1),"")</f>
        <v>5.2177858439201863E-3</v>
      </c>
      <c r="AS17" s="130">
        <f>IFERROR(IF(OR(NOT(ISNUMBER('Price History'!Z18)),NOT(ISNUMBER('Price History'!Z17)),'Price History'!Z17=0),"",'Price History'!Z18/'Price History'!Z17-1),"")</f>
        <v>8.0361627322953488E-3</v>
      </c>
      <c r="AT17" s="130">
        <f>IFERROR(IF(OR(NOT(ISNUMBER('Price History'!AA18)),NOT(ISNUMBER('Price History'!AA17)),'Price History'!AA17=0),"",'Price History'!AA18/'Price History'!AA17-1),"")</f>
        <v>2.054231717336652E-4</v>
      </c>
    </row>
    <row r="18" spans="1:46" ht="15" customHeight="1" x14ac:dyDescent="0.2">
      <c r="A18" s="128">
        <f>IF('Price History'!A19="","",'Price History'!A19)</f>
        <v>45296</v>
      </c>
      <c r="B18" s="129">
        <f>IFERROR(IF(OR(NOT(ISNUMBER('Price History'!B19)),NOT(ISNUMBER('Price History'!B18)),'Price History'!B18=0),"",'Price History'!B19/'Price History'!B18-1),"")</f>
        <v>-5.3637277908146208E-2</v>
      </c>
      <c r="C18" s="129">
        <f>IFERROR(IF(OR(NOT(ISNUMBER('Price History'!C19)),NOT(ISNUMBER('Price History'!C18)),'Price History'!C18=0),"",'Price History'!C19/'Price History'!C18-1),"")</f>
        <v>-1.9531250000000111E-2</v>
      </c>
      <c r="D18" s="129">
        <f>IFERROR(IF(OR(NOT(ISNUMBER('Price History'!D19)),NOT(ISNUMBER('Price History'!D18)),'Price History'!D18=0),"",'Price History'!D19/'Price History'!D18-1),"")</f>
        <v>-7.0788808883725296E-2</v>
      </c>
      <c r="E18" s="129">
        <f>IFERROR(IF(OR(NOT(ISNUMBER('Price History'!E19)),NOT(ISNUMBER('Price History'!E18)),'Price History'!E18=0),"",'Price History'!E19/'Price History'!E18-1),"")</f>
        <v>-6.0058953574060436E-2</v>
      </c>
      <c r="F18" s="129">
        <f>IFERROR(IF(OR(NOT(ISNUMBER('Price History'!F19)),NOT(ISNUMBER('Price History'!F18)),'Price History'!F18=0),"",'Price History'!F19/'Price History'!F18-1),"")</f>
        <v>-3.0706564311452356E-2</v>
      </c>
      <c r="G18" s="129">
        <f>IFERROR(IF(OR(NOT(ISNUMBER('Price History'!G19)),NOT(ISNUMBER('Price History'!G18)),'Price History'!G18=0),"",'Price History'!G19/'Price History'!G18-1),"")</f>
        <v>-6.3598032326071752E-2</v>
      </c>
      <c r="H18" s="129">
        <f>IFERROR(IF(OR(NOT(ISNUMBER('Price History'!H19)),NOT(ISNUMBER('Price History'!H18)),'Price History'!H18=0),"",'Price History'!H19/'Price History'!H18-1),"")</f>
        <v>-2.2090962787950419E-2</v>
      </c>
      <c r="I18" s="129">
        <f>IFERROR(IF(OR(NOT(ISNUMBER('Price History'!I19)),NOT(ISNUMBER('Price History'!I18)),'Price History'!I18=0),"",'Price History'!I19/'Price History'!I18-1),"")</f>
        <v>-8.5054678007290274E-3</v>
      </c>
      <c r="J18" s="129">
        <f>IFERROR(IF(OR(NOT(ISNUMBER('Price History'!J19)),NOT(ISNUMBER('Price History'!J18)),'Price History'!J18=0),"",'Price History'!J19/'Price History'!J18-1),"")</f>
        <v>-2.0525451559934349E-2</v>
      </c>
      <c r="K18" s="129">
        <f>IFERROR(IF(OR(NOT(ISNUMBER('Price History'!K19)),NOT(ISNUMBER('Price History'!K18)),'Price History'!K18=0),"",'Price History'!K19/'Price History'!K18-1),"")</f>
        <v>-6.9306930693069368E-2</v>
      </c>
      <c r="L18" s="129">
        <f>IFERROR(IF(OR(NOT(ISNUMBER('Price History'!L19)),NOT(ISNUMBER('Price History'!L18)),'Price History'!L18=0),"",'Price History'!L19/'Price History'!L18-1),"")</f>
        <v>-4.2231075697211296E-2</v>
      </c>
      <c r="M18" s="129">
        <f>IFERROR(IF(OR(NOT(ISNUMBER('Price History'!M19)),NOT(ISNUMBER('Price History'!M18)),'Price History'!M18=0),"",'Price History'!M19/'Price History'!M18-1),"")</f>
        <v>-3.5721746396490506E-2</v>
      </c>
      <c r="N18" s="129">
        <f>IFERROR(IF(OR(NOT(ISNUMBER('Price History'!N19)),NOT(ISNUMBER('Price History'!N18)),'Price History'!N18=0),"",'Price History'!N19/'Price History'!N18-1),"")</f>
        <v>2.3618176902848509E-2</v>
      </c>
      <c r="O18" s="129">
        <f>IFERROR(IF(OR(NOT(ISNUMBER('Price History'!O19)),NOT(ISNUMBER('Price History'!O18)),'Price History'!O18=0),"",'Price History'!O19/'Price History'!O18-1),"")</f>
        <v>-2.592119028245965E-2</v>
      </c>
      <c r="P18" s="129">
        <f>IFERROR(IF(OR(NOT(ISNUMBER('Price History'!P19)),NOT(ISNUMBER('Price History'!P18)),'Price History'!P18=0),"",'Price History'!P19/'Price History'!P18-1),"")</f>
        <v>7.058823529411784E-3</v>
      </c>
      <c r="Q18" s="129">
        <f>IFERROR(IF(OR(NOT(ISNUMBER('Price History'!Q19)),NOT(ISNUMBER('Price History'!Q18)),'Price History'!Q18=0),"",'Price History'!Q19/'Price History'!Q18-1),"")</f>
        <v>-4.4239276783997195E-3</v>
      </c>
      <c r="R18" s="129">
        <f>IFERROR(IF(OR(NOT(ISNUMBER('Price History'!R19)),NOT(ISNUMBER('Price History'!R18)),'Price History'!R18=0),"",'Price History'!R19/'Price History'!R18-1),"")</f>
        <v>-1.5692640692640647E-2</v>
      </c>
      <c r="S18" s="129">
        <f>IFERROR(IF(OR(NOT(ISNUMBER('Price History'!S19)),NOT(ISNUMBER('Price History'!S18)),'Price History'!S18=0),"",'Price History'!S19/'Price History'!S18-1),"")</f>
        <v>-1.0270774976657404E-2</v>
      </c>
      <c r="T18" s="129">
        <f>IFERROR(IF(OR(NOT(ISNUMBER('Price History'!T19)),NOT(ISNUMBER('Price History'!T18)),'Price History'!T18=0),"",'Price History'!T19/'Price History'!T18-1),"")</f>
        <v>7.3179656055621933E-4</v>
      </c>
      <c r="U18" s="129">
        <f>IFERROR(IF(OR(NOT(ISNUMBER('Price History'!U19)),NOT(ISNUMBER('Price History'!U18)),'Price History'!U18=0),"",'Price History'!U19/'Price History'!U18-1),"")</f>
        <v>3.0461270670147922E-3</v>
      </c>
      <c r="V18" s="130">
        <f>IFERROR(IF(OR(NOT(ISNUMBER('Price History'!V19)),NOT(ISNUMBER('Price History'!V18)),'Price History'!V18=0),"",'Price History'!V19/'Price History'!V18-1),"")</f>
        <v>-2.5096070896400979E-3</v>
      </c>
      <c r="W18" s="131">
        <f>IFERROR('Price History'!B3+(INDEX('Price History'!B:B,MATCH(9.99E+307,'Returns (Calc)'!$A:$A)+1)-'Price History'!B3)*(ROW()-3)/(MATCH(9.99E+307,'Returns (Calc)'!$A:$A)-3),"")</f>
        <v>501.2444303797468</v>
      </c>
      <c r="X18" s="131">
        <f>IFERROR('Price History'!C3+(INDEX('Price History'!C:C,MATCH(9.99E+307,'Returns (Calc)'!$A:$A)+1)-'Price History'!C3)*(ROW()-3)/(MATCH(9.99E+307,'Returns (Calc)'!$A:$A)-3),"")</f>
        <v>61.480949367088606</v>
      </c>
      <c r="Y18" s="131">
        <f>IFERROR('Price History'!D3+(INDEX('Price History'!D:D,MATCH(9.99E+307,'Returns (Calc)'!$A:$A)+1)-'Price History'!D3)*(ROW()-3)/(MATCH(9.99E+307,'Returns (Calc)'!$A:$A)-3),"")</f>
        <v>704.03215189873413</v>
      </c>
      <c r="Z18" s="131">
        <f>IFERROR('Price History'!E3+(INDEX('Price History'!E:E,MATCH(9.99E+307,'Returns (Calc)'!$A:$A)+1)-'Price History'!E3)*(ROW()-3)/(MATCH(9.99E+307,'Returns (Calc)'!$A:$A)-3),"")</f>
        <v>107.93101265822784</v>
      </c>
      <c r="AA18" s="131">
        <f>IFERROR('Price History'!F3+(INDEX('Price History'!F:F,MATCH(9.99E+307,'Returns (Calc)'!$A:$A)+1)-'Price History'!F3)*(ROW()-3)/(MATCH(9.99E+307,'Returns (Calc)'!$A:$A)-3),"")</f>
        <v>63.070126582278483</v>
      </c>
      <c r="AB18" s="131">
        <f>IFERROR('Price History'!G3+(INDEX('Price History'!G:G,MATCH(9.99E+307,'Returns (Calc)'!$A:$A)+1)-'Price History'!G3)*(ROW()-3)/(MATCH(9.99E+307,'Returns (Calc)'!$A:$A)-3),"")</f>
        <v>59.781012658227851</v>
      </c>
      <c r="AC18" s="131">
        <f>IFERROR('Price History'!H3+(INDEX('Price History'!H:H,MATCH(9.99E+307,'Returns (Calc)'!$A:$A)+1)-'Price History'!H3)*(ROW()-3)/(MATCH(9.99E+307,'Returns (Calc)'!$A:$A)-3),"")</f>
        <v>164.59544303797469</v>
      </c>
      <c r="AD18" s="131">
        <f>IFERROR('Price History'!I3+(INDEX('Price History'!I:I,MATCH(9.99E+307,'Returns (Calc)'!$A:$A)+1)-'Price History'!I3)*(ROW()-3)/(MATCH(9.99E+307,'Returns (Calc)'!$A:$A)-3),"")</f>
        <v>61.825063291139244</v>
      </c>
      <c r="AE18" s="131">
        <f>IFERROR('Price History'!J3+(INDEX('Price History'!J:J,MATCH(9.99E+307,'Returns (Calc)'!$A:$A)+1)-'Price History'!J3)*(ROW()-3)/(MATCH(9.99E+307,'Returns (Calc)'!$A:$A)-3),"")</f>
        <v>113.46056962025317</v>
      </c>
      <c r="AF18" s="131">
        <f>IFERROR('Price History'!K3+(INDEX('Price History'!K:K,MATCH(9.99E+307,'Returns (Calc)'!$A:$A)+1)-'Price History'!K3)*(ROW()-3)/(MATCH(9.99E+307,'Returns (Calc)'!$A:$A)-3),"")</f>
        <v>31.79392405063291</v>
      </c>
      <c r="AG18" s="131">
        <f>IFERROR('Price History'!L3+(INDEX('Price History'!L:L,MATCH(9.99E+307,'Returns (Calc)'!$A:$A)+1)-'Price History'!L3)*(ROW()-3)/(MATCH(9.99E+307,'Returns (Calc)'!$A:$A)-3),"")</f>
        <v>122.49335443037975</v>
      </c>
      <c r="AH18" s="131">
        <f>IFERROR('Price History'!M3+(INDEX('Price History'!M:M,MATCH(9.99E+307,'Returns (Calc)'!$A:$A)+1)-'Price History'!M3)*(ROW()-3)/(MATCH(9.99E+307,'Returns (Calc)'!$A:$A)-3),"")</f>
        <v>58.35164556962026</v>
      </c>
      <c r="AI18" s="131">
        <f>IFERROR('Price History'!N3+(INDEX('Price History'!N:N,MATCH(9.99E+307,'Returns (Calc)'!$A:$A)+1)-'Price History'!N3)*(ROW()-3)/(MATCH(9.99E+307,'Returns (Calc)'!$A:$A)-3),"")</f>
        <v>363.69398734177213</v>
      </c>
      <c r="AJ18" s="131">
        <f>IFERROR('Price History'!O3+(INDEX('Price History'!O:O,MATCH(9.99E+307,'Returns (Calc)'!$A:$A)+1)-'Price History'!O3)*(ROW()-3)/(MATCH(9.99E+307,'Returns (Calc)'!$A:$A)-3),"")</f>
        <v>79.555569620253166</v>
      </c>
      <c r="AK18" s="131">
        <f>IFERROR('Price History'!Q3+(INDEX('Price History'!Q:Q,MATCH(9.99E+307,'Returns (Calc)'!$A:$A)+1)-'Price History'!Q3)*(ROW()-3)/(MATCH(9.99E+307,'Returns (Calc)'!$A:$A)-3),"")</f>
        <v>6.5905063291139241</v>
      </c>
      <c r="AL18" s="131">
        <f>IFERROR('Price History'!R3+(INDEX('Price History'!R:R,MATCH(9.99E+307,'Returns (Calc)'!$A:$A)+1)-'Price History'!R3)*(ROW()-3)/(MATCH(9.99E+307,'Returns (Calc)'!$A:$A)-3),"")</f>
        <v>37.001518987341768</v>
      </c>
      <c r="AM18" s="131">
        <f>IFERROR('Price History'!S3+(INDEX('Price History'!S:S,MATCH(9.99E+307,'Returns (Calc)'!$A:$A)+1)-'Price History'!S3)*(ROW()-3)/(MATCH(9.99E+307,'Returns (Calc)'!$A:$A)-3),"")</f>
        <v>66.705949367088607</v>
      </c>
      <c r="AN18" s="131">
        <f>IFERROR('Price History'!T3+(INDEX('Price History'!T:T,MATCH(9.99E+307,'Returns (Calc)'!$A:$A)+1)-'Price History'!T3)*(ROW()-3)/(MATCH(9.99E+307,'Returns (Calc)'!$A:$A)-3),"")</f>
        <v>27.763417721518987</v>
      </c>
      <c r="AO18" s="132">
        <f>IFERROR('Price History'!V3+(INDEX('Price History'!V:V,MATCH(9.99E+307,'Returns (Calc)'!$A:$A)+1)-'Price History'!V3)*(ROW()-3)/(MATCH(9.99E+307,'Returns (Calc)'!$A:$A)-3),"")</f>
        <v>247.49993670886076</v>
      </c>
      <c r="AP18" s="130">
        <f>IFERROR(IF(OR(NOT(ISNUMBER('Price History'!W19)),NOT(ISNUMBER('Price History'!W18)),'Price History'!W18=0),"",'Price History'!W19/'Price History'!W18-1),"")</f>
        <v>2.213880065453866E-3</v>
      </c>
      <c r="AQ18" s="130" t="str">
        <f>IFERROR(IF(OR(NOT(ISNUMBER('Price History'!X19)),NOT(ISNUMBER('Price History'!X18)),'Price History'!X18=0),"",'Price History'!X19/'Price History'!X18-1),"")</f>
        <v/>
      </c>
      <c r="AR18" s="130">
        <f>IFERROR(IF(OR(NOT(ISNUMBER('Price History'!Y19)),NOT(ISNUMBER('Price History'!Y18)),'Price History'!Y18=0),"",'Price History'!Y19/'Price History'!Y18-1),"")</f>
        <v>-4.2879711126158071E-3</v>
      </c>
      <c r="AS18" s="130">
        <f>IFERROR(IF(OR(NOT(ISNUMBER('Price History'!Z19)),NOT(ISNUMBER('Price History'!Z18)),'Price History'!Z18=0),"",'Price History'!Z19/'Price History'!Z18-1),"")</f>
        <v>-1.0563029397109958E-2</v>
      </c>
      <c r="AT18" s="130">
        <f>IFERROR(IF(OR(NOT(ISNUMBER('Price History'!AA19)),NOT(ISNUMBER('Price History'!AA18)),'Price History'!AA18=0),"",'Price History'!AA19/'Price History'!AA18-1),"")</f>
        <v>-2.6288765660299918E-2</v>
      </c>
    </row>
    <row r="19" spans="1:46" ht="15" customHeight="1" x14ac:dyDescent="0.2">
      <c r="A19" s="128">
        <f>IF('Price History'!A20="","",'Price History'!A20)</f>
        <v>45303</v>
      </c>
      <c r="B19" s="129">
        <f>IFERROR(IF(OR(NOT(ISNUMBER('Price History'!B20)),NOT(ISNUMBER('Price History'!B19)),'Price History'!B19=0),"",'Price History'!B20/'Price History'!B19-1),"")</f>
        <v>5.6571023733616554E-2</v>
      </c>
      <c r="C19" s="129">
        <f>IFERROR(IF(OR(NOT(ISNUMBER('Price History'!C20)),NOT(ISNUMBER('Price History'!C19)),'Price History'!C19=0),"",'Price History'!C20/'Price History'!C19-1),"")</f>
        <v>9.1460245972631249E-2</v>
      </c>
      <c r="D19" s="129">
        <f>IFERROR(IF(OR(NOT(ISNUMBER('Price History'!D20)),NOT(ISNUMBER('Price History'!D19)),'Price History'!D19=0),"",'Price History'!D20/'Price History'!D19-1),"")</f>
        <v>1.4044167890321591E-2</v>
      </c>
      <c r="E19" s="129">
        <f>IFERROR(IF(OR(NOT(ISNUMBER('Price History'!E20)),NOT(ISNUMBER('Price History'!E19)),'Price History'!E19=0),"",'Price History'!E20/'Price History'!E19-1),"")</f>
        <v>5.5664445315562361E-2</v>
      </c>
      <c r="F19" s="129">
        <f>IFERROR(IF(OR(NOT(ISNUMBER('Price History'!F20)),NOT(ISNUMBER('Price History'!F19)),'Price History'!F19=0),"",'Price History'!F20/'Price History'!F19-1),"")</f>
        <v>0.14498141263940534</v>
      </c>
      <c r="G19" s="129">
        <f>IFERROR(IF(OR(NOT(ISNUMBER('Price History'!G20)),NOT(ISNUMBER('Price History'!G19)),'Price History'!G19=0),"",'Price History'!G20/'Price History'!G19-1),"")</f>
        <v>2.9831144465290782E-2</v>
      </c>
      <c r="H19" s="129">
        <f>IFERROR(IF(OR(NOT(ISNUMBER('Price History'!H20)),NOT(ISNUMBER('Price History'!H19)),'Price History'!H19=0),"",'Price History'!H20/'Price History'!H19-1),"")</f>
        <v>-1.2805025368446521E-2</v>
      </c>
      <c r="I19" s="129">
        <f>IFERROR(IF(OR(NOT(ISNUMBER('Price History'!I20)),NOT(ISNUMBER('Price History'!I19)),'Price History'!I19=0),"",'Price History'!I20/'Price History'!I19-1),"")</f>
        <v>0.11417483660130712</v>
      </c>
      <c r="J19" s="129">
        <f>IFERROR(IF(OR(NOT(ISNUMBER('Price History'!J20)),NOT(ISNUMBER('Price History'!J19)),'Price History'!J19=0),"",'Price History'!J20/'Price History'!J19-1),"")</f>
        <v>7.5440067057837012E-3</v>
      </c>
      <c r="K19" s="129">
        <f>IFERROR(IF(OR(NOT(ISNUMBER('Price History'!K20)),NOT(ISNUMBER('Price History'!K19)),'Price History'!K19=0),"",'Price History'!K20/'Price History'!K19-1),"")</f>
        <v>4.8811013767209088E-2</v>
      </c>
      <c r="L19" s="129">
        <f>IFERROR(IF(OR(NOT(ISNUMBER('Price History'!L20)),NOT(ISNUMBER('Price History'!L19)),'Price History'!L19=0),"",'Price History'!L20/'Price History'!L19-1),"")</f>
        <v>1.6326955074875249E-2</v>
      </c>
      <c r="M19" s="129">
        <f>IFERROR(IF(OR(NOT(ISNUMBER('Price History'!M20)),NOT(ISNUMBER('Price History'!M19)),'Price History'!M19=0),"",'Price History'!M20/'Price History'!M19-1),"")</f>
        <v>6.9324090121317239E-2</v>
      </c>
      <c r="N19" s="129">
        <f>IFERROR(IF(OR(NOT(ISNUMBER('Price History'!N20)),NOT(ISNUMBER('Price History'!N19)),'Price History'!N19=0),"",'Price History'!N20/'Price History'!N19-1),"")</f>
        <v>4.057623049219683E-2</v>
      </c>
      <c r="O19" s="129">
        <f>IFERROR(IF(OR(NOT(ISNUMBER('Price History'!O20)),NOT(ISNUMBER('Price History'!O19)),'Price History'!O19=0),"",'Price History'!O20/'Price History'!O19-1),"")</f>
        <v>-1.1336515513126533E-2</v>
      </c>
      <c r="P19" s="129">
        <f>IFERROR(IF(OR(NOT(ISNUMBER('Price History'!P20)),NOT(ISNUMBER('Price History'!P19)),'Price History'!P19=0),"",'Price History'!P20/'Price History'!P19-1),"")</f>
        <v>-1.3831775700934634E-2</v>
      </c>
      <c r="Q19" s="129">
        <f>IFERROR(IF(OR(NOT(ISNUMBER('Price History'!Q20)),NOT(ISNUMBER('Price History'!Q19)),'Price History'!Q19=0),"",'Price History'!Q20/'Price History'!Q19-1),"")</f>
        <v>9.8531684698610622E-3</v>
      </c>
      <c r="R19" s="129">
        <f>IFERROR(IF(OR(NOT(ISNUMBER('Price History'!R20)),NOT(ISNUMBER('Price History'!R19)),'Price History'!R19=0),"",'Price History'!R20/'Price History'!R19-1),"")</f>
        <v>2.7487630566245258E-2</v>
      </c>
      <c r="S19" s="129">
        <f>IFERROR(IF(OR(NOT(ISNUMBER('Price History'!S20)),NOT(ISNUMBER('Price History'!S19)),'Price History'!S19=0),"",'Price History'!S20/'Price History'!S19-1),"")</f>
        <v>3.0974842767295563E-2</v>
      </c>
      <c r="T19" s="129">
        <f>IFERROR(IF(OR(NOT(ISNUMBER('Price History'!T20)),NOT(ISNUMBER('Price History'!T19)),'Price History'!T19=0),"",'Price History'!T20/'Price History'!T19-1),"")</f>
        <v>-2.1937842778794181E-3</v>
      </c>
      <c r="U19" s="129">
        <f>IFERROR(IF(OR(NOT(ISNUMBER('Price History'!U20)),NOT(ISNUMBER('Price History'!U19)),'Price History'!U19=0),"",'Price History'!U20/'Price History'!U19-1),"")</f>
        <v>-1.3015184381779399E-3</v>
      </c>
      <c r="V19" s="130">
        <f>IFERROR(IF(OR(NOT(ISNUMBER('Price History'!V20)),NOT(ISNUMBER('Price History'!V19)),'Price History'!V19=0),"",'Price History'!V20/'Price History'!V19-1),"")</f>
        <v>1.7218334774746324E-2</v>
      </c>
      <c r="W19" s="131">
        <f>IFERROR('Price History'!B3+(INDEX('Price History'!B:B,MATCH(9.99E+307,'Returns (Calc)'!$A:$A)+1)-'Price History'!B3)*(ROW()-3)/(MATCH(9.99E+307,'Returns (Calc)'!$A:$A)-3),"")</f>
        <v>499.40139240506329</v>
      </c>
      <c r="X19" s="131">
        <f>IFERROR('Price History'!C3+(INDEX('Price History'!C:C,MATCH(9.99E+307,'Returns (Calc)'!$A:$A)+1)-'Price History'!C3)*(ROW()-3)/(MATCH(9.99E+307,'Returns (Calc)'!$A:$A)-3),"")</f>
        <v>62.50101265822785</v>
      </c>
      <c r="Y19" s="131">
        <f>IFERROR('Price History'!D3+(INDEX('Price History'!D:D,MATCH(9.99E+307,'Returns (Calc)'!$A:$A)+1)-'Price History'!D3)*(ROW()-3)/(MATCH(9.99E+307,'Returns (Calc)'!$A:$A)-3),"")</f>
        <v>712.16696202531648</v>
      </c>
      <c r="Z19" s="131">
        <f>IFERROR('Price History'!E3+(INDEX('Price History'!E:E,MATCH(9.99E+307,'Returns (Calc)'!$A:$A)+1)-'Price History'!E3)*(ROW()-3)/(MATCH(9.99E+307,'Returns (Calc)'!$A:$A)-3),"")</f>
        <v>109.65974683544303</v>
      </c>
      <c r="AA19" s="131">
        <f>IFERROR('Price History'!F3+(INDEX('Price History'!F:F,MATCH(9.99E+307,'Returns (Calc)'!$A:$A)+1)-'Price History'!F3)*(ROW()-3)/(MATCH(9.99E+307,'Returns (Calc)'!$A:$A)-3),"")</f>
        <v>64.517468354430378</v>
      </c>
      <c r="AB19" s="131">
        <f>IFERROR('Price History'!G3+(INDEX('Price History'!G:G,MATCH(9.99E+307,'Returns (Calc)'!$A:$A)+1)-'Price History'!G3)*(ROW()-3)/(MATCH(9.99E+307,'Returns (Calc)'!$A:$A)-3),"")</f>
        <v>60.809746835443036</v>
      </c>
      <c r="AC19" s="131">
        <f>IFERROR('Price History'!H3+(INDEX('Price History'!H:H,MATCH(9.99E+307,'Returns (Calc)'!$A:$A)+1)-'Price History'!H3)*(ROW()-3)/(MATCH(9.99E+307,'Returns (Calc)'!$A:$A)-3),"")</f>
        <v>170.96113924050633</v>
      </c>
      <c r="AD19" s="131">
        <f>IFERROR('Price History'!I3+(INDEX('Price History'!I:I,MATCH(9.99E+307,'Returns (Calc)'!$A:$A)+1)-'Price History'!I3)*(ROW()-3)/(MATCH(9.99E+307,'Returns (Calc)'!$A:$A)-3),"")</f>
        <v>63.028734177215192</v>
      </c>
      <c r="AE19" s="131">
        <f>IFERROR('Price History'!J3+(INDEX('Price History'!J:J,MATCH(9.99E+307,'Returns (Calc)'!$A:$A)+1)-'Price History'!J3)*(ROW()-3)/(MATCH(9.99E+307,'Returns (Calc)'!$A:$A)-3),"")</f>
        <v>113.56860759493671</v>
      </c>
      <c r="AF19" s="131">
        <f>IFERROR('Price History'!K3+(INDEX('Price History'!K:K,MATCH(9.99E+307,'Returns (Calc)'!$A:$A)+1)-'Price History'!K3)*(ROW()-3)/(MATCH(9.99E+307,'Returns (Calc)'!$A:$A)-3),"")</f>
        <v>32.891518987341769</v>
      </c>
      <c r="AG19" s="131">
        <f>IFERROR('Price History'!L3+(INDEX('Price History'!L:L,MATCH(9.99E+307,'Returns (Calc)'!$A:$A)+1)-'Price History'!L3)*(ROW()-3)/(MATCH(9.99E+307,'Returns (Calc)'!$A:$A)-3),"")</f>
        <v>124.94291139240505</v>
      </c>
      <c r="AH19" s="131">
        <f>IFERROR('Price History'!M3+(INDEX('Price History'!M:M,MATCH(9.99E+307,'Returns (Calc)'!$A:$A)+1)-'Price History'!M3)*(ROW()-3)/(MATCH(9.99E+307,'Returns (Calc)'!$A:$A)-3),"")</f>
        <v>59.70708860759494</v>
      </c>
      <c r="AI19" s="131">
        <f>IFERROR('Price History'!N3+(INDEX('Price History'!N:N,MATCH(9.99E+307,'Returns (Calc)'!$A:$A)+1)-'Price History'!N3)*(ROW()-3)/(MATCH(9.99E+307,'Returns (Calc)'!$A:$A)-3),"")</f>
        <v>364.68025316455692</v>
      </c>
      <c r="AJ19" s="131">
        <f>IFERROR('Price History'!O3+(INDEX('Price History'!O:O,MATCH(9.99E+307,'Returns (Calc)'!$A:$A)+1)-'Price History'!O3)*(ROW()-3)/(MATCH(9.99E+307,'Returns (Calc)'!$A:$A)-3),"")</f>
        <v>79.838607594936718</v>
      </c>
      <c r="AK19" s="131">
        <f>IFERROR('Price History'!Q3+(INDEX('Price History'!Q:Q,MATCH(9.99E+307,'Returns (Calc)'!$A:$A)+1)-'Price History'!Q3)*(ROW()-3)/(MATCH(9.99E+307,'Returns (Calc)'!$A:$A)-3),"")</f>
        <v>7.029873417721519</v>
      </c>
      <c r="AL19" s="131">
        <f>IFERROR('Price History'!R3+(INDEX('Price History'!R:R,MATCH(9.99E+307,'Returns (Calc)'!$A:$A)+1)-'Price History'!R3)*(ROW()-3)/(MATCH(9.99E+307,'Returns (Calc)'!$A:$A)-3),"")</f>
        <v>37.169620253164553</v>
      </c>
      <c r="AM19" s="131">
        <f>IFERROR('Price History'!S3+(INDEX('Price History'!S:S,MATCH(9.99E+307,'Returns (Calc)'!$A:$A)+1)-'Price History'!S3)*(ROW()-3)/(MATCH(9.99E+307,'Returns (Calc)'!$A:$A)-3),"")</f>
        <v>67.311012658227853</v>
      </c>
      <c r="AN19" s="131">
        <f>IFERROR('Price History'!T3+(INDEX('Price History'!T:T,MATCH(9.99E+307,'Returns (Calc)'!$A:$A)+1)-'Price History'!T3)*(ROW()-3)/(MATCH(9.99E+307,'Returns (Calc)'!$A:$A)-3),"")</f>
        <v>27.931645569620251</v>
      </c>
      <c r="AO19" s="132">
        <f>IFERROR('Price History'!V3+(INDEX('Price History'!V:V,MATCH(9.99E+307,'Returns (Calc)'!$A:$A)+1)-'Price History'!V3)*(ROW()-3)/(MATCH(9.99E+307,'Returns (Calc)'!$A:$A)-3),"")</f>
        <v>248.29126582278479</v>
      </c>
      <c r="AP19" s="130">
        <f>IFERROR(IF(OR(NOT(ISNUMBER('Price History'!W20)),NOT(ISNUMBER('Price History'!W19)),'Price History'!W19=0),"",'Price History'!W20/'Price History'!W19-1),"")</f>
        <v>-3.4575489819439476E-3</v>
      </c>
      <c r="AQ19" s="130" t="str">
        <f>IFERROR(IF(OR(NOT(ISNUMBER('Price History'!X20)),NOT(ISNUMBER('Price History'!X19)),'Price History'!X19=0),"",'Price History'!X20/'Price History'!X19-1),"")</f>
        <v/>
      </c>
      <c r="AR19" s="130">
        <f>IFERROR(IF(OR(NOT(ISNUMBER('Price History'!Y20)),NOT(ISNUMBER('Price History'!Y19)),'Price History'!Y19=0),"",'Price History'!Y20/'Price History'!Y19-1),"")</f>
        <v>1.0199456029011955E-2</v>
      </c>
      <c r="AS19" s="130">
        <f>IFERROR(IF(OR(NOT(ISNUMBER('Price History'!Z20)),NOT(ISNUMBER('Price History'!Z19)),'Price History'!Z19=0),"",'Price History'!Z20/'Price History'!Z19-1),"")</f>
        <v>2.7797361264981335E-2</v>
      </c>
      <c r="AT19" s="130">
        <f>IFERROR(IF(OR(NOT(ISNUMBER('Price History'!AA20)),NOT(ISNUMBER('Price History'!AA19)),'Price History'!AA19=0),"",'Price History'!AA20/'Price History'!AA19-1),"")</f>
        <v>3.8177599662518436E-2</v>
      </c>
    </row>
    <row r="20" spans="1:46" ht="15" customHeight="1" x14ac:dyDescent="0.2">
      <c r="A20" s="128">
        <f>IF('Price History'!A21="","",'Price History'!A21)</f>
        <v>45310</v>
      </c>
      <c r="B20" s="129">
        <f>IFERROR(IF(OR(NOT(ISNUMBER('Price History'!B21)),NOT(ISNUMBER('Price History'!B20)),'Price History'!B20=0),"",'Price History'!B21/'Price History'!B20-1),"")</f>
        <v>2.5161766185000101E-2</v>
      </c>
      <c r="C20" s="129">
        <f>IFERROR(IF(OR(NOT(ISNUMBER('Price History'!C21)),NOT(ISNUMBER('Price History'!C20)),'Price History'!C20=0),"",'Price History'!C21/'Price History'!C20-1),"")</f>
        <v>4.5548325662593259E-2</v>
      </c>
      <c r="D20" s="129">
        <f>IFERROR(IF(OR(NOT(ISNUMBER('Price History'!D21)),NOT(ISNUMBER('Price History'!D20)),'Price History'!D20=0),"",'Price History'!D21/'Price History'!D20-1),"")</f>
        <v>6.2552868141478646E-2</v>
      </c>
      <c r="E20" s="129">
        <f>IFERROR(IF(OR(NOT(ISNUMBER('Price History'!E21)),NOT(ISNUMBER('Price History'!E20)),'Price History'!E20=0),"",'Price History'!E21/'Price History'!E20-1),"")</f>
        <v>9.3483104344597168E-2</v>
      </c>
      <c r="F20" s="129">
        <f>IFERROR(IF(OR(NOT(ISNUMBER('Price History'!F21)),NOT(ISNUMBER('Price History'!F20)),'Price History'!F20=0),"",'Price History'!F21/'Price History'!F20-1),"")</f>
        <v>2.5409373235460109E-2</v>
      </c>
      <c r="G20" s="129">
        <f>IFERROR(IF(OR(NOT(ISNUMBER('Price History'!G21)),NOT(ISNUMBER('Price History'!G20)),'Price History'!G20=0),"",'Price History'!G21/'Price History'!G20-1),"")</f>
        <v>9.3459646565859034E-2</v>
      </c>
      <c r="H20" s="129">
        <f>IFERROR(IF(OR(NOT(ISNUMBER('Price History'!H21)),NOT(ISNUMBER('Price History'!H20)),'Price History'!H20=0),"",'Price History'!H21/'Price History'!H20-1),"")</f>
        <v>6.2163485070974023E-2</v>
      </c>
      <c r="I20" s="129">
        <f>IFERROR(IF(OR(NOT(ISNUMBER('Price History'!I21)),NOT(ISNUMBER('Price History'!I20)),'Price History'!I20=0),"",'Price History'!I21/'Price History'!I20-1),"")</f>
        <v>8.7442713107241055E-2</v>
      </c>
      <c r="J20" s="129">
        <f>IFERROR(IF(OR(NOT(ISNUMBER('Price History'!J21)),NOT(ISNUMBER('Price History'!J20)),'Price History'!J20=0),"",'Price History'!J21/'Price History'!J20-1),"")</f>
        <v>-2.3627287853577372E-2</v>
      </c>
      <c r="K20" s="129">
        <f>IFERROR(IF(OR(NOT(ISNUMBER('Price History'!K21)),NOT(ISNUMBER('Price History'!K20)),'Price History'!K20=0),"",'Price History'!K21/'Price History'!K20-1),"")</f>
        <v>1.1933174224343368E-3</v>
      </c>
      <c r="L20" s="129">
        <f>IFERROR(IF(OR(NOT(ISNUMBER('Price History'!L21)),NOT(ISNUMBER('Price History'!L20)),'Price History'!L20=0),"",'Price History'!L21/'Price History'!L20-1),"")</f>
        <v>0.12800573007264893</v>
      </c>
      <c r="M20" s="129">
        <f>IFERROR(IF(OR(NOT(ISNUMBER('Price History'!M21)),NOT(ISNUMBER('Price History'!M20)),'Price History'!M20=0),"",'Price History'!M21/'Price History'!M20-1),"")</f>
        <v>8.3670988654781286E-2</v>
      </c>
      <c r="N20" s="129">
        <f>IFERROR(IF(OR(NOT(ISNUMBER('Price History'!N21)),NOT(ISNUMBER('Price History'!N20)),'Price History'!N20=0),"",'Price History'!N21/'Price History'!N20-1),"")</f>
        <v>3.737886479003194E-3</v>
      </c>
      <c r="O20" s="129">
        <f>IFERROR(IF(OR(NOT(ISNUMBER('Price History'!O21)),NOT(ISNUMBER('Price History'!O20)),'Price History'!O20=0),"",'Price History'!O21/'Price History'!O20-1),"")</f>
        <v>3.0175015087507973E-3</v>
      </c>
      <c r="P20" s="129">
        <f>IFERROR(IF(OR(NOT(ISNUMBER('Price History'!P21)),NOT(ISNUMBER('Price History'!P20)),'Price History'!P20=0),"",'Price History'!P21/'Price History'!P20-1),"")</f>
        <v>-1.317285822592873E-2</v>
      </c>
      <c r="Q20" s="129">
        <f>IFERROR(IF(OR(NOT(ISNUMBER('Price History'!Q21)),NOT(ISNUMBER('Price History'!Q20)),'Price History'!Q20=0),"",'Price History'!Q21/'Price History'!Q20-1),"")</f>
        <v>5.9307442127414234E-3</v>
      </c>
      <c r="R20" s="129">
        <f>IFERROR(IF(OR(NOT(ISNUMBER('Price History'!R21)),NOT(ISNUMBER('Price History'!R20)),'Price History'!R20=0),"",'Price History'!R21/'Price History'!R20-1),"")</f>
        <v>1.7656500802568198E-2</v>
      </c>
      <c r="S20" s="129">
        <f>IFERROR(IF(OR(NOT(ISNUMBER('Price History'!S21)),NOT(ISNUMBER('Price History'!S20)),'Price History'!S20=0),"",'Price History'!S21/'Price History'!S20-1),"")</f>
        <v>2.1198718926338289E-2</v>
      </c>
      <c r="T20" s="129">
        <f>IFERROR(IF(OR(NOT(ISNUMBER('Price History'!T21)),NOT(ISNUMBER('Price History'!T20)),'Price History'!T20=0),"",'Price History'!T21/'Price History'!T20-1),"")</f>
        <v>-9.5272993770610936E-3</v>
      </c>
      <c r="U20" s="129">
        <f>IFERROR(IF(OR(NOT(ISNUMBER('Price History'!U21)),NOT(ISNUMBER('Price History'!U20)),'Price History'!U20=0),"",'Price History'!U21/'Price History'!U20-1),"")</f>
        <v>4.344048653345034E-3</v>
      </c>
      <c r="V20" s="130">
        <f>IFERROR(IF(OR(NOT(ISNUMBER('Price History'!V21)),NOT(ISNUMBER('Price History'!V20)),'Price History'!V20=0),"",'Price History'!V21/'Price History'!V20-1),"")</f>
        <v>2.5506260627608635E-2</v>
      </c>
      <c r="W20" s="131">
        <f>IFERROR('Price History'!B3+(INDEX('Price History'!B:B,MATCH(9.99E+307,'Returns (Calc)'!$A:$A)+1)-'Price History'!B3)*(ROW()-3)/(MATCH(9.99E+307,'Returns (Calc)'!$A:$A)-3),"")</f>
        <v>497.55835443037972</v>
      </c>
      <c r="X20" s="131">
        <f>IFERROR('Price History'!C3+(INDEX('Price History'!C:C,MATCH(9.99E+307,'Returns (Calc)'!$A:$A)+1)-'Price History'!C3)*(ROW()-3)/(MATCH(9.99E+307,'Returns (Calc)'!$A:$A)-3),"")</f>
        <v>63.521075949367088</v>
      </c>
      <c r="Y20" s="131">
        <f>IFERROR('Price History'!D3+(INDEX('Price History'!D:D,MATCH(9.99E+307,'Returns (Calc)'!$A:$A)+1)-'Price History'!D3)*(ROW()-3)/(MATCH(9.99E+307,'Returns (Calc)'!$A:$A)-3),"")</f>
        <v>720.30177215189872</v>
      </c>
      <c r="Z20" s="131">
        <f>IFERROR('Price History'!E3+(INDEX('Price History'!E:E,MATCH(9.99E+307,'Returns (Calc)'!$A:$A)+1)-'Price History'!E3)*(ROW()-3)/(MATCH(9.99E+307,'Returns (Calc)'!$A:$A)-3),"")</f>
        <v>111.38848101265823</v>
      </c>
      <c r="AA20" s="131">
        <f>IFERROR('Price History'!F3+(INDEX('Price History'!F:F,MATCH(9.99E+307,'Returns (Calc)'!$A:$A)+1)-'Price History'!F3)*(ROW()-3)/(MATCH(9.99E+307,'Returns (Calc)'!$A:$A)-3),"")</f>
        <v>65.964810126582279</v>
      </c>
      <c r="AB20" s="131">
        <f>IFERROR('Price History'!G3+(INDEX('Price History'!G:G,MATCH(9.99E+307,'Returns (Calc)'!$A:$A)+1)-'Price History'!G3)*(ROW()-3)/(MATCH(9.99E+307,'Returns (Calc)'!$A:$A)-3),"")</f>
        <v>61.838481012658228</v>
      </c>
      <c r="AC20" s="131">
        <f>IFERROR('Price History'!H3+(INDEX('Price History'!H:H,MATCH(9.99E+307,'Returns (Calc)'!$A:$A)+1)-'Price History'!H3)*(ROW()-3)/(MATCH(9.99E+307,'Returns (Calc)'!$A:$A)-3),"")</f>
        <v>177.32683544303799</v>
      </c>
      <c r="AD20" s="131">
        <f>IFERROR('Price History'!I3+(INDEX('Price History'!I:I,MATCH(9.99E+307,'Returns (Calc)'!$A:$A)+1)-'Price History'!I3)*(ROW()-3)/(MATCH(9.99E+307,'Returns (Calc)'!$A:$A)-3),"")</f>
        <v>64.232405063291139</v>
      </c>
      <c r="AE20" s="131">
        <f>IFERROR('Price History'!J3+(INDEX('Price History'!J:J,MATCH(9.99E+307,'Returns (Calc)'!$A:$A)+1)-'Price History'!J3)*(ROW()-3)/(MATCH(9.99E+307,'Returns (Calc)'!$A:$A)-3),"")</f>
        <v>113.67664556962026</v>
      </c>
      <c r="AF20" s="131">
        <f>IFERROR('Price History'!K3+(INDEX('Price History'!K:K,MATCH(9.99E+307,'Returns (Calc)'!$A:$A)+1)-'Price History'!K3)*(ROW()-3)/(MATCH(9.99E+307,'Returns (Calc)'!$A:$A)-3),"")</f>
        <v>33.989113924050635</v>
      </c>
      <c r="AG20" s="131">
        <f>IFERROR('Price History'!L3+(INDEX('Price History'!L:L,MATCH(9.99E+307,'Returns (Calc)'!$A:$A)+1)-'Price History'!L3)*(ROW()-3)/(MATCH(9.99E+307,'Returns (Calc)'!$A:$A)-3),"")</f>
        <v>127.39246835443038</v>
      </c>
      <c r="AH20" s="131">
        <f>IFERROR('Price History'!M3+(INDEX('Price History'!M:M,MATCH(9.99E+307,'Returns (Calc)'!$A:$A)+1)-'Price History'!M3)*(ROW()-3)/(MATCH(9.99E+307,'Returns (Calc)'!$A:$A)-3),"")</f>
        <v>61.062531645569621</v>
      </c>
      <c r="AI20" s="131">
        <f>IFERROR('Price History'!N3+(INDEX('Price History'!N:N,MATCH(9.99E+307,'Returns (Calc)'!$A:$A)+1)-'Price History'!N3)*(ROW()-3)/(MATCH(9.99E+307,'Returns (Calc)'!$A:$A)-3),"")</f>
        <v>365.66651898734176</v>
      </c>
      <c r="AJ20" s="131">
        <f>IFERROR('Price History'!O3+(INDEX('Price History'!O:O,MATCH(9.99E+307,'Returns (Calc)'!$A:$A)+1)-'Price History'!O3)*(ROW()-3)/(MATCH(9.99E+307,'Returns (Calc)'!$A:$A)-3),"")</f>
        <v>80.121645569620256</v>
      </c>
      <c r="AK20" s="131">
        <f>IFERROR('Price History'!Q3+(INDEX('Price History'!Q:Q,MATCH(9.99E+307,'Returns (Calc)'!$A:$A)+1)-'Price History'!Q3)*(ROW()-3)/(MATCH(9.99E+307,'Returns (Calc)'!$A:$A)-3),"")</f>
        <v>7.4692405063291147</v>
      </c>
      <c r="AL20" s="131">
        <f>IFERROR('Price History'!R3+(INDEX('Price History'!R:R,MATCH(9.99E+307,'Returns (Calc)'!$A:$A)+1)-'Price History'!R3)*(ROW()-3)/(MATCH(9.99E+307,'Returns (Calc)'!$A:$A)-3),"")</f>
        <v>37.337721518987337</v>
      </c>
      <c r="AM20" s="131">
        <f>IFERROR('Price History'!S3+(INDEX('Price History'!S:S,MATCH(9.99E+307,'Returns (Calc)'!$A:$A)+1)-'Price History'!S3)*(ROW()-3)/(MATCH(9.99E+307,'Returns (Calc)'!$A:$A)-3),"")</f>
        <v>67.916075949367084</v>
      </c>
      <c r="AN20" s="131">
        <f>IFERROR('Price History'!T3+(INDEX('Price History'!T:T,MATCH(9.99E+307,'Returns (Calc)'!$A:$A)+1)-'Price History'!T3)*(ROW()-3)/(MATCH(9.99E+307,'Returns (Calc)'!$A:$A)-3),"")</f>
        <v>28.099873417721518</v>
      </c>
      <c r="AO20" s="132">
        <f>IFERROR('Price History'!V3+(INDEX('Price History'!V:V,MATCH(9.99E+307,'Returns (Calc)'!$A:$A)+1)-'Price History'!V3)*(ROW()-3)/(MATCH(9.99E+307,'Returns (Calc)'!$A:$A)-3),"")</f>
        <v>249.08259493670886</v>
      </c>
      <c r="AP20" s="130">
        <f>IFERROR(IF(OR(NOT(ISNUMBER('Price History'!W21)),NOT(ISNUMBER('Price History'!W20)),'Price History'!W20=0),"",'Price History'!W21/'Price History'!W20-1),"")</f>
        <v>1.2528912875866549E-3</v>
      </c>
      <c r="AQ20" s="130" t="str">
        <f>IFERROR(IF(OR(NOT(ISNUMBER('Price History'!X21)),NOT(ISNUMBER('Price History'!X20)),'Price History'!X20=0),"",'Price History'!X21/'Price History'!X20-1),"")</f>
        <v/>
      </c>
      <c r="AR20" s="130">
        <f>IFERROR(IF(OR(NOT(ISNUMBER('Price History'!Y21)),NOT(ISNUMBER('Price History'!Y20)),'Price History'!Y20=0),"",'Price History'!Y21/'Price History'!Y20-1),"")</f>
        <v>2.9167601525690312E-3</v>
      </c>
      <c r="AS20" s="130">
        <f>IFERROR(IF(OR(NOT(ISNUMBER('Price History'!Z21)),NOT(ISNUMBER('Price History'!Z20)),'Price History'!Z20=0),"",'Price History'!Z21/'Price History'!Z20-1),"")</f>
        <v>9.7991180793677302E-5</v>
      </c>
      <c r="AT20" s="130">
        <f>IFERROR(IF(OR(NOT(ISNUMBER('Price History'!AA21)),NOT(ISNUMBER('Price History'!AA20)),'Price History'!AA20=0),"",'Price History'!AA21/'Price History'!AA20-1),"")</f>
        <v>-1.8894758228362396E-2</v>
      </c>
    </row>
    <row r="21" spans="1:46" ht="15" customHeight="1" x14ac:dyDescent="0.2">
      <c r="A21" s="128">
        <f>IF('Price History'!A22="","",'Price History'!A22)</f>
        <v>45317</v>
      </c>
      <c r="B21" s="129">
        <f>IFERROR(IF(OR(NOT(ISNUMBER('Price History'!B22)),NOT(ISNUMBER('Price History'!B21)),'Price History'!B21=0),"",'Price History'!B22/'Price History'!B21-1),"")</f>
        <v>3.891750470116806E-3</v>
      </c>
      <c r="C21" s="129">
        <f>IFERROR(IF(OR(NOT(ISNUMBER('Price History'!C22)),NOT(ISNUMBER('Price History'!C21)),'Price History'!C21=0),"",'Price History'!C22/'Price History'!C21-1),"")</f>
        <v>3.3394049787491831E-3</v>
      </c>
      <c r="D21" s="129">
        <f>IFERROR(IF(OR(NOT(ISNUMBER('Price History'!D22)),NOT(ISNUMBER('Price History'!D21)),'Price History'!D21=0),"",'Price History'!D22/'Price History'!D21-1),"")</f>
        <v>0.14503724093264259</v>
      </c>
      <c r="E21" s="129">
        <f>IFERROR(IF(OR(NOT(ISNUMBER('Price History'!E22)),NOT(ISNUMBER('Price History'!E21)),'Price History'!E21=0),"",'Price History'!E22/'Price History'!E21-1),"")</f>
        <v>-5.1787078699380151E-3</v>
      </c>
      <c r="F21" s="129">
        <f>IFERROR(IF(OR(NOT(ISNUMBER('Price History'!F22)),NOT(ISNUMBER('Price History'!F21)),'Price History'!F21=0),"",'Price History'!F22/'Price History'!F21-1),"")</f>
        <v>-8.2599118942738858E-4</v>
      </c>
      <c r="G21" s="129">
        <f>IFERROR(IF(OR(NOT(ISNUMBER('Price History'!G22)),NOT(ISNUMBER('Price History'!G21)),'Price History'!G21=0),"",'Price History'!G22/'Price History'!G21-1),"")</f>
        <v>-2.2159280239920087E-2</v>
      </c>
      <c r="H21" s="129">
        <f>IFERROR(IF(OR(NOT(ISNUMBER('Price History'!H22)),NOT(ISNUMBER('Price History'!H21)),'Price History'!H21=0),"",'Price History'!H22/'Price History'!H21-1),"")</f>
        <v>6.2211981566822061E-3</v>
      </c>
      <c r="I21" s="129">
        <f>IFERROR(IF(OR(NOT(ISNUMBER('Price History'!I22)),NOT(ISNUMBER('Price History'!I21)),'Price History'!I21=0),"",'Price History'!I22/'Price History'!I21-1),"")</f>
        <v>2.5792312879298729E-2</v>
      </c>
      <c r="J21" s="129">
        <f>IFERROR(IF(OR(NOT(ISNUMBER('Price History'!J22)),NOT(ISNUMBER('Price History'!J21)),'Price History'!J21=0),"",'Price History'!J22/'Price History'!J21-1),"")</f>
        <v>-1.218473074301285E-2</v>
      </c>
      <c r="K21" s="129">
        <f>IFERROR(IF(OR(NOT(ISNUMBER('Price History'!K22)),NOT(ISNUMBER('Price History'!K21)),'Price History'!K21=0),"",'Price History'!K22/'Price History'!K21-1),"")</f>
        <v>-2.5625744934445804E-2</v>
      </c>
      <c r="L21" s="129">
        <f>IFERROR(IF(OR(NOT(ISNUMBER('Price History'!L22)),NOT(ISNUMBER('Price History'!L21)),'Price History'!L21=0),"",'Price History'!L22/'Price History'!L21-1),"")</f>
        <v>2.6850507982583594E-2</v>
      </c>
      <c r="M21" s="129">
        <f>IFERROR(IF(OR(NOT(ISNUMBER('Price History'!M22)),NOT(ISNUMBER('Price History'!M21)),'Price History'!M21=0),"",'Price History'!M22/'Price History'!M21-1),"")</f>
        <v>-3.9259674705552916E-3</v>
      </c>
      <c r="N21" s="129">
        <f>IFERROR(IF(OR(NOT(ISNUMBER('Price History'!N22)),NOT(ISNUMBER('Price History'!N21)),'Price History'!N21=0),"",'Price History'!N22/'Price History'!N21-1),"")</f>
        <v>-1.1148912693669133E-2</v>
      </c>
      <c r="O21" s="129">
        <f>IFERROR(IF(OR(NOT(ISNUMBER('Price History'!O22)),NOT(ISNUMBER('Price History'!O21)),'Price History'!O21=0),"",'Price History'!O22/'Price History'!O21-1),"")</f>
        <v>2.3586040914560957E-2</v>
      </c>
      <c r="P21" s="129">
        <f>IFERROR(IF(OR(NOT(ISNUMBER('Price History'!P22)),NOT(ISNUMBER('Price History'!P21)),'Price History'!P21=0),"",'Price History'!P22/'Price History'!P21-1),"")</f>
        <v>1.5749543839431501E-2</v>
      </c>
      <c r="Q21" s="129">
        <f>IFERROR(IF(OR(NOT(ISNUMBER('Price History'!Q22)),NOT(ISNUMBER('Price History'!Q21)),'Price History'!Q21=0),"",'Price History'!Q22/'Price History'!Q21-1),"")</f>
        <v>6.2761506276149959E-3</v>
      </c>
      <c r="R21" s="129">
        <f>IFERROR(IF(OR(NOT(ISNUMBER('Price History'!R22)),NOT(ISNUMBER('Price History'!R21)),'Price History'!R21=0),"",'Price History'!R22/'Price History'!R21-1),"")</f>
        <v>7.8864353312304569E-3</v>
      </c>
      <c r="S21" s="129">
        <f>IFERROR(IF(OR(NOT(ISNUMBER('Price History'!S22)),NOT(ISNUMBER('Price History'!S21)),'Price History'!S21=0),"",'Price History'!S22/'Price History'!S21-1),"")</f>
        <v>1.6129032258064724E-2</v>
      </c>
      <c r="T21" s="129">
        <f>IFERROR(IF(OR(NOT(ISNUMBER('Price History'!T22)),NOT(ISNUMBER('Price History'!T21)),'Price History'!T21=0),"",'Price History'!T22/'Price History'!T21-1),"")</f>
        <v>8.1391046984831128E-3</v>
      </c>
      <c r="U21" s="129">
        <f>IFERROR(IF(OR(NOT(ISNUMBER('Price History'!U22)),NOT(ISNUMBER('Price History'!U21)),'Price History'!U21=0),"",'Price History'!U22/'Price History'!U21-1),"")</f>
        <v>5.6228373702422729E-3</v>
      </c>
      <c r="V21" s="130">
        <f>IFERROR(IF(OR(NOT(ISNUMBER('Price History'!V22)),NOT(ISNUMBER('Price History'!V21)),'Price History'!V21=0),"",'Price History'!V22/'Price History'!V21-1),"")</f>
        <v>-1.0928549894483108E-2</v>
      </c>
      <c r="W21" s="131">
        <f>IFERROR('Price History'!B3+(INDEX('Price History'!B:B,MATCH(9.99E+307,'Returns (Calc)'!$A:$A)+1)-'Price History'!B3)*(ROW()-3)/(MATCH(9.99E+307,'Returns (Calc)'!$A:$A)-3),"")</f>
        <v>495.71531645569621</v>
      </c>
      <c r="X21" s="131">
        <f>IFERROR('Price History'!C3+(INDEX('Price History'!C:C,MATCH(9.99E+307,'Returns (Calc)'!$A:$A)+1)-'Price History'!C3)*(ROW()-3)/(MATCH(9.99E+307,'Returns (Calc)'!$A:$A)-3),"")</f>
        <v>64.541139240506325</v>
      </c>
      <c r="Y21" s="131">
        <f>IFERROR('Price History'!D3+(INDEX('Price History'!D:D,MATCH(9.99E+307,'Returns (Calc)'!$A:$A)+1)-'Price History'!D3)*(ROW()-3)/(MATCH(9.99E+307,'Returns (Calc)'!$A:$A)-3),"")</f>
        <v>728.43658227848096</v>
      </c>
      <c r="Z21" s="131">
        <f>IFERROR('Price History'!E3+(INDEX('Price History'!E:E,MATCH(9.99E+307,'Returns (Calc)'!$A:$A)+1)-'Price History'!E3)*(ROW()-3)/(MATCH(9.99E+307,'Returns (Calc)'!$A:$A)-3),"")</f>
        <v>113.11721518987342</v>
      </c>
      <c r="AA21" s="131">
        <f>IFERROR('Price History'!F3+(INDEX('Price History'!F:F,MATCH(9.99E+307,'Returns (Calc)'!$A:$A)+1)-'Price History'!F3)*(ROW()-3)/(MATCH(9.99E+307,'Returns (Calc)'!$A:$A)-3),"")</f>
        <v>67.41215189873418</v>
      </c>
      <c r="AB21" s="131">
        <f>IFERROR('Price History'!G3+(INDEX('Price History'!G:G,MATCH(9.99E+307,'Returns (Calc)'!$A:$A)+1)-'Price History'!G3)*(ROW()-3)/(MATCH(9.99E+307,'Returns (Calc)'!$A:$A)-3),"")</f>
        <v>62.86721518987342</v>
      </c>
      <c r="AC21" s="131">
        <f>IFERROR('Price History'!H3+(INDEX('Price History'!H:H,MATCH(9.99E+307,'Returns (Calc)'!$A:$A)+1)-'Price History'!H3)*(ROW()-3)/(MATCH(9.99E+307,'Returns (Calc)'!$A:$A)-3),"")</f>
        <v>183.69253164556963</v>
      </c>
      <c r="AD21" s="131">
        <f>IFERROR('Price History'!I3+(INDEX('Price History'!I:I,MATCH(9.99E+307,'Returns (Calc)'!$A:$A)+1)-'Price History'!I3)*(ROW()-3)/(MATCH(9.99E+307,'Returns (Calc)'!$A:$A)-3),"")</f>
        <v>65.436075949367094</v>
      </c>
      <c r="AE21" s="131">
        <f>IFERROR('Price History'!J3+(INDEX('Price History'!J:J,MATCH(9.99E+307,'Returns (Calc)'!$A:$A)+1)-'Price History'!J3)*(ROW()-3)/(MATCH(9.99E+307,'Returns (Calc)'!$A:$A)-3),"")</f>
        <v>113.7846835443038</v>
      </c>
      <c r="AF21" s="131">
        <f>IFERROR('Price History'!K3+(INDEX('Price History'!K:K,MATCH(9.99E+307,'Returns (Calc)'!$A:$A)+1)-'Price History'!K3)*(ROW()-3)/(MATCH(9.99E+307,'Returns (Calc)'!$A:$A)-3),"")</f>
        <v>35.086708860759494</v>
      </c>
      <c r="AG21" s="131">
        <f>IFERROR('Price History'!L3+(INDEX('Price History'!L:L,MATCH(9.99E+307,'Returns (Calc)'!$A:$A)+1)-'Price History'!L3)*(ROW()-3)/(MATCH(9.99E+307,'Returns (Calc)'!$A:$A)-3),"")</f>
        <v>129.8420253164557</v>
      </c>
      <c r="AH21" s="131">
        <f>IFERROR('Price History'!M3+(INDEX('Price History'!M:M,MATCH(9.99E+307,'Returns (Calc)'!$A:$A)+1)-'Price History'!M3)*(ROW()-3)/(MATCH(9.99E+307,'Returns (Calc)'!$A:$A)-3),"")</f>
        <v>62.417974683544308</v>
      </c>
      <c r="AI21" s="131">
        <f>IFERROR('Price History'!N3+(INDEX('Price History'!N:N,MATCH(9.99E+307,'Returns (Calc)'!$A:$A)+1)-'Price History'!N3)*(ROW()-3)/(MATCH(9.99E+307,'Returns (Calc)'!$A:$A)-3),"")</f>
        <v>366.65278481012655</v>
      </c>
      <c r="AJ21" s="131">
        <f>IFERROR('Price History'!O3+(INDEX('Price History'!O:O,MATCH(9.99E+307,'Returns (Calc)'!$A:$A)+1)-'Price History'!O3)*(ROW()-3)/(MATCH(9.99E+307,'Returns (Calc)'!$A:$A)-3),"")</f>
        <v>80.404683544303793</v>
      </c>
      <c r="AK21" s="131">
        <f>IFERROR('Price History'!Q3+(INDEX('Price History'!Q:Q,MATCH(9.99E+307,'Returns (Calc)'!$A:$A)+1)-'Price History'!Q3)*(ROW()-3)/(MATCH(9.99E+307,'Returns (Calc)'!$A:$A)-3),"")</f>
        <v>7.9086075949367087</v>
      </c>
      <c r="AL21" s="131">
        <f>IFERROR('Price History'!R3+(INDEX('Price History'!R:R,MATCH(9.99E+307,'Returns (Calc)'!$A:$A)+1)-'Price History'!R3)*(ROW()-3)/(MATCH(9.99E+307,'Returns (Calc)'!$A:$A)-3),"")</f>
        <v>37.505822784810121</v>
      </c>
      <c r="AM21" s="131">
        <f>IFERROR('Price History'!S3+(INDEX('Price History'!S:S,MATCH(9.99E+307,'Returns (Calc)'!$A:$A)+1)-'Price History'!S3)*(ROW()-3)/(MATCH(9.99E+307,'Returns (Calc)'!$A:$A)-3),"")</f>
        <v>68.521139240506329</v>
      </c>
      <c r="AN21" s="131">
        <f>IFERROR('Price History'!T3+(INDEX('Price History'!T:T,MATCH(9.99E+307,'Returns (Calc)'!$A:$A)+1)-'Price History'!T3)*(ROW()-3)/(MATCH(9.99E+307,'Returns (Calc)'!$A:$A)-3),"")</f>
        <v>28.268101265822782</v>
      </c>
      <c r="AO21" s="132">
        <f>IFERROR('Price History'!V3+(INDEX('Price History'!V:V,MATCH(9.99E+307,'Returns (Calc)'!$A:$A)+1)-'Price History'!V3)*(ROW()-3)/(MATCH(9.99E+307,'Returns (Calc)'!$A:$A)-3),"")</f>
        <v>249.87392405063292</v>
      </c>
      <c r="AP21" s="130">
        <f>IFERROR(IF(OR(NOT(ISNUMBER('Price History'!W22)),NOT(ISNUMBER('Price History'!W21)),'Price History'!W21=0),"",'Price History'!W22/'Price History'!W21-1),"")</f>
        <v>1.2224468187505888E-2</v>
      </c>
      <c r="AQ21" s="130" t="str">
        <f>IFERROR(IF(OR(NOT(ISNUMBER('Price History'!X22)),NOT(ISNUMBER('Price History'!X21)),'Price History'!X21=0),"",'Price History'!X22/'Price History'!X21-1),"")</f>
        <v/>
      </c>
      <c r="AR21" s="130">
        <f>IFERROR(IF(OR(NOT(ISNUMBER('Price History'!Y22)),NOT(ISNUMBER('Price History'!Y21)),'Price History'!Y21=0),"",'Price History'!Y22/'Price History'!Y21-1),"")</f>
        <v>8.5011185682326573E-3</v>
      </c>
      <c r="AS21" s="130">
        <f>IFERROR(IF(OR(NOT(ISNUMBER('Price History'!Z22)),NOT(ISNUMBER('Price History'!Z21)),'Price History'!Z21=0),"",'Price History'!Z22/'Price History'!Z21-1),"")</f>
        <v>1.067999216147375E-2</v>
      </c>
      <c r="AT21" s="130">
        <f>IFERROR(IF(OR(NOT(ISNUMBER('Price History'!AA22)),NOT(ISNUMBER('Price History'!AA21)),'Price History'!AA21=0),"",'Price History'!AA22/'Price History'!AA21-1),"")</f>
        <v>0.18119693518326785</v>
      </c>
    </row>
    <row r="22" spans="1:46" ht="15" customHeight="1" x14ac:dyDescent="0.2">
      <c r="A22" s="128">
        <f>IF('Price History'!A23="","",'Price History'!A23)</f>
        <v>45324</v>
      </c>
      <c r="B22" s="129">
        <f>IFERROR(IF(OR(NOT(ISNUMBER('Price History'!B23)),NOT(ISNUMBER('Price History'!B22)),'Price History'!B22=0),"",'Price History'!B23/'Price History'!B22-1),"")</f>
        <v>3.3928949554509646E-2</v>
      </c>
      <c r="C22" s="129">
        <f>IFERROR(IF(OR(NOT(ISNUMBER('Price History'!C23)),NOT(ISNUMBER('Price History'!C22)),'Price History'!C22=0),"",'Price History'!C23/'Price History'!C22-1),"")</f>
        <v>3.2980332829046999E-2</v>
      </c>
      <c r="D22" s="129">
        <f>IFERROR(IF(OR(NOT(ISNUMBER('Price History'!D23)),NOT(ISNUMBER('Price History'!D22)),'Price History'!D22=0),"",'Price History'!D23/'Price History'!D22-1),"")</f>
        <v>2.6407890550429469E-2</v>
      </c>
      <c r="E22" s="129">
        <f>IFERROR(IF(OR(NOT(ISNUMBER('Price History'!E23)),NOT(ISNUMBER('Price History'!E22)),'Price History'!E22=0),"",'Price History'!E23/'Price History'!E22-1),"")</f>
        <v>1.6129032258064502E-2</v>
      </c>
      <c r="F22" s="129">
        <f>IFERROR(IF(OR(NOT(ISNUMBER('Price History'!F23)),NOT(ISNUMBER('Price History'!F22)),'Price History'!F22=0),"",'Price History'!F23/'Price History'!F22-1),"")</f>
        <v>4.5604849820887416E-2</v>
      </c>
      <c r="G22" s="129">
        <f>IFERROR(IF(OR(NOT(ISNUMBER('Price History'!G23)),NOT(ISNUMBER('Price History'!G22)),'Price History'!G22=0),"",'Price History'!G23/'Price History'!G22-1),"")</f>
        <v>8.1785653433295025E-3</v>
      </c>
      <c r="H22" s="129">
        <f>IFERROR(IF(OR(NOT(ISNUMBER('Price History'!H23)),NOT(ISNUMBER('Price History'!H22)),'Price History'!H22=0),"",'Price History'!H23/'Price History'!H22-1),"")</f>
        <v>-1.7861231967025493E-2</v>
      </c>
      <c r="I22" s="129">
        <f>IFERROR(IF(OR(NOT(ISNUMBER('Price History'!I23)),NOT(ISNUMBER('Price History'!I22)),'Price History'!I22=0),"",'Price History'!I23/'Price History'!I22-1),"")</f>
        <v>8.4141331142152831E-2</v>
      </c>
      <c r="J22" s="129">
        <f>IFERROR(IF(OR(NOT(ISNUMBER('Price History'!J23)),NOT(ISNUMBER('Price History'!J22)),'Price History'!J22=0),"",'Price History'!J23/'Price History'!J22-1),"")</f>
        <v>1.8718192012421087E-2</v>
      </c>
      <c r="K22" s="129">
        <f>IFERROR(IF(OR(NOT(ISNUMBER('Price History'!K23)),NOT(ISNUMBER('Price History'!K22)),'Price History'!K22=0),"",'Price History'!K23/'Price History'!K22-1),"")</f>
        <v>4.0978593272171127E-2</v>
      </c>
      <c r="L22" s="129">
        <f>IFERROR(IF(OR(NOT(ISNUMBER('Price History'!L23)),NOT(ISNUMBER('Price History'!L22)),'Price History'!L22=0),"",'Price History'!L23/'Price History'!L22-1),"")</f>
        <v>-1.2897526501766898E-2</v>
      </c>
      <c r="M22" s="129">
        <f>IFERROR(IF(OR(NOT(ISNUMBER('Price History'!M23)),NOT(ISNUMBER('Price History'!M22)),'Price History'!M22=0),"",'Price History'!M23/'Price History'!M22-1),"")</f>
        <v>0.14996246246246248</v>
      </c>
      <c r="N22" s="129">
        <f>IFERROR(IF(OR(NOT(ISNUMBER('Price History'!N23)),NOT(ISNUMBER('Price History'!N22)),'Price History'!N22=0),"",'Price History'!N23/'Price History'!N22-1),"")</f>
        <v>-1.2762396261942976E-2</v>
      </c>
      <c r="O22" s="129">
        <f>IFERROR(IF(OR(NOT(ISNUMBER('Price History'!O23)),NOT(ISNUMBER('Price History'!O22)),'Price History'!O22=0),"",'Price History'!O23/'Price History'!O22-1),"")</f>
        <v>-1.869268751469555E-2</v>
      </c>
      <c r="P22" s="129">
        <f>IFERROR(IF(OR(NOT(ISNUMBER('Price History'!P23)),NOT(ISNUMBER('Price History'!P22)),'Price History'!P22=0),"",'Price History'!P23/'Price History'!P22-1),"")</f>
        <v>-1.2858088304812276E-2</v>
      </c>
      <c r="Q22" s="129">
        <f>IFERROR(IF(OR(NOT(ISNUMBER('Price History'!Q23)),NOT(ISNUMBER('Price History'!Q22)),'Price History'!Q22=0),"",'Price History'!Q23/'Price History'!Q22-1),"")</f>
        <v>1.41750141750141E-2</v>
      </c>
      <c r="R22" s="129">
        <f>IFERROR(IF(OR(NOT(ISNUMBER('Price History'!R23)),NOT(ISNUMBER('Price History'!R22)),'Price History'!R22=0),"",'Price History'!R23/'Price History'!R22-1),"")</f>
        <v>9.650495565988404E-3</v>
      </c>
      <c r="S22" s="129">
        <f>IFERROR(IF(OR(NOT(ISNUMBER('Price History'!S23)),NOT(ISNUMBER('Price History'!S22)),'Price History'!S22=0),"",'Price History'!S23/'Price History'!S22-1),"")</f>
        <v>4.5708406819517933E-2</v>
      </c>
      <c r="T22" s="129">
        <f>IFERROR(IF(OR(NOT(ISNUMBER('Price History'!T23)),NOT(ISNUMBER('Price History'!T22)),'Price History'!T22=0),"",'Price History'!T23/'Price History'!T22-1),"")</f>
        <v>9.5412844036697475E-3</v>
      </c>
      <c r="U22" s="129">
        <f>IFERROR(IF(OR(NOT(ISNUMBER('Price History'!U23)),NOT(ISNUMBER('Price History'!U22)),'Price History'!U22=0),"",'Price History'!U23/'Price History'!U22-1),"")</f>
        <v>-4.3010752688177334E-4</v>
      </c>
      <c r="V22" s="130">
        <f>IFERROR(IF(OR(NOT(ISNUMBER('Price History'!V23)),NOT(ISNUMBER('Price History'!V22)),'Price History'!V22=0),"",'Price History'!V23/'Price History'!V22-1),"")</f>
        <v>3.4481444791587323E-2</v>
      </c>
      <c r="W22" s="131">
        <f>IFERROR('Price History'!B3+(INDEX('Price History'!B:B,MATCH(9.99E+307,'Returns (Calc)'!$A:$A)+1)-'Price History'!B3)*(ROW()-3)/(MATCH(9.99E+307,'Returns (Calc)'!$A:$A)-3),"")</f>
        <v>493.87227848101264</v>
      </c>
      <c r="X22" s="131">
        <f>IFERROR('Price History'!C3+(INDEX('Price History'!C:C,MATCH(9.99E+307,'Returns (Calc)'!$A:$A)+1)-'Price History'!C3)*(ROW()-3)/(MATCH(9.99E+307,'Returns (Calc)'!$A:$A)-3),"")</f>
        <v>65.561202531645563</v>
      </c>
      <c r="Y22" s="131">
        <f>IFERROR('Price History'!D3+(INDEX('Price History'!D:D,MATCH(9.99E+307,'Returns (Calc)'!$A:$A)+1)-'Price History'!D3)*(ROW()-3)/(MATCH(9.99E+307,'Returns (Calc)'!$A:$A)-3),"")</f>
        <v>736.57139240506331</v>
      </c>
      <c r="Z22" s="131">
        <f>IFERROR('Price History'!E3+(INDEX('Price History'!E:E,MATCH(9.99E+307,'Returns (Calc)'!$A:$A)+1)-'Price History'!E3)*(ROW()-3)/(MATCH(9.99E+307,'Returns (Calc)'!$A:$A)-3),"")</f>
        <v>114.84594936708861</v>
      </c>
      <c r="AA22" s="131">
        <f>IFERROR('Price History'!F3+(INDEX('Price History'!F:F,MATCH(9.99E+307,'Returns (Calc)'!$A:$A)+1)-'Price History'!F3)*(ROW()-3)/(MATCH(9.99E+307,'Returns (Calc)'!$A:$A)-3),"")</f>
        <v>68.859493670886081</v>
      </c>
      <c r="AB22" s="131">
        <f>IFERROR('Price History'!G3+(INDEX('Price History'!G:G,MATCH(9.99E+307,'Returns (Calc)'!$A:$A)+1)-'Price History'!G3)*(ROW()-3)/(MATCH(9.99E+307,'Returns (Calc)'!$A:$A)-3),"")</f>
        <v>63.895949367088605</v>
      </c>
      <c r="AC22" s="131">
        <f>IFERROR('Price History'!H3+(INDEX('Price History'!H:H,MATCH(9.99E+307,'Returns (Calc)'!$A:$A)+1)-'Price History'!H3)*(ROW()-3)/(MATCH(9.99E+307,'Returns (Calc)'!$A:$A)-3),"")</f>
        <v>190.0582278481013</v>
      </c>
      <c r="AD22" s="131">
        <f>IFERROR('Price History'!I3+(INDEX('Price History'!I:I,MATCH(9.99E+307,'Returns (Calc)'!$A:$A)+1)-'Price History'!I3)*(ROW()-3)/(MATCH(9.99E+307,'Returns (Calc)'!$A:$A)-3),"")</f>
        <v>66.639746835443034</v>
      </c>
      <c r="AE22" s="131">
        <f>IFERROR('Price History'!J3+(INDEX('Price History'!J:J,MATCH(9.99E+307,'Returns (Calc)'!$A:$A)+1)-'Price History'!J3)*(ROW()-3)/(MATCH(9.99E+307,'Returns (Calc)'!$A:$A)-3),"")</f>
        <v>113.89272151898734</v>
      </c>
      <c r="AF22" s="131">
        <f>IFERROR('Price History'!K3+(INDEX('Price History'!K:K,MATCH(9.99E+307,'Returns (Calc)'!$A:$A)+1)-'Price History'!K3)*(ROW()-3)/(MATCH(9.99E+307,'Returns (Calc)'!$A:$A)-3),"")</f>
        <v>36.184303797468353</v>
      </c>
      <c r="AG22" s="131">
        <f>IFERROR('Price History'!L3+(INDEX('Price History'!L:L,MATCH(9.99E+307,'Returns (Calc)'!$A:$A)+1)-'Price History'!L3)*(ROW()-3)/(MATCH(9.99E+307,'Returns (Calc)'!$A:$A)-3),"")</f>
        <v>132.291582278481</v>
      </c>
      <c r="AH22" s="131">
        <f>IFERROR('Price History'!M3+(INDEX('Price History'!M:M,MATCH(9.99E+307,'Returns (Calc)'!$A:$A)+1)-'Price History'!M3)*(ROW()-3)/(MATCH(9.99E+307,'Returns (Calc)'!$A:$A)-3),"")</f>
        <v>63.773417721518989</v>
      </c>
      <c r="AI22" s="131">
        <f>IFERROR('Price History'!N3+(INDEX('Price History'!N:N,MATCH(9.99E+307,'Returns (Calc)'!$A:$A)+1)-'Price History'!N3)*(ROW()-3)/(MATCH(9.99E+307,'Returns (Calc)'!$A:$A)-3),"")</f>
        <v>367.63905063291139</v>
      </c>
      <c r="AJ22" s="131">
        <f>IFERROR('Price History'!O3+(INDEX('Price History'!O:O,MATCH(9.99E+307,'Returns (Calc)'!$A:$A)+1)-'Price History'!O3)*(ROW()-3)/(MATCH(9.99E+307,'Returns (Calc)'!$A:$A)-3),"")</f>
        <v>80.687721518987345</v>
      </c>
      <c r="AK22" s="131">
        <f>IFERROR('Price History'!Q3+(INDEX('Price History'!Q:Q,MATCH(9.99E+307,'Returns (Calc)'!$A:$A)+1)-'Price History'!Q3)*(ROW()-3)/(MATCH(9.99E+307,'Returns (Calc)'!$A:$A)-3),"")</f>
        <v>8.3479746835443045</v>
      </c>
      <c r="AL22" s="131">
        <f>IFERROR('Price History'!R3+(INDEX('Price History'!R:R,MATCH(9.99E+307,'Returns (Calc)'!$A:$A)+1)-'Price History'!R3)*(ROW()-3)/(MATCH(9.99E+307,'Returns (Calc)'!$A:$A)-3),"")</f>
        <v>37.673924050632905</v>
      </c>
      <c r="AM22" s="131">
        <f>IFERROR('Price History'!S3+(INDEX('Price History'!S:S,MATCH(9.99E+307,'Returns (Calc)'!$A:$A)+1)-'Price History'!S3)*(ROW()-3)/(MATCH(9.99E+307,'Returns (Calc)'!$A:$A)-3),"")</f>
        <v>69.126202531645575</v>
      </c>
      <c r="AN22" s="131">
        <f>IFERROR('Price History'!T3+(INDEX('Price History'!T:T,MATCH(9.99E+307,'Returns (Calc)'!$A:$A)+1)-'Price History'!T3)*(ROW()-3)/(MATCH(9.99E+307,'Returns (Calc)'!$A:$A)-3),"")</f>
        <v>28.436329113924049</v>
      </c>
      <c r="AO22" s="132">
        <f>IFERROR('Price History'!V3+(INDEX('Price History'!V:V,MATCH(9.99E+307,'Returns (Calc)'!$A:$A)+1)-'Price History'!V3)*(ROW()-3)/(MATCH(9.99E+307,'Returns (Calc)'!$A:$A)-3),"")</f>
        <v>250.66525316455696</v>
      </c>
      <c r="AP22" s="130">
        <f>IFERROR(IF(OR(NOT(ISNUMBER('Price History'!W23)),NOT(ISNUMBER('Price History'!W22)),'Price History'!W22=0),"",'Price History'!W23/'Price History'!W22-1),"")</f>
        <v>1.2362114872574992E-3</v>
      </c>
      <c r="AQ22" s="130" t="str">
        <f>IFERROR(IF(OR(NOT(ISNUMBER('Price History'!X23)),NOT(ISNUMBER('Price History'!X22)),'Price History'!X22=0),"",'Price History'!X23/'Price History'!X22-1),"")</f>
        <v/>
      </c>
      <c r="AR22" s="130">
        <f>IFERROR(IF(OR(NOT(ISNUMBER('Price History'!Y23)),NOT(ISNUMBER('Price History'!Y22)),'Price History'!Y22=0),"",'Price History'!Y23/'Price History'!Y22-1),"")</f>
        <v>9.9822537710736459E-3</v>
      </c>
      <c r="AS22" s="130">
        <f>IFERROR(IF(OR(NOT(ISNUMBER('Price History'!Z23)),NOT(ISNUMBER('Price History'!Z22)),'Price History'!Z22=0),"",'Price History'!Z23/'Price History'!Z22-1),"")</f>
        <v>4.0717401841977585E-2</v>
      </c>
      <c r="AT22" s="130">
        <f>IFERROR(IF(OR(NOT(ISNUMBER('Price History'!AA23)),NOT(ISNUMBER('Price History'!AA22)),'Price History'!AA22=0),"",'Price History'!AA23/'Price History'!AA22-1),"")</f>
        <v>-1.0168302945301466E-2</v>
      </c>
    </row>
    <row r="23" spans="1:46" ht="15" customHeight="1" x14ac:dyDescent="0.2">
      <c r="A23" s="128">
        <f>IF('Price History'!A24="","",'Price History'!A24)</f>
        <v>45331</v>
      </c>
      <c r="B23" s="129">
        <f>IFERROR(IF(OR(NOT(ISNUMBER('Price History'!B24)),NOT(ISNUMBER('Price History'!B23)),'Price History'!B23=0),"",'Price History'!B24/'Price History'!B23-1),"")</f>
        <v>-1.1894259247589578E-2</v>
      </c>
      <c r="C23" s="129">
        <f>IFERROR(IF(OR(NOT(ISNUMBER('Price History'!C24)),NOT(ISNUMBER('Price History'!C23)),'Price History'!C23=0),"",'Price History'!C24/'Price History'!C23-1),"")</f>
        <v>3.4124194493263094E-2</v>
      </c>
      <c r="D23" s="129">
        <f>IFERROR(IF(OR(NOT(ISNUMBER('Price History'!D24)),NOT(ISNUMBER('Price History'!D23)),'Price History'!D23=0),"",'Price History'!D24/'Price History'!D23-1),"")</f>
        <v>6.8046657941264188E-2</v>
      </c>
      <c r="E23" s="129">
        <f>IFERROR(IF(OR(NOT(ISNUMBER('Price History'!E24)),NOT(ISNUMBER('Price History'!E23)),'Price History'!E23=0),"",'Price History'!E24/'Price History'!E23-1),"")</f>
        <v>4.8290921306794354E-2</v>
      </c>
      <c r="F23" s="129">
        <f>IFERROR(IF(OR(NOT(ISNUMBER('Price History'!F24)),NOT(ISNUMBER('Price History'!F23)),'Price History'!F23=0),"",'Price History'!F24/'Price History'!F23-1),"")</f>
        <v>8.485966530504685E-2</v>
      </c>
      <c r="G23" s="129">
        <f>IFERROR(IF(OR(NOT(ISNUMBER('Price History'!G24)),NOT(ISNUMBER('Price History'!G23)),'Price History'!G23=0),"",'Price History'!G24/'Price History'!G23-1),"")</f>
        <v>7.5376035152949106E-2</v>
      </c>
      <c r="H23" s="129">
        <f>IFERROR(IF(OR(NOT(ISNUMBER('Price History'!H24)),NOT(ISNUMBER('Price History'!H23)),'Price History'!H23=0),"",'Price History'!H24/'Price History'!H23-1),"")</f>
        <v>-1.0608533457682423E-2</v>
      </c>
      <c r="I23" s="129">
        <f>IFERROR(IF(OR(NOT(ISNUMBER('Price History'!I24)),NOT(ISNUMBER('Price History'!I23)),'Price History'!I23=0),"",'Price History'!I24/'Price History'!I23-1),"")</f>
        <v>9.0192511747764215E-2</v>
      </c>
      <c r="J23" s="129">
        <f>IFERROR(IF(OR(NOT(ISNUMBER('Price History'!J24)),NOT(ISNUMBER('Price History'!J23)),'Price History'!J23=0),"",'Price History'!J24/'Price History'!J23-1),"")</f>
        <v>2.4978831498729814E-2</v>
      </c>
      <c r="K23" s="129">
        <f>IFERROR(IF(OR(NOT(ISNUMBER('Price History'!K24)),NOT(ISNUMBER('Price History'!K23)),'Price History'!K23=0),"",'Price History'!K24/'Price History'!K23-1),"")</f>
        <v>0.43243243243243246</v>
      </c>
      <c r="L23" s="129">
        <f>IFERROR(IF(OR(NOT(ISNUMBER('Price History'!L24)),NOT(ISNUMBER('Price History'!L23)),'Price History'!L23=0),"",'Price History'!L24/'Price History'!L23-1),"")</f>
        <v>0.14999105065330243</v>
      </c>
      <c r="M23" s="129">
        <f>IFERROR(IF(OR(NOT(ISNUMBER('Price History'!M24)),NOT(ISNUMBER('Price History'!M23)),'Price History'!M23=0),"",'Price History'!M24/'Price History'!M23-1),"")</f>
        <v>3.3295250530439136E-2</v>
      </c>
      <c r="N23" s="129">
        <f>IFERROR(IF(OR(NOT(ISNUMBER('Price History'!N24)),NOT(ISNUMBER('Price History'!N23)),'Price History'!N23=0),"",'Price History'!N24/'Price History'!N23-1),"")</f>
        <v>-4.1678440237354897E-3</v>
      </c>
      <c r="O23" s="129">
        <f>IFERROR(IF(OR(NOT(ISNUMBER('Price History'!O24)),NOT(ISNUMBER('Price History'!O23)),'Price History'!O23=0),"",'Price History'!O24/'Price History'!O23-1),"")</f>
        <v>8.9852641667664823E-3</v>
      </c>
      <c r="P23" s="129">
        <f>IFERROR(IF(OR(NOT(ISNUMBER('Price History'!P24)),NOT(ISNUMBER('Price History'!P23)),'Price History'!P23=0),"",'Price History'!P24/'Price History'!P23-1),"")</f>
        <v>-8.9071927976246412E-3</v>
      </c>
      <c r="Q23" s="129">
        <f>IFERROR(IF(OR(NOT(ISNUMBER('Price History'!Q24)),NOT(ISNUMBER('Price History'!Q23)),'Price History'!Q23=0),"",'Price History'!Q24/'Price History'!Q23-1),"")</f>
        <v>4.2862467387254632E-3</v>
      </c>
      <c r="R23" s="129">
        <f>IFERROR(IF(OR(NOT(ISNUMBER('Price History'!R24)),NOT(ISNUMBER('Price History'!R23)),'Price History'!R23=0),"",'Price History'!R24/'Price History'!R23-1),"")</f>
        <v>1.0591578403513324E-2</v>
      </c>
      <c r="S23" s="129">
        <f>IFERROR(IF(OR(NOT(ISNUMBER('Price History'!S24)),NOT(ISNUMBER('Price History'!S23)),'Price History'!S23=0),"",'Price History'!S24/'Price History'!S23-1),"")</f>
        <v>2.3893183415319541E-2</v>
      </c>
      <c r="T23" s="129">
        <f>IFERROR(IF(OR(NOT(ISNUMBER('Price History'!T24)),NOT(ISNUMBER('Price History'!T23)),'Price History'!T23=0),"",'Price History'!T24/'Price History'!T23-1),"")</f>
        <v>5.0890585241729624E-3</v>
      </c>
      <c r="U23" s="129">
        <f>IFERROR(IF(OR(NOT(ISNUMBER('Price History'!U24)),NOT(ISNUMBER('Price History'!U23)),'Price History'!U23=0),"",'Price History'!U24/'Price History'!U23-1),"")</f>
        <v>-2.5817555938036918E-3</v>
      </c>
      <c r="V23" s="130">
        <f>IFERROR(IF(OR(NOT(ISNUMBER('Price History'!V24)),NOT(ISNUMBER('Price History'!V23)),'Price History'!V23=0),"",'Price History'!V24/'Price History'!V23-1),"")</f>
        <v>-8.4711428676664813E-4</v>
      </c>
      <c r="W23" s="131">
        <f>IFERROR('Price History'!B3+(INDEX('Price History'!B:B,MATCH(9.99E+307,'Returns (Calc)'!$A:$A)+1)-'Price History'!B3)*(ROW()-3)/(MATCH(9.99E+307,'Returns (Calc)'!$A:$A)-3),"")</f>
        <v>492.02924050632907</v>
      </c>
      <c r="X23" s="131">
        <f>IFERROR('Price History'!C3+(INDEX('Price History'!C:C,MATCH(9.99E+307,'Returns (Calc)'!$A:$A)+1)-'Price History'!C3)*(ROW()-3)/(MATCH(9.99E+307,'Returns (Calc)'!$A:$A)-3),"")</f>
        <v>66.581265822784815</v>
      </c>
      <c r="Y23" s="131">
        <f>IFERROR('Price History'!D3+(INDEX('Price History'!D:D,MATCH(9.99E+307,'Returns (Calc)'!$A:$A)+1)-'Price History'!D3)*(ROW()-3)/(MATCH(9.99E+307,'Returns (Calc)'!$A:$A)-3),"")</f>
        <v>744.70620253164554</v>
      </c>
      <c r="Z23" s="131">
        <f>IFERROR('Price History'!E3+(INDEX('Price History'!E:E,MATCH(9.99E+307,'Returns (Calc)'!$A:$A)+1)-'Price History'!E3)*(ROW()-3)/(MATCH(9.99E+307,'Returns (Calc)'!$A:$A)-3),"")</f>
        <v>116.5746835443038</v>
      </c>
      <c r="AA23" s="131">
        <f>IFERROR('Price History'!F3+(INDEX('Price History'!F:F,MATCH(9.99E+307,'Returns (Calc)'!$A:$A)+1)-'Price History'!F3)*(ROW()-3)/(MATCH(9.99E+307,'Returns (Calc)'!$A:$A)-3),"")</f>
        <v>70.306835443037983</v>
      </c>
      <c r="AB23" s="131">
        <f>IFERROR('Price History'!G3+(INDEX('Price History'!G:G,MATCH(9.99E+307,'Returns (Calc)'!$A:$A)+1)-'Price History'!G3)*(ROW()-3)/(MATCH(9.99E+307,'Returns (Calc)'!$A:$A)-3),"")</f>
        <v>64.924683544303804</v>
      </c>
      <c r="AC23" s="131">
        <f>IFERROR('Price History'!H3+(INDEX('Price History'!H:H,MATCH(9.99E+307,'Returns (Calc)'!$A:$A)+1)-'Price History'!H3)*(ROW()-3)/(MATCH(9.99E+307,'Returns (Calc)'!$A:$A)-3),"")</f>
        <v>196.42392405063293</v>
      </c>
      <c r="AD23" s="131">
        <f>IFERROR('Price History'!I3+(INDEX('Price History'!I:I,MATCH(9.99E+307,'Returns (Calc)'!$A:$A)+1)-'Price History'!I3)*(ROW()-3)/(MATCH(9.99E+307,'Returns (Calc)'!$A:$A)-3),"")</f>
        <v>67.843417721518989</v>
      </c>
      <c r="AE23" s="131">
        <f>IFERROR('Price History'!J3+(INDEX('Price History'!J:J,MATCH(9.99E+307,'Returns (Calc)'!$A:$A)+1)-'Price History'!J3)*(ROW()-3)/(MATCH(9.99E+307,'Returns (Calc)'!$A:$A)-3),"")</f>
        <v>114.00075949367088</v>
      </c>
      <c r="AF23" s="131">
        <f>IFERROR('Price History'!K3+(INDEX('Price History'!K:K,MATCH(9.99E+307,'Returns (Calc)'!$A:$A)+1)-'Price History'!K3)*(ROW()-3)/(MATCH(9.99E+307,'Returns (Calc)'!$A:$A)-3),"")</f>
        <v>37.281898734177211</v>
      </c>
      <c r="AG23" s="131">
        <f>IFERROR('Price History'!L3+(INDEX('Price History'!L:L,MATCH(9.99E+307,'Returns (Calc)'!$A:$A)+1)-'Price History'!L3)*(ROW()-3)/(MATCH(9.99E+307,'Returns (Calc)'!$A:$A)-3),"")</f>
        <v>134.74113924050633</v>
      </c>
      <c r="AH23" s="131">
        <f>IFERROR('Price History'!M3+(INDEX('Price History'!M:M,MATCH(9.99E+307,'Returns (Calc)'!$A:$A)+1)-'Price History'!M3)*(ROW()-3)/(MATCH(9.99E+307,'Returns (Calc)'!$A:$A)-3),"")</f>
        <v>65.128860759493676</v>
      </c>
      <c r="AI23" s="131">
        <f>IFERROR('Price History'!N3+(INDEX('Price History'!N:N,MATCH(9.99E+307,'Returns (Calc)'!$A:$A)+1)-'Price History'!N3)*(ROW()-3)/(MATCH(9.99E+307,'Returns (Calc)'!$A:$A)-3),"")</f>
        <v>368.62531645569618</v>
      </c>
      <c r="AJ23" s="131">
        <f>IFERROR('Price History'!O3+(INDEX('Price History'!O:O,MATCH(9.99E+307,'Returns (Calc)'!$A:$A)+1)-'Price History'!O3)*(ROW()-3)/(MATCH(9.99E+307,'Returns (Calc)'!$A:$A)-3),"")</f>
        <v>80.970759493670883</v>
      </c>
      <c r="AK23" s="131">
        <f>IFERROR('Price History'!Q3+(INDEX('Price History'!Q:Q,MATCH(9.99E+307,'Returns (Calc)'!$A:$A)+1)-'Price History'!Q3)*(ROW()-3)/(MATCH(9.99E+307,'Returns (Calc)'!$A:$A)-3),"")</f>
        <v>8.7873417721518994</v>
      </c>
      <c r="AL23" s="131">
        <f>IFERROR('Price History'!R3+(INDEX('Price History'!R:R,MATCH(9.99E+307,'Returns (Calc)'!$A:$A)+1)-'Price History'!R3)*(ROW()-3)/(MATCH(9.99E+307,'Returns (Calc)'!$A:$A)-3),"")</f>
        <v>37.84202531645569</v>
      </c>
      <c r="AM23" s="131">
        <f>IFERROR('Price History'!S3+(INDEX('Price History'!S:S,MATCH(9.99E+307,'Returns (Calc)'!$A:$A)+1)-'Price History'!S3)*(ROW()-3)/(MATCH(9.99E+307,'Returns (Calc)'!$A:$A)-3),"")</f>
        <v>69.73126582278482</v>
      </c>
      <c r="AN23" s="131">
        <f>IFERROR('Price History'!T3+(INDEX('Price History'!T:T,MATCH(9.99E+307,'Returns (Calc)'!$A:$A)+1)-'Price History'!T3)*(ROW()-3)/(MATCH(9.99E+307,'Returns (Calc)'!$A:$A)-3),"")</f>
        <v>28.604556962025313</v>
      </c>
      <c r="AO23" s="132">
        <f>IFERROR('Price History'!V3+(INDEX('Price History'!V:V,MATCH(9.99E+307,'Returns (Calc)'!$A:$A)+1)-'Price History'!V3)*(ROW()-3)/(MATCH(9.99E+307,'Returns (Calc)'!$A:$A)-3),"")</f>
        <v>251.45658227848102</v>
      </c>
      <c r="AP23" s="130">
        <f>IFERROR(IF(OR(NOT(ISNUMBER('Price History'!W24)),NOT(ISNUMBER('Price History'!W23)),'Price History'!W23=0),"",'Price History'!W24/'Price History'!W23-1),"")</f>
        <v>-2.184442967043454E-3</v>
      </c>
      <c r="AQ23" s="130" t="str">
        <f>IFERROR(IF(OR(NOT(ISNUMBER('Price History'!X24)),NOT(ISNUMBER('Price History'!X23)),'Price History'!X23=0),"",'Price History'!X24/'Price History'!X23-1),"")</f>
        <v/>
      </c>
      <c r="AR23" s="130">
        <f>IFERROR(IF(OR(NOT(ISNUMBER('Price History'!Y24)),NOT(ISNUMBER('Price History'!Y23)),'Price History'!Y23=0),"",'Price History'!Y24/'Price History'!Y23-1),"")</f>
        <v>-6.5890621568198693E-4</v>
      </c>
      <c r="AS23" s="130">
        <f>IFERROR(IF(OR(NOT(ISNUMBER('Price History'!Z24)),NOT(ISNUMBER('Price History'!Z23)),'Price History'!Z23=0),"",'Price History'!Z24/'Price History'!Z23-1),"")</f>
        <v>2.012109920819749E-2</v>
      </c>
      <c r="AT23" s="130">
        <f>IFERROR(IF(OR(NOT(ISNUMBER('Price History'!AA24)),NOT(ISNUMBER('Price History'!AA23)),'Price History'!AA23=0),"",'Price History'!AA24/'Price History'!AA23-1),"")</f>
        <v>-5.8448459086077875E-3</v>
      </c>
    </row>
    <row r="24" spans="1:46" ht="15" customHeight="1" x14ac:dyDescent="0.2">
      <c r="A24" s="128">
        <f>IF('Price History'!A25="","",'Price History'!A25)</f>
        <v>45338</v>
      </c>
      <c r="B24" s="129">
        <f>IFERROR(IF(OR(NOT(ISNUMBER('Price History'!B25)),NOT(ISNUMBER('Price History'!B24)),'Price History'!B24=0),"",'Price History'!B25/'Price History'!B24-1),"")</f>
        <v>-0.12842588606686767</v>
      </c>
      <c r="C24" s="129">
        <f>IFERROR(IF(OR(NOT(ISNUMBER('Price History'!C25)),NOT(ISNUMBER('Price History'!C24)),'Price History'!C24=0),"",'Price History'!C25/'Price History'!C24-1),"")</f>
        <v>-7.3219090780342722E-2</v>
      </c>
      <c r="D24" s="129">
        <f>IFERROR(IF(OR(NOT(ISNUMBER('Price History'!D25)),NOT(ISNUMBER('Price History'!D24)),'Price History'!D24=0),"",'Price History'!D25/'Price History'!D24-1),"")</f>
        <v>-2.1756656526459528E-2</v>
      </c>
      <c r="E24" s="129">
        <f>IFERROR(IF(OR(NOT(ISNUMBER('Price History'!E25)),NOT(ISNUMBER('Price History'!E24)),'Price History'!E24=0),"",'Price History'!E25/'Price History'!E24-1),"")</f>
        <v>-2.9642685467072494E-2</v>
      </c>
      <c r="F24" s="129">
        <f>IFERROR(IF(OR(NOT(ISNUMBER('Price History'!F25)),NOT(ISNUMBER('Price History'!F24)),'Price History'!F24=0),"",'Price History'!F25/'Price History'!F24-1),"")</f>
        <v>-2.4292481476972938E-4</v>
      </c>
      <c r="G24" s="129">
        <f>IFERROR(IF(OR(NOT(ISNUMBER('Price History'!G25)),NOT(ISNUMBER('Price History'!G24)),'Price History'!G24=0),"",'Price History'!G25/'Price History'!G24-1),"")</f>
        <v>1.9959138771020069E-2</v>
      </c>
      <c r="H24" s="129">
        <f>IFERROR(IF(OR(NOT(ISNUMBER('Price History'!H25)),NOT(ISNUMBER('Price History'!H24)),'Price History'!H24=0),"",'Price History'!H25/'Price History'!H24-1),"")</f>
        <v>-7.0814186402733625E-2</v>
      </c>
      <c r="I24" s="129">
        <f>IFERROR(IF(OR(NOT(ISNUMBER('Price History'!I25)),NOT(ISNUMBER('Price History'!I24)),'Price History'!I24=0),"",'Price History'!I25/'Price History'!I24-1),"")</f>
        <v>6.6740823136819394E-3</v>
      </c>
      <c r="J24" s="129">
        <f>IFERROR(IF(OR(NOT(ISNUMBER('Price History'!J25)),NOT(ISNUMBER('Price History'!J24)),'Price History'!J24=0),"",'Price History'!J25/'Price History'!J24-1),"")</f>
        <v>6.8566707971913221E-3</v>
      </c>
      <c r="K24" s="129">
        <f>IFERROR(IF(OR(NOT(ISNUMBER('Price History'!K25)),NOT(ISNUMBER('Price History'!K24)),'Price History'!K24=0),"",'Price History'!K25/'Price History'!K24-1),"")</f>
        <v>2.4610336341264194E-3</v>
      </c>
      <c r="L24" s="129">
        <f>IFERROR(IF(OR(NOT(ISNUMBER('Price History'!L25)),NOT(ISNUMBER('Price History'!L24)),'Price History'!L24=0),"",'Price History'!L25/'Price History'!L24-1),"")</f>
        <v>-4.8249027237354136E-2</v>
      </c>
      <c r="M24" s="129">
        <f>IFERROR(IF(OR(NOT(ISNUMBER('Price History'!M25)),NOT(ISNUMBER('Price History'!M24)),'Price History'!M24=0),"",'Price History'!M25/'Price History'!M24-1),"")</f>
        <v>-8.6874111514769758E-3</v>
      </c>
      <c r="N24" s="129">
        <f>IFERROR(IF(OR(NOT(ISNUMBER('Price History'!N25)),NOT(ISNUMBER('Price History'!N24)),'Price History'!N24=0),"",'Price History'!N25/'Price History'!N24-1),"")</f>
        <v>-1.6788441985293723E-3</v>
      </c>
      <c r="O24" s="129">
        <f>IFERROR(IF(OR(NOT(ISNUMBER('Price History'!O25)),NOT(ISNUMBER('Price History'!O24)),'Price History'!O24=0),"",'Price History'!O25/'Price History'!O24-1),"")</f>
        <v>7.1241985276655484E-3</v>
      </c>
      <c r="P24" s="129">
        <f>IFERROR(IF(OR(NOT(ISNUMBER('Price History'!P25)),NOT(ISNUMBER('Price History'!P24)),'Price History'!P24=0),"",'Price History'!P25/'Price History'!P24-1),"")</f>
        <v>1.1693080788558019E-2</v>
      </c>
      <c r="Q24" s="129">
        <f>IFERROR(IF(OR(NOT(ISNUMBER('Price History'!Q25)),NOT(ISNUMBER('Price History'!Q24)),'Price History'!Q24=0),"",'Price History'!Q25/'Price History'!Q24-1),"")</f>
        <v>-5.5668955279272181E-3</v>
      </c>
      <c r="R24" s="129">
        <f>IFERROR(IF(OR(NOT(ISNUMBER('Price History'!R25)),NOT(ISNUMBER('Price History'!R24)),'Price History'!R24=0),"",'Price History'!R25/'Price History'!R24-1),"")</f>
        <v>-3.323108384457929E-3</v>
      </c>
      <c r="S24" s="129">
        <f>IFERROR(IF(OR(NOT(ISNUMBER('Price History'!S25)),NOT(ISNUMBER('Price History'!S24)),'Price History'!S24=0),"",'Price History'!S25/'Price History'!S24-1),"")</f>
        <v>8.3733699382291249E-3</v>
      </c>
      <c r="T24" s="129">
        <f>IFERROR(IF(OR(NOT(ISNUMBER('Price History'!T25)),NOT(ISNUMBER('Price History'!T24)),'Price History'!T24=0),"",'Price History'!T25/'Price History'!T24-1),"")</f>
        <v>8.3182640144665587E-3</v>
      </c>
      <c r="U24" s="129">
        <f>IFERROR(IF(OR(NOT(ISNUMBER('Price History'!U25)),NOT(ISNUMBER('Price History'!U24)),'Price History'!U24=0),"",'Price History'!U25/'Price History'!U24-1),"")</f>
        <v>2.5884383088869978E-3</v>
      </c>
      <c r="V24" s="130">
        <f>IFERROR(IF(OR(NOT(ISNUMBER('Price History'!V25)),NOT(ISNUMBER('Price History'!V24)),'Price History'!V24=0),"",'Price History'!V25/'Price History'!V24-1),"")</f>
        <v>7.7042170451195879E-3</v>
      </c>
      <c r="W24" s="131">
        <f>IFERROR('Price History'!B3+(INDEX('Price History'!B:B,MATCH(9.99E+307,'Returns (Calc)'!$A:$A)+1)-'Price History'!B3)*(ROW()-3)/(MATCH(9.99E+307,'Returns (Calc)'!$A:$A)-3),"")</f>
        <v>490.18620253164556</v>
      </c>
      <c r="X24" s="131">
        <f>IFERROR('Price History'!C3+(INDEX('Price History'!C:C,MATCH(9.99E+307,'Returns (Calc)'!$A:$A)+1)-'Price History'!C3)*(ROW()-3)/(MATCH(9.99E+307,'Returns (Calc)'!$A:$A)-3),"")</f>
        <v>67.601329113924052</v>
      </c>
      <c r="Y24" s="131">
        <f>IFERROR('Price History'!D3+(INDEX('Price History'!D:D,MATCH(9.99E+307,'Returns (Calc)'!$A:$A)+1)-'Price History'!D3)*(ROW()-3)/(MATCH(9.99E+307,'Returns (Calc)'!$A:$A)-3),"")</f>
        <v>752.84101265822778</v>
      </c>
      <c r="Z24" s="131">
        <f>IFERROR('Price History'!E3+(INDEX('Price History'!E:E,MATCH(9.99E+307,'Returns (Calc)'!$A:$A)+1)-'Price History'!E3)*(ROW()-3)/(MATCH(9.99E+307,'Returns (Calc)'!$A:$A)-3),"")</f>
        <v>118.30341772151898</v>
      </c>
      <c r="AA24" s="131">
        <f>IFERROR('Price History'!F3+(INDEX('Price History'!F:F,MATCH(9.99E+307,'Returns (Calc)'!$A:$A)+1)-'Price History'!F3)*(ROW()-3)/(MATCH(9.99E+307,'Returns (Calc)'!$A:$A)-3),"")</f>
        <v>71.75417721518987</v>
      </c>
      <c r="AB24" s="131">
        <f>IFERROR('Price History'!G3+(INDEX('Price History'!G:G,MATCH(9.99E+307,'Returns (Calc)'!$A:$A)+1)-'Price History'!G3)*(ROW()-3)/(MATCH(9.99E+307,'Returns (Calc)'!$A:$A)-3),"")</f>
        <v>65.953417721518989</v>
      </c>
      <c r="AC24" s="131">
        <f>IFERROR('Price History'!H3+(INDEX('Price History'!H:H,MATCH(9.99E+307,'Returns (Calc)'!$A:$A)+1)-'Price History'!H3)*(ROW()-3)/(MATCH(9.99E+307,'Returns (Calc)'!$A:$A)-3),"")</f>
        <v>202.78962025316457</v>
      </c>
      <c r="AD24" s="131">
        <f>IFERROR('Price History'!I3+(INDEX('Price History'!I:I,MATCH(9.99E+307,'Returns (Calc)'!$A:$A)+1)-'Price History'!I3)*(ROW()-3)/(MATCH(9.99E+307,'Returns (Calc)'!$A:$A)-3),"")</f>
        <v>69.047088607594929</v>
      </c>
      <c r="AE24" s="131">
        <f>IFERROR('Price History'!J3+(INDEX('Price History'!J:J,MATCH(9.99E+307,'Returns (Calc)'!$A:$A)+1)-'Price History'!J3)*(ROW()-3)/(MATCH(9.99E+307,'Returns (Calc)'!$A:$A)-3),"")</f>
        <v>114.10879746835444</v>
      </c>
      <c r="AF24" s="131">
        <f>IFERROR('Price History'!K3+(INDEX('Price History'!K:K,MATCH(9.99E+307,'Returns (Calc)'!$A:$A)+1)-'Price History'!K3)*(ROW()-3)/(MATCH(9.99E+307,'Returns (Calc)'!$A:$A)-3),"")</f>
        <v>38.379493670886077</v>
      </c>
      <c r="AG24" s="131">
        <f>IFERROR('Price History'!L3+(INDEX('Price History'!L:L,MATCH(9.99E+307,'Returns (Calc)'!$A:$A)+1)-'Price History'!L3)*(ROW()-3)/(MATCH(9.99E+307,'Returns (Calc)'!$A:$A)-3),"")</f>
        <v>137.19069620253163</v>
      </c>
      <c r="AH24" s="131">
        <f>IFERROR('Price History'!M3+(INDEX('Price History'!M:M,MATCH(9.99E+307,'Returns (Calc)'!$A:$A)+1)-'Price History'!M3)*(ROW()-3)/(MATCH(9.99E+307,'Returns (Calc)'!$A:$A)-3),"")</f>
        <v>66.484303797468357</v>
      </c>
      <c r="AI24" s="131">
        <f>IFERROR('Price History'!N3+(INDEX('Price History'!N:N,MATCH(9.99E+307,'Returns (Calc)'!$A:$A)+1)-'Price History'!N3)*(ROW()-3)/(MATCH(9.99E+307,'Returns (Calc)'!$A:$A)-3),"")</f>
        <v>369.61158227848102</v>
      </c>
      <c r="AJ24" s="131">
        <f>IFERROR('Price History'!O3+(INDEX('Price History'!O:O,MATCH(9.99E+307,'Returns (Calc)'!$A:$A)+1)-'Price History'!O3)*(ROW()-3)/(MATCH(9.99E+307,'Returns (Calc)'!$A:$A)-3),"")</f>
        <v>81.253797468354435</v>
      </c>
      <c r="AK24" s="131">
        <f>IFERROR('Price History'!Q3+(INDEX('Price History'!Q:Q,MATCH(9.99E+307,'Returns (Calc)'!$A:$A)+1)-'Price History'!Q3)*(ROW()-3)/(MATCH(9.99E+307,'Returns (Calc)'!$A:$A)-3),"")</f>
        <v>9.2267088607594925</v>
      </c>
      <c r="AL24" s="131">
        <f>IFERROR('Price History'!R3+(INDEX('Price History'!R:R,MATCH(9.99E+307,'Returns (Calc)'!$A:$A)+1)-'Price History'!R3)*(ROW()-3)/(MATCH(9.99E+307,'Returns (Calc)'!$A:$A)-3),"")</f>
        <v>38.010126582278481</v>
      </c>
      <c r="AM24" s="131">
        <f>IFERROR('Price History'!S3+(INDEX('Price History'!S:S,MATCH(9.99E+307,'Returns (Calc)'!$A:$A)+1)-'Price History'!S3)*(ROW()-3)/(MATCH(9.99E+307,'Returns (Calc)'!$A:$A)-3),"")</f>
        <v>70.336329113924052</v>
      </c>
      <c r="AN24" s="131">
        <f>IFERROR('Price History'!T3+(INDEX('Price History'!T:T,MATCH(9.99E+307,'Returns (Calc)'!$A:$A)+1)-'Price History'!T3)*(ROW()-3)/(MATCH(9.99E+307,'Returns (Calc)'!$A:$A)-3),"")</f>
        <v>28.772784810126581</v>
      </c>
      <c r="AO24" s="132">
        <f>IFERROR('Price History'!V3+(INDEX('Price History'!V:V,MATCH(9.99E+307,'Returns (Calc)'!$A:$A)+1)-'Price History'!V3)*(ROW()-3)/(MATCH(9.99E+307,'Returns (Calc)'!$A:$A)-3),"")</f>
        <v>252.24791139240506</v>
      </c>
      <c r="AP24" s="130">
        <f>IFERROR(IF(OR(NOT(ISNUMBER('Price History'!W25)),NOT(ISNUMBER('Price History'!W24)),'Price History'!W24=0),"",'Price History'!W25/'Price History'!W24-1),"")</f>
        <v>9.3280030458786634E-3</v>
      </c>
      <c r="AQ24" s="130" t="str">
        <f>IFERROR(IF(OR(NOT(ISNUMBER('Price History'!X25)),NOT(ISNUMBER('Price History'!X24)),'Price History'!X24=0),"",'Price History'!X25/'Price History'!X24-1),"")</f>
        <v/>
      </c>
      <c r="AR24" s="130">
        <f>IFERROR(IF(OR(NOT(ISNUMBER('Price History'!Y25)),NOT(ISNUMBER('Price History'!Y24)),'Price History'!Y24=0),"",'Price History'!Y25/'Price History'!Y24-1),"")</f>
        <v>1.3186813186814028E-3</v>
      </c>
      <c r="AS24" s="130">
        <f>IFERROR(IF(OR(NOT(ISNUMBER('Price History'!Z25)),NOT(ISNUMBER('Price History'!Z24)),'Price History'!Z24=0),"",'Price History'!Z25/'Price History'!Z24-1),"")</f>
        <v>7.0861108574559406E-2</v>
      </c>
      <c r="AT24" s="130">
        <f>IFERROR(IF(OR(NOT(ISNUMBER('Price History'!AA25)),NOT(ISNUMBER('Price History'!AA24)),'Price History'!AA24=0),"",'Price History'!AA25/'Price History'!AA24-1),"")</f>
        <v>4.044183146267577E-2</v>
      </c>
    </row>
    <row r="25" spans="1:46" ht="15" customHeight="1" x14ac:dyDescent="0.2">
      <c r="A25" s="128">
        <f>IF('Price History'!A26="","",'Price History'!A26)</f>
        <v>45345</v>
      </c>
      <c r="B25" s="129">
        <f>IFERROR(IF(OR(NOT(ISNUMBER('Price History'!B26)),NOT(ISNUMBER('Price History'!B25)),'Price History'!B25=0),"",'Price History'!B26/'Price History'!B25-1),"")</f>
        <v>1.2402590275491399E-2</v>
      </c>
      <c r="C25" s="129">
        <f>IFERROR(IF(OR(NOT(ISNUMBER('Price History'!C26)),NOT(ISNUMBER('Price History'!C25)),'Price History'!C25=0),"",'Price History'!C26/'Price History'!C25-1),"")</f>
        <v>2.261613691931541E-2</v>
      </c>
      <c r="D25" s="129">
        <f>IFERROR(IF(OR(NOT(ISNUMBER('Price History'!D26)),NOT(ISNUMBER('Price History'!D25)),'Price History'!D25=0),"",'Price History'!D26/'Price History'!D25-1),"")</f>
        <v>4.6371078512170705E-3</v>
      </c>
      <c r="E25" s="129">
        <f>IFERROR(IF(OR(NOT(ISNUMBER('Price History'!E26)),NOT(ISNUMBER('Price History'!E25)),'Price History'!E25=0),"",'Price History'!E26/'Price History'!E25-1),"")</f>
        <v>4.0868560105680185E-2</v>
      </c>
      <c r="F25" s="129">
        <f>IFERROR(IF(OR(NOT(ISNUMBER('Price History'!F26)),NOT(ISNUMBER('Price History'!F25)),'Price History'!F25=0),"",'Price History'!F26/'Price History'!F25-1),"")</f>
        <v>-5.3942412829546815E-2</v>
      </c>
      <c r="G25" s="129">
        <f>IFERROR(IF(OR(NOT(ISNUMBER('Price History'!G26)),NOT(ISNUMBER('Price History'!G25)),'Price History'!G25=0),"",'Price History'!G26/'Price History'!G25-1),"")</f>
        <v>1.1248073959938099E-2</v>
      </c>
      <c r="H25" s="129">
        <f>IFERROR(IF(OR(NOT(ISNUMBER('Price History'!H26)),NOT(ISNUMBER('Price History'!H25)),'Price History'!H25=0),"",'Price History'!H26/'Price History'!H25-1),"")</f>
        <v>8.1790514836419081E-2</v>
      </c>
      <c r="I25" s="129">
        <f>IFERROR(IF(OR(NOT(ISNUMBER('Price History'!I26)),NOT(ISNUMBER('Price History'!I25)),'Price History'!I25=0),"",'Price History'!I26/'Price History'!I25-1),"")</f>
        <v>8.5497237569060802E-2</v>
      </c>
      <c r="J25" s="129">
        <f>IFERROR(IF(OR(NOT(ISNUMBER('Price History'!J26)),NOT(ISNUMBER('Price History'!J25)),'Price History'!J25=0),"",'Price History'!J26/'Price History'!J25-1),"")</f>
        <v>-1.3127666557268824E-3</v>
      </c>
      <c r="K25" s="129">
        <f>IFERROR(IF(OR(NOT(ISNUMBER('Price History'!K26)),NOT(ISNUMBER('Price History'!K25)),'Price History'!K25=0),"",'Price History'!K26/'Price History'!K25-1),"")</f>
        <v>-6.0147299509001773E-2</v>
      </c>
      <c r="L25" s="129">
        <f>IFERROR(IF(OR(NOT(ISNUMBER('Price History'!L26)),NOT(ISNUMBER('Price History'!L25)),'Price History'!L25=0),"",'Price History'!L26/'Price History'!L25-1),"")</f>
        <v>2.240392477514308E-2</v>
      </c>
      <c r="M25" s="129">
        <f>IFERROR(IF(OR(NOT(ISNUMBER('Price History'!M26)),NOT(ISNUMBER('Price History'!M25)),'Price History'!M25=0),"",'Price History'!M26/'Price History'!M25-1),"")</f>
        <v>-4.3021032504779733E-3</v>
      </c>
      <c r="N25" s="129">
        <f>IFERROR(IF(OR(NOT(ISNUMBER('Price History'!N26)),NOT(ISNUMBER('Price History'!N25)),'Price History'!N25=0),"",'Price History'!N26/'Price History'!N25-1),"")</f>
        <v>1.8735196589294123E-2</v>
      </c>
      <c r="O25" s="129">
        <f>IFERROR(IF(OR(NOT(ISNUMBER('Price History'!O26)),NOT(ISNUMBER('Price History'!O25)),'Price History'!O25=0),"",'Price History'!O26/'Price History'!O25-1),"")</f>
        <v>-3.3011082291910521E-3</v>
      </c>
      <c r="P25" s="129">
        <f>IFERROR(IF(OR(NOT(ISNUMBER('Price History'!P26)),NOT(ISNUMBER('Price History'!P25)),'Price History'!P25=0),"",'Price History'!P26/'Price History'!P25-1),"")</f>
        <v>8.4057694144616946E-3</v>
      </c>
      <c r="Q25" s="129">
        <f>IFERROR(IF(OR(NOT(ISNUMBER('Price History'!Q26)),NOT(ISNUMBER('Price History'!Q25)),'Price History'!Q25=0),"",'Price History'!Q26/'Price History'!Q25-1),"")</f>
        <v>7.6506810972196693E-3</v>
      </c>
      <c r="R25" s="129">
        <f>IFERROR(IF(OR(NOT(ISNUMBER('Price History'!R26)),NOT(ISNUMBER('Price History'!R25)),'Price History'!R25=0),"",'Price History'!R26/'Price History'!R25-1),"")</f>
        <v>1.2567324955116588E-2</v>
      </c>
      <c r="S25" s="129">
        <f>IFERROR(IF(OR(NOT(ISNUMBER('Price History'!S26)),NOT(ISNUMBER('Price History'!S25)),'Price History'!S25=0),"",'Price History'!S26/'Price History'!S25-1),"")</f>
        <v>2.232507487067803E-2</v>
      </c>
      <c r="T25" s="129">
        <f>IFERROR(IF(OR(NOT(ISNUMBER('Price History'!T26)),NOT(ISNUMBER('Price History'!T25)),'Price History'!T25=0),"",'Price History'!T26/'Price History'!T25-1),"")</f>
        <v>2.1879483500717445E-2</v>
      </c>
      <c r="U25" s="129">
        <f>IFERROR(IF(OR(NOT(ISNUMBER('Price History'!U26)),NOT(ISNUMBER('Price History'!U25)),'Price History'!U25=0),"",'Price History'!U26/'Price History'!U25-1),"")</f>
        <v>1.1617900172117279E-2</v>
      </c>
      <c r="V25" s="130">
        <f>IFERROR(IF(OR(NOT(ISNUMBER('Price History'!V26)),NOT(ISNUMBER('Price History'!V25)),'Price History'!V25=0),"",'Price History'!V26/'Price History'!V25-1),"")</f>
        <v>1.8070746607162347E-2</v>
      </c>
      <c r="W25" s="131">
        <f>IFERROR('Price History'!B3+(INDEX('Price History'!B:B,MATCH(9.99E+307,'Returns (Calc)'!$A:$A)+1)-'Price History'!B3)*(ROW()-3)/(MATCH(9.99E+307,'Returns (Calc)'!$A:$A)-3),"")</f>
        <v>488.34316455696199</v>
      </c>
      <c r="X25" s="131">
        <f>IFERROR('Price History'!C3+(INDEX('Price History'!C:C,MATCH(9.99E+307,'Returns (Calc)'!$A:$A)+1)-'Price History'!C3)*(ROW()-3)/(MATCH(9.99E+307,'Returns (Calc)'!$A:$A)-3),"")</f>
        <v>68.62139240506329</v>
      </c>
      <c r="Y25" s="131">
        <f>IFERROR('Price History'!D3+(INDEX('Price History'!D:D,MATCH(9.99E+307,'Returns (Calc)'!$A:$A)+1)-'Price History'!D3)*(ROW()-3)/(MATCH(9.99E+307,'Returns (Calc)'!$A:$A)-3),"")</f>
        <v>760.97582278481013</v>
      </c>
      <c r="Z25" s="131">
        <f>IFERROR('Price History'!E3+(INDEX('Price History'!E:E,MATCH(9.99E+307,'Returns (Calc)'!$A:$A)+1)-'Price History'!E3)*(ROW()-3)/(MATCH(9.99E+307,'Returns (Calc)'!$A:$A)-3),"")</f>
        <v>120.03215189873418</v>
      </c>
      <c r="AA25" s="131">
        <f>IFERROR('Price History'!F3+(INDEX('Price History'!F:F,MATCH(9.99E+307,'Returns (Calc)'!$A:$A)+1)-'Price History'!F3)*(ROW()-3)/(MATCH(9.99E+307,'Returns (Calc)'!$A:$A)-3),"")</f>
        <v>73.201518987341771</v>
      </c>
      <c r="AB25" s="131">
        <f>IFERROR('Price History'!G3+(INDEX('Price History'!G:G,MATCH(9.99E+307,'Returns (Calc)'!$A:$A)+1)-'Price History'!G3)*(ROW()-3)/(MATCH(9.99E+307,'Returns (Calc)'!$A:$A)-3),"")</f>
        <v>66.982151898734173</v>
      </c>
      <c r="AC25" s="131">
        <f>IFERROR('Price History'!H3+(INDEX('Price History'!H:H,MATCH(9.99E+307,'Returns (Calc)'!$A:$A)+1)-'Price History'!H3)*(ROW()-3)/(MATCH(9.99E+307,'Returns (Calc)'!$A:$A)-3),"")</f>
        <v>209.15531645569621</v>
      </c>
      <c r="AD25" s="131">
        <f>IFERROR('Price History'!I3+(INDEX('Price History'!I:I,MATCH(9.99E+307,'Returns (Calc)'!$A:$A)+1)-'Price History'!I3)*(ROW()-3)/(MATCH(9.99E+307,'Returns (Calc)'!$A:$A)-3),"")</f>
        <v>70.250759493670884</v>
      </c>
      <c r="AE25" s="131">
        <f>IFERROR('Price History'!J3+(INDEX('Price History'!J:J,MATCH(9.99E+307,'Returns (Calc)'!$A:$A)+1)-'Price History'!J3)*(ROW()-3)/(MATCH(9.99E+307,'Returns (Calc)'!$A:$A)-3),"")</f>
        <v>114.21683544303798</v>
      </c>
      <c r="AF25" s="131">
        <f>IFERROR('Price History'!K3+(INDEX('Price History'!K:K,MATCH(9.99E+307,'Returns (Calc)'!$A:$A)+1)-'Price History'!K3)*(ROW()-3)/(MATCH(9.99E+307,'Returns (Calc)'!$A:$A)-3),"")</f>
        <v>39.477088607594936</v>
      </c>
      <c r="AG25" s="131">
        <f>IFERROR('Price History'!L3+(INDEX('Price History'!L:L,MATCH(9.99E+307,'Returns (Calc)'!$A:$A)+1)-'Price History'!L3)*(ROW()-3)/(MATCH(9.99E+307,'Returns (Calc)'!$A:$A)-3),"")</f>
        <v>139.64025316455695</v>
      </c>
      <c r="AH25" s="131">
        <f>IFERROR('Price History'!M3+(INDEX('Price History'!M:M,MATCH(9.99E+307,'Returns (Calc)'!$A:$A)+1)-'Price History'!M3)*(ROW()-3)/(MATCH(9.99E+307,'Returns (Calc)'!$A:$A)-3),"")</f>
        <v>67.839746835443037</v>
      </c>
      <c r="AI25" s="131">
        <f>IFERROR('Price History'!N3+(INDEX('Price History'!N:N,MATCH(9.99E+307,'Returns (Calc)'!$A:$A)+1)-'Price History'!N3)*(ROW()-3)/(MATCH(9.99E+307,'Returns (Calc)'!$A:$A)-3),"")</f>
        <v>370.59784810126581</v>
      </c>
      <c r="AJ25" s="131">
        <f>IFERROR('Price History'!O3+(INDEX('Price History'!O:O,MATCH(9.99E+307,'Returns (Calc)'!$A:$A)+1)-'Price History'!O3)*(ROW()-3)/(MATCH(9.99E+307,'Returns (Calc)'!$A:$A)-3),"")</f>
        <v>81.536835443037972</v>
      </c>
      <c r="AK25" s="131">
        <f>IFERROR('Price History'!Q3+(INDEX('Price History'!Q:Q,MATCH(9.99E+307,'Returns (Calc)'!$A:$A)+1)-'Price History'!Q3)*(ROW()-3)/(MATCH(9.99E+307,'Returns (Calc)'!$A:$A)-3),"")</f>
        <v>9.6660759493670891</v>
      </c>
      <c r="AL25" s="131">
        <f>IFERROR('Price History'!R3+(INDEX('Price History'!R:R,MATCH(9.99E+307,'Returns (Calc)'!$A:$A)+1)-'Price History'!R3)*(ROW()-3)/(MATCH(9.99E+307,'Returns (Calc)'!$A:$A)-3),"")</f>
        <v>38.178227848101265</v>
      </c>
      <c r="AM25" s="131">
        <f>IFERROR('Price History'!S3+(INDEX('Price History'!S:S,MATCH(9.99E+307,'Returns (Calc)'!$A:$A)+1)-'Price History'!S3)*(ROW()-3)/(MATCH(9.99E+307,'Returns (Calc)'!$A:$A)-3),"")</f>
        <v>70.941392405063297</v>
      </c>
      <c r="AN25" s="131">
        <f>IFERROR('Price History'!T3+(INDEX('Price History'!T:T,MATCH(9.99E+307,'Returns (Calc)'!$A:$A)+1)-'Price History'!T3)*(ROW()-3)/(MATCH(9.99E+307,'Returns (Calc)'!$A:$A)-3),"")</f>
        <v>28.941012658227848</v>
      </c>
      <c r="AO25" s="132">
        <f>IFERROR('Price History'!V3+(INDEX('Price History'!V:V,MATCH(9.99E+307,'Returns (Calc)'!$A:$A)+1)-'Price History'!V3)*(ROW()-3)/(MATCH(9.99E+307,'Returns (Calc)'!$A:$A)-3),"")</f>
        <v>253.03924050632912</v>
      </c>
      <c r="AP25" s="130">
        <f>IFERROR(IF(OR(NOT(ISNUMBER('Price History'!W26)),NOT(ISNUMBER('Price History'!W25)),'Price History'!W25=0),"",'Price History'!W26/'Price History'!W25-1),"")</f>
        <v>1.4239909468125145E-2</v>
      </c>
      <c r="AQ25" s="130" t="str">
        <f>IFERROR(IF(OR(NOT(ISNUMBER('Price History'!X26)),NOT(ISNUMBER('Price History'!X25)),'Price History'!X25=0),"",'Price History'!X26/'Price History'!X25-1),"")</f>
        <v/>
      </c>
      <c r="AR25" s="130">
        <f>IFERROR(IF(OR(NOT(ISNUMBER('Price History'!Y26)),NOT(ISNUMBER('Price History'!Y25)),'Price History'!Y25=0),"",'Price History'!Y26/'Price History'!Y25-1),"")</f>
        <v>1.1633011413520578E-2</v>
      </c>
      <c r="AS25" s="130">
        <f>IFERROR(IF(OR(NOT(ISNUMBER('Price History'!Z26)),NOT(ISNUMBER('Price History'!Z25)),'Price History'!Z25=0),"",'Price History'!Z26/'Price History'!Z25-1),"")</f>
        <v>2.7969642704869013E-2</v>
      </c>
      <c r="AT25" s="130">
        <f>IFERROR(IF(OR(NOT(ISNUMBER('Price History'!AA26)),NOT(ISNUMBER('Price History'!AA25)),'Price History'!AA25=0),"",'Price History'!AA26/'Price History'!AA25-1),"")</f>
        <v>-6.8493150684934001E-4</v>
      </c>
    </row>
    <row r="26" spans="1:46" ht="15" customHeight="1" x14ac:dyDescent="0.2">
      <c r="A26" s="128">
        <f>IF('Price History'!A27="","",'Price History'!A27)</f>
        <v>45352</v>
      </c>
      <c r="B26" s="129">
        <f>IFERROR(IF(OR(NOT(ISNUMBER('Price History'!B27)),NOT(ISNUMBER('Price History'!B26)),'Price History'!B26=0),"",'Price History'!B27/'Price History'!B26-1),"")</f>
        <v>3.1602341717259064E-2</v>
      </c>
      <c r="C26" s="129">
        <f>IFERROR(IF(OR(NOT(ISNUMBER('Price History'!C27)),NOT(ISNUMBER('Price History'!C26)),'Price History'!C26=0),"",'Price History'!C27/'Price History'!C26-1),"")</f>
        <v>7.4865511057979672E-2</v>
      </c>
      <c r="D26" s="129">
        <f>IFERROR(IF(OR(NOT(ISNUMBER('Price History'!D27)),NOT(ISNUMBER('Price History'!D26)),'Price History'!D26=0),"",'Price History'!D27/'Price History'!D26-1),"")</f>
        <v>6.1808874840036276E-2</v>
      </c>
      <c r="E26" s="129">
        <f>IFERROR(IF(OR(NOT(ISNUMBER('Price History'!E27)),NOT(ISNUMBER('Price History'!E26)),'Price History'!E26=0),"",'Price History'!E27/'Price History'!E26-1),"")</f>
        <v>7.9321012136114755E-2</v>
      </c>
      <c r="F26" s="129">
        <f>IFERROR(IF(OR(NOT(ISNUMBER('Price History'!F27)),NOT(ISNUMBER('Price History'!F26)),'Price History'!F26=0),"",'Price History'!F27/'Price History'!F26-1),"")</f>
        <v>1.001669449081799E-2</v>
      </c>
      <c r="G26" s="129">
        <f>IFERROR(IF(OR(NOT(ISNUMBER('Price History'!G27)),NOT(ISNUMBER('Price History'!G26)),'Price History'!G26=0),"",'Price History'!G27/'Price History'!G26-1),"")</f>
        <v>7.2984915435014619E-2</v>
      </c>
      <c r="H26" s="129">
        <f>IFERROR(IF(OR(NOT(ISNUMBER('Price History'!H27)),NOT(ISNUMBER('Price History'!H26)),'Price History'!H26=0),"",'Price History'!H27/'Price History'!H26-1),"")</f>
        <v>0.10631813386472855</v>
      </c>
      <c r="I26" s="129">
        <f>IFERROR(IF(OR(NOT(ISNUMBER('Price History'!I27)),NOT(ISNUMBER('Price History'!I26)),'Price History'!I26=0),"",'Price History'!I27/'Price History'!I26-1),"")</f>
        <v>4.389871484921759E-2</v>
      </c>
      <c r="J26" s="129">
        <f>IFERROR(IF(OR(NOT(ISNUMBER('Price History'!J27)),NOT(ISNUMBER('Price History'!J26)),'Price History'!J26=0),"",'Price History'!J27/'Price History'!J26-1),"")</f>
        <v>1.0433782451528151E-2</v>
      </c>
      <c r="K26" s="129">
        <f>IFERROR(IF(OR(NOT(ISNUMBER('Price History'!K27)),NOT(ISNUMBER('Price History'!K26)),'Price History'!K26=0),"",'Price History'!K27/'Price History'!K26-1),"")</f>
        <v>8.5328689595124185E-2</v>
      </c>
      <c r="L26" s="129">
        <f>IFERROR(IF(OR(NOT(ISNUMBER('Price History'!L27)),NOT(ISNUMBER('Price History'!L26)),'Price History'!L26=0),"",'Price History'!L27/'Price History'!L26-1),"")</f>
        <v>3.3749200255917877E-2</v>
      </c>
      <c r="M26" s="129">
        <f>IFERROR(IF(OR(NOT(ISNUMBER('Price History'!M27)),NOT(ISNUMBER('Price History'!M26)),'Price History'!M26=0),"",'Price History'!M27/'Price History'!M26-1),"")</f>
        <v>0.12562009921587447</v>
      </c>
      <c r="N26" s="129">
        <f>IFERROR(IF(OR(NOT(ISNUMBER('Price History'!N27)),NOT(ISNUMBER('Price History'!N26)),'Price History'!N26=0),"",'Price History'!N27/'Price History'!N26-1),"")</f>
        <v>6.161214573016105E-3</v>
      </c>
      <c r="O26" s="129">
        <f>IFERROR(IF(OR(NOT(ISNUMBER('Price History'!O27)),NOT(ISNUMBER('Price History'!O26)),'Price History'!O26=0),"",'Price History'!O27/'Price History'!O26-1),"")</f>
        <v>1.5732197776200607E-2</v>
      </c>
      <c r="P26" s="129">
        <f>IFERROR(IF(OR(NOT(ISNUMBER('Price History'!P27)),NOT(ISNUMBER('Price History'!P26)),'Price History'!P26=0),"",'Price History'!P27/'Price History'!P26-1),"")</f>
        <v>1.8944775978035899E-4</v>
      </c>
      <c r="Q26" s="129">
        <f>IFERROR(IF(OR(NOT(ISNUMBER('Price History'!Q27)),NOT(ISNUMBER('Price History'!Q26)),'Price History'!Q26=0),"",'Price History'!Q27/'Price History'!Q26-1),"")</f>
        <v>6.2962962962964664E-3</v>
      </c>
      <c r="R26" s="129">
        <f>IFERROR(IF(OR(NOT(ISNUMBER('Price History'!R27)),NOT(ISNUMBER('Price History'!R26)),'Price History'!R26=0),"",'Price History'!R27/'Price History'!R26-1),"")</f>
        <v>1.2664640324214771E-2</v>
      </c>
      <c r="S26" s="129">
        <f>IFERROR(IF(OR(NOT(ISNUMBER('Price History'!S27)),NOT(ISNUMBER('Price History'!S26)),'Price History'!S26=0),"",'Price History'!S27/'Price History'!S26-1),"")</f>
        <v>2.8095872170439407E-2</v>
      </c>
      <c r="T26" s="129">
        <f>IFERROR(IF(OR(NOT(ISNUMBER('Price History'!T27)),NOT(ISNUMBER('Price History'!T26)),'Price History'!T26=0),"",'Price History'!T27/'Price History'!T26-1),"")</f>
        <v>2.1762021762021799E-2</v>
      </c>
      <c r="U26" s="129">
        <f>IFERROR(IF(OR(NOT(ISNUMBER('Price History'!U27)),NOT(ISNUMBER('Price History'!U26)),'Price History'!U26=0),"",'Price History'!U27/'Price History'!U26-1),"")</f>
        <v>3.4028073160357053E-3</v>
      </c>
      <c r="V26" s="130">
        <f>IFERROR(IF(OR(NOT(ISNUMBER('Price History'!V27)),NOT(ISNUMBER('Price History'!V26)),'Price History'!V26=0),"",'Price History'!V27/'Price History'!V26-1),"")</f>
        <v>-1.5450397039272756E-3</v>
      </c>
      <c r="W26" s="131">
        <f>IFERROR('Price History'!B3+(INDEX('Price History'!B:B,MATCH(9.99E+307,'Returns (Calc)'!$A:$A)+1)-'Price History'!B3)*(ROW()-3)/(MATCH(9.99E+307,'Returns (Calc)'!$A:$A)-3),"")</f>
        <v>486.50012658227848</v>
      </c>
      <c r="X26" s="131">
        <f>IFERROR('Price History'!C3+(INDEX('Price History'!C:C,MATCH(9.99E+307,'Returns (Calc)'!$A:$A)+1)-'Price History'!C3)*(ROW()-3)/(MATCH(9.99E+307,'Returns (Calc)'!$A:$A)-3),"")</f>
        <v>69.641455696202527</v>
      </c>
      <c r="Y26" s="131">
        <f>IFERROR('Price History'!D3+(INDEX('Price History'!D:D,MATCH(9.99E+307,'Returns (Calc)'!$A:$A)+1)-'Price History'!D3)*(ROW()-3)/(MATCH(9.99E+307,'Returns (Calc)'!$A:$A)-3),"")</f>
        <v>769.11063291139237</v>
      </c>
      <c r="Z26" s="131">
        <f>IFERROR('Price History'!E3+(INDEX('Price History'!E:E,MATCH(9.99E+307,'Returns (Calc)'!$A:$A)+1)-'Price History'!E3)*(ROW()-3)/(MATCH(9.99E+307,'Returns (Calc)'!$A:$A)-3),"")</f>
        <v>121.76088607594937</v>
      </c>
      <c r="AA26" s="131">
        <f>IFERROR('Price History'!F3+(INDEX('Price History'!F:F,MATCH(9.99E+307,'Returns (Calc)'!$A:$A)+1)-'Price History'!F3)*(ROW()-3)/(MATCH(9.99E+307,'Returns (Calc)'!$A:$A)-3),"")</f>
        <v>74.648860759493672</v>
      </c>
      <c r="AB26" s="131">
        <f>IFERROR('Price History'!G3+(INDEX('Price History'!G:G,MATCH(9.99E+307,'Returns (Calc)'!$A:$A)+1)-'Price History'!G3)*(ROW()-3)/(MATCH(9.99E+307,'Returns (Calc)'!$A:$A)-3),"")</f>
        <v>68.010886075949372</v>
      </c>
      <c r="AC26" s="131">
        <f>IFERROR('Price History'!H3+(INDEX('Price History'!H:H,MATCH(9.99E+307,'Returns (Calc)'!$A:$A)+1)-'Price History'!H3)*(ROW()-3)/(MATCH(9.99E+307,'Returns (Calc)'!$A:$A)-3),"")</f>
        <v>215.52101265822785</v>
      </c>
      <c r="AD26" s="131">
        <f>IFERROR('Price History'!I3+(INDEX('Price History'!I:I,MATCH(9.99E+307,'Returns (Calc)'!$A:$A)+1)-'Price History'!I3)*(ROW()-3)/(MATCH(9.99E+307,'Returns (Calc)'!$A:$A)-3),"")</f>
        <v>71.454430379746839</v>
      </c>
      <c r="AE26" s="131">
        <f>IFERROR('Price History'!J3+(INDEX('Price History'!J:J,MATCH(9.99E+307,'Returns (Calc)'!$A:$A)+1)-'Price History'!J3)*(ROW()-3)/(MATCH(9.99E+307,'Returns (Calc)'!$A:$A)-3),"")</f>
        <v>114.32487341772152</v>
      </c>
      <c r="AF26" s="131">
        <f>IFERROR('Price History'!K3+(INDEX('Price History'!K:K,MATCH(9.99E+307,'Returns (Calc)'!$A:$A)+1)-'Price History'!K3)*(ROW()-3)/(MATCH(9.99E+307,'Returns (Calc)'!$A:$A)-3),"")</f>
        <v>40.574683544303795</v>
      </c>
      <c r="AG26" s="131">
        <f>IFERROR('Price History'!L3+(INDEX('Price History'!L:L,MATCH(9.99E+307,'Returns (Calc)'!$A:$A)+1)-'Price History'!L3)*(ROW()-3)/(MATCH(9.99E+307,'Returns (Calc)'!$A:$A)-3),"")</f>
        <v>142.08981012658228</v>
      </c>
      <c r="AH26" s="131">
        <f>IFERROR('Price History'!M3+(INDEX('Price History'!M:M,MATCH(9.99E+307,'Returns (Calc)'!$A:$A)+1)-'Price History'!M3)*(ROW()-3)/(MATCH(9.99E+307,'Returns (Calc)'!$A:$A)-3),"")</f>
        <v>69.195189873417718</v>
      </c>
      <c r="AI26" s="131">
        <f>IFERROR('Price History'!N3+(INDEX('Price History'!N:N,MATCH(9.99E+307,'Returns (Calc)'!$A:$A)+1)-'Price History'!N3)*(ROW()-3)/(MATCH(9.99E+307,'Returns (Calc)'!$A:$A)-3),"")</f>
        <v>371.5841139240506</v>
      </c>
      <c r="AJ26" s="131">
        <f>IFERROR('Price History'!O3+(INDEX('Price History'!O:O,MATCH(9.99E+307,'Returns (Calc)'!$A:$A)+1)-'Price History'!O3)*(ROW()-3)/(MATCH(9.99E+307,'Returns (Calc)'!$A:$A)-3),"")</f>
        <v>81.819873417721524</v>
      </c>
      <c r="AK26" s="131">
        <f>IFERROR('Price History'!Q3+(INDEX('Price History'!Q:Q,MATCH(9.99E+307,'Returns (Calc)'!$A:$A)+1)-'Price History'!Q3)*(ROW()-3)/(MATCH(9.99E+307,'Returns (Calc)'!$A:$A)-3),"")</f>
        <v>10.105443037974684</v>
      </c>
      <c r="AL26" s="131">
        <f>IFERROR('Price History'!R3+(INDEX('Price History'!R:R,MATCH(9.99E+307,'Returns (Calc)'!$A:$A)+1)-'Price History'!R3)*(ROW()-3)/(MATCH(9.99E+307,'Returns (Calc)'!$A:$A)-3),"")</f>
        <v>38.34632911392405</v>
      </c>
      <c r="AM26" s="131">
        <f>IFERROR('Price History'!S3+(INDEX('Price History'!S:S,MATCH(9.99E+307,'Returns (Calc)'!$A:$A)+1)-'Price History'!S3)*(ROW()-3)/(MATCH(9.99E+307,'Returns (Calc)'!$A:$A)-3),"")</f>
        <v>71.546455696202528</v>
      </c>
      <c r="AN26" s="131">
        <f>IFERROR('Price History'!T3+(INDEX('Price History'!T:T,MATCH(9.99E+307,'Returns (Calc)'!$A:$A)+1)-'Price History'!T3)*(ROW()-3)/(MATCH(9.99E+307,'Returns (Calc)'!$A:$A)-3),"")</f>
        <v>29.109240506329112</v>
      </c>
      <c r="AO26" s="132">
        <f>IFERROR('Price History'!V3+(INDEX('Price History'!V:V,MATCH(9.99E+307,'Returns (Calc)'!$A:$A)+1)-'Price History'!V3)*(ROW()-3)/(MATCH(9.99E+307,'Returns (Calc)'!$A:$A)-3),"")</f>
        <v>253.83056962025316</v>
      </c>
      <c r="AP26" s="130">
        <f>IFERROR(IF(OR(NOT(ISNUMBER('Price History'!W27)),NOT(ISNUMBER('Price History'!W26)),'Price History'!W26=0),"",'Price History'!W27/'Price History'!W26-1),"")</f>
        <v>5.2068805206881841E-3</v>
      </c>
      <c r="AQ26" s="130" t="str">
        <f>IFERROR(IF(OR(NOT(ISNUMBER('Price History'!X27)),NOT(ISNUMBER('Price History'!X26)),'Price History'!X26=0),"",'Price History'!X27/'Price History'!X26-1),"")</f>
        <v/>
      </c>
      <c r="AR26" s="130">
        <f>IFERROR(IF(OR(NOT(ISNUMBER('Price History'!Y27)),NOT(ISNUMBER('Price History'!Y26)),'Price History'!Y26=0),"",'Price History'!Y27/'Price History'!Y26-1),"")</f>
        <v>4.1223692775005372E-3</v>
      </c>
      <c r="AS26" s="130">
        <f>IFERROR(IF(OR(NOT(ISNUMBER('Price History'!Z27)),NOT(ISNUMBER('Price History'!Z26)),'Price History'!Z26=0),"",'Price History'!Z27/'Price History'!Z26-1),"")</f>
        <v>3.4757362090418908E-2</v>
      </c>
      <c r="AT26" s="130">
        <f>IFERROR(IF(OR(NOT(ISNUMBER('Price History'!AA27)),NOT(ISNUMBER('Price History'!AA26)),'Price History'!AA26=0),"",'Price History'!AA27/'Price History'!AA26-1),"")</f>
        <v>6.1172035640849831E-2</v>
      </c>
    </row>
    <row r="27" spans="1:46" ht="15" customHeight="1" x14ac:dyDescent="0.2">
      <c r="A27" s="128">
        <f>IF('Price History'!A28="","",'Price History'!A28)</f>
        <v>45359</v>
      </c>
      <c r="B27" s="129">
        <f>IFERROR(IF(OR(NOT(ISNUMBER('Price History'!B28)),NOT(ISNUMBER('Price History'!B27)),'Price History'!B27=0),"",'Price History'!B28/'Price History'!B27-1),"")</f>
        <v>-3.3699402728880723E-2</v>
      </c>
      <c r="C27" s="129">
        <f>IFERROR(IF(OR(NOT(ISNUMBER('Price History'!C28)),NOT(ISNUMBER('Price History'!C27)),'Price History'!C27=0),"",'Price History'!C28/'Price History'!C27-1),"")</f>
        <v>-5.0743778673710604E-2</v>
      </c>
      <c r="D27" s="129">
        <f>IFERROR(IF(OR(NOT(ISNUMBER('Price History'!D28)),NOT(ISNUMBER('Price History'!D27)),'Price History'!D27=0),"",'Price History'!D28/'Price History'!D27-1),"")</f>
        <v>3.4302313603493673E-3</v>
      </c>
      <c r="E27" s="129">
        <f>IFERROR(IF(OR(NOT(ISNUMBER('Price History'!E28)),NOT(ISNUMBER('Price History'!E27)),'Price History'!E27=0),"",'Price History'!E28/'Price History'!E27-1),"")</f>
        <v>-6.4672594987873921E-2</v>
      </c>
      <c r="F27" s="129">
        <f>IFERROR(IF(OR(NOT(ISNUMBER('Price History'!F28)),NOT(ISNUMBER('Price History'!F27)),'Price History'!F27=0),"",'Price History'!F28/'Price History'!F27-1),"")</f>
        <v>2.6191989828353357E-2</v>
      </c>
      <c r="G27" s="129">
        <f>IFERROR(IF(OR(NOT(ISNUMBER('Price History'!G28)),NOT(ISNUMBER('Price History'!G27)),'Price History'!G27=0),"",'Price History'!G28/'Price History'!G27-1),"")</f>
        <v>-2.5560920193126946E-2</v>
      </c>
      <c r="H27" s="129">
        <f>IFERROR(IF(OR(NOT(ISNUMBER('Price History'!H28)),NOT(ISNUMBER('Price History'!H27)),'Price History'!H27=0),"",'Price History'!H28/'Price History'!H27-1),"")</f>
        <v>2.5958889595253165E-2</v>
      </c>
      <c r="I27" s="129">
        <f>IFERROR(IF(OR(NOT(ISNUMBER('Price History'!I28)),NOT(ISNUMBER('Price History'!I27)),'Price History'!I27=0),"",'Price History'!I28/'Price History'!I27-1),"")</f>
        <v>6.3871282301316334E-2</v>
      </c>
      <c r="J27" s="129">
        <f>IFERROR(IF(OR(NOT(ISNUMBER('Price History'!J28)),NOT(ISNUMBER('Price History'!J27)),'Price History'!J27=0),"",'Price History'!J28/'Price History'!J27-1),"")</f>
        <v>3.4962192048133556E-3</v>
      </c>
      <c r="K27" s="129">
        <f>IFERROR(IF(OR(NOT(ISNUMBER('Price History'!K28)),NOT(ISNUMBER('Price History'!K27)),'Price History'!K27=0),"",'Price History'!K28/'Price History'!K27-1),"")</f>
        <v>4.4524669073405576E-2</v>
      </c>
      <c r="L27" s="129">
        <f>IFERROR(IF(OR(NOT(ISNUMBER('Price History'!L28)),NOT(ISNUMBER('Price History'!L27)),'Price History'!L27=0),"",'Price History'!L28/'Price History'!L27-1),"")</f>
        <v>9.3145598019495734E-2</v>
      </c>
      <c r="M27" s="129">
        <f>IFERROR(IF(OR(NOT(ISNUMBER('Price History'!M28)),NOT(ISNUMBER('Price History'!M27)),'Price History'!M27=0),"",'Price History'!M28/'Price History'!M27-1),"")</f>
        <v>-1.7059994313335269E-2</v>
      </c>
      <c r="N27" s="129">
        <f>IFERROR(IF(OR(NOT(ISNUMBER('Price History'!N28)),NOT(ISNUMBER('Price History'!N27)),'Price History'!N27=0),"",'Price History'!N28/'Price History'!N27-1),"")</f>
        <v>-4.4297069969498115E-2</v>
      </c>
      <c r="O27" s="129">
        <f>IFERROR(IF(OR(NOT(ISNUMBER('Price History'!O28)),NOT(ISNUMBER('Price History'!O27)),'Price History'!O27=0),"",'Price History'!O28/'Price History'!O27-1),"")</f>
        <v>1.1645510655642344E-3</v>
      </c>
      <c r="P27" s="129">
        <f>IFERROR(IF(OR(NOT(ISNUMBER('Price History'!P28)),NOT(ISNUMBER('Price History'!P27)),'Price History'!P27=0),"",'Price History'!P28/'Price History'!P27-1),"")</f>
        <v>2.6707074533573127E-2</v>
      </c>
      <c r="Q27" s="129">
        <f>IFERROR(IF(OR(NOT(ISNUMBER('Price History'!Q28)),NOT(ISNUMBER('Price History'!Q27)),'Price History'!Q27=0),"",'Price History'!Q28/'Price History'!Q27-1),"")</f>
        <v>5.5207949944779955E-4</v>
      </c>
      <c r="R27" s="129">
        <f>IFERROR(IF(OR(NOT(ISNUMBER('Price History'!R28)),NOT(ISNUMBER('Price History'!R27)),'Price History'!R27=0),"",'Price History'!R28/'Price History'!R27-1),"")</f>
        <v>-1.5007503751874873E-3</v>
      </c>
      <c r="S27" s="129">
        <f>IFERROR(IF(OR(NOT(ISNUMBER('Price History'!S28)),NOT(ISNUMBER('Price History'!S27)),'Price History'!S27=0),"",'Price History'!S28/'Price History'!S27-1),"")</f>
        <v>3.8855070586714113E-3</v>
      </c>
      <c r="T27" s="129">
        <f>IFERROR(IF(OR(NOT(ISNUMBER('Price History'!T28)),NOT(ISNUMBER('Price History'!T27)),'Price History'!T27=0),"",'Price History'!T28/'Price History'!T27-1),"")</f>
        <v>1.9924424596358792E-2</v>
      </c>
      <c r="U27" s="129">
        <f>IFERROR(IF(OR(NOT(ISNUMBER('Price History'!U28)),NOT(ISNUMBER('Price History'!U27)),'Price History'!U27=0),"",'Price History'!U28/'Price History'!U27-1),"")</f>
        <v>3.3912674862230929E-3</v>
      </c>
      <c r="V27" s="130">
        <f>IFERROR(IF(OR(NOT(ISNUMBER('Price History'!V28)),NOT(ISNUMBER('Price History'!V27)),'Price History'!V27=0),"",'Price History'!V28/'Price History'!V27-1),"")</f>
        <v>-1.1011947603281946E-2</v>
      </c>
      <c r="W27" s="131">
        <f>IFERROR('Price History'!B3+(INDEX('Price History'!B:B,MATCH(9.99E+307,'Returns (Calc)'!$A:$A)+1)-'Price History'!B3)*(ROW()-3)/(MATCH(9.99E+307,'Returns (Calc)'!$A:$A)-3),"")</f>
        <v>484.65708860759491</v>
      </c>
      <c r="X27" s="131">
        <f>IFERROR('Price History'!C3+(INDEX('Price History'!C:C,MATCH(9.99E+307,'Returns (Calc)'!$A:$A)+1)-'Price History'!C3)*(ROW()-3)/(MATCH(9.99E+307,'Returns (Calc)'!$A:$A)-3),"")</f>
        <v>70.661518987341765</v>
      </c>
      <c r="Y27" s="131">
        <f>IFERROR('Price History'!D3+(INDEX('Price History'!D:D,MATCH(9.99E+307,'Returns (Calc)'!$A:$A)+1)-'Price History'!D3)*(ROW()-3)/(MATCH(9.99E+307,'Returns (Calc)'!$A:$A)-3),"")</f>
        <v>777.24544303797461</v>
      </c>
      <c r="Z27" s="131">
        <f>IFERROR('Price History'!E3+(INDEX('Price History'!E:E,MATCH(9.99E+307,'Returns (Calc)'!$A:$A)+1)-'Price History'!E3)*(ROW()-3)/(MATCH(9.99E+307,'Returns (Calc)'!$A:$A)-3),"")</f>
        <v>123.48962025316456</v>
      </c>
      <c r="AA27" s="131">
        <f>IFERROR('Price History'!F3+(INDEX('Price History'!F:F,MATCH(9.99E+307,'Returns (Calc)'!$A:$A)+1)-'Price History'!F3)*(ROW()-3)/(MATCH(9.99E+307,'Returns (Calc)'!$A:$A)-3),"")</f>
        <v>76.096202531645559</v>
      </c>
      <c r="AB27" s="131">
        <f>IFERROR('Price History'!G3+(INDEX('Price History'!G:G,MATCH(9.99E+307,'Returns (Calc)'!$A:$A)+1)-'Price History'!G3)*(ROW()-3)/(MATCH(9.99E+307,'Returns (Calc)'!$A:$A)-3),"")</f>
        <v>69.039620253164557</v>
      </c>
      <c r="AC27" s="131">
        <f>IFERROR('Price History'!H3+(INDEX('Price History'!H:H,MATCH(9.99E+307,'Returns (Calc)'!$A:$A)+1)-'Price History'!H3)*(ROW()-3)/(MATCH(9.99E+307,'Returns (Calc)'!$A:$A)-3),"")</f>
        <v>221.88670886075948</v>
      </c>
      <c r="AD27" s="131">
        <f>IFERROR('Price History'!I3+(INDEX('Price History'!I:I,MATCH(9.99E+307,'Returns (Calc)'!$A:$A)+1)-'Price History'!I3)*(ROW()-3)/(MATCH(9.99E+307,'Returns (Calc)'!$A:$A)-3),"")</f>
        <v>72.658101265822779</v>
      </c>
      <c r="AE27" s="131">
        <f>IFERROR('Price History'!J3+(INDEX('Price History'!J:J,MATCH(9.99E+307,'Returns (Calc)'!$A:$A)+1)-'Price History'!J3)*(ROW()-3)/(MATCH(9.99E+307,'Returns (Calc)'!$A:$A)-3),"")</f>
        <v>114.43291139240506</v>
      </c>
      <c r="AF27" s="131">
        <f>IFERROR('Price History'!K3+(INDEX('Price History'!K:K,MATCH(9.99E+307,'Returns (Calc)'!$A:$A)+1)-'Price History'!K3)*(ROW()-3)/(MATCH(9.99E+307,'Returns (Calc)'!$A:$A)-3),"")</f>
        <v>41.672278481012661</v>
      </c>
      <c r="AG27" s="131">
        <f>IFERROR('Price History'!L3+(INDEX('Price History'!L:L,MATCH(9.99E+307,'Returns (Calc)'!$A:$A)+1)-'Price History'!L3)*(ROW()-3)/(MATCH(9.99E+307,'Returns (Calc)'!$A:$A)-3),"")</f>
        <v>144.53936708860761</v>
      </c>
      <c r="AH27" s="131">
        <f>IFERROR('Price History'!M3+(INDEX('Price History'!M:M,MATCH(9.99E+307,'Returns (Calc)'!$A:$A)+1)-'Price History'!M3)*(ROW()-3)/(MATCH(9.99E+307,'Returns (Calc)'!$A:$A)-3),"")</f>
        <v>70.550632911392412</v>
      </c>
      <c r="AI27" s="131">
        <f>IFERROR('Price History'!N3+(INDEX('Price History'!N:N,MATCH(9.99E+307,'Returns (Calc)'!$A:$A)+1)-'Price History'!N3)*(ROW()-3)/(MATCH(9.99E+307,'Returns (Calc)'!$A:$A)-3),"")</f>
        <v>372.57037974683544</v>
      </c>
      <c r="AJ27" s="131">
        <f>IFERROR('Price History'!O3+(INDEX('Price History'!O:O,MATCH(9.99E+307,'Returns (Calc)'!$A:$A)+1)-'Price History'!O3)*(ROW()-3)/(MATCH(9.99E+307,'Returns (Calc)'!$A:$A)-3),"")</f>
        <v>82.102911392405062</v>
      </c>
      <c r="AK27" s="131">
        <f>IFERROR('Price History'!Q3+(INDEX('Price History'!Q:Q,MATCH(9.99E+307,'Returns (Calc)'!$A:$A)+1)-'Price History'!Q3)*(ROW()-3)/(MATCH(9.99E+307,'Returns (Calc)'!$A:$A)-3),"")</f>
        <v>10.544810126582279</v>
      </c>
      <c r="AL27" s="131">
        <f>IFERROR('Price History'!R3+(INDEX('Price History'!R:R,MATCH(9.99E+307,'Returns (Calc)'!$A:$A)+1)-'Price History'!R3)*(ROW()-3)/(MATCH(9.99E+307,'Returns (Calc)'!$A:$A)-3),"")</f>
        <v>38.514430379746834</v>
      </c>
      <c r="AM27" s="131">
        <f>IFERROR('Price History'!S3+(INDEX('Price History'!S:S,MATCH(9.99E+307,'Returns (Calc)'!$A:$A)+1)-'Price History'!S3)*(ROW()-3)/(MATCH(9.99E+307,'Returns (Calc)'!$A:$A)-3),"")</f>
        <v>72.151518987341774</v>
      </c>
      <c r="AN27" s="131">
        <f>IFERROR('Price History'!T3+(INDEX('Price History'!T:T,MATCH(9.99E+307,'Returns (Calc)'!$A:$A)+1)-'Price History'!T3)*(ROW()-3)/(MATCH(9.99E+307,'Returns (Calc)'!$A:$A)-3),"")</f>
        <v>29.277468354430379</v>
      </c>
      <c r="AO27" s="132">
        <f>IFERROR('Price History'!V3+(INDEX('Price History'!V:V,MATCH(9.99E+307,'Returns (Calc)'!$A:$A)+1)-'Price History'!V3)*(ROW()-3)/(MATCH(9.99E+307,'Returns (Calc)'!$A:$A)-3),"")</f>
        <v>254.62189873417722</v>
      </c>
      <c r="AP27" s="130">
        <f>IFERROR(IF(OR(NOT(ISNUMBER('Price History'!W28)),NOT(ISNUMBER('Price History'!W27)),'Price History'!W27=0),"",'Price History'!W28/'Price History'!W27-1),"")</f>
        <v>1.0082323559337691E-2</v>
      </c>
      <c r="AQ27" s="130" t="str">
        <f>IFERROR(IF(OR(NOT(ISNUMBER('Price History'!X28)),NOT(ISNUMBER('Price History'!X27)),'Price History'!X27=0),"",'Price History'!X28/'Price History'!X27-1),"")</f>
        <v/>
      </c>
      <c r="AR27" s="130">
        <f>IFERROR(IF(OR(NOT(ISNUMBER('Price History'!Y28)),NOT(ISNUMBER('Price History'!Y27)),'Price History'!Y27=0),"",'Price History'!Y28/'Price History'!Y27-1),"")</f>
        <v>4.9697493517717461E-3</v>
      </c>
      <c r="AS27" s="130">
        <f>IFERROR(IF(OR(NOT(ISNUMBER('Price History'!Z28)),NOT(ISNUMBER('Price History'!Z27)),'Price History'!Z27=0),"",'Price History'!Z28/'Price History'!Z27-1),"")</f>
        <v>5.8682058682058669E-2</v>
      </c>
      <c r="AT27" s="130">
        <f>IFERROR(IF(OR(NOT(ISNUMBER('Price History'!AA28)),NOT(ISNUMBER('Price History'!AA27)),'Price History'!AA27=0),"",'Price History'!AA28/'Price History'!AA27-1),"")</f>
        <v>-2.3413531406426658E-2</v>
      </c>
    </row>
    <row r="28" spans="1:46" ht="15" customHeight="1" x14ac:dyDescent="0.2">
      <c r="A28" s="128">
        <f>IF('Price History'!A29="","",'Price History'!A29)</f>
        <v>45366</v>
      </c>
      <c r="B28" s="129">
        <f>IFERROR(IF(OR(NOT(ISNUMBER('Price History'!B29)),NOT(ISNUMBER('Price History'!B28)),'Price History'!B28=0),"",'Price History'!B29/'Price History'!B28-1),"")</f>
        <v>-0.10736101796298658</v>
      </c>
      <c r="C28" s="129">
        <f>IFERROR(IF(OR(NOT(ISNUMBER('Price History'!C29)),NOT(ISNUMBER('Price History'!C28)),'Price History'!C28=0),"",'Price History'!C29/'Price History'!C28-1),"")</f>
        <v>1.6842413591095617E-2</v>
      </c>
      <c r="D28" s="129">
        <f>IFERROR(IF(OR(NOT(ISNUMBER('Price History'!D29)),NOT(ISNUMBER('Price History'!D28)),'Price History'!D28=0),"",'Price History'!D29/'Price History'!D28-1),"")</f>
        <v>-5.4429171243494001E-2</v>
      </c>
      <c r="E28" s="129">
        <f>IFERROR(IF(OR(NOT(ISNUMBER('Price History'!E29)),NOT(ISNUMBER('Price History'!E28)),'Price History'!E28=0),"",'Price History'!E29/'Price History'!E28-1),"")</f>
        <v>-5.5944055944055826E-2</v>
      </c>
      <c r="F28" s="129">
        <f>IFERROR(IF(OR(NOT(ISNUMBER('Price History'!F29)),NOT(ISNUMBER('Price History'!F28)),'Price History'!F28=0),"",'Price History'!F29/'Price History'!F28-1),"")</f>
        <v>-2.2302069136414304E-2</v>
      </c>
      <c r="G28" s="129">
        <f>IFERROR(IF(OR(NOT(ISNUMBER('Price History'!G29)),NOT(ISNUMBER('Price History'!G28)),'Price History'!G28=0),"",'Price History'!G29/'Price History'!G28-1),"")</f>
        <v>-2.200524628388234E-2</v>
      </c>
      <c r="H28" s="129">
        <f>IFERROR(IF(OR(NOT(ISNUMBER('Price History'!H29)),NOT(ISNUMBER('Price History'!H28)),'Price History'!H28=0),"",'Price History'!H29/'Price History'!H28-1),"")</f>
        <v>-4.4717546215016002E-2</v>
      </c>
      <c r="I28" s="129">
        <f>IFERROR(IF(OR(NOT(ISNUMBER('Price History'!I29)),NOT(ISNUMBER('Price History'!I28)),'Price History'!I28=0),"",'Price History'!I29/'Price History'!I28-1),"")</f>
        <v>3.5517873510542142E-3</v>
      </c>
      <c r="J28" s="129">
        <f>IFERROR(IF(OR(NOT(ISNUMBER('Price History'!J29)),NOT(ISNUMBER('Price History'!J28)),'Price History'!J28=0),"",'Price History'!J29/'Price History'!J28-1),"")</f>
        <v>-3.7757251660994973E-2</v>
      </c>
      <c r="K28" s="129">
        <f>IFERROR(IF(OR(NOT(ISNUMBER('Price History'!K29)),NOT(ISNUMBER('Price History'!K28)),'Price History'!K28=0),"",'Price History'!K29/'Price History'!K28-1),"")</f>
        <v>-9.7926267281105983E-2</v>
      </c>
      <c r="L28" s="129">
        <f>IFERROR(IF(OR(NOT(ISNUMBER('Price History'!L29)),NOT(ISNUMBER('Price History'!L28)),'Price History'!L28=0),"",'Price History'!L29/'Price History'!L28-1),"")</f>
        <v>-6.4189667374380921E-2</v>
      </c>
      <c r="M28" s="129">
        <f>IFERROR(IF(OR(NOT(ISNUMBER('Price History'!M29)),NOT(ISNUMBER('Price History'!M28)),'Price History'!M28=0),"",'Price History'!M29/'Price History'!M28-1),"")</f>
        <v>6.8990454150998026E-2</v>
      </c>
      <c r="N28" s="129">
        <f>IFERROR(IF(OR(NOT(ISNUMBER('Price History'!N29)),NOT(ISNUMBER('Price History'!N28)),'Price History'!N28=0),"",'Price History'!N29/'Price History'!N28-1),"")</f>
        <v>-1.4265335235377985E-2</v>
      </c>
      <c r="O28" s="129">
        <f>IFERROR(IF(OR(NOT(ISNUMBER('Price History'!O29)),NOT(ISNUMBER('Price History'!O28)),'Price History'!O28=0),"",'Price History'!O29/'Price History'!O28-1),"")</f>
        <v>-8.4913341863440683E-3</v>
      </c>
      <c r="P28" s="129">
        <f>IFERROR(IF(OR(NOT(ISNUMBER('Price History'!P29)),NOT(ISNUMBER('Price History'!P28)),'Price History'!P28=0),"",'Price History'!P29/'Price History'!P28-1),"")</f>
        <v>-3.2284844571534022E-3</v>
      </c>
      <c r="Q28" s="129">
        <f>IFERROR(IF(OR(NOT(ISNUMBER('Price History'!Q29)),NOT(ISNUMBER('Price History'!Q28)),'Price History'!Q28=0),"",'Price History'!Q29/'Price History'!Q28-1),"")</f>
        <v>1.8392495861707658E-4</v>
      </c>
      <c r="R28" s="129">
        <f>IFERROR(IF(OR(NOT(ISNUMBER('Price History'!R29)),NOT(ISNUMBER('Price History'!R28)),'Price History'!R28=0),"",'Price History'!R29/'Price History'!R28-1),"")</f>
        <v>-5.2605210420841875E-3</v>
      </c>
      <c r="S28" s="129">
        <f>IFERROR(IF(OR(NOT(ISNUMBER('Price History'!S29)),NOT(ISNUMBER('Price History'!S28)),'Price History'!S28=0),"",'Price History'!S29/'Price History'!S28-1),"")</f>
        <v>-5.1606244355567599E-3</v>
      </c>
      <c r="T28" s="129">
        <f>IFERROR(IF(OR(NOT(ISNUMBER('Price History'!T29)),NOT(ISNUMBER('Price History'!T28)),'Price History'!T28=0),"",'Price History'!T29/'Price History'!T28-1),"")</f>
        <v>1.5493432132030804E-2</v>
      </c>
      <c r="U28" s="129">
        <f>IFERROR(IF(OR(NOT(ISNUMBER('Price History'!U29)),NOT(ISNUMBER('Price History'!U28)),'Price History'!U28=0),"",'Price History'!U29/'Price History'!U28-1),"")</f>
        <v>1.689902830587231E-3</v>
      </c>
      <c r="V28" s="130">
        <f>IFERROR(IF(OR(NOT(ISNUMBER('Price History'!V29)),NOT(ISNUMBER('Price History'!V28)),'Price History'!V28=0),"",'Price History'!V29/'Price History'!V28-1),"")</f>
        <v>1.069791136016307E-2</v>
      </c>
      <c r="W28" s="131">
        <f>IFERROR('Price History'!B3+(INDEX('Price History'!B:B,MATCH(9.99E+307,'Returns (Calc)'!$A:$A)+1)-'Price History'!B3)*(ROW()-3)/(MATCH(9.99E+307,'Returns (Calc)'!$A:$A)-3),"")</f>
        <v>482.8140506329114</v>
      </c>
      <c r="X28" s="131">
        <f>IFERROR('Price History'!C3+(INDEX('Price History'!C:C,MATCH(9.99E+307,'Returns (Calc)'!$A:$A)+1)-'Price History'!C3)*(ROW()-3)/(MATCH(9.99E+307,'Returns (Calc)'!$A:$A)-3),"")</f>
        <v>71.681582278481017</v>
      </c>
      <c r="Y28" s="131">
        <f>IFERROR('Price History'!D3+(INDEX('Price History'!D:D,MATCH(9.99E+307,'Returns (Calc)'!$A:$A)+1)-'Price History'!D3)*(ROW()-3)/(MATCH(9.99E+307,'Returns (Calc)'!$A:$A)-3),"")</f>
        <v>785.38025316455696</v>
      </c>
      <c r="Z28" s="131">
        <f>IFERROR('Price History'!E3+(INDEX('Price History'!E:E,MATCH(9.99E+307,'Returns (Calc)'!$A:$A)+1)-'Price History'!E3)*(ROW()-3)/(MATCH(9.99E+307,'Returns (Calc)'!$A:$A)-3),"")</f>
        <v>125.21835443037975</v>
      </c>
      <c r="AA28" s="131">
        <f>IFERROR('Price History'!F3+(INDEX('Price History'!F:F,MATCH(9.99E+307,'Returns (Calc)'!$A:$A)+1)-'Price History'!F3)*(ROW()-3)/(MATCH(9.99E+307,'Returns (Calc)'!$A:$A)-3),"")</f>
        <v>77.543544303797461</v>
      </c>
      <c r="AB28" s="131">
        <f>IFERROR('Price History'!G3+(INDEX('Price History'!G:G,MATCH(9.99E+307,'Returns (Calc)'!$A:$A)+1)-'Price History'!G3)*(ROW()-3)/(MATCH(9.99E+307,'Returns (Calc)'!$A:$A)-3),"")</f>
        <v>70.068354430379742</v>
      </c>
      <c r="AC28" s="131">
        <f>IFERROR('Price History'!H3+(INDEX('Price History'!H:H,MATCH(9.99E+307,'Returns (Calc)'!$A:$A)+1)-'Price History'!H3)*(ROW()-3)/(MATCH(9.99E+307,'Returns (Calc)'!$A:$A)-3),"")</f>
        <v>228.25240506329118</v>
      </c>
      <c r="AD28" s="131">
        <f>IFERROR('Price History'!I3+(INDEX('Price History'!I:I,MATCH(9.99E+307,'Returns (Calc)'!$A:$A)+1)-'Price History'!I3)*(ROW()-3)/(MATCH(9.99E+307,'Returns (Calc)'!$A:$A)-3),"")</f>
        <v>73.861772151898734</v>
      </c>
      <c r="AE28" s="131">
        <f>IFERROR('Price History'!J3+(INDEX('Price History'!J:J,MATCH(9.99E+307,'Returns (Calc)'!$A:$A)+1)-'Price History'!J3)*(ROW()-3)/(MATCH(9.99E+307,'Returns (Calc)'!$A:$A)-3),"")</f>
        <v>114.54094936708861</v>
      </c>
      <c r="AF28" s="131">
        <f>IFERROR('Price History'!K3+(INDEX('Price History'!K:K,MATCH(9.99E+307,'Returns (Calc)'!$A:$A)+1)-'Price History'!K3)*(ROW()-3)/(MATCH(9.99E+307,'Returns (Calc)'!$A:$A)-3),"")</f>
        <v>42.76987341772152</v>
      </c>
      <c r="AG28" s="131">
        <f>IFERROR('Price History'!L3+(INDEX('Price History'!L:L,MATCH(9.99E+307,'Returns (Calc)'!$A:$A)+1)-'Price History'!L3)*(ROW()-3)/(MATCH(9.99E+307,'Returns (Calc)'!$A:$A)-3),"")</f>
        <v>146.9889240506329</v>
      </c>
      <c r="AH28" s="131">
        <f>IFERROR('Price History'!M3+(INDEX('Price History'!M:M,MATCH(9.99E+307,'Returns (Calc)'!$A:$A)+1)-'Price History'!M3)*(ROW()-3)/(MATCH(9.99E+307,'Returns (Calc)'!$A:$A)-3),"")</f>
        <v>71.906075949367093</v>
      </c>
      <c r="AI28" s="131">
        <f>IFERROR('Price History'!N3+(INDEX('Price History'!N:N,MATCH(9.99E+307,'Returns (Calc)'!$A:$A)+1)-'Price History'!N3)*(ROW()-3)/(MATCH(9.99E+307,'Returns (Calc)'!$A:$A)-3),"")</f>
        <v>373.55664556962023</v>
      </c>
      <c r="AJ28" s="131">
        <f>IFERROR('Price History'!O3+(INDEX('Price History'!O:O,MATCH(9.99E+307,'Returns (Calc)'!$A:$A)+1)-'Price History'!O3)*(ROW()-3)/(MATCH(9.99E+307,'Returns (Calc)'!$A:$A)-3),"")</f>
        <v>82.385949367088614</v>
      </c>
      <c r="AK28" s="131">
        <f>IFERROR('Price History'!Q3+(INDEX('Price History'!Q:Q,MATCH(9.99E+307,'Returns (Calc)'!$A:$A)+1)-'Price History'!Q3)*(ROW()-3)/(MATCH(9.99E+307,'Returns (Calc)'!$A:$A)-3),"")</f>
        <v>10.984177215189874</v>
      </c>
      <c r="AL28" s="131">
        <f>IFERROR('Price History'!R3+(INDEX('Price History'!R:R,MATCH(9.99E+307,'Returns (Calc)'!$A:$A)+1)-'Price History'!R3)*(ROW()-3)/(MATCH(9.99E+307,'Returns (Calc)'!$A:$A)-3),"")</f>
        <v>38.682531645569618</v>
      </c>
      <c r="AM28" s="131">
        <f>IFERROR('Price History'!S3+(INDEX('Price History'!S:S,MATCH(9.99E+307,'Returns (Calc)'!$A:$A)+1)-'Price History'!S3)*(ROW()-3)/(MATCH(9.99E+307,'Returns (Calc)'!$A:$A)-3),"")</f>
        <v>72.756582278481019</v>
      </c>
      <c r="AN28" s="131">
        <f>IFERROR('Price History'!T3+(INDEX('Price History'!T:T,MATCH(9.99E+307,'Returns (Calc)'!$A:$A)+1)-'Price History'!T3)*(ROW()-3)/(MATCH(9.99E+307,'Returns (Calc)'!$A:$A)-3),"")</f>
        <v>29.445696202531643</v>
      </c>
      <c r="AO28" s="132">
        <f>IFERROR('Price History'!V3+(INDEX('Price History'!V:V,MATCH(9.99E+307,'Returns (Calc)'!$A:$A)+1)-'Price History'!V3)*(ROW()-3)/(MATCH(9.99E+307,'Returns (Calc)'!$A:$A)-3),"")</f>
        <v>255.41322784810126</v>
      </c>
      <c r="AP28" s="130">
        <f>IFERROR(IF(OR(NOT(ISNUMBER('Price History'!W29)),NOT(ISNUMBER('Price History'!W28)),'Price History'!W28=0),"",'Price History'!W29/'Price History'!W28-1),"")</f>
        <v>2.1062271062270987E-3</v>
      </c>
      <c r="AQ28" s="130" t="str">
        <f>IFERROR(IF(OR(NOT(ISNUMBER('Price History'!X29)),NOT(ISNUMBER('Price History'!X28)),'Price History'!X28=0),"",'Price History'!X29/'Price History'!X28-1),"")</f>
        <v/>
      </c>
      <c r="AR28" s="130">
        <f>IFERROR(IF(OR(NOT(ISNUMBER('Price History'!Y29)),NOT(ISNUMBER('Price History'!Y28)),'Price History'!Y28=0),"",'Price History'!Y29/'Price History'!Y28-1),"")</f>
        <v>-2.1500752526338873E-3</v>
      </c>
      <c r="AS28" s="130">
        <f>IFERROR(IF(OR(NOT(ISNUMBER('Price History'!Z29)),NOT(ISNUMBER('Price History'!Z28)),'Price History'!Z28=0),"",'Price History'!Z29/'Price History'!Z28-1),"")</f>
        <v>5.5277903983037557E-3</v>
      </c>
      <c r="AT28" s="130">
        <f>IFERROR(IF(OR(NOT(ISNUMBER('Price History'!AA29)),NOT(ISNUMBER('Price History'!AA28)),'Price History'!AA28=0),"",'Price History'!AA29/'Price History'!AA28-1),"")</f>
        <v>1.8187830687832474E-3</v>
      </c>
    </row>
    <row r="29" spans="1:46" ht="15" customHeight="1" x14ac:dyDescent="0.2">
      <c r="A29" s="128">
        <f>IF('Price History'!A30="","",'Price History'!A30)</f>
        <v>45373</v>
      </c>
      <c r="B29" s="129">
        <f>IFERROR(IF(OR(NOT(ISNUMBER('Price History'!B30)),NOT(ISNUMBER('Price History'!B29)),'Price History'!B29=0),"",'Price History'!B30/'Price History'!B29-1),"")</f>
        <v>1.4336189741298799E-2</v>
      </c>
      <c r="C29" s="129">
        <f>IFERROR(IF(OR(NOT(ISNUMBER('Price History'!C30)),NOT(ISNUMBER('Price History'!C29)),'Price History'!C29=0),"",'Price History'!C30/'Price History'!C29-1),"")</f>
        <v>0.10341351001008192</v>
      </c>
      <c r="D29" s="129">
        <f>IFERROR(IF(OR(NOT(ISNUMBER('Price History'!D30)),NOT(ISNUMBER('Price History'!D29)),'Price History'!D29=0),"",'Price History'!D30/'Price History'!D29-1),"")</f>
        <v>4.2275999088037031E-2</v>
      </c>
      <c r="E29" s="129">
        <f>IFERROR(IF(OR(NOT(ISNUMBER('Price History'!E30)),NOT(ISNUMBER('Price History'!E29)),'Price History'!E29=0),"",'Price History'!E30/'Price History'!E29-1),"")</f>
        <v>0.10020807324178094</v>
      </c>
      <c r="F29" s="129">
        <f>IFERROR(IF(OR(NOT(ISNUMBER('Price History'!F30)),NOT(ISNUMBER('Price History'!F29)),'Price History'!F29=0),"",'Price History'!F30/'Price History'!F29-1),"")</f>
        <v>3.7764541883158032E-2</v>
      </c>
      <c r="G29" s="129">
        <f>IFERROR(IF(OR(NOT(ISNUMBER('Price History'!G30)),NOT(ISNUMBER('Price History'!G29)),'Price History'!G29=0),"",'Price History'!G30/'Price History'!G29-1),"")</f>
        <v>3.904038146326938E-2</v>
      </c>
      <c r="H29" s="129">
        <f>IFERROR(IF(OR(NOT(ISNUMBER('Price History'!H30)),NOT(ISNUMBER('Price History'!H29)),'Price History'!H29=0),"",'Price History'!H30/'Price History'!H29-1),"")</f>
        <v>0.1818378378378378</v>
      </c>
      <c r="I29" s="129">
        <f>IFERROR(IF(OR(NOT(ISNUMBER('Price History'!I30)),NOT(ISNUMBER('Price History'!I29)),'Price History'!I29=0),"",'Price History'!I30/'Price History'!I29-1),"")</f>
        <v>7.3410206644594078E-2</v>
      </c>
      <c r="J29" s="129">
        <f>IFERROR(IF(OR(NOT(ISNUMBER('Price History'!J30)),NOT(ISNUMBER('Price History'!J29)),'Price History'!J29=0),"",'Price History'!J30/'Price History'!J29-1),"")</f>
        <v>-3.0313236780060704E-3</v>
      </c>
      <c r="K29" s="129">
        <f>IFERROR(IF(OR(NOT(ISNUMBER('Price History'!K30)),NOT(ISNUMBER('Price History'!K29)),'Price History'!K29=0),"",'Price History'!K30/'Price History'!K29-1),"")</f>
        <v>2.9374201787994991E-2</v>
      </c>
      <c r="L29" s="129">
        <f>IFERROR(IF(OR(NOT(ISNUMBER('Price History'!L30)),NOT(ISNUMBER('Price History'!L29)),'Price History'!L29=0),"",'Price History'!L30/'Price History'!L29-1),"")</f>
        <v>3.0174695606140833E-2</v>
      </c>
      <c r="M29" s="129">
        <f>IFERROR(IF(OR(NOT(ISNUMBER('Price History'!M30)),NOT(ISNUMBER('Price History'!M29)),'Price History'!M29=0),"",'Price History'!M30/'Price History'!M29-1),"")</f>
        <v>0.11283994046813706</v>
      </c>
      <c r="N29" s="129">
        <f>IFERROR(IF(OR(NOT(ISNUMBER('Price History'!N30)),NOT(ISNUMBER('Price History'!N29)),'Price History'!N29=0),"",'Price History'!N30/'Price History'!N29-1),"")</f>
        <v>1.954916725943745E-2</v>
      </c>
      <c r="O29" s="129">
        <f>IFERROR(IF(OR(NOT(ISNUMBER('Price History'!O30)),NOT(ISNUMBER('Price History'!O29)),'Price History'!O29=0),"",'Price History'!O30/'Price History'!O29-1),"")</f>
        <v>2.7334584702017883E-2</v>
      </c>
      <c r="P29" s="129">
        <f>IFERROR(IF(OR(NOT(ISNUMBER('Price History'!P30)),NOT(ISNUMBER('Price History'!P29)),'Price History'!P29=0),"",'Price History'!P30/'Price History'!P29-1),"")</f>
        <v>1.6194706644456769E-2</v>
      </c>
      <c r="Q29" s="129">
        <f>IFERROR(IF(OR(NOT(ISNUMBER('Price History'!Q30)),NOT(ISNUMBER('Price History'!Q29)),'Price History'!Q29=0),"",'Price History'!Q30/'Price History'!Q29-1),"")</f>
        <v>1.2136815005516777E-2</v>
      </c>
      <c r="R29" s="129">
        <f>IFERROR(IF(OR(NOT(ISNUMBER('Price History'!R30)),NOT(ISNUMBER('Price History'!R29)),'Price History'!R29=0),"",'Price History'!R30/'Price History'!R29-1),"")</f>
        <v>2.5686225132208307E-2</v>
      </c>
      <c r="S29" s="129">
        <f>IFERROR(IF(OR(NOT(ISNUMBER('Price History'!S30)),NOT(ISNUMBER('Price History'!S29)),'Price History'!S29=0),"",'Price History'!S30/'Price History'!S29-1),"")</f>
        <v>3.0086888860070049E-2</v>
      </c>
      <c r="T29" s="129">
        <f>IFERROR(IF(OR(NOT(ISNUMBER('Price History'!T30)),NOT(ISNUMBER('Price History'!T29)),'Price History'!T29=0),"",'Price History'!T30/'Price History'!T29-1),"")</f>
        <v>2.4212271973466093E-2</v>
      </c>
      <c r="U29" s="129">
        <f>IFERROR(IF(OR(NOT(ISNUMBER('Price History'!U30)),NOT(ISNUMBER('Price History'!U29)),'Price History'!U29=0),"",'Price History'!U30/'Price History'!U29-1),"")</f>
        <v>1.8557570645297172E-2</v>
      </c>
      <c r="V29" s="130">
        <f>IFERROR(IF(OR(NOT(ISNUMBER('Price History'!V30)),NOT(ISNUMBER('Price History'!V29)),'Price History'!V29=0),"",'Price History'!V30/'Price History'!V29-1),"")</f>
        <v>7.9205069124443916E-4</v>
      </c>
      <c r="W29" s="131">
        <f>IFERROR('Price History'!B3+(INDEX('Price History'!B:B,MATCH(9.99E+307,'Returns (Calc)'!$A:$A)+1)-'Price History'!B3)*(ROW()-3)/(MATCH(9.99E+307,'Returns (Calc)'!$A:$A)-3),"")</f>
        <v>480.97101265822783</v>
      </c>
      <c r="X29" s="131">
        <f>IFERROR('Price History'!C3+(INDEX('Price History'!C:C,MATCH(9.99E+307,'Returns (Calc)'!$A:$A)+1)-'Price History'!C3)*(ROW()-3)/(MATCH(9.99E+307,'Returns (Calc)'!$A:$A)-3),"")</f>
        <v>72.701645569620254</v>
      </c>
      <c r="Y29" s="131">
        <f>IFERROR('Price History'!D3+(INDEX('Price History'!D:D,MATCH(9.99E+307,'Returns (Calc)'!$A:$A)+1)-'Price History'!D3)*(ROW()-3)/(MATCH(9.99E+307,'Returns (Calc)'!$A:$A)-3),"")</f>
        <v>793.5150632911392</v>
      </c>
      <c r="Z29" s="131">
        <f>IFERROR('Price History'!E3+(INDEX('Price History'!E:E,MATCH(9.99E+307,'Returns (Calc)'!$A:$A)+1)-'Price History'!E3)*(ROW()-3)/(MATCH(9.99E+307,'Returns (Calc)'!$A:$A)-3),"")</f>
        <v>126.94708860759494</v>
      </c>
      <c r="AA29" s="131">
        <f>IFERROR('Price History'!F3+(INDEX('Price History'!F:F,MATCH(9.99E+307,'Returns (Calc)'!$A:$A)+1)-'Price History'!F3)*(ROW()-3)/(MATCH(9.99E+307,'Returns (Calc)'!$A:$A)-3),"")</f>
        <v>78.990886075949362</v>
      </c>
      <c r="AB29" s="131">
        <f>IFERROR('Price History'!G3+(INDEX('Price History'!G:G,MATCH(9.99E+307,'Returns (Calc)'!$A:$A)+1)-'Price History'!G3)*(ROW()-3)/(MATCH(9.99E+307,'Returns (Calc)'!$A:$A)-3),"")</f>
        <v>71.097088607594941</v>
      </c>
      <c r="AC29" s="131">
        <f>IFERROR('Price History'!H3+(INDEX('Price History'!H:H,MATCH(9.99E+307,'Returns (Calc)'!$A:$A)+1)-'Price History'!H3)*(ROW()-3)/(MATCH(9.99E+307,'Returns (Calc)'!$A:$A)-3),"")</f>
        <v>234.61810126582282</v>
      </c>
      <c r="AD29" s="131">
        <f>IFERROR('Price History'!I3+(INDEX('Price History'!I:I,MATCH(9.99E+307,'Returns (Calc)'!$A:$A)+1)-'Price History'!I3)*(ROW()-3)/(MATCH(9.99E+307,'Returns (Calc)'!$A:$A)-3),"")</f>
        <v>75.065443037974688</v>
      </c>
      <c r="AE29" s="131">
        <f>IFERROR('Price History'!J3+(INDEX('Price History'!J:J,MATCH(9.99E+307,'Returns (Calc)'!$A:$A)+1)-'Price History'!J3)*(ROW()-3)/(MATCH(9.99E+307,'Returns (Calc)'!$A:$A)-3),"")</f>
        <v>114.64898734177216</v>
      </c>
      <c r="AF29" s="131">
        <f>IFERROR('Price History'!K3+(INDEX('Price History'!K:K,MATCH(9.99E+307,'Returns (Calc)'!$A:$A)+1)-'Price History'!K3)*(ROW()-3)/(MATCH(9.99E+307,'Returns (Calc)'!$A:$A)-3),"")</f>
        <v>43.867468354430379</v>
      </c>
      <c r="AG29" s="131">
        <f>IFERROR('Price History'!L3+(INDEX('Price History'!L:L,MATCH(9.99E+307,'Returns (Calc)'!$A:$A)+1)-'Price History'!L3)*(ROW()-3)/(MATCH(9.99E+307,'Returns (Calc)'!$A:$A)-3),"")</f>
        <v>149.43848101265823</v>
      </c>
      <c r="AH29" s="131">
        <f>IFERROR('Price History'!M3+(INDEX('Price History'!M:M,MATCH(9.99E+307,'Returns (Calc)'!$A:$A)+1)-'Price History'!M3)*(ROW()-3)/(MATCH(9.99E+307,'Returns (Calc)'!$A:$A)-3),"")</f>
        <v>73.261518987341773</v>
      </c>
      <c r="AI29" s="131">
        <f>IFERROR('Price History'!N3+(INDEX('Price History'!N:N,MATCH(9.99E+307,'Returns (Calc)'!$A:$A)+1)-'Price History'!N3)*(ROW()-3)/(MATCH(9.99E+307,'Returns (Calc)'!$A:$A)-3),"")</f>
        <v>374.54291139240502</v>
      </c>
      <c r="AJ29" s="131">
        <f>IFERROR('Price History'!O3+(INDEX('Price History'!O:O,MATCH(9.99E+307,'Returns (Calc)'!$A:$A)+1)-'Price History'!O3)*(ROW()-3)/(MATCH(9.99E+307,'Returns (Calc)'!$A:$A)-3),"")</f>
        <v>82.668987341772151</v>
      </c>
      <c r="AK29" s="131">
        <f>IFERROR('Price History'!Q3+(INDEX('Price History'!Q:Q,MATCH(9.99E+307,'Returns (Calc)'!$A:$A)+1)-'Price History'!Q3)*(ROW()-3)/(MATCH(9.99E+307,'Returns (Calc)'!$A:$A)-3),"")</f>
        <v>11.423544303797469</v>
      </c>
      <c r="AL29" s="131">
        <f>IFERROR('Price History'!R3+(INDEX('Price History'!R:R,MATCH(9.99E+307,'Returns (Calc)'!$A:$A)+1)-'Price History'!R3)*(ROW()-3)/(MATCH(9.99E+307,'Returns (Calc)'!$A:$A)-3),"")</f>
        <v>38.850632911392402</v>
      </c>
      <c r="AM29" s="131">
        <f>IFERROR('Price History'!S3+(INDEX('Price History'!S:S,MATCH(9.99E+307,'Returns (Calc)'!$A:$A)+1)-'Price History'!S3)*(ROW()-3)/(MATCH(9.99E+307,'Returns (Calc)'!$A:$A)-3),"")</f>
        <v>73.361645569620251</v>
      </c>
      <c r="AN29" s="131">
        <f>IFERROR('Price History'!T3+(INDEX('Price History'!T:T,MATCH(9.99E+307,'Returns (Calc)'!$A:$A)+1)-'Price History'!T3)*(ROW()-3)/(MATCH(9.99E+307,'Returns (Calc)'!$A:$A)-3),"")</f>
        <v>29.61392405063291</v>
      </c>
      <c r="AO29" s="132">
        <f>IFERROR('Price History'!V3+(INDEX('Price History'!V:V,MATCH(9.99E+307,'Returns (Calc)'!$A:$A)+1)-'Price History'!V3)*(ROW()-3)/(MATCH(9.99E+307,'Returns (Calc)'!$A:$A)-3),"")</f>
        <v>256.20455696202532</v>
      </c>
      <c r="AP29" s="130">
        <f>IFERROR(IF(OR(NOT(ISNUMBER('Price History'!W30)),NOT(ISNUMBER('Price History'!W29)),'Price History'!W29=0),"",'Price History'!W30/'Price History'!W29-1),"")</f>
        <v>1.8459289043224025E-2</v>
      </c>
      <c r="AQ29" s="130" t="str">
        <f>IFERROR(IF(OR(NOT(ISNUMBER('Price History'!X30)),NOT(ISNUMBER('Price History'!X29)),'Price History'!X29=0),"",'Price History'!X30/'Price History'!X29-1),"")</f>
        <v/>
      </c>
      <c r="AR29" s="130">
        <f>IFERROR(IF(OR(NOT(ISNUMBER('Price History'!Y30)),NOT(ISNUMBER('Price History'!Y29)),'Price History'!Y29=0),"",'Price History'!Y30/'Price History'!Y29-1),"")</f>
        <v>8.6188321482441044E-3</v>
      </c>
      <c r="AS29" s="130">
        <f>IFERROR(IF(OR(NOT(ISNUMBER('Price History'!Z30)),NOT(ISNUMBER('Price History'!Z29)),'Price History'!Z29=0),"",'Price History'!Z30/'Price History'!Z29-1),"")</f>
        <v>3.7050982754725625E-2</v>
      </c>
      <c r="AT29" s="130">
        <f>IFERROR(IF(OR(NOT(ISNUMBER('Price History'!AA30)),NOT(ISNUMBER('Price History'!AA29)),'Price History'!AA29=0),"",'Price History'!AA30/'Price History'!AA29-1),"")</f>
        <v>3.6474665786433214E-2</v>
      </c>
    </row>
    <row r="30" spans="1:46" ht="15" customHeight="1" x14ac:dyDescent="0.2">
      <c r="A30" s="128">
        <f>IF('Price History'!A31="","",'Price History'!A31)</f>
        <v>45380</v>
      </c>
      <c r="B30" s="129">
        <f>IFERROR(IF(OR(NOT(ISNUMBER('Price History'!B31)),NOT(ISNUMBER('Price History'!B30)),'Price History'!B30=0),"",'Price History'!B31/'Price History'!B30-1),"")</f>
        <v>1.0169762972453533E-2</v>
      </c>
      <c r="C30" s="129">
        <f>IFERROR(IF(OR(NOT(ISNUMBER('Price History'!C31)),NOT(ISNUMBER('Price History'!C30)),'Price History'!C30=0),"",'Price History'!C31/'Price History'!C30-1),"")</f>
        <v>-5.3648348779532729E-2</v>
      </c>
      <c r="D30" s="129">
        <f>IFERROR(IF(OR(NOT(ISNUMBER('Price History'!D31)),NOT(ISNUMBER('Price History'!D30)),'Price History'!D30=0),"",'Price History'!D31/'Price History'!D30-1),"")</f>
        <v>-9.6871972750851576E-3</v>
      </c>
      <c r="E30" s="129">
        <f>IFERROR(IF(OR(NOT(ISNUMBER('Price History'!E31)),NOT(ISNUMBER('Price History'!E30)),'Price History'!E30=0),"",'Price History'!E31/'Price History'!E30-1),"")</f>
        <v>-2.0727740373704617E-2</v>
      </c>
      <c r="F30" s="129">
        <f>IFERROR(IF(OR(NOT(ISNUMBER('Price History'!F31)),NOT(ISNUMBER('Price History'!F30)),'Price History'!F30=0),"",'Price History'!F31/'Price History'!F30-1),"")</f>
        <v>-2.1248015630724093E-2</v>
      </c>
      <c r="G30" s="129">
        <f>IFERROR(IF(OR(NOT(ISNUMBER('Price History'!G31)),NOT(ISNUMBER('Price History'!G30)),'Price History'!G30=0),"",'Price History'!G31/'Price History'!G30-1),"")</f>
        <v>-1.6922415029399174E-2</v>
      </c>
      <c r="H30" s="129">
        <f>IFERROR(IF(OR(NOT(ISNUMBER('Price History'!H31)),NOT(ISNUMBER('Price History'!H30)),'Price History'!H30=0),"",'Price History'!H31/'Price History'!H30-1),"")</f>
        <v>7.0709842663739586E-2</v>
      </c>
      <c r="I30" s="129">
        <f>IFERROR(IF(OR(NOT(ISNUMBER('Price History'!I31)),NOT(ISNUMBER('Price History'!I30)),'Price History'!I30=0),"",'Price History'!I31/'Price History'!I30-1),"")</f>
        <v>-4.1693256753882135E-2</v>
      </c>
      <c r="J30" s="129">
        <f>IFERROR(IF(OR(NOT(ISNUMBER('Price History'!J31)),NOT(ISNUMBER('Price History'!J30)),'Price History'!J30=0),"",'Price History'!J31/'Price History'!J30-1),"")</f>
        <v>1.2415540540540615E-2</v>
      </c>
      <c r="K30" s="129">
        <f>IFERROR(IF(OR(NOT(ISNUMBER('Price History'!K31)),NOT(ISNUMBER('Price History'!K30)),'Price History'!K30=0),"",'Price History'!K31/'Price History'!K30-1),"")</f>
        <v>-4.8387096774193505E-2</v>
      </c>
      <c r="L30" s="129">
        <f>IFERROR(IF(OR(NOT(ISNUMBER('Price History'!L31)),NOT(ISNUMBER('Price History'!L30)),'Price History'!L30=0),"",'Price History'!L31/'Price History'!L30-1),"")</f>
        <v>-3.1933636764058138E-2</v>
      </c>
      <c r="M30" s="129">
        <f>IFERROR(IF(OR(NOT(ISNUMBER('Price History'!M31)),NOT(ISNUMBER('Price History'!M30)),'Price History'!M30=0),"",'Price History'!M31/'Price History'!M30-1),"")</f>
        <v>-9.9696048632218481E-3</v>
      </c>
      <c r="N30" s="129">
        <f>IFERROR(IF(OR(NOT(ISNUMBER('Price History'!N31)),NOT(ISNUMBER('Price History'!N30)),'Price History'!N30=0),"",'Price History'!N31/'Price History'!N30-1),"")</f>
        <v>5.6536592407254727E-3</v>
      </c>
      <c r="O30" s="129">
        <f>IFERROR(IF(OR(NOT(ISNUMBER('Price History'!O31)),NOT(ISNUMBER('Price History'!O30)),'Price History'!O30=0),"",'Price History'!O31/'Price History'!O30-1),"")</f>
        <v>2.8662784058467672E-2</v>
      </c>
      <c r="P30" s="129">
        <f>IFERROR(IF(OR(NOT(ISNUMBER('Price History'!P31)),NOT(ISNUMBER('Price History'!P30)),'Price History'!P30=0),"",'Price History'!P31/'Price History'!P30-1),"")</f>
        <v>2.5225389308806134E-2</v>
      </c>
      <c r="Q30" s="129">
        <f>IFERROR(IF(OR(NOT(ISNUMBER('Price History'!Q31)),NOT(ISNUMBER('Price History'!Q30)),'Price History'!Q30=0),"",'Price History'!Q31/'Price History'!Q30-1),"")</f>
        <v>7.2674418604656843E-4</v>
      </c>
      <c r="R30" s="129">
        <f>IFERROR(IF(OR(NOT(ISNUMBER('Price History'!R31)),NOT(ISNUMBER('Price History'!R30)),'Price History'!R30=0),"",'Price History'!R31/'Price History'!R30-1),"")</f>
        <v>-4.9103854652576828E-4</v>
      </c>
      <c r="S30" s="129">
        <f>IFERROR(IF(OR(NOT(ISNUMBER('Price History'!S31)),NOT(ISNUMBER('Price History'!S30)),'Price History'!S30=0),"",'Price History'!S31/'Price History'!S30-1),"")</f>
        <v>-7.5538209744430151E-3</v>
      </c>
      <c r="T30" s="129">
        <f>IFERROR(IF(OR(NOT(ISNUMBER('Price History'!T31)),NOT(ISNUMBER('Price History'!T30)),'Price History'!T30=0),"",'Price History'!T31/'Price History'!T30-1),"")</f>
        <v>1.5544041450777257E-2</v>
      </c>
      <c r="U30" s="129">
        <f>IFERROR(IF(OR(NOT(ISNUMBER('Price History'!U31)),NOT(ISNUMBER('Price History'!U30)),'Price History'!U30=0),"",'Price History'!U31/'Price History'!U30-1),"")</f>
        <v>1.5734989648033215E-2</v>
      </c>
      <c r="V30" s="130">
        <f>IFERROR(IF(OR(NOT(ISNUMBER('Price History'!V31)),NOT(ISNUMBER('Price History'!V30)),'Price History'!V30=0),"",'Price History'!V31/'Price History'!V30-1),"")</f>
        <v>-1.4749262536873253E-2</v>
      </c>
      <c r="W30" s="131">
        <f>IFERROR('Price History'!B3+(INDEX('Price History'!B:B,MATCH(9.99E+307,'Returns (Calc)'!$A:$A)+1)-'Price History'!B3)*(ROW()-3)/(MATCH(9.99E+307,'Returns (Calc)'!$A:$A)-3),"")</f>
        <v>479.12797468354427</v>
      </c>
      <c r="X30" s="131">
        <f>IFERROR('Price History'!C3+(INDEX('Price History'!C:C,MATCH(9.99E+307,'Returns (Calc)'!$A:$A)+1)-'Price History'!C3)*(ROW()-3)/(MATCH(9.99E+307,'Returns (Calc)'!$A:$A)-3),"")</f>
        <v>73.721708860759492</v>
      </c>
      <c r="Y30" s="131">
        <f>IFERROR('Price History'!D3+(INDEX('Price History'!D:D,MATCH(9.99E+307,'Returns (Calc)'!$A:$A)+1)-'Price History'!D3)*(ROW()-3)/(MATCH(9.99E+307,'Returns (Calc)'!$A:$A)-3),"")</f>
        <v>801.64987341772144</v>
      </c>
      <c r="Z30" s="131">
        <f>IFERROR('Price History'!E3+(INDEX('Price History'!E:E,MATCH(9.99E+307,'Returns (Calc)'!$A:$A)+1)-'Price History'!E3)*(ROW()-3)/(MATCH(9.99E+307,'Returns (Calc)'!$A:$A)-3),"")</f>
        <v>128.67582278481012</v>
      </c>
      <c r="AA30" s="131">
        <f>IFERROR('Price History'!F3+(INDEX('Price History'!F:F,MATCH(9.99E+307,'Returns (Calc)'!$A:$A)+1)-'Price History'!F3)*(ROW()-3)/(MATCH(9.99E+307,'Returns (Calc)'!$A:$A)-3),"")</f>
        <v>80.438227848101263</v>
      </c>
      <c r="AB30" s="131">
        <f>IFERROR('Price History'!G3+(INDEX('Price History'!G:G,MATCH(9.99E+307,'Returns (Calc)'!$A:$A)+1)-'Price History'!G3)*(ROW()-3)/(MATCH(9.99E+307,'Returns (Calc)'!$A:$A)-3),"")</f>
        <v>72.125822784810126</v>
      </c>
      <c r="AC30" s="131">
        <f>IFERROR('Price History'!H3+(INDEX('Price History'!H:H,MATCH(9.99E+307,'Returns (Calc)'!$A:$A)+1)-'Price History'!H3)*(ROW()-3)/(MATCH(9.99E+307,'Returns (Calc)'!$A:$A)-3),"")</f>
        <v>240.98379746835445</v>
      </c>
      <c r="AD30" s="131">
        <f>IFERROR('Price History'!I3+(INDEX('Price History'!I:I,MATCH(9.99E+307,'Returns (Calc)'!$A:$A)+1)-'Price History'!I3)*(ROW()-3)/(MATCH(9.99E+307,'Returns (Calc)'!$A:$A)-3),"")</f>
        <v>76.269113924050629</v>
      </c>
      <c r="AE30" s="131">
        <f>IFERROR('Price History'!J3+(INDEX('Price History'!J:J,MATCH(9.99E+307,'Returns (Calc)'!$A:$A)+1)-'Price History'!J3)*(ROW()-3)/(MATCH(9.99E+307,'Returns (Calc)'!$A:$A)-3),"")</f>
        <v>114.7570253164557</v>
      </c>
      <c r="AF30" s="131">
        <f>IFERROR('Price History'!K3+(INDEX('Price History'!K:K,MATCH(9.99E+307,'Returns (Calc)'!$A:$A)+1)-'Price History'!K3)*(ROW()-3)/(MATCH(9.99E+307,'Returns (Calc)'!$A:$A)-3),"")</f>
        <v>44.965063291139238</v>
      </c>
      <c r="AG30" s="131">
        <f>IFERROR('Price History'!L3+(INDEX('Price History'!L:L,MATCH(9.99E+307,'Returns (Calc)'!$A:$A)+1)-'Price History'!L3)*(ROW()-3)/(MATCH(9.99E+307,'Returns (Calc)'!$A:$A)-3),"")</f>
        <v>151.88803797468353</v>
      </c>
      <c r="AH30" s="131">
        <f>IFERROR('Price History'!M3+(INDEX('Price History'!M:M,MATCH(9.99E+307,'Returns (Calc)'!$A:$A)+1)-'Price History'!M3)*(ROW()-3)/(MATCH(9.99E+307,'Returns (Calc)'!$A:$A)-3),"")</f>
        <v>74.616962025316454</v>
      </c>
      <c r="AI30" s="131">
        <f>IFERROR('Price History'!N3+(INDEX('Price History'!N:N,MATCH(9.99E+307,'Returns (Calc)'!$A:$A)+1)-'Price History'!N3)*(ROW()-3)/(MATCH(9.99E+307,'Returns (Calc)'!$A:$A)-3),"")</f>
        <v>375.52917721518986</v>
      </c>
      <c r="AJ30" s="131">
        <f>IFERROR('Price History'!O3+(INDEX('Price History'!O:O,MATCH(9.99E+307,'Returns (Calc)'!$A:$A)+1)-'Price History'!O3)*(ROW()-3)/(MATCH(9.99E+307,'Returns (Calc)'!$A:$A)-3),"")</f>
        <v>82.952025316455703</v>
      </c>
      <c r="AK30" s="131">
        <f>IFERROR('Price History'!Q3+(INDEX('Price History'!Q:Q,MATCH(9.99E+307,'Returns (Calc)'!$A:$A)+1)-'Price History'!Q3)*(ROW()-3)/(MATCH(9.99E+307,'Returns (Calc)'!$A:$A)-3),"")</f>
        <v>11.862911392405064</v>
      </c>
      <c r="AL30" s="131">
        <f>IFERROR('Price History'!R3+(INDEX('Price History'!R:R,MATCH(9.99E+307,'Returns (Calc)'!$A:$A)+1)-'Price History'!R3)*(ROW()-3)/(MATCH(9.99E+307,'Returns (Calc)'!$A:$A)-3),"")</f>
        <v>39.018734177215187</v>
      </c>
      <c r="AM30" s="131">
        <f>IFERROR('Price History'!S3+(INDEX('Price History'!S:S,MATCH(9.99E+307,'Returns (Calc)'!$A:$A)+1)-'Price History'!S3)*(ROW()-3)/(MATCH(9.99E+307,'Returns (Calc)'!$A:$A)-3),"")</f>
        <v>73.966708860759496</v>
      </c>
      <c r="AN30" s="131">
        <f>IFERROR('Price History'!T3+(INDEX('Price History'!T:T,MATCH(9.99E+307,'Returns (Calc)'!$A:$A)+1)-'Price History'!T3)*(ROW()-3)/(MATCH(9.99E+307,'Returns (Calc)'!$A:$A)-3),"")</f>
        <v>29.782151898734178</v>
      </c>
      <c r="AO30" s="132">
        <f>IFERROR('Price History'!V3+(INDEX('Price History'!V:V,MATCH(9.99E+307,'Returns (Calc)'!$A:$A)+1)-'Price History'!V3)*(ROW()-3)/(MATCH(9.99E+307,'Returns (Calc)'!$A:$A)-3),"")</f>
        <v>256.99588607594939</v>
      </c>
      <c r="AP30" s="130">
        <f>IFERROR(IF(OR(NOT(ISNUMBER('Price History'!W31)),NOT(ISNUMBER('Price History'!W30)),'Price History'!W30=0),"",'Price History'!W31/'Price History'!W30-1),"")</f>
        <v>1.6061013907581856E-2</v>
      </c>
      <c r="AQ30" s="130" t="str">
        <f>IFERROR(IF(OR(NOT(ISNUMBER('Price History'!X31)),NOT(ISNUMBER('Price History'!X30)),'Price History'!X30=0),"",'Price History'!X31/'Price History'!X30-1),"")</f>
        <v/>
      </c>
      <c r="AR30" s="130">
        <f>IFERROR(IF(OR(NOT(ISNUMBER('Price History'!Y31)),NOT(ISNUMBER('Price History'!Y30)),'Price History'!Y30=0),"",'Price History'!Y31/'Price History'!Y30-1),"")</f>
        <v>6.8361461226233988E-3</v>
      </c>
      <c r="AS30" s="130">
        <f>IFERROR(IF(OR(NOT(ISNUMBER('Price History'!Z31)),NOT(ISNUMBER('Price History'!Z30)),'Price History'!Z30=0),"",'Price History'!Z31/'Price History'!Z30-1),"")</f>
        <v>2.1784910318785045E-3</v>
      </c>
      <c r="AT30" s="130">
        <f>IFERROR(IF(OR(NOT(ISNUMBER('Price History'!AA31)),NOT(ISNUMBER('Price History'!AA30)),'Price History'!AA30=0),"",'Price History'!AA31/'Price History'!AA30-1),"")</f>
        <v>-3.2961783439490411E-2</v>
      </c>
    </row>
    <row r="31" spans="1:46" ht="15" customHeight="1" x14ac:dyDescent="0.2">
      <c r="A31" s="128">
        <f>IF('Price History'!A32="","",'Price History'!A32)</f>
        <v>45387</v>
      </c>
      <c r="B31" s="129">
        <f>IFERROR(IF(OR(NOT(ISNUMBER('Price History'!B32)),NOT(ISNUMBER('Price History'!B31)),'Price History'!B31=0),"",'Price History'!B32/'Price History'!B31-1),"")</f>
        <v>-3.8604835513277869E-2</v>
      </c>
      <c r="C31" s="129">
        <f>IFERROR(IF(OR(NOT(ISNUMBER('Price History'!C32)),NOT(ISNUMBER('Price History'!C31)),'Price History'!C31=0),"",'Price History'!C32/'Price History'!C31-1),"")</f>
        <v>2.6206896551724146E-2</v>
      </c>
      <c r="D31" s="129">
        <f>IFERROR(IF(OR(NOT(ISNUMBER('Price History'!D32)),NOT(ISNUMBER('Price History'!D31)),'Price History'!D31=0),"",'Price History'!D32/'Price History'!D31-1),"")</f>
        <v>9.36122768819736E-3</v>
      </c>
      <c r="E31" s="129">
        <f>IFERROR(IF(OR(NOT(ISNUMBER('Price History'!E32)),NOT(ISNUMBER('Price History'!E31)),'Price History'!E31=0),"",'Price History'!E32/'Price History'!E31-1),"")</f>
        <v>1.0583236770953963E-2</v>
      </c>
      <c r="F31" s="129">
        <f>IFERROR(IF(OR(NOT(ISNUMBER('Price History'!F32)),NOT(ISNUMBER('Price History'!F31)),'Price History'!F31=0),"",'Price History'!F32/'Price History'!F31-1),"")</f>
        <v>-1.5845290081098029E-2</v>
      </c>
      <c r="G31" s="129">
        <f>IFERROR(IF(OR(NOT(ISNUMBER('Price History'!G32)),NOT(ISNUMBER('Price History'!G31)),'Price History'!G31=0),"",'Price History'!G32/'Price History'!G31-1),"")</f>
        <v>-2.2465353756382034E-2</v>
      </c>
      <c r="H31" s="129">
        <f>IFERROR(IF(OR(NOT(ISNUMBER('Price History'!H32)),NOT(ISNUMBER('Price History'!H31)),'Price History'!H31=0),"",'Price History'!H32/'Price History'!H31-1),"")</f>
        <v>4.8269970098248738E-2</v>
      </c>
      <c r="I31" s="129">
        <f>IFERROR(IF(OR(NOT(ISNUMBER('Price History'!I32)),NOT(ISNUMBER('Price History'!I31)),'Price History'!I31=0),"",'Price History'!I32/'Price History'!I31-1),"")</f>
        <v>-2.5971143174250755E-2</v>
      </c>
      <c r="J31" s="129">
        <f>IFERROR(IF(OR(NOT(ISNUMBER('Price History'!J32)),NOT(ISNUMBER('Price History'!J31)),'Price History'!J31=0),"",'Price History'!J32/'Price History'!J31-1),"")</f>
        <v>-4.2128973054142094E-2</v>
      </c>
      <c r="K31" s="129">
        <f>IFERROR(IF(OR(NOT(ISNUMBER('Price History'!K32)),NOT(ISNUMBER('Price History'!K31)),'Price History'!K31=0),"",'Price History'!K32/'Price History'!K31-1),"")</f>
        <v>-2.1729682746631784E-3</v>
      </c>
      <c r="L31" s="129">
        <f>IFERROR(IF(OR(NOT(ISNUMBER('Price History'!L32)),NOT(ISNUMBER('Price History'!L31)),'Price History'!L31=0),"",'Price History'!L32/'Price History'!L31-1),"")</f>
        <v>3.8977781148100243E-2</v>
      </c>
      <c r="M31" s="129">
        <f>IFERROR(IF(OR(NOT(ISNUMBER('Price History'!M32)),NOT(ISNUMBER('Price History'!M31)),'Price History'!M31=0),"",'Price History'!M32/'Price History'!M31-1),"")</f>
        <v>4.4946579884563409E-2</v>
      </c>
      <c r="N31" s="129">
        <f>IFERROR(IF(OR(NOT(ISNUMBER('Price History'!N32)),NOT(ISNUMBER('Price History'!N31)),'Price History'!N31=0),"",'Price History'!N32/'Price History'!N31-1),"")</f>
        <v>-2.7128537594794278E-2</v>
      </c>
      <c r="O31" s="129">
        <f>IFERROR(IF(OR(NOT(ISNUMBER('Price History'!O32)),NOT(ISNUMBER('Price History'!O31)),'Price History'!O31=0),"",'Price History'!O32/'Price History'!O31-1),"")</f>
        <v>-2.1536412078152711E-2</v>
      </c>
      <c r="P31" s="129">
        <f>IFERROR(IF(OR(NOT(ISNUMBER('Price History'!P32)),NOT(ISNUMBER('Price History'!P31)),'Price History'!P31=0),"",'Price History'!P32/'Price History'!P31-1),"")</f>
        <v>-1.7765144785930054E-2</v>
      </c>
      <c r="Q31" s="129">
        <f>IFERROR(IF(OR(NOT(ISNUMBER('Price History'!Q32)),NOT(ISNUMBER('Price History'!Q31)),'Price History'!Q31=0),"",'Price History'!Q32/'Price History'!Q31-1),"")</f>
        <v>-3.8126361655773655E-3</v>
      </c>
      <c r="R31" s="129">
        <f>IFERROR(IF(OR(NOT(ISNUMBER('Price History'!R32)),NOT(ISNUMBER('Price History'!R31)),'Price History'!R31=0),"",'Price History'!R32/'Price History'!R31-1),"")</f>
        <v>-4.1758781626136665E-3</v>
      </c>
      <c r="S31" s="129">
        <f>IFERROR(IF(OR(NOT(ISNUMBER('Price History'!S32)),NOT(ISNUMBER('Price History'!S31)),'Price History'!S31=0),"",'Price History'!S32/'Price History'!S31-1),"")</f>
        <v>2.9176709374603149E-3</v>
      </c>
      <c r="T31" s="129">
        <f>IFERROR(IF(OR(NOT(ISNUMBER('Price History'!T32)),NOT(ISNUMBER('Price History'!T31)),'Price History'!T31=0),"",'Price History'!T32/'Price History'!T31-1),"")</f>
        <v>-2.5510204081632404E-3</v>
      </c>
      <c r="U31" s="129">
        <f>IFERROR(IF(OR(NOT(ISNUMBER('Price History'!U32)),NOT(ISNUMBER('Price History'!U31)),'Price History'!U31=0),"",'Price History'!U32/'Price History'!U31-1),"")</f>
        <v>-2.0383204239706521E-2</v>
      </c>
      <c r="V31" s="130">
        <f>IFERROR(IF(OR(NOT(ISNUMBER('Price History'!V32)),NOT(ISNUMBER('Price History'!V31)),'Price History'!V31=0),"",'Price History'!V32/'Price History'!V31-1),"")</f>
        <v>-6.973857163721231E-3</v>
      </c>
      <c r="W31" s="131">
        <f>IFERROR('Price History'!B3+(INDEX('Price History'!B:B,MATCH(9.99E+307,'Returns (Calc)'!$A:$A)+1)-'Price History'!B3)*(ROW()-3)/(MATCH(9.99E+307,'Returns (Calc)'!$A:$A)-3),"")</f>
        <v>477.28493670886076</v>
      </c>
      <c r="X31" s="131">
        <f>IFERROR('Price History'!C3+(INDEX('Price History'!C:C,MATCH(9.99E+307,'Returns (Calc)'!$A:$A)+1)-'Price History'!C3)*(ROW()-3)/(MATCH(9.99E+307,'Returns (Calc)'!$A:$A)-3),"")</f>
        <v>74.741772151898729</v>
      </c>
      <c r="Y31" s="131">
        <f>IFERROR('Price History'!D3+(INDEX('Price History'!D:D,MATCH(9.99E+307,'Returns (Calc)'!$A:$A)+1)-'Price History'!D3)*(ROW()-3)/(MATCH(9.99E+307,'Returns (Calc)'!$A:$A)-3),"")</f>
        <v>809.78468354430379</v>
      </c>
      <c r="Z31" s="131">
        <f>IFERROR('Price History'!E3+(INDEX('Price History'!E:E,MATCH(9.99E+307,'Returns (Calc)'!$A:$A)+1)-'Price History'!E3)*(ROW()-3)/(MATCH(9.99E+307,'Returns (Calc)'!$A:$A)-3),"")</f>
        <v>130.40455696202531</v>
      </c>
      <c r="AA31" s="131">
        <f>IFERROR('Price History'!F3+(INDEX('Price History'!F:F,MATCH(9.99E+307,'Returns (Calc)'!$A:$A)+1)-'Price History'!F3)*(ROW()-3)/(MATCH(9.99E+307,'Returns (Calc)'!$A:$A)-3),"")</f>
        <v>81.885569620253165</v>
      </c>
      <c r="AB31" s="131">
        <f>IFERROR('Price History'!G3+(INDEX('Price History'!G:G,MATCH(9.99E+307,'Returns (Calc)'!$A:$A)+1)-'Price History'!G3)*(ROW()-3)/(MATCH(9.99E+307,'Returns (Calc)'!$A:$A)-3),"")</f>
        <v>73.15455696202531</v>
      </c>
      <c r="AC31" s="131">
        <f>IFERROR('Price History'!H3+(INDEX('Price History'!H:H,MATCH(9.99E+307,'Returns (Calc)'!$A:$A)+1)-'Price History'!H3)*(ROW()-3)/(MATCH(9.99E+307,'Returns (Calc)'!$A:$A)-3),"")</f>
        <v>247.34949367088609</v>
      </c>
      <c r="AD31" s="131">
        <f>IFERROR('Price History'!I3+(INDEX('Price History'!I:I,MATCH(9.99E+307,'Returns (Calc)'!$A:$A)+1)-'Price History'!I3)*(ROW()-3)/(MATCH(9.99E+307,'Returns (Calc)'!$A:$A)-3),"")</f>
        <v>77.472784810126569</v>
      </c>
      <c r="AE31" s="131">
        <f>IFERROR('Price History'!J3+(INDEX('Price History'!J:J,MATCH(9.99E+307,'Returns (Calc)'!$A:$A)+1)-'Price History'!J3)*(ROW()-3)/(MATCH(9.99E+307,'Returns (Calc)'!$A:$A)-3),"")</f>
        <v>114.86506329113924</v>
      </c>
      <c r="AF31" s="131">
        <f>IFERROR('Price History'!K3+(INDEX('Price History'!K:K,MATCH(9.99E+307,'Returns (Calc)'!$A:$A)+1)-'Price History'!K3)*(ROW()-3)/(MATCH(9.99E+307,'Returns (Calc)'!$A:$A)-3),"")</f>
        <v>46.062658227848097</v>
      </c>
      <c r="AG31" s="131">
        <f>IFERROR('Price History'!L3+(INDEX('Price History'!L:L,MATCH(9.99E+307,'Returns (Calc)'!$A:$A)+1)-'Price History'!L3)*(ROW()-3)/(MATCH(9.99E+307,'Returns (Calc)'!$A:$A)-3),"")</f>
        <v>154.33759493670885</v>
      </c>
      <c r="AH31" s="131">
        <f>IFERROR('Price History'!M3+(INDEX('Price History'!M:M,MATCH(9.99E+307,'Returns (Calc)'!$A:$A)+1)-'Price History'!M3)*(ROW()-3)/(MATCH(9.99E+307,'Returns (Calc)'!$A:$A)-3),"")</f>
        <v>75.972405063291149</v>
      </c>
      <c r="AI31" s="131">
        <f>IFERROR('Price History'!N3+(INDEX('Price History'!N:N,MATCH(9.99E+307,'Returns (Calc)'!$A:$A)+1)-'Price History'!N3)*(ROW()-3)/(MATCH(9.99E+307,'Returns (Calc)'!$A:$A)-3),"")</f>
        <v>376.51544303797465</v>
      </c>
      <c r="AJ31" s="131">
        <f>IFERROR('Price History'!O3+(INDEX('Price History'!O:O,MATCH(9.99E+307,'Returns (Calc)'!$A:$A)+1)-'Price History'!O3)*(ROW()-3)/(MATCH(9.99E+307,'Returns (Calc)'!$A:$A)-3),"")</f>
        <v>83.235063291139241</v>
      </c>
      <c r="AK31" s="131">
        <f>IFERROR('Price History'!Q3+(INDEX('Price History'!Q:Q,MATCH(9.99E+307,'Returns (Calc)'!$A:$A)+1)-'Price History'!Q3)*(ROW()-3)/(MATCH(9.99E+307,'Returns (Calc)'!$A:$A)-3),"")</f>
        <v>12.302278481012658</v>
      </c>
      <c r="AL31" s="131">
        <f>IFERROR('Price History'!R3+(INDEX('Price History'!R:R,MATCH(9.99E+307,'Returns (Calc)'!$A:$A)+1)-'Price History'!R3)*(ROW()-3)/(MATCH(9.99E+307,'Returns (Calc)'!$A:$A)-3),"")</f>
        <v>39.186835443037971</v>
      </c>
      <c r="AM31" s="131">
        <f>IFERROR('Price History'!S3+(INDEX('Price History'!S:S,MATCH(9.99E+307,'Returns (Calc)'!$A:$A)+1)-'Price History'!S3)*(ROW()-3)/(MATCH(9.99E+307,'Returns (Calc)'!$A:$A)-3),"")</f>
        <v>74.571772151898728</v>
      </c>
      <c r="AN31" s="131">
        <f>IFERROR('Price History'!T3+(INDEX('Price History'!T:T,MATCH(9.99E+307,'Returns (Calc)'!$A:$A)+1)-'Price History'!T3)*(ROW()-3)/(MATCH(9.99E+307,'Returns (Calc)'!$A:$A)-3),"")</f>
        <v>29.950379746835441</v>
      </c>
      <c r="AO31" s="132">
        <f>IFERROR('Price History'!V3+(INDEX('Price History'!V:V,MATCH(9.99E+307,'Returns (Calc)'!$A:$A)+1)-'Price History'!V3)*(ROW()-3)/(MATCH(9.99E+307,'Returns (Calc)'!$A:$A)-3),"")</f>
        <v>257.78721518987339</v>
      </c>
      <c r="AP31" s="130">
        <f>IFERROR(IF(OR(NOT(ISNUMBER('Price History'!W32)),NOT(ISNUMBER('Price History'!W31)),'Price History'!W31=0),"",'Price History'!W32/'Price History'!W31-1),"")</f>
        <v>-1.4305898975626952E-2</v>
      </c>
      <c r="AQ31" s="130" t="str">
        <f>IFERROR(IF(OR(NOT(ISNUMBER('Price History'!X32)),NOT(ISNUMBER('Price History'!X31)),'Price History'!X31=0),"",'Price History'!X32/'Price History'!X31-1),"")</f>
        <v/>
      </c>
      <c r="AR31" s="130">
        <f>IFERROR(IF(OR(NOT(ISNUMBER('Price History'!Y32)),NOT(ISNUMBER('Price History'!Y31)),'Price History'!Y31=0),"",'Price History'!Y32/'Price History'!Y31-1),"")</f>
        <v>-7.6384468491406121E-3</v>
      </c>
      <c r="AS31" s="130">
        <f>IFERROR(IF(OR(NOT(ISNUMBER('Price History'!Z32)),NOT(ISNUMBER('Price History'!Z31)),'Price History'!Z31=0),"",'Price History'!Z32/'Price History'!Z31-1),"")</f>
        <v>0.1157162524454749</v>
      </c>
      <c r="AT31" s="130">
        <f>IFERROR(IF(OR(NOT(ISNUMBER('Price History'!AA32)),NOT(ISNUMBER('Price History'!AA31)),'Price History'!AA31=0),"",'Price History'!AA32/'Price History'!AA31-1),"")</f>
        <v>4.7587683187880758E-2</v>
      </c>
    </row>
    <row r="32" spans="1:46" ht="15" customHeight="1" x14ac:dyDescent="0.2">
      <c r="A32" s="128">
        <f>IF('Price History'!A33="","",'Price History'!A33)</f>
        <v>45394</v>
      </c>
      <c r="B32" s="129">
        <f>IFERROR(IF(OR(NOT(ISNUMBER('Price History'!B33)),NOT(ISNUMBER('Price History'!B32)),'Price History'!B32=0),"",'Price History'!B33/'Price History'!B32-1),"")</f>
        <v>-2.2736642480211122E-2</v>
      </c>
      <c r="C32" s="129">
        <f>IFERROR(IF(OR(NOT(ISNUMBER('Price History'!C33)),NOT(ISNUMBER('Price History'!C32)),'Price History'!C32=0),"",'Price History'!C33/'Price History'!C32-1),"")</f>
        <v>-8.8575268817204345E-2</v>
      </c>
      <c r="D32" s="129">
        <f>IFERROR(IF(OR(NOT(ISNUMBER('Price History'!D33)),NOT(ISNUMBER('Price History'!D32)),'Price History'!D32=0),"",'Price History'!D33/'Price History'!D32-1),"")</f>
        <v>-1.8079884955660042E-2</v>
      </c>
      <c r="E32" s="129">
        <f>IFERROR(IF(OR(NOT(ISNUMBER('Price History'!E33)),NOT(ISNUMBER('Price History'!E32)),'Price History'!E32=0),"",'Price History'!E33/'Price History'!E32-1),"")</f>
        <v>3.4398410029048421E-3</v>
      </c>
      <c r="F32" s="129">
        <f>IFERROR(IF(OR(NOT(ISNUMBER('Price History'!F33)),NOT(ISNUMBER('Price History'!F32)),'Price History'!F32=0),"",'Price History'!F33/'Price History'!F32-1),"")</f>
        <v>-2.0537525354969444E-2</v>
      </c>
      <c r="G32" s="129">
        <f>IFERROR(IF(OR(NOT(ISNUMBER('Price History'!G33)),NOT(ISNUMBER('Price History'!G32)),'Price History'!G32=0),"",'Price History'!G33/'Price History'!G32-1),"")</f>
        <v>-2.9846291598268904E-3</v>
      </c>
      <c r="H32" s="129">
        <f>IFERROR(IF(OR(NOT(ISNUMBER('Price History'!H33)),NOT(ISNUMBER('Price History'!H32)),'Price History'!H32=0),"",'Price History'!H33/'Price History'!H32-1),"")</f>
        <v>-8.5574572127139481E-3</v>
      </c>
      <c r="I32" s="129">
        <f>IFERROR(IF(OR(NOT(ISNUMBER('Price History'!I33)),NOT(ISNUMBER('Price History'!I32)),'Price History'!I32=0),"",'Price History'!I33/'Price History'!I32-1),"")</f>
        <v>2.0510483135824931E-3</v>
      </c>
      <c r="J32" s="129">
        <f>IFERROR(IF(OR(NOT(ISNUMBER('Price History'!J33)),NOT(ISNUMBER('Price History'!J32)),'Price History'!J32=0),"",'Price History'!J33/'Price History'!J32-1),"")</f>
        <v>-4.5985020031353296E-2</v>
      </c>
      <c r="K32" s="129">
        <f>IFERROR(IF(OR(NOT(ISNUMBER('Price History'!K33)),NOT(ISNUMBER('Price History'!K32)),'Price History'!K32=0),"",'Price History'!K33/'Price History'!K32-1),"")</f>
        <v>-1.2630662020905903E-2</v>
      </c>
      <c r="L32" s="129">
        <f>IFERROR(IF(OR(NOT(ISNUMBER('Price History'!L33)),NOT(ISNUMBER('Price History'!L32)),'Price History'!L32=0),"",'Price History'!L33/'Price History'!L32-1),"")</f>
        <v>8.2475731698414823E-3</v>
      </c>
      <c r="M32" s="129">
        <f>IFERROR(IF(OR(NOT(ISNUMBER('Price History'!M33)),NOT(ISNUMBER('Price History'!M32)),'Price History'!M32=0),"",'Price History'!M33/'Price History'!M32-1),"")</f>
        <v>-1.7040780350217499E-2</v>
      </c>
      <c r="N32" s="129">
        <f>IFERROR(IF(OR(NOT(ISNUMBER('Price History'!N33)),NOT(ISNUMBER('Price History'!N32)),'Price History'!N32=0),"",'Price History'!N33/'Price History'!N32-1),"")</f>
        <v>-2.4885041925885809E-2</v>
      </c>
      <c r="O32" s="129">
        <f>IFERROR(IF(OR(NOT(ISNUMBER('Price History'!O33)),NOT(ISNUMBER('Price History'!O32)),'Price History'!O32=0),"",'Price History'!O33/'Price History'!O32-1),"")</f>
        <v>-3.0859995461765322E-2</v>
      </c>
      <c r="P32" s="129">
        <f>IFERROR(IF(OR(NOT(ISNUMBER('Price History'!P33)),NOT(ISNUMBER('Price History'!P32)),'Price History'!P32=0),"",'Price History'!P33/'Price History'!P32-1),"")</f>
        <v>-2.8576596129498921E-2</v>
      </c>
      <c r="Q32" s="129">
        <f>IFERROR(IF(OR(NOT(ISNUMBER('Price History'!Q33)),NOT(ISNUMBER('Price History'!Q32)),'Price History'!Q32=0),"",'Price History'!Q33/'Price History'!Q32-1),"")</f>
        <v>-6.3787133223982551E-3</v>
      </c>
      <c r="R32" s="129">
        <f>IFERROR(IF(OR(NOT(ISNUMBER('Price History'!R33)),NOT(ISNUMBER('Price History'!R32)),'Price History'!R32=0),"",'Price History'!R33/'Price History'!R32-1),"")</f>
        <v>-3.453379378391741E-3</v>
      </c>
      <c r="S32" s="129">
        <f>IFERROR(IF(OR(NOT(ISNUMBER('Price History'!S33)),NOT(ISNUMBER('Price History'!S32)),'Price History'!S32=0),"",'Price History'!S33/'Price History'!S32-1),"")</f>
        <v>-1.4039969643308892E-2</v>
      </c>
      <c r="T32" s="129">
        <f>IFERROR(IF(OR(NOT(ISNUMBER('Price History'!T33)),NOT(ISNUMBER('Price History'!T32)),'Price History'!T32=0),"",'Price History'!T33/'Price History'!T32-1),"")</f>
        <v>-2.5575447570332477E-2</v>
      </c>
      <c r="U32" s="129">
        <f>IFERROR(IF(OR(NOT(ISNUMBER('Price History'!U33)),NOT(ISNUMBER('Price History'!U32)),'Price History'!U32=0),"",'Price History'!U33/'Price History'!U32-1),"")</f>
        <v>-2.7881814398668436E-2</v>
      </c>
      <c r="V32" s="130">
        <f>IFERROR(IF(OR(NOT(ISNUMBER('Price History'!V33)),NOT(ISNUMBER('Price History'!V32)),'Price History'!V32=0),"",'Price History'!V33/'Price History'!V32-1),"")</f>
        <v>-4.2284075449499081E-3</v>
      </c>
      <c r="W32" s="131">
        <f>IFERROR('Price History'!B3+(INDEX('Price History'!B:B,MATCH(9.99E+307,'Returns (Calc)'!$A:$A)+1)-'Price History'!B3)*(ROW()-3)/(MATCH(9.99E+307,'Returns (Calc)'!$A:$A)-3),"")</f>
        <v>475.44189873417719</v>
      </c>
      <c r="X32" s="131">
        <f>IFERROR('Price History'!C3+(INDEX('Price History'!C:C,MATCH(9.99E+307,'Returns (Calc)'!$A:$A)+1)-'Price History'!C3)*(ROW()-3)/(MATCH(9.99E+307,'Returns (Calc)'!$A:$A)-3),"")</f>
        <v>75.761835443037967</v>
      </c>
      <c r="Y32" s="131">
        <f>IFERROR('Price History'!D3+(INDEX('Price History'!D:D,MATCH(9.99E+307,'Returns (Calc)'!$A:$A)+1)-'Price History'!D3)*(ROW()-3)/(MATCH(9.99E+307,'Returns (Calc)'!$A:$A)-3),"")</f>
        <v>817.91949367088603</v>
      </c>
      <c r="Z32" s="131">
        <f>IFERROR('Price History'!E3+(INDEX('Price History'!E:E,MATCH(9.99E+307,'Returns (Calc)'!$A:$A)+1)-'Price History'!E3)*(ROW()-3)/(MATCH(9.99E+307,'Returns (Calc)'!$A:$A)-3),"")</f>
        <v>132.1332911392405</v>
      </c>
      <c r="AA32" s="131">
        <f>IFERROR('Price History'!F3+(INDEX('Price History'!F:F,MATCH(9.99E+307,'Returns (Calc)'!$A:$A)+1)-'Price History'!F3)*(ROW()-3)/(MATCH(9.99E+307,'Returns (Calc)'!$A:$A)-3),"")</f>
        <v>83.332911392405066</v>
      </c>
      <c r="AB32" s="131">
        <f>IFERROR('Price History'!G3+(INDEX('Price History'!G:G,MATCH(9.99E+307,'Returns (Calc)'!$A:$A)+1)-'Price History'!G3)*(ROW()-3)/(MATCH(9.99E+307,'Returns (Calc)'!$A:$A)-3),"")</f>
        <v>74.183291139240509</v>
      </c>
      <c r="AC32" s="131">
        <f>IFERROR('Price History'!H3+(INDEX('Price History'!H:H,MATCH(9.99E+307,'Returns (Calc)'!$A:$A)+1)-'Price History'!H3)*(ROW()-3)/(MATCH(9.99E+307,'Returns (Calc)'!$A:$A)-3),"")</f>
        <v>253.71518987341773</v>
      </c>
      <c r="AD32" s="131">
        <f>IFERROR('Price History'!I3+(INDEX('Price History'!I:I,MATCH(9.99E+307,'Returns (Calc)'!$A:$A)+1)-'Price History'!I3)*(ROW()-3)/(MATCH(9.99E+307,'Returns (Calc)'!$A:$A)-3),"")</f>
        <v>78.676455696202538</v>
      </c>
      <c r="AE32" s="131">
        <f>IFERROR('Price History'!J3+(INDEX('Price History'!J:J,MATCH(9.99E+307,'Returns (Calc)'!$A:$A)+1)-'Price History'!J3)*(ROW()-3)/(MATCH(9.99E+307,'Returns (Calc)'!$A:$A)-3),"")</f>
        <v>114.97310126582279</v>
      </c>
      <c r="AF32" s="131">
        <f>IFERROR('Price History'!K3+(INDEX('Price History'!K:K,MATCH(9.99E+307,'Returns (Calc)'!$A:$A)+1)-'Price History'!K3)*(ROW()-3)/(MATCH(9.99E+307,'Returns (Calc)'!$A:$A)-3),"")</f>
        <v>47.160253164556956</v>
      </c>
      <c r="AG32" s="131">
        <f>IFERROR('Price History'!L3+(INDEX('Price History'!L:L,MATCH(9.99E+307,'Returns (Calc)'!$A:$A)+1)-'Price History'!L3)*(ROW()-3)/(MATCH(9.99E+307,'Returns (Calc)'!$A:$A)-3),"")</f>
        <v>156.78715189873418</v>
      </c>
      <c r="AH32" s="131">
        <f>IFERROR('Price History'!M3+(INDEX('Price History'!M:M,MATCH(9.99E+307,'Returns (Calc)'!$A:$A)+1)-'Price History'!M3)*(ROW()-3)/(MATCH(9.99E+307,'Returns (Calc)'!$A:$A)-3),"")</f>
        <v>77.327848101265829</v>
      </c>
      <c r="AI32" s="131">
        <f>IFERROR('Price History'!N3+(INDEX('Price History'!N:N,MATCH(9.99E+307,'Returns (Calc)'!$A:$A)+1)-'Price History'!N3)*(ROW()-3)/(MATCH(9.99E+307,'Returns (Calc)'!$A:$A)-3),"")</f>
        <v>377.50170886075949</v>
      </c>
      <c r="AJ32" s="131">
        <f>IFERROR('Price History'!O3+(INDEX('Price History'!O:O,MATCH(9.99E+307,'Returns (Calc)'!$A:$A)+1)-'Price History'!O3)*(ROW()-3)/(MATCH(9.99E+307,'Returns (Calc)'!$A:$A)-3),"")</f>
        <v>83.518101265822793</v>
      </c>
      <c r="AK32" s="131">
        <f>IFERROR('Price History'!Q3+(INDEX('Price History'!Q:Q,MATCH(9.99E+307,'Returns (Calc)'!$A:$A)+1)-'Price History'!Q3)*(ROW()-3)/(MATCH(9.99E+307,'Returns (Calc)'!$A:$A)-3),"")</f>
        <v>12.741645569620253</v>
      </c>
      <c r="AL32" s="131">
        <f>IFERROR('Price History'!R3+(INDEX('Price History'!R:R,MATCH(9.99E+307,'Returns (Calc)'!$A:$A)+1)-'Price History'!R3)*(ROW()-3)/(MATCH(9.99E+307,'Returns (Calc)'!$A:$A)-3),"")</f>
        <v>39.354936708860755</v>
      </c>
      <c r="AM32" s="131">
        <f>IFERROR('Price History'!S3+(INDEX('Price History'!S:S,MATCH(9.99E+307,'Returns (Calc)'!$A:$A)+1)-'Price History'!S3)*(ROW()-3)/(MATCH(9.99E+307,'Returns (Calc)'!$A:$A)-3),"")</f>
        <v>75.176835443037973</v>
      </c>
      <c r="AN32" s="131">
        <f>IFERROR('Price History'!T3+(INDEX('Price History'!T:T,MATCH(9.99E+307,'Returns (Calc)'!$A:$A)+1)-'Price History'!T3)*(ROW()-3)/(MATCH(9.99E+307,'Returns (Calc)'!$A:$A)-3),"")</f>
        <v>30.118607594936709</v>
      </c>
      <c r="AO32" s="132">
        <f>IFERROR('Price History'!V3+(INDEX('Price History'!V:V,MATCH(9.99E+307,'Returns (Calc)'!$A:$A)+1)-'Price History'!V3)*(ROW()-3)/(MATCH(9.99E+307,'Returns (Calc)'!$A:$A)-3),"")</f>
        <v>258.57854430379746</v>
      </c>
      <c r="AP32" s="130">
        <f>IFERROR(IF(OR(NOT(ISNUMBER('Price History'!W33)),NOT(ISNUMBER('Price History'!W32)),'Price History'!W32=0),"",'Price History'!W33/'Price History'!W32-1),"")</f>
        <v>-2.6518545063608734E-2</v>
      </c>
      <c r="AQ32" s="130" t="str">
        <f>IFERROR(IF(OR(NOT(ISNUMBER('Price History'!X33)),NOT(ISNUMBER('Price History'!X32)),'Price History'!X32=0),"",'Price History'!X33/'Price History'!X32-1),"")</f>
        <v/>
      </c>
      <c r="AR32" s="130">
        <f>IFERROR(IF(OR(NOT(ISNUMBER('Price History'!Y33)),NOT(ISNUMBER('Price History'!Y32)),'Price History'!Y32=0),"",'Price History'!Y33/'Price History'!Y32-1),"")</f>
        <v>-1.5394483643361268E-2</v>
      </c>
      <c r="AS32" s="130">
        <f>IFERROR(IF(OR(NOT(ISNUMBER('Price History'!Z33)),NOT(ISNUMBER('Price History'!Z32)),'Price History'!Z32=0),"",'Price History'!Z33/'Price History'!Z32-1),"")</f>
        <v>-8.9622028834913658E-3</v>
      </c>
      <c r="AT32" s="130">
        <f>IFERROR(IF(OR(NOT(ISNUMBER('Price History'!AA33)),NOT(ISNUMBER('Price History'!AA32)),'Price History'!AA32=0),"",'Price History'!AA33/'Price History'!AA32-1),"")</f>
        <v>-2.1062558943728327E-2</v>
      </c>
    </row>
    <row r="33" spans="1:46" ht="15" customHeight="1" x14ac:dyDescent="0.2">
      <c r="A33" s="128">
        <f>IF('Price History'!A34="","",'Price History'!A34)</f>
        <v>45401</v>
      </c>
      <c r="B33" s="129">
        <f>IFERROR(IF(OR(NOT(ISNUMBER('Price History'!B34)),NOT(ISNUMBER('Price History'!B33)),'Price History'!B33=0),"",'Price History'!B34/'Price History'!B33-1),"")</f>
        <v>-1.9131388554915696E-2</v>
      </c>
      <c r="C33" s="129">
        <f>IFERROR(IF(OR(NOT(ISNUMBER('Price History'!C34)),NOT(ISNUMBER('Price History'!C33)),'Price History'!C33=0),"",'Price History'!C34/'Price History'!C33-1),"")</f>
        <v>-9.2759180061937729E-2</v>
      </c>
      <c r="D33" s="129">
        <f>IFERROR(IF(OR(NOT(ISNUMBER('Price History'!D34)),NOT(ISNUMBER('Price History'!D33)),'Price History'!D33=0),"",'Price History'!D34/'Price History'!D33-1),"")</f>
        <v>-0.10635904402088558</v>
      </c>
      <c r="E33" s="129">
        <f>IFERROR(IF(OR(NOT(ISNUMBER('Price History'!E34)),NOT(ISNUMBER('Price History'!E33)),'Price History'!E33=0),"",'Price History'!E34/'Price History'!E33-1),"")</f>
        <v>-0.10367943932353174</v>
      </c>
      <c r="F33" s="129">
        <f>IFERROR(IF(OR(NOT(ISNUMBER('Price History'!F34)),NOT(ISNUMBER('Price History'!F33)),'Price History'!F33=0),"",'Price History'!F34/'Price History'!F33-1),"")</f>
        <v>-8.5425834843386061E-2</v>
      </c>
      <c r="G33" s="129">
        <f>IFERROR(IF(OR(NOT(ISNUMBER('Price History'!G34)),NOT(ISNUMBER('Price History'!G33)),'Price History'!G33=0),"",'Price History'!G34/'Price History'!G33-1),"")</f>
        <v>-7.7383625205807549E-2</v>
      </c>
      <c r="H33" s="129">
        <f>IFERROR(IF(OR(NOT(ISNUMBER('Price History'!H34)),NOT(ISNUMBER('Price History'!H33)),'Price History'!H33=0),"",'Price History'!H34/'Price History'!H33-1),"")</f>
        <v>-0.12856555692560623</v>
      </c>
      <c r="I33" s="129">
        <f>IFERROR(IF(OR(NOT(ISNUMBER('Price History'!I34)),NOT(ISNUMBER('Price History'!I33)),'Price History'!I33=0),"",'Price History'!I34/'Price History'!I33-1),"")</f>
        <v>-0.13600181942233336</v>
      </c>
      <c r="J33" s="129">
        <f>IFERROR(IF(OR(NOT(ISNUMBER('Price History'!J34)),NOT(ISNUMBER('Price History'!J33)),'Price History'!J33=0),"",'Price History'!J34/'Price History'!J33-1),"")</f>
        <v>-0.1303633375935731</v>
      </c>
      <c r="K33" s="129">
        <f>IFERROR(IF(OR(NOT(ISNUMBER('Price History'!K34)),NOT(ISNUMBER('Price History'!K33)),'Price History'!K33=0),"",'Price History'!K34/'Price History'!K33-1),"")</f>
        <v>-9.7044552271724815E-2</v>
      </c>
      <c r="L33" s="129">
        <f>IFERROR(IF(OR(NOT(ISNUMBER('Price History'!L34)),NOT(ISNUMBER('Price History'!L33)),'Price History'!L33=0),"",'Price History'!L34/'Price History'!L33-1),"")</f>
        <v>-0.10402490227305627</v>
      </c>
      <c r="M33" s="129">
        <f>IFERROR(IF(OR(NOT(ISNUMBER('Price History'!M34)),NOT(ISNUMBER('Price History'!M33)),'Price History'!M33=0),"",'Price History'!M34/'Price History'!M33-1),"")</f>
        <v>-0.10581061692969862</v>
      </c>
      <c r="N33" s="129">
        <f>IFERROR(IF(OR(NOT(ISNUMBER('Price History'!N34)),NOT(ISNUMBER('Price History'!N33)),'Price History'!N33=0),"",'Price History'!N34/'Price History'!N33-1),"")</f>
        <v>-5.7243727146640833E-3</v>
      </c>
      <c r="O33" s="129">
        <f>IFERROR(IF(OR(NOT(ISNUMBER('Price History'!O34)),NOT(ISNUMBER('Price History'!O33)),'Price History'!O33=0),"",'Price History'!O34/'Price History'!O33-1),"")</f>
        <v>-9.0142823694684404E-3</v>
      </c>
      <c r="P33" s="129">
        <f>IFERROR(IF(OR(NOT(ISNUMBER('Price History'!P34)),NOT(ISNUMBER('Price History'!P33)),'Price History'!P33=0),"",'Price History'!P34/'Price History'!P33-1),"")</f>
        <v>9.8678086017500721E-3</v>
      </c>
      <c r="Q33" s="129">
        <f>IFERROR(IF(OR(NOT(ISNUMBER('Price History'!Q34)),NOT(ISNUMBER('Price History'!Q33)),'Price History'!Q33=0),"",'Price History'!Q34/'Price History'!Q33-1),"")</f>
        <v>-1.9442406456346317E-2</v>
      </c>
      <c r="R33" s="129">
        <f>IFERROR(IF(OR(NOT(ISNUMBER('Price History'!R34)),NOT(ISNUMBER('Price History'!R33)),'Price History'!R33=0),"",'Price History'!R34/'Price History'!R33-1),"")</f>
        <v>-4.8019801980197951E-2</v>
      </c>
      <c r="S33" s="129">
        <f>IFERROR(IF(OR(NOT(ISNUMBER('Price History'!S34)),NOT(ISNUMBER('Price History'!S33)),'Price History'!S33=0),"",'Price History'!S34/'Price History'!S33-1),"")</f>
        <v>-5.6831302116741589E-2</v>
      </c>
      <c r="T33" s="129">
        <f>IFERROR(IF(OR(NOT(ISNUMBER('Price History'!T34)),NOT(ISNUMBER('Price History'!T33)),'Price History'!T33=0),"",'Price History'!T34/'Price History'!T33-1),"")</f>
        <v>-1.7716535433070835E-2</v>
      </c>
      <c r="U33" s="129">
        <f>IFERROR(IF(OR(NOT(ISNUMBER('Price History'!U34)),NOT(ISNUMBER('Price History'!U33)),'Price History'!U33=0),"",'Price History'!U34/'Price History'!U33-1),"")</f>
        <v>-1.712328767123239E-3</v>
      </c>
      <c r="V33" s="130">
        <f>IFERROR(IF(OR(NOT(ISNUMBER('Price History'!V34)),NOT(ISNUMBER('Price History'!V33)),'Price History'!V33=0),"",'Price History'!V34/'Price History'!V33-1),"")</f>
        <v>-2.2413411121778304E-2</v>
      </c>
      <c r="W33" s="131">
        <f>IFERROR('Price History'!B3+(INDEX('Price History'!B:B,MATCH(9.99E+307,'Returns (Calc)'!$A:$A)+1)-'Price History'!B3)*(ROW()-3)/(MATCH(9.99E+307,'Returns (Calc)'!$A:$A)-3),"")</f>
        <v>473.59886075949368</v>
      </c>
      <c r="X33" s="131">
        <f>IFERROR('Price History'!C3+(INDEX('Price History'!C:C,MATCH(9.99E+307,'Returns (Calc)'!$A:$A)+1)-'Price History'!C3)*(ROW()-3)/(MATCH(9.99E+307,'Returns (Calc)'!$A:$A)-3),"")</f>
        <v>76.781898734177219</v>
      </c>
      <c r="Y33" s="131">
        <f>IFERROR('Price History'!D3+(INDEX('Price History'!D:D,MATCH(9.99E+307,'Returns (Calc)'!$A:$A)+1)-'Price History'!D3)*(ROW()-3)/(MATCH(9.99E+307,'Returns (Calc)'!$A:$A)-3),"")</f>
        <v>826.05430379746838</v>
      </c>
      <c r="Z33" s="131">
        <f>IFERROR('Price History'!E3+(INDEX('Price History'!E:E,MATCH(9.99E+307,'Returns (Calc)'!$A:$A)+1)-'Price History'!E3)*(ROW()-3)/(MATCH(9.99E+307,'Returns (Calc)'!$A:$A)-3),"")</f>
        <v>133.86202531645569</v>
      </c>
      <c r="AA33" s="131">
        <f>IFERROR('Price History'!F3+(INDEX('Price History'!F:F,MATCH(9.99E+307,'Returns (Calc)'!$A:$A)+1)-'Price History'!F3)*(ROW()-3)/(MATCH(9.99E+307,'Returns (Calc)'!$A:$A)-3),"")</f>
        <v>84.780253164556967</v>
      </c>
      <c r="AB33" s="131">
        <f>IFERROR('Price History'!G3+(INDEX('Price History'!G:G,MATCH(9.99E+307,'Returns (Calc)'!$A:$A)+1)-'Price History'!G3)*(ROW()-3)/(MATCH(9.99E+307,'Returns (Calc)'!$A:$A)-3),"")</f>
        <v>75.212025316455694</v>
      </c>
      <c r="AC33" s="131">
        <f>IFERROR('Price History'!H3+(INDEX('Price History'!H:H,MATCH(9.99E+307,'Returns (Calc)'!$A:$A)+1)-'Price History'!H3)*(ROW()-3)/(MATCH(9.99E+307,'Returns (Calc)'!$A:$A)-3),"")</f>
        <v>260.08088607594937</v>
      </c>
      <c r="AD33" s="131">
        <f>IFERROR('Price History'!I3+(INDEX('Price History'!I:I,MATCH(9.99E+307,'Returns (Calc)'!$A:$A)+1)-'Price History'!I3)*(ROW()-3)/(MATCH(9.99E+307,'Returns (Calc)'!$A:$A)-3),"")</f>
        <v>79.880126582278479</v>
      </c>
      <c r="AE33" s="131">
        <f>IFERROR('Price History'!J3+(INDEX('Price History'!J:J,MATCH(9.99E+307,'Returns (Calc)'!$A:$A)+1)-'Price History'!J3)*(ROW()-3)/(MATCH(9.99E+307,'Returns (Calc)'!$A:$A)-3),"")</f>
        <v>115.08113924050633</v>
      </c>
      <c r="AF33" s="131">
        <f>IFERROR('Price History'!K3+(INDEX('Price History'!K:K,MATCH(9.99E+307,'Returns (Calc)'!$A:$A)+1)-'Price History'!K3)*(ROW()-3)/(MATCH(9.99E+307,'Returns (Calc)'!$A:$A)-3),"")</f>
        <v>48.257848101265814</v>
      </c>
      <c r="AG33" s="131">
        <f>IFERROR('Price History'!L3+(INDEX('Price History'!L:L,MATCH(9.99E+307,'Returns (Calc)'!$A:$A)+1)-'Price History'!L3)*(ROW()-3)/(MATCH(9.99E+307,'Returns (Calc)'!$A:$A)-3),"")</f>
        <v>159.23670886075951</v>
      </c>
      <c r="AH33" s="131">
        <f>IFERROR('Price History'!M3+(INDEX('Price History'!M:M,MATCH(9.99E+307,'Returns (Calc)'!$A:$A)+1)-'Price History'!M3)*(ROW()-3)/(MATCH(9.99E+307,'Returns (Calc)'!$A:$A)-3),"")</f>
        <v>78.683291139240509</v>
      </c>
      <c r="AI33" s="131">
        <f>IFERROR('Price History'!N3+(INDEX('Price History'!N:N,MATCH(9.99E+307,'Returns (Calc)'!$A:$A)+1)-'Price History'!N3)*(ROW()-3)/(MATCH(9.99E+307,'Returns (Calc)'!$A:$A)-3),"")</f>
        <v>378.48797468354428</v>
      </c>
      <c r="AJ33" s="131">
        <f>IFERROR('Price History'!O3+(INDEX('Price History'!O:O,MATCH(9.99E+307,'Returns (Calc)'!$A:$A)+1)-'Price History'!O3)*(ROW()-3)/(MATCH(9.99E+307,'Returns (Calc)'!$A:$A)-3),"")</f>
        <v>83.80113924050633</v>
      </c>
      <c r="AK33" s="131">
        <f>IFERROR('Price History'!Q3+(INDEX('Price History'!Q:Q,MATCH(9.99E+307,'Returns (Calc)'!$A:$A)+1)-'Price History'!Q3)*(ROW()-3)/(MATCH(9.99E+307,'Returns (Calc)'!$A:$A)-3),"")</f>
        <v>13.181012658227848</v>
      </c>
      <c r="AL33" s="131">
        <f>IFERROR('Price History'!R3+(INDEX('Price History'!R:R,MATCH(9.99E+307,'Returns (Calc)'!$A:$A)+1)-'Price History'!R3)*(ROW()-3)/(MATCH(9.99E+307,'Returns (Calc)'!$A:$A)-3),"")</f>
        <v>39.52303797468354</v>
      </c>
      <c r="AM33" s="131">
        <f>IFERROR('Price History'!S3+(INDEX('Price History'!S:S,MATCH(9.99E+307,'Returns (Calc)'!$A:$A)+1)-'Price History'!S3)*(ROW()-3)/(MATCH(9.99E+307,'Returns (Calc)'!$A:$A)-3),"")</f>
        <v>75.781898734177219</v>
      </c>
      <c r="AN33" s="131">
        <f>IFERROR('Price History'!T3+(INDEX('Price History'!T:T,MATCH(9.99E+307,'Returns (Calc)'!$A:$A)+1)-'Price History'!T3)*(ROW()-3)/(MATCH(9.99E+307,'Returns (Calc)'!$A:$A)-3),"")</f>
        <v>30.286835443037972</v>
      </c>
      <c r="AO33" s="132">
        <f>IFERROR('Price History'!V3+(INDEX('Price History'!V:V,MATCH(9.99E+307,'Returns (Calc)'!$A:$A)+1)-'Price History'!V3)*(ROW()-3)/(MATCH(9.99E+307,'Returns (Calc)'!$A:$A)-3),"")</f>
        <v>259.36987341772152</v>
      </c>
      <c r="AP33" s="130">
        <f>IFERROR(IF(OR(NOT(ISNUMBER('Price History'!W34)),NOT(ISNUMBER('Price History'!W33)),'Price History'!W33=0),"",'Price History'!W34/'Price History'!W33-1),"")</f>
        <v>-1.3804527885145079E-3</v>
      </c>
      <c r="AQ33" s="130" t="str">
        <f>IFERROR(IF(OR(NOT(ISNUMBER('Price History'!X34)),NOT(ISNUMBER('Price History'!X33)),'Price History'!X33=0),"",'Price History'!X34/'Price History'!X33-1),"")</f>
        <v/>
      </c>
      <c r="AR33" s="130">
        <f>IFERROR(IF(OR(NOT(ISNUMBER('Price History'!Y34)),NOT(ISNUMBER('Price History'!Y33)),'Price History'!Y33=0),"",'Price History'!Y34/'Price History'!Y33-1),"")</f>
        <v>-1.3246471226927237E-2</v>
      </c>
      <c r="AS33" s="130">
        <f>IFERROR(IF(OR(NOT(ISNUMBER('Price History'!Z34)),NOT(ISNUMBER('Price History'!Z33)),'Price History'!Z33=0),"",'Price History'!Z34/'Price History'!Z33-1),"")</f>
        <v>-4.2463958060288243E-2</v>
      </c>
      <c r="AT33" s="130">
        <f>IFERROR(IF(OR(NOT(ISNUMBER('Price History'!AA34)),NOT(ISNUMBER('Price History'!AA33)),'Price History'!AA33=0),"",'Price History'!AA34/'Price History'!AA33-1),"")</f>
        <v>-0.10886319845857417</v>
      </c>
    </row>
    <row r="34" spans="1:46" ht="15" customHeight="1" x14ac:dyDescent="0.2">
      <c r="A34" s="128">
        <f>IF('Price History'!A35="","",'Price History'!A35)</f>
        <v>45408</v>
      </c>
      <c r="B34" s="129">
        <f>IFERROR(IF(OR(NOT(ISNUMBER('Price History'!B35)),NOT(ISNUMBER('Price History'!B34)),'Price History'!B34=0),"",'Price History'!B35/'Price History'!B34-1),"")</f>
        <v>2.6966582082491142E-2</v>
      </c>
      <c r="C34" s="129">
        <f>IFERROR(IF(OR(NOT(ISNUMBER('Price History'!C35)),NOT(ISNUMBER('Price History'!C34)),'Price History'!C34=0),"",'Price History'!C35/'Price History'!C34-1),"")</f>
        <v>7.5747724317295262E-2</v>
      </c>
      <c r="D34" s="129">
        <f>IFERROR(IF(OR(NOT(ISNUMBER('Price History'!D35)),NOT(ISNUMBER('Price History'!D34)),'Price History'!D34=0),"",'Price History'!D35/'Price History'!D34-1),"")</f>
        <v>7.1360710638196823E-2</v>
      </c>
      <c r="E34" s="129">
        <f>IFERROR(IF(OR(NOT(ISNUMBER('Price History'!E35)),NOT(ISNUMBER('Price History'!E34)),'Price History'!E34=0),"",'Price History'!E35/'Price History'!E34-1),"")</f>
        <v>0.1156722760496347</v>
      </c>
      <c r="F34" s="129">
        <f>IFERROR(IF(OR(NOT(ISNUMBER('Price History'!F35)),NOT(ISNUMBER('Price History'!F34)),'Price History'!F34=0),"",'Price History'!F35/'Price History'!F34-1),"")</f>
        <v>7.5856212850268889E-2</v>
      </c>
      <c r="G34" s="129">
        <f>IFERROR(IF(OR(NOT(ISNUMBER('Price History'!G35)),NOT(ISNUMBER('Price History'!G34)),'Price History'!G34=0),"",'Price History'!G35/'Price History'!G34-1),"")</f>
        <v>0.12443218689162894</v>
      </c>
      <c r="H34" s="129">
        <f>IFERROR(IF(OR(NOT(ISNUMBER('Price History'!H35)),NOT(ISNUMBER('Price History'!H34)),'Price History'!H34=0),"",'Price History'!H35/'Price History'!H34-1),"")</f>
        <v>7.5558909536836083E-2</v>
      </c>
      <c r="I34" s="129">
        <f>IFERROR(IF(OR(NOT(ISNUMBER('Price History'!I35)),NOT(ISNUMBER('Price History'!I34)),'Price History'!I34=0),"",'Price History'!I35/'Price History'!I34-1),"")</f>
        <v>0.15148723348249526</v>
      </c>
      <c r="J34" s="129">
        <f>IFERROR(IF(OR(NOT(ISNUMBER('Price History'!J35)),NOT(ISNUMBER('Price History'!J34)),'Price History'!J34=0),"",'Price History'!J35/'Price History'!J34-1),"")</f>
        <v>5.5637203443208438E-3</v>
      </c>
      <c r="K34" s="129">
        <f>IFERROR(IF(OR(NOT(ISNUMBER('Price History'!K35)),NOT(ISNUMBER('Price History'!K34)),'Price History'!K34=0),"",'Price History'!K35/'Price History'!K34-1),"")</f>
        <v>0.10014655593551547</v>
      </c>
      <c r="L34" s="129">
        <f>IFERROR(IF(OR(NOT(ISNUMBER('Price History'!L35)),NOT(ISNUMBER('Price History'!L34)),'Price History'!L34=0),"",'Price History'!L35/'Price History'!L34-1),"")</f>
        <v>8.3057283671325921E-2</v>
      </c>
      <c r="M34" s="129">
        <f>IFERROR(IF(OR(NOT(ISNUMBER('Price History'!M35)),NOT(ISNUMBER('Price History'!M34)),'Price History'!M34=0),"",'Price History'!M35/'Price History'!M34-1),"")</f>
        <v>0.24628961091054946</v>
      </c>
      <c r="N34" s="129">
        <f>IFERROR(IF(OR(NOT(ISNUMBER('Price History'!N35)),NOT(ISNUMBER('Price History'!N34)),'Price History'!N34=0),"",'Price History'!N35/'Price History'!N34-1),"")</f>
        <v>8.1160596530385209E-3</v>
      </c>
      <c r="O34" s="129">
        <f>IFERROR(IF(OR(NOT(ISNUMBER('Price History'!O35)),NOT(ISNUMBER('Price History'!O34)),'Price History'!O34=0),"",'Price History'!O35/'Price History'!O34-1),"")</f>
        <v>2.4808033077377445E-2</v>
      </c>
      <c r="P34" s="129">
        <f>IFERROR(IF(OR(NOT(ISNUMBER('Price History'!P35)),NOT(ISNUMBER('Price History'!P34)),'Price History'!P34=0),"",'Price History'!P35/'Price History'!P34-1),"")</f>
        <v>9.1261061946901201E-3</v>
      </c>
      <c r="Q34" s="129">
        <f>IFERROR(IF(OR(NOT(ISNUMBER('Price History'!Q35)),NOT(ISNUMBER('Price History'!Q34)),'Price History'!Q34=0),"",'Price History'!Q35/'Price History'!Q34-1),"")</f>
        <v>2.0576131687242816E-2</v>
      </c>
      <c r="R34" s="129">
        <f>IFERROR(IF(OR(NOT(ISNUMBER('Price History'!R35)),NOT(ISNUMBER('Price History'!R34)),'Price History'!R34=0),"",'Price History'!R35/'Price History'!R34-1),"")</f>
        <v>3.5881435257410388E-2</v>
      </c>
      <c r="S34" s="129">
        <f>IFERROR(IF(OR(NOT(ISNUMBER('Price History'!S35)),NOT(ISNUMBER('Price History'!S34)),'Price History'!S34=0),"",'Price History'!S35/'Price History'!S34-1),"")</f>
        <v>3.0059847660500738E-2</v>
      </c>
      <c r="T34" s="129">
        <f>IFERROR(IF(OR(NOT(ISNUMBER('Price History'!T35)),NOT(ISNUMBER('Price History'!T34)),'Price History'!T34=0),"",'Price History'!T35/'Price History'!T34-1),"")</f>
        <v>1.2358049432197538E-2</v>
      </c>
      <c r="U34" s="129">
        <f>IFERROR(IF(OR(NOT(ISNUMBER('Price History'!U35)),NOT(ISNUMBER('Price History'!U34)),'Price History'!U34=0),"",'Price History'!U35/'Price History'!U34-1),"")</f>
        <v>1.0720411663807994E-2</v>
      </c>
      <c r="V34" s="130">
        <f>IFERROR(IF(OR(NOT(ISNUMBER('Price History'!V35)),NOT(ISNUMBER('Price History'!V34)),'Price History'!V34=0),"",'Price History'!V35/'Price History'!V34-1),"")</f>
        <v>1.7563739376770471E-2</v>
      </c>
      <c r="W34" s="131">
        <f>IFERROR('Price History'!B3+(INDEX('Price History'!B:B,MATCH(9.99E+307,'Returns (Calc)'!$A:$A)+1)-'Price History'!B3)*(ROW()-3)/(MATCH(9.99E+307,'Returns (Calc)'!$A:$A)-3),"")</f>
        <v>471.75582278481011</v>
      </c>
      <c r="X34" s="131">
        <f>IFERROR('Price History'!C3+(INDEX('Price History'!C:C,MATCH(9.99E+307,'Returns (Calc)'!$A:$A)+1)-'Price History'!C3)*(ROW()-3)/(MATCH(9.99E+307,'Returns (Calc)'!$A:$A)-3),"")</f>
        <v>77.801962025316456</v>
      </c>
      <c r="Y34" s="131">
        <f>IFERROR('Price History'!D3+(INDEX('Price History'!D:D,MATCH(9.99E+307,'Returns (Calc)'!$A:$A)+1)-'Price History'!D3)*(ROW()-3)/(MATCH(9.99E+307,'Returns (Calc)'!$A:$A)-3),"")</f>
        <v>834.18911392405062</v>
      </c>
      <c r="Z34" s="131">
        <f>IFERROR('Price History'!E3+(INDEX('Price History'!E:E,MATCH(9.99E+307,'Returns (Calc)'!$A:$A)+1)-'Price History'!E3)*(ROW()-3)/(MATCH(9.99E+307,'Returns (Calc)'!$A:$A)-3),"")</f>
        <v>135.59075949367087</v>
      </c>
      <c r="AA34" s="131">
        <f>IFERROR('Price History'!F3+(INDEX('Price History'!F:F,MATCH(9.99E+307,'Returns (Calc)'!$A:$A)+1)-'Price History'!F3)*(ROW()-3)/(MATCH(9.99E+307,'Returns (Calc)'!$A:$A)-3),"")</f>
        <v>86.227594936708869</v>
      </c>
      <c r="AB34" s="131">
        <f>IFERROR('Price History'!G3+(INDEX('Price History'!G:G,MATCH(9.99E+307,'Returns (Calc)'!$A:$A)+1)-'Price History'!G3)*(ROW()-3)/(MATCH(9.99E+307,'Returns (Calc)'!$A:$A)-3),"")</f>
        <v>76.240759493670879</v>
      </c>
      <c r="AC34" s="131">
        <f>IFERROR('Price History'!H3+(INDEX('Price History'!H:H,MATCH(9.99E+307,'Returns (Calc)'!$A:$A)+1)-'Price History'!H3)*(ROW()-3)/(MATCH(9.99E+307,'Returns (Calc)'!$A:$A)-3),"")</f>
        <v>266.44658227848106</v>
      </c>
      <c r="AD34" s="131">
        <f>IFERROR('Price History'!I3+(INDEX('Price History'!I:I,MATCH(9.99E+307,'Returns (Calc)'!$A:$A)+1)-'Price History'!I3)*(ROW()-3)/(MATCH(9.99E+307,'Returns (Calc)'!$A:$A)-3),"")</f>
        <v>81.083797468354419</v>
      </c>
      <c r="AE34" s="131">
        <f>IFERROR('Price History'!J3+(INDEX('Price History'!J:J,MATCH(9.99E+307,'Returns (Calc)'!$A:$A)+1)-'Price History'!J3)*(ROW()-3)/(MATCH(9.99E+307,'Returns (Calc)'!$A:$A)-3),"")</f>
        <v>115.18917721518987</v>
      </c>
      <c r="AF34" s="131">
        <f>IFERROR('Price History'!K3+(INDEX('Price History'!K:K,MATCH(9.99E+307,'Returns (Calc)'!$A:$A)+1)-'Price History'!K3)*(ROW()-3)/(MATCH(9.99E+307,'Returns (Calc)'!$A:$A)-3),"")</f>
        <v>49.35544303797468</v>
      </c>
      <c r="AG34" s="131">
        <f>IFERROR('Price History'!L3+(INDEX('Price History'!L:L,MATCH(9.99E+307,'Returns (Calc)'!$A:$A)+1)-'Price History'!L3)*(ROW()-3)/(MATCH(9.99E+307,'Returns (Calc)'!$A:$A)-3),"")</f>
        <v>161.6862658227848</v>
      </c>
      <c r="AH34" s="131">
        <f>IFERROR('Price History'!M3+(INDEX('Price History'!M:M,MATCH(9.99E+307,'Returns (Calc)'!$A:$A)+1)-'Price History'!M3)*(ROW()-3)/(MATCH(9.99E+307,'Returns (Calc)'!$A:$A)-3),"")</f>
        <v>80.03873417721519</v>
      </c>
      <c r="AI34" s="131">
        <f>IFERROR('Price History'!N3+(INDEX('Price History'!N:N,MATCH(9.99E+307,'Returns (Calc)'!$A:$A)+1)-'Price History'!N3)*(ROW()-3)/(MATCH(9.99E+307,'Returns (Calc)'!$A:$A)-3),"")</f>
        <v>379.47424050632912</v>
      </c>
      <c r="AJ34" s="131">
        <f>IFERROR('Price History'!O3+(INDEX('Price History'!O:O,MATCH(9.99E+307,'Returns (Calc)'!$A:$A)+1)-'Price History'!O3)*(ROW()-3)/(MATCH(9.99E+307,'Returns (Calc)'!$A:$A)-3),"")</f>
        <v>84.084177215189868</v>
      </c>
      <c r="AK34" s="131">
        <f>IFERROR('Price History'!Q3+(INDEX('Price History'!Q:Q,MATCH(9.99E+307,'Returns (Calc)'!$A:$A)+1)-'Price History'!Q3)*(ROW()-3)/(MATCH(9.99E+307,'Returns (Calc)'!$A:$A)-3),"")</f>
        <v>13.620379746835443</v>
      </c>
      <c r="AL34" s="131">
        <f>IFERROR('Price History'!R3+(INDEX('Price History'!R:R,MATCH(9.99E+307,'Returns (Calc)'!$A:$A)+1)-'Price History'!R3)*(ROW()-3)/(MATCH(9.99E+307,'Returns (Calc)'!$A:$A)-3),"")</f>
        <v>39.691139240506324</v>
      </c>
      <c r="AM34" s="131">
        <f>IFERROR('Price History'!S3+(INDEX('Price History'!S:S,MATCH(9.99E+307,'Returns (Calc)'!$A:$A)+1)-'Price History'!S3)*(ROW()-3)/(MATCH(9.99E+307,'Returns (Calc)'!$A:$A)-3),"")</f>
        <v>76.38696202531645</v>
      </c>
      <c r="AN34" s="131">
        <f>IFERROR('Price History'!T3+(INDEX('Price History'!T:T,MATCH(9.99E+307,'Returns (Calc)'!$A:$A)+1)-'Price History'!T3)*(ROW()-3)/(MATCH(9.99E+307,'Returns (Calc)'!$A:$A)-3),"")</f>
        <v>30.45506329113924</v>
      </c>
      <c r="AO34" s="132">
        <f>IFERROR('Price History'!V3+(INDEX('Price History'!V:V,MATCH(9.99E+307,'Returns (Calc)'!$A:$A)+1)-'Price History'!V3)*(ROW()-3)/(MATCH(9.99E+307,'Returns (Calc)'!$A:$A)-3),"")</f>
        <v>260.16120253164559</v>
      </c>
      <c r="AP34" s="130">
        <f>IFERROR(IF(OR(NOT(ISNUMBER('Price History'!W35)),NOT(ISNUMBER('Price History'!W34)),'Price History'!W34=0),"",'Price History'!W35/'Price History'!W34-1),"")</f>
        <v>1.2349092249562155E-2</v>
      </c>
      <c r="AQ34" s="130" t="str">
        <f>IFERROR(IF(OR(NOT(ISNUMBER('Price History'!X35)),NOT(ISNUMBER('Price History'!X34)),'Price History'!X34=0),"",'Price History'!X35/'Price History'!X34-1),"")</f>
        <v/>
      </c>
      <c r="AR34" s="130">
        <f>IFERROR(IF(OR(NOT(ISNUMBER('Price History'!Y35)),NOT(ISNUMBER('Price History'!Y34)),'Price History'!Y34=0),"",'Price History'!Y35/'Price History'!Y34-1),"")</f>
        <v>1.4964788732394263E-2</v>
      </c>
      <c r="AS34" s="130">
        <f>IFERROR(IF(OR(NOT(ISNUMBER('Price History'!Z35)),NOT(ISNUMBER('Price History'!Z34)),'Price History'!Z34=0),"",'Price History'!Z35/'Price History'!Z34-1),"")</f>
        <v>9.649603065973178E-2</v>
      </c>
      <c r="AT34" s="130">
        <f>IFERROR(IF(OR(NOT(ISNUMBER('Price History'!AA35)),NOT(ISNUMBER('Price History'!AA34)),'Price History'!AA34=0),"",'Price History'!AA35/'Price History'!AA34-1),"")</f>
        <v>1.1171171171171057E-2</v>
      </c>
    </row>
    <row r="35" spans="1:46" ht="15" customHeight="1" x14ac:dyDescent="0.2">
      <c r="A35" s="128">
        <f>IF('Price History'!A36="","",'Price History'!A36)</f>
        <v>45415</v>
      </c>
      <c r="B35" s="129">
        <f>IFERROR(IF(OR(NOT(ISNUMBER('Price History'!B36)),NOT(ISNUMBER('Price History'!B35)),'Price History'!B35=0),"",'Price History'!B36/'Price History'!B35-1),"")</f>
        <v>1.8050087947064197E-2</v>
      </c>
      <c r="C35" s="129">
        <f>IFERROR(IF(OR(NOT(ISNUMBER('Price History'!C36)),NOT(ISNUMBER('Price History'!C35)),'Price History'!C35=0),"",'Price History'!C36/'Price History'!C35-1),"")</f>
        <v>3.6566938652160541E-2</v>
      </c>
      <c r="D35" s="129">
        <f>IFERROR(IF(OR(NOT(ISNUMBER('Price History'!D36)),NOT(ISNUMBER('Price History'!D35)),'Price History'!D35=0),"",'Price History'!D36/'Price History'!D35-1),"")</f>
        <v>-1.8866042232444702E-2</v>
      </c>
      <c r="E35" s="129">
        <f>IFERROR(IF(OR(NOT(ISNUMBER('Price History'!E36)),NOT(ISNUMBER('Price History'!E35)),'Price History'!E35=0),"",'Price History'!E36/'Price History'!E35-1),"")</f>
        <v>-4.9059190980422107E-2</v>
      </c>
      <c r="F35" s="129">
        <f>IFERROR(IF(OR(NOT(ISNUMBER('Price History'!F36)),NOT(ISNUMBER('Price History'!F35)),'Price History'!F35=0),"",'Price History'!F36/'Price History'!F35-1),"")</f>
        <v>2.0126282557221709E-2</v>
      </c>
      <c r="G35" s="129">
        <f>IFERROR(IF(OR(NOT(ISNUMBER('Price History'!G36)),NOT(ISNUMBER('Price History'!G35)),'Price History'!G35=0),"",'Price History'!G36/'Price History'!G35-1),"")</f>
        <v>-1.3706535853412194E-2</v>
      </c>
      <c r="H35" s="129">
        <f>IFERROR(IF(OR(NOT(ISNUMBER('Price History'!H36)),NOT(ISNUMBER('Price History'!H35)),'Price History'!H35=0),"",'Price History'!H36/'Price History'!H35-1),"")</f>
        <v>-1.2278547623224556E-3</v>
      </c>
      <c r="I35" s="129">
        <f>IFERROR(IF(OR(NOT(ISNUMBER('Price History'!I36)),NOT(ISNUMBER('Price History'!I35)),'Price History'!I35=0),"",'Price History'!I36/'Price History'!I35-1),"")</f>
        <v>1.2001371585324216E-2</v>
      </c>
      <c r="J35" s="129">
        <f>IFERROR(IF(OR(NOT(ISNUMBER('Price History'!J36)),NOT(ISNUMBER('Price History'!J35)),'Price History'!J35=0),"",'Price History'!J36/'Price History'!J35-1),"")</f>
        <v>1.7538365173817683E-2</v>
      </c>
      <c r="K35" s="129">
        <f>IFERROR(IF(OR(NOT(ISNUMBER('Price History'!K36)),NOT(ISNUMBER('Price History'!K35)),'Price History'!K35=0),"",'Price History'!K36/'Price History'!K35-1),"")</f>
        <v>3.5968028419182785E-2</v>
      </c>
      <c r="L35" s="129">
        <f>IFERROR(IF(OR(NOT(ISNUMBER('Price History'!L36)),NOT(ISNUMBER('Price History'!L35)),'Price History'!L35=0),"",'Price History'!L36/'Price History'!L35-1),"")</f>
        <v>2.357329354718396E-2</v>
      </c>
      <c r="M35" s="129">
        <f>IFERROR(IF(OR(NOT(ISNUMBER('Price History'!M36)),NOT(ISNUMBER('Price History'!M35)),'Price History'!M35=0),"",'Price History'!M36/'Price History'!M35-1),"")</f>
        <v>-5.149662053427595E-3</v>
      </c>
      <c r="N35" s="129">
        <f>IFERROR(IF(OR(NOT(ISNUMBER('Price History'!N36)),NOT(ISNUMBER('Price History'!N35)),'Price History'!N35=0),"",'Price History'!N36/'Price History'!N35-1),"")</f>
        <v>9.0570594746903765E-3</v>
      </c>
      <c r="O35" s="129">
        <f>IFERROR(IF(OR(NOT(ISNUMBER('Price History'!O36)),NOT(ISNUMBER('Price History'!O35)),'Price History'!O35=0),"",'Price History'!O36/'Price History'!O35-1),"")</f>
        <v>6.8011527377522807E-3</v>
      </c>
      <c r="P35" s="129">
        <f>IFERROR(IF(OR(NOT(ISNUMBER('Price History'!P36)),NOT(ISNUMBER('Price History'!P35)),'Price History'!P35=0),"",'Price History'!P36/'Price History'!P35-1),"")</f>
        <v>1.2240796565269108E-2</v>
      </c>
      <c r="Q35" s="129">
        <f>IFERROR(IF(OR(NOT(ISNUMBER('Price History'!Q36)),NOT(ISNUMBER('Price History'!Q35)),'Price History'!Q35=0),"",'Price History'!Q36/'Price History'!Q35-1),"")</f>
        <v>4.2155425219940756E-3</v>
      </c>
      <c r="R35" s="129">
        <f>IFERROR(IF(OR(NOT(ISNUMBER('Price History'!R36)),NOT(ISNUMBER('Price History'!R35)),'Price History'!R35=0),"",'Price History'!R36/'Price History'!R35-1),"")</f>
        <v>1.0040160642570184E-2</v>
      </c>
      <c r="S35" s="129">
        <f>IFERROR(IF(OR(NOT(ISNUMBER('Price History'!S36)),NOT(ISNUMBER('Price History'!S35)),'Price History'!S35=0),"",'Price History'!S36/'Price History'!S35-1),"")</f>
        <v>9.7715568466920644E-3</v>
      </c>
      <c r="T35" s="129">
        <f>IFERROR(IF(OR(NOT(ISNUMBER('Price History'!T36)),NOT(ISNUMBER('Price History'!T35)),'Price History'!T35=0),"",'Price History'!T36/'Price History'!T35-1),"")</f>
        <v>-1.5506433520290241E-2</v>
      </c>
      <c r="U35" s="129">
        <f>IFERROR(IF(OR(NOT(ISNUMBER('Price History'!U36)),NOT(ISNUMBER('Price History'!U35)),'Price History'!U35=0),"",'Price History'!U36/'Price History'!U35-1),"")</f>
        <v>6.3640220619431975E-3</v>
      </c>
      <c r="V35" s="130">
        <f>IFERROR(IF(OR(NOT(ISNUMBER('Price History'!V36)),NOT(ISNUMBER('Price History'!V35)),'Price History'!V35=0),"",'Price History'!V36/'Price History'!V35-1),"")</f>
        <v>-2.1937639198218117E-2</v>
      </c>
      <c r="W35" s="131">
        <f>IFERROR('Price History'!B3+(INDEX('Price History'!B:B,MATCH(9.99E+307,'Returns (Calc)'!$A:$A)+1)-'Price History'!B3)*(ROW()-3)/(MATCH(9.99E+307,'Returns (Calc)'!$A:$A)-3),"")</f>
        <v>469.9127848101266</v>
      </c>
      <c r="X35" s="131">
        <f>IFERROR('Price History'!C3+(INDEX('Price History'!C:C,MATCH(9.99E+307,'Returns (Calc)'!$A:$A)+1)-'Price History'!C3)*(ROW()-3)/(MATCH(9.99E+307,'Returns (Calc)'!$A:$A)-3),"")</f>
        <v>78.822025316455694</v>
      </c>
      <c r="Y35" s="131">
        <f>IFERROR('Price History'!D3+(INDEX('Price History'!D:D,MATCH(9.99E+307,'Returns (Calc)'!$A:$A)+1)-'Price History'!D3)*(ROW()-3)/(MATCH(9.99E+307,'Returns (Calc)'!$A:$A)-3),"")</f>
        <v>842.32392405063297</v>
      </c>
      <c r="Z35" s="131">
        <f>IFERROR('Price History'!E3+(INDEX('Price History'!E:E,MATCH(9.99E+307,'Returns (Calc)'!$A:$A)+1)-'Price History'!E3)*(ROW()-3)/(MATCH(9.99E+307,'Returns (Calc)'!$A:$A)-3),"")</f>
        <v>137.31949367088606</v>
      </c>
      <c r="AA35" s="131">
        <f>IFERROR('Price History'!F3+(INDEX('Price History'!F:F,MATCH(9.99E+307,'Returns (Calc)'!$A:$A)+1)-'Price History'!F3)*(ROW()-3)/(MATCH(9.99E+307,'Returns (Calc)'!$A:$A)-3),"")</f>
        <v>87.67493670886077</v>
      </c>
      <c r="AB35" s="131">
        <f>IFERROR('Price History'!G3+(INDEX('Price History'!G:G,MATCH(9.99E+307,'Returns (Calc)'!$A:$A)+1)-'Price History'!G3)*(ROW()-3)/(MATCH(9.99E+307,'Returns (Calc)'!$A:$A)-3),"")</f>
        <v>77.269493670886078</v>
      </c>
      <c r="AC35" s="131">
        <f>IFERROR('Price History'!H3+(INDEX('Price History'!H:H,MATCH(9.99E+307,'Returns (Calc)'!$A:$A)+1)-'Price History'!H3)*(ROW()-3)/(MATCH(9.99E+307,'Returns (Calc)'!$A:$A)-3),"")</f>
        <v>272.8122784810127</v>
      </c>
      <c r="AD35" s="131">
        <f>IFERROR('Price History'!I3+(INDEX('Price History'!I:I,MATCH(9.99E+307,'Returns (Calc)'!$A:$A)+1)-'Price History'!I3)*(ROW()-3)/(MATCH(9.99E+307,'Returns (Calc)'!$A:$A)-3),"")</f>
        <v>82.287468354430388</v>
      </c>
      <c r="AE35" s="131">
        <f>IFERROR('Price History'!J3+(INDEX('Price History'!J:J,MATCH(9.99E+307,'Returns (Calc)'!$A:$A)+1)-'Price History'!J3)*(ROW()-3)/(MATCH(9.99E+307,'Returns (Calc)'!$A:$A)-3),"")</f>
        <v>115.29721518987341</v>
      </c>
      <c r="AF35" s="131">
        <f>IFERROR('Price History'!K3+(INDEX('Price History'!K:K,MATCH(9.99E+307,'Returns (Calc)'!$A:$A)+1)-'Price History'!K3)*(ROW()-3)/(MATCH(9.99E+307,'Returns (Calc)'!$A:$A)-3),"")</f>
        <v>50.453037974683539</v>
      </c>
      <c r="AG35" s="131">
        <f>IFERROR('Price History'!L3+(INDEX('Price History'!L:L,MATCH(9.99E+307,'Returns (Calc)'!$A:$A)+1)-'Price History'!L3)*(ROW()-3)/(MATCH(9.99E+307,'Returns (Calc)'!$A:$A)-3),"")</f>
        <v>164.1358227848101</v>
      </c>
      <c r="AH35" s="131">
        <f>IFERROR('Price History'!M3+(INDEX('Price History'!M:M,MATCH(9.99E+307,'Returns (Calc)'!$A:$A)+1)-'Price History'!M3)*(ROW()-3)/(MATCH(9.99E+307,'Returns (Calc)'!$A:$A)-3),"")</f>
        <v>81.39417721518987</v>
      </c>
      <c r="AI35" s="131">
        <f>IFERROR('Price History'!N3+(INDEX('Price History'!N:N,MATCH(9.99E+307,'Returns (Calc)'!$A:$A)+1)-'Price History'!N3)*(ROW()-3)/(MATCH(9.99E+307,'Returns (Calc)'!$A:$A)-3),"")</f>
        <v>380.46050632911391</v>
      </c>
      <c r="AJ35" s="131">
        <f>IFERROR('Price History'!O3+(INDEX('Price History'!O:O,MATCH(9.99E+307,'Returns (Calc)'!$A:$A)+1)-'Price History'!O3)*(ROW()-3)/(MATCH(9.99E+307,'Returns (Calc)'!$A:$A)-3),"")</f>
        <v>84.36721518987342</v>
      </c>
      <c r="AK35" s="131">
        <f>IFERROR('Price History'!Q3+(INDEX('Price History'!Q:Q,MATCH(9.99E+307,'Returns (Calc)'!$A:$A)+1)-'Price History'!Q3)*(ROW()-3)/(MATCH(9.99E+307,'Returns (Calc)'!$A:$A)-3),"")</f>
        <v>14.059746835443038</v>
      </c>
      <c r="AL35" s="131">
        <f>IFERROR('Price History'!R3+(INDEX('Price History'!R:R,MATCH(9.99E+307,'Returns (Calc)'!$A:$A)+1)-'Price History'!R3)*(ROW()-3)/(MATCH(9.99E+307,'Returns (Calc)'!$A:$A)-3),"")</f>
        <v>39.859240506329108</v>
      </c>
      <c r="AM35" s="131">
        <f>IFERROR('Price History'!S3+(INDEX('Price History'!S:S,MATCH(9.99E+307,'Returns (Calc)'!$A:$A)+1)-'Price History'!S3)*(ROW()-3)/(MATCH(9.99E+307,'Returns (Calc)'!$A:$A)-3),"")</f>
        <v>76.992025316455695</v>
      </c>
      <c r="AN35" s="131">
        <f>IFERROR('Price History'!T3+(INDEX('Price History'!T:T,MATCH(9.99E+307,'Returns (Calc)'!$A:$A)+1)-'Price History'!T3)*(ROW()-3)/(MATCH(9.99E+307,'Returns (Calc)'!$A:$A)-3),"")</f>
        <v>30.623291139240507</v>
      </c>
      <c r="AO35" s="132">
        <f>IFERROR('Price History'!V3+(INDEX('Price History'!V:V,MATCH(9.99E+307,'Returns (Calc)'!$A:$A)+1)-'Price History'!V3)*(ROW()-3)/(MATCH(9.99E+307,'Returns (Calc)'!$A:$A)-3),"")</f>
        <v>260.95253164556959</v>
      </c>
      <c r="AP35" s="130">
        <f>IFERROR(IF(OR(NOT(ISNUMBER('Price History'!W36)),NOT(ISNUMBER('Price History'!W35)),'Price History'!W35=0),"",'Price History'!W36/'Price History'!W35-1),"")</f>
        <v>-2.0937642239416965E-3</v>
      </c>
      <c r="AQ35" s="130" t="str">
        <f>IFERROR(IF(OR(NOT(ISNUMBER('Price History'!X36)),NOT(ISNUMBER('Price History'!X35)),'Price History'!X35=0),"",'Price History'!X36/'Price History'!X35-1),"")</f>
        <v/>
      </c>
      <c r="AR35" s="130">
        <f>IFERROR(IF(OR(NOT(ISNUMBER('Price History'!Y36)),NOT(ISNUMBER('Price History'!Y35)),'Price History'!Y35=0),"",'Price History'!Y36/'Price History'!Y35-1),"")</f>
        <v>1.9514310494364029E-3</v>
      </c>
      <c r="AS35" s="130">
        <f>IFERROR(IF(OR(NOT(ISNUMBER('Price History'!Z36)),NOT(ISNUMBER('Price History'!Z35)),'Price History'!Z35=0),"",'Price History'!Z36/'Price History'!Z35-1),"")</f>
        <v>1.0860067407314933E-2</v>
      </c>
      <c r="AT35" s="130">
        <f>IFERROR(IF(OR(NOT(ISNUMBER('Price History'!AA36)),NOT(ISNUMBER('Price History'!AA35)),'Price History'!AA35=0),"",'Price History'!AA36/'Price History'!AA35-1),"")</f>
        <v>3.22523164647186E-2</v>
      </c>
    </row>
    <row r="36" spans="1:46" ht="15" customHeight="1" x14ac:dyDescent="0.2">
      <c r="A36" s="128">
        <f>IF('Price History'!A37="","",'Price History'!A37)</f>
        <v>45422</v>
      </c>
      <c r="B36" s="129">
        <f>IFERROR(IF(OR(NOT(ISNUMBER('Price History'!B37)),NOT(ISNUMBER('Price History'!B36)),'Price History'!B36=0),"",'Price History'!B37/'Price History'!B36-1),"")</f>
        <v>-8.0011518367681944E-3</v>
      </c>
      <c r="C36" s="129">
        <f>IFERROR(IF(OR(NOT(ISNUMBER('Price History'!C37)),NOT(ISNUMBER('Price History'!C36)),'Price History'!C36=0),"",'Price History'!C37/'Price History'!C36-1),"")</f>
        <v>0.14446064139941717</v>
      </c>
      <c r="D36" s="129">
        <f>IFERROR(IF(OR(NOT(ISNUMBER('Price History'!D37)),NOT(ISNUMBER('Price History'!D36)),'Price History'!D36=0),"",'Price History'!D37/'Price History'!D36-1),"")</f>
        <v>3.1780642391513014E-2</v>
      </c>
      <c r="E36" s="129">
        <f>IFERROR(IF(OR(NOT(ISNUMBER('Price History'!E37)),NOT(ISNUMBER('Price History'!E36)),'Price History'!E36=0),"",'Price History'!E37/'Price History'!E36-1),"")</f>
        <v>4.2778178322518512E-2</v>
      </c>
      <c r="F36" s="129">
        <f>IFERROR(IF(OR(NOT(ISNUMBER('Price History'!F37)),NOT(ISNUMBER('Price History'!F36)),'Price History'!F36=0),"",'Price History'!F37/'Price History'!F36-1),"")</f>
        <v>3.4042553191489411E-2</v>
      </c>
      <c r="G36" s="129">
        <f>IFERROR(IF(OR(NOT(ISNUMBER('Price History'!G37)),NOT(ISNUMBER('Price History'!G36)),'Price History'!G36=0),"",'Price History'!G37/'Price History'!G36-1),"")</f>
        <v>3.1158572264482043E-2</v>
      </c>
      <c r="H36" s="129">
        <f>IFERROR(IF(OR(NOT(ISNUMBER('Price History'!H37)),NOT(ISNUMBER('Price History'!H36)),'Price History'!H36=0),"",'Price History'!H37/'Price History'!H36-1),"")</f>
        <v>5.7077625570776336E-2</v>
      </c>
      <c r="I36" s="129">
        <f>IFERROR(IF(OR(NOT(ISNUMBER('Price History'!I37)),NOT(ISNUMBER('Price History'!I36)),'Price History'!I36=0),"",'Price History'!I37/'Price History'!I36-1),"")</f>
        <v>1.2197876665913654E-2</v>
      </c>
      <c r="J36" s="129">
        <f>IFERROR(IF(OR(NOT(ISNUMBER('Price History'!J37)),NOT(ISNUMBER('Price History'!J36)),'Price History'!J36=0),"",'Price History'!J37/'Price History'!J36-1),"")</f>
        <v>1.5184159228480709E-2</v>
      </c>
      <c r="K36" s="129">
        <f>IFERROR(IF(OR(NOT(ISNUMBER('Price History'!K37)),NOT(ISNUMBER('Price History'!K36)),'Price History'!K36=0),"",'Price History'!K37/'Price History'!K36-1),"")</f>
        <v>-0.11701671667381042</v>
      </c>
      <c r="L36" s="129">
        <f>IFERROR(IF(OR(NOT(ISNUMBER('Price History'!L37)),NOT(ISNUMBER('Price History'!L36)),'Price History'!L36=0),"",'Price History'!L37/'Price History'!L36-1),"")</f>
        <v>5.4369215071787602E-2</v>
      </c>
      <c r="M36" s="129">
        <f>IFERROR(IF(OR(NOT(ISNUMBER('Price History'!M37)),NOT(ISNUMBER('Price History'!M36)),'Price History'!M36=0),"",'Price History'!M37/'Price History'!M36-1),"")</f>
        <v>2.5773751752399487E-2</v>
      </c>
      <c r="N36" s="129">
        <f>IFERROR(IF(OR(NOT(ISNUMBER('Price History'!N37)),NOT(ISNUMBER('Price History'!N36)),'Price History'!N36=0),"",'Price History'!N37/'Price History'!N36-1),"")</f>
        <v>5.4103919417572532E-2</v>
      </c>
      <c r="O36" s="129">
        <f>IFERROR(IF(OR(NOT(ISNUMBER('Price History'!O37)),NOT(ISNUMBER('Price History'!O36)),'Price History'!O36=0),"",'Price History'!O37/'Price History'!O36-1),"")</f>
        <v>1.7288756583466736E-2</v>
      </c>
      <c r="P36" s="129">
        <f>IFERROR(IF(OR(NOT(ISNUMBER('Price History'!P37)),NOT(ISNUMBER('Price History'!P36)),'Price History'!P36=0),"",'Price History'!P37/'Price History'!P36-1),"")</f>
        <v>2.4727010197635568E-2</v>
      </c>
      <c r="Q36" s="129">
        <f>IFERROR(IF(OR(NOT(ISNUMBER('Price History'!Q37)),NOT(ISNUMBER('Price History'!Q36)),'Price History'!Q36=0),"",'Price History'!Q37/'Price History'!Q36-1),"")</f>
        <v>1.5513779886840773E-2</v>
      </c>
      <c r="R36" s="129">
        <f>IFERROR(IF(OR(NOT(ISNUMBER('Price History'!R37)),NOT(ISNUMBER('Price History'!R36)),'Price History'!R36=0),"",'Price History'!R37/'Price History'!R36-1),"")</f>
        <v>1.391650099403563E-2</v>
      </c>
      <c r="S36" s="129">
        <f>IFERROR(IF(OR(NOT(ISNUMBER('Price History'!S37)),NOT(ISNUMBER('Price History'!S36)),'Price History'!S36=0),"",'Price History'!S37/'Price History'!S36-1),"")</f>
        <v>2.2230940238001873E-2</v>
      </c>
      <c r="T36" s="129">
        <f>IFERROR(IF(OR(NOT(ISNUMBER('Price History'!T37)),NOT(ISNUMBER('Price History'!T36)),'Price History'!T36=0),"",'Price History'!T37/'Price History'!T36-1),"")</f>
        <v>2.2453083109919669E-2</v>
      </c>
      <c r="U36" s="129">
        <f>IFERROR(IF(OR(NOT(ISNUMBER('Price History'!U37)),NOT(ISNUMBER('Price History'!U36)),'Price History'!U36=0),"",'Price History'!U37/'Price History'!U36-1),"")</f>
        <v>1.6863406408094583E-2</v>
      </c>
      <c r="V36" s="130">
        <f>IFERROR(IF(OR(NOT(ISNUMBER('Price History'!V37)),NOT(ISNUMBER('Price History'!V36)),'Price History'!V36=0),"",'Price History'!V37/'Price History'!V36-1),"")</f>
        <v>4.5618429541917971E-2</v>
      </c>
      <c r="W36" s="131">
        <f>IFERROR('Price History'!B3+(INDEX('Price History'!B:B,MATCH(9.99E+307,'Returns (Calc)'!$A:$A)+1)-'Price History'!B3)*(ROW()-3)/(MATCH(9.99E+307,'Returns (Calc)'!$A:$A)-3),"")</f>
        <v>468.06974683544303</v>
      </c>
      <c r="X36" s="131">
        <f>IFERROR('Price History'!C3+(INDEX('Price History'!C:C,MATCH(9.99E+307,'Returns (Calc)'!$A:$A)+1)-'Price History'!C3)*(ROW()-3)/(MATCH(9.99E+307,'Returns (Calc)'!$A:$A)-3),"")</f>
        <v>79.842088607594931</v>
      </c>
      <c r="Y36" s="131">
        <f>IFERROR('Price History'!D3+(INDEX('Price History'!D:D,MATCH(9.99E+307,'Returns (Calc)'!$A:$A)+1)-'Price History'!D3)*(ROW()-3)/(MATCH(9.99E+307,'Returns (Calc)'!$A:$A)-3),"")</f>
        <v>850.45873417721521</v>
      </c>
      <c r="Z36" s="131">
        <f>IFERROR('Price History'!E3+(INDEX('Price History'!E:E,MATCH(9.99E+307,'Returns (Calc)'!$A:$A)+1)-'Price History'!E3)*(ROW()-3)/(MATCH(9.99E+307,'Returns (Calc)'!$A:$A)-3),"")</f>
        <v>139.04822784810125</v>
      </c>
      <c r="AA36" s="131">
        <f>IFERROR('Price History'!F3+(INDEX('Price History'!F:F,MATCH(9.99E+307,'Returns (Calc)'!$A:$A)+1)-'Price History'!F3)*(ROW()-3)/(MATCH(9.99E+307,'Returns (Calc)'!$A:$A)-3),"")</f>
        <v>89.122278481012671</v>
      </c>
      <c r="AB36" s="131">
        <f>IFERROR('Price History'!G3+(INDEX('Price History'!G:G,MATCH(9.99E+307,'Returns (Calc)'!$A:$A)+1)-'Price History'!G3)*(ROW()-3)/(MATCH(9.99E+307,'Returns (Calc)'!$A:$A)-3),"")</f>
        <v>78.298227848101263</v>
      </c>
      <c r="AC36" s="131">
        <f>IFERROR('Price History'!H3+(INDEX('Price History'!H:H,MATCH(9.99E+307,'Returns (Calc)'!$A:$A)+1)-'Price History'!H3)*(ROW()-3)/(MATCH(9.99E+307,'Returns (Calc)'!$A:$A)-3),"")</f>
        <v>279.17797468354433</v>
      </c>
      <c r="AD36" s="131">
        <f>IFERROR('Price History'!I3+(INDEX('Price History'!I:I,MATCH(9.99E+307,'Returns (Calc)'!$A:$A)+1)-'Price History'!I3)*(ROW()-3)/(MATCH(9.99E+307,'Returns (Calc)'!$A:$A)-3),"")</f>
        <v>83.491139240506328</v>
      </c>
      <c r="AE36" s="131">
        <f>IFERROR('Price History'!J3+(INDEX('Price History'!J:J,MATCH(9.99E+307,'Returns (Calc)'!$A:$A)+1)-'Price History'!J3)*(ROW()-3)/(MATCH(9.99E+307,'Returns (Calc)'!$A:$A)-3),"")</f>
        <v>115.40525316455697</v>
      </c>
      <c r="AF36" s="131">
        <f>IFERROR('Price History'!K3+(INDEX('Price History'!K:K,MATCH(9.99E+307,'Returns (Calc)'!$A:$A)+1)-'Price History'!K3)*(ROW()-3)/(MATCH(9.99E+307,'Returns (Calc)'!$A:$A)-3),"")</f>
        <v>51.550632911392398</v>
      </c>
      <c r="AG36" s="131">
        <f>IFERROR('Price History'!L3+(INDEX('Price History'!L:L,MATCH(9.99E+307,'Returns (Calc)'!$A:$A)+1)-'Price History'!L3)*(ROW()-3)/(MATCH(9.99E+307,'Returns (Calc)'!$A:$A)-3),"")</f>
        <v>166.58537974683543</v>
      </c>
      <c r="AH36" s="131">
        <f>IFERROR('Price History'!M3+(INDEX('Price History'!M:M,MATCH(9.99E+307,'Returns (Calc)'!$A:$A)+1)-'Price History'!M3)*(ROW()-3)/(MATCH(9.99E+307,'Returns (Calc)'!$A:$A)-3),"")</f>
        <v>82.749620253164551</v>
      </c>
      <c r="AI36" s="131">
        <f>IFERROR('Price History'!N3+(INDEX('Price History'!N:N,MATCH(9.99E+307,'Returns (Calc)'!$A:$A)+1)-'Price History'!N3)*(ROW()-3)/(MATCH(9.99E+307,'Returns (Calc)'!$A:$A)-3),"")</f>
        <v>381.4467721518987</v>
      </c>
      <c r="AJ36" s="131">
        <f>IFERROR('Price History'!O3+(INDEX('Price History'!O:O,MATCH(9.99E+307,'Returns (Calc)'!$A:$A)+1)-'Price History'!O3)*(ROW()-3)/(MATCH(9.99E+307,'Returns (Calc)'!$A:$A)-3),"")</f>
        <v>84.650253164556972</v>
      </c>
      <c r="AK36" s="131">
        <f>IFERROR('Price History'!Q3+(INDEX('Price History'!Q:Q,MATCH(9.99E+307,'Returns (Calc)'!$A:$A)+1)-'Price History'!Q3)*(ROW()-3)/(MATCH(9.99E+307,'Returns (Calc)'!$A:$A)-3),"")</f>
        <v>14.499113924050635</v>
      </c>
      <c r="AL36" s="131">
        <f>IFERROR('Price History'!R3+(INDEX('Price History'!R:R,MATCH(9.99E+307,'Returns (Calc)'!$A:$A)+1)-'Price History'!R3)*(ROW()-3)/(MATCH(9.99E+307,'Returns (Calc)'!$A:$A)-3),"")</f>
        <v>40.0273417721519</v>
      </c>
      <c r="AM36" s="131">
        <f>IFERROR('Price History'!S3+(INDEX('Price History'!S:S,MATCH(9.99E+307,'Returns (Calc)'!$A:$A)+1)-'Price History'!S3)*(ROW()-3)/(MATCH(9.99E+307,'Returns (Calc)'!$A:$A)-3),"")</f>
        <v>77.597088607594941</v>
      </c>
      <c r="AN36" s="131">
        <f>IFERROR('Price History'!T3+(INDEX('Price History'!T:T,MATCH(9.99E+307,'Returns (Calc)'!$A:$A)+1)-'Price History'!T3)*(ROW()-3)/(MATCH(9.99E+307,'Returns (Calc)'!$A:$A)-3),"")</f>
        <v>30.791518987341771</v>
      </c>
      <c r="AO36" s="132">
        <f>IFERROR('Price History'!V3+(INDEX('Price History'!V:V,MATCH(9.99E+307,'Returns (Calc)'!$A:$A)+1)-'Price History'!V3)*(ROW()-3)/(MATCH(9.99E+307,'Returns (Calc)'!$A:$A)-3),"")</f>
        <v>261.74386075949366</v>
      </c>
      <c r="AP36" s="130">
        <f>IFERROR(IF(OR(NOT(ISNUMBER('Price History'!W37)),NOT(ISNUMBER('Price History'!W36)),'Price History'!W36=0),"",'Price History'!W37/'Price History'!W36-1),"")</f>
        <v>2.344462689290272E-2</v>
      </c>
      <c r="AQ36" s="130" t="str">
        <f>IFERROR(IF(OR(NOT(ISNUMBER('Price History'!X37)),NOT(ISNUMBER('Price History'!X36)),'Price History'!X36=0),"",'Price History'!X37/'Price History'!X36-1),"")</f>
        <v/>
      </c>
      <c r="AR36" s="130">
        <f>IFERROR(IF(OR(NOT(ISNUMBER('Price History'!Y37)),NOT(ISNUMBER('Price History'!Y36)),'Price History'!Y36=0),"",'Price History'!Y37/'Price History'!Y36-1),"")</f>
        <v>1.8610690326769097E-2</v>
      </c>
      <c r="AS36" s="130">
        <f>IFERROR(IF(OR(NOT(ISNUMBER('Price History'!Z37)),NOT(ISNUMBER('Price History'!Z36)),'Price History'!Z36=0),"",'Price History'!Z37/'Price History'!Z36-1),"")</f>
        <v>-4.4455421091627034E-3</v>
      </c>
      <c r="AT36" s="130">
        <f>IFERROR(IF(OR(NOT(ISNUMBER('Price History'!AA37)),NOT(ISNUMBER('Price History'!AA36)),'Price History'!AA36=0),"",'Price History'!AA37/'Price History'!AA36-1),"")</f>
        <v>5.4548593129639222E-2</v>
      </c>
    </row>
    <row r="37" spans="1:46" ht="15" customHeight="1" x14ac:dyDescent="0.2">
      <c r="A37" s="128">
        <f>IF('Price History'!A38="","",'Price History'!A38)</f>
        <v>45429</v>
      </c>
      <c r="B37" s="129">
        <f>IFERROR(IF(OR(NOT(ISNUMBER('Price History'!B38)),NOT(ISNUMBER('Price History'!B37)),'Price History'!B37=0),"",'Price History'!B38/'Price History'!B37-1),"")</f>
        <v>2.3637230711812673E-3</v>
      </c>
      <c r="C37" s="129">
        <f>IFERROR(IF(OR(NOT(ISNUMBER('Price History'!C38)),NOT(ISNUMBER('Price History'!C37)),'Price History'!C37=0),"",'Price History'!C38/'Price History'!C37-1),"")</f>
        <v>1.8596357151955178E-2</v>
      </c>
      <c r="D37" s="129">
        <f>IFERROR(IF(OR(NOT(ISNUMBER('Price History'!D38)),NOT(ISNUMBER('Price History'!D37)),'Price History'!D37=0),"",'Price History'!D38/'Price History'!D37-1),"")</f>
        <v>-5.715787398988259E-3</v>
      </c>
      <c r="E37" s="129">
        <f>IFERROR(IF(OR(NOT(ISNUMBER('Price History'!E38)),NOT(ISNUMBER('Price History'!E37)),'Price History'!E37=0),"",'Price History'!E38/'Price History'!E37-1),"")</f>
        <v>4.6861796112775744E-2</v>
      </c>
      <c r="F37" s="129">
        <f>IFERROR(IF(OR(NOT(ISNUMBER('Price History'!F38)),NOT(ISNUMBER('Price History'!F37)),'Price History'!F37=0),"",'Price History'!F38/'Price History'!F37-1),"")</f>
        <v>7.8438708068337748E-2</v>
      </c>
      <c r="G37" s="129">
        <f>IFERROR(IF(OR(NOT(ISNUMBER('Price History'!G38)),NOT(ISNUMBER('Price History'!G37)),'Price History'!G37=0),"",'Price History'!G38/'Price History'!G37-1),"")</f>
        <v>4.2984820541920765E-2</v>
      </c>
      <c r="H37" s="129">
        <f>IFERROR(IF(OR(NOT(ISNUMBER('Price History'!H38)),NOT(ISNUMBER('Price History'!H37)),'Price History'!H37=0),"",'Price History'!H38/'Price History'!H37-1),"")</f>
        <v>3.3394251536800201E-2</v>
      </c>
      <c r="I37" s="129">
        <f>IFERROR(IF(OR(NOT(ISNUMBER('Price History'!I38)),NOT(ISNUMBER('Price History'!I37)),'Price History'!I37=0),"",'Price History'!I38/'Price History'!I37-1),"")</f>
        <v>2.9011381388083013E-2</v>
      </c>
      <c r="J37" s="129">
        <f>IFERROR(IF(OR(NOT(ISNUMBER('Price History'!J38)),NOT(ISNUMBER('Price History'!J37)),'Price History'!J37=0),"",'Price History'!J38/'Price History'!J37-1),"")</f>
        <v>3.7291561394643846E-2</v>
      </c>
      <c r="K37" s="129">
        <f>IFERROR(IF(OR(NOT(ISNUMBER('Price History'!K38)),NOT(ISNUMBER('Price History'!K37)),'Price History'!K37=0),"",'Price History'!K38/'Price History'!K37-1),"")</f>
        <v>5.6310679611650594E-2</v>
      </c>
      <c r="L37" s="129">
        <f>IFERROR(IF(OR(NOT(ISNUMBER('Price History'!L38)),NOT(ISNUMBER('Price History'!L37)),'Price History'!L37=0),"",'Price History'!L38/'Price History'!L37-1),"")</f>
        <v>1.6243865348724906E-2</v>
      </c>
      <c r="M37" s="129">
        <f>IFERROR(IF(OR(NOT(ISNUMBER('Price History'!M38)),NOT(ISNUMBER('Price History'!M37)),'Price History'!M37=0),"",'Price History'!M38/'Price History'!M37-1),"")</f>
        <v>1.4718250630782137E-2</v>
      </c>
      <c r="N37" s="129">
        <f>IFERROR(IF(OR(NOT(ISNUMBER('Price History'!N38)),NOT(ISNUMBER('Price History'!N37)),'Price History'!N37=0),"",'Price History'!N38/'Price History'!N37-1),"")</f>
        <v>5.3053597615781323E-2</v>
      </c>
      <c r="O37" s="129">
        <f>IFERROR(IF(OR(NOT(ISNUMBER('Price History'!O38)),NOT(ISNUMBER('Price History'!O37)),'Price History'!O37=0),"",'Price History'!O38/'Price History'!O37-1),"")</f>
        <v>1.1029825548677596E-2</v>
      </c>
      <c r="P37" s="129">
        <f>IFERROR(IF(OR(NOT(ISNUMBER('Price History'!P38)),NOT(ISNUMBER('Price History'!P37)),'Price History'!P37=0),"",'Price History'!P38/'Price History'!P37-1),"")</f>
        <v>1.2153236459709449E-2</v>
      </c>
      <c r="Q37" s="129">
        <f>IFERROR(IF(OR(NOT(ISNUMBER('Price History'!Q38)),NOT(ISNUMBER('Price History'!Q37)),'Price History'!Q37=0),"",'Price History'!Q38/'Price History'!Q37-1),"")</f>
        <v>1.078360891444996E-2</v>
      </c>
      <c r="R37" s="129">
        <f>IFERROR(IF(OR(NOT(ISNUMBER('Price History'!R38)),NOT(ISNUMBER('Price History'!R37)),'Price History'!R37=0),"",'Price History'!R38/'Price History'!R37-1),"")</f>
        <v>1.2009803921568585E-2</v>
      </c>
      <c r="S37" s="129">
        <f>IFERROR(IF(OR(NOT(ISNUMBER('Price History'!S38)),NOT(ISNUMBER('Price History'!S37)),'Price History'!S37=0),"",'Price History'!S38/'Price History'!S37-1),"")</f>
        <v>1.5095305104259937E-2</v>
      </c>
      <c r="T37" s="129">
        <f>IFERROR(IF(OR(NOT(ISNUMBER('Price History'!T38)),NOT(ISNUMBER('Price History'!T37)),'Price History'!T37=0),"",'Price History'!T38/'Price History'!T37-1),"")</f>
        <v>9.5050803015404028E-3</v>
      </c>
      <c r="U37" s="129">
        <f>IFERROR(IF(OR(NOT(ISNUMBER('Price History'!U38)),NOT(ISNUMBER('Price History'!U37)),'Price History'!U37=0),"",'Price History'!U38/'Price History'!U37-1),"")</f>
        <v>9.9502487562188602E-3</v>
      </c>
      <c r="V37" s="130">
        <f>IFERROR(IF(OR(NOT(ISNUMBER('Price History'!V38)),NOT(ISNUMBER('Price History'!V37)),'Price History'!V37=0),"",'Price History'!V38/'Price History'!V37-1),"")</f>
        <v>-4.3555587818955299E-4</v>
      </c>
      <c r="W37" s="131">
        <f>IFERROR('Price History'!B3+(INDEX('Price History'!B:B,MATCH(9.99E+307,'Returns (Calc)'!$A:$A)+1)-'Price History'!B3)*(ROW()-3)/(MATCH(9.99E+307,'Returns (Calc)'!$A:$A)-3),"")</f>
        <v>466.22670886075946</v>
      </c>
      <c r="X37" s="131">
        <f>IFERROR('Price History'!C3+(INDEX('Price History'!C:C,MATCH(9.99E+307,'Returns (Calc)'!$A:$A)+1)-'Price History'!C3)*(ROW()-3)/(MATCH(9.99E+307,'Returns (Calc)'!$A:$A)-3),"")</f>
        <v>80.862151898734169</v>
      </c>
      <c r="Y37" s="131">
        <f>IFERROR('Price History'!D3+(INDEX('Price History'!D:D,MATCH(9.99E+307,'Returns (Calc)'!$A:$A)+1)-'Price History'!D3)*(ROW()-3)/(MATCH(9.99E+307,'Returns (Calc)'!$A:$A)-3),"")</f>
        <v>858.59354430379744</v>
      </c>
      <c r="Z37" s="131">
        <f>IFERROR('Price History'!E3+(INDEX('Price History'!E:E,MATCH(9.99E+307,'Returns (Calc)'!$A:$A)+1)-'Price History'!E3)*(ROW()-3)/(MATCH(9.99E+307,'Returns (Calc)'!$A:$A)-3),"")</f>
        <v>140.77696202531646</v>
      </c>
      <c r="AA37" s="131">
        <f>IFERROR('Price History'!F3+(INDEX('Price History'!F:F,MATCH(9.99E+307,'Returns (Calc)'!$A:$A)+1)-'Price History'!F3)*(ROW()-3)/(MATCH(9.99E+307,'Returns (Calc)'!$A:$A)-3),"")</f>
        <v>90.569620253164558</v>
      </c>
      <c r="AB37" s="131">
        <f>IFERROR('Price History'!G3+(INDEX('Price History'!G:G,MATCH(9.99E+307,'Returns (Calc)'!$A:$A)+1)-'Price History'!G3)*(ROW()-3)/(MATCH(9.99E+307,'Returns (Calc)'!$A:$A)-3),"")</f>
        <v>79.326962025316448</v>
      </c>
      <c r="AC37" s="131">
        <f>IFERROR('Price History'!H3+(INDEX('Price History'!H:H,MATCH(9.99E+307,'Returns (Calc)'!$A:$A)+1)-'Price History'!H3)*(ROW()-3)/(MATCH(9.99E+307,'Returns (Calc)'!$A:$A)-3),"")</f>
        <v>285.54367088607597</v>
      </c>
      <c r="AD37" s="131">
        <f>IFERROR('Price History'!I3+(INDEX('Price History'!I:I,MATCH(9.99E+307,'Returns (Calc)'!$A:$A)+1)-'Price History'!I3)*(ROW()-3)/(MATCH(9.99E+307,'Returns (Calc)'!$A:$A)-3),"")</f>
        <v>84.694810126582269</v>
      </c>
      <c r="AE37" s="131">
        <f>IFERROR('Price History'!J3+(INDEX('Price History'!J:J,MATCH(9.99E+307,'Returns (Calc)'!$A:$A)+1)-'Price History'!J3)*(ROW()-3)/(MATCH(9.99E+307,'Returns (Calc)'!$A:$A)-3),"")</f>
        <v>115.51329113924051</v>
      </c>
      <c r="AF37" s="131">
        <f>IFERROR('Price History'!K3+(INDEX('Price History'!K:K,MATCH(9.99E+307,'Returns (Calc)'!$A:$A)+1)-'Price History'!K3)*(ROW()-3)/(MATCH(9.99E+307,'Returns (Calc)'!$A:$A)-3),"")</f>
        <v>52.648227848101264</v>
      </c>
      <c r="AG37" s="131">
        <f>IFERROR('Price History'!L3+(INDEX('Price History'!L:L,MATCH(9.99E+307,'Returns (Calc)'!$A:$A)+1)-'Price History'!L3)*(ROW()-3)/(MATCH(9.99E+307,'Returns (Calc)'!$A:$A)-3),"")</f>
        <v>169.03493670886076</v>
      </c>
      <c r="AH37" s="131">
        <f>IFERROR('Price History'!M3+(INDEX('Price History'!M:M,MATCH(9.99E+307,'Returns (Calc)'!$A:$A)+1)-'Price History'!M3)*(ROW()-3)/(MATCH(9.99E+307,'Returns (Calc)'!$A:$A)-3),"")</f>
        <v>84.105063291139231</v>
      </c>
      <c r="AI37" s="131">
        <f>IFERROR('Price History'!N3+(INDEX('Price History'!N:N,MATCH(9.99E+307,'Returns (Calc)'!$A:$A)+1)-'Price History'!N3)*(ROW()-3)/(MATCH(9.99E+307,'Returns (Calc)'!$A:$A)-3),"")</f>
        <v>382.43303797468354</v>
      </c>
      <c r="AJ37" s="131">
        <f>IFERROR('Price History'!O3+(INDEX('Price History'!O:O,MATCH(9.99E+307,'Returns (Calc)'!$A:$A)+1)-'Price History'!O3)*(ROW()-3)/(MATCH(9.99E+307,'Returns (Calc)'!$A:$A)-3),"")</f>
        <v>84.933291139240509</v>
      </c>
      <c r="AK37" s="131">
        <f>IFERROR('Price History'!Q3+(INDEX('Price History'!Q:Q,MATCH(9.99E+307,'Returns (Calc)'!$A:$A)+1)-'Price History'!Q3)*(ROW()-3)/(MATCH(9.99E+307,'Returns (Calc)'!$A:$A)-3),"")</f>
        <v>14.938481012658229</v>
      </c>
      <c r="AL37" s="131">
        <f>IFERROR('Price History'!R3+(INDEX('Price History'!R:R,MATCH(9.99E+307,'Returns (Calc)'!$A:$A)+1)-'Price History'!R3)*(ROW()-3)/(MATCH(9.99E+307,'Returns (Calc)'!$A:$A)-3),"")</f>
        <v>40.195443037974684</v>
      </c>
      <c r="AM37" s="131">
        <f>IFERROR('Price History'!S3+(INDEX('Price History'!S:S,MATCH(9.99E+307,'Returns (Calc)'!$A:$A)+1)-'Price History'!S3)*(ROW()-3)/(MATCH(9.99E+307,'Returns (Calc)'!$A:$A)-3),"")</f>
        <v>78.202151898734172</v>
      </c>
      <c r="AN37" s="131">
        <f>IFERROR('Price History'!T3+(INDEX('Price History'!T:T,MATCH(9.99E+307,'Returns (Calc)'!$A:$A)+1)-'Price History'!T3)*(ROW()-3)/(MATCH(9.99E+307,'Returns (Calc)'!$A:$A)-3),"")</f>
        <v>30.959746835443035</v>
      </c>
      <c r="AO37" s="132">
        <f>IFERROR('Price History'!V3+(INDEX('Price History'!V:V,MATCH(9.99E+307,'Returns (Calc)'!$A:$A)+1)-'Price History'!V3)*(ROW()-3)/(MATCH(9.99E+307,'Returns (Calc)'!$A:$A)-3),"")</f>
        <v>262.53518987341772</v>
      </c>
      <c r="AP37" s="130">
        <f>IFERROR(IF(OR(NOT(ISNUMBER('Price History'!W38)),NOT(ISNUMBER('Price History'!W37)),'Price History'!W37=0),"",'Price History'!W38/'Price History'!W37-1),"")</f>
        <v>1.3637579106872355E-2</v>
      </c>
      <c r="AQ37" s="130" t="str">
        <f>IFERROR(IF(OR(NOT(ISNUMBER('Price History'!X38)),NOT(ISNUMBER('Price History'!X37)),'Price History'!X37=0),"",'Price History'!X38/'Price History'!X37-1),"")</f>
        <v/>
      </c>
      <c r="AR37" s="130">
        <f>IFERROR(IF(OR(NOT(ISNUMBER('Price History'!Y38)),NOT(ISNUMBER('Price History'!Y37)),'Price History'!Y37=0),"",'Price History'!Y38/'Price History'!Y37-1),"")</f>
        <v>4.8863394943701177E-3</v>
      </c>
      <c r="AS37" s="130">
        <f>IFERROR(IF(OR(NOT(ISNUMBER('Price History'!Z38)),NOT(ISNUMBER('Price History'!Z37)),'Price History'!Z37=0),"",'Price History'!Z38/'Price History'!Z37-1),"")</f>
        <v>-2.1334656412800745E-2</v>
      </c>
      <c r="AT37" s="130">
        <f>IFERROR(IF(OR(NOT(ISNUMBER('Price History'!AA38)),NOT(ISNUMBER('Price History'!AA37)),'Price History'!AA37=0),"",'Price History'!AA38/'Price History'!AA37-1),"")</f>
        <v>1.6696677033884333E-2</v>
      </c>
    </row>
    <row r="38" spans="1:46" ht="15" customHeight="1" x14ac:dyDescent="0.2">
      <c r="A38" s="128">
        <f>IF('Price History'!A39="","",'Price History'!A39)</f>
        <v>45436</v>
      </c>
      <c r="B38" s="129">
        <f>IFERROR(IF(OR(NOT(ISNUMBER('Price History'!B39)),NOT(ISNUMBER('Price History'!B38)),'Price History'!B38=0),"",'Price History'!B39/'Price History'!B38-1),"")</f>
        <v>-1.6548414455040072E-2</v>
      </c>
      <c r="C38" s="129">
        <f>IFERROR(IF(OR(NOT(ISNUMBER('Price History'!C39)),NOT(ISNUMBER('Price History'!C38)),'Price History'!C38=0),"",'Price History'!C39/'Price History'!C38-1),"")</f>
        <v>-4.1640615230711497E-2</v>
      </c>
      <c r="D38" s="129">
        <f>IFERROR(IF(OR(NOT(ISNUMBER('Price History'!D39)),NOT(ISNUMBER('Price History'!D38)),'Price History'!D38=0),"",'Price History'!D39/'Price History'!D38-1),"")</f>
        <v>3.3787057838861712E-2</v>
      </c>
      <c r="E38" s="129">
        <f>IFERROR(IF(OR(NOT(ISNUMBER('Price History'!E39)),NOT(ISNUMBER('Price History'!E38)),'Price History'!E38=0),"",'Price History'!E39/'Price History'!E38-1),"")</f>
        <v>9.0261979892858335E-3</v>
      </c>
      <c r="F38" s="129">
        <f>IFERROR(IF(OR(NOT(ISNUMBER('Price History'!F39)),NOT(ISNUMBER('Price History'!F38)),'Price History'!F38=0),"",'Price History'!F39/'Price History'!F38-1),"")</f>
        <v>1.6073080481036062E-2</v>
      </c>
      <c r="G38" s="129">
        <f>IFERROR(IF(OR(NOT(ISNUMBER('Price History'!G39)),NOT(ISNUMBER('Price History'!G38)),'Price History'!G38=0),"",'Price History'!G39/'Price History'!G38-1),"")</f>
        <v>4.2029379760609498E-2</v>
      </c>
      <c r="H38" s="129">
        <f>IFERROR(IF(OR(NOT(ISNUMBER('Price History'!H39)),NOT(ISNUMBER('Price History'!H38)),'Price History'!H38=0),"",'Price History'!H39/'Price History'!H38-1),"")</f>
        <v>3.3520900321543312E-2</v>
      </c>
      <c r="I38" s="129">
        <f>IFERROR(IF(OR(NOT(ISNUMBER('Price History'!I39)),NOT(ISNUMBER('Price History'!I38)),'Price History'!I38=0),"",'Price History'!I39/'Price History'!I38-1),"")</f>
        <v>0.15126870527000658</v>
      </c>
      <c r="J38" s="129">
        <f>IFERROR(IF(OR(NOT(ISNUMBER('Price History'!J39)),NOT(ISNUMBER('Price History'!J38)),'Price History'!J38=0),"",'Price History'!J39/'Price History'!J38-1),"")</f>
        <v>-6.0600155884645401E-2</v>
      </c>
      <c r="K38" s="129">
        <f>IFERROR(IF(OR(NOT(ISNUMBER('Price History'!K39)),NOT(ISNUMBER('Price History'!K38)),'Price History'!K38=0),"",'Price History'!K39/'Price History'!K38-1),"")</f>
        <v>-3.4466911764705843E-2</v>
      </c>
      <c r="L38" s="129">
        <f>IFERROR(IF(OR(NOT(ISNUMBER('Price History'!L39)),NOT(ISNUMBER('Price History'!L38)),'Price History'!L38=0),"",'Price History'!L39/'Price History'!L38-1),"")</f>
        <v>5.4822473132907001E-2</v>
      </c>
      <c r="M38" s="129">
        <f>IFERROR(IF(OR(NOT(ISNUMBER('Price History'!M39)),NOT(ISNUMBER('Price History'!M38)),'Price History'!M38=0),"",'Price History'!M39/'Price History'!M38-1),"")</f>
        <v>9.666390385412349E-2</v>
      </c>
      <c r="N38" s="129">
        <f>IFERROR(IF(OR(NOT(ISNUMBER('Price History'!N39)),NOT(ISNUMBER('Price History'!N38)),'Price History'!N38=0),"",'Price History'!N39/'Price History'!N38-1),"")</f>
        <v>2.6369578401203908E-2</v>
      </c>
      <c r="O38" s="129">
        <f>IFERROR(IF(OR(NOT(ISNUMBER('Price History'!O39)),NOT(ISNUMBER('Price History'!O38)),'Price History'!O38=0),"",'Price History'!O39/'Price History'!O38-1),"")</f>
        <v>-1.4805744183457592E-2</v>
      </c>
      <c r="P38" s="129">
        <f>IFERROR(IF(OR(NOT(ISNUMBER('Price History'!P39)),NOT(ISNUMBER('Price History'!P38)),'Price History'!P38=0),"",'Price History'!P39/'Price History'!P38-1),"")</f>
        <v>-2.0447228747933588E-2</v>
      </c>
      <c r="Q38" s="129">
        <f>IFERROR(IF(OR(NOT(ISNUMBER('Price History'!Q39)),NOT(ISNUMBER('Price History'!Q38)),'Price History'!Q38=0),"",'Price History'!Q39/'Price History'!Q38-1),"")</f>
        <v>1.0668563300142431E-3</v>
      </c>
      <c r="R38" s="129">
        <f>IFERROR(IF(OR(NOT(ISNUMBER('Price History'!R39)),NOT(ISNUMBER('Price History'!R38)),'Price History'!R38=0),"",'Price History'!R39/'Price History'!R38-1),"")</f>
        <v>4.6015984499878648E-3</v>
      </c>
      <c r="S38" s="129">
        <f>IFERROR(IF(OR(NOT(ISNUMBER('Price History'!S39)),NOT(ISNUMBER('Price History'!S38)),'Price History'!S38=0),"",'Price History'!S39/'Price History'!S38-1),"")</f>
        <v>1.953371140516702E-2</v>
      </c>
      <c r="T38" s="129">
        <f>IFERROR(IF(OR(NOT(ISNUMBER('Price History'!T39)),NOT(ISNUMBER('Price History'!T38)),'Price History'!T38=0),"",'Price History'!T39/'Price History'!T38-1),"")</f>
        <v>-1.7207792207792227E-2</v>
      </c>
      <c r="U38" s="129">
        <f>IFERROR(IF(OR(NOT(ISNUMBER('Price History'!U39)),NOT(ISNUMBER('Price History'!U38)),'Price History'!U38=0),"",'Price History'!U39/'Price History'!U38-1),"")</f>
        <v>-2.4630541871921041E-2</v>
      </c>
      <c r="V38" s="130">
        <f>IFERROR(IF(OR(NOT(ISNUMBER('Price History'!V39)),NOT(ISNUMBER('Price History'!V38)),'Price History'!V38=0),"",'Price History'!V39/'Price History'!V38-1),"")</f>
        <v>-2.0044300809760607E-2</v>
      </c>
      <c r="W38" s="131">
        <f>IFERROR('Price History'!B3+(INDEX('Price History'!B:B,MATCH(9.99E+307,'Returns (Calc)'!$A:$A)+1)-'Price History'!B3)*(ROW()-3)/(MATCH(9.99E+307,'Returns (Calc)'!$A:$A)-3),"")</f>
        <v>464.38367088607595</v>
      </c>
      <c r="X38" s="131">
        <f>IFERROR('Price History'!C3+(INDEX('Price History'!C:C,MATCH(9.99E+307,'Returns (Calc)'!$A:$A)+1)-'Price History'!C3)*(ROW()-3)/(MATCH(9.99E+307,'Returns (Calc)'!$A:$A)-3),"")</f>
        <v>81.882215189873421</v>
      </c>
      <c r="Y38" s="131">
        <f>IFERROR('Price History'!D3+(INDEX('Price History'!D:D,MATCH(9.99E+307,'Returns (Calc)'!$A:$A)+1)-'Price History'!D3)*(ROW()-3)/(MATCH(9.99E+307,'Returns (Calc)'!$A:$A)-3),"")</f>
        <v>866.7283544303798</v>
      </c>
      <c r="Z38" s="131">
        <f>IFERROR('Price History'!E3+(INDEX('Price History'!E:E,MATCH(9.99E+307,'Returns (Calc)'!$A:$A)+1)-'Price History'!E3)*(ROW()-3)/(MATCH(9.99E+307,'Returns (Calc)'!$A:$A)-3),"")</f>
        <v>142.50569620253165</v>
      </c>
      <c r="AA38" s="131">
        <f>IFERROR('Price History'!F3+(INDEX('Price History'!F:F,MATCH(9.99E+307,'Returns (Calc)'!$A:$A)+1)-'Price History'!F3)*(ROW()-3)/(MATCH(9.99E+307,'Returns (Calc)'!$A:$A)-3),"")</f>
        <v>92.01696202531646</v>
      </c>
      <c r="AB38" s="131">
        <f>IFERROR('Price History'!G3+(INDEX('Price History'!G:G,MATCH(9.99E+307,'Returns (Calc)'!$A:$A)+1)-'Price History'!G3)*(ROW()-3)/(MATCH(9.99E+307,'Returns (Calc)'!$A:$A)-3),"")</f>
        <v>80.355696202531647</v>
      </c>
      <c r="AC38" s="131">
        <f>IFERROR('Price History'!H3+(INDEX('Price History'!H:H,MATCH(9.99E+307,'Returns (Calc)'!$A:$A)+1)-'Price History'!H3)*(ROW()-3)/(MATCH(9.99E+307,'Returns (Calc)'!$A:$A)-3),"")</f>
        <v>291.90936708860761</v>
      </c>
      <c r="AD38" s="131">
        <f>IFERROR('Price History'!I3+(INDEX('Price History'!I:I,MATCH(9.99E+307,'Returns (Calc)'!$A:$A)+1)-'Price History'!I3)*(ROW()-3)/(MATCH(9.99E+307,'Returns (Calc)'!$A:$A)-3),"")</f>
        <v>85.898481012658223</v>
      </c>
      <c r="AE38" s="131">
        <f>IFERROR('Price History'!J3+(INDEX('Price History'!J:J,MATCH(9.99E+307,'Returns (Calc)'!$A:$A)+1)-'Price History'!J3)*(ROW()-3)/(MATCH(9.99E+307,'Returns (Calc)'!$A:$A)-3),"")</f>
        <v>115.62132911392405</v>
      </c>
      <c r="AF38" s="131">
        <f>IFERROR('Price History'!K3+(INDEX('Price History'!K:K,MATCH(9.99E+307,'Returns (Calc)'!$A:$A)+1)-'Price History'!K3)*(ROW()-3)/(MATCH(9.99E+307,'Returns (Calc)'!$A:$A)-3),"")</f>
        <v>53.745822784810123</v>
      </c>
      <c r="AG38" s="131">
        <f>IFERROR('Price History'!L3+(INDEX('Price History'!L:L,MATCH(9.99E+307,'Returns (Calc)'!$A:$A)+1)-'Price History'!L3)*(ROW()-3)/(MATCH(9.99E+307,'Returns (Calc)'!$A:$A)-3),"")</f>
        <v>171.48449367088608</v>
      </c>
      <c r="AH38" s="131">
        <f>IFERROR('Price History'!M3+(INDEX('Price History'!M:M,MATCH(9.99E+307,'Returns (Calc)'!$A:$A)+1)-'Price History'!M3)*(ROW()-3)/(MATCH(9.99E+307,'Returns (Calc)'!$A:$A)-3),"")</f>
        <v>85.460506329113926</v>
      </c>
      <c r="AI38" s="131">
        <f>IFERROR('Price History'!N3+(INDEX('Price History'!N:N,MATCH(9.99E+307,'Returns (Calc)'!$A:$A)+1)-'Price History'!N3)*(ROW()-3)/(MATCH(9.99E+307,'Returns (Calc)'!$A:$A)-3),"")</f>
        <v>383.41930379746833</v>
      </c>
      <c r="AJ38" s="131">
        <f>IFERROR('Price History'!O3+(INDEX('Price History'!O:O,MATCH(9.99E+307,'Returns (Calc)'!$A:$A)+1)-'Price History'!O3)*(ROW()-3)/(MATCH(9.99E+307,'Returns (Calc)'!$A:$A)-3),"")</f>
        <v>85.216329113924047</v>
      </c>
      <c r="AK38" s="131">
        <f>IFERROR('Price History'!Q3+(INDEX('Price History'!Q:Q,MATCH(9.99E+307,'Returns (Calc)'!$A:$A)+1)-'Price History'!Q3)*(ROW()-3)/(MATCH(9.99E+307,'Returns (Calc)'!$A:$A)-3),"")</f>
        <v>15.377848101265824</v>
      </c>
      <c r="AL38" s="131">
        <f>IFERROR('Price History'!R3+(INDEX('Price History'!R:R,MATCH(9.99E+307,'Returns (Calc)'!$A:$A)+1)-'Price History'!R3)*(ROW()-3)/(MATCH(9.99E+307,'Returns (Calc)'!$A:$A)-3),"")</f>
        <v>40.363544303797468</v>
      </c>
      <c r="AM38" s="131">
        <f>IFERROR('Price History'!S3+(INDEX('Price History'!S:S,MATCH(9.99E+307,'Returns (Calc)'!$A:$A)+1)-'Price History'!S3)*(ROW()-3)/(MATCH(9.99E+307,'Returns (Calc)'!$A:$A)-3),"")</f>
        <v>78.807215189873418</v>
      </c>
      <c r="AN38" s="131">
        <f>IFERROR('Price History'!T3+(INDEX('Price History'!T:T,MATCH(9.99E+307,'Returns (Calc)'!$A:$A)+1)-'Price History'!T3)*(ROW()-3)/(MATCH(9.99E+307,'Returns (Calc)'!$A:$A)-3),"")</f>
        <v>31.127974683544302</v>
      </c>
      <c r="AO38" s="132">
        <f>IFERROR('Price History'!V3+(INDEX('Price History'!V:V,MATCH(9.99E+307,'Returns (Calc)'!$A:$A)+1)-'Price History'!V3)*(ROW()-3)/(MATCH(9.99E+307,'Returns (Calc)'!$A:$A)-3),"")</f>
        <v>263.32651898734179</v>
      </c>
      <c r="AP38" s="130">
        <f>IFERROR(IF(OR(NOT(ISNUMBER('Price History'!W39)),NOT(ISNUMBER('Price History'!W38)),'Price History'!W38=0),"",'Price History'!W39/'Price History'!W38-1),"")</f>
        <v>-1.7499120647203603E-2</v>
      </c>
      <c r="AQ38" s="130" t="str">
        <f>IFERROR(IF(OR(NOT(ISNUMBER('Price History'!X39)),NOT(ISNUMBER('Price History'!X38)),'Price History'!X38=0),"",'Price History'!X39/'Price History'!X38-1),"")</f>
        <v/>
      </c>
      <c r="AR38" s="130">
        <f>IFERROR(IF(OR(NOT(ISNUMBER('Price History'!Y39)),NOT(ISNUMBER('Price History'!Y38)),'Price History'!Y38=0),"",'Price History'!Y39/'Price History'!Y38-1),"")</f>
        <v>-8.0338266384777368E-3</v>
      </c>
      <c r="AS38" s="130">
        <f>IFERROR(IF(OR(NOT(ISNUMBER('Price History'!Z39)),NOT(ISNUMBER('Price History'!Z38)),'Price History'!Z38=0),"",'Price History'!Z39/'Price History'!Z38-1),"")</f>
        <v>4.6514575411913617E-2</v>
      </c>
      <c r="AT38" s="130">
        <f>IFERROR(IF(OR(NOT(ISNUMBER('Price History'!AA39)),NOT(ISNUMBER('Price History'!AA38)),'Price History'!AA38=0),"",'Price History'!AA39/'Price History'!AA38-1),"")</f>
        <v>4.1378199967799123E-2</v>
      </c>
    </row>
    <row r="39" spans="1:46" ht="15" customHeight="1" x14ac:dyDescent="0.2">
      <c r="A39" s="128">
        <f>IF('Price History'!A40="","",'Price History'!A40)</f>
        <v>45443</v>
      </c>
      <c r="B39" s="129">
        <f>IFERROR(IF(OR(NOT(ISNUMBER('Price History'!B40)),NOT(ISNUMBER('Price History'!B39)),'Price History'!B39=0),"",'Price History'!B40/'Price History'!B39-1),"")</f>
        <v>-6.4510022505942066E-2</v>
      </c>
      <c r="C39" s="129">
        <f>IFERROR(IF(OR(NOT(ISNUMBER('Price History'!C40)),NOT(ISNUMBER('Price History'!C39)),'Price History'!C39=0),"",'Price History'!C40/'Price History'!C39-1),"")</f>
        <v>-2.9097077244258918E-2</v>
      </c>
      <c r="D39" s="129">
        <f>IFERROR(IF(OR(NOT(ISNUMBER('Price History'!D40)),NOT(ISNUMBER('Price History'!D39)),'Price History'!D39=0),"",'Price History'!D40/'Price History'!D39-1),"")</f>
        <v>4.314385546275723E-3</v>
      </c>
      <c r="E39" s="129">
        <f>IFERROR(IF(OR(NOT(ISNUMBER('Price History'!E40)),NOT(ISNUMBER('Price History'!E39)),'Price History'!E39=0),"",'Price History'!E40/'Price History'!E39-1),"")</f>
        <v>-5.6363636363636394E-2</v>
      </c>
      <c r="F39" s="129">
        <f>IFERROR(IF(OR(NOT(ISNUMBER('Price History'!F40)),NOT(ISNUMBER('Price History'!F39)),'Price History'!F39=0),"",'Price History'!F40/'Price History'!F39-1),"")</f>
        <v>-0.10754523728234899</v>
      </c>
      <c r="G39" s="129">
        <f>IFERROR(IF(OR(NOT(ISNUMBER('Price History'!G40)),NOT(ISNUMBER('Price History'!G39)),'Price History'!G39=0),"",'Price History'!G40/'Price History'!G39-1),"")</f>
        <v>-2.5062002349562795E-2</v>
      </c>
      <c r="H39" s="129">
        <f>IFERROR(IF(OR(NOT(ISNUMBER('Price History'!H40)),NOT(ISNUMBER('Price History'!H39)),'Price History'!H39=0),"",'Price History'!H40/'Price History'!H39-1),"")</f>
        <v>-3.4689274325270247E-2</v>
      </c>
      <c r="I39" s="129">
        <f>IFERROR(IF(OR(NOT(ISNUMBER('Price History'!I40)),NOT(ISNUMBER('Price History'!I39)),'Price History'!I39=0),"",'Price History'!I40/'Price History'!I39-1),"")</f>
        <v>2.9669398135066416E-2</v>
      </c>
      <c r="J39" s="129">
        <f>IFERROR(IF(OR(NOT(ISNUMBER('Price History'!J40)),NOT(ISNUMBER('Price History'!J39)),'Price History'!J39=0),"",'Price History'!J40/'Price History'!J39-1),"")</f>
        <v>5.486413607135443E-2</v>
      </c>
      <c r="K39" s="129">
        <f>IFERROR(IF(OR(NOT(ISNUMBER('Price History'!K40)),NOT(ISNUMBER('Price History'!K39)),'Price History'!K39=0),"",'Price History'!K40/'Price History'!K39-1),"")</f>
        <v>3.188957639219403E-2</v>
      </c>
      <c r="L39" s="129">
        <f>IFERROR(IF(OR(NOT(ISNUMBER('Price History'!L40)),NOT(ISNUMBER('Price History'!L39)),'Price History'!L39=0),"",'Price History'!L40/'Price History'!L39-1),"")</f>
        <v>-5.597111168429203E-2</v>
      </c>
      <c r="M39" s="129">
        <f>IFERROR(IF(OR(NOT(ISNUMBER('Price History'!M40)),NOT(ISNUMBER('Price History'!M39)),'Price History'!M39=0),"",'Price History'!M40/'Price History'!M39-1),"")</f>
        <v>-7.6239962210675416E-2</v>
      </c>
      <c r="N39" s="129">
        <f>IFERROR(IF(OR(NOT(ISNUMBER('Price History'!N40)),NOT(ISNUMBER('Price History'!N39)),'Price History'!N39=0),"",'Price History'!N40/'Price History'!N39-1),"")</f>
        <v>-3.5233614180982809E-3</v>
      </c>
      <c r="O39" s="129">
        <f>IFERROR(IF(OR(NOT(ISNUMBER('Price History'!O40)),NOT(ISNUMBER('Price History'!O39)),'Price History'!O39=0),"",'Price History'!O40/'Price History'!O39-1),"")</f>
        <v>1.0734463276836248E-2</v>
      </c>
      <c r="P39" s="129">
        <f>IFERROR(IF(OR(NOT(ISNUMBER('Price History'!P40)),NOT(ISNUMBER('Price History'!P39)),'Price History'!P39=0),"",'Price History'!P40/'Price History'!P39-1),"")</f>
        <v>1.0481435423698837E-2</v>
      </c>
      <c r="Q39" s="129">
        <f>IFERROR(IF(OR(NOT(ISNUMBER('Price History'!Q40)),NOT(ISNUMBER('Price History'!Q39)),'Price History'!Q39=0),"",'Price History'!Q40/'Price History'!Q39-1),"")</f>
        <v>-2.6642984014209059E-3</v>
      </c>
      <c r="R39" s="129">
        <f>IFERROR(IF(OR(NOT(ISNUMBER('Price History'!R40)),NOT(ISNUMBER('Price History'!R39)),'Price History'!R39=0),"",'Price History'!R40/'Price History'!R39-1),"")</f>
        <v>-3.3751205400190942E-3</v>
      </c>
      <c r="S39" s="129">
        <f>IFERROR(IF(OR(NOT(ISNUMBER('Price History'!S40)),NOT(ISNUMBER('Price History'!S39)),'Price History'!S39=0),"",'Price History'!S40/'Price History'!S39-1),"")</f>
        <v>-1.1001236093943101E-2</v>
      </c>
      <c r="T39" s="129">
        <f>IFERROR(IF(OR(NOT(ISNUMBER('Price History'!T40)),NOT(ISNUMBER('Price History'!T39)),'Price History'!T39=0),"",'Price History'!T40/'Price History'!T39-1),"")</f>
        <v>1.156260323752889E-2</v>
      </c>
      <c r="U39" s="129">
        <f>IFERROR(IF(OR(NOT(ISNUMBER('Price History'!U40)),NOT(ISNUMBER('Price History'!U39)),'Price History'!U39=0),"",'Price History'!U40/'Price History'!U39-1),"")</f>
        <v>5.8922558922558377E-3</v>
      </c>
      <c r="V39" s="130">
        <f>IFERROR(IF(OR(NOT(ISNUMBER('Price History'!V40)),NOT(ISNUMBER('Price History'!V39)),'Price History'!V39=0),"",'Price History'!V40/'Price History'!V39-1),"")</f>
        <v>-7.3739207766703174E-3</v>
      </c>
      <c r="W39" s="131">
        <f>IFERROR('Price History'!B3+(INDEX('Price History'!B:B,MATCH(9.99E+307,'Returns (Calc)'!$A:$A)+1)-'Price History'!B3)*(ROW()-3)/(MATCH(9.99E+307,'Returns (Calc)'!$A:$A)-3),"")</f>
        <v>462.54063291139238</v>
      </c>
      <c r="X39" s="131">
        <f>IFERROR('Price History'!C3+(INDEX('Price History'!C:C,MATCH(9.99E+307,'Returns (Calc)'!$A:$A)+1)-'Price History'!C3)*(ROW()-3)/(MATCH(9.99E+307,'Returns (Calc)'!$A:$A)-3),"")</f>
        <v>82.902278481012658</v>
      </c>
      <c r="Y39" s="131">
        <f>IFERROR('Price History'!D3+(INDEX('Price History'!D:D,MATCH(9.99E+307,'Returns (Calc)'!$A:$A)+1)-'Price History'!D3)*(ROW()-3)/(MATCH(9.99E+307,'Returns (Calc)'!$A:$A)-3),"")</f>
        <v>874.86316455696192</v>
      </c>
      <c r="Z39" s="131">
        <f>IFERROR('Price History'!E3+(INDEX('Price History'!E:E,MATCH(9.99E+307,'Returns (Calc)'!$A:$A)+1)-'Price History'!E3)*(ROW()-3)/(MATCH(9.99E+307,'Returns (Calc)'!$A:$A)-3),"")</f>
        <v>144.23443037974684</v>
      </c>
      <c r="AA39" s="131">
        <f>IFERROR('Price History'!F3+(INDEX('Price History'!F:F,MATCH(9.99E+307,'Returns (Calc)'!$A:$A)+1)-'Price History'!F3)*(ROW()-3)/(MATCH(9.99E+307,'Returns (Calc)'!$A:$A)-3),"")</f>
        <v>93.464303797468347</v>
      </c>
      <c r="AB39" s="131">
        <f>IFERROR('Price History'!G3+(INDEX('Price History'!G:G,MATCH(9.99E+307,'Returns (Calc)'!$A:$A)+1)-'Price History'!G3)*(ROW()-3)/(MATCH(9.99E+307,'Returns (Calc)'!$A:$A)-3),"")</f>
        <v>81.384430379746831</v>
      </c>
      <c r="AC39" s="131">
        <f>IFERROR('Price History'!H3+(INDEX('Price History'!H:H,MATCH(9.99E+307,'Returns (Calc)'!$A:$A)+1)-'Price History'!H3)*(ROW()-3)/(MATCH(9.99E+307,'Returns (Calc)'!$A:$A)-3),"")</f>
        <v>298.27506329113925</v>
      </c>
      <c r="AD39" s="131">
        <f>IFERROR('Price History'!I3+(INDEX('Price History'!I:I,MATCH(9.99E+307,'Returns (Calc)'!$A:$A)+1)-'Price History'!I3)*(ROW()-3)/(MATCH(9.99E+307,'Returns (Calc)'!$A:$A)-3),"")</f>
        <v>87.102151898734178</v>
      </c>
      <c r="AE39" s="131">
        <f>IFERROR('Price History'!J3+(INDEX('Price History'!J:J,MATCH(9.99E+307,'Returns (Calc)'!$A:$A)+1)-'Price History'!J3)*(ROW()-3)/(MATCH(9.99E+307,'Returns (Calc)'!$A:$A)-3),"")</f>
        <v>115.7293670886076</v>
      </c>
      <c r="AF39" s="131">
        <f>IFERROR('Price History'!K3+(INDEX('Price History'!K:K,MATCH(9.99E+307,'Returns (Calc)'!$A:$A)+1)-'Price History'!K3)*(ROW()-3)/(MATCH(9.99E+307,'Returns (Calc)'!$A:$A)-3),"")</f>
        <v>54.843417721518982</v>
      </c>
      <c r="AG39" s="131">
        <f>IFERROR('Price History'!L3+(INDEX('Price History'!L:L,MATCH(9.99E+307,'Returns (Calc)'!$A:$A)+1)-'Price History'!L3)*(ROW()-3)/(MATCH(9.99E+307,'Returns (Calc)'!$A:$A)-3),"")</f>
        <v>173.93405063291138</v>
      </c>
      <c r="AH39" s="131">
        <f>IFERROR('Price History'!M3+(INDEX('Price History'!M:M,MATCH(9.99E+307,'Returns (Calc)'!$A:$A)+1)-'Price History'!M3)*(ROW()-3)/(MATCH(9.99E+307,'Returns (Calc)'!$A:$A)-3),"")</f>
        <v>86.815949367088621</v>
      </c>
      <c r="AI39" s="131">
        <f>IFERROR('Price History'!N3+(INDEX('Price History'!N:N,MATCH(9.99E+307,'Returns (Calc)'!$A:$A)+1)-'Price History'!N3)*(ROW()-3)/(MATCH(9.99E+307,'Returns (Calc)'!$A:$A)-3),"")</f>
        <v>384.40556962025312</v>
      </c>
      <c r="AJ39" s="131">
        <f>IFERROR('Price History'!O3+(INDEX('Price History'!O:O,MATCH(9.99E+307,'Returns (Calc)'!$A:$A)+1)-'Price History'!O3)*(ROW()-3)/(MATCH(9.99E+307,'Returns (Calc)'!$A:$A)-3),"")</f>
        <v>85.499367088607599</v>
      </c>
      <c r="AK39" s="131">
        <f>IFERROR('Price History'!Q3+(INDEX('Price History'!Q:Q,MATCH(9.99E+307,'Returns (Calc)'!$A:$A)+1)-'Price History'!Q3)*(ROW()-3)/(MATCH(9.99E+307,'Returns (Calc)'!$A:$A)-3),"")</f>
        <v>15.817215189873417</v>
      </c>
      <c r="AL39" s="131">
        <f>IFERROR('Price History'!R3+(INDEX('Price History'!R:R,MATCH(9.99E+307,'Returns (Calc)'!$A:$A)+1)-'Price History'!R3)*(ROW()-3)/(MATCH(9.99E+307,'Returns (Calc)'!$A:$A)-3),"")</f>
        <v>40.531645569620252</v>
      </c>
      <c r="AM39" s="131">
        <f>IFERROR('Price History'!S3+(INDEX('Price History'!S:S,MATCH(9.99E+307,'Returns (Calc)'!$A:$A)+1)-'Price History'!S3)*(ROW()-3)/(MATCH(9.99E+307,'Returns (Calc)'!$A:$A)-3),"")</f>
        <v>79.412278481012663</v>
      </c>
      <c r="AN39" s="131">
        <f>IFERROR('Price History'!T3+(INDEX('Price History'!T:T,MATCH(9.99E+307,'Returns (Calc)'!$A:$A)+1)-'Price History'!T3)*(ROW()-3)/(MATCH(9.99E+307,'Returns (Calc)'!$A:$A)-3),"")</f>
        <v>31.296202531645569</v>
      </c>
      <c r="AO39" s="132">
        <f>IFERROR('Price History'!V3+(INDEX('Price History'!V:V,MATCH(9.99E+307,'Returns (Calc)'!$A:$A)+1)-'Price History'!V3)*(ROW()-3)/(MATCH(9.99E+307,'Returns (Calc)'!$A:$A)-3),"")</f>
        <v>264.11784810126585</v>
      </c>
      <c r="AP39" s="130">
        <f>IFERROR(IF(OR(NOT(ISNUMBER('Price History'!W40)),NOT(ISNUMBER('Price History'!W39)),'Price History'!W39=0),"",'Price History'!W40/'Price History'!W39-1),"")</f>
        <v>5.1910856529131522E-3</v>
      </c>
      <c r="AQ39" s="130" t="str">
        <f>IFERROR(IF(OR(NOT(ISNUMBER('Price History'!X40)),NOT(ISNUMBER('Price History'!X39)),'Price History'!X39=0),"",'Price History'!X40/'Price History'!X39-1),"")</f>
        <v/>
      </c>
      <c r="AR39" s="130">
        <f>IFERROR(IF(OR(NOT(ISNUMBER('Price History'!Y40)),NOT(ISNUMBER('Price History'!Y39)),'Price History'!Y39=0),"",'Price History'!Y40/'Price History'!Y39-1),"")</f>
        <v>-1.7050298380221207E-3</v>
      </c>
      <c r="AS39" s="130">
        <f>IFERROR(IF(OR(NOT(ISNUMBER('Price History'!Z40)),NOT(ISNUMBER('Price History'!Z39)),'Price History'!Z39=0),"",'Price History'!Z40/'Price History'!Z39-1),"")</f>
        <v>-1.3079811069395597E-2</v>
      </c>
      <c r="AT39" s="130">
        <f>IFERROR(IF(OR(NOT(ISNUMBER('Price History'!AA40)),NOT(ISNUMBER('Price History'!AA39)),'Price History'!AA39=0),"",'Price History'!AA40/'Price History'!AA39-1),"")</f>
        <v>-8.0395794681510369E-3</v>
      </c>
    </row>
    <row r="40" spans="1:46" ht="15" customHeight="1" x14ac:dyDescent="0.2">
      <c r="A40" s="128">
        <f>IF('Price History'!A41="","",'Price History'!A41)</f>
        <v>45450</v>
      </c>
      <c r="B40" s="129">
        <f>IFERROR(IF(OR(NOT(ISNUMBER('Price History'!B41)),NOT(ISNUMBER('Price History'!B40)),'Price History'!B40=0),"",'Price History'!B41/'Price History'!B40-1),"")</f>
        <v>4.6474503102797105E-2</v>
      </c>
      <c r="C40" s="129">
        <f>IFERROR(IF(OR(NOT(ISNUMBER('Price History'!C41)),NOT(ISNUMBER('Price History'!C40)),'Price History'!C40=0),"",'Price History'!C41/'Price History'!C40-1),"")</f>
        <v>-2.8222013170271509E-3</v>
      </c>
      <c r="D40" s="129">
        <f>IFERROR(IF(OR(NOT(ISNUMBER('Price History'!D41)),NOT(ISNUMBER('Price History'!D40)),'Price History'!D40=0),"",'Price History'!D41/'Price History'!D40-1),"")</f>
        <v>7.0886854694146129E-2</v>
      </c>
      <c r="E40" s="129">
        <f>IFERROR(IF(OR(NOT(ISNUMBER('Price History'!E41)),NOT(ISNUMBER('Price History'!E40)),'Price History'!E40=0),"",'Price History'!E41/'Price History'!E40-1),"")</f>
        <v>5.8805394990365967E-2</v>
      </c>
      <c r="F40" s="129">
        <f>IFERROR(IF(OR(NOT(ISNUMBER('Price History'!F41)),NOT(ISNUMBER('Price History'!F40)),'Price History'!F40=0),"",'Price History'!F41/'Price History'!F40-1),"")</f>
        <v>0.11298138230043353</v>
      </c>
      <c r="G40" s="129">
        <f>IFERROR(IF(OR(NOT(ISNUMBER('Price History'!G41)),NOT(ISNUMBER('Price History'!G40)),'Price History'!G40=0),"",'Price History'!G41/'Price History'!G40-1),"")</f>
        <v>1.2317579327888684E-2</v>
      </c>
      <c r="H40" s="129">
        <f>IFERROR(IF(OR(NOT(ISNUMBER('Price History'!H41)),NOT(ISNUMBER('Price History'!H40)),'Price History'!H40=0),"",'Price History'!H41/'Price History'!H40-1),"")</f>
        <v>4.7538473934412906E-2</v>
      </c>
      <c r="I40" s="129">
        <f>IFERROR(IF(OR(NOT(ISNUMBER('Price History'!I41)),NOT(ISNUMBER('Price History'!I40)),'Price History'!I40=0),"",'Price History'!I41/'Price History'!I40-1),"")</f>
        <v>0.10263446761800221</v>
      </c>
      <c r="J40" s="129">
        <f>IFERROR(IF(OR(NOT(ISNUMBER('Price History'!J41)),NOT(ISNUMBER('Price History'!J40)),'Price History'!J40=0),"",'Price History'!J41/'Price History'!J40-1),"")</f>
        <v>-2.6546062334086296E-3</v>
      </c>
      <c r="K40" s="129">
        <f>IFERROR(IF(OR(NOT(ISNUMBER('Price History'!K41)),NOT(ISNUMBER('Price History'!K40)),'Price History'!K40=0),"",'Price History'!K41/'Price History'!K40-1),"")</f>
        <v>7.5184501845018348E-2</v>
      </c>
      <c r="L40" s="129">
        <f>IFERROR(IF(OR(NOT(ISNUMBER('Price History'!L41)),NOT(ISNUMBER('Price History'!L40)),'Price History'!L40=0),"",'Price History'!L41/'Price History'!L40-1),"")</f>
        <v>8.838797814207644E-2</v>
      </c>
      <c r="M40" s="129">
        <f>IFERROR(IF(OR(NOT(ISNUMBER('Price History'!M41)),NOT(ISNUMBER('Price History'!M40)),'Price History'!M40=0),"",'Price History'!M41/'Price History'!M40-1),"")</f>
        <v>-0.10595213745142151</v>
      </c>
      <c r="N40" s="129">
        <f>IFERROR(IF(OR(NOT(ISNUMBER('Price History'!N41)),NOT(ISNUMBER('Price History'!N40)),'Price History'!N40=0),"",'Price History'!N41/'Price History'!N40-1),"")</f>
        <v>6.0833662757499907E-2</v>
      </c>
      <c r="O40" s="129">
        <f>IFERROR(IF(OR(NOT(ISNUMBER('Price History'!O41)),NOT(ISNUMBER('Price History'!O40)),'Price History'!O40=0),"",'Price History'!O41/'Price History'!O40-1),"")</f>
        <v>-3.409726103968691E-2</v>
      </c>
      <c r="P40" s="129">
        <f>IFERROR(IF(OR(NOT(ISNUMBER('Price History'!P41)),NOT(ISNUMBER('Price History'!P40)),'Price History'!P40=0),"",'Price History'!P41/'Price History'!P40-1),"")</f>
        <v>-2.0218002812939617E-2</v>
      </c>
      <c r="Q40" s="129">
        <f>IFERROR(IF(OR(NOT(ISNUMBER('Price History'!Q41)),NOT(ISNUMBER('Price History'!Q40)),'Price History'!Q40=0),"",'Price History'!Q41/'Price History'!Q40-1),"")</f>
        <v>1.1041852181656431E-2</v>
      </c>
      <c r="R40" s="129">
        <f>IFERROR(IF(OR(NOT(ISNUMBER('Price History'!R41)),NOT(ISNUMBER('Price History'!R40)),'Price History'!R40=0),"",'Price History'!R41/'Price History'!R40-1),"")</f>
        <v>1.4029995162070596E-2</v>
      </c>
      <c r="S40" s="129">
        <f>IFERROR(IF(OR(NOT(ISNUMBER('Price History'!S41)),NOT(ISNUMBER('Price History'!S40)),'Price History'!S40=0),"",'Price History'!S41/'Price History'!S40-1),"")</f>
        <v>3.0371203599550034E-2</v>
      </c>
      <c r="T40" s="129">
        <f>IFERROR(IF(OR(NOT(ISNUMBER('Price History'!T41)),NOT(ISNUMBER('Price History'!T40)),'Price History'!T40=0),"",'Price History'!T41/'Price History'!T40-1),"")</f>
        <v>-2.1227955584585345E-2</v>
      </c>
      <c r="U40" s="129">
        <f>IFERROR(IF(OR(NOT(ISNUMBER('Price History'!U41)),NOT(ISNUMBER('Price History'!U40)),'Price History'!U40=0),"",'Price History'!U41/'Price History'!U40-1),"")</f>
        <v>-8.7866108786609498E-3</v>
      </c>
      <c r="V40" s="130">
        <f>IFERROR(IF(OR(NOT(ISNUMBER('Price History'!V41)),NOT(ISNUMBER('Price History'!V40)),'Price History'!V40=0),"",'Price History'!V41/'Price History'!V40-1),"")</f>
        <v>2.2771390174705086E-2</v>
      </c>
      <c r="W40" s="131">
        <f>IFERROR('Price History'!B3+(INDEX('Price History'!B:B,MATCH(9.99E+307,'Returns (Calc)'!$A:$A)+1)-'Price History'!B3)*(ROW()-3)/(MATCH(9.99E+307,'Returns (Calc)'!$A:$A)-3),"")</f>
        <v>460.69759493670887</v>
      </c>
      <c r="X40" s="131">
        <f>IFERROR('Price History'!C3+(INDEX('Price History'!C:C,MATCH(9.99E+307,'Returns (Calc)'!$A:$A)+1)-'Price History'!C3)*(ROW()-3)/(MATCH(9.99E+307,'Returns (Calc)'!$A:$A)-3),"")</f>
        <v>83.922341772151896</v>
      </c>
      <c r="Y40" s="131">
        <f>IFERROR('Price History'!D3+(INDEX('Price History'!D:D,MATCH(9.99E+307,'Returns (Calc)'!$A:$A)+1)-'Price History'!D3)*(ROW()-3)/(MATCH(9.99E+307,'Returns (Calc)'!$A:$A)-3),"")</f>
        <v>882.99797468354427</v>
      </c>
      <c r="Z40" s="131">
        <f>IFERROR('Price History'!E3+(INDEX('Price History'!E:E,MATCH(9.99E+307,'Returns (Calc)'!$A:$A)+1)-'Price History'!E3)*(ROW()-3)/(MATCH(9.99E+307,'Returns (Calc)'!$A:$A)-3),"")</f>
        <v>145.96316455696203</v>
      </c>
      <c r="AA40" s="131">
        <f>IFERROR('Price History'!F3+(INDEX('Price History'!F:F,MATCH(9.99E+307,'Returns (Calc)'!$A:$A)+1)-'Price History'!F3)*(ROW()-3)/(MATCH(9.99E+307,'Returns (Calc)'!$A:$A)-3),"")</f>
        <v>94.911645569620248</v>
      </c>
      <c r="AB40" s="131">
        <f>IFERROR('Price History'!G3+(INDEX('Price History'!G:G,MATCH(9.99E+307,'Returns (Calc)'!$A:$A)+1)-'Price History'!G3)*(ROW()-3)/(MATCH(9.99E+307,'Returns (Calc)'!$A:$A)-3),"")</f>
        <v>82.413164556962016</v>
      </c>
      <c r="AC40" s="131">
        <f>IFERROR('Price History'!H3+(INDEX('Price History'!H:H,MATCH(9.99E+307,'Returns (Calc)'!$A:$A)+1)-'Price History'!H3)*(ROW()-3)/(MATCH(9.99E+307,'Returns (Calc)'!$A:$A)-3),"")</f>
        <v>304.64075949367088</v>
      </c>
      <c r="AD40" s="131">
        <f>IFERROR('Price History'!I3+(INDEX('Price History'!I:I,MATCH(9.99E+307,'Returns (Calc)'!$A:$A)+1)-'Price History'!I3)*(ROW()-3)/(MATCH(9.99E+307,'Returns (Calc)'!$A:$A)-3),"")</f>
        <v>88.305822784810118</v>
      </c>
      <c r="AE40" s="131">
        <f>IFERROR('Price History'!J3+(INDEX('Price History'!J:J,MATCH(9.99E+307,'Returns (Calc)'!$A:$A)+1)-'Price History'!J3)*(ROW()-3)/(MATCH(9.99E+307,'Returns (Calc)'!$A:$A)-3),"")</f>
        <v>115.83740506329114</v>
      </c>
      <c r="AF40" s="131">
        <f>IFERROR('Price History'!K3+(INDEX('Price History'!K:K,MATCH(9.99E+307,'Returns (Calc)'!$A:$A)+1)-'Price History'!K3)*(ROW()-3)/(MATCH(9.99E+307,'Returns (Calc)'!$A:$A)-3),"")</f>
        <v>55.941012658227848</v>
      </c>
      <c r="AG40" s="131">
        <f>IFERROR('Price History'!L3+(INDEX('Price History'!L:L,MATCH(9.99E+307,'Returns (Calc)'!$A:$A)+1)-'Price History'!L3)*(ROW()-3)/(MATCH(9.99E+307,'Returns (Calc)'!$A:$A)-3),"")</f>
        <v>176.38360759493671</v>
      </c>
      <c r="AH40" s="131">
        <f>IFERROR('Price History'!M3+(INDEX('Price History'!M:M,MATCH(9.99E+307,'Returns (Calc)'!$A:$A)+1)-'Price History'!M3)*(ROW()-3)/(MATCH(9.99E+307,'Returns (Calc)'!$A:$A)-3),"")</f>
        <v>88.171392405063301</v>
      </c>
      <c r="AI40" s="131">
        <f>IFERROR('Price History'!N3+(INDEX('Price History'!N:N,MATCH(9.99E+307,'Returns (Calc)'!$A:$A)+1)-'Price History'!N3)*(ROW()-3)/(MATCH(9.99E+307,'Returns (Calc)'!$A:$A)-3),"")</f>
        <v>385.39183544303796</v>
      </c>
      <c r="AJ40" s="131">
        <f>IFERROR('Price History'!O3+(INDEX('Price History'!O:O,MATCH(9.99E+307,'Returns (Calc)'!$A:$A)+1)-'Price History'!O3)*(ROW()-3)/(MATCH(9.99E+307,'Returns (Calc)'!$A:$A)-3),"")</f>
        <v>85.782405063291137</v>
      </c>
      <c r="AK40" s="131">
        <f>IFERROR('Price History'!Q3+(INDEX('Price History'!Q:Q,MATCH(9.99E+307,'Returns (Calc)'!$A:$A)+1)-'Price History'!Q3)*(ROW()-3)/(MATCH(9.99E+307,'Returns (Calc)'!$A:$A)-3),"")</f>
        <v>16.256582278481012</v>
      </c>
      <c r="AL40" s="131">
        <f>IFERROR('Price History'!R3+(INDEX('Price History'!R:R,MATCH(9.99E+307,'Returns (Calc)'!$A:$A)+1)-'Price History'!R3)*(ROW()-3)/(MATCH(9.99E+307,'Returns (Calc)'!$A:$A)-3),"")</f>
        <v>40.699746835443037</v>
      </c>
      <c r="AM40" s="131">
        <f>IFERROR('Price History'!S3+(INDEX('Price History'!S:S,MATCH(9.99E+307,'Returns (Calc)'!$A:$A)+1)-'Price History'!S3)*(ROW()-3)/(MATCH(9.99E+307,'Returns (Calc)'!$A:$A)-3),"")</f>
        <v>80.017341772151894</v>
      </c>
      <c r="AN40" s="131">
        <f>IFERROR('Price History'!T3+(INDEX('Price History'!T:T,MATCH(9.99E+307,'Returns (Calc)'!$A:$A)+1)-'Price History'!T3)*(ROW()-3)/(MATCH(9.99E+307,'Returns (Calc)'!$A:$A)-3),"")</f>
        <v>31.464430379746833</v>
      </c>
      <c r="AO40" s="132">
        <f>IFERROR('Price History'!V3+(INDEX('Price History'!V:V,MATCH(9.99E+307,'Returns (Calc)'!$A:$A)+1)-'Price History'!V3)*(ROW()-3)/(MATCH(9.99E+307,'Returns (Calc)'!$A:$A)-3),"")</f>
        <v>264.90917721518986</v>
      </c>
      <c r="AP40" s="130">
        <f>IFERROR(IF(OR(NOT(ISNUMBER('Price History'!W41)),NOT(ISNUMBER('Price History'!W40)),'Price History'!W40=0),"",'Price History'!W41/'Price History'!W40-1),"")</f>
        <v>-8.9929658979610583E-3</v>
      </c>
      <c r="AQ40" s="130" t="str">
        <f>IFERROR(IF(OR(NOT(ISNUMBER('Price History'!X41)),NOT(ISNUMBER('Price History'!X40)),'Price History'!X40=0),"",'Price History'!X41/'Price History'!X40-1),"")</f>
        <v/>
      </c>
      <c r="AR40" s="130">
        <f>IFERROR(IF(OR(NOT(ISNUMBER('Price History'!Y41)),NOT(ISNUMBER('Price History'!Y40)),'Price History'!Y40=0),"",'Price History'!Y41/'Price History'!Y40-1),"")</f>
        <v>8.5397096498707192E-4</v>
      </c>
      <c r="AS40" s="130">
        <f>IFERROR(IF(OR(NOT(ISNUMBER('Price History'!Z41)),NOT(ISNUMBER('Price History'!Z40)),'Price History'!Z40=0),"",'Price History'!Z41/'Price History'!Z40-1),"")</f>
        <v>-1.9511596514909635E-2</v>
      </c>
      <c r="AT40" s="130">
        <f>IFERROR(IF(OR(NOT(ISNUMBER('Price History'!AA41)),NOT(ISNUMBER('Price History'!AA40)),'Price History'!AA40=0),"",'Price History'!AA41/'Price History'!AA40-1),"")</f>
        <v>-1.5586034912706825E-4</v>
      </c>
    </row>
    <row r="41" spans="1:46" ht="15" customHeight="1" x14ac:dyDescent="0.2">
      <c r="A41" s="128">
        <f>IF('Price History'!A42="","",'Price History'!A42)</f>
        <v>45457</v>
      </c>
      <c r="B41" s="129">
        <f>IFERROR(IF(OR(NOT(ISNUMBER('Price History'!B42)),NOT(ISNUMBER('Price History'!B41)),'Price History'!B41=0),"",'Price History'!B42/'Price History'!B41-1),"")</f>
        <v>0.12865522205272528</v>
      </c>
      <c r="C41" s="129">
        <f>IFERROR(IF(OR(NOT(ISNUMBER('Price History'!C42)),NOT(ISNUMBER('Price History'!C41)),'Price History'!C41=0),"",'Price History'!C42/'Price History'!C41-1),"")</f>
        <v>0.10673854447439357</v>
      </c>
      <c r="D41" s="129">
        <f>IFERROR(IF(OR(NOT(ISNUMBER('Price History'!D42)),NOT(ISNUMBER('Price History'!D41)),'Price History'!D41=0),"",'Price History'!D42/'Price History'!D41-1),"")</f>
        <v>-5.0515055467514891E-4</v>
      </c>
      <c r="E41" s="129">
        <f>IFERROR(IF(OR(NOT(ISNUMBER('Price History'!E42)),NOT(ISNUMBER('Price History'!E41)),'Price History'!E41=0),"",'Price History'!E42/'Price History'!E41-1),"")</f>
        <v>0.23344009317222292</v>
      </c>
      <c r="F41" s="129">
        <f>IFERROR(IF(OR(NOT(ISNUMBER('Price History'!F42)),NOT(ISNUMBER('Price History'!F41)),'Price History'!F41=0),"",'Price History'!F42/'Price History'!F41-1),"")</f>
        <v>0.10403299725022919</v>
      </c>
      <c r="G41" s="129">
        <f>IFERROR(IF(OR(NOT(ISNUMBER('Price History'!G42)),NOT(ISNUMBER('Price History'!G41)),'Price History'!G41=0),"",'Price History'!G42/'Price History'!G41-1),"")</f>
        <v>7.2741700833223177E-2</v>
      </c>
      <c r="H41" s="129">
        <f>IFERROR(IF(OR(NOT(ISNUMBER('Price History'!H42)),NOT(ISNUMBER('Price History'!H41)),'Price History'!H41=0),"",'Price History'!H42/'Price History'!H41-1),"")</f>
        <v>7.9532343665871919E-2</v>
      </c>
      <c r="I41" s="129">
        <f>IFERROR(IF(OR(NOT(ISNUMBER('Price History'!I42)),NOT(ISNUMBER('Price History'!I41)),'Price History'!I41=0),"",'Price History'!I42/'Price History'!I41-1),"")</f>
        <v>9.1090094574415081E-2</v>
      </c>
      <c r="J41" s="129">
        <f>IFERROR(IF(OR(NOT(ISNUMBER('Price History'!J42)),NOT(ISNUMBER('Price History'!J41)),'Price History'!J41=0),"",'Price History'!J42/'Price History'!J41-1),"")</f>
        <v>1.8927444794952786E-2</v>
      </c>
      <c r="K41" s="129">
        <f>IFERROR(IF(OR(NOT(ISNUMBER('Price History'!K42)),NOT(ISNUMBER('Price History'!K41)),'Price History'!K41=0),"",'Price History'!K42/'Price History'!K41-1),"")</f>
        <v>1.1154011154011156E-2</v>
      </c>
      <c r="L41" s="129">
        <f>IFERROR(IF(OR(NOT(ISNUMBER('Price History'!L42)),NOT(ISNUMBER('Price History'!L41)),'Price History'!L41=0),"",'Price History'!L42/'Price History'!L41-1),"")</f>
        <v>5.265470064014055E-2</v>
      </c>
      <c r="M41" s="129">
        <f>IFERROR(IF(OR(NOT(ISNUMBER('Price History'!M42)),NOT(ISNUMBER('Price History'!M41)),'Price History'!M41=0),"",'Price History'!M42/'Price History'!M41-1),"")</f>
        <v>4.3353923587279741E-2</v>
      </c>
      <c r="N41" s="129">
        <f>IFERROR(IF(OR(NOT(ISNUMBER('Price History'!N42)),NOT(ISNUMBER('Price History'!N41)),'Price History'!N41=0),"",'Price History'!N42/'Price History'!N41-1),"")</f>
        <v>-4.7822126531964493E-3</v>
      </c>
      <c r="O41" s="129">
        <f>IFERROR(IF(OR(NOT(ISNUMBER('Price History'!O42)),NOT(ISNUMBER('Price History'!O41)),'Price History'!O41=0),"",'Price History'!O42/'Price History'!O41-1),"")</f>
        <v>-2.3842592592592582E-2</v>
      </c>
      <c r="P41" s="129">
        <f>IFERROR(IF(OR(NOT(ISNUMBER('Price History'!P42)),NOT(ISNUMBER('Price History'!P41)),'Price History'!P41=0),"",'Price History'!P42/'Price History'!P41-1),"")</f>
        <v>-1.6867037502242943E-2</v>
      </c>
      <c r="Q41" s="129">
        <f>IFERROR(IF(OR(NOT(ISNUMBER('Price History'!Q42)),NOT(ISNUMBER('Price History'!Q41)),'Price History'!Q41=0),"",'Price History'!Q42/'Price History'!Q41-1),"")</f>
        <v>9.1597674828254316E-3</v>
      </c>
      <c r="R41" s="129">
        <f>IFERROR(IF(OR(NOT(ISNUMBER('Price History'!R42)),NOT(ISNUMBER('Price History'!R41)),'Price History'!R41=0),"",'Price History'!R42/'Price History'!R41-1),"")</f>
        <v>1.2643129770992356E-2</v>
      </c>
      <c r="S41" s="129">
        <f>IFERROR(IF(OR(NOT(ISNUMBER('Price History'!S42)),NOT(ISNUMBER('Price History'!S41)),'Price History'!S41=0),"",'Price History'!S42/'Price History'!S41-1),"")</f>
        <v>4.2212518195051008E-2</v>
      </c>
      <c r="T41" s="129">
        <f>IFERROR(IF(OR(NOT(ISNUMBER('Price History'!T42)),NOT(ISNUMBER('Price History'!T41)),'Price History'!T41=0),"",'Price History'!T42/'Price History'!T41-1),"")</f>
        <v>-2.0020020020019569E-3</v>
      </c>
      <c r="U41" s="129">
        <f>IFERROR(IF(OR(NOT(ISNUMBER('Price History'!U42)),NOT(ISNUMBER('Price History'!U41)),'Price History'!U41=0),"",'Price History'!U42/'Price History'!U41-1),"")</f>
        <v>-1.3929928239763689E-2</v>
      </c>
      <c r="V41" s="130">
        <f>IFERROR(IF(OR(NOT(ISNUMBER('Price History'!V42)),NOT(ISNUMBER('Price History'!V41)),'Price History'!V41=0),"",'Price History'!V42/'Price History'!V41-1),"")</f>
        <v>-2.8724724432440341E-2</v>
      </c>
      <c r="W41" s="131">
        <f>IFERROR('Price History'!B3+(INDEX('Price History'!B:B,MATCH(9.99E+307,'Returns (Calc)'!$A:$A)+1)-'Price History'!B3)*(ROW()-3)/(MATCH(9.99E+307,'Returns (Calc)'!$A:$A)-3),"")</f>
        <v>458.8545569620253</v>
      </c>
      <c r="X41" s="131">
        <f>IFERROR('Price History'!C3+(INDEX('Price History'!C:C,MATCH(9.99E+307,'Returns (Calc)'!$A:$A)+1)-'Price History'!C3)*(ROW()-3)/(MATCH(9.99E+307,'Returns (Calc)'!$A:$A)-3),"")</f>
        <v>84.942405063291133</v>
      </c>
      <c r="Y41" s="131">
        <f>IFERROR('Price History'!D3+(INDEX('Price History'!D:D,MATCH(9.99E+307,'Returns (Calc)'!$A:$A)+1)-'Price History'!D3)*(ROW()-3)/(MATCH(9.99E+307,'Returns (Calc)'!$A:$A)-3),"")</f>
        <v>891.13278481012662</v>
      </c>
      <c r="Z41" s="131">
        <f>IFERROR('Price History'!E3+(INDEX('Price History'!E:E,MATCH(9.99E+307,'Returns (Calc)'!$A:$A)+1)-'Price History'!E3)*(ROW()-3)/(MATCH(9.99E+307,'Returns (Calc)'!$A:$A)-3),"")</f>
        <v>147.69189873417722</v>
      </c>
      <c r="AA41" s="131">
        <f>IFERROR('Price History'!F3+(INDEX('Price History'!F:F,MATCH(9.99E+307,'Returns (Calc)'!$A:$A)+1)-'Price History'!F3)*(ROW()-3)/(MATCH(9.99E+307,'Returns (Calc)'!$A:$A)-3),"")</f>
        <v>96.358987341772149</v>
      </c>
      <c r="AB41" s="131">
        <f>IFERROR('Price History'!G3+(INDEX('Price History'!G:G,MATCH(9.99E+307,'Returns (Calc)'!$A:$A)+1)-'Price History'!G3)*(ROW()-3)/(MATCH(9.99E+307,'Returns (Calc)'!$A:$A)-3),"")</f>
        <v>83.441898734177215</v>
      </c>
      <c r="AC41" s="131">
        <f>IFERROR('Price History'!H3+(INDEX('Price History'!H:H,MATCH(9.99E+307,'Returns (Calc)'!$A:$A)+1)-'Price History'!H3)*(ROW()-3)/(MATCH(9.99E+307,'Returns (Calc)'!$A:$A)-3),"")</f>
        <v>311.00645569620258</v>
      </c>
      <c r="AD41" s="131">
        <f>IFERROR('Price History'!I3+(INDEX('Price History'!I:I,MATCH(9.99E+307,'Returns (Calc)'!$A:$A)+1)-'Price History'!I3)*(ROW()-3)/(MATCH(9.99E+307,'Returns (Calc)'!$A:$A)-3),"")</f>
        <v>89.509493670886073</v>
      </c>
      <c r="AE41" s="131">
        <f>IFERROR('Price History'!J3+(INDEX('Price History'!J:J,MATCH(9.99E+307,'Returns (Calc)'!$A:$A)+1)-'Price History'!J3)*(ROW()-3)/(MATCH(9.99E+307,'Returns (Calc)'!$A:$A)-3),"")</f>
        <v>115.94544303797468</v>
      </c>
      <c r="AF41" s="131">
        <f>IFERROR('Price History'!K3+(INDEX('Price History'!K:K,MATCH(9.99E+307,'Returns (Calc)'!$A:$A)+1)-'Price History'!K3)*(ROW()-3)/(MATCH(9.99E+307,'Returns (Calc)'!$A:$A)-3),"")</f>
        <v>57.0386075949367</v>
      </c>
      <c r="AG41" s="131">
        <f>IFERROR('Price History'!L3+(INDEX('Price History'!L:L,MATCH(9.99E+307,'Returns (Calc)'!$A:$A)+1)-'Price History'!L3)*(ROW()-3)/(MATCH(9.99E+307,'Returns (Calc)'!$A:$A)-3),"")</f>
        <v>178.833164556962</v>
      </c>
      <c r="AH41" s="131">
        <f>IFERROR('Price History'!M3+(INDEX('Price History'!M:M,MATCH(9.99E+307,'Returns (Calc)'!$A:$A)+1)-'Price History'!M3)*(ROW()-3)/(MATCH(9.99E+307,'Returns (Calc)'!$A:$A)-3),"")</f>
        <v>89.526835443037982</v>
      </c>
      <c r="AI41" s="131">
        <f>IFERROR('Price History'!N3+(INDEX('Price History'!N:N,MATCH(9.99E+307,'Returns (Calc)'!$A:$A)+1)-'Price History'!N3)*(ROW()-3)/(MATCH(9.99E+307,'Returns (Calc)'!$A:$A)-3),"")</f>
        <v>386.37810126582275</v>
      </c>
      <c r="AJ41" s="131">
        <f>IFERROR('Price History'!O3+(INDEX('Price History'!O:O,MATCH(9.99E+307,'Returns (Calc)'!$A:$A)+1)-'Price History'!O3)*(ROW()-3)/(MATCH(9.99E+307,'Returns (Calc)'!$A:$A)-3),"")</f>
        <v>86.065443037974688</v>
      </c>
      <c r="AK41" s="131">
        <f>IFERROR('Price History'!Q3+(INDEX('Price History'!Q:Q,MATCH(9.99E+307,'Returns (Calc)'!$A:$A)+1)-'Price History'!Q3)*(ROW()-3)/(MATCH(9.99E+307,'Returns (Calc)'!$A:$A)-3),"")</f>
        <v>16.695949367088609</v>
      </c>
      <c r="AL41" s="131">
        <f>IFERROR('Price History'!R3+(INDEX('Price History'!R:R,MATCH(9.99E+307,'Returns (Calc)'!$A:$A)+1)-'Price History'!R3)*(ROW()-3)/(MATCH(9.99E+307,'Returns (Calc)'!$A:$A)-3),"")</f>
        <v>40.867848101265821</v>
      </c>
      <c r="AM41" s="131">
        <f>IFERROR('Price History'!S3+(INDEX('Price History'!S:S,MATCH(9.99E+307,'Returns (Calc)'!$A:$A)+1)-'Price History'!S3)*(ROW()-3)/(MATCH(9.99E+307,'Returns (Calc)'!$A:$A)-3),"")</f>
        <v>80.62240506329114</v>
      </c>
      <c r="AN41" s="131">
        <f>IFERROR('Price History'!T3+(INDEX('Price History'!T:T,MATCH(9.99E+307,'Returns (Calc)'!$A:$A)+1)-'Price History'!T3)*(ROW()-3)/(MATCH(9.99E+307,'Returns (Calc)'!$A:$A)-3),"")</f>
        <v>31.632658227848101</v>
      </c>
      <c r="AO41" s="132">
        <f>IFERROR('Price History'!V3+(INDEX('Price History'!V:V,MATCH(9.99E+307,'Returns (Calc)'!$A:$A)+1)-'Price History'!V3)*(ROW()-3)/(MATCH(9.99E+307,'Returns (Calc)'!$A:$A)-3),"")</f>
        <v>265.70050632911392</v>
      </c>
      <c r="AP41" s="130">
        <f>IFERROR(IF(OR(NOT(ISNUMBER('Price History'!W42)),NOT(ISNUMBER('Price History'!W41)),'Price History'!W41=0),"",'Price History'!W42/'Price History'!W41-1),"")</f>
        <v>-4.2228212039532309E-3</v>
      </c>
      <c r="AQ41" s="130" t="str">
        <f>IFERROR(IF(OR(NOT(ISNUMBER('Price History'!X42)),NOT(ISNUMBER('Price History'!X41)),'Price History'!X41=0),"",'Price History'!X42/'Price History'!X41-1),"")</f>
        <v/>
      </c>
      <c r="AR41" s="130">
        <f>IFERROR(IF(OR(NOT(ISNUMBER('Price History'!Y42)),NOT(ISNUMBER('Price History'!Y41)),'Price History'!Y41=0),"",'Price History'!Y42/'Price History'!Y41-1),"")</f>
        <v>-5.5460750853243423E-3</v>
      </c>
      <c r="AS41" s="130">
        <f>IFERROR(IF(OR(NOT(ISNUMBER('Price History'!Z42)),NOT(ISNUMBER('Price History'!Z41)),'Price History'!Z41=0),"",'Price History'!Z42/'Price History'!Z41-1),"")</f>
        <v>-3.7296620775969958E-2</v>
      </c>
      <c r="AT41" s="130">
        <f>IFERROR(IF(OR(NOT(ISNUMBER('Price History'!AA42)),NOT(ISNUMBER('Price History'!AA41)),'Price History'!AA41=0),"",'Price History'!AA42/'Price History'!AA41-1),"")</f>
        <v>4.3491816056118404E-2</v>
      </c>
    </row>
    <row r="42" spans="1:46" ht="15" customHeight="1" x14ac:dyDescent="0.2">
      <c r="A42" s="128">
        <f>IF('Price History'!A43="","",'Price History'!A43)</f>
        <v>45464</v>
      </c>
      <c r="B42" s="129">
        <f>IFERROR(IF(OR(NOT(ISNUMBER('Price History'!B43)),NOT(ISNUMBER('Price History'!B42)),'Price History'!B42=0),"",'Price History'!B43/'Price History'!B42-1),"")</f>
        <v>1.5476575736232068E-2</v>
      </c>
      <c r="C42" s="129">
        <f>IFERROR(IF(OR(NOT(ISNUMBER('Price History'!C43)),NOT(ISNUMBER('Price History'!C42)),'Price History'!C42=0),"",'Price History'!C43/'Price History'!C42-1),"")</f>
        <v>2.7033609352167476E-2</v>
      </c>
      <c r="D42" s="129">
        <f>IFERROR(IF(OR(NOT(ISNUMBER('Price History'!D43)),NOT(ISNUMBER('Price History'!D42)),'Price History'!D42=0),"",'Price History'!D43/'Price History'!D42-1),"")</f>
        <v>8.463070687451113E-3</v>
      </c>
      <c r="E42" s="129">
        <f>IFERROR(IF(OR(NOT(ISNUMBER('Price History'!E43)),NOT(ISNUMBER('Price History'!E42)),'Price History'!E42=0),"",'Price History'!E43/'Price History'!E42-1),"")</f>
        <v>-4.4024786072587641E-2</v>
      </c>
      <c r="F42" s="129">
        <f>IFERROR(IF(OR(NOT(ISNUMBER('Price History'!F43)),NOT(ISNUMBER('Price History'!F42)),'Price History'!F42=0),"",'Price History'!F43/'Price History'!F42-1),"")</f>
        <v>-1.2453300124533051E-2</v>
      </c>
      <c r="G42" s="129">
        <f>IFERROR(IF(OR(NOT(ISNUMBER('Price History'!G43)),NOT(ISNUMBER('Price History'!G42)),'Price History'!G42=0),"",'Price History'!G43/'Price History'!G42-1),"")</f>
        <v>-1.0109727530513979E-2</v>
      </c>
      <c r="H42" s="129">
        <f>IFERROR(IF(OR(NOT(ISNUMBER('Price History'!H43)),NOT(ISNUMBER('Price History'!H42)),'Price History'!H42=0),"",'Price History'!H43/'Price History'!H42-1),"")</f>
        <v>-1.2825080156750879E-2</v>
      </c>
      <c r="I42" s="129">
        <f>IFERROR(IF(OR(NOT(ISNUMBER('Price History'!I43)),NOT(ISNUMBER('Price History'!I42)),'Price History'!I42=0),"",'Price History'!I43/'Price History'!I42-1),"")</f>
        <v>-4.029805352798066E-2</v>
      </c>
      <c r="J42" s="129">
        <f>IFERROR(IF(OR(NOT(ISNUMBER('Price History'!J43)),NOT(ISNUMBER('Price History'!J42)),'Price History'!J42=0),"",'Price History'!J43/'Price History'!J42-1),"")</f>
        <v>-1.731811145510842E-2</v>
      </c>
      <c r="K42" s="129">
        <f>IFERROR(IF(OR(NOT(ISNUMBER('Price History'!K43)),NOT(ISNUMBER('Price History'!K42)),'Price History'!K42=0),"",'Price History'!K43/'Price History'!K42-1),"")</f>
        <v>1.1455239711497756E-2</v>
      </c>
      <c r="L42" s="129">
        <f>IFERROR(IF(OR(NOT(ISNUMBER('Price History'!L43)),NOT(ISNUMBER('Price History'!L42)),'Price History'!L42=0),"",'Price History'!L43/'Price History'!L42-1),"")</f>
        <v>8.4063673761403113E-3</v>
      </c>
      <c r="M42" s="129">
        <f>IFERROR(IF(OR(NOT(ISNUMBER('Price History'!M43)),NOT(ISNUMBER('Price History'!M42)),'Price History'!M42=0),"",'Price History'!M43/'Price History'!M42-1),"")</f>
        <v>-9.0998793991886595E-3</v>
      </c>
      <c r="N42" s="129">
        <f>IFERROR(IF(OR(NOT(ISNUMBER('Price History'!N43)),NOT(ISNUMBER('Price History'!N42)),'Price History'!N42=0),"",'Price History'!N43/'Price History'!N42-1),"")</f>
        <v>-2.5003640297048269E-2</v>
      </c>
      <c r="O42" s="129">
        <f>IFERROR(IF(OR(NOT(ISNUMBER('Price History'!O43)),NOT(ISNUMBER('Price History'!O42)),'Price History'!O42=0),"",'Price History'!O43/'Price History'!O42-1),"")</f>
        <v>1.0789660896371789E-2</v>
      </c>
      <c r="P42" s="129">
        <f>IFERROR(IF(OR(NOT(ISNUMBER('Price History'!P43)),NOT(ISNUMBER('Price History'!P42)),'Price History'!P42=0),"",'Price History'!P43/'Price History'!P42-1),"")</f>
        <v>1.3779886840664446E-2</v>
      </c>
      <c r="Q42" s="129">
        <f>IFERROR(IF(OR(NOT(ISNUMBER('Price History'!Q43)),NOT(ISNUMBER('Price History'!Q42)),'Price History'!Q42=0),"",'Price History'!Q43/'Price History'!Q42-1),"")</f>
        <v>3.1419095828242316E-3</v>
      </c>
      <c r="R42" s="129">
        <f>IFERROR(IF(OR(NOT(ISNUMBER('Price History'!R43)),NOT(ISNUMBER('Price History'!R42)),'Price History'!R42=0),"",'Price History'!R43/'Price History'!R42-1),"")</f>
        <v>9.4228504122484402E-4</v>
      </c>
      <c r="S42" s="129">
        <f>IFERROR(IF(OR(NOT(ISNUMBER('Price History'!S43)),NOT(ISNUMBER('Price History'!S42)),'Price History'!S42=0),"",'Price History'!S43/'Price History'!S42-1),"")</f>
        <v>-8.1471135940414108E-4</v>
      </c>
      <c r="T42" s="129">
        <f>IFERROR(IF(OR(NOT(ISNUMBER('Price History'!T43)),NOT(ISNUMBER('Price History'!T42)),'Price History'!T42=0),"",'Price History'!T43/'Price History'!T42-1),"")</f>
        <v>9.6957539284519001E-3</v>
      </c>
      <c r="U42" s="129">
        <f>IFERROR(IF(OR(NOT(ISNUMBER('Price History'!U43)),NOT(ISNUMBER('Price History'!U42)),'Price History'!U42=0),"",'Price History'!U43/'Price History'!U42-1),"")</f>
        <v>1.7123287671233056E-2</v>
      </c>
      <c r="V42" s="130">
        <f>IFERROR(IF(OR(NOT(ISNUMBER('Price History'!V43)),NOT(ISNUMBER('Price History'!V42)),'Price History'!V42=0),"",'Price History'!V43/'Price History'!V42-1),"")</f>
        <v>1.6835143361767502E-2</v>
      </c>
      <c r="W42" s="131">
        <f>IFERROR('Price History'!B3+(INDEX('Price History'!B:B,MATCH(9.99E+307,'Returns (Calc)'!$A:$A)+1)-'Price History'!B3)*(ROW()-3)/(MATCH(9.99E+307,'Returns (Calc)'!$A:$A)-3),"")</f>
        <v>457.01151898734179</v>
      </c>
      <c r="X42" s="131">
        <f>IFERROR('Price History'!C3+(INDEX('Price History'!C:C,MATCH(9.99E+307,'Returns (Calc)'!$A:$A)+1)-'Price History'!C3)*(ROW()-3)/(MATCH(9.99E+307,'Returns (Calc)'!$A:$A)-3),"")</f>
        <v>85.962468354430371</v>
      </c>
      <c r="Y42" s="131">
        <f>IFERROR('Price History'!D3+(INDEX('Price History'!D:D,MATCH(9.99E+307,'Returns (Calc)'!$A:$A)+1)-'Price History'!D3)*(ROW()-3)/(MATCH(9.99E+307,'Returns (Calc)'!$A:$A)-3),"")</f>
        <v>899.26759493670886</v>
      </c>
      <c r="Z42" s="131">
        <f>IFERROR('Price History'!E3+(INDEX('Price History'!E:E,MATCH(9.99E+307,'Returns (Calc)'!$A:$A)+1)-'Price History'!E3)*(ROW()-3)/(MATCH(9.99E+307,'Returns (Calc)'!$A:$A)-3),"")</f>
        <v>149.4206329113924</v>
      </c>
      <c r="AA42" s="131">
        <f>IFERROR('Price History'!F3+(INDEX('Price History'!F:F,MATCH(9.99E+307,'Returns (Calc)'!$A:$A)+1)-'Price History'!F3)*(ROW()-3)/(MATCH(9.99E+307,'Returns (Calc)'!$A:$A)-3),"")</f>
        <v>97.80632911392405</v>
      </c>
      <c r="AB42" s="131">
        <f>IFERROR('Price History'!G3+(INDEX('Price History'!G:G,MATCH(9.99E+307,'Returns (Calc)'!$A:$A)+1)-'Price History'!G3)*(ROW()-3)/(MATCH(9.99E+307,'Returns (Calc)'!$A:$A)-3),"")</f>
        <v>84.4706329113924</v>
      </c>
      <c r="AC42" s="131">
        <f>IFERROR('Price History'!H3+(INDEX('Price History'!H:H,MATCH(9.99E+307,'Returns (Calc)'!$A:$A)+1)-'Price History'!H3)*(ROW()-3)/(MATCH(9.99E+307,'Returns (Calc)'!$A:$A)-3),"")</f>
        <v>317.37215189873422</v>
      </c>
      <c r="AD42" s="131">
        <f>IFERROR('Price History'!I3+(INDEX('Price History'!I:I,MATCH(9.99E+307,'Returns (Calc)'!$A:$A)+1)-'Price History'!I3)*(ROW()-3)/(MATCH(9.99E+307,'Returns (Calc)'!$A:$A)-3),"")</f>
        <v>90.713164556962028</v>
      </c>
      <c r="AE42" s="131">
        <f>IFERROR('Price History'!J3+(INDEX('Price History'!J:J,MATCH(9.99E+307,'Returns (Calc)'!$A:$A)+1)-'Price History'!J3)*(ROW()-3)/(MATCH(9.99E+307,'Returns (Calc)'!$A:$A)-3),"")</f>
        <v>116.05348101265822</v>
      </c>
      <c r="AF42" s="131">
        <f>IFERROR('Price History'!K3+(INDEX('Price History'!K:K,MATCH(9.99E+307,'Returns (Calc)'!$A:$A)+1)-'Price History'!K3)*(ROW()-3)/(MATCH(9.99E+307,'Returns (Calc)'!$A:$A)-3),"")</f>
        <v>58.136202531645566</v>
      </c>
      <c r="AG42" s="131">
        <f>IFERROR('Price History'!L3+(INDEX('Price History'!L:L,MATCH(9.99E+307,'Returns (Calc)'!$A:$A)+1)-'Price History'!L3)*(ROW()-3)/(MATCH(9.99E+307,'Returns (Calc)'!$A:$A)-3),"")</f>
        <v>181.28272151898733</v>
      </c>
      <c r="AH42" s="131">
        <f>IFERROR('Price History'!M3+(INDEX('Price History'!M:M,MATCH(9.99E+307,'Returns (Calc)'!$A:$A)+1)-'Price History'!M3)*(ROW()-3)/(MATCH(9.99E+307,'Returns (Calc)'!$A:$A)-3),"")</f>
        <v>90.882278481012662</v>
      </c>
      <c r="AI42" s="131">
        <f>IFERROR('Price History'!N3+(INDEX('Price History'!N:N,MATCH(9.99E+307,'Returns (Calc)'!$A:$A)+1)-'Price History'!N3)*(ROW()-3)/(MATCH(9.99E+307,'Returns (Calc)'!$A:$A)-3),"")</f>
        <v>387.36436708860759</v>
      </c>
      <c r="AJ42" s="131">
        <f>IFERROR('Price History'!O3+(INDEX('Price History'!O:O,MATCH(9.99E+307,'Returns (Calc)'!$A:$A)+1)-'Price History'!O3)*(ROW()-3)/(MATCH(9.99E+307,'Returns (Calc)'!$A:$A)-3),"")</f>
        <v>86.348481012658226</v>
      </c>
      <c r="AK42" s="131">
        <f>IFERROR('Price History'!Q3+(INDEX('Price History'!Q:Q,MATCH(9.99E+307,'Returns (Calc)'!$A:$A)+1)-'Price History'!Q3)*(ROW()-3)/(MATCH(9.99E+307,'Returns (Calc)'!$A:$A)-3),"")</f>
        <v>17.135316455696202</v>
      </c>
      <c r="AL42" s="131">
        <f>IFERROR('Price History'!R3+(INDEX('Price History'!R:R,MATCH(9.99E+307,'Returns (Calc)'!$A:$A)+1)-'Price History'!R3)*(ROW()-3)/(MATCH(9.99E+307,'Returns (Calc)'!$A:$A)-3),"")</f>
        <v>41.035949367088605</v>
      </c>
      <c r="AM42" s="131">
        <f>IFERROR('Price History'!S3+(INDEX('Price History'!S:S,MATCH(9.99E+307,'Returns (Calc)'!$A:$A)+1)-'Price History'!S3)*(ROW()-3)/(MATCH(9.99E+307,'Returns (Calc)'!$A:$A)-3),"")</f>
        <v>81.227468354430385</v>
      </c>
      <c r="AN42" s="131">
        <f>IFERROR('Price History'!T3+(INDEX('Price History'!T:T,MATCH(9.99E+307,'Returns (Calc)'!$A:$A)+1)-'Price History'!T3)*(ROW()-3)/(MATCH(9.99E+307,'Returns (Calc)'!$A:$A)-3),"")</f>
        <v>31.800886075949364</v>
      </c>
      <c r="AO42" s="132">
        <f>IFERROR('Price History'!V3+(INDEX('Price History'!V:V,MATCH(9.99E+307,'Returns (Calc)'!$A:$A)+1)-'Price History'!V3)*(ROW()-3)/(MATCH(9.99E+307,'Returns (Calc)'!$A:$A)-3),"")</f>
        <v>266.49183544303798</v>
      </c>
      <c r="AP42" s="130">
        <f>IFERROR(IF(OR(NOT(ISNUMBER('Price History'!W43)),NOT(ISNUMBER('Price History'!W42)),'Price History'!W42=0),"",'Price History'!W43/'Price History'!W42-1),"")</f>
        <v>1.2541730578363275E-2</v>
      </c>
      <c r="AQ42" s="130" t="str">
        <f>IFERROR(IF(OR(NOT(ISNUMBER('Price History'!X43)),NOT(ISNUMBER('Price History'!X42)),'Price History'!X42=0),"",'Price History'!X43/'Price History'!X42-1),"")</f>
        <v/>
      </c>
      <c r="AR42" s="130">
        <f>IFERROR(IF(OR(NOT(ISNUMBER('Price History'!Y43)),NOT(ISNUMBER('Price History'!Y42)),'Price History'!Y42=0),"",'Price History'!Y43/'Price History'!Y42-1),"")</f>
        <v>8.7945087945089373E-3</v>
      </c>
      <c r="AS42" s="130">
        <f>IFERROR(IF(OR(NOT(ISNUMBER('Price History'!Z43)),NOT(ISNUMBER('Price History'!Z42)),'Price History'!Z42=0),"",'Price History'!Z43/'Price History'!Z42-1),"")</f>
        <v>5.3627145085803463E-2</v>
      </c>
      <c r="AT42" s="130">
        <f>IFERROR(IF(OR(NOT(ISNUMBER('Price History'!AA43)),NOT(ISNUMBER('Price History'!AA42)),'Price History'!AA42=0),"",'Price History'!AA43/'Price History'!AA42-1),"")</f>
        <v>2.4947714371078566E-2</v>
      </c>
    </row>
    <row r="43" spans="1:46" ht="15" customHeight="1" x14ac:dyDescent="0.2">
      <c r="A43" s="128">
        <f>IF('Price History'!A44="","",'Price History'!A44)</f>
        <v>45471</v>
      </c>
      <c r="B43" s="129">
        <f>IFERROR(IF(OR(NOT(ISNUMBER('Price History'!B44)),NOT(ISNUMBER('Price History'!B43)),'Price History'!B43=0),"",'Price History'!B44/'Price History'!B43-1),"")</f>
        <v>4.1429214157168381E-2</v>
      </c>
      <c r="C43" s="129">
        <f>IFERROR(IF(OR(NOT(ISNUMBER('Price History'!C44)),NOT(ISNUMBER('Price History'!C43)),'Price History'!C43=0),"",'Price History'!C44/'Price History'!C43-1),"")</f>
        <v>3.8890206307801822E-2</v>
      </c>
      <c r="D43" s="129">
        <f>IFERROR(IF(OR(NOT(ISNUMBER('Price History'!D44)),NOT(ISNUMBER('Price History'!D43)),'Price History'!D43=0),"",'Price History'!D44/'Price History'!D43-1),"")</f>
        <v>-1.3384039385631374E-2</v>
      </c>
      <c r="E43" s="129">
        <f>IFERROR(IF(OR(NOT(ISNUMBER('Price History'!E44)),NOT(ISNUMBER('Price History'!E43)),'Price History'!E43=0),"",'Price History'!E44/'Price History'!E43-1),"")</f>
        <v>-2.8952404469411719E-2</v>
      </c>
      <c r="F43" s="129">
        <f>IFERROR(IF(OR(NOT(ISNUMBER('Price History'!F44)),NOT(ISNUMBER('Price History'!F43)),'Price History'!F43=0),"",'Price History'!F44/'Price History'!F43-1),"")</f>
        <v>6.7255149222362753E-3</v>
      </c>
      <c r="G43" s="129">
        <f>IFERROR(IF(OR(NOT(ISNUMBER('Price History'!G44)),NOT(ISNUMBER('Price History'!G43)),'Price History'!G43=0),"",'Price History'!G44/'Price History'!G43-1),"")</f>
        <v>9.8393324199774757E-3</v>
      </c>
      <c r="H43" s="129">
        <f>IFERROR(IF(OR(NOT(ISNUMBER('Price History'!H44)),NOT(ISNUMBER('Price History'!H43)),'Price History'!H43=0),"",'Price History'!H44/'Price History'!H43-1),"")</f>
        <v>-5.7452183327318718E-2</v>
      </c>
      <c r="I43" s="129">
        <f>IFERROR(IF(OR(NOT(ISNUMBER('Price History'!I44)),NOT(ISNUMBER('Price History'!I43)),'Price History'!I43=0),"",'Price History'!I44/'Price History'!I43-1),"")</f>
        <v>-2.3926477578830596E-2</v>
      </c>
      <c r="J43" s="129">
        <f>IFERROR(IF(OR(NOT(ISNUMBER('Price History'!J44)),NOT(ISNUMBER('Price History'!J43)),'Price History'!J43=0),"",'Price History'!J44/'Price History'!J43-1),"")</f>
        <v>2.6582652357979741E-2</v>
      </c>
      <c r="K43" s="129">
        <f>IFERROR(IF(OR(NOT(ISNUMBER('Price History'!K44)),NOT(ISNUMBER('Price History'!K43)),'Price History'!K43=0),"",'Price History'!K44/'Price History'!K43-1),"")</f>
        <v>6.25E-2</v>
      </c>
      <c r="L43" s="129">
        <f>IFERROR(IF(OR(NOT(ISNUMBER('Price History'!L44)),NOT(ISNUMBER('Price History'!L43)),'Price History'!L43=0),"",'Price History'!L44/'Price History'!L43-1),"")</f>
        <v>-8.2771668440340118E-4</v>
      </c>
      <c r="M43" s="129">
        <f>IFERROR(IF(OR(NOT(ISNUMBER('Price History'!M44)),NOT(ISNUMBER('Price History'!M43)),'Price History'!M43=0),"",'Price History'!M44/'Price History'!M43-1),"")</f>
        <v>-4.470015490152679E-2</v>
      </c>
      <c r="N43" s="129">
        <f>IFERROR(IF(OR(NOT(ISNUMBER('Price History'!N44)),NOT(ISNUMBER('Price History'!N43)),'Price History'!N43=0),"",'Price History'!N44/'Price History'!N43-1),"")</f>
        <v>2.1335153933321749E-5</v>
      </c>
      <c r="O43" s="129">
        <f>IFERROR(IF(OR(NOT(ISNUMBER('Price History'!O44)),NOT(ISNUMBER('Price History'!O43)),'Price History'!O43=0),"",'Price History'!O44/'Price History'!O43-1),"")</f>
        <v>1.6656891495601123E-2</v>
      </c>
      <c r="P43" s="129">
        <f>IFERROR(IF(OR(NOT(ISNUMBER('Price History'!P44)),NOT(ISNUMBER('Price History'!P43)),'Price History'!P43=0),"",'Price History'!P44/'Price History'!P43-1),"")</f>
        <v>2.9705644072373083E-3</v>
      </c>
      <c r="Q43" s="129">
        <f>IFERROR(IF(OR(NOT(ISNUMBER('Price History'!Q44)),NOT(ISNUMBER('Price History'!Q43)),'Price History'!Q43=0),"",'Price History'!Q44/'Price History'!Q43-1),"")</f>
        <v>4.1760918740212372E-3</v>
      </c>
      <c r="R43" s="129">
        <f>IFERROR(IF(OR(NOT(ISNUMBER('Price History'!R44)),NOT(ISNUMBER('Price History'!R43)),'Price History'!R43=0),"",'Price History'!R44/'Price History'!R43-1),"")</f>
        <v>4.7069898799716459E-3</v>
      </c>
      <c r="S43" s="129">
        <f>IFERROR(IF(OR(NOT(ISNUMBER('Price History'!S44)),NOT(ISNUMBER('Price History'!S43)),'Price History'!S43=0),"",'Price History'!S44/'Price History'!S43-1),"")</f>
        <v>1.8637157833432116E-3</v>
      </c>
      <c r="T43" s="129">
        <f>IFERROR(IF(OR(NOT(ISNUMBER('Price History'!T44)),NOT(ISNUMBER('Price History'!T43)),'Price History'!T43=0),"",'Price History'!T44/'Price History'!T43-1),"")</f>
        <v>-6.6225165562913135E-3</v>
      </c>
      <c r="U43" s="129">
        <f>IFERROR(IF(OR(NOT(ISNUMBER('Price History'!U44)),NOT(ISNUMBER('Price History'!U43)),'Price History'!U43=0),"",'Price History'!U44/'Price History'!U43-1),"")</f>
        <v>5.8922558922558377E-3</v>
      </c>
      <c r="V43" s="130">
        <f>IFERROR(IF(OR(NOT(ISNUMBER('Price History'!V44)),NOT(ISNUMBER('Price History'!V43)),'Price History'!V43=0),"",'Price History'!V44/'Price History'!V43-1),"")</f>
        <v>-4.6343176022764943E-2</v>
      </c>
      <c r="W43" s="131">
        <f>IFERROR('Price History'!B3+(INDEX('Price History'!B:B,MATCH(9.99E+307,'Returns (Calc)'!$A:$A)+1)-'Price History'!B3)*(ROW()-3)/(MATCH(9.99E+307,'Returns (Calc)'!$A:$A)-3),"")</f>
        <v>455.16848101265822</v>
      </c>
      <c r="X43" s="131">
        <f>IFERROR('Price History'!C3+(INDEX('Price History'!C:C,MATCH(9.99E+307,'Returns (Calc)'!$A:$A)+1)-'Price History'!C3)*(ROW()-3)/(MATCH(9.99E+307,'Returns (Calc)'!$A:$A)-3),"")</f>
        <v>86.982531645569622</v>
      </c>
      <c r="Y43" s="131">
        <f>IFERROR('Price History'!D3+(INDEX('Price History'!D:D,MATCH(9.99E+307,'Returns (Calc)'!$A:$A)+1)-'Price History'!D3)*(ROW()-3)/(MATCH(9.99E+307,'Returns (Calc)'!$A:$A)-3),"")</f>
        <v>907.4024050632911</v>
      </c>
      <c r="Z43" s="131">
        <f>IFERROR('Price History'!E3+(INDEX('Price History'!E:E,MATCH(9.99E+307,'Returns (Calc)'!$A:$A)+1)-'Price History'!E3)*(ROW()-3)/(MATCH(9.99E+307,'Returns (Calc)'!$A:$A)-3),"")</f>
        <v>151.14936708860759</v>
      </c>
      <c r="AA43" s="131">
        <f>IFERROR('Price History'!F3+(INDEX('Price History'!F:F,MATCH(9.99E+307,'Returns (Calc)'!$A:$A)+1)-'Price History'!F3)*(ROW()-3)/(MATCH(9.99E+307,'Returns (Calc)'!$A:$A)-3),"")</f>
        <v>99.253670886075952</v>
      </c>
      <c r="AB43" s="131">
        <f>IFERROR('Price History'!G3+(INDEX('Price History'!G:G,MATCH(9.99E+307,'Returns (Calc)'!$A:$A)+1)-'Price History'!G3)*(ROW()-3)/(MATCH(9.99E+307,'Returns (Calc)'!$A:$A)-3),"")</f>
        <v>85.499367088607585</v>
      </c>
      <c r="AC43" s="131">
        <f>IFERROR('Price History'!H3+(INDEX('Price History'!H:H,MATCH(9.99E+307,'Returns (Calc)'!$A:$A)+1)-'Price History'!H3)*(ROW()-3)/(MATCH(9.99E+307,'Returns (Calc)'!$A:$A)-3),"")</f>
        <v>323.73784810126585</v>
      </c>
      <c r="AD43" s="131">
        <f>IFERROR('Price History'!I3+(INDEX('Price History'!I:I,MATCH(9.99E+307,'Returns (Calc)'!$A:$A)+1)-'Price History'!I3)*(ROW()-3)/(MATCH(9.99E+307,'Returns (Calc)'!$A:$A)-3),"")</f>
        <v>91.916835443037968</v>
      </c>
      <c r="AE43" s="131">
        <f>IFERROR('Price History'!J3+(INDEX('Price History'!J:J,MATCH(9.99E+307,'Returns (Calc)'!$A:$A)+1)-'Price History'!J3)*(ROW()-3)/(MATCH(9.99E+307,'Returns (Calc)'!$A:$A)-3),"")</f>
        <v>116.16151898734178</v>
      </c>
      <c r="AF43" s="131">
        <f>IFERROR('Price History'!K3+(INDEX('Price History'!K:K,MATCH(9.99E+307,'Returns (Calc)'!$A:$A)+1)-'Price History'!K3)*(ROW()-3)/(MATCH(9.99E+307,'Returns (Calc)'!$A:$A)-3),"")</f>
        <v>59.233797468354425</v>
      </c>
      <c r="AG43" s="131">
        <f>IFERROR('Price History'!L3+(INDEX('Price History'!L:L,MATCH(9.99E+307,'Returns (Calc)'!$A:$A)+1)-'Price History'!L3)*(ROW()-3)/(MATCH(9.99E+307,'Returns (Calc)'!$A:$A)-3),"")</f>
        <v>183.73227848101266</v>
      </c>
      <c r="AH43" s="131">
        <f>IFERROR('Price History'!M3+(INDEX('Price History'!M:M,MATCH(9.99E+307,'Returns (Calc)'!$A:$A)+1)-'Price History'!M3)*(ROW()-3)/(MATCH(9.99E+307,'Returns (Calc)'!$A:$A)-3),"")</f>
        <v>92.237721518987343</v>
      </c>
      <c r="AI43" s="131">
        <f>IFERROR('Price History'!N3+(INDEX('Price History'!N:N,MATCH(9.99E+307,'Returns (Calc)'!$A:$A)+1)-'Price History'!N3)*(ROW()-3)/(MATCH(9.99E+307,'Returns (Calc)'!$A:$A)-3),"")</f>
        <v>388.35063291139238</v>
      </c>
      <c r="AJ43" s="131">
        <f>IFERROR('Price History'!O3+(INDEX('Price History'!O:O,MATCH(9.99E+307,'Returns (Calc)'!$A:$A)+1)-'Price History'!O3)*(ROW()-3)/(MATCH(9.99E+307,'Returns (Calc)'!$A:$A)-3),"")</f>
        <v>86.631518987341778</v>
      </c>
      <c r="AK43" s="131">
        <f>IFERROR('Price History'!Q3+(INDEX('Price History'!Q:Q,MATCH(9.99E+307,'Returns (Calc)'!$A:$A)+1)-'Price History'!Q3)*(ROW()-3)/(MATCH(9.99E+307,'Returns (Calc)'!$A:$A)-3),"")</f>
        <v>17.574683544303799</v>
      </c>
      <c r="AL43" s="131">
        <f>IFERROR('Price History'!R3+(INDEX('Price History'!R:R,MATCH(9.99E+307,'Returns (Calc)'!$A:$A)+1)-'Price History'!R3)*(ROW()-3)/(MATCH(9.99E+307,'Returns (Calc)'!$A:$A)-3),"")</f>
        <v>41.20405063291139</v>
      </c>
      <c r="AM43" s="131">
        <f>IFERROR('Price History'!S3+(INDEX('Price History'!S:S,MATCH(9.99E+307,'Returns (Calc)'!$A:$A)+1)-'Price History'!S3)*(ROW()-3)/(MATCH(9.99E+307,'Returns (Calc)'!$A:$A)-3),"")</f>
        <v>81.832531645569617</v>
      </c>
      <c r="AN43" s="131">
        <f>IFERROR('Price History'!T3+(INDEX('Price History'!T:T,MATCH(9.99E+307,'Returns (Calc)'!$A:$A)+1)-'Price History'!T3)*(ROW()-3)/(MATCH(9.99E+307,'Returns (Calc)'!$A:$A)-3),"")</f>
        <v>31.969113924050632</v>
      </c>
      <c r="AO43" s="132">
        <f>IFERROR('Price History'!V3+(INDEX('Price History'!V:V,MATCH(9.99E+307,'Returns (Calc)'!$A:$A)+1)-'Price History'!V3)*(ROW()-3)/(MATCH(9.99E+307,'Returns (Calc)'!$A:$A)-3),"")</f>
        <v>267.28316455696205</v>
      </c>
      <c r="AP43" s="130">
        <f>IFERROR(IF(OR(NOT(ISNUMBER('Price History'!W44)),NOT(ISNUMBER('Price History'!W43)),'Price History'!W43=0),"",'Price History'!W44/'Price History'!W43-1),"")</f>
        <v>-2.4059882373907993E-3</v>
      </c>
      <c r="AQ43" s="130" t="str">
        <f>IFERROR(IF(OR(NOT(ISNUMBER('Price History'!X44)),NOT(ISNUMBER('Price History'!X43)),'Price History'!X43=0),"",'Price History'!X44/'Price History'!X43-1),"")</f>
        <v/>
      </c>
      <c r="AR43" s="130">
        <f>IFERROR(IF(OR(NOT(ISNUMBER('Price History'!Y44)),NOT(ISNUMBER('Price History'!Y43)),'Price History'!Y43=0),"",'Price History'!Y44/'Price History'!Y43-1),"")</f>
        <v>-2.1263023601947317E-4</v>
      </c>
      <c r="AS43" s="130">
        <f>IFERROR(IF(OR(NOT(ISNUMBER('Price History'!Z44)),NOT(ISNUMBER('Price History'!Z43)),'Price History'!Z43=0),"",'Price History'!Z44/'Price History'!Z43-1),"")</f>
        <v>-3.2080942686162128E-2</v>
      </c>
      <c r="AT43" s="130">
        <f>IFERROR(IF(OR(NOT(ISNUMBER('Price History'!AA44)),NOT(ISNUMBER('Price History'!AA43)),'Price History'!AA43=0),"",'Price History'!AA44/'Price History'!AA43-1),"")</f>
        <v>-1.6324150998396791E-2</v>
      </c>
    </row>
    <row r="44" spans="1:46" ht="15" customHeight="1" x14ac:dyDescent="0.2">
      <c r="A44" s="128">
        <f>IF('Price History'!A45="","",'Price History'!A45)</f>
        <v>45478</v>
      </c>
      <c r="B44" s="129">
        <f>IFERROR(IF(OR(NOT(ISNUMBER('Price History'!B45)),NOT(ISNUMBER('Price History'!B44)),'Price History'!B44=0),"",'Price History'!B45/'Price History'!B44-1),"")</f>
        <v>4.1041149152176493E-2</v>
      </c>
      <c r="C44" s="129">
        <f>IFERROR(IF(OR(NOT(ISNUMBER('Price History'!C45)),NOT(ISNUMBER('Price History'!C44)),'Price History'!C44=0),"",'Price History'!C45/'Price History'!C44-1),"")</f>
        <v>4.4738644145172257E-2</v>
      </c>
      <c r="D44" s="129">
        <f>IFERROR(IF(OR(NOT(ISNUMBER('Price History'!D45)),NOT(ISNUMBER('Price History'!D44)),'Price History'!D44=0),"",'Price History'!D45/'Price History'!D44-1),"")</f>
        <v>5.0597105606517756E-2</v>
      </c>
      <c r="E44" s="129">
        <f>IFERROR(IF(OR(NOT(ISNUMBER('Price History'!E45)),NOT(ISNUMBER('Price History'!E44)),'Price History'!E44=0),"",'Price History'!E45/'Price History'!E44-1),"")</f>
        <v>6.0902733630006312E-2</v>
      </c>
      <c r="F44" s="129">
        <f>IFERROR(IF(OR(NOT(ISNUMBER('Price History'!F45)),NOT(ISNUMBER('Price History'!F44)),'Price History'!F44=0),"",'Price History'!F45/'Price History'!F44-1),"")</f>
        <v>1.6910229645094033E-2</v>
      </c>
      <c r="G44" s="129">
        <f>IFERROR(IF(OR(NOT(ISNUMBER('Price History'!G45)),NOT(ISNUMBER('Price History'!G44)),'Price History'!G44=0),"",'Price History'!G45/'Price History'!G44-1),"")</f>
        <v>3.7247163295510477E-2</v>
      </c>
      <c r="H44" s="129">
        <f>IFERROR(IF(OR(NOT(ISNUMBER('Price History'!H45)),NOT(ISNUMBER('Price History'!H44)),'Price History'!H44=0),"",'Price History'!H45/'Price History'!H44-1),"")</f>
        <v>5.3602879240366441E-4</v>
      </c>
      <c r="I44" s="129">
        <f>IFERROR(IF(OR(NOT(ISNUMBER('Price History'!I45)),NOT(ISNUMBER('Price History'!I44)),'Price History'!I44=0),"",'Price History'!I45/'Price History'!I44-1),"")</f>
        <v>1.8506493506493582E-2</v>
      </c>
      <c r="J44" s="129">
        <f>IFERROR(IF(OR(NOT(ISNUMBER('Price History'!J45)),NOT(ISNUMBER('Price History'!J44)),'Price History'!J44=0),"",'Price History'!J45/'Price History'!J44-1),"")</f>
        <v>1.9180972475304481E-2</v>
      </c>
      <c r="K44" s="129">
        <f>IFERROR(IF(OR(NOT(ISNUMBER('Price History'!K45)),NOT(ISNUMBER('Price History'!K44)),'Price History'!K44=0),"",'Price History'!K45/'Price History'!K44-1),"")</f>
        <v>7.500986971970014E-2</v>
      </c>
      <c r="L44" s="129">
        <f>IFERROR(IF(OR(NOT(ISNUMBER('Price History'!L45)),NOT(ISNUMBER('Price History'!L44)),'Price History'!L44=0),"",'Price History'!L45/'Price History'!L44-1),"")</f>
        <v>5.8579881656804833E-2</v>
      </c>
      <c r="M44" s="129">
        <f>IFERROR(IF(OR(NOT(ISNUMBER('Price History'!M45)),NOT(ISNUMBER('Price History'!M44)),'Price History'!M44=0),"",'Price History'!M45/'Price History'!M44-1),"")</f>
        <v>6.0111188325225884E-2</v>
      </c>
      <c r="N44" s="129">
        <f>IFERROR(IF(OR(NOT(ISNUMBER('Price History'!N45)),NOT(ISNUMBER('Price History'!N44)),'Price History'!N44=0),"",'Price History'!N45/'Price History'!N44-1),"")</f>
        <v>1.2480798771121293E-2</v>
      </c>
      <c r="O44" s="129">
        <f>IFERROR(IF(OR(NOT(ISNUMBER('Price History'!O45)),NOT(ISNUMBER('Price History'!O44)),'Price History'!O44=0),"",'Price History'!O45/'Price History'!O44-1),"")</f>
        <v>-1.6499365409022859E-2</v>
      </c>
      <c r="P44" s="129">
        <f>IFERROR(IF(OR(NOT(ISNUMBER('Price History'!P45)),NOT(ISNUMBER('Price History'!P44)),'Price History'!P44=0),"",'Price History'!P45/'Price History'!P44-1),"")</f>
        <v>-8.1672949201220257E-3</v>
      </c>
      <c r="Q44" s="129">
        <f>IFERROR(IF(OR(NOT(ISNUMBER('Price History'!Q45)),NOT(ISNUMBER('Price History'!Q44)),'Price History'!Q44=0),"",'Price History'!Q45/'Price History'!Q44-1),"")</f>
        <v>7.1044879570265618E-3</v>
      </c>
      <c r="R44" s="129">
        <f>IFERROR(IF(OR(NOT(ISNUMBER('Price History'!R45)),NOT(ISNUMBER('Price History'!R44)),'Price History'!R44=0),"",'Price History'!R45/'Price History'!R44-1),"")</f>
        <v>1.4523307566174815E-2</v>
      </c>
      <c r="S44" s="129">
        <f>IFERROR(IF(OR(NOT(ISNUMBER('Price History'!S45)),NOT(ISNUMBER('Price History'!S44)),'Price History'!S44=0),"",'Price History'!S45/'Price History'!S44-1),"")</f>
        <v>3.1042901988140859E-2</v>
      </c>
      <c r="T44" s="129">
        <f>IFERROR(IF(OR(NOT(ISNUMBER('Price History'!T45)),NOT(ISNUMBER('Price History'!T44)),'Price History'!T44=0),"",'Price History'!T45/'Price History'!T44-1),"")</f>
        <v>-1.966666666666661E-2</v>
      </c>
      <c r="U44" s="129">
        <f>IFERROR(IF(OR(NOT(ISNUMBER('Price History'!U45)),NOT(ISNUMBER('Price History'!U44)),'Price History'!U44=0),"",'Price History'!U45/'Price History'!U44-1),"")</f>
        <v>-9.2050209205020161E-3</v>
      </c>
      <c r="V44" s="130">
        <f>IFERROR(IF(OR(NOT(ISNUMBER('Price History'!V45)),NOT(ISNUMBER('Price History'!V44)),'Price History'!V44=0),"",'Price History'!V45/'Price History'!V44-1),"")</f>
        <v>3.0071691532648659E-2</v>
      </c>
      <c r="W44" s="131">
        <f>IFERROR('Price History'!B3+(INDEX('Price History'!B:B,MATCH(9.99E+307,'Returns (Calc)'!$A:$A)+1)-'Price History'!B3)*(ROW()-3)/(MATCH(9.99E+307,'Returns (Calc)'!$A:$A)-3),"")</f>
        <v>453.32544303797465</v>
      </c>
      <c r="X44" s="131">
        <f>IFERROR('Price History'!C3+(INDEX('Price History'!C:C,MATCH(9.99E+307,'Returns (Calc)'!$A:$A)+1)-'Price History'!C3)*(ROW()-3)/(MATCH(9.99E+307,'Returns (Calc)'!$A:$A)-3),"")</f>
        <v>88.002594936708846</v>
      </c>
      <c r="Y44" s="131">
        <f>IFERROR('Price History'!D3+(INDEX('Price History'!D:D,MATCH(9.99E+307,'Returns (Calc)'!$A:$A)+1)-'Price History'!D3)*(ROW()-3)/(MATCH(9.99E+307,'Returns (Calc)'!$A:$A)-3),"")</f>
        <v>915.53721518987345</v>
      </c>
      <c r="Z44" s="131">
        <f>IFERROR('Price History'!E3+(INDEX('Price History'!E:E,MATCH(9.99E+307,'Returns (Calc)'!$A:$A)+1)-'Price History'!E3)*(ROW()-3)/(MATCH(9.99E+307,'Returns (Calc)'!$A:$A)-3),"")</f>
        <v>152.87810126582278</v>
      </c>
      <c r="AA44" s="131">
        <f>IFERROR('Price History'!F3+(INDEX('Price History'!F:F,MATCH(9.99E+307,'Returns (Calc)'!$A:$A)+1)-'Price History'!F3)*(ROW()-3)/(MATCH(9.99E+307,'Returns (Calc)'!$A:$A)-3),"")</f>
        <v>100.70101265822785</v>
      </c>
      <c r="AB44" s="131">
        <f>IFERROR('Price History'!G3+(INDEX('Price History'!G:G,MATCH(9.99E+307,'Returns (Calc)'!$A:$A)+1)-'Price History'!G3)*(ROW()-3)/(MATCH(9.99E+307,'Returns (Calc)'!$A:$A)-3),"")</f>
        <v>86.528101265822784</v>
      </c>
      <c r="AC44" s="131">
        <f>IFERROR('Price History'!H3+(INDEX('Price History'!H:H,MATCH(9.99E+307,'Returns (Calc)'!$A:$A)+1)-'Price History'!H3)*(ROW()-3)/(MATCH(9.99E+307,'Returns (Calc)'!$A:$A)-3),"")</f>
        <v>330.10354430379749</v>
      </c>
      <c r="AD44" s="131">
        <f>IFERROR('Price History'!I3+(INDEX('Price History'!I:I,MATCH(9.99E+307,'Returns (Calc)'!$A:$A)+1)-'Price History'!I3)*(ROW()-3)/(MATCH(9.99E+307,'Returns (Calc)'!$A:$A)-3),"")</f>
        <v>93.120506329113923</v>
      </c>
      <c r="AE44" s="131">
        <f>IFERROR('Price History'!J3+(INDEX('Price History'!J:J,MATCH(9.99E+307,'Returns (Calc)'!$A:$A)+1)-'Price History'!J3)*(ROW()-3)/(MATCH(9.99E+307,'Returns (Calc)'!$A:$A)-3),"")</f>
        <v>116.26955696202532</v>
      </c>
      <c r="AF44" s="131">
        <f>IFERROR('Price History'!K3+(INDEX('Price History'!K:K,MATCH(9.99E+307,'Returns (Calc)'!$A:$A)+1)-'Price History'!K3)*(ROW()-3)/(MATCH(9.99E+307,'Returns (Calc)'!$A:$A)-3),"")</f>
        <v>60.331392405063283</v>
      </c>
      <c r="AG44" s="131">
        <f>IFERROR('Price History'!L3+(INDEX('Price History'!L:L,MATCH(9.99E+307,'Returns (Calc)'!$A:$A)+1)-'Price History'!L3)*(ROW()-3)/(MATCH(9.99E+307,'Returns (Calc)'!$A:$A)-3),"")</f>
        <v>186.18183544303798</v>
      </c>
      <c r="AH44" s="131">
        <f>IFERROR('Price History'!M3+(INDEX('Price History'!M:M,MATCH(9.99E+307,'Returns (Calc)'!$A:$A)+1)-'Price History'!M3)*(ROW()-3)/(MATCH(9.99E+307,'Returns (Calc)'!$A:$A)-3),"")</f>
        <v>93.593164556962023</v>
      </c>
      <c r="AI44" s="131">
        <f>IFERROR('Price History'!N3+(INDEX('Price History'!N:N,MATCH(9.99E+307,'Returns (Calc)'!$A:$A)+1)-'Price History'!N3)*(ROW()-3)/(MATCH(9.99E+307,'Returns (Calc)'!$A:$A)-3),"")</f>
        <v>389.33689873417723</v>
      </c>
      <c r="AJ44" s="131">
        <f>IFERROR('Price History'!O3+(INDEX('Price History'!O:O,MATCH(9.99E+307,'Returns (Calc)'!$A:$A)+1)-'Price History'!O3)*(ROW()-3)/(MATCH(9.99E+307,'Returns (Calc)'!$A:$A)-3),"")</f>
        <v>86.914556962025316</v>
      </c>
      <c r="AK44" s="131">
        <f>IFERROR('Price History'!Q3+(INDEX('Price History'!Q:Q,MATCH(9.99E+307,'Returns (Calc)'!$A:$A)+1)-'Price History'!Q3)*(ROW()-3)/(MATCH(9.99E+307,'Returns (Calc)'!$A:$A)-3),"")</f>
        <v>18.014050632911395</v>
      </c>
      <c r="AL44" s="131">
        <f>IFERROR('Price History'!R3+(INDEX('Price History'!R:R,MATCH(9.99E+307,'Returns (Calc)'!$A:$A)+1)-'Price History'!R3)*(ROW()-3)/(MATCH(9.99E+307,'Returns (Calc)'!$A:$A)-3),"")</f>
        <v>41.372151898734174</v>
      </c>
      <c r="AM44" s="131">
        <f>IFERROR('Price History'!S3+(INDEX('Price History'!S:S,MATCH(9.99E+307,'Returns (Calc)'!$A:$A)+1)-'Price History'!S3)*(ROW()-3)/(MATCH(9.99E+307,'Returns (Calc)'!$A:$A)-3),"")</f>
        <v>82.437594936708862</v>
      </c>
      <c r="AN44" s="131">
        <f>IFERROR('Price History'!T3+(INDEX('Price History'!T:T,MATCH(9.99E+307,'Returns (Calc)'!$A:$A)+1)-'Price History'!T3)*(ROW()-3)/(MATCH(9.99E+307,'Returns (Calc)'!$A:$A)-3),"")</f>
        <v>32.137341772151899</v>
      </c>
      <c r="AO44" s="132">
        <f>IFERROR('Price History'!V3+(INDEX('Price History'!V:V,MATCH(9.99E+307,'Returns (Calc)'!$A:$A)+1)-'Price History'!V3)*(ROW()-3)/(MATCH(9.99E+307,'Returns (Calc)'!$A:$A)-3),"")</f>
        <v>268.07449367088606</v>
      </c>
      <c r="AP44" s="130">
        <f>IFERROR(IF(OR(NOT(ISNUMBER('Price History'!W45)),NOT(ISNUMBER('Price History'!W44)),'Price History'!W44=0),"",'Price History'!W45/'Price History'!W44-1),"")</f>
        <v>-1.7865118356408249E-4</v>
      </c>
      <c r="AQ44" s="130" t="str">
        <f>IFERROR(IF(OR(NOT(ISNUMBER('Price History'!X45)),NOT(ISNUMBER('Price History'!X44)),'Price History'!X44=0),"",'Price History'!X45/'Price History'!X44-1),"")</f>
        <v/>
      </c>
      <c r="AR44" s="130">
        <f>IFERROR(IF(OR(NOT(ISNUMBER('Price History'!Y45)),NOT(ISNUMBER('Price History'!Y44)),'Price History'!Y44=0),"",'Price History'!Y45/'Price History'!Y44-1),"")</f>
        <v>4.2535091450446316E-4</v>
      </c>
      <c r="AS44" s="130">
        <f>IFERROR(IF(OR(NOT(ISNUMBER('Price History'!Z45)),NOT(ISNUMBER('Price History'!Z44)),'Price History'!Z44=0),"",'Price History'!Z45/'Price History'!Z44-1),"")</f>
        <v>9.6245777296195545E-3</v>
      </c>
      <c r="AT44" s="130">
        <f>IFERROR(IF(OR(NOT(ISNUMBER('Price History'!AA45)),NOT(ISNUMBER('Price History'!AA44)),'Price History'!AA44=0),"",'Price History'!AA45/'Price History'!AA44-1),"")</f>
        <v>2.3410875685286658E-2</v>
      </c>
    </row>
    <row r="45" spans="1:46" ht="15" customHeight="1" x14ac:dyDescent="0.2">
      <c r="A45" s="128">
        <f>IF('Price History'!A46="","",'Price History'!A46)</f>
        <v>45485</v>
      </c>
      <c r="B45" s="129">
        <f>IFERROR(IF(OR(NOT(ISNUMBER('Price History'!B46)),NOT(ISNUMBER('Price History'!B45)),'Price History'!B45=0),"",'Price History'!B46/'Price History'!B45-1),"")</f>
        <v>-3.3354082373690308E-2</v>
      </c>
      <c r="C45" s="129">
        <f>IFERROR(IF(OR(NOT(ISNUMBER('Price History'!C46)),NOT(ISNUMBER('Price History'!C45)),'Price History'!C45=0),"",'Price History'!C46/'Price History'!C45-1),"")</f>
        <v>-1.1688879178501255E-2</v>
      </c>
      <c r="D45" s="129">
        <f>IFERROR(IF(OR(NOT(ISNUMBER('Price History'!D46)),NOT(ISNUMBER('Price History'!D45)),'Price History'!D45=0),"",'Price History'!D46/'Price History'!D45-1),"")</f>
        <v>1.0039722793678596E-2</v>
      </c>
      <c r="E45" s="129">
        <f>IFERROR(IF(OR(NOT(ISNUMBER('Price History'!E46)),NOT(ISNUMBER('Price History'!E45)),'Price History'!E45=0),"",'Price History'!E46/'Price History'!E45-1),"")</f>
        <v>-1.5580057526365376E-3</v>
      </c>
      <c r="F45" s="129">
        <f>IFERROR(IF(OR(NOT(ISNUMBER('Price History'!F46)),NOT(ISNUMBER('Price History'!F45)),'Price History'!F45=0),"",'Price History'!F46/'Price History'!F45-1),"")</f>
        <v>-4.711558201601318E-2</v>
      </c>
      <c r="G45" s="129">
        <f>IFERROR(IF(OR(NOT(ISNUMBER('Price History'!G46)),NOT(ISNUMBER('Price History'!G45)),'Price History'!G45=0),"",'Price History'!G46/'Price History'!G45-1),"")</f>
        <v>2.8537455410226897E-3</v>
      </c>
      <c r="H45" s="129">
        <f>IFERROR(IF(OR(NOT(ISNUMBER('Price History'!H46)),NOT(ISNUMBER('Price History'!H45)),'Price History'!H45=0),"",'Price History'!H46/'Price History'!H45-1),"")</f>
        <v>1.5766110515842646E-2</v>
      </c>
      <c r="I45" s="129">
        <f>IFERROR(IF(OR(NOT(ISNUMBER('Price History'!I46)),NOT(ISNUMBER('Price History'!I45)),'Price History'!I45=0),"",'Price History'!I46/'Price History'!I45-1),"")</f>
        <v>2.7095951546063146E-2</v>
      </c>
      <c r="J45" s="129">
        <f>IFERROR(IF(OR(NOT(ISNUMBER('Price History'!J46)),NOT(ISNUMBER('Price History'!J45)),'Price History'!J45=0),"",'Price History'!J46/'Price History'!J45-1),"")</f>
        <v>4.9684765220664451E-2</v>
      </c>
      <c r="K45" s="129">
        <f>IFERROR(IF(OR(NOT(ISNUMBER('Price History'!K46)),NOT(ISNUMBER('Price History'!K45)),'Price History'!K45=0),"",'Price History'!K46/'Price History'!K45-1),"")</f>
        <v>3.084832904884327E-2</v>
      </c>
      <c r="L45" s="129">
        <f>IFERROR(IF(OR(NOT(ISNUMBER('Price History'!L46)),NOT(ISNUMBER('Price History'!L45)),'Price History'!L45=0),"",'Price History'!L46/'Price History'!L45-1),"")</f>
        <v>1.8222470653996625E-2</v>
      </c>
      <c r="M45" s="129">
        <f>IFERROR(IF(OR(NOT(ISNUMBER('Price History'!M46)),NOT(ISNUMBER('Price History'!M45)),'Price History'!M45=0),"",'Price History'!M46/'Price History'!M45-1),"")</f>
        <v>-2.2943297279580444E-2</v>
      </c>
      <c r="N45" s="129">
        <f>IFERROR(IF(OR(NOT(ISNUMBER('Price History'!N46)),NOT(ISNUMBER('Price History'!N45)),'Price History'!N45=0),"",'Price History'!N46/'Price History'!N45-1),"")</f>
        <v>2.9858608845902745E-2</v>
      </c>
      <c r="O45" s="129">
        <f>IFERROR(IF(OR(NOT(ISNUMBER('Price History'!O46)),NOT(ISNUMBER('Price History'!O45)),'Price History'!O45=0),"",'Price History'!O46/'Price History'!O45-1),"")</f>
        <v>5.5725011731581509E-2</v>
      </c>
      <c r="P45" s="129">
        <f>IFERROR(IF(OR(NOT(ISNUMBER('Price History'!P46)),NOT(ISNUMBER('Price History'!P45)),'Price History'!P45=0),"",'Price History'!P46/'Price History'!P45-1),"")</f>
        <v>4.2077640032576191E-2</v>
      </c>
      <c r="Q45" s="129">
        <f>IFERROR(IF(OR(NOT(ISNUMBER('Price History'!Q46)),NOT(ISNUMBER('Price History'!Q45)),'Price History'!Q45=0),"",'Price History'!Q46/'Price History'!Q45-1),"")</f>
        <v>3.4411562284928365E-3</v>
      </c>
      <c r="R45" s="129">
        <f>IFERROR(IF(OR(NOT(ISNUMBER('Price History'!R46)),NOT(ISNUMBER('Price History'!R45)),'Price History'!R45=0),"",'Price History'!R46/'Price History'!R45-1),"")</f>
        <v>-6.9268067420924506E-4</v>
      </c>
      <c r="S45" s="129">
        <f>IFERROR(IF(OR(NOT(ISNUMBER('Price History'!S46)),NOT(ISNUMBER('Price History'!S45)),'Price History'!S45=0),"",'Price History'!S46/'Price History'!S45-1),"")</f>
        <v>-2.0297699594046259E-3</v>
      </c>
      <c r="T45" s="129">
        <f>IFERROR(IF(OR(NOT(ISNUMBER('Price History'!T46)),NOT(ISNUMBER('Price History'!T45)),'Price History'!T45=0),"",'Price History'!T46/'Price History'!T45-1),"")</f>
        <v>3.8422305338320362E-2</v>
      </c>
      <c r="U45" s="129">
        <f>IFERROR(IF(OR(NOT(ISNUMBER('Price History'!U46)),NOT(ISNUMBER('Price History'!U45)),'Price History'!U45=0),"",'Price History'!U46/'Price History'!U45-1),"")</f>
        <v>3.3783783783783772E-2</v>
      </c>
      <c r="V45" s="130">
        <f>IFERROR(IF(OR(NOT(ISNUMBER('Price History'!V46)),NOT(ISNUMBER('Price History'!V45)),'Price History'!V45=0),"",'Price History'!V46/'Price History'!V45-1),"")</f>
        <v>-1.707986907941772E-2</v>
      </c>
      <c r="W45" s="131">
        <f>IFERROR('Price History'!B3+(INDEX('Price History'!B:B,MATCH(9.99E+307,'Returns (Calc)'!$A:$A)+1)-'Price History'!B3)*(ROW()-3)/(MATCH(9.99E+307,'Returns (Calc)'!$A:$A)-3),"")</f>
        <v>451.48240506329114</v>
      </c>
      <c r="X45" s="131">
        <f>IFERROR('Price History'!C3+(INDEX('Price History'!C:C,MATCH(9.99E+307,'Returns (Calc)'!$A:$A)+1)-'Price History'!C3)*(ROW()-3)/(MATCH(9.99E+307,'Returns (Calc)'!$A:$A)-3),"")</f>
        <v>89.022658227848098</v>
      </c>
      <c r="Y45" s="131">
        <f>IFERROR('Price History'!D3+(INDEX('Price History'!D:D,MATCH(9.99E+307,'Returns (Calc)'!$A:$A)+1)-'Price History'!D3)*(ROW()-3)/(MATCH(9.99E+307,'Returns (Calc)'!$A:$A)-3),"")</f>
        <v>923.67202531645569</v>
      </c>
      <c r="Z45" s="131">
        <f>IFERROR('Price History'!E3+(INDEX('Price History'!E:E,MATCH(9.99E+307,'Returns (Calc)'!$A:$A)+1)-'Price History'!E3)*(ROW()-3)/(MATCH(9.99E+307,'Returns (Calc)'!$A:$A)-3),"")</f>
        <v>154.60683544303797</v>
      </c>
      <c r="AA45" s="131">
        <f>IFERROR('Price History'!F3+(INDEX('Price History'!F:F,MATCH(9.99E+307,'Returns (Calc)'!$A:$A)+1)-'Price History'!F3)*(ROW()-3)/(MATCH(9.99E+307,'Returns (Calc)'!$A:$A)-3),"")</f>
        <v>102.14835443037974</v>
      </c>
      <c r="AB45" s="131">
        <f>IFERROR('Price History'!G3+(INDEX('Price History'!G:G,MATCH(9.99E+307,'Returns (Calc)'!$A:$A)+1)-'Price History'!G3)*(ROW()-3)/(MATCH(9.99E+307,'Returns (Calc)'!$A:$A)-3),"")</f>
        <v>87.556835443037983</v>
      </c>
      <c r="AC45" s="131">
        <f>IFERROR('Price History'!H3+(INDEX('Price History'!H:H,MATCH(9.99E+307,'Returns (Calc)'!$A:$A)+1)-'Price History'!H3)*(ROW()-3)/(MATCH(9.99E+307,'Returns (Calc)'!$A:$A)-3),"")</f>
        <v>336.46924050632913</v>
      </c>
      <c r="AD45" s="131">
        <f>IFERROR('Price History'!I3+(INDEX('Price History'!I:I,MATCH(9.99E+307,'Returns (Calc)'!$A:$A)+1)-'Price History'!I3)*(ROW()-3)/(MATCH(9.99E+307,'Returns (Calc)'!$A:$A)-3),"")</f>
        <v>94.324177215189877</v>
      </c>
      <c r="AE45" s="131">
        <f>IFERROR('Price History'!J3+(INDEX('Price History'!J:J,MATCH(9.99E+307,'Returns (Calc)'!$A:$A)+1)-'Price History'!J3)*(ROW()-3)/(MATCH(9.99E+307,'Returns (Calc)'!$A:$A)-3),"")</f>
        <v>116.37759493670886</v>
      </c>
      <c r="AF45" s="131">
        <f>IFERROR('Price History'!K3+(INDEX('Price History'!K:K,MATCH(9.99E+307,'Returns (Calc)'!$A:$A)+1)-'Price History'!K3)*(ROW()-3)/(MATCH(9.99E+307,'Returns (Calc)'!$A:$A)-3),"")</f>
        <v>61.428987341772149</v>
      </c>
      <c r="AG45" s="131">
        <f>IFERROR('Price History'!L3+(INDEX('Price History'!L:L,MATCH(9.99E+307,'Returns (Calc)'!$A:$A)+1)-'Price History'!L3)*(ROW()-3)/(MATCH(9.99E+307,'Returns (Calc)'!$A:$A)-3),"")</f>
        <v>188.63139240506328</v>
      </c>
      <c r="AH45" s="131">
        <f>IFERROR('Price History'!M3+(INDEX('Price History'!M:M,MATCH(9.99E+307,'Returns (Calc)'!$A:$A)+1)-'Price History'!M3)*(ROW()-3)/(MATCH(9.99E+307,'Returns (Calc)'!$A:$A)-3),"")</f>
        <v>94.948607594936703</v>
      </c>
      <c r="AI45" s="131">
        <f>IFERROR('Price History'!N3+(INDEX('Price History'!N:N,MATCH(9.99E+307,'Returns (Calc)'!$A:$A)+1)-'Price History'!N3)*(ROW()-3)/(MATCH(9.99E+307,'Returns (Calc)'!$A:$A)-3),"")</f>
        <v>390.32316455696201</v>
      </c>
      <c r="AJ45" s="131">
        <f>IFERROR('Price History'!O3+(INDEX('Price History'!O:O,MATCH(9.99E+307,'Returns (Calc)'!$A:$A)+1)-'Price History'!O3)*(ROW()-3)/(MATCH(9.99E+307,'Returns (Calc)'!$A:$A)-3),"")</f>
        <v>87.197594936708867</v>
      </c>
      <c r="AK45" s="131">
        <f>IFERROR('Price History'!Q3+(INDEX('Price History'!Q:Q,MATCH(9.99E+307,'Returns (Calc)'!$A:$A)+1)-'Price History'!Q3)*(ROW()-3)/(MATCH(9.99E+307,'Returns (Calc)'!$A:$A)-3),"")</f>
        <v>18.453417721518985</v>
      </c>
      <c r="AL45" s="131">
        <f>IFERROR('Price History'!R3+(INDEX('Price History'!R:R,MATCH(9.99E+307,'Returns (Calc)'!$A:$A)+1)-'Price History'!R3)*(ROW()-3)/(MATCH(9.99E+307,'Returns (Calc)'!$A:$A)-3),"")</f>
        <v>41.540253164556958</v>
      </c>
      <c r="AM45" s="131">
        <f>IFERROR('Price History'!S3+(INDEX('Price History'!S:S,MATCH(9.99E+307,'Returns (Calc)'!$A:$A)+1)-'Price History'!S3)*(ROW()-3)/(MATCH(9.99E+307,'Returns (Calc)'!$A:$A)-3),"")</f>
        <v>83.042658227848108</v>
      </c>
      <c r="AN45" s="131">
        <f>IFERROR('Price History'!T3+(INDEX('Price History'!T:T,MATCH(9.99E+307,'Returns (Calc)'!$A:$A)+1)-'Price History'!T3)*(ROW()-3)/(MATCH(9.99E+307,'Returns (Calc)'!$A:$A)-3),"")</f>
        <v>32.305569620253166</v>
      </c>
      <c r="AO45" s="132">
        <f>IFERROR('Price History'!V3+(INDEX('Price History'!V:V,MATCH(9.99E+307,'Returns (Calc)'!$A:$A)+1)-'Price History'!V3)*(ROW()-3)/(MATCH(9.99E+307,'Returns (Calc)'!$A:$A)-3),"")</f>
        <v>268.86582278481012</v>
      </c>
      <c r="AP45" s="130">
        <f>IFERROR(IF(OR(NOT(ISNUMBER('Price History'!W46)),NOT(ISNUMBER('Price History'!W45)),'Price History'!W45=0),"",'Price History'!W46/'Price History'!W45-1),"")</f>
        <v>2.447958545519513E-2</v>
      </c>
      <c r="AQ45" s="130" t="str">
        <f>IFERROR(IF(OR(NOT(ISNUMBER('Price History'!X46)),NOT(ISNUMBER('Price History'!X45)),'Price History'!X45=0),"",'Price History'!X46/'Price History'!X45-1),"")</f>
        <v/>
      </c>
      <c r="AR45" s="130">
        <f>IFERROR(IF(OR(NOT(ISNUMBER('Price History'!Y46)),NOT(ISNUMBER('Price History'!Y45)),'Price History'!Y45=0),"",'Price History'!Y46/'Price History'!Y45-1),"")</f>
        <v>9.3537414965985111E-3</v>
      </c>
      <c r="AS45" s="130">
        <f>IFERROR(IF(OR(NOT(ISNUMBER('Price History'!Z46)),NOT(ISNUMBER('Price History'!Z45)),'Price History'!Z45=0),"",'Price History'!Z46/'Price History'!Z45-1),"")</f>
        <v>-7.6388888888889728E-3</v>
      </c>
      <c r="AT45" s="130">
        <f>IFERROR(IF(OR(NOT(ISNUMBER('Price History'!AA46)),NOT(ISNUMBER('Price History'!AA45)),'Price History'!AA45=0),"",'Price History'!AA46/'Price History'!AA45-1),"")</f>
        <v>-6.2400463298103226E-2</v>
      </c>
    </row>
    <row r="46" spans="1:46" ht="15" customHeight="1" x14ac:dyDescent="0.2">
      <c r="A46" s="128">
        <f>IF('Price History'!A47="","",'Price History'!A47)</f>
        <v>45492</v>
      </c>
      <c r="B46" s="129">
        <f>IFERROR(IF(OR(NOT(ISNUMBER('Price History'!B47)),NOT(ISNUMBER('Price History'!B46)),'Price History'!B46=0),"",'Price History'!B47/'Price History'!B46-1),"")</f>
        <v>-1.4399427600393477E-2</v>
      </c>
      <c r="C46" s="129">
        <f>IFERROR(IF(OR(NOT(ISNUMBER('Price History'!C47)),NOT(ISNUMBER('Price History'!C46)),'Price History'!C46=0),"",'Price History'!C47/'Price History'!C46-1),"")</f>
        <v>-8.6548026970266423E-2</v>
      </c>
      <c r="D46" s="129">
        <f>IFERROR(IF(OR(NOT(ISNUMBER('Price History'!D47)),NOT(ISNUMBER('Price History'!D46)),'Price History'!D46=0),"",'Price History'!D47/'Price History'!D46-1),"")</f>
        <v>-0.17497653463487894</v>
      </c>
      <c r="E46" s="129">
        <f>IFERROR(IF(OR(NOT(ISNUMBER('Price History'!E47)),NOT(ISNUMBER('Price History'!E46)),'Price History'!E46=0),"",'Price History'!E47/'Price History'!E46-1),"")</f>
        <v>-7.4780938662825647E-2</v>
      </c>
      <c r="F46" s="129">
        <f>IFERROR(IF(OR(NOT(ISNUMBER('Price History'!F47)),NOT(ISNUMBER('Price History'!F46)),'Price History'!F46=0),"",'Price History'!F47/'Price History'!F46-1),"")</f>
        <v>-0.17871377787353226</v>
      </c>
      <c r="G46" s="129">
        <f>IFERROR(IF(OR(NOT(ISNUMBER('Price History'!G47)),NOT(ISNUMBER('Price History'!G46)),'Price History'!G46=0),"",'Price History'!G47/'Price History'!G46-1),"")</f>
        <v>-0.11097936921982454</v>
      </c>
      <c r="H46" s="129">
        <f>IFERROR(IF(OR(NOT(ISNUMBER('Price History'!H47)),NOT(ISNUMBER('Price History'!H46)),'Price History'!H46=0),"",'Price History'!H47/'Price History'!H46-1),"")</f>
        <v>-0.14443942133815557</v>
      </c>
      <c r="I46" s="129">
        <f>IFERROR(IF(OR(NOT(ISNUMBER('Price History'!I47)),NOT(ISNUMBER('Price History'!I46)),'Price History'!I46=0),"",'Price History'!I47/'Price History'!I46-1),"")</f>
        <v>-8.7523277467411509E-2</v>
      </c>
      <c r="J46" s="129">
        <f>IFERROR(IF(OR(NOT(ISNUMBER('Price History'!J47)),NOT(ISNUMBER('Price History'!J46)),'Price History'!J46=0),"",'Price History'!J47/'Price History'!J46-1),"")</f>
        <v>3.0031376064545201E-2</v>
      </c>
      <c r="K46" s="129">
        <f>IFERROR(IF(OR(NOT(ISNUMBER('Price History'!K47)),NOT(ISNUMBER('Price History'!K46)),'Price History'!K46=0),"",'Price History'!K47/'Price History'!K46-1),"")</f>
        <v>1.8168863555397152E-2</v>
      </c>
      <c r="L46" s="129">
        <f>IFERROR(IF(OR(NOT(ISNUMBER('Price History'!L47)),NOT(ISNUMBER('Price History'!L46)),'Price History'!L46=0),"",'Price History'!L47/'Price History'!L46-1),"")</f>
        <v>-0.11517347386912602</v>
      </c>
      <c r="M46" s="129">
        <f>IFERROR(IF(OR(NOT(ISNUMBER('Price History'!M47)),NOT(ISNUMBER('Price History'!M46)),'Price History'!M46=0),"",'Price History'!M47/'Price History'!M46-1),"")</f>
        <v>-4.8641395504864238E-2</v>
      </c>
      <c r="N46" s="129">
        <f>IFERROR(IF(OR(NOT(ISNUMBER('Price History'!N47)),NOT(ISNUMBER('Price History'!N46)),'Price History'!N46=0),"",'Price History'!N47/'Price History'!N46-1),"")</f>
        <v>5.7903998035764292E-3</v>
      </c>
      <c r="O46" s="129">
        <f>IFERROR(IF(OR(NOT(ISNUMBER('Price History'!O47)),NOT(ISNUMBER('Price History'!O46)),'Price History'!O46=0),"",'Price History'!O47/'Price History'!O46-1),"")</f>
        <v>2.6447383042560446E-2</v>
      </c>
      <c r="P46" s="129">
        <f>IFERROR(IF(OR(NOT(ISNUMBER('Price History'!P47)),NOT(ISNUMBER('Price History'!P46)),'Price History'!P46=0),"",'Price History'!P47/'Price History'!P46-1),"")</f>
        <v>1.415422021535262E-2</v>
      </c>
      <c r="Q46" s="129">
        <f>IFERROR(IF(OR(NOT(ISNUMBER('Price History'!Q47)),NOT(ISNUMBER('Price History'!Q46)),'Price History'!Q46=0),"",'Price History'!Q47/'Price History'!Q46-1),"")</f>
        <v>-6.6872427983538651E-3</v>
      </c>
      <c r="R46" s="129">
        <f>IFERROR(IF(OR(NOT(ISNUMBER('Price History'!R47)),NOT(ISNUMBER('Price History'!R46)),'Price History'!R46=0),"",'Price History'!R47/'Price History'!R46-1),"")</f>
        <v>-2.957486136783738E-2</v>
      </c>
      <c r="S46" s="129">
        <f>IFERROR(IF(OR(NOT(ISNUMBER('Price History'!S47)),NOT(ISNUMBER('Price History'!S46)),'Price History'!S46=0),"",'Price History'!S47/'Price History'!S46-1),"")</f>
        <v>-4.0451977401129935E-2</v>
      </c>
      <c r="T46" s="129">
        <f>IFERROR(IF(OR(NOT(ISNUMBER('Price History'!T47)),NOT(ISNUMBER('Price History'!T46)),'Price History'!T46=0),"",'Price History'!T47/'Price History'!T46-1),"")</f>
        <v>1.5062213490504295E-2</v>
      </c>
      <c r="U46" s="129">
        <f>IFERROR(IF(OR(NOT(ISNUMBER('Price History'!U47)),NOT(ISNUMBER('Price History'!U46)),'Price History'!U46=0),"",'Price History'!U47/'Price History'!U46-1),"")</f>
        <v>1.8382352941176405E-2</v>
      </c>
      <c r="V46" s="130">
        <f>IFERROR(IF(OR(NOT(ISNUMBER('Price History'!V47)),NOT(ISNUMBER('Price History'!V46)),'Price History'!V46=0),"",'Price History'!V47/'Price History'!V46-1),"")</f>
        <v>-1.0716882918052617E-3</v>
      </c>
      <c r="W46" s="131">
        <f>IFERROR('Price History'!B3+(INDEX('Price History'!B:B,MATCH(9.99E+307,'Returns (Calc)'!$A:$A)+1)-'Price History'!B3)*(ROW()-3)/(MATCH(9.99E+307,'Returns (Calc)'!$A:$A)-3),"")</f>
        <v>449.63936708860757</v>
      </c>
      <c r="X46" s="131">
        <f>IFERROR('Price History'!C3+(INDEX('Price History'!C:C,MATCH(9.99E+307,'Returns (Calc)'!$A:$A)+1)-'Price History'!C3)*(ROW()-3)/(MATCH(9.99E+307,'Returns (Calc)'!$A:$A)-3),"")</f>
        <v>90.042721518987335</v>
      </c>
      <c r="Y46" s="131">
        <f>IFERROR('Price History'!D3+(INDEX('Price History'!D:D,MATCH(9.99E+307,'Returns (Calc)'!$A:$A)+1)-'Price History'!D3)*(ROW()-3)/(MATCH(9.99E+307,'Returns (Calc)'!$A:$A)-3),"")</f>
        <v>931.80683544303793</v>
      </c>
      <c r="Z46" s="131">
        <f>IFERROR('Price History'!E3+(INDEX('Price History'!E:E,MATCH(9.99E+307,'Returns (Calc)'!$A:$A)+1)-'Price History'!E3)*(ROW()-3)/(MATCH(9.99E+307,'Returns (Calc)'!$A:$A)-3),"")</f>
        <v>156.33556962025315</v>
      </c>
      <c r="AA46" s="131">
        <f>IFERROR('Price History'!F3+(INDEX('Price History'!F:F,MATCH(9.99E+307,'Returns (Calc)'!$A:$A)+1)-'Price History'!F3)*(ROW()-3)/(MATCH(9.99E+307,'Returns (Calc)'!$A:$A)-3),"")</f>
        <v>103.59569620253164</v>
      </c>
      <c r="AB46" s="131">
        <f>IFERROR('Price History'!G3+(INDEX('Price History'!G:G,MATCH(9.99E+307,'Returns (Calc)'!$A:$A)+1)-'Price History'!G3)*(ROW()-3)/(MATCH(9.99E+307,'Returns (Calc)'!$A:$A)-3),"")</f>
        <v>88.585569620253153</v>
      </c>
      <c r="AC46" s="131">
        <f>IFERROR('Price History'!H3+(INDEX('Price History'!H:H,MATCH(9.99E+307,'Returns (Calc)'!$A:$A)+1)-'Price History'!H3)*(ROW()-3)/(MATCH(9.99E+307,'Returns (Calc)'!$A:$A)-3),"")</f>
        <v>342.83493670886077</v>
      </c>
      <c r="AD46" s="131">
        <f>IFERROR('Price History'!I3+(INDEX('Price History'!I:I,MATCH(9.99E+307,'Returns (Calc)'!$A:$A)+1)-'Price History'!I3)*(ROW()-3)/(MATCH(9.99E+307,'Returns (Calc)'!$A:$A)-3),"")</f>
        <v>95.527848101265818</v>
      </c>
      <c r="AE46" s="131">
        <f>IFERROR('Price History'!J3+(INDEX('Price History'!J:J,MATCH(9.99E+307,'Returns (Calc)'!$A:$A)+1)-'Price History'!J3)*(ROW()-3)/(MATCH(9.99E+307,'Returns (Calc)'!$A:$A)-3),"")</f>
        <v>116.4856329113924</v>
      </c>
      <c r="AF46" s="131">
        <f>IFERROR('Price History'!K3+(INDEX('Price History'!K:K,MATCH(9.99E+307,'Returns (Calc)'!$A:$A)+1)-'Price History'!K3)*(ROW()-3)/(MATCH(9.99E+307,'Returns (Calc)'!$A:$A)-3),"")</f>
        <v>62.526582278481008</v>
      </c>
      <c r="AG46" s="131">
        <f>IFERROR('Price History'!L3+(INDEX('Price History'!L:L,MATCH(9.99E+307,'Returns (Calc)'!$A:$A)+1)-'Price History'!L3)*(ROW()-3)/(MATCH(9.99E+307,'Returns (Calc)'!$A:$A)-3),"")</f>
        <v>191.08094936708858</v>
      </c>
      <c r="AH46" s="131">
        <f>IFERROR('Price History'!M3+(INDEX('Price History'!M:M,MATCH(9.99E+307,'Returns (Calc)'!$A:$A)+1)-'Price History'!M3)*(ROW()-3)/(MATCH(9.99E+307,'Returns (Calc)'!$A:$A)-3),"")</f>
        <v>96.304050632911384</v>
      </c>
      <c r="AI46" s="131">
        <f>IFERROR('Price History'!N3+(INDEX('Price History'!N:N,MATCH(9.99E+307,'Returns (Calc)'!$A:$A)+1)-'Price History'!N3)*(ROW()-3)/(MATCH(9.99E+307,'Returns (Calc)'!$A:$A)-3),"")</f>
        <v>391.3094303797468</v>
      </c>
      <c r="AJ46" s="131">
        <f>IFERROR('Price History'!O3+(INDEX('Price History'!O:O,MATCH(9.99E+307,'Returns (Calc)'!$A:$A)+1)-'Price History'!O3)*(ROW()-3)/(MATCH(9.99E+307,'Returns (Calc)'!$A:$A)-3),"")</f>
        <v>87.480632911392405</v>
      </c>
      <c r="AK46" s="131">
        <f>IFERROR('Price History'!Q3+(INDEX('Price History'!Q:Q,MATCH(9.99E+307,'Returns (Calc)'!$A:$A)+1)-'Price History'!Q3)*(ROW()-3)/(MATCH(9.99E+307,'Returns (Calc)'!$A:$A)-3),"")</f>
        <v>18.892784810126582</v>
      </c>
      <c r="AL46" s="131">
        <f>IFERROR('Price History'!R3+(INDEX('Price History'!R:R,MATCH(9.99E+307,'Returns (Calc)'!$A:$A)+1)-'Price History'!R3)*(ROW()-3)/(MATCH(9.99E+307,'Returns (Calc)'!$A:$A)-3),"")</f>
        <v>41.708354430379742</v>
      </c>
      <c r="AM46" s="131">
        <f>IFERROR('Price History'!S3+(INDEX('Price History'!S:S,MATCH(9.99E+307,'Returns (Calc)'!$A:$A)+1)-'Price History'!S3)*(ROW()-3)/(MATCH(9.99E+307,'Returns (Calc)'!$A:$A)-3),"")</f>
        <v>83.647721518987339</v>
      </c>
      <c r="AN46" s="131">
        <f>IFERROR('Price History'!T3+(INDEX('Price History'!T:T,MATCH(9.99E+307,'Returns (Calc)'!$A:$A)+1)-'Price History'!T3)*(ROW()-3)/(MATCH(9.99E+307,'Returns (Calc)'!$A:$A)-3),"")</f>
        <v>32.473797468354427</v>
      </c>
      <c r="AO46" s="132">
        <f>IFERROR('Price History'!V3+(INDEX('Price History'!V:V,MATCH(9.99E+307,'Returns (Calc)'!$A:$A)+1)-'Price History'!V3)*(ROW()-3)/(MATCH(9.99E+307,'Returns (Calc)'!$A:$A)-3),"")</f>
        <v>269.65715189873418</v>
      </c>
      <c r="AP46" s="130">
        <f>IFERROR(IF(OR(NOT(ISNUMBER('Price History'!W47)),NOT(ISNUMBER('Price History'!W46)),'Price History'!W46=0),"",'Price History'!W47/'Price History'!W46-1),"")</f>
        <v>7.8486090520624163E-3</v>
      </c>
      <c r="AQ46" s="130" t="str">
        <f>IFERROR(IF(OR(NOT(ISNUMBER('Price History'!X47)),NOT(ISNUMBER('Price History'!X46)),'Price History'!X46=0),"",'Price History'!X47/'Price History'!X46-1),"")</f>
        <v/>
      </c>
      <c r="AR46" s="130">
        <f>IFERROR(IF(OR(NOT(ISNUMBER('Price History'!Y47)),NOT(ISNUMBER('Price History'!Y46)),'Price History'!Y46=0),"",'Price History'!Y47/'Price History'!Y46-1),"")</f>
        <v>-2.3167649536647295E-3</v>
      </c>
      <c r="AS46" s="130">
        <f>IFERROR(IF(OR(NOT(ISNUMBER('Price History'!Z47)),NOT(ISNUMBER('Price History'!Z46)),'Price History'!Z46=0),"",'Price History'!Z47/'Price History'!Z46-1),"")</f>
        <v>7.6340734143398592E-4</v>
      </c>
      <c r="AT46" s="130">
        <f>IFERROR(IF(OR(NOT(ISNUMBER('Price History'!AA47)),NOT(ISNUMBER('Price History'!AA46)),'Price History'!AA46=0),"",'Price History'!AA47/'Price History'!AA46-1),"")</f>
        <v>-2.2081531809759247E-2</v>
      </c>
    </row>
    <row r="47" spans="1:46" ht="15" customHeight="1" x14ac:dyDescent="0.2">
      <c r="A47" s="128">
        <f>IF('Price History'!A48="","",'Price History'!A48)</f>
        <v>45499</v>
      </c>
      <c r="B47" s="129">
        <f>IFERROR(IF(OR(NOT(ISNUMBER('Price History'!B48)),NOT(ISNUMBER('Price History'!B47)),'Price History'!B47=0),"",'Price History'!B48/'Price History'!B47-1),"")</f>
        <v>-1.55353901996369E-2</v>
      </c>
      <c r="C47" s="129">
        <f>IFERROR(IF(OR(NOT(ISNUMBER('Price History'!C48)),NOT(ISNUMBER('Price History'!C47)),'Price History'!C47=0),"",'Price History'!C48/'Price History'!C47-1),"")</f>
        <v>-3.436592449177156E-2</v>
      </c>
      <c r="D47" s="129">
        <f>IFERROR(IF(OR(NOT(ISNUMBER('Price History'!D48)),NOT(ISNUMBER('Price History'!D47)),'Price History'!D47=0),"",'Price History'!D48/'Price History'!D47-1),"")</f>
        <v>-7.7931238480967169E-3</v>
      </c>
      <c r="E47" s="129">
        <f>IFERROR(IF(OR(NOT(ISNUMBER('Price History'!E48)),NOT(ISNUMBER('Price History'!E47)),'Price History'!E47=0),"",'Price History'!E48/'Price History'!E47-1),"")</f>
        <v>-3.6325895173845324E-2</v>
      </c>
      <c r="F47" s="129">
        <f>IFERROR(IF(OR(NOT(ISNUMBER('Price History'!F48)),NOT(ISNUMBER('Price History'!F47)),'Price History'!F47=0),"",'Price History'!F48/'Price History'!F47-1),"")</f>
        <v>-0.16002098635886663</v>
      </c>
      <c r="G47" s="129">
        <f>IFERROR(IF(OR(NOT(ISNUMBER('Price History'!G48)),NOT(ISNUMBER('Price History'!G47)),'Price History'!G47=0),"",'Price History'!G48/'Price History'!G47-1),"")</f>
        <v>3.2675380101360396E-2</v>
      </c>
      <c r="H47" s="129">
        <f>IFERROR(IF(OR(NOT(ISNUMBER('Price History'!H48)),NOT(ISNUMBER('Price History'!H47)),'Price History'!H47=0),"",'Price History'!H48/'Price History'!H47-1),"")</f>
        <v>-4.2448260678115357E-2</v>
      </c>
      <c r="I47" s="129">
        <f>IFERROR(IF(OR(NOT(ISNUMBER('Price History'!I48)),NOT(ISNUMBER('Price History'!I47)),'Price History'!I47=0),"",'Price History'!I48/'Price History'!I47-1),"")</f>
        <v>-4.1241496598639404E-2</v>
      </c>
      <c r="J47" s="129">
        <f>IFERROR(IF(OR(NOT(ISNUMBER('Price History'!J48)),NOT(ISNUMBER('Price History'!J47)),'Price History'!J47=0),"",'Price History'!J48/'Price History'!J47-1),"")</f>
        <v>-8.7032201914708507E-3</v>
      </c>
      <c r="K47" s="129">
        <f>IFERROR(IF(OR(NOT(ISNUMBER('Price History'!K48)),NOT(ISNUMBER('Price History'!K47)),'Price History'!K47=0),"",'Price History'!K48/'Price History'!K47-1),"")</f>
        <v>-4.8985304408677321E-2</v>
      </c>
      <c r="L47" s="129">
        <f>IFERROR(IF(OR(NOT(ISNUMBER('Price History'!L48)),NOT(ISNUMBER('Price History'!L47)),'Price History'!L47=0),"",'Price History'!L48/'Price History'!L47-1),"")</f>
        <v>-2.3079786574016659E-2</v>
      </c>
      <c r="M47" s="129">
        <f>IFERROR(IF(OR(NOT(ISNUMBER('Price History'!M48)),NOT(ISNUMBER('Price History'!M47)),'Price History'!M47=0),"",'Price History'!M48/'Price History'!M47-1),"")</f>
        <v>-9.6027268453220516E-2</v>
      </c>
      <c r="N47" s="129">
        <f>IFERROR(IF(OR(NOT(ISNUMBER('Price History'!N48)),NOT(ISNUMBER('Price History'!N47)),'Price History'!N47=0),"",'Price History'!N48/'Price History'!N47-1),"")</f>
        <v>7.5065606119169015E-3</v>
      </c>
      <c r="O47" s="129">
        <f>IFERROR(IF(OR(NOT(ISNUMBER('Price History'!O48)),NOT(ISNUMBER('Price History'!O47)),'Price History'!O47=0),"",'Price History'!O48/'Price History'!O47-1),"")</f>
        <v>3.6267186315903421E-2</v>
      </c>
      <c r="P47" s="129">
        <f>IFERROR(IF(OR(NOT(ISNUMBER('Price History'!P48)),NOT(ISNUMBER('Price History'!P47)),'Price History'!P47=0),"",'Price History'!P48/'Price History'!P47-1),"")</f>
        <v>2.1149070982104723E-2</v>
      </c>
      <c r="Q47" s="129">
        <f>IFERROR(IF(OR(NOT(ISNUMBER('Price History'!Q48)),NOT(ISNUMBER('Price History'!Q47)),'Price History'!Q47=0),"",'Price History'!Q48/'Price History'!Q47-1),"")</f>
        <v>-4.1429311237700661E-3</v>
      </c>
      <c r="R47" s="129">
        <f>IFERROR(IF(OR(NOT(ISNUMBER('Price History'!R48)),NOT(ISNUMBER('Price History'!R47)),'Price History'!R47=0),"",'Price History'!R48/'Price History'!R47-1),"")</f>
        <v>-2.261904761904765E-2</v>
      </c>
      <c r="S47" s="129">
        <f>IFERROR(IF(OR(NOT(ISNUMBER('Price History'!S48)),NOT(ISNUMBER('Price History'!S47)),'Price History'!S47=0),"",'Price History'!S48/'Price History'!S47-1),"")</f>
        <v>-1.8841262364578504E-2</v>
      </c>
      <c r="T47" s="129">
        <f>IFERROR(IF(OR(NOT(ISNUMBER('Price History'!T48)),NOT(ISNUMBER('Price History'!T47)),'Price History'!T47=0),"",'Price History'!T48/'Price History'!T47-1),"")</f>
        <v>1.806451612903226E-2</v>
      </c>
      <c r="U47" s="129">
        <f>IFERROR(IF(OR(NOT(ISNUMBER('Price History'!U48)),NOT(ISNUMBER('Price History'!U47)),'Price History'!U47=0),"",'Price History'!U48/'Price History'!U47-1),"")</f>
        <v>1.6847172081829287E-2</v>
      </c>
      <c r="V47" s="130">
        <f>IFERROR(IF(OR(NOT(ISNUMBER('Price History'!V48)),NOT(ISNUMBER('Price History'!V47)),'Price History'!V47=0),"",'Price History'!V48/'Price History'!V47-1),"")</f>
        <v>-2.2606230123759508E-2</v>
      </c>
      <c r="W47" s="131">
        <f>IFERROR('Price History'!B3+(INDEX('Price History'!B:B,MATCH(9.99E+307,'Returns (Calc)'!$A:$A)+1)-'Price History'!B3)*(ROW()-3)/(MATCH(9.99E+307,'Returns (Calc)'!$A:$A)-3),"")</f>
        <v>447.79632911392406</v>
      </c>
      <c r="X47" s="131">
        <f>IFERROR('Price History'!C3+(INDEX('Price History'!C:C,MATCH(9.99E+307,'Returns (Calc)'!$A:$A)+1)-'Price History'!C3)*(ROW()-3)/(MATCH(9.99E+307,'Returns (Calc)'!$A:$A)-3),"")</f>
        <v>91.062784810126573</v>
      </c>
      <c r="Y47" s="131">
        <f>IFERROR('Price History'!D3+(INDEX('Price History'!D:D,MATCH(9.99E+307,'Returns (Calc)'!$A:$A)+1)-'Price History'!D3)*(ROW()-3)/(MATCH(9.99E+307,'Returns (Calc)'!$A:$A)-3),"")</f>
        <v>939.94164556962028</v>
      </c>
      <c r="Z47" s="131">
        <f>IFERROR('Price History'!E3+(INDEX('Price History'!E:E,MATCH(9.99E+307,'Returns (Calc)'!$A:$A)+1)-'Price History'!E3)*(ROW()-3)/(MATCH(9.99E+307,'Returns (Calc)'!$A:$A)-3),"")</f>
        <v>158.06430379746837</v>
      </c>
      <c r="AA47" s="131">
        <f>IFERROR('Price History'!F3+(INDEX('Price History'!F:F,MATCH(9.99E+307,'Returns (Calc)'!$A:$A)+1)-'Price History'!F3)*(ROW()-3)/(MATCH(9.99E+307,'Returns (Calc)'!$A:$A)-3),"")</f>
        <v>105.04303797468354</v>
      </c>
      <c r="AB47" s="131">
        <f>IFERROR('Price History'!G3+(INDEX('Price History'!G:G,MATCH(9.99E+307,'Returns (Calc)'!$A:$A)+1)-'Price History'!G3)*(ROW()-3)/(MATCH(9.99E+307,'Returns (Calc)'!$A:$A)-3),"")</f>
        <v>89.614303797468352</v>
      </c>
      <c r="AC47" s="131">
        <f>IFERROR('Price History'!H3+(INDEX('Price History'!H:H,MATCH(9.99E+307,'Returns (Calc)'!$A:$A)+1)-'Price History'!H3)*(ROW()-3)/(MATCH(9.99E+307,'Returns (Calc)'!$A:$A)-3),"")</f>
        <v>349.20063291139246</v>
      </c>
      <c r="AD47" s="131">
        <f>IFERROR('Price History'!I3+(INDEX('Price History'!I:I,MATCH(9.99E+307,'Returns (Calc)'!$A:$A)+1)-'Price History'!I3)*(ROW()-3)/(MATCH(9.99E+307,'Returns (Calc)'!$A:$A)-3),"")</f>
        <v>96.731518987341758</v>
      </c>
      <c r="AE47" s="131">
        <f>IFERROR('Price History'!J3+(INDEX('Price History'!J:J,MATCH(9.99E+307,'Returns (Calc)'!$A:$A)+1)-'Price History'!J3)*(ROW()-3)/(MATCH(9.99E+307,'Returns (Calc)'!$A:$A)-3),"")</f>
        <v>116.59367088607596</v>
      </c>
      <c r="AF47" s="131">
        <f>IFERROR('Price History'!K3+(INDEX('Price History'!K:K,MATCH(9.99E+307,'Returns (Calc)'!$A:$A)+1)-'Price History'!K3)*(ROW()-3)/(MATCH(9.99E+307,'Returns (Calc)'!$A:$A)-3),"")</f>
        <v>63.624177215189867</v>
      </c>
      <c r="AG47" s="131">
        <f>IFERROR('Price History'!L3+(INDEX('Price History'!L:L,MATCH(9.99E+307,'Returns (Calc)'!$A:$A)+1)-'Price History'!L3)*(ROW()-3)/(MATCH(9.99E+307,'Returns (Calc)'!$A:$A)-3),"")</f>
        <v>193.5305063291139</v>
      </c>
      <c r="AH47" s="131">
        <f>IFERROR('Price History'!M3+(INDEX('Price History'!M:M,MATCH(9.99E+307,'Returns (Calc)'!$A:$A)+1)-'Price History'!M3)*(ROW()-3)/(MATCH(9.99E+307,'Returns (Calc)'!$A:$A)-3),"")</f>
        <v>97.659493670886064</v>
      </c>
      <c r="AI47" s="131">
        <f>IFERROR('Price History'!N3+(INDEX('Price History'!N:N,MATCH(9.99E+307,'Returns (Calc)'!$A:$A)+1)-'Price History'!N3)*(ROW()-3)/(MATCH(9.99E+307,'Returns (Calc)'!$A:$A)-3),"")</f>
        <v>392.29569620253164</v>
      </c>
      <c r="AJ47" s="131">
        <f>IFERROR('Price History'!O3+(INDEX('Price History'!O:O,MATCH(9.99E+307,'Returns (Calc)'!$A:$A)+1)-'Price History'!O3)*(ROW()-3)/(MATCH(9.99E+307,'Returns (Calc)'!$A:$A)-3),"")</f>
        <v>87.763670886075943</v>
      </c>
      <c r="AK47" s="131">
        <f>IFERROR('Price History'!Q3+(INDEX('Price History'!Q:Q,MATCH(9.99E+307,'Returns (Calc)'!$A:$A)+1)-'Price History'!Q3)*(ROW()-3)/(MATCH(9.99E+307,'Returns (Calc)'!$A:$A)-3),"")</f>
        <v>19.332151898734178</v>
      </c>
      <c r="AL47" s="131">
        <f>IFERROR('Price History'!R3+(INDEX('Price History'!R:R,MATCH(9.99E+307,'Returns (Calc)'!$A:$A)+1)-'Price History'!R3)*(ROW()-3)/(MATCH(9.99E+307,'Returns (Calc)'!$A:$A)-3),"")</f>
        <v>41.876455696202527</v>
      </c>
      <c r="AM47" s="131">
        <f>IFERROR('Price History'!S3+(INDEX('Price History'!S:S,MATCH(9.99E+307,'Returns (Calc)'!$A:$A)+1)-'Price History'!S3)*(ROW()-3)/(MATCH(9.99E+307,'Returns (Calc)'!$A:$A)-3),"")</f>
        <v>84.252784810126585</v>
      </c>
      <c r="AN47" s="131">
        <f>IFERROR('Price History'!T3+(INDEX('Price History'!T:T,MATCH(9.99E+307,'Returns (Calc)'!$A:$A)+1)-'Price History'!T3)*(ROW()-3)/(MATCH(9.99E+307,'Returns (Calc)'!$A:$A)-3),"")</f>
        <v>32.642025316455694</v>
      </c>
      <c r="AO47" s="132">
        <f>IFERROR('Price History'!V3+(INDEX('Price History'!V:V,MATCH(9.99E+307,'Returns (Calc)'!$A:$A)+1)-'Price History'!V3)*(ROW()-3)/(MATCH(9.99E+307,'Returns (Calc)'!$A:$A)-3),"")</f>
        <v>270.44848101265825</v>
      </c>
      <c r="AP47" s="130">
        <f>IFERROR(IF(OR(NOT(ISNUMBER('Price History'!W48)),NOT(ISNUMBER('Price History'!W47)),'Price History'!W47=0),"",'Price History'!W48/'Price History'!W47-1),"")</f>
        <v>8.912347495024564E-3</v>
      </c>
      <c r="AQ47" s="130" t="str">
        <f>IFERROR(IF(OR(NOT(ISNUMBER('Price History'!X48)),NOT(ISNUMBER('Price History'!X47)),'Price History'!X47=0),"",'Price History'!X48/'Price History'!X47-1),"")</f>
        <v/>
      </c>
      <c r="AR47" s="130">
        <f>IFERROR(IF(OR(NOT(ISNUMBER('Price History'!Y48)),NOT(ISNUMBER('Price History'!Y47)),'Price History'!Y47=0),"",'Price History'!Y48/'Price History'!Y47-1),"")</f>
        <v>3.3776651889381171E-3</v>
      </c>
      <c r="AS47" s="130">
        <f>IFERROR(IF(OR(NOT(ISNUMBER('Price History'!Z48)),NOT(ISNUMBER('Price History'!Z47)),'Price History'!Z47=0),"",'Price History'!Z48/'Price History'!Z47-1),"")</f>
        <v>6.7128599580446258E-2</v>
      </c>
      <c r="AT47" s="130">
        <f>IFERROR(IF(OR(NOT(ISNUMBER('Price History'!AA48)),NOT(ISNUMBER('Price History'!AA47)),'Price History'!AA47=0),"",'Price History'!AA48/'Price History'!AA47-1),"")</f>
        <v>-3.0001579030475289E-3</v>
      </c>
    </row>
    <row r="48" spans="1:46" ht="15" customHeight="1" x14ac:dyDescent="0.2">
      <c r="A48" s="128">
        <f>IF('Price History'!A49="","",'Price History'!A49)</f>
        <v>45506</v>
      </c>
      <c r="B48" s="129">
        <f>IFERROR(IF(OR(NOT(ISNUMBER('Price History'!B49)),NOT(ISNUMBER('Price History'!B48)),'Price History'!B48=0),"",'Price History'!B49/'Price History'!B48-1),"")</f>
        <v>-2.9994100730034834E-2</v>
      </c>
      <c r="C48" s="129">
        <f>IFERROR(IF(OR(NOT(ISNUMBER('Price History'!C49)),NOT(ISNUMBER('Price History'!C48)),'Price History'!C48=0),"",'Price History'!C49/'Price History'!C48-1),"")</f>
        <v>3.7593984962414062E-4</v>
      </c>
      <c r="D48" s="129">
        <f>IFERROR(IF(OR(NOT(ISNUMBER('Price History'!D49)),NOT(ISNUMBER('Price History'!D48)),'Price History'!D48=0),"",'Price History'!D49/'Price History'!D48-1),"")</f>
        <v>-8.7280565970669466E-2</v>
      </c>
      <c r="E48" s="129">
        <f>IFERROR(IF(OR(NOT(ISNUMBER('Price History'!E49)),NOT(ISNUMBER('Price History'!E48)),'Price History'!E48=0),"",'Price History'!E49/'Price History'!E48-1),"")</f>
        <v>-5.1494345718901546E-2</v>
      </c>
      <c r="F48" s="129">
        <f>IFERROR(IF(OR(NOT(ISNUMBER('Price History'!F49)),NOT(ISNUMBER('Price History'!F48)),'Price History'!F48=0),"",'Price History'!F49/'Price History'!F48-1),"")</f>
        <v>-0.14943785134291077</v>
      </c>
      <c r="G48" s="129">
        <f>IFERROR(IF(OR(NOT(ISNUMBER('Price History'!G49)),NOT(ISNUMBER('Price History'!G48)),'Price History'!G48=0),"",'Price History'!G49/'Price History'!G48-1),"")</f>
        <v>-0.11584657109647445</v>
      </c>
      <c r="H48" s="129">
        <f>IFERROR(IF(OR(NOT(ISNUMBER('Price History'!H49)),NOT(ISNUMBER('Price History'!H48)),'Price History'!H48=0),"",'Price History'!H49/'Price History'!H48-1),"")</f>
        <v>-0.1527637266623747</v>
      </c>
      <c r="I48" s="129">
        <f>IFERROR(IF(OR(NOT(ISNUMBER('Price History'!I49)),NOT(ISNUMBER('Price History'!I48)),'Price History'!I48=0),"",'Price History'!I49/'Price History'!I48-1),"")</f>
        <v>-5.1263858093126391E-2</v>
      </c>
      <c r="J48" s="129">
        <f>IFERROR(IF(OR(NOT(ISNUMBER('Price History'!J49)),NOT(ISNUMBER('Price History'!J48)),'Price History'!J48=0),"",'Price History'!J49/'Price History'!J48-1),"")</f>
        <v>1.0623353819139592E-2</v>
      </c>
      <c r="K48" s="129">
        <f>IFERROR(IF(OR(NOT(ISNUMBER('Price History'!K49)),NOT(ISNUMBER('Price History'!K48)),'Price History'!K48=0),"",'Price History'!K49/'Price History'!K48-1),"")</f>
        <v>-8.9771891096394496E-2</v>
      </c>
      <c r="L48" s="129">
        <f>IFERROR(IF(OR(NOT(ISNUMBER('Price History'!L49)),NOT(ISNUMBER('Price History'!L48)),'Price History'!L48=0),"",'Price History'!L49/'Price History'!L48-1),"")</f>
        <v>-7.4622126254286769E-2</v>
      </c>
      <c r="M48" s="129">
        <f>IFERROR(IF(OR(NOT(ISNUMBER('Price History'!M49)),NOT(ISNUMBER('Price History'!M48)),'Price History'!M48=0),"",'Price History'!M49/'Price History'!M48-1),"")</f>
        <v>-9.9336887270836005E-2</v>
      </c>
      <c r="N48" s="129">
        <f>IFERROR(IF(OR(NOT(ISNUMBER('Price History'!N49)),NOT(ISNUMBER('Price History'!N48)),'Price History'!N48=0),"",'Price History'!N49/'Price History'!N48-1),"")</f>
        <v>-1.6153131688406708E-3</v>
      </c>
      <c r="O48" s="129">
        <f>IFERROR(IF(OR(NOT(ISNUMBER('Price History'!O49)),NOT(ISNUMBER('Price History'!O48)),'Price History'!O48=0),"",'Price History'!O49/'Price History'!O48-1),"")</f>
        <v>-7.1458420392812361E-2</v>
      </c>
      <c r="P48" s="129">
        <f>IFERROR(IF(OR(NOT(ISNUMBER('Price History'!P49)),NOT(ISNUMBER('Price History'!P48)),'Price History'!P48=0),"",'Price History'!P49/'Price History'!P48-1),"")</f>
        <v>-1.4422270669126269E-2</v>
      </c>
      <c r="Q48" s="129">
        <f>IFERROR(IF(OR(NOT(ISNUMBER('Price History'!Q49)),NOT(ISNUMBER('Price History'!Q48)),'Price History'!Q48=0),"",'Price History'!Q49/'Price History'!Q48-1),"")</f>
        <v>-1.0747096550528634E-2</v>
      </c>
      <c r="R48" s="129">
        <f>IFERROR(IF(OR(NOT(ISNUMBER('Price History'!R49)),NOT(ISNUMBER('Price History'!R48)),'Price History'!R48=0),"",'Price History'!R49/'Price History'!R48-1),"")</f>
        <v>-2.655298416565155E-2</v>
      </c>
      <c r="S48" s="129">
        <f>IFERROR(IF(OR(NOT(ISNUMBER('Price History'!S49)),NOT(ISNUMBER('Price History'!S48)),'Price History'!S48=0),"",'Price History'!S49/'Price History'!S48-1),"")</f>
        <v>-2.9764762361977781E-2</v>
      </c>
      <c r="T48" s="129">
        <f>IFERROR(IF(OR(NOT(ISNUMBER('Price History'!T49)),NOT(ISNUMBER('Price History'!T48)),'Price History'!T48=0),"",'Price History'!T49/'Price History'!T48-1),"")</f>
        <v>-2.8833967046894782E-2</v>
      </c>
      <c r="U48" s="129">
        <f>IFERROR(IF(OR(NOT(ISNUMBER('Price History'!U49)),NOT(ISNUMBER('Price History'!U48)),'Price History'!U48=0),"",'Price History'!U49/'Price History'!U48-1),"")</f>
        <v>-2.0118343195266286E-2</v>
      </c>
      <c r="V48" s="130">
        <f>IFERROR(IF(OR(NOT(ISNUMBER('Price History'!V49)),NOT(ISNUMBER('Price History'!V48)),'Price History'!V48=0),"",'Price History'!V49/'Price History'!V48-1),"")</f>
        <v>2.7480497079462207E-2</v>
      </c>
      <c r="W48" s="131">
        <f>IFERROR('Price History'!B3+(INDEX('Price History'!B:B,MATCH(9.99E+307,'Returns (Calc)'!$A:$A)+1)-'Price History'!B3)*(ROW()-3)/(MATCH(9.99E+307,'Returns (Calc)'!$A:$A)-3),"")</f>
        <v>445.95329113924049</v>
      </c>
      <c r="X48" s="131">
        <f>IFERROR('Price History'!C3+(INDEX('Price History'!C:C,MATCH(9.99E+307,'Returns (Calc)'!$A:$A)+1)-'Price History'!C3)*(ROW()-3)/(MATCH(9.99E+307,'Returns (Calc)'!$A:$A)-3),"")</f>
        <v>92.082848101265824</v>
      </c>
      <c r="Y48" s="131">
        <f>IFERROR('Price History'!D3+(INDEX('Price History'!D:D,MATCH(9.99E+307,'Returns (Calc)'!$A:$A)+1)-'Price History'!D3)*(ROW()-3)/(MATCH(9.99E+307,'Returns (Calc)'!$A:$A)-3),"")</f>
        <v>948.07645569620252</v>
      </c>
      <c r="Z48" s="131">
        <f>IFERROR('Price History'!E3+(INDEX('Price History'!E:E,MATCH(9.99E+307,'Returns (Calc)'!$A:$A)+1)-'Price History'!E3)*(ROW()-3)/(MATCH(9.99E+307,'Returns (Calc)'!$A:$A)-3),"")</f>
        <v>159.79303797468356</v>
      </c>
      <c r="AA48" s="131">
        <f>IFERROR('Price History'!F3+(INDEX('Price History'!F:F,MATCH(9.99E+307,'Returns (Calc)'!$A:$A)+1)-'Price History'!F3)*(ROW()-3)/(MATCH(9.99E+307,'Returns (Calc)'!$A:$A)-3),"")</f>
        <v>106.49037974683544</v>
      </c>
      <c r="AB48" s="131">
        <f>IFERROR('Price History'!G3+(INDEX('Price History'!G:G,MATCH(9.99E+307,'Returns (Calc)'!$A:$A)+1)-'Price History'!G3)*(ROW()-3)/(MATCH(9.99E+307,'Returns (Calc)'!$A:$A)-3),"")</f>
        <v>90.643037974683551</v>
      </c>
      <c r="AC48" s="131">
        <f>IFERROR('Price History'!H3+(INDEX('Price History'!H:H,MATCH(9.99E+307,'Returns (Calc)'!$A:$A)+1)-'Price History'!H3)*(ROW()-3)/(MATCH(9.99E+307,'Returns (Calc)'!$A:$A)-3),"")</f>
        <v>355.5663291139241</v>
      </c>
      <c r="AD48" s="131">
        <f>IFERROR('Price History'!I3+(INDEX('Price History'!I:I,MATCH(9.99E+307,'Returns (Calc)'!$A:$A)+1)-'Price History'!I3)*(ROW()-3)/(MATCH(9.99E+307,'Returns (Calc)'!$A:$A)-3),"")</f>
        <v>97.935189873417713</v>
      </c>
      <c r="AE48" s="131">
        <f>IFERROR('Price History'!J3+(INDEX('Price History'!J:J,MATCH(9.99E+307,'Returns (Calc)'!$A:$A)+1)-'Price History'!J3)*(ROW()-3)/(MATCH(9.99E+307,'Returns (Calc)'!$A:$A)-3),"")</f>
        <v>116.7017088607595</v>
      </c>
      <c r="AF48" s="131">
        <f>IFERROR('Price History'!K3+(INDEX('Price History'!K:K,MATCH(9.99E+307,'Returns (Calc)'!$A:$A)+1)-'Price History'!K3)*(ROW()-3)/(MATCH(9.99E+307,'Returns (Calc)'!$A:$A)-3),"")</f>
        <v>64.721772151898733</v>
      </c>
      <c r="AG48" s="131">
        <f>IFERROR('Price History'!L3+(INDEX('Price History'!L:L,MATCH(9.99E+307,'Returns (Calc)'!$A:$A)+1)-'Price History'!L3)*(ROW()-3)/(MATCH(9.99E+307,'Returns (Calc)'!$A:$A)-3),"")</f>
        <v>195.98006329113923</v>
      </c>
      <c r="AH48" s="131">
        <f>IFERROR('Price History'!M3+(INDEX('Price History'!M:M,MATCH(9.99E+307,'Returns (Calc)'!$A:$A)+1)-'Price History'!M3)*(ROW()-3)/(MATCH(9.99E+307,'Returns (Calc)'!$A:$A)-3),"")</f>
        <v>99.014936708860773</v>
      </c>
      <c r="AI48" s="131">
        <f>IFERROR('Price History'!N3+(INDEX('Price History'!N:N,MATCH(9.99E+307,'Returns (Calc)'!$A:$A)+1)-'Price History'!N3)*(ROW()-3)/(MATCH(9.99E+307,'Returns (Calc)'!$A:$A)-3),"")</f>
        <v>393.28196202531643</v>
      </c>
      <c r="AJ48" s="131">
        <f>IFERROR('Price History'!O3+(INDEX('Price History'!O:O,MATCH(9.99E+307,'Returns (Calc)'!$A:$A)+1)-'Price History'!O3)*(ROW()-3)/(MATCH(9.99E+307,'Returns (Calc)'!$A:$A)-3),"")</f>
        <v>88.046708860759495</v>
      </c>
      <c r="AK48" s="131">
        <f>IFERROR('Price History'!Q3+(INDEX('Price History'!Q:Q,MATCH(9.99E+307,'Returns (Calc)'!$A:$A)+1)-'Price History'!Q3)*(ROW()-3)/(MATCH(9.99E+307,'Returns (Calc)'!$A:$A)-3),"")</f>
        <v>19.771518987341771</v>
      </c>
      <c r="AL48" s="131">
        <f>IFERROR('Price History'!R3+(INDEX('Price History'!R:R,MATCH(9.99E+307,'Returns (Calc)'!$A:$A)+1)-'Price History'!R3)*(ROW()-3)/(MATCH(9.99E+307,'Returns (Calc)'!$A:$A)-3),"")</f>
        <v>42.044556962025311</v>
      </c>
      <c r="AM48" s="131">
        <f>IFERROR('Price History'!S3+(INDEX('Price History'!S:S,MATCH(9.99E+307,'Returns (Calc)'!$A:$A)+1)-'Price History'!S3)*(ROW()-3)/(MATCH(9.99E+307,'Returns (Calc)'!$A:$A)-3),"")</f>
        <v>84.85784810126583</v>
      </c>
      <c r="AN48" s="131">
        <f>IFERROR('Price History'!T3+(INDEX('Price History'!T:T,MATCH(9.99E+307,'Returns (Calc)'!$A:$A)+1)-'Price History'!T3)*(ROW()-3)/(MATCH(9.99E+307,'Returns (Calc)'!$A:$A)-3),"")</f>
        <v>32.810253164556961</v>
      </c>
      <c r="AO48" s="132">
        <f>IFERROR('Price History'!V3+(INDEX('Price History'!V:V,MATCH(9.99E+307,'Returns (Calc)'!$A:$A)+1)-'Price History'!V3)*(ROW()-3)/(MATCH(9.99E+307,'Returns (Calc)'!$A:$A)-3),"")</f>
        <v>271.23981012658226</v>
      </c>
      <c r="AP48" s="130">
        <f>IFERROR(IF(OR(NOT(ISNUMBER('Price History'!W49)),NOT(ISNUMBER('Price History'!W48)),'Price History'!W48=0),"",'Price History'!W49/'Price History'!W48-1),"")</f>
        <v>-2.3584905660377409E-2</v>
      </c>
      <c r="AQ48" s="130" t="str">
        <f>IFERROR(IF(OR(NOT(ISNUMBER('Price History'!X49)),NOT(ISNUMBER('Price History'!X48)),'Price History'!X48=0),"",'Price History'!X49/'Price History'!X48-1),"")</f>
        <v/>
      </c>
      <c r="AR48" s="130">
        <f>IFERROR(IF(OR(NOT(ISNUMBER('Price History'!Y49)),NOT(ISNUMBER('Price History'!Y48)),'Price History'!Y48=0),"",'Price History'!Y49/'Price History'!Y48-1),"")</f>
        <v>-5.4702293288448889E-3</v>
      </c>
      <c r="AS48" s="130">
        <f>IFERROR(IF(OR(NOT(ISNUMBER('Price History'!Z49)),NOT(ISNUMBER('Price History'!Z48)),'Price History'!Z48=0),"",'Price History'!Z49/'Price History'!Z48-1),"")</f>
        <v>-5.6114850777387315E-2</v>
      </c>
      <c r="AT48" s="130">
        <f>IFERROR(IF(OR(NOT(ISNUMBER('Price History'!AA49)),NOT(ISNUMBER('Price History'!AA48)),'Price History'!AA48=0),"",'Price History'!AA49/'Price History'!AA48-1),"")</f>
        <v>-2.8191320874247694E-2</v>
      </c>
    </row>
    <row r="49" spans="1:46" ht="15" customHeight="1" x14ac:dyDescent="0.2">
      <c r="A49" s="128">
        <f>IF('Price History'!A50="","",'Price History'!A50)</f>
        <v>45513</v>
      </c>
      <c r="B49" s="129">
        <f>IFERROR(IF(OR(NOT(ISNUMBER('Price History'!B50)),NOT(ISNUMBER('Price History'!B49)),'Price History'!B49=0),"",'Price History'!B50/'Price History'!B49-1),"")</f>
        <v>1.9252332896212199E-2</v>
      </c>
      <c r="C49" s="129">
        <f>IFERROR(IF(OR(NOT(ISNUMBER('Price History'!C50)),NOT(ISNUMBER('Price History'!C49)),'Price History'!C49=0),"",'Price History'!C50/'Price History'!C49-1),"")</f>
        <v>5.1609670549918718E-2</v>
      </c>
      <c r="D49" s="129">
        <f>IFERROR(IF(OR(NOT(ISNUMBER('Price History'!D50)),NOT(ISNUMBER('Price History'!D49)),'Price History'!D49=0),"",'Price History'!D50/'Price History'!D49-1),"")</f>
        <v>6.3252974208866775E-2</v>
      </c>
      <c r="E49" s="129">
        <f>IFERROR(IF(OR(NOT(ISNUMBER('Price History'!E50)),NOT(ISNUMBER('Price History'!E49)),'Price History'!E49=0),"",'Price History'!E50/'Price History'!E49-1),"")</f>
        <v>3.0870768575686602E-2</v>
      </c>
      <c r="F49" s="129">
        <f>IFERROR(IF(OR(NOT(ISNUMBER('Price History'!F50)),NOT(ISNUMBER('Price History'!F49)),'Price History'!F49=0),"",'Price History'!F50/'Price History'!F49-1),"")</f>
        <v>0.10556269506150184</v>
      </c>
      <c r="G49" s="129">
        <f>IFERROR(IF(OR(NOT(ISNUMBER('Price History'!G50)),NOT(ISNUMBER('Price History'!G49)),'Price History'!G49=0),"",'Price History'!G50/'Price History'!G49-1),"")</f>
        <v>7.2597137014315027E-2</v>
      </c>
      <c r="H49" s="129">
        <f>IFERROR(IF(OR(NOT(ISNUMBER('Price History'!H50)),NOT(ISNUMBER('Price History'!H49)),'Price History'!H49=0),"",'Price History'!H50/'Price History'!H49-1),"")</f>
        <v>4.1250542770299159E-3</v>
      </c>
      <c r="I49" s="129">
        <f>IFERROR(IF(OR(NOT(ISNUMBER('Price History'!I50)),NOT(ISNUMBER('Price History'!I49)),'Price History'!I49=0),"",'Price History'!I50/'Price History'!I49-1),"")</f>
        <v>-2.3464522763391615E-2</v>
      </c>
      <c r="J49" s="129">
        <f>IFERROR(IF(OR(NOT(ISNUMBER('Price History'!J50)),NOT(ISNUMBER('Price History'!J49)),'Price History'!J49=0),"",'Price History'!J50/'Price History'!J49-1),"")</f>
        <v>-1.6766571105898631E-2</v>
      </c>
      <c r="K49" s="129">
        <f>IFERROR(IF(OR(NOT(ISNUMBER('Price History'!K50)),NOT(ISNUMBER('Price History'!K49)),'Price History'!K49=0),"",'Price History'!K50/'Price History'!K49-1),"")</f>
        <v>0.21301535974130981</v>
      </c>
      <c r="L49" s="129">
        <f>IFERROR(IF(OR(NOT(ISNUMBER('Price History'!L50)),NOT(ISNUMBER('Price History'!L49)),'Price History'!L49=0),"",'Price History'!L50/'Price History'!L49-1),"")</f>
        <v>0.11516024981126893</v>
      </c>
      <c r="M49" s="129">
        <f>IFERROR(IF(OR(NOT(ISNUMBER('Price History'!M50)),NOT(ISNUMBER('Price History'!M49)),'Price History'!M49=0),"",'Price History'!M50/'Price History'!M49-1),"")</f>
        <v>2.8872527789808089E-2</v>
      </c>
      <c r="N49" s="129">
        <f>IFERROR(IF(OR(NOT(ISNUMBER('Price History'!N50)),NOT(ISNUMBER('Price History'!N49)),'Price History'!N49=0),"",'Price History'!N50/'Price History'!N49-1),"")</f>
        <v>-5.2602839461230455E-2</v>
      </c>
      <c r="O49" s="129">
        <f>IFERROR(IF(OR(NOT(ISNUMBER('Price History'!O50)),NOT(ISNUMBER('Price History'!O49)),'Price History'!O49=0),"",'Price History'!O50/'Price History'!O49-1),"")</f>
        <v>-1.7664266426642539E-2</v>
      </c>
      <c r="P49" s="129">
        <f>IFERROR(IF(OR(NOT(ISNUMBER('Price History'!P50)),NOT(ISNUMBER('Price History'!P49)),'Price History'!P49=0),"",'Price History'!P50/'Price History'!P49-1),"")</f>
        <v>-1.0124213033860907E-2</v>
      </c>
      <c r="Q49" s="129">
        <f>IFERROR(IF(OR(NOT(ISNUMBER('Price History'!Q50)),NOT(ISNUMBER('Price History'!Q49)),'Price History'!Q49=0),"",'Price History'!Q50/'Price History'!Q49-1),"")</f>
        <v>7.0089363939018767E-4</v>
      </c>
      <c r="R49" s="129">
        <f>IFERROR(IF(OR(NOT(ISNUMBER('Price History'!R50)),NOT(ISNUMBER('Price History'!R49)),'Price History'!R49=0),"",'Price History'!R50/'Price History'!R49-1),"")</f>
        <v>2.752752752752663E-3</v>
      </c>
      <c r="S49" s="129">
        <f>IFERROR(IF(OR(NOT(ISNUMBER('Price History'!S50)),NOT(ISNUMBER('Price History'!S49)),'Price History'!S49=0),"",'Price History'!S50/'Price History'!S49-1),"")</f>
        <v>1.7318159327065707E-2</v>
      </c>
      <c r="T49" s="129">
        <f>IFERROR(IF(OR(NOT(ISNUMBER('Price History'!T50)),NOT(ISNUMBER('Price History'!T49)),'Price History'!T49=0),"",'Price History'!T50/'Price History'!T49-1),"")</f>
        <v>-9.7879282218593655E-4</v>
      </c>
      <c r="U49" s="129">
        <f>IFERROR(IF(OR(NOT(ISNUMBER('Price History'!U50)),NOT(ISNUMBER('Price History'!U49)),'Price History'!U49=0),"",'Price History'!U50/'Price History'!U49-1),"")</f>
        <v>-8.0515297906601502E-3</v>
      </c>
      <c r="V49" s="130">
        <f>IFERROR(IF(OR(NOT(ISNUMBER('Price History'!V50)),NOT(ISNUMBER('Price History'!V49)),'Price History'!V49=0),"",'Price History'!V50/'Price History'!V49-1),"")</f>
        <v>-2.3655093475772659E-2</v>
      </c>
      <c r="W49" s="131">
        <f>IFERROR('Price History'!B3+(INDEX('Price History'!B:B,MATCH(9.99E+307,'Returns (Calc)'!$A:$A)+1)-'Price History'!B3)*(ROW()-3)/(MATCH(9.99E+307,'Returns (Calc)'!$A:$A)-3),"")</f>
        <v>444.11025316455698</v>
      </c>
      <c r="X49" s="131">
        <f>IFERROR('Price History'!C3+(INDEX('Price History'!C:C,MATCH(9.99E+307,'Returns (Calc)'!$A:$A)+1)-'Price History'!C3)*(ROW()-3)/(MATCH(9.99E+307,'Returns (Calc)'!$A:$A)-3),"")</f>
        <v>93.102911392405062</v>
      </c>
      <c r="Y49" s="131">
        <f>IFERROR('Price History'!D3+(INDEX('Price History'!D:D,MATCH(9.99E+307,'Returns (Calc)'!$A:$A)+1)-'Price History'!D3)*(ROW()-3)/(MATCH(9.99E+307,'Returns (Calc)'!$A:$A)-3),"")</f>
        <v>956.21126582278475</v>
      </c>
      <c r="Z49" s="131">
        <f>IFERROR('Price History'!E3+(INDEX('Price History'!E:E,MATCH(9.99E+307,'Returns (Calc)'!$A:$A)+1)-'Price History'!E3)*(ROW()-3)/(MATCH(9.99E+307,'Returns (Calc)'!$A:$A)-3),"")</f>
        <v>161.52177215189874</v>
      </c>
      <c r="AA49" s="131">
        <f>IFERROR('Price History'!F3+(INDEX('Price History'!F:F,MATCH(9.99E+307,'Returns (Calc)'!$A:$A)+1)-'Price History'!F3)*(ROW()-3)/(MATCH(9.99E+307,'Returns (Calc)'!$A:$A)-3),"")</f>
        <v>107.93772151898735</v>
      </c>
      <c r="AB49" s="131">
        <f>IFERROR('Price History'!G3+(INDEX('Price History'!G:G,MATCH(9.99E+307,'Returns (Calc)'!$A:$A)+1)-'Price History'!G3)*(ROW()-3)/(MATCH(9.99E+307,'Returns (Calc)'!$A:$A)-3),"")</f>
        <v>91.671772151898722</v>
      </c>
      <c r="AC49" s="131">
        <f>IFERROR('Price History'!H3+(INDEX('Price History'!H:H,MATCH(9.99E+307,'Returns (Calc)'!$A:$A)+1)-'Price History'!H3)*(ROW()-3)/(MATCH(9.99E+307,'Returns (Calc)'!$A:$A)-3),"")</f>
        <v>361.93202531645574</v>
      </c>
      <c r="AD49" s="131">
        <f>IFERROR('Price History'!I3+(INDEX('Price History'!I:I,MATCH(9.99E+307,'Returns (Calc)'!$A:$A)+1)-'Price History'!I3)*(ROW()-3)/(MATCH(9.99E+307,'Returns (Calc)'!$A:$A)-3),"")</f>
        <v>99.138860759493667</v>
      </c>
      <c r="AE49" s="131">
        <f>IFERROR('Price History'!J3+(INDEX('Price History'!J:J,MATCH(9.99E+307,'Returns (Calc)'!$A:$A)+1)-'Price History'!J3)*(ROW()-3)/(MATCH(9.99E+307,'Returns (Calc)'!$A:$A)-3),"")</f>
        <v>116.80974683544304</v>
      </c>
      <c r="AF49" s="131">
        <f>IFERROR('Price History'!K3+(INDEX('Price History'!K:K,MATCH(9.99E+307,'Returns (Calc)'!$A:$A)+1)-'Price History'!K3)*(ROW()-3)/(MATCH(9.99E+307,'Returns (Calc)'!$A:$A)-3),"")</f>
        <v>65.819367088607592</v>
      </c>
      <c r="AG49" s="131">
        <f>IFERROR('Price History'!L3+(INDEX('Price History'!L:L,MATCH(9.99E+307,'Returns (Calc)'!$A:$A)+1)-'Price History'!L3)*(ROW()-3)/(MATCH(9.99E+307,'Returns (Calc)'!$A:$A)-3),"")</f>
        <v>198.42962025316456</v>
      </c>
      <c r="AH49" s="131">
        <f>IFERROR('Price History'!M3+(INDEX('Price History'!M:M,MATCH(9.99E+307,'Returns (Calc)'!$A:$A)+1)-'Price History'!M3)*(ROW()-3)/(MATCH(9.99E+307,'Returns (Calc)'!$A:$A)-3),"")</f>
        <v>100.37037974683545</v>
      </c>
      <c r="AI49" s="131">
        <f>IFERROR('Price History'!N3+(INDEX('Price History'!N:N,MATCH(9.99E+307,'Returns (Calc)'!$A:$A)+1)-'Price History'!N3)*(ROW()-3)/(MATCH(9.99E+307,'Returns (Calc)'!$A:$A)-3),"")</f>
        <v>394.26822784810128</v>
      </c>
      <c r="AJ49" s="131">
        <f>IFERROR('Price History'!O3+(INDEX('Price History'!O:O,MATCH(9.99E+307,'Returns (Calc)'!$A:$A)+1)-'Price History'!O3)*(ROW()-3)/(MATCH(9.99E+307,'Returns (Calc)'!$A:$A)-3),"")</f>
        <v>88.329746835443046</v>
      </c>
      <c r="AK49" s="131">
        <f>IFERROR('Price History'!Q3+(INDEX('Price History'!Q:Q,MATCH(9.99E+307,'Returns (Calc)'!$A:$A)+1)-'Price History'!Q3)*(ROW()-3)/(MATCH(9.99E+307,'Returns (Calc)'!$A:$A)-3),"")</f>
        <v>20.210886075949368</v>
      </c>
      <c r="AL49" s="131">
        <f>IFERROR('Price History'!R3+(INDEX('Price History'!R:R,MATCH(9.99E+307,'Returns (Calc)'!$A:$A)+1)-'Price History'!R3)*(ROW()-3)/(MATCH(9.99E+307,'Returns (Calc)'!$A:$A)-3),"")</f>
        <v>42.212658227848102</v>
      </c>
      <c r="AM49" s="131">
        <f>IFERROR('Price History'!S3+(INDEX('Price History'!S:S,MATCH(9.99E+307,'Returns (Calc)'!$A:$A)+1)-'Price History'!S3)*(ROW()-3)/(MATCH(9.99E+307,'Returns (Calc)'!$A:$A)-3),"")</f>
        <v>85.462911392405061</v>
      </c>
      <c r="AN49" s="131">
        <f>IFERROR('Price History'!T3+(INDEX('Price History'!T:T,MATCH(9.99E+307,'Returns (Calc)'!$A:$A)+1)-'Price History'!T3)*(ROW()-3)/(MATCH(9.99E+307,'Returns (Calc)'!$A:$A)-3),"")</f>
        <v>32.978481012658229</v>
      </c>
      <c r="AO49" s="132">
        <f>IFERROR('Price History'!V3+(INDEX('Price History'!V:V,MATCH(9.99E+307,'Returns (Calc)'!$A:$A)+1)-'Price History'!V3)*(ROW()-3)/(MATCH(9.99E+307,'Returns (Calc)'!$A:$A)-3),"")</f>
        <v>272.03113924050632</v>
      </c>
      <c r="AP49" s="130">
        <f>IFERROR(IF(OR(NOT(ISNUMBER('Price History'!W50)),NOT(ISNUMBER('Price History'!W49)),'Price History'!W49=0),"",'Price History'!W50/'Price History'!W49-1),"")</f>
        <v>-2.1080368906455371E-3</v>
      </c>
      <c r="AQ49" s="130" t="str">
        <f>IFERROR(IF(OR(NOT(ISNUMBER('Price History'!X50)),NOT(ISNUMBER('Price History'!X49)),'Price History'!X49=0),"",'Price History'!X50/'Price History'!X49-1),"")</f>
        <v/>
      </c>
      <c r="AR49" s="130">
        <f>IFERROR(IF(OR(NOT(ISNUMBER('Price History'!Y50)),NOT(ISNUMBER('Price History'!Y49)),'Price History'!Y49=0),"",'Price History'!Y50/'Price History'!Y49-1),"")</f>
        <v>6.3465199915357928E-4</v>
      </c>
      <c r="AS49" s="130">
        <f>IFERROR(IF(OR(NOT(ISNUMBER('Price History'!Z50)),NOT(ISNUMBER('Price History'!Z49)),'Price History'!Z49=0),"",'Price History'!Z50/'Price History'!Z49-1),"")</f>
        <v>4.2726412117387147E-2</v>
      </c>
      <c r="AT49" s="130">
        <f>IFERROR(IF(OR(NOT(ISNUMBER('Price History'!AA50)),NOT(ISNUMBER('Price History'!AA49)),'Price History'!AA49=0),"",'Price History'!AA50/'Price History'!AA49-1),"")</f>
        <v>3.3083441981747175E-2</v>
      </c>
    </row>
    <row r="50" spans="1:46" ht="15" customHeight="1" x14ac:dyDescent="0.2">
      <c r="A50" s="128">
        <f>IF('Price History'!A51="","",'Price History'!A51)</f>
        <v>45520</v>
      </c>
      <c r="B50" s="129">
        <f>IFERROR(IF(OR(NOT(ISNUMBER('Price History'!B51)),NOT(ISNUMBER('Price History'!B50)),'Price History'!B50=0),"",'Price History'!B51/'Price History'!B50-1),"")</f>
        <v>3.1997016595189498E-2</v>
      </c>
      <c r="C50" s="129">
        <f>IFERROR(IF(OR(NOT(ISNUMBER('Price History'!C51)),NOT(ISNUMBER('Price History'!C50)),'Price History'!C50=0),"",'Price History'!C51/'Price History'!C50-1),"")</f>
        <v>5.384157236450271E-2</v>
      </c>
      <c r="D50" s="129">
        <f>IFERROR(IF(OR(NOT(ISNUMBER('Price History'!D51)),NOT(ISNUMBER('Price History'!D50)),'Price History'!D50=0),"",'Price History'!D51/'Price History'!D50-1),"")</f>
        <v>6.75362729807647E-2</v>
      </c>
      <c r="E50" s="129">
        <f>IFERROR(IF(OR(NOT(ISNUMBER('Price History'!E51)),NOT(ISNUMBER('Price History'!E50)),'Price History'!E50=0),"",'Price History'!E51/'Price History'!E50-1),"")</f>
        <v>0.11778879250998231</v>
      </c>
      <c r="F50" s="129">
        <f>IFERROR(IF(OR(NOT(ISNUMBER('Price History'!F51)),NOT(ISNUMBER('Price History'!F50)),'Price History'!F50=0),"",'Price History'!F51/'Price History'!F50-1),"")</f>
        <v>9.0003321155762261E-2</v>
      </c>
      <c r="G50" s="129">
        <f>IFERROR(IF(OR(NOT(ISNUMBER('Price History'!G51)),NOT(ISNUMBER('Price History'!G50)),'Price History'!G50=0),"",'Price History'!G51/'Price History'!G50-1),"")</f>
        <v>9.9550592400925897E-2</v>
      </c>
      <c r="H50" s="129">
        <f>IFERROR(IF(OR(NOT(ISNUMBER('Price History'!H51)),NOT(ISNUMBER('Price History'!H50)),'Price History'!H50=0),"",'Price History'!H51/'Price History'!H50-1),"")</f>
        <v>0.16021621621621618</v>
      </c>
      <c r="I50" s="129">
        <f>IFERROR(IF(OR(NOT(ISNUMBER('Price History'!I51)),NOT(ISNUMBER('Price History'!I50)),'Price History'!I50=0),"",'Price History'!I51/'Price History'!I50-1),"")</f>
        <v>0.18935477694811409</v>
      </c>
      <c r="J50" s="129">
        <f>IFERROR(IF(OR(NOT(ISNUMBER('Price History'!J51)),NOT(ISNUMBER('Price History'!J50)),'Price History'!J50=0),"",'Price History'!J51/'Price History'!J50-1),"")</f>
        <v>7.7752253048242181E-3</v>
      </c>
      <c r="K50" s="129">
        <f>IFERROR(IF(OR(NOT(ISNUMBER('Price History'!K51)),NOT(ISNUMBER('Price History'!K50)),'Price History'!K50=0),"",'Price History'!K51/'Price History'!K50-1),"")</f>
        <v>6.8977007664111856E-2</v>
      </c>
      <c r="L50" s="129">
        <f>IFERROR(IF(OR(NOT(ISNUMBER('Price History'!L51)),NOT(ISNUMBER('Price History'!L50)),'Price History'!L50=0),"",'Price History'!L51/'Price History'!L50-1),"")</f>
        <v>4.4433503600221469E-2</v>
      </c>
      <c r="M50" s="129">
        <f>IFERROR(IF(OR(NOT(ISNUMBER('Price History'!M51)),NOT(ISNUMBER('Price History'!M50)),'Price History'!M50=0),"",'Price History'!M51/'Price History'!M50-1),"")</f>
        <v>0.11140732425985678</v>
      </c>
      <c r="N50" s="129">
        <f>IFERROR(IF(OR(NOT(ISNUMBER('Price History'!N51)),NOT(ISNUMBER('Price History'!N50)),'Price History'!N50=0),"",'Price History'!N51/'Price History'!N50-1),"")</f>
        <v>1.9041519906073168E-2</v>
      </c>
      <c r="O50" s="129">
        <f>IFERROR(IF(OR(NOT(ISNUMBER('Price History'!O51)),NOT(ISNUMBER('Price History'!O50)),'Price History'!O50=0),"",'Price History'!O51/'Price History'!O50-1),"")</f>
        <v>2.8633604398121681E-2</v>
      </c>
      <c r="P50" s="129">
        <f>IFERROR(IF(OR(NOT(ISNUMBER('Price History'!P51)),NOT(ISNUMBER('Price History'!P50)),'Price History'!P50=0),"",'Price History'!P51/'Price History'!P50-1),"")</f>
        <v>2.5612376450365293E-2</v>
      </c>
      <c r="Q50" s="129">
        <f>IFERROR(IF(OR(NOT(ISNUMBER('Price History'!Q51)),NOT(ISNUMBER('Price History'!Q50)),'Price History'!Q50=0),"",'Price History'!Q51/'Price History'!Q50-1),"")</f>
        <v>2.6090001751006842E-2</v>
      </c>
      <c r="R50" s="129">
        <f>IFERROR(IF(OR(NOT(ISNUMBER('Price History'!R51)),NOT(ISNUMBER('Price History'!R50)),'Price History'!R50=0),"",'Price History'!R51/'Price History'!R50-1),"")</f>
        <v>4.217619166458686E-2</v>
      </c>
      <c r="S50" s="129">
        <f>IFERROR(IF(OR(NOT(ISNUMBER('Price History'!S51)),NOT(ISNUMBER('Price History'!S50)),'Price History'!S50=0),"",'Price History'!S51/'Price History'!S50-1),"")</f>
        <v>5.7028210116731648E-2</v>
      </c>
      <c r="T50" s="129">
        <f>IFERROR(IF(OR(NOT(ISNUMBER('Price History'!T51)),NOT(ISNUMBER('Price History'!T50)),'Price History'!T50=0),"",'Price History'!T51/'Price History'!T50-1),"")</f>
        <v>1.6329196603527052E-2</v>
      </c>
      <c r="U50" s="129">
        <f>IFERROR(IF(OR(NOT(ISNUMBER('Price History'!U51)),NOT(ISNUMBER('Price History'!U50)),'Price History'!U50=0),"",'Price History'!U51/'Price History'!U50-1),"")</f>
        <v>2.2727272727272707E-2</v>
      </c>
      <c r="V50" s="130">
        <f>IFERROR(IF(OR(NOT(ISNUMBER('Price History'!V51)),NOT(ISNUMBER('Price History'!V50)),'Price History'!V50=0),"",'Price History'!V51/'Price History'!V50-1),"")</f>
        <v>2.9347401328644107E-2</v>
      </c>
      <c r="W50" s="131">
        <f>IFERROR('Price History'!B3+(INDEX('Price History'!B:B,MATCH(9.99E+307,'Returns (Calc)'!$A:$A)+1)-'Price History'!B3)*(ROW()-3)/(MATCH(9.99E+307,'Returns (Calc)'!$A:$A)-3),"")</f>
        <v>442.26721518987341</v>
      </c>
      <c r="X50" s="131">
        <f>IFERROR('Price History'!C3+(INDEX('Price History'!C:C,MATCH(9.99E+307,'Returns (Calc)'!$A:$A)+1)-'Price History'!C3)*(ROW()-3)/(MATCH(9.99E+307,'Returns (Calc)'!$A:$A)-3),"")</f>
        <v>94.1229746835443</v>
      </c>
      <c r="Y50" s="131">
        <f>IFERROR('Price History'!D3+(INDEX('Price History'!D:D,MATCH(9.99E+307,'Returns (Calc)'!$A:$A)+1)-'Price History'!D3)*(ROW()-3)/(MATCH(9.99E+307,'Returns (Calc)'!$A:$A)-3),"")</f>
        <v>964.3460759493671</v>
      </c>
      <c r="Z50" s="131">
        <f>IFERROR('Price History'!E3+(INDEX('Price History'!E:E,MATCH(9.99E+307,'Returns (Calc)'!$A:$A)+1)-'Price History'!E3)*(ROW()-3)/(MATCH(9.99E+307,'Returns (Calc)'!$A:$A)-3),"")</f>
        <v>163.25050632911393</v>
      </c>
      <c r="AA50" s="131">
        <f>IFERROR('Price History'!F3+(INDEX('Price History'!F:F,MATCH(9.99E+307,'Returns (Calc)'!$A:$A)+1)-'Price History'!F3)*(ROW()-3)/(MATCH(9.99E+307,'Returns (Calc)'!$A:$A)-3),"")</f>
        <v>109.38506329113925</v>
      </c>
      <c r="AB50" s="131">
        <f>IFERROR('Price History'!G3+(INDEX('Price History'!G:G,MATCH(9.99E+307,'Returns (Calc)'!$A:$A)+1)-'Price History'!G3)*(ROW()-3)/(MATCH(9.99E+307,'Returns (Calc)'!$A:$A)-3),"")</f>
        <v>92.700506329113921</v>
      </c>
      <c r="AC50" s="131">
        <f>IFERROR('Price History'!H3+(INDEX('Price History'!H:H,MATCH(9.99E+307,'Returns (Calc)'!$A:$A)+1)-'Price History'!H3)*(ROW()-3)/(MATCH(9.99E+307,'Returns (Calc)'!$A:$A)-3),"")</f>
        <v>368.29772151898737</v>
      </c>
      <c r="AD50" s="131">
        <f>IFERROR('Price History'!I3+(INDEX('Price History'!I:I,MATCH(9.99E+307,'Returns (Calc)'!$A:$A)+1)-'Price History'!I3)*(ROW()-3)/(MATCH(9.99E+307,'Returns (Calc)'!$A:$A)-3),"")</f>
        <v>100.34253164556961</v>
      </c>
      <c r="AE50" s="131">
        <f>IFERROR('Price History'!J3+(INDEX('Price History'!J:J,MATCH(9.99E+307,'Returns (Calc)'!$A:$A)+1)-'Price History'!J3)*(ROW()-3)/(MATCH(9.99E+307,'Returns (Calc)'!$A:$A)-3),"")</f>
        <v>116.91778481012659</v>
      </c>
      <c r="AF50" s="131">
        <f>IFERROR('Price History'!K3+(INDEX('Price History'!K:K,MATCH(9.99E+307,'Returns (Calc)'!$A:$A)+1)-'Price History'!K3)*(ROW()-3)/(MATCH(9.99E+307,'Returns (Calc)'!$A:$A)-3),"")</f>
        <v>66.916962025316451</v>
      </c>
      <c r="AG50" s="131">
        <f>IFERROR('Price History'!L3+(INDEX('Price History'!L:L,MATCH(9.99E+307,'Returns (Calc)'!$A:$A)+1)-'Price History'!L3)*(ROW()-3)/(MATCH(9.99E+307,'Returns (Calc)'!$A:$A)-3),"")</f>
        <v>200.87917721518988</v>
      </c>
      <c r="AH50" s="131">
        <f>IFERROR('Price History'!M3+(INDEX('Price History'!M:M,MATCH(9.99E+307,'Returns (Calc)'!$A:$A)+1)-'Price History'!M3)*(ROW()-3)/(MATCH(9.99E+307,'Returns (Calc)'!$A:$A)-3),"")</f>
        <v>101.72582278481013</v>
      </c>
      <c r="AI50" s="131">
        <f>IFERROR('Price History'!N3+(INDEX('Price History'!N:N,MATCH(9.99E+307,'Returns (Calc)'!$A:$A)+1)-'Price History'!N3)*(ROW()-3)/(MATCH(9.99E+307,'Returns (Calc)'!$A:$A)-3),"")</f>
        <v>395.25449367088606</v>
      </c>
      <c r="AJ50" s="131">
        <f>IFERROR('Price History'!O3+(INDEX('Price History'!O:O,MATCH(9.99E+307,'Returns (Calc)'!$A:$A)+1)-'Price History'!O3)*(ROW()-3)/(MATCH(9.99E+307,'Returns (Calc)'!$A:$A)-3),"")</f>
        <v>88.612784810126584</v>
      </c>
      <c r="AK50" s="131">
        <f>IFERROR('Price History'!Q3+(INDEX('Price History'!Q:Q,MATCH(9.99E+307,'Returns (Calc)'!$A:$A)+1)-'Price History'!Q3)*(ROW()-3)/(MATCH(9.99E+307,'Returns (Calc)'!$A:$A)-3),"")</f>
        <v>20.650253164556965</v>
      </c>
      <c r="AL50" s="131">
        <f>IFERROR('Price History'!R3+(INDEX('Price History'!R:R,MATCH(9.99E+307,'Returns (Calc)'!$A:$A)+1)-'Price History'!R3)*(ROW()-3)/(MATCH(9.99E+307,'Returns (Calc)'!$A:$A)-3),"")</f>
        <v>42.380759493670887</v>
      </c>
      <c r="AM50" s="131">
        <f>IFERROR('Price History'!S3+(INDEX('Price History'!S:S,MATCH(9.99E+307,'Returns (Calc)'!$A:$A)+1)-'Price History'!S3)*(ROW()-3)/(MATCH(9.99E+307,'Returns (Calc)'!$A:$A)-3),"")</f>
        <v>86.067974683544307</v>
      </c>
      <c r="AN50" s="131">
        <f>IFERROR('Price History'!T3+(INDEX('Price History'!T:T,MATCH(9.99E+307,'Returns (Calc)'!$A:$A)+1)-'Price History'!T3)*(ROW()-3)/(MATCH(9.99E+307,'Returns (Calc)'!$A:$A)-3),"")</f>
        <v>33.146708860759489</v>
      </c>
      <c r="AO50" s="132">
        <f>IFERROR('Price History'!V3+(INDEX('Price History'!V:V,MATCH(9.99E+307,'Returns (Calc)'!$A:$A)+1)-'Price History'!V3)*(ROW()-3)/(MATCH(9.99E+307,'Returns (Calc)'!$A:$A)-3),"")</f>
        <v>272.82246835443038</v>
      </c>
      <c r="AP50" s="130">
        <f>IFERROR(IF(OR(NOT(ISNUMBER('Price History'!W51)),NOT(ISNUMBER('Price History'!W50)),'Price History'!W50=0),"",'Price History'!W51/'Price History'!W50-1),"")</f>
        <v>2.7990493794560312E-2</v>
      </c>
      <c r="AQ50" s="130" t="str">
        <f>IFERROR(IF(OR(NOT(ISNUMBER('Price History'!X51)),NOT(ISNUMBER('Price History'!X50)),'Price History'!X50=0),"",'Price History'!X51/'Price History'!X50-1),"")</f>
        <v/>
      </c>
      <c r="AR50" s="130">
        <f>IFERROR(IF(OR(NOT(ISNUMBER('Price History'!Y51)),NOT(ISNUMBER('Price History'!Y50)),'Price History'!Y50=0),"",'Price History'!Y51/'Price History'!Y50-1),"")</f>
        <v>2.1353065539112093E-2</v>
      </c>
      <c r="AS50" s="130">
        <f>IFERROR(IF(OR(NOT(ISNUMBER('Price History'!Z51)),NOT(ISNUMBER('Price History'!Z50)),'Price History'!Z50=0),"",'Price History'!Z51/'Price History'!Z50-1),"")</f>
        <v>1.3678731388451659E-2</v>
      </c>
      <c r="AT50" s="130">
        <f>IFERROR(IF(OR(NOT(ISNUMBER('Price History'!AA51)),NOT(ISNUMBER('Price History'!AA50)),'Price History'!AA50=0),"",'Price History'!AA51/'Price History'!AA50-1),"")</f>
        <v>6.3416942735447179E-2</v>
      </c>
    </row>
    <row r="51" spans="1:46" ht="15" customHeight="1" x14ac:dyDescent="0.2">
      <c r="A51" s="128">
        <f>IF('Price History'!A52="","",'Price History'!A52)</f>
        <v>45527</v>
      </c>
      <c r="B51" s="129">
        <f>IFERROR(IF(OR(NOT(ISNUMBER('Price History'!B52)),NOT(ISNUMBER('Price History'!B51)),'Price History'!B51=0),"",'Price History'!B52/'Price History'!B51-1),"")</f>
        <v>8.7449860875219443E-3</v>
      </c>
      <c r="C51" s="129">
        <f>IFERROR(IF(OR(NOT(ISNUMBER('Price History'!C52)),NOT(ISNUMBER('Price History'!C51)),'Price History'!C51=0),"",'Price History'!C52/'Price History'!C51-1),"")</f>
        <v>3.5040126596586063E-3</v>
      </c>
      <c r="D51" s="129">
        <f>IFERROR(IF(OR(NOT(ISNUMBER('Price History'!D52)),NOT(ISNUMBER('Price History'!D51)),'Price History'!D51=0),"",'Price History'!D52/'Price History'!D51-1),"")</f>
        <v>-1.241809810518868E-2</v>
      </c>
      <c r="E51" s="129">
        <f>IFERROR(IF(OR(NOT(ISNUMBER('Price History'!E52)),NOT(ISNUMBER('Price History'!E51)),'Price History'!E51=0),"",'Price History'!E52/'Price History'!E51-1),"")</f>
        <v>3.8184393668780903E-3</v>
      </c>
      <c r="F51" s="129">
        <f>IFERROR(IF(OR(NOT(ISNUMBER('Price History'!F52)),NOT(ISNUMBER('Price History'!F51)),'Price History'!F51=0),"",'Price History'!F52/'Price History'!F51-1),"")</f>
        <v>3.427787934186477E-2</v>
      </c>
      <c r="G51" s="129">
        <f>IFERROR(IF(OR(NOT(ISNUMBER('Price History'!G52)),NOT(ISNUMBER('Price History'!G51)),'Price History'!G51=0),"",'Price History'!G52/'Price History'!G51-1),"")</f>
        <v>-2.1055239038890727E-3</v>
      </c>
      <c r="H51" s="129">
        <f>IFERROR(IF(OR(NOT(ISNUMBER('Price History'!H52)),NOT(ISNUMBER('Price History'!H51)),'Price History'!H51=0),"",'Price History'!H52/'Price History'!H51-1),"")</f>
        <v>-4.7614610510622435E-2</v>
      </c>
      <c r="I51" s="129">
        <f>IFERROR(IF(OR(NOT(ISNUMBER('Price History'!I52)),NOT(ISNUMBER('Price History'!I51)),'Price History'!I51=0),"",'Price History'!I52/'Price History'!I51-1),"")</f>
        <v>3.8393432066967215E-2</v>
      </c>
      <c r="J51" s="129">
        <f>IFERROR(IF(OR(NOT(ISNUMBER('Price History'!J52)),NOT(ISNUMBER('Price History'!J51)),'Price History'!J51=0),"",'Price History'!J52/'Price History'!J51-1),"")</f>
        <v>4.8921620199894766E-2</v>
      </c>
      <c r="K51" s="129">
        <f>IFERROR(IF(OR(NOT(ISNUMBER('Price History'!K52)),NOT(ISNUMBER('Price History'!K51)),'Price History'!K51=0),"",'Price History'!K52/'Price History'!K51-1),"")</f>
        <v>-9.3516209476308676E-3</v>
      </c>
      <c r="L51" s="129">
        <f>IFERROR(IF(OR(NOT(ISNUMBER('Price History'!L52)),NOT(ISNUMBER('Price History'!L51)),'Price History'!L51=0),"",'Price History'!L52/'Price History'!L51-1),"")</f>
        <v>-1.8678922868422654E-2</v>
      </c>
      <c r="M51" s="129">
        <f>IFERROR(IF(OR(NOT(ISNUMBER('Price History'!M52)),NOT(ISNUMBER('Price History'!M51)),'Price History'!M51=0),"",'Price History'!M52/'Price History'!M51-1),"")</f>
        <v>-1.0983461684130669E-2</v>
      </c>
      <c r="N51" s="129">
        <f>IFERROR(IF(OR(NOT(ISNUMBER('Price History'!N52)),NOT(ISNUMBER('Price History'!N51)),'Price History'!N51=0),"",'Price History'!N52/'Price History'!N51-1),"")</f>
        <v>8.1069191612375135E-3</v>
      </c>
      <c r="O51" s="129">
        <f>IFERROR(IF(OR(NOT(ISNUMBER('Price History'!O52)),NOT(ISNUMBER('Price History'!O51)),'Price History'!O51=0),"",'Price History'!O52/'Price History'!O51-1),"")</f>
        <v>3.1065582897227495E-2</v>
      </c>
      <c r="P51" s="129">
        <f>IFERROR(IF(OR(NOT(ISNUMBER('Price History'!P52)),NOT(ISNUMBER('Price History'!P51)),'Price History'!P51=0),"",'Price History'!P52/'Price History'!P51-1),"")</f>
        <v>2.0782703427470128E-2</v>
      </c>
      <c r="Q51" s="129">
        <f>IFERROR(IF(OR(NOT(ISNUMBER('Price History'!Q52)),NOT(ISNUMBER('Price History'!Q51)),'Price History'!Q51=0),"",'Price History'!Q52/'Price History'!Q51-1),"")</f>
        <v>8.8737201365187701E-3</v>
      </c>
      <c r="R51" s="129">
        <f>IFERROR(IF(OR(NOT(ISNUMBER('Price History'!R52)),NOT(ISNUMBER('Price History'!R51)),'Price History'!R51=0),"",'Price History'!R52/'Price History'!R51-1),"")</f>
        <v>8.3812260536397787E-3</v>
      </c>
      <c r="S51" s="129">
        <f>IFERROR(IF(OR(NOT(ISNUMBER('Price History'!S52)),NOT(ISNUMBER('Price History'!S51)),'Price History'!S51=0),"",'Price History'!S52/'Price History'!S51-1),"")</f>
        <v>1.3804210284136476E-2</v>
      </c>
      <c r="T51" s="129">
        <f>IFERROR(IF(OR(NOT(ISNUMBER('Price History'!T52)),NOT(ISNUMBER('Price History'!T51)),'Price History'!T51=0),"",'Price History'!T52/'Price History'!T51-1),"")</f>
        <v>3.2776349614395794E-2</v>
      </c>
      <c r="U51" s="129">
        <f>IFERROR(IF(OR(NOT(ISNUMBER('Price History'!U52)),NOT(ISNUMBER('Price History'!U51)),'Price History'!U51=0),"",'Price History'!U52/'Price History'!U51-1),"")</f>
        <v>1.8650793650793807E-2</v>
      </c>
      <c r="V51" s="130">
        <f>IFERROR(IF(OR(NOT(ISNUMBER('Price History'!V52)),NOT(ISNUMBER('Price History'!V51)),'Price History'!V51=0),"",'Price History'!V52/'Price History'!V51-1),"")</f>
        <v>2.2778178505000746E-4</v>
      </c>
      <c r="W51" s="131">
        <f>IFERROR('Price History'!B3+(INDEX('Price History'!B:B,MATCH(9.99E+307,'Returns (Calc)'!$A:$A)+1)-'Price History'!B3)*(ROW()-3)/(MATCH(9.99E+307,'Returns (Calc)'!$A:$A)-3),"")</f>
        <v>440.42417721518984</v>
      </c>
      <c r="X51" s="131">
        <f>IFERROR('Price History'!C3+(INDEX('Price History'!C:C,MATCH(9.99E+307,'Returns (Calc)'!$A:$A)+1)-'Price History'!C3)*(ROW()-3)/(MATCH(9.99E+307,'Returns (Calc)'!$A:$A)-3),"")</f>
        <v>95.143037974683551</v>
      </c>
      <c r="Y51" s="131">
        <f>IFERROR('Price History'!D3+(INDEX('Price History'!D:D,MATCH(9.99E+307,'Returns (Calc)'!$A:$A)+1)-'Price History'!D3)*(ROW()-3)/(MATCH(9.99E+307,'Returns (Calc)'!$A:$A)-3),"")</f>
        <v>972.48088607594934</v>
      </c>
      <c r="Z51" s="131">
        <f>IFERROR('Price History'!E3+(INDEX('Price History'!E:E,MATCH(9.99E+307,'Returns (Calc)'!$A:$A)+1)-'Price History'!E3)*(ROW()-3)/(MATCH(9.99E+307,'Returns (Calc)'!$A:$A)-3),"")</f>
        <v>164.97924050632912</v>
      </c>
      <c r="AA51" s="131">
        <f>IFERROR('Price History'!F3+(INDEX('Price History'!F:F,MATCH(9.99E+307,'Returns (Calc)'!$A:$A)+1)-'Price History'!F3)*(ROW()-3)/(MATCH(9.99E+307,'Returns (Calc)'!$A:$A)-3),"")</f>
        <v>110.83240506329113</v>
      </c>
      <c r="AB51" s="131">
        <f>IFERROR('Price History'!G3+(INDEX('Price History'!G:G,MATCH(9.99E+307,'Returns (Calc)'!$A:$A)+1)-'Price History'!G3)*(ROW()-3)/(MATCH(9.99E+307,'Returns (Calc)'!$A:$A)-3),"")</f>
        <v>93.72924050632912</v>
      </c>
      <c r="AC51" s="131">
        <f>IFERROR('Price History'!H3+(INDEX('Price History'!H:H,MATCH(9.99E+307,'Returns (Calc)'!$A:$A)+1)-'Price History'!H3)*(ROW()-3)/(MATCH(9.99E+307,'Returns (Calc)'!$A:$A)-3),"")</f>
        <v>374.66341772151901</v>
      </c>
      <c r="AD51" s="131">
        <f>IFERROR('Price History'!I3+(INDEX('Price History'!I:I,MATCH(9.99E+307,'Returns (Calc)'!$A:$A)+1)-'Price History'!I3)*(ROW()-3)/(MATCH(9.99E+307,'Returns (Calc)'!$A:$A)-3),"")</f>
        <v>101.54620253164558</v>
      </c>
      <c r="AE51" s="131">
        <f>IFERROR('Price History'!J3+(INDEX('Price History'!J:J,MATCH(9.99E+307,'Returns (Calc)'!$A:$A)+1)-'Price History'!J3)*(ROW()-3)/(MATCH(9.99E+307,'Returns (Calc)'!$A:$A)-3),"")</f>
        <v>117.02582278481013</v>
      </c>
      <c r="AF51" s="131">
        <f>IFERROR('Price History'!K3+(INDEX('Price History'!K:K,MATCH(9.99E+307,'Returns (Calc)'!$A:$A)+1)-'Price History'!K3)*(ROW()-3)/(MATCH(9.99E+307,'Returns (Calc)'!$A:$A)-3),"")</f>
        <v>68.014556962025324</v>
      </c>
      <c r="AG51" s="131">
        <f>IFERROR('Price History'!L3+(INDEX('Price History'!L:L,MATCH(9.99E+307,'Returns (Calc)'!$A:$A)+1)-'Price History'!L3)*(ROW()-3)/(MATCH(9.99E+307,'Returns (Calc)'!$A:$A)-3),"")</f>
        <v>203.32873417721518</v>
      </c>
      <c r="AH51" s="131">
        <f>IFERROR('Price History'!M3+(INDEX('Price History'!M:M,MATCH(9.99E+307,'Returns (Calc)'!$A:$A)+1)-'Price History'!M3)*(ROW()-3)/(MATCH(9.99E+307,'Returns (Calc)'!$A:$A)-3),"")</f>
        <v>103.08126582278481</v>
      </c>
      <c r="AI51" s="131">
        <f>IFERROR('Price History'!N3+(INDEX('Price History'!N:N,MATCH(9.99E+307,'Returns (Calc)'!$A:$A)+1)-'Price History'!N3)*(ROW()-3)/(MATCH(9.99E+307,'Returns (Calc)'!$A:$A)-3),"")</f>
        <v>396.24075949367091</v>
      </c>
      <c r="AJ51" s="131">
        <f>IFERROR('Price History'!O3+(INDEX('Price History'!O:O,MATCH(9.99E+307,'Returns (Calc)'!$A:$A)+1)-'Price History'!O3)*(ROW()-3)/(MATCH(9.99E+307,'Returns (Calc)'!$A:$A)-3),"")</f>
        <v>88.895822784810122</v>
      </c>
      <c r="AK51" s="131">
        <f>IFERROR('Price History'!Q3+(INDEX('Price History'!Q:Q,MATCH(9.99E+307,'Returns (Calc)'!$A:$A)+1)-'Price History'!Q3)*(ROW()-3)/(MATCH(9.99E+307,'Returns (Calc)'!$A:$A)-3),"")</f>
        <v>21.089620253164558</v>
      </c>
      <c r="AL51" s="131">
        <f>IFERROR('Price History'!R3+(INDEX('Price History'!R:R,MATCH(9.99E+307,'Returns (Calc)'!$A:$A)+1)-'Price History'!R3)*(ROW()-3)/(MATCH(9.99E+307,'Returns (Calc)'!$A:$A)-3),"")</f>
        <v>42.548860759493671</v>
      </c>
      <c r="AM51" s="131">
        <f>IFERROR('Price History'!S3+(INDEX('Price History'!S:S,MATCH(9.99E+307,'Returns (Calc)'!$A:$A)+1)-'Price History'!S3)*(ROW()-3)/(MATCH(9.99E+307,'Returns (Calc)'!$A:$A)-3),"")</f>
        <v>86.673037974683538</v>
      </c>
      <c r="AN51" s="131">
        <f>IFERROR('Price History'!T3+(INDEX('Price History'!T:T,MATCH(9.99E+307,'Returns (Calc)'!$A:$A)+1)-'Price History'!T3)*(ROW()-3)/(MATCH(9.99E+307,'Returns (Calc)'!$A:$A)-3),"")</f>
        <v>33.314936708860756</v>
      </c>
      <c r="AO51" s="132">
        <f>IFERROR('Price History'!V3+(INDEX('Price History'!V:V,MATCH(9.99E+307,'Returns (Calc)'!$A:$A)+1)-'Price History'!V3)*(ROW()-3)/(MATCH(9.99E+307,'Returns (Calc)'!$A:$A)-3),"")</f>
        <v>273.61379746835445</v>
      </c>
      <c r="AP51" s="130">
        <f>IFERROR(IF(OR(NOT(ISNUMBER('Price History'!W52)),NOT(ISNUMBER('Price History'!W51)),'Price History'!W51=0),"",'Price History'!W52/'Price History'!W51-1),"")</f>
        <v>1.6525387447555273E-2</v>
      </c>
      <c r="AQ51" s="130" t="str">
        <f>IFERROR(IF(OR(NOT(ISNUMBER('Price History'!X52)),NOT(ISNUMBER('Price History'!X51)),'Price History'!X51=0),"",'Price History'!X52/'Price History'!X51-1),"")</f>
        <v/>
      </c>
      <c r="AR51" s="130">
        <f>IFERROR(IF(OR(NOT(ISNUMBER('Price History'!Y52)),NOT(ISNUMBER('Price History'!Y51)),'Price History'!Y51=0),"",'Price History'!Y52/'Price History'!Y51-1),"")</f>
        <v>8.6938522045123534E-3</v>
      </c>
      <c r="AS51" s="130">
        <f>IFERROR(IF(OR(NOT(ISNUMBER('Price History'!Z52)),NOT(ISNUMBER('Price History'!Z51)),'Price History'!Z51=0),"",'Price History'!Z52/'Price History'!Z51-1),"")</f>
        <v>1.0628134702651115E-2</v>
      </c>
      <c r="AT51" s="130">
        <f>IFERROR(IF(OR(NOT(ISNUMBER('Price History'!AA52)),NOT(ISNUMBER('Price History'!AA51)),'Price History'!AA51=0),"",'Price History'!AA52/'Price History'!AA51-1),"")</f>
        <v>1.8691588785046731E-2</v>
      </c>
    </row>
    <row r="52" spans="1:46" ht="15" customHeight="1" x14ac:dyDescent="0.2">
      <c r="A52" s="128">
        <f>IF('Price History'!A53="","",'Price History'!A53)</f>
        <v>45534</v>
      </c>
      <c r="B52" s="129">
        <f>IFERROR(IF(OR(NOT(ISNUMBER('Price History'!B53)),NOT(ISNUMBER('Price History'!B52)),'Price History'!B52=0),"",'Price History'!B53/'Price History'!B52-1),"")</f>
        <v>2.8855454056958552E-2</v>
      </c>
      <c r="C52" s="129">
        <f>IFERROR(IF(OR(NOT(ISNUMBER('Price History'!C53)),NOT(ISNUMBER('Price History'!C52)),'Price History'!C52=0),"",'Price History'!C53/'Price History'!C52-1),"")</f>
        <v>-4.8434332056770391E-3</v>
      </c>
      <c r="D52" s="129">
        <f>IFERROR(IF(OR(NOT(ISNUMBER('Price History'!D53)),NOT(ISNUMBER('Price History'!D52)),'Price History'!D52=0),"",'Price History'!D53/'Price History'!D52-1),"")</f>
        <v>-3.7319287235233478E-3</v>
      </c>
      <c r="E52" s="129">
        <f>IFERROR(IF(OR(NOT(ISNUMBER('Price History'!E53)),NOT(ISNUMBER('Price History'!E52)),'Price History'!E52=0),"",'Price History'!E53/'Price History'!E52-1),"")</f>
        <v>-2.1289649671758948E-2</v>
      </c>
      <c r="F52" s="129">
        <f>IFERROR(IF(OR(NOT(ISNUMBER('Price History'!F53)),NOT(ISNUMBER('Price History'!F52)),'Price History'!F52=0),"",'Price History'!F53/'Price History'!F52-1),"")</f>
        <v>2.1063485049344521E-2</v>
      </c>
      <c r="G52" s="129">
        <f>IFERROR(IF(OR(NOT(ISNUMBER('Price History'!G53)),NOT(ISNUMBER('Price History'!G52)),'Price History'!G52=0),"",'Price History'!G53/'Price History'!G52-1),"")</f>
        <v>1.8617351371479351E-3</v>
      </c>
      <c r="H52" s="129">
        <f>IFERROR(IF(OR(NOT(ISNUMBER('Price History'!H53)),NOT(ISNUMBER('Price History'!H52)),'Price History'!H52=0),"",'Price History'!H53/'Price History'!H52-1),"")</f>
        <v>-6.4279424713824418E-2</v>
      </c>
      <c r="I52" s="129">
        <f>IFERROR(IF(OR(NOT(ISNUMBER('Price History'!I53)),NOT(ISNUMBER('Price History'!I52)),'Price History'!I52=0),"",'Price History'!I53/'Price History'!I52-1),"")</f>
        <v>-7.7280830943337597E-2</v>
      </c>
      <c r="J52" s="129">
        <f>IFERROR(IF(OR(NOT(ISNUMBER('Price History'!J53)),NOT(ISNUMBER('Price History'!J52)),'Price History'!J52=0),"",'Price History'!J53/'Price History'!J52-1),"")</f>
        <v>-8.1076563022400849E-3</v>
      </c>
      <c r="K52" s="129">
        <f>IFERROR(IF(OR(NOT(ISNUMBER('Price History'!K53)),NOT(ISNUMBER('Price History'!K52)),'Price History'!K52=0),"",'Price History'!K53/'Price History'!K52-1),"")</f>
        <v>-9.4398993077406956E-3</v>
      </c>
      <c r="L52" s="129">
        <f>IFERROR(IF(OR(NOT(ISNUMBER('Price History'!L53)),NOT(ISNUMBER('Price History'!L52)),'Price History'!L52=0),"",'Price History'!L53/'Price History'!L52-1),"")</f>
        <v>2.4618710219765916E-3</v>
      </c>
      <c r="M52" s="129">
        <f>IFERROR(IF(OR(NOT(ISNUMBER('Price History'!M53)),NOT(ISNUMBER('Price History'!M52)),'Price History'!M52=0),"",'Price History'!M53/'Price History'!M52-1),"")</f>
        <v>5.7058973704365634E-2</v>
      </c>
      <c r="N52" s="129">
        <f>IFERROR(IF(OR(NOT(ISNUMBER('Price History'!N53)),NOT(ISNUMBER('Price History'!N52)),'Price History'!N52=0),"",'Price History'!N53/'Price History'!N52-1),"")</f>
        <v>3.0442191006566421E-2</v>
      </c>
      <c r="O52" s="129">
        <f>IFERROR(IF(OR(NOT(ISNUMBER('Price History'!O53)),NOT(ISNUMBER('Price History'!O52)),'Price History'!O52=0),"",'Price History'!O53/'Price History'!O52-1),"")</f>
        <v>5.399568034558655E-4</v>
      </c>
      <c r="P52" s="129">
        <f>IFERROR(IF(OR(NOT(ISNUMBER('Price History'!P53)),NOT(ISNUMBER('Price History'!P52)),'Price History'!P52=0),"",'Price History'!P53/'Price History'!P52-1),"")</f>
        <v>1.3709876036450241E-2</v>
      </c>
      <c r="Q52" s="129">
        <f>IFERROR(IF(OR(NOT(ISNUMBER('Price History'!Q53)),NOT(ISNUMBER('Price History'!Q52)),'Price History'!Q52=0),"",'Price History'!Q53/'Price History'!Q52-1),"")</f>
        <v>3.5520974289580121E-3</v>
      </c>
      <c r="R52" s="129">
        <f>IFERROR(IF(OR(NOT(ISNUMBER('Price History'!R53)),NOT(ISNUMBER('Price History'!R52)),'Price History'!R52=0),"",'Price History'!R53/'Price History'!R52-1),"")</f>
        <v>3.3246259795773891E-3</v>
      </c>
      <c r="S52" s="129">
        <f>IFERROR(IF(OR(NOT(ISNUMBER('Price History'!S53)),NOT(ISNUMBER('Price History'!S52)),'Price History'!S52=0),"",'Price History'!S53/'Price History'!S52-1),"")</f>
        <v>-3.9714058776806338E-3</v>
      </c>
      <c r="T52" s="129">
        <f>IFERROR(IF(OR(NOT(ISNUMBER('Price History'!T53)),NOT(ISNUMBER('Price History'!T52)),'Price History'!T52=0),"",'Price History'!T53/'Price History'!T52-1),"")</f>
        <v>3.1113876789048422E-3</v>
      </c>
      <c r="U52" s="129">
        <f>IFERROR(IF(OR(NOT(ISNUMBER('Price History'!U53)),NOT(ISNUMBER('Price History'!U52)),'Price History'!U52=0),"",'Price History'!U53/'Price History'!U52-1),"")</f>
        <v>1.2465913517724747E-2</v>
      </c>
      <c r="V52" s="130">
        <f>IFERROR(IF(OR(NOT(ISNUMBER('Price History'!V53)),NOT(ISNUMBER('Price History'!V52)),'Price History'!V52=0),"",'Price History'!V53/'Price History'!V52-1),"")</f>
        <v>3.3400387140850807E-2</v>
      </c>
      <c r="W52" s="131">
        <f>IFERROR('Price History'!B3+(INDEX('Price History'!B:B,MATCH(9.99E+307,'Returns (Calc)'!$A:$A)+1)-'Price History'!B3)*(ROW()-3)/(MATCH(9.99E+307,'Returns (Calc)'!$A:$A)-3),"")</f>
        <v>438.58113924050633</v>
      </c>
      <c r="X52" s="131">
        <f>IFERROR('Price History'!C3+(INDEX('Price History'!C:C,MATCH(9.99E+307,'Returns (Calc)'!$A:$A)+1)-'Price History'!C3)*(ROW()-3)/(MATCH(9.99E+307,'Returns (Calc)'!$A:$A)-3),"")</f>
        <v>96.163101265822775</v>
      </c>
      <c r="Y52" s="131">
        <f>IFERROR('Price History'!D3+(INDEX('Price History'!D:D,MATCH(9.99E+307,'Returns (Calc)'!$A:$A)+1)-'Price History'!D3)*(ROW()-3)/(MATCH(9.99E+307,'Returns (Calc)'!$A:$A)-3),"")</f>
        <v>980.61569620253158</v>
      </c>
      <c r="Z52" s="131">
        <f>IFERROR('Price History'!E3+(INDEX('Price History'!E:E,MATCH(9.99E+307,'Returns (Calc)'!$A:$A)+1)-'Price History'!E3)*(ROW()-3)/(MATCH(9.99E+307,'Returns (Calc)'!$A:$A)-3),"")</f>
        <v>166.70797468354431</v>
      </c>
      <c r="AA52" s="131">
        <f>IFERROR('Price History'!F3+(INDEX('Price History'!F:F,MATCH(9.99E+307,'Returns (Calc)'!$A:$A)+1)-'Price History'!F3)*(ROW()-3)/(MATCH(9.99E+307,'Returns (Calc)'!$A:$A)-3),"")</f>
        <v>112.27974683544304</v>
      </c>
      <c r="AB52" s="131">
        <f>IFERROR('Price History'!G3+(INDEX('Price History'!G:G,MATCH(9.99E+307,'Returns (Calc)'!$A:$A)+1)-'Price History'!G3)*(ROW()-3)/(MATCH(9.99E+307,'Returns (Calc)'!$A:$A)-3),"")</f>
        <v>94.757974683544305</v>
      </c>
      <c r="AC52" s="131">
        <f>IFERROR('Price History'!H3+(INDEX('Price History'!H:H,MATCH(9.99E+307,'Returns (Calc)'!$A:$A)+1)-'Price History'!H3)*(ROW()-3)/(MATCH(9.99E+307,'Returns (Calc)'!$A:$A)-3),"")</f>
        <v>381.02911392405065</v>
      </c>
      <c r="AD52" s="131">
        <f>IFERROR('Price History'!I3+(INDEX('Price History'!I:I,MATCH(9.99E+307,'Returns (Calc)'!$A:$A)+1)-'Price History'!I3)*(ROW()-3)/(MATCH(9.99E+307,'Returns (Calc)'!$A:$A)-3),"")</f>
        <v>102.74987341772152</v>
      </c>
      <c r="AE52" s="131">
        <f>IFERROR('Price History'!J3+(INDEX('Price History'!J:J,MATCH(9.99E+307,'Returns (Calc)'!$A:$A)+1)-'Price History'!J3)*(ROW()-3)/(MATCH(9.99E+307,'Returns (Calc)'!$A:$A)-3),"")</f>
        <v>117.13386075949367</v>
      </c>
      <c r="AF52" s="131">
        <f>IFERROR('Price History'!K3+(INDEX('Price History'!K:K,MATCH(9.99E+307,'Returns (Calc)'!$A:$A)+1)-'Price History'!K3)*(ROW()-3)/(MATCH(9.99E+307,'Returns (Calc)'!$A:$A)-3),"")</f>
        <v>69.112151898734183</v>
      </c>
      <c r="AG52" s="131">
        <f>IFERROR('Price History'!L3+(INDEX('Price History'!L:L,MATCH(9.99E+307,'Returns (Calc)'!$A:$A)+1)-'Price History'!L3)*(ROW()-3)/(MATCH(9.99E+307,'Returns (Calc)'!$A:$A)-3),"")</f>
        <v>205.77829113924048</v>
      </c>
      <c r="AH52" s="131">
        <f>IFERROR('Price History'!M3+(INDEX('Price History'!M:M,MATCH(9.99E+307,'Returns (Calc)'!$A:$A)+1)-'Price History'!M3)*(ROW()-3)/(MATCH(9.99E+307,'Returns (Calc)'!$A:$A)-3),"")</f>
        <v>104.4367088607595</v>
      </c>
      <c r="AI52" s="131">
        <f>IFERROR('Price History'!N3+(INDEX('Price History'!N:N,MATCH(9.99E+307,'Returns (Calc)'!$A:$A)+1)-'Price History'!N3)*(ROW()-3)/(MATCH(9.99E+307,'Returns (Calc)'!$A:$A)-3),"")</f>
        <v>397.22702531645569</v>
      </c>
      <c r="AJ52" s="131">
        <f>IFERROR('Price History'!O3+(INDEX('Price History'!O:O,MATCH(9.99E+307,'Returns (Calc)'!$A:$A)+1)-'Price History'!O3)*(ROW()-3)/(MATCH(9.99E+307,'Returns (Calc)'!$A:$A)-3),"")</f>
        <v>89.178860759493674</v>
      </c>
      <c r="AK52" s="131">
        <f>IFERROR('Price History'!Q3+(INDEX('Price History'!Q:Q,MATCH(9.99E+307,'Returns (Calc)'!$A:$A)+1)-'Price History'!Q3)*(ROW()-3)/(MATCH(9.99E+307,'Returns (Calc)'!$A:$A)-3),"")</f>
        <v>21.528987341772151</v>
      </c>
      <c r="AL52" s="131">
        <f>IFERROR('Price History'!R3+(INDEX('Price History'!R:R,MATCH(9.99E+307,'Returns (Calc)'!$A:$A)+1)-'Price History'!R3)*(ROW()-3)/(MATCH(9.99E+307,'Returns (Calc)'!$A:$A)-3),"")</f>
        <v>42.716962025316455</v>
      </c>
      <c r="AM52" s="131">
        <f>IFERROR('Price History'!S3+(INDEX('Price History'!S:S,MATCH(9.99E+307,'Returns (Calc)'!$A:$A)+1)-'Price History'!S3)*(ROW()-3)/(MATCH(9.99E+307,'Returns (Calc)'!$A:$A)-3),"")</f>
        <v>87.278101265822784</v>
      </c>
      <c r="AN52" s="131">
        <f>IFERROR('Price History'!T3+(INDEX('Price History'!T:T,MATCH(9.99E+307,'Returns (Calc)'!$A:$A)+1)-'Price History'!T3)*(ROW()-3)/(MATCH(9.99E+307,'Returns (Calc)'!$A:$A)-3),"")</f>
        <v>33.483164556962024</v>
      </c>
      <c r="AO52" s="132">
        <f>IFERROR('Price History'!V3+(INDEX('Price History'!V:V,MATCH(9.99E+307,'Returns (Calc)'!$A:$A)+1)-'Price History'!V3)*(ROW()-3)/(MATCH(9.99E+307,'Returns (Calc)'!$A:$A)-3),"")</f>
        <v>274.40512658227851</v>
      </c>
      <c r="AP52" s="130">
        <f>IFERROR(IF(OR(NOT(ISNUMBER('Price History'!W53)),NOT(ISNUMBER('Price History'!W52)),'Price History'!W52=0),"",'Price History'!W53/'Price History'!W52-1),"")</f>
        <v>1.2634770889487834E-2</v>
      </c>
      <c r="AQ52" s="130" t="str">
        <f>IFERROR(IF(OR(NOT(ISNUMBER('Price History'!X53)),NOT(ISNUMBER('Price History'!X52)),'Price History'!X52=0),"",'Price History'!X53/'Price History'!X52-1),"")</f>
        <v/>
      </c>
      <c r="AR52" s="130">
        <f>IFERROR(IF(OR(NOT(ISNUMBER('Price History'!Y53)),NOT(ISNUMBER('Price History'!Y52)),'Price History'!Y52=0),"",'Price History'!Y53/'Price History'!Y52-1),"")</f>
        <v>1.2312743689718797E-2</v>
      </c>
      <c r="AS52" s="130">
        <f>IFERROR(IF(OR(NOT(ISNUMBER('Price History'!Z53)),NOT(ISNUMBER('Price History'!Z52)),'Price History'!Z52=0),"",'Price History'!Z53/'Price History'!Z52-1),"")</f>
        <v>1.9851116625310361E-2</v>
      </c>
      <c r="AT52" s="130">
        <f>IFERROR(IF(OR(NOT(ISNUMBER('Price History'!AA53)),NOT(ISNUMBER('Price History'!AA52)),'Price History'!AA52=0),"",'Price History'!AA53/'Price History'!AA52-1),"")</f>
        <v>2.1406727828746197E-2</v>
      </c>
    </row>
    <row r="53" spans="1:46" ht="15" customHeight="1" x14ac:dyDescent="0.2">
      <c r="A53" s="128">
        <f>IF('Price History'!A54="","",'Price History'!A54)</f>
        <v>45541</v>
      </c>
      <c r="B53" s="129">
        <f>IFERROR(IF(OR(NOT(ISNUMBER('Price History'!B54)),NOT(ISNUMBER('Price History'!B53)),'Price History'!B53=0),"",'Price History'!B54/'Price History'!B53-1),"")</f>
        <v>-1.9150084434463199E-2</v>
      </c>
      <c r="C53" s="129">
        <f>IFERROR(IF(OR(NOT(ISNUMBER('Price History'!C54)),NOT(ISNUMBER('Price History'!C53)),'Price History'!C53=0),"",'Price History'!C54/'Price History'!C53-1),"")</f>
        <v>-0.11058290888511602</v>
      </c>
      <c r="D53" s="129">
        <f>IFERROR(IF(OR(NOT(ISNUMBER('Price History'!D54)),NOT(ISNUMBER('Price History'!D53)),'Price History'!D53=0),"",'Price History'!D54/'Price History'!D53-1),"")</f>
        <v>-0.16714849769958495</v>
      </c>
      <c r="E53" s="129">
        <f>IFERROR(IF(OR(NOT(ISNUMBER('Price History'!E54)),NOT(ISNUMBER('Price History'!E53)),'Price History'!E53=0),"",'Price History'!E54/'Price History'!E53-1),"")</f>
        <v>-0.15853811434302922</v>
      </c>
      <c r="F53" s="129">
        <f>IFERROR(IF(OR(NOT(ISNUMBER('Price History'!F54)),NOT(ISNUMBER('Price History'!F53)),'Price History'!F53=0),"",'Price History'!F54/'Price History'!F53-1),"")</f>
        <v>-0.11136757068667036</v>
      </c>
      <c r="G53" s="129">
        <f>IFERROR(IF(OR(NOT(ISNUMBER('Price History'!G54)),NOT(ISNUMBER('Price History'!G53)),'Price History'!G53=0),"",'Price History'!G54/'Price History'!G53-1),"")</f>
        <v>-0.14234390485629334</v>
      </c>
      <c r="H53" s="129">
        <f>IFERROR(IF(OR(NOT(ISNUMBER('Price History'!H54)),NOT(ISNUMBER('Price History'!H53)),'Price History'!H53=0),"",'Price History'!H54/'Price History'!H53-1),"")</f>
        <v>-0.10246758678377244</v>
      </c>
      <c r="I53" s="129">
        <f>IFERROR(IF(OR(NOT(ISNUMBER('Price History'!I54)),NOT(ISNUMBER('Price History'!I53)),'Price History'!I53=0),"",'Price History'!I54/'Price History'!I53-1),"")</f>
        <v>-0.13852486559139787</v>
      </c>
      <c r="J53" s="129">
        <f>IFERROR(IF(OR(NOT(ISNUMBER('Price History'!J54)),NOT(ISNUMBER('Price History'!J53)),'Price History'!J53=0),"",'Price History'!J54/'Price History'!J53-1),"")</f>
        <v>-4.5504339765737312E-3</v>
      </c>
      <c r="K53" s="129">
        <f>IFERROR(IF(OR(NOT(ISNUMBER('Price History'!K54)),NOT(ISNUMBER('Price History'!K53)),'Price History'!K53=0),"",'Price History'!K54/'Price History'!K53-1),"")</f>
        <v>-3.6531130876747198E-2</v>
      </c>
      <c r="L53" s="129">
        <f>IFERROR(IF(OR(NOT(ISNUMBER('Price History'!L54)),NOT(ISNUMBER('Price History'!L53)),'Price History'!L53=0),"",'Price History'!L54/'Price History'!L53-1),"")</f>
        <v>-8.6672656483977262E-2</v>
      </c>
      <c r="M53" s="129">
        <f>IFERROR(IF(OR(NOT(ISNUMBER('Price History'!M54)),NOT(ISNUMBER('Price History'!M53)),'Price History'!M53=0),"",'Price History'!M54/'Price History'!M53-1),"")</f>
        <v>-0.13561164110614665</v>
      </c>
      <c r="N53" s="129">
        <f>IFERROR(IF(OR(NOT(ISNUMBER('Price History'!N54)),NOT(ISNUMBER('Price History'!N53)),'Price History'!N53=0),"",'Price History'!N54/'Price History'!N53-1),"")</f>
        <v>-5.624231180302075E-2</v>
      </c>
      <c r="O53" s="129">
        <f>IFERROR(IF(OR(NOT(ISNUMBER('Price History'!O54)),NOT(ISNUMBER('Price History'!O53)),'Price History'!O53=0),"",'Price History'!O54/'Price History'!O53-1),"")</f>
        <v>-5.6664867781975214E-2</v>
      </c>
      <c r="P53" s="129">
        <f>IFERROR(IF(OR(NOT(ISNUMBER('Price History'!P54)),NOT(ISNUMBER('Price History'!P53)),'Price History'!P53=0),"",'Price History'!P54/'Price History'!P53-1),"")</f>
        <v>-2.1379980563654088E-2</v>
      </c>
      <c r="Q53" s="129">
        <f>IFERROR(IF(OR(NOT(ISNUMBER('Price History'!Q54)),NOT(ISNUMBER('Price History'!Q53)),'Price History'!Q53=0),"",'Price History'!Q54/'Price History'!Q53-1),"")</f>
        <v>-2.696780718017866E-2</v>
      </c>
      <c r="R53" s="129">
        <f>IFERROR(IF(OR(NOT(ISNUMBER('Price History'!R54)),NOT(ISNUMBER('Price History'!R53)),'Price History'!R53=0),"",'Price History'!R54/'Price History'!R53-1),"")</f>
        <v>-4.0236686390532572E-2</v>
      </c>
      <c r="S53" s="129">
        <f>IFERROR(IF(OR(NOT(ISNUMBER('Price History'!S54)),NOT(ISNUMBER('Price History'!S53)),'Price History'!S53=0),"",'Price History'!S54/'Price History'!S53-1),"")</f>
        <v>-5.9808612440191422E-2</v>
      </c>
      <c r="T53" s="129">
        <f>IFERROR(IF(OR(NOT(ISNUMBER('Price History'!T54)),NOT(ISNUMBER('Price History'!T53)),'Price History'!T53=0),"",'Price History'!T54/'Price History'!T53-1),"")</f>
        <v>-4.1253101736972719E-2</v>
      </c>
      <c r="U53" s="129">
        <f>IFERROR(IF(OR(NOT(ISNUMBER('Price History'!U54)),NOT(ISNUMBER('Price History'!U53)),'Price History'!U53=0),"",'Price History'!U54/'Price History'!U53-1),"")</f>
        <v>-3.001154290111574E-2</v>
      </c>
      <c r="V53" s="130">
        <f>IFERROR(IF(OR(NOT(ISNUMBER('Price History'!V54)),NOT(ISNUMBER('Price History'!V53)),'Price History'!V53=0),"",'Price History'!V54/'Price History'!V53-1),"")</f>
        <v>1.0834833070114458E-2</v>
      </c>
      <c r="W53" s="131">
        <f>IFERROR('Price History'!B3+(INDEX('Price History'!B:B,MATCH(9.99E+307,'Returns (Calc)'!$A:$A)+1)-'Price History'!B3)*(ROW()-3)/(MATCH(9.99E+307,'Returns (Calc)'!$A:$A)-3),"")</f>
        <v>436.73810126582276</v>
      </c>
      <c r="X53" s="131">
        <f>IFERROR('Price History'!C3+(INDEX('Price History'!C:C,MATCH(9.99E+307,'Returns (Calc)'!$A:$A)+1)-'Price History'!C3)*(ROW()-3)/(MATCH(9.99E+307,'Returns (Calc)'!$A:$A)-3),"")</f>
        <v>97.183164556962026</v>
      </c>
      <c r="Y53" s="131">
        <f>IFERROR('Price History'!D3+(INDEX('Price History'!D:D,MATCH(9.99E+307,'Returns (Calc)'!$A:$A)+1)-'Price History'!D3)*(ROW()-3)/(MATCH(9.99E+307,'Returns (Calc)'!$A:$A)-3),"")</f>
        <v>988.75050632911393</v>
      </c>
      <c r="Z53" s="131">
        <f>IFERROR('Price History'!E3+(INDEX('Price History'!E:E,MATCH(9.99E+307,'Returns (Calc)'!$A:$A)+1)-'Price History'!E3)*(ROW()-3)/(MATCH(9.99E+307,'Returns (Calc)'!$A:$A)-3),"")</f>
        <v>168.4367088607595</v>
      </c>
      <c r="AA53" s="131">
        <f>IFERROR('Price History'!F3+(INDEX('Price History'!F:F,MATCH(9.99E+307,'Returns (Calc)'!$A:$A)+1)-'Price History'!F3)*(ROW()-3)/(MATCH(9.99E+307,'Returns (Calc)'!$A:$A)-3),"")</f>
        <v>113.72708860759494</v>
      </c>
      <c r="AB53" s="131">
        <f>IFERROR('Price History'!G3+(INDEX('Price History'!G:G,MATCH(9.99E+307,'Returns (Calc)'!$A:$A)+1)-'Price History'!G3)*(ROW()-3)/(MATCH(9.99E+307,'Returns (Calc)'!$A:$A)-3),"")</f>
        <v>95.786708860759489</v>
      </c>
      <c r="AC53" s="131">
        <f>IFERROR('Price History'!H3+(INDEX('Price History'!H:H,MATCH(9.99E+307,'Returns (Calc)'!$A:$A)+1)-'Price History'!H3)*(ROW()-3)/(MATCH(9.99E+307,'Returns (Calc)'!$A:$A)-3),"")</f>
        <v>387.39481012658234</v>
      </c>
      <c r="AD53" s="131">
        <f>IFERROR('Price History'!I3+(INDEX('Price History'!I:I,MATCH(9.99E+307,'Returns (Calc)'!$A:$A)+1)-'Price History'!I3)*(ROW()-3)/(MATCH(9.99E+307,'Returns (Calc)'!$A:$A)-3),"")</f>
        <v>103.95354430379746</v>
      </c>
      <c r="AE53" s="131">
        <f>IFERROR('Price History'!J3+(INDEX('Price History'!J:J,MATCH(9.99E+307,'Returns (Calc)'!$A:$A)+1)-'Price History'!J3)*(ROW()-3)/(MATCH(9.99E+307,'Returns (Calc)'!$A:$A)-3),"")</f>
        <v>117.24189873417721</v>
      </c>
      <c r="AF53" s="131">
        <f>IFERROR('Price History'!K3+(INDEX('Price History'!K:K,MATCH(9.99E+307,'Returns (Calc)'!$A:$A)+1)-'Price History'!K3)*(ROW()-3)/(MATCH(9.99E+307,'Returns (Calc)'!$A:$A)-3),"")</f>
        <v>70.209746835443042</v>
      </c>
      <c r="AG53" s="131">
        <f>IFERROR('Price History'!L3+(INDEX('Price History'!L:L,MATCH(9.99E+307,'Returns (Calc)'!$A:$A)+1)-'Price History'!L3)*(ROW()-3)/(MATCH(9.99E+307,'Returns (Calc)'!$A:$A)-3),"")</f>
        <v>208.22784810126581</v>
      </c>
      <c r="AH53" s="131">
        <f>IFERROR('Price History'!M3+(INDEX('Price History'!M:M,MATCH(9.99E+307,'Returns (Calc)'!$A:$A)+1)-'Price History'!M3)*(ROW()-3)/(MATCH(9.99E+307,'Returns (Calc)'!$A:$A)-3),"")</f>
        <v>105.79215189873418</v>
      </c>
      <c r="AI53" s="131">
        <f>IFERROR('Price History'!N3+(INDEX('Price History'!N:N,MATCH(9.99E+307,'Returns (Calc)'!$A:$A)+1)-'Price History'!N3)*(ROW()-3)/(MATCH(9.99E+307,'Returns (Calc)'!$A:$A)-3),"")</f>
        <v>398.21329113924048</v>
      </c>
      <c r="AJ53" s="131">
        <f>IFERROR('Price History'!O3+(INDEX('Price History'!O:O,MATCH(9.99E+307,'Returns (Calc)'!$A:$A)+1)-'Price History'!O3)*(ROW()-3)/(MATCH(9.99E+307,'Returns (Calc)'!$A:$A)-3),"")</f>
        <v>89.461898734177225</v>
      </c>
      <c r="AK53" s="131">
        <f>IFERROR('Price History'!Q3+(INDEX('Price History'!Q:Q,MATCH(9.99E+307,'Returns (Calc)'!$A:$A)+1)-'Price History'!Q3)*(ROW()-3)/(MATCH(9.99E+307,'Returns (Calc)'!$A:$A)-3),"")</f>
        <v>21.968354430379748</v>
      </c>
      <c r="AL53" s="131">
        <f>IFERROR('Price History'!R3+(INDEX('Price History'!R:R,MATCH(9.99E+307,'Returns (Calc)'!$A:$A)+1)-'Price History'!R3)*(ROW()-3)/(MATCH(9.99E+307,'Returns (Calc)'!$A:$A)-3),"")</f>
        <v>42.88506329113924</v>
      </c>
      <c r="AM53" s="131">
        <f>IFERROR('Price History'!S3+(INDEX('Price History'!S:S,MATCH(9.99E+307,'Returns (Calc)'!$A:$A)+1)-'Price History'!S3)*(ROW()-3)/(MATCH(9.99E+307,'Returns (Calc)'!$A:$A)-3),"")</f>
        <v>87.883164556962029</v>
      </c>
      <c r="AN53" s="131">
        <f>IFERROR('Price History'!T3+(INDEX('Price History'!T:T,MATCH(9.99E+307,'Returns (Calc)'!$A:$A)+1)-'Price History'!T3)*(ROW()-3)/(MATCH(9.99E+307,'Returns (Calc)'!$A:$A)-3),"")</f>
        <v>33.651392405063291</v>
      </c>
      <c r="AO53" s="132">
        <f>IFERROR('Price History'!V3+(INDEX('Price History'!V:V,MATCH(9.99E+307,'Returns (Calc)'!$A:$A)+1)-'Price History'!V3)*(ROW()-3)/(MATCH(9.99E+307,'Returns (Calc)'!$A:$A)-3),"")</f>
        <v>275.19645569620252</v>
      </c>
      <c r="AP53" s="130">
        <f>IFERROR(IF(OR(NOT(ISNUMBER('Price History'!W54)),NOT(ISNUMBER('Price History'!W53)),'Price History'!W53=0),"",'Price History'!W54/'Price History'!W53-1),"")</f>
        <v>-3.360505739477615E-2</v>
      </c>
      <c r="AQ53" s="130" t="str">
        <f>IFERROR(IF(OR(NOT(ISNUMBER('Price History'!X54)),NOT(ISNUMBER('Price History'!X53)),'Price History'!X53=0),"",'Price History'!X54/'Price History'!X53-1),"")</f>
        <v/>
      </c>
      <c r="AR53" s="130">
        <f>IFERROR(IF(OR(NOT(ISNUMBER('Price History'!Y54)),NOT(ISNUMBER('Price History'!Y53)),'Price History'!Y53=0),"",'Price History'!Y54/'Price History'!Y53-1),"")</f>
        <v>-1.5406446381512229E-2</v>
      </c>
      <c r="AS53" s="130">
        <f>IFERROR(IF(OR(NOT(ISNUMBER('Price History'!Z54)),NOT(ISNUMBER('Price History'!Z53)),'Price History'!Z53=0),"",'Price History'!Z54/'Price History'!Z53-1),"")</f>
        <v>-7.6642335766423431E-2</v>
      </c>
      <c r="AT53" s="130">
        <f>IFERROR(IF(OR(NOT(ISNUMBER('Price History'!AA54)),NOT(ISNUMBER('Price History'!AA53)),'Price History'!AA53=0),"",'Price History'!AA54/'Price History'!AA53-1),"")</f>
        <v>-5.075563159395502E-2</v>
      </c>
    </row>
    <row r="54" spans="1:46" ht="15" customHeight="1" x14ac:dyDescent="0.2">
      <c r="A54" s="128">
        <f>IF('Price History'!A55="","",'Price History'!A55)</f>
        <v>45548</v>
      </c>
      <c r="B54" s="129">
        <f>IFERROR(IF(OR(NOT(ISNUMBER('Price History'!B55)),NOT(ISNUMBER('Price History'!B54)),'Price History'!B54=0),"",'Price History'!B55/'Price History'!B54-1),"")</f>
        <v>-4.7106015157700409E-2</v>
      </c>
      <c r="C54" s="129">
        <f>IFERROR(IF(OR(NOT(ISNUMBER('Price History'!C55)),NOT(ISNUMBER('Price History'!C54)),'Price History'!C54=0),"",'Price History'!C55/'Price History'!C54-1),"")</f>
        <v>0.1445660473402901</v>
      </c>
      <c r="D54" s="129">
        <f>IFERROR(IF(OR(NOT(ISNUMBER('Price History'!D55)),NOT(ISNUMBER('Price History'!D54)),'Price History'!D54=0),"",'Price History'!D55/'Price History'!D54-1),"")</f>
        <v>8.4443123801291264E-2</v>
      </c>
      <c r="E54" s="129">
        <f>IFERROR(IF(OR(NOT(ISNUMBER('Price History'!E55)),NOT(ISNUMBER('Price History'!E54)),'Price History'!E54=0),"",'Price History'!E55/'Price History'!E54-1),"")</f>
        <v>0.22401847575057765</v>
      </c>
      <c r="F54" s="129">
        <f>IFERROR(IF(OR(NOT(ISNUMBER('Price History'!F55)),NOT(ISNUMBER('Price History'!F54)),'Price History'!F54=0),"",'Price History'!F55/'Price History'!F54-1),"")</f>
        <v>5.1623376623376682E-2</v>
      </c>
      <c r="G54" s="129">
        <f>IFERROR(IF(OR(NOT(ISNUMBER('Price History'!G55)),NOT(ISNUMBER('Price History'!G54)),'Price History'!G54=0),"",'Price History'!G55/'Price History'!G54-1),"")</f>
        <v>6.9334103712263451E-2</v>
      </c>
      <c r="H54" s="129">
        <f>IFERROR(IF(OR(NOT(ISNUMBER('Price History'!H55)),NOT(ISNUMBER('Price History'!H54)),'Price History'!H54=0),"",'Price History'!H55/'Price History'!H54-1),"")</f>
        <v>5.6034482758620774E-2</v>
      </c>
      <c r="I54" s="129">
        <f>IFERROR(IF(OR(NOT(ISNUMBER('Price History'!I55)),NOT(ISNUMBER('Price History'!I54)),'Price History'!I54=0),"",'Price History'!I55/'Price History'!I54-1),"")</f>
        <v>0.15826426133593374</v>
      </c>
      <c r="J54" s="129">
        <f>IFERROR(IF(OR(NOT(ISNUMBER('Price History'!J55)),NOT(ISNUMBER('Price History'!J54)),'Price History'!J54=0),"",'Price History'!J55/'Price History'!J54-1),"")</f>
        <v>2.1586387877761792E-2</v>
      </c>
      <c r="K54" s="129">
        <f>IFERROR(IF(OR(NOT(ISNUMBER('Price History'!K55)),NOT(ISNUMBER('Price History'!K54)),'Price History'!K54=0),"",'Price History'!K55/'Price History'!K54-1),"")</f>
        <v>0.17342565117045838</v>
      </c>
      <c r="L54" s="129">
        <f>IFERROR(IF(OR(NOT(ISNUMBER('Price History'!L55)),NOT(ISNUMBER('Price History'!L54)),'Price History'!L54=0),"",'Price History'!L55/'Price History'!L54-1),"")</f>
        <v>0.1040136411332635</v>
      </c>
      <c r="M54" s="129">
        <f>IFERROR(IF(OR(NOT(ISNUMBER('Price History'!M55)),NOT(ISNUMBER('Price History'!M54)),'Price History'!M54=0),"",'Price History'!M55/'Price History'!M54-1),"")</f>
        <v>0.19488683989941324</v>
      </c>
      <c r="N54" s="129">
        <f>IFERROR(IF(OR(NOT(ISNUMBER('Price History'!N55)),NOT(ISNUMBER('Price History'!N54)),'Price History'!N54=0),"",'Price History'!N55/'Price History'!N54-1),"")</f>
        <v>3.7115384615384661E-2</v>
      </c>
      <c r="O54" s="129">
        <f>IFERROR(IF(OR(NOT(ISNUMBER('Price History'!O55)),NOT(ISNUMBER('Price History'!O54)),'Price History'!O54=0),"",'Price History'!O55/'Price History'!O54-1),"")</f>
        <v>2.8832951945080065E-2</v>
      </c>
      <c r="P54" s="129">
        <f>IFERROR(IF(OR(NOT(ISNUMBER('Price History'!P55)),NOT(ISNUMBER('Price History'!P54)),'Price History'!P54=0),"",'Price History'!P55/'Price History'!P54-1),"")</f>
        <v>1.8536908308507183E-2</v>
      </c>
      <c r="Q54" s="129">
        <f>IFERROR(IF(OR(NOT(ISNUMBER('Price History'!Q55)),NOT(ISNUMBER('Price History'!Q54)),'Price History'!Q54=0),"",'Price History'!Q55/'Price History'!Q54-1),"")</f>
        <v>2.5983024424042878E-2</v>
      </c>
      <c r="R54" s="129">
        <f>IFERROR(IF(OR(NOT(ISNUMBER('Price History'!R55)),NOT(ISNUMBER('Price History'!R54)),'Price History'!R54=0),"",'Price History'!R55/'Price History'!R54-1),"")</f>
        <v>4.636251541307046E-2</v>
      </c>
      <c r="S54" s="129">
        <f>IFERROR(IF(OR(NOT(ISNUMBER('Price History'!S55)),NOT(ISNUMBER('Price History'!S54)),'Price History'!S54=0),"",'Price History'!S55/'Price History'!S54-1),"")</f>
        <v>6.1553374530473715E-2</v>
      </c>
      <c r="T54" s="129">
        <f>IFERROR(IF(OR(NOT(ISNUMBER('Price History'!T55)),NOT(ISNUMBER('Price History'!T54)),'Price History'!T54=0),"",'Price History'!T55/'Price History'!T54-1),"")</f>
        <v>2.5558071821417006E-2</v>
      </c>
      <c r="U54" s="129">
        <f>IFERROR(IF(OR(NOT(ISNUMBER('Price History'!U55)),NOT(ISNUMBER('Price History'!U54)),'Price History'!U54=0),"",'Price History'!U55/'Price History'!U54-1),"")</f>
        <v>1.6660055533518348E-2</v>
      </c>
      <c r="V54" s="130">
        <f>IFERROR(IF(OR(NOT(ISNUMBER('Price History'!V55)),NOT(ISNUMBER('Price History'!V54)),'Price History'!V54=0),"",'Price History'!V55/'Price History'!V54-1),"")</f>
        <v>2.8558971005014033E-2</v>
      </c>
      <c r="W54" s="131">
        <f>IFERROR('Price History'!B3+(INDEX('Price History'!B:B,MATCH(9.99E+307,'Returns (Calc)'!$A:$A)+1)-'Price History'!B3)*(ROW()-3)/(MATCH(9.99E+307,'Returns (Calc)'!$A:$A)-3),"")</f>
        <v>434.89506329113925</v>
      </c>
      <c r="X54" s="131">
        <f>IFERROR('Price History'!C3+(INDEX('Price History'!C:C,MATCH(9.99E+307,'Returns (Calc)'!$A:$A)+1)-'Price History'!C3)*(ROW()-3)/(MATCH(9.99E+307,'Returns (Calc)'!$A:$A)-3),"")</f>
        <v>98.203227848101264</v>
      </c>
      <c r="Y54" s="131">
        <f>IFERROR('Price History'!D3+(INDEX('Price History'!D:D,MATCH(9.99E+307,'Returns (Calc)'!$A:$A)+1)-'Price History'!D3)*(ROW()-3)/(MATCH(9.99E+307,'Returns (Calc)'!$A:$A)-3),"")</f>
        <v>996.88531645569628</v>
      </c>
      <c r="Z54" s="131">
        <f>IFERROR('Price History'!E3+(INDEX('Price History'!E:E,MATCH(9.99E+307,'Returns (Calc)'!$A:$A)+1)-'Price History'!E3)*(ROW()-3)/(MATCH(9.99E+307,'Returns (Calc)'!$A:$A)-3),"")</f>
        <v>170.16544303797468</v>
      </c>
      <c r="AA54" s="131">
        <f>IFERROR('Price History'!F3+(INDEX('Price History'!F:F,MATCH(9.99E+307,'Returns (Calc)'!$A:$A)+1)-'Price History'!F3)*(ROW()-3)/(MATCH(9.99E+307,'Returns (Calc)'!$A:$A)-3),"")</f>
        <v>115.17443037974684</v>
      </c>
      <c r="AB54" s="131">
        <f>IFERROR('Price History'!G3+(INDEX('Price History'!G:G,MATCH(9.99E+307,'Returns (Calc)'!$A:$A)+1)-'Price History'!G3)*(ROW()-3)/(MATCH(9.99E+307,'Returns (Calc)'!$A:$A)-3),"")</f>
        <v>96.815443037974688</v>
      </c>
      <c r="AC54" s="131">
        <f>IFERROR('Price History'!H3+(INDEX('Price History'!H:H,MATCH(9.99E+307,'Returns (Calc)'!$A:$A)+1)-'Price History'!H3)*(ROW()-3)/(MATCH(9.99E+307,'Returns (Calc)'!$A:$A)-3),"")</f>
        <v>393.76050632911398</v>
      </c>
      <c r="AD54" s="131">
        <f>IFERROR('Price History'!I3+(INDEX('Price History'!I:I,MATCH(9.99E+307,'Returns (Calc)'!$A:$A)+1)-'Price History'!I3)*(ROW()-3)/(MATCH(9.99E+307,'Returns (Calc)'!$A:$A)-3),"")</f>
        <v>105.15721518987341</v>
      </c>
      <c r="AE54" s="131">
        <f>IFERROR('Price History'!J3+(INDEX('Price History'!J:J,MATCH(9.99E+307,'Returns (Calc)'!$A:$A)+1)-'Price History'!J3)*(ROW()-3)/(MATCH(9.99E+307,'Returns (Calc)'!$A:$A)-3),"")</f>
        <v>117.34993670886077</v>
      </c>
      <c r="AF54" s="131">
        <f>IFERROR('Price History'!K3+(INDEX('Price History'!K:K,MATCH(9.99E+307,'Returns (Calc)'!$A:$A)+1)-'Price History'!K3)*(ROW()-3)/(MATCH(9.99E+307,'Returns (Calc)'!$A:$A)-3),"")</f>
        <v>71.307341772151901</v>
      </c>
      <c r="AG54" s="131">
        <f>IFERROR('Price History'!L3+(INDEX('Price History'!L:L,MATCH(9.99E+307,'Returns (Calc)'!$A:$A)+1)-'Price History'!L3)*(ROW()-3)/(MATCH(9.99E+307,'Returns (Calc)'!$A:$A)-3),"")</f>
        <v>210.67740506329113</v>
      </c>
      <c r="AH54" s="131">
        <f>IFERROR('Price History'!M3+(INDEX('Price History'!M:M,MATCH(9.99E+307,'Returns (Calc)'!$A:$A)+1)-'Price History'!M3)*(ROW()-3)/(MATCH(9.99E+307,'Returns (Calc)'!$A:$A)-3),"")</f>
        <v>107.14759493670886</v>
      </c>
      <c r="AI54" s="131">
        <f>IFERROR('Price History'!N3+(INDEX('Price History'!N:N,MATCH(9.99E+307,'Returns (Calc)'!$A:$A)+1)-'Price History'!N3)*(ROW()-3)/(MATCH(9.99E+307,'Returns (Calc)'!$A:$A)-3),"")</f>
        <v>399.19955696202533</v>
      </c>
      <c r="AJ54" s="131">
        <f>IFERROR('Price History'!O3+(INDEX('Price History'!O:O,MATCH(9.99E+307,'Returns (Calc)'!$A:$A)+1)-'Price History'!O3)*(ROW()-3)/(MATCH(9.99E+307,'Returns (Calc)'!$A:$A)-3),"")</f>
        <v>89.744936708860763</v>
      </c>
      <c r="AK54" s="131">
        <f>IFERROR('Price History'!Q3+(INDEX('Price History'!Q:Q,MATCH(9.99E+307,'Returns (Calc)'!$A:$A)+1)-'Price History'!Q3)*(ROW()-3)/(MATCH(9.99E+307,'Returns (Calc)'!$A:$A)-3),"")</f>
        <v>22.407721518987341</v>
      </c>
      <c r="AL54" s="131">
        <f>IFERROR('Price History'!R3+(INDEX('Price History'!R:R,MATCH(9.99E+307,'Returns (Calc)'!$A:$A)+1)-'Price History'!R3)*(ROW()-3)/(MATCH(9.99E+307,'Returns (Calc)'!$A:$A)-3),"")</f>
        <v>43.053164556962024</v>
      </c>
      <c r="AM54" s="131">
        <f>IFERROR('Price History'!S3+(INDEX('Price History'!S:S,MATCH(9.99E+307,'Returns (Calc)'!$A:$A)+1)-'Price History'!S3)*(ROW()-3)/(MATCH(9.99E+307,'Returns (Calc)'!$A:$A)-3),"")</f>
        <v>88.488227848101261</v>
      </c>
      <c r="AN54" s="131">
        <f>IFERROR('Price History'!T3+(INDEX('Price History'!T:T,MATCH(9.99E+307,'Returns (Calc)'!$A:$A)+1)-'Price History'!T3)*(ROW()-3)/(MATCH(9.99E+307,'Returns (Calc)'!$A:$A)-3),"")</f>
        <v>33.819620253164558</v>
      </c>
      <c r="AO54" s="132">
        <f>IFERROR('Price History'!V3+(INDEX('Price History'!V:V,MATCH(9.99E+307,'Returns (Calc)'!$A:$A)+1)-'Price History'!V3)*(ROW()-3)/(MATCH(9.99E+307,'Returns (Calc)'!$A:$A)-3),"")</f>
        <v>275.98778481012658</v>
      </c>
      <c r="AP54" s="130">
        <f>IFERROR(IF(OR(NOT(ISNUMBER('Price History'!W55)),NOT(ISNUMBER('Price History'!W54)),'Price History'!W54=0),"",'Price History'!W55/'Price History'!W54-1),"")</f>
        <v>2.3928386985711647E-2</v>
      </c>
      <c r="AQ54" s="130" t="str">
        <f>IFERROR(IF(OR(NOT(ISNUMBER('Price History'!X55)),NOT(ISNUMBER('Price History'!X54)),'Price History'!X54=0),"",'Price History'!X55/'Price History'!X54-1),"")</f>
        <v/>
      </c>
      <c r="AR54" s="130">
        <f>IFERROR(IF(OR(NOT(ISNUMBER('Price History'!Y55)),NOT(ISNUMBER('Price History'!Y54)),'Price History'!Y54=0),"",'Price History'!Y55/'Price History'!Y54-1),"")</f>
        <v>2.2647724933086311E-2</v>
      </c>
      <c r="AS54" s="130">
        <f>IFERROR(IF(OR(NOT(ISNUMBER('Price History'!Z55)),NOT(ISNUMBER('Price History'!Z54)),'Price History'!Z54=0),"",'Price History'!Z55/'Price History'!Z54-1),"")</f>
        <v>0.10571554049814935</v>
      </c>
      <c r="AT54" s="130">
        <f>IFERROR(IF(OR(NOT(ISNUMBER('Price History'!AA55)),NOT(ISNUMBER('Price History'!AA54)),'Price History'!AA54=0),"",'Price History'!AA55/'Price History'!AA54-1),"")</f>
        <v>4.7011114448783253E-2</v>
      </c>
    </row>
    <row r="55" spans="1:46" ht="15" customHeight="1" x14ac:dyDescent="0.2">
      <c r="A55" s="128">
        <f>IF('Price History'!A56="","",'Price History'!A56)</f>
        <v>45555</v>
      </c>
      <c r="B55" s="129">
        <f>IFERROR(IF(OR(NOT(ISNUMBER('Price History'!B56)),NOT(ISNUMBER('Price History'!B55)),'Price History'!B55=0),"",'Price History'!B56/'Price History'!B55-1),"")</f>
        <v>-2.7138785925829412E-2</v>
      </c>
      <c r="C55" s="129">
        <f>IFERROR(IF(OR(NOT(ISNUMBER('Price History'!C56)),NOT(ISNUMBER('Price History'!C55)),'Price History'!C55=0),"",'Price History'!C56/'Price History'!C55-1),"")</f>
        <v>6.8601289748721372E-2</v>
      </c>
      <c r="D55" s="129">
        <f>IFERROR(IF(OR(NOT(ISNUMBER('Price History'!D56)),NOT(ISNUMBER('Price History'!D55)),'Price History'!D55=0),"",'Price History'!D56/'Price History'!D55-1),"")</f>
        <v>-2.5818906464067815E-2</v>
      </c>
      <c r="E55" s="129">
        <f>IFERROR(IF(OR(NOT(ISNUMBER('Price History'!E56)),NOT(ISNUMBER('Price History'!E55)),'Price History'!E55=0),"",'Price History'!E56/'Price History'!E55-1),"")</f>
        <v>2.3676202069385255E-2</v>
      </c>
      <c r="F55" s="129">
        <f>IFERROR(IF(OR(NOT(ISNUMBER('Price History'!F56)),NOT(ISNUMBER('Price History'!F55)),'Price History'!F55=0),"",'Price History'!F56/'Price History'!F55-1),"")</f>
        <v>0.15714726767520837</v>
      </c>
      <c r="G55" s="129">
        <f>IFERROR(IF(OR(NOT(ISNUMBER('Price History'!G56)),NOT(ISNUMBER('Price History'!G55)),'Price History'!G55=0),"",'Price History'!G56/'Price History'!G55-1),"")</f>
        <v>9.8608672159936628E-3</v>
      </c>
      <c r="H55" s="129">
        <f>IFERROR(IF(OR(NOT(ISNUMBER('Price History'!H56)),NOT(ISNUMBER('Price History'!H55)),'Price History'!H55=0),"",'Price History'!H56/'Price History'!H55-1),"")</f>
        <v>-3.5300606729179451E-3</v>
      </c>
      <c r="I55" s="129">
        <f>IFERROR(IF(OR(NOT(ISNUMBER('Price History'!I56)),NOT(ISNUMBER('Price History'!I55)),'Price History'!I55=0),"",'Price History'!I56/'Price History'!I55-1),"")</f>
        <v>-2.6014480552281505E-2</v>
      </c>
      <c r="J55" s="129">
        <f>IFERROR(IF(OR(NOT(ISNUMBER('Price History'!J56)),NOT(ISNUMBER('Price History'!J55)),'Price History'!J55=0),"",'Price History'!J56/'Price History'!J55-1),"")</f>
        <v>-2.7510772290354701E-2</v>
      </c>
      <c r="K55" s="129">
        <f>IFERROR(IF(OR(NOT(ISNUMBER('Price History'!K56)),NOT(ISNUMBER('Price History'!K55)),'Price History'!K55=0),"",'Price History'!K56/'Price History'!K55-1),"")</f>
        <v>4.5237426243326828E-2</v>
      </c>
      <c r="L55" s="129">
        <f>IFERROR(IF(OR(NOT(ISNUMBER('Price History'!L56)),NOT(ISNUMBER('Price History'!L55)),'Price History'!L55=0),"",'Price History'!L56/'Price History'!L55-1),"")</f>
        <v>9.2075561363904601E-3</v>
      </c>
      <c r="M55" s="129">
        <f>IFERROR(IF(OR(NOT(ISNUMBER('Price History'!M56)),NOT(ISNUMBER('Price History'!M55)),'Price History'!M55=0),"",'Price History'!M56/'Price History'!M55-1),"")</f>
        <v>0.10265403951829777</v>
      </c>
      <c r="N55" s="129">
        <f>IFERROR(IF(OR(NOT(ISNUMBER('Price History'!N56)),NOT(ISNUMBER('Price History'!N55)),'Price History'!N55=0),"",'Price History'!N56/'Price History'!N55-1),"")</f>
        <v>-4.2132805900653048E-2</v>
      </c>
      <c r="O55" s="129">
        <f>IFERROR(IF(OR(NOT(ISNUMBER('Price History'!O56)),NOT(ISNUMBER('Price History'!O55)),'Price History'!O55=0),"",'Price History'!O56/'Price History'!O55-1),"")</f>
        <v>3.0249110320284656E-2</v>
      </c>
      <c r="P55" s="129">
        <f>IFERROR(IF(OR(NOT(ISNUMBER('Price History'!P56)),NOT(ISNUMBER('Price History'!P55)),'Price History'!P55=0),"",'Price History'!P56/'Price History'!P55-1),"")</f>
        <v>1.2105947351316093E-2</v>
      </c>
      <c r="Q55" s="129">
        <f>IFERROR(IF(OR(NOT(ISNUMBER('Price History'!Q56)),NOT(ISNUMBER('Price History'!Q55)),'Price History'!Q55=0),"",'Price History'!Q56/'Price History'!Q55-1),"")</f>
        <v>8.2728347121392432E-3</v>
      </c>
      <c r="R55" s="129">
        <f>IFERROR(IF(OR(NOT(ISNUMBER('Price History'!R56)),NOT(ISNUMBER('Price History'!R55)),'Price History'!R55=0),"",'Price History'!R56/'Price History'!R55-1),"")</f>
        <v>1.2491161913740223E-2</v>
      </c>
      <c r="S55" s="129">
        <f>IFERROR(IF(OR(NOT(ISNUMBER('Price History'!S56)),NOT(ISNUMBER('Price History'!S55)),'Price History'!S55=0),"",'Price History'!S56/'Price History'!S55-1),"")</f>
        <v>1.6208195411482773E-2</v>
      </c>
      <c r="T55" s="129">
        <f>IFERROR(IF(OR(NOT(ISNUMBER('Price History'!T56)),NOT(ISNUMBER('Price History'!T55)),'Price History'!T55=0),"",'Price History'!T56/'Price History'!T55-1),"")</f>
        <v>1.7350157728706739E-2</v>
      </c>
      <c r="U55" s="129">
        <f>IFERROR(IF(OR(NOT(ISNUMBER('Price History'!U56)),NOT(ISNUMBER('Price History'!U55)),'Price History'!U55=0),"",'Price History'!U56/'Price History'!U55-1),"")</f>
        <v>1.3265704252828803E-2</v>
      </c>
      <c r="V55" s="130">
        <f>IFERROR(IF(OR(NOT(ISNUMBER('Price History'!V56)),NOT(ISNUMBER('Price History'!V55)),'Price History'!V55=0),"",'Price History'!V56/'Price History'!V55-1),"")</f>
        <v>-8.9727285572981375E-3</v>
      </c>
      <c r="W55" s="131">
        <f>IFERROR('Price History'!B3+(INDEX('Price History'!B:B,MATCH(9.99E+307,'Returns (Calc)'!$A:$A)+1)-'Price History'!B3)*(ROW()-3)/(MATCH(9.99E+307,'Returns (Calc)'!$A:$A)-3),"")</f>
        <v>433.05202531645568</v>
      </c>
      <c r="X55" s="131">
        <f>IFERROR('Price History'!C3+(INDEX('Price History'!C:C,MATCH(9.99E+307,'Returns (Calc)'!$A:$A)+1)-'Price History'!C3)*(ROW()-3)/(MATCH(9.99E+307,'Returns (Calc)'!$A:$A)-3),"")</f>
        <v>99.223291139240501</v>
      </c>
      <c r="Y55" s="131">
        <f>IFERROR('Price History'!D3+(INDEX('Price History'!D:D,MATCH(9.99E+307,'Returns (Calc)'!$A:$A)+1)-'Price History'!D3)*(ROW()-3)/(MATCH(9.99E+307,'Returns (Calc)'!$A:$A)-3),"")</f>
        <v>1005.0201265822784</v>
      </c>
      <c r="Z55" s="131">
        <f>IFERROR('Price History'!E3+(INDEX('Price History'!E:E,MATCH(9.99E+307,'Returns (Calc)'!$A:$A)+1)-'Price History'!E3)*(ROW()-3)/(MATCH(9.99E+307,'Returns (Calc)'!$A:$A)-3),"")</f>
        <v>171.89417721518987</v>
      </c>
      <c r="AA55" s="131">
        <f>IFERROR('Price History'!F3+(INDEX('Price History'!F:F,MATCH(9.99E+307,'Returns (Calc)'!$A:$A)+1)-'Price History'!F3)*(ROW()-3)/(MATCH(9.99E+307,'Returns (Calc)'!$A:$A)-3),"")</f>
        <v>116.62177215189874</v>
      </c>
      <c r="AB55" s="131">
        <f>IFERROR('Price History'!G3+(INDEX('Price History'!G:G,MATCH(9.99E+307,'Returns (Calc)'!$A:$A)+1)-'Price History'!G3)*(ROW()-3)/(MATCH(9.99E+307,'Returns (Calc)'!$A:$A)-3),"")</f>
        <v>97.844177215189873</v>
      </c>
      <c r="AC55" s="131">
        <f>IFERROR('Price History'!H3+(INDEX('Price History'!H:H,MATCH(9.99E+307,'Returns (Calc)'!$A:$A)+1)-'Price History'!H3)*(ROW()-3)/(MATCH(9.99E+307,'Returns (Calc)'!$A:$A)-3),"")</f>
        <v>400.12620253164562</v>
      </c>
      <c r="AD55" s="131">
        <f>IFERROR('Price History'!I3+(INDEX('Price History'!I:I,MATCH(9.99E+307,'Returns (Calc)'!$A:$A)+1)-'Price History'!I3)*(ROW()-3)/(MATCH(9.99E+307,'Returns (Calc)'!$A:$A)-3),"")</f>
        <v>106.36088607594937</v>
      </c>
      <c r="AE55" s="131">
        <f>IFERROR('Price History'!J3+(INDEX('Price History'!J:J,MATCH(9.99E+307,'Returns (Calc)'!$A:$A)+1)-'Price History'!J3)*(ROW()-3)/(MATCH(9.99E+307,'Returns (Calc)'!$A:$A)-3),"")</f>
        <v>117.45797468354431</v>
      </c>
      <c r="AF55" s="131">
        <f>IFERROR('Price History'!K3+(INDEX('Price History'!K:K,MATCH(9.99E+307,'Returns (Calc)'!$A:$A)+1)-'Price History'!K3)*(ROW()-3)/(MATCH(9.99E+307,'Returns (Calc)'!$A:$A)-3),"")</f>
        <v>72.40493670886076</v>
      </c>
      <c r="AG55" s="131">
        <f>IFERROR('Price History'!L3+(INDEX('Price History'!L:L,MATCH(9.99E+307,'Returns (Calc)'!$A:$A)+1)-'Price History'!L3)*(ROW()-3)/(MATCH(9.99E+307,'Returns (Calc)'!$A:$A)-3),"")</f>
        <v>213.12696202531646</v>
      </c>
      <c r="AH55" s="131">
        <f>IFERROR('Price History'!M3+(INDEX('Price History'!M:M,MATCH(9.99E+307,'Returns (Calc)'!$A:$A)+1)-'Price History'!M3)*(ROW()-3)/(MATCH(9.99E+307,'Returns (Calc)'!$A:$A)-3),"")</f>
        <v>108.50303797468354</v>
      </c>
      <c r="AI55" s="131">
        <f>IFERROR('Price History'!N3+(INDEX('Price History'!N:N,MATCH(9.99E+307,'Returns (Calc)'!$A:$A)+1)-'Price History'!N3)*(ROW()-3)/(MATCH(9.99E+307,'Returns (Calc)'!$A:$A)-3),"")</f>
        <v>400.18582278481011</v>
      </c>
      <c r="AJ55" s="131">
        <f>IFERROR('Price History'!O3+(INDEX('Price History'!O:O,MATCH(9.99E+307,'Returns (Calc)'!$A:$A)+1)-'Price History'!O3)*(ROW()-3)/(MATCH(9.99E+307,'Returns (Calc)'!$A:$A)-3),"")</f>
        <v>90.027974683544301</v>
      </c>
      <c r="AK55" s="131">
        <f>IFERROR('Price History'!Q3+(INDEX('Price History'!Q:Q,MATCH(9.99E+307,'Returns (Calc)'!$A:$A)+1)-'Price History'!Q3)*(ROW()-3)/(MATCH(9.99E+307,'Returns (Calc)'!$A:$A)-3),"")</f>
        <v>22.847088607594937</v>
      </c>
      <c r="AL55" s="131">
        <f>IFERROR('Price History'!R3+(INDEX('Price History'!R:R,MATCH(9.99E+307,'Returns (Calc)'!$A:$A)+1)-'Price History'!R3)*(ROW()-3)/(MATCH(9.99E+307,'Returns (Calc)'!$A:$A)-3),"")</f>
        <v>43.221265822784808</v>
      </c>
      <c r="AM55" s="131">
        <f>IFERROR('Price History'!S3+(INDEX('Price History'!S:S,MATCH(9.99E+307,'Returns (Calc)'!$A:$A)+1)-'Price History'!S3)*(ROW()-3)/(MATCH(9.99E+307,'Returns (Calc)'!$A:$A)-3),"")</f>
        <v>89.093291139240506</v>
      </c>
      <c r="AN55" s="131">
        <f>IFERROR('Price History'!T3+(INDEX('Price History'!T:T,MATCH(9.99E+307,'Returns (Calc)'!$A:$A)+1)-'Price History'!T3)*(ROW()-3)/(MATCH(9.99E+307,'Returns (Calc)'!$A:$A)-3),"")</f>
        <v>33.987848101265826</v>
      </c>
      <c r="AO55" s="132">
        <f>IFERROR('Price History'!V3+(INDEX('Price History'!V:V,MATCH(9.99E+307,'Returns (Calc)'!$A:$A)+1)-'Price History'!V3)*(ROW()-3)/(MATCH(9.99E+307,'Returns (Calc)'!$A:$A)-3),"")</f>
        <v>276.77911392405065</v>
      </c>
      <c r="AP55" s="130">
        <f>IFERROR(IF(OR(NOT(ISNUMBER('Price History'!W56)),NOT(ISNUMBER('Price History'!W55)),'Price History'!W55=0),"",'Price History'!W56/'Price History'!W55-1),"")</f>
        <v>1.4542703429724302E-2</v>
      </c>
      <c r="AQ55" s="130" t="str">
        <f>IFERROR(IF(OR(NOT(ISNUMBER('Price History'!X56)),NOT(ISNUMBER('Price History'!X55)),'Price History'!X55=0),"",'Price History'!X56/'Price History'!X55-1),"")</f>
        <v/>
      </c>
      <c r="AR55" s="130">
        <f>IFERROR(IF(OR(NOT(ISNUMBER('Price History'!Y56)),NOT(ISNUMBER('Price History'!Y55)),'Price History'!Y55=0),"",'Price History'!Y56/'Price History'!Y55-1),"")</f>
        <v>5.4358767867928037E-3</v>
      </c>
      <c r="AS55" s="130">
        <f>IFERROR(IF(OR(NOT(ISNUMBER('Price History'!Z56)),NOT(ISNUMBER('Price History'!Z55)),'Price History'!Z55=0),"",'Price History'!Z56/'Price History'!Z55-1),"")</f>
        <v>5.1350431230140714E-2</v>
      </c>
      <c r="AT55" s="130">
        <f>IFERROR(IF(OR(NOT(ISNUMBER('Price History'!AA56)),NOT(ISNUMBER('Price History'!AA55)),'Price History'!AA55=0),"",'Price History'!AA56/'Price History'!AA55-1),"")</f>
        <v>5.5946062257925533E-3</v>
      </c>
    </row>
    <row r="56" spans="1:46" ht="15" customHeight="1" x14ac:dyDescent="0.2">
      <c r="A56" s="128">
        <f>IF('Price History'!A57="","",'Price History'!A57)</f>
        <v>45562</v>
      </c>
      <c r="B56" s="129">
        <f>IFERROR(IF(OR(NOT(ISNUMBER('Price History'!B57)),NOT(ISNUMBER('Price History'!B56)),'Price History'!B56=0),"",'Price History'!B57/'Price History'!B56-1),"")</f>
        <v>-1.305762971472324E-2</v>
      </c>
      <c r="C56" s="129">
        <f>IFERROR(IF(OR(NOT(ISNUMBER('Price History'!C57)),NOT(ISNUMBER('Price History'!C56)),'Price History'!C56=0),"",'Price History'!C57/'Price History'!C56-1),"")</f>
        <v>-1.0820934346061906E-2</v>
      </c>
      <c r="D56" s="129">
        <f>IFERROR(IF(OR(NOT(ISNUMBER('Price History'!D57)),NOT(ISNUMBER('Price History'!D56)),'Price History'!D56=0),"",'Price History'!D57/'Price History'!D56-1),"")</f>
        <v>5.8171497244844383E-2</v>
      </c>
      <c r="E56" s="129">
        <f>IFERROR(IF(OR(NOT(ISNUMBER('Price History'!E57)),NOT(ISNUMBER('Price History'!E56)),'Price History'!E56=0),"",'Price History'!E57/'Price History'!E56-1),"")</f>
        <v>9.2752244485403423E-3</v>
      </c>
      <c r="F56" s="129">
        <f>IFERROR(IF(OR(NOT(ISNUMBER('Price History'!F57)),NOT(ISNUMBER('Price History'!F56)),'Price History'!F56=0),"",'Price History'!F57/'Price History'!F56-1),"")</f>
        <v>-4.6691568836712882E-2</v>
      </c>
      <c r="G56" s="129">
        <f>IFERROR(IF(OR(NOT(ISNUMBER('Price History'!G57)),NOT(ISNUMBER('Price History'!G56)),'Price History'!G56=0),"",'Price History'!G57/'Price History'!G56-1),"")</f>
        <v>3.1032637774210725E-2</v>
      </c>
      <c r="H56" s="129">
        <f>IFERROR(IF(OR(NOT(ISNUMBER('Price History'!H57)),NOT(ISNUMBER('Price History'!H56)),'Price History'!H56=0),"",'Price History'!H57/'Price History'!H56-1),"")</f>
        <v>0.1826635669212886</v>
      </c>
      <c r="I56" s="129">
        <f>IFERROR(IF(OR(NOT(ISNUMBER('Price History'!I57)),NOT(ISNUMBER('Price History'!I56)),'Price History'!I56=0),"",'Price History'!I57/'Price History'!I56-1),"")</f>
        <v>4.6590025066989282E-2</v>
      </c>
      <c r="J56" s="129">
        <f>IFERROR(IF(OR(NOT(ISNUMBER('Price History'!J57)),NOT(ISNUMBER('Price History'!J56)),'Price History'!J56=0),"",'Price History'!J57/'Price History'!J56-1),"")</f>
        <v>9.3728698023176626E-4</v>
      </c>
      <c r="K56" s="129">
        <f>IFERROR(IF(OR(NOT(ISNUMBER('Price History'!K57)),NOT(ISNUMBER('Price History'!K56)),'Price History'!K56=0),"",'Price History'!K57/'Price History'!K56-1),"")</f>
        <v>-9.6774193548386789E-3</v>
      </c>
      <c r="L56" s="129">
        <f>IFERROR(IF(OR(NOT(ISNUMBER('Price History'!L57)),NOT(ISNUMBER('Price History'!L56)),'Price History'!L56=0),"",'Price History'!L57/'Price History'!L56-1),"")</f>
        <v>2.2308552592854358E-2</v>
      </c>
      <c r="M56" s="129">
        <f>IFERROR(IF(OR(NOT(ISNUMBER('Price History'!M57)),NOT(ISNUMBER('Price History'!M56)),'Price History'!M56=0),"",'Price History'!M57/'Price History'!M56-1),"")</f>
        <v>4.0928851659421062E-2</v>
      </c>
      <c r="N56" s="129">
        <f>IFERROR(IF(OR(NOT(ISNUMBER('Price History'!N57)),NOT(ISNUMBER('Price History'!N56)),'Price History'!N56=0),"",'Price History'!N57/'Price History'!N56-1),"")</f>
        <v>-4.3878516734062734E-3</v>
      </c>
      <c r="O56" s="129">
        <f>IFERROR(IF(OR(NOT(ISNUMBER('Price History'!O57)),NOT(ISNUMBER('Price History'!O56)),'Price History'!O56=0),"",'Price History'!O57/'Price History'!O56-1),"")</f>
        <v>4.3177892918833116E-4</v>
      </c>
      <c r="P56" s="129">
        <f>IFERROR(IF(OR(NOT(ISNUMBER('Price History'!P57)),NOT(ISNUMBER('Price History'!P56)),'Price History'!P56=0),"",'Price History'!P57/'Price History'!P56-1),"")</f>
        <v>7.7065103957614234E-3</v>
      </c>
      <c r="Q56" s="129">
        <f>IFERROR(IF(OR(NOT(ISNUMBER('Price History'!Q57)),NOT(ISNUMBER('Price History'!Q56)),'Price History'!Q56=0),"",'Price History'!Q57/'Price History'!Q56-1),"")</f>
        <v>6.8653717347622045E-3</v>
      </c>
      <c r="R56" s="129">
        <f>IFERROR(IF(OR(NOT(ISNUMBER('Price History'!R57)),NOT(ISNUMBER('Price History'!R56)),'Price History'!R56=0),"",'Price History'!R57/'Price History'!R56-1),"")</f>
        <v>6.9832402234635271E-3</v>
      </c>
      <c r="S56" s="129">
        <f>IFERROR(IF(OR(NOT(ISNUMBER('Price History'!S57)),NOT(ISNUMBER('Price History'!S56)),'Price History'!S56=0),"",'Price History'!S57/'Price History'!S56-1),"")</f>
        <v>-1.3478602718185462E-3</v>
      </c>
      <c r="T56" s="129">
        <f>IFERROR(IF(OR(NOT(ISNUMBER('Price History'!T57)),NOT(ISNUMBER('Price History'!T56)),'Price History'!T56=0),"",'Price History'!T57/'Price History'!T56-1),"")</f>
        <v>2.1705426356588564E-3</v>
      </c>
      <c r="U56" s="129">
        <f>IFERROR(IF(OR(NOT(ISNUMBER('Price History'!U57)),NOT(ISNUMBER('Price History'!U56)),'Price History'!U56=0),"",'Price History'!U57/'Price History'!U56-1),"")</f>
        <v>6.16095494801705E-3</v>
      </c>
      <c r="V56" s="130">
        <f>IFERROR(IF(OR(NOT(ISNUMBER('Price History'!V57)),NOT(ISNUMBER('Price History'!V56)),'Price History'!V56=0),"",'Price History'!V57/'Price History'!V56-1),"")</f>
        <v>-3.3720681542739106E-2</v>
      </c>
      <c r="W56" s="131">
        <f>IFERROR('Price History'!B3+(INDEX('Price History'!B:B,MATCH(9.99E+307,'Returns (Calc)'!$A:$A)+1)-'Price History'!B3)*(ROW()-3)/(MATCH(9.99E+307,'Returns (Calc)'!$A:$A)-3),"")</f>
        <v>431.20898734177217</v>
      </c>
      <c r="X56" s="131">
        <f>IFERROR('Price History'!C3+(INDEX('Price History'!C:C,MATCH(9.99E+307,'Returns (Calc)'!$A:$A)+1)-'Price History'!C3)*(ROW()-3)/(MATCH(9.99E+307,'Returns (Calc)'!$A:$A)-3),"")</f>
        <v>100.24335443037975</v>
      </c>
      <c r="Y56" s="131">
        <f>IFERROR('Price History'!D3+(INDEX('Price History'!D:D,MATCH(9.99E+307,'Returns (Calc)'!$A:$A)+1)-'Price History'!D3)*(ROW()-3)/(MATCH(9.99E+307,'Returns (Calc)'!$A:$A)-3),"")</f>
        <v>1013.1549367088608</v>
      </c>
      <c r="Z56" s="131">
        <f>IFERROR('Price History'!E3+(INDEX('Price History'!E:E,MATCH(9.99E+307,'Returns (Calc)'!$A:$A)+1)-'Price History'!E3)*(ROW()-3)/(MATCH(9.99E+307,'Returns (Calc)'!$A:$A)-3),"")</f>
        <v>173.62291139240506</v>
      </c>
      <c r="AA56" s="131">
        <f>IFERROR('Price History'!F3+(INDEX('Price History'!F:F,MATCH(9.99E+307,'Returns (Calc)'!$A:$A)+1)-'Price History'!F3)*(ROW()-3)/(MATCH(9.99E+307,'Returns (Calc)'!$A:$A)-3),"")</f>
        <v>118.06911392405064</v>
      </c>
      <c r="AB56" s="131">
        <f>IFERROR('Price History'!G3+(INDEX('Price History'!G:G,MATCH(9.99E+307,'Returns (Calc)'!$A:$A)+1)-'Price History'!G3)*(ROW()-3)/(MATCH(9.99E+307,'Returns (Calc)'!$A:$A)-3),"")</f>
        <v>98.872911392405058</v>
      </c>
      <c r="AC56" s="131">
        <f>IFERROR('Price History'!H3+(INDEX('Price History'!H:H,MATCH(9.99E+307,'Returns (Calc)'!$A:$A)+1)-'Price History'!H3)*(ROW()-3)/(MATCH(9.99E+307,'Returns (Calc)'!$A:$A)-3),"")</f>
        <v>406.49189873417725</v>
      </c>
      <c r="AD56" s="131">
        <f>IFERROR('Price History'!I3+(INDEX('Price History'!I:I,MATCH(9.99E+307,'Returns (Calc)'!$A:$A)+1)-'Price History'!I3)*(ROW()-3)/(MATCH(9.99E+307,'Returns (Calc)'!$A:$A)-3),"")</f>
        <v>107.56455696202531</v>
      </c>
      <c r="AE56" s="131">
        <f>IFERROR('Price History'!J3+(INDEX('Price History'!J:J,MATCH(9.99E+307,'Returns (Calc)'!$A:$A)+1)-'Price History'!J3)*(ROW()-3)/(MATCH(9.99E+307,'Returns (Calc)'!$A:$A)-3),"")</f>
        <v>117.56601265822785</v>
      </c>
      <c r="AF56" s="131">
        <f>IFERROR('Price History'!K3+(INDEX('Price History'!K:K,MATCH(9.99E+307,'Returns (Calc)'!$A:$A)+1)-'Price History'!K3)*(ROW()-3)/(MATCH(9.99E+307,'Returns (Calc)'!$A:$A)-3),"")</f>
        <v>73.502531645569618</v>
      </c>
      <c r="AG56" s="131">
        <f>IFERROR('Price History'!L3+(INDEX('Price History'!L:L,MATCH(9.99E+307,'Returns (Calc)'!$A:$A)+1)-'Price History'!L3)*(ROW()-3)/(MATCH(9.99E+307,'Returns (Calc)'!$A:$A)-3),"")</f>
        <v>215.57651898734179</v>
      </c>
      <c r="AH56" s="131">
        <f>IFERROR('Price History'!M3+(INDEX('Price History'!M:M,MATCH(9.99E+307,'Returns (Calc)'!$A:$A)+1)-'Price History'!M3)*(ROW()-3)/(MATCH(9.99E+307,'Returns (Calc)'!$A:$A)-3),"")</f>
        <v>109.85848101265822</v>
      </c>
      <c r="AI56" s="131">
        <f>IFERROR('Price History'!N3+(INDEX('Price History'!N:N,MATCH(9.99E+307,'Returns (Calc)'!$A:$A)+1)-'Price History'!N3)*(ROW()-3)/(MATCH(9.99E+307,'Returns (Calc)'!$A:$A)-3),"")</f>
        <v>401.1720886075949</v>
      </c>
      <c r="AJ56" s="131">
        <f>IFERROR('Price History'!O3+(INDEX('Price History'!O:O,MATCH(9.99E+307,'Returns (Calc)'!$A:$A)+1)-'Price History'!O3)*(ROW()-3)/(MATCH(9.99E+307,'Returns (Calc)'!$A:$A)-3),"")</f>
        <v>90.311012658227853</v>
      </c>
      <c r="AK56" s="131">
        <f>IFERROR('Price History'!Q3+(INDEX('Price History'!Q:Q,MATCH(9.99E+307,'Returns (Calc)'!$A:$A)+1)-'Price History'!Q3)*(ROW()-3)/(MATCH(9.99E+307,'Returns (Calc)'!$A:$A)-3),"")</f>
        <v>23.286455696202534</v>
      </c>
      <c r="AL56" s="131">
        <f>IFERROR('Price History'!R3+(INDEX('Price History'!R:R,MATCH(9.99E+307,'Returns (Calc)'!$A:$A)+1)-'Price History'!R3)*(ROW()-3)/(MATCH(9.99E+307,'Returns (Calc)'!$A:$A)-3),"")</f>
        <v>43.389367088607592</v>
      </c>
      <c r="AM56" s="131">
        <f>IFERROR('Price History'!S3+(INDEX('Price History'!S:S,MATCH(9.99E+307,'Returns (Calc)'!$A:$A)+1)-'Price History'!S3)*(ROW()-3)/(MATCH(9.99E+307,'Returns (Calc)'!$A:$A)-3),"")</f>
        <v>89.698354430379737</v>
      </c>
      <c r="AN56" s="131">
        <f>IFERROR('Price History'!T3+(INDEX('Price History'!T:T,MATCH(9.99E+307,'Returns (Calc)'!$A:$A)+1)-'Price History'!T3)*(ROW()-3)/(MATCH(9.99E+307,'Returns (Calc)'!$A:$A)-3),"")</f>
        <v>34.156075949367086</v>
      </c>
      <c r="AO56" s="132">
        <f>IFERROR('Price History'!V3+(INDEX('Price History'!V:V,MATCH(9.99E+307,'Returns (Calc)'!$A:$A)+1)-'Price History'!V3)*(ROW()-3)/(MATCH(9.99E+307,'Returns (Calc)'!$A:$A)-3),"")</f>
        <v>277.57044303797471</v>
      </c>
      <c r="AP56" s="130">
        <f>IFERROR(IF(OR(NOT(ISNUMBER('Price History'!W57)),NOT(ISNUMBER('Price History'!W56)),'Price History'!W56=0),"",'Price History'!W57/'Price History'!W56-1),"")</f>
        <v>5.9656972408650422E-3</v>
      </c>
      <c r="AQ56" s="130" t="str">
        <f>IFERROR(IF(OR(NOT(ISNUMBER('Price History'!X57)),NOT(ISNUMBER('Price History'!X56)),'Price History'!X56=0),"",'Price History'!X57/'Price History'!X56-1),"")</f>
        <v/>
      </c>
      <c r="AR56" s="130">
        <f>IFERROR(IF(OR(NOT(ISNUMBER('Price History'!Y57)),NOT(ISNUMBER('Price History'!Y56)),'Price History'!Y56=0),"",'Price History'!Y57/'Price History'!Y56-1),"")</f>
        <v>4.405286343612369E-3</v>
      </c>
      <c r="AS56" s="130">
        <f>IFERROR(IF(OR(NOT(ISNUMBER('Price History'!Z57)),NOT(ISNUMBER('Price History'!Z56)),'Price History'!Z56=0),"",'Price History'!Z57/'Price History'!Z56-1),"")</f>
        <v>-9.4986237789410621E-3</v>
      </c>
      <c r="AT56" s="130">
        <f>IFERROR(IF(OR(NOT(ISNUMBER('Price History'!AA57)),NOT(ISNUMBER('Price History'!AA56)),'Price History'!AA56=0),"",'Price History'!AA57/'Price History'!AA56-1),"")</f>
        <v>9.1298145506419903E-3</v>
      </c>
    </row>
    <row r="57" spans="1:46" ht="15" customHeight="1" x14ac:dyDescent="0.2">
      <c r="A57" s="128">
        <f>IF('Price History'!A58="","",'Price History'!A58)</f>
        <v>45569</v>
      </c>
      <c r="B57" s="129">
        <f>IFERROR(IF(OR(NOT(ISNUMBER('Price History'!B58)),NOT(ISNUMBER('Price History'!B57)),'Price History'!B57=0),"",'Price History'!B58/'Price History'!B57-1),"")</f>
        <v>-1.6023900054318307E-2</v>
      </c>
      <c r="C57" s="129">
        <f>IFERROR(IF(OR(NOT(ISNUMBER('Price History'!C58)),NOT(ISNUMBER('Price History'!C57)),'Price History'!C57=0),"",'Price History'!C58/'Price History'!C57-1),"")</f>
        <v>4.1232775849374237E-2</v>
      </c>
      <c r="D57" s="129">
        <f>IFERROR(IF(OR(NOT(ISNUMBER('Price History'!D58)),NOT(ISNUMBER('Price History'!D57)),'Price History'!D57=0),"",'Price History'!D58/'Price History'!D57-1),"")</f>
        <v>-1.0148972416542779E-2</v>
      </c>
      <c r="E57" s="129">
        <f>IFERROR(IF(OR(NOT(ISNUMBER('Price History'!E58)),NOT(ISNUMBER('Price History'!E57)),'Price History'!E57=0),"",'Price History'!E58/'Price History'!E57-1),"")</f>
        <v>2.2857142857142909E-2</v>
      </c>
      <c r="F57" s="129">
        <f>IFERROR(IF(OR(NOT(ISNUMBER('Price History'!F58)),NOT(ISNUMBER('Price History'!F57)),'Price History'!F57=0),"",'Price History'!F58/'Price History'!F57-1),"")</f>
        <v>2.2390148334732851E-2</v>
      </c>
      <c r="G57" s="129">
        <f>IFERROR(IF(OR(NOT(ISNUMBER('Price History'!G58)),NOT(ISNUMBER('Price History'!G57)),'Price History'!G57=0),"",'Price History'!G58/'Price History'!G57-1),"")</f>
        <v>6.3570316554228956E-3</v>
      </c>
      <c r="H57" s="129">
        <f>IFERROR(IF(OR(NOT(ISNUMBER('Price History'!H58)),NOT(ISNUMBER('Price History'!H57)),'Price History'!H57=0),"",'Price History'!H58/'Price History'!H57-1),"")</f>
        <v>-4.8862679022746436E-2</v>
      </c>
      <c r="I57" s="129">
        <f>IFERROR(IF(OR(NOT(ISNUMBER('Price History'!I58)),NOT(ISNUMBER('Price History'!I57)),'Price History'!I57=0),"",'Price History'!I58/'Price History'!I57-1),"")</f>
        <v>2.8989098116947609E-2</v>
      </c>
      <c r="J57" s="129">
        <f>IFERROR(IF(OR(NOT(ISNUMBER('Price History'!J58)),NOT(ISNUMBER('Price History'!J57)),'Price History'!J57=0),"",'Price History'!J58/'Price History'!J57-1),"")</f>
        <v>-2.5197922873925194E-2</v>
      </c>
      <c r="K57" s="129">
        <f>IFERROR(IF(OR(NOT(ISNUMBER('Price History'!K58)),NOT(ISNUMBER('Price History'!K57)),'Price History'!K57=0),"",'Price History'!K58/'Price History'!K57-1),"")</f>
        <v>8.6047774158523271E-2</v>
      </c>
      <c r="L57" s="129">
        <f>IFERROR(IF(OR(NOT(ISNUMBER('Price History'!L58)),NOT(ISNUMBER('Price History'!L57)),'Price History'!L57=0),"",'Price History'!L58/'Price History'!L57-1),"")</f>
        <v>1.7964071856287456E-2</v>
      </c>
      <c r="M57" s="129">
        <f>IFERROR(IF(OR(NOT(ISNUMBER('Price History'!M58)),NOT(ISNUMBER('Price History'!M57)),'Price History'!M57=0),"",'Price History'!M58/'Price History'!M57-1),"")</f>
        <v>6.9063868799022154E-2</v>
      </c>
      <c r="N57" s="129">
        <f>IFERROR(IF(OR(NOT(ISNUMBER('Price History'!N58)),NOT(ISNUMBER('Price History'!N57)),'Price History'!N57=0),"",'Price History'!N58/'Price History'!N57-1),"")</f>
        <v>-1.6354130660214294E-2</v>
      </c>
      <c r="O57" s="129">
        <f>IFERROR(IF(OR(NOT(ISNUMBER('Price History'!O58)),NOT(ISNUMBER('Price History'!O57)),'Price History'!O57=0),"",'Price History'!O58/'Price History'!O57-1),"")</f>
        <v>2.8053517479498247E-3</v>
      </c>
      <c r="P57" s="129">
        <f>IFERROR(IF(OR(NOT(ISNUMBER('Price History'!P58)),NOT(ISNUMBER('Price History'!P57)),'Price History'!P57=0),"",'Price History'!P58/'Price History'!P57-1),"")</f>
        <v>-3.9831116067872152E-3</v>
      </c>
      <c r="Q57" s="129">
        <f>IFERROR(IF(OR(NOT(ISNUMBER('Price History'!Q58)),NOT(ISNUMBER('Price History'!Q57)),'Price History'!Q57=0),"",'Price History'!Q58/'Price History'!Q57-1),"")</f>
        <v>1.3304506901712365E-3</v>
      </c>
      <c r="R57" s="129">
        <f>IFERROR(IF(OR(NOT(ISNUMBER('Price History'!R58)),NOT(ISNUMBER('Price History'!R57)),'Price History'!R57=0),"",'Price History'!R58/'Price History'!R57-1),"")</f>
        <v>2.3116042533517511E-3</v>
      </c>
      <c r="S57" s="129">
        <f>IFERROR(IF(OR(NOT(ISNUMBER('Price History'!S58)),NOT(ISNUMBER('Price History'!S57)),'Price History'!S57=0),"",'Price History'!S58/'Price History'!S57-1),"")</f>
        <v>1.4958947250027999E-2</v>
      </c>
      <c r="T57" s="129">
        <f>IFERROR(IF(OR(NOT(ISNUMBER('Price History'!T58)),NOT(ISNUMBER('Price History'!T57)),'Price History'!T57=0),"",'Price History'!T58/'Price History'!T57-1),"")</f>
        <v>1.8564356435643692E-2</v>
      </c>
      <c r="U57" s="129">
        <f>IFERROR(IF(OR(NOT(ISNUMBER('Price History'!U58)),NOT(ISNUMBER('Price History'!U57)),'Price History'!U57=0),"",'Price History'!U58/'Price History'!U57-1),"")</f>
        <v>4.9751243781095411E-3</v>
      </c>
      <c r="V57" s="130">
        <f>IFERROR(IF(OR(NOT(ISNUMBER('Price History'!V58)),NOT(ISNUMBER('Price History'!V57)),'Price History'!V57=0),"",'Price History'!V58/'Price History'!V57-1),"")</f>
        <v>1.0033938320791025E-2</v>
      </c>
      <c r="W57" s="131">
        <f>IFERROR('Price History'!B3+(INDEX('Price History'!B:B,MATCH(9.99E+307,'Returns (Calc)'!$A:$A)+1)-'Price History'!B3)*(ROW()-3)/(MATCH(9.99E+307,'Returns (Calc)'!$A:$A)-3),"")</f>
        <v>429.3659493670886</v>
      </c>
      <c r="X57" s="131">
        <f>IFERROR('Price History'!C3+(INDEX('Price History'!C:C,MATCH(9.99E+307,'Returns (Calc)'!$A:$A)+1)-'Price History'!C3)*(ROW()-3)/(MATCH(9.99E+307,'Returns (Calc)'!$A:$A)-3),"")</f>
        <v>101.26341772151898</v>
      </c>
      <c r="Y57" s="131">
        <f>IFERROR('Price History'!D3+(INDEX('Price History'!D:D,MATCH(9.99E+307,'Returns (Calc)'!$A:$A)+1)-'Price History'!D3)*(ROW()-3)/(MATCH(9.99E+307,'Returns (Calc)'!$A:$A)-3),"")</f>
        <v>1021.289746835443</v>
      </c>
      <c r="Z57" s="131">
        <f>IFERROR('Price History'!E3+(INDEX('Price History'!E:E,MATCH(9.99E+307,'Returns (Calc)'!$A:$A)+1)-'Price History'!E3)*(ROW()-3)/(MATCH(9.99E+307,'Returns (Calc)'!$A:$A)-3),"")</f>
        <v>175.35164556962025</v>
      </c>
      <c r="AA57" s="131">
        <f>IFERROR('Price History'!F3+(INDEX('Price History'!F:F,MATCH(9.99E+307,'Returns (Calc)'!$A:$A)+1)-'Price History'!F3)*(ROW()-3)/(MATCH(9.99E+307,'Returns (Calc)'!$A:$A)-3),"")</f>
        <v>119.51645569620254</v>
      </c>
      <c r="AB57" s="131">
        <f>IFERROR('Price History'!G3+(INDEX('Price History'!G:G,MATCH(9.99E+307,'Returns (Calc)'!$A:$A)+1)-'Price History'!G3)*(ROW()-3)/(MATCH(9.99E+307,'Returns (Calc)'!$A:$A)-3),"")</f>
        <v>99.901645569620257</v>
      </c>
      <c r="AC57" s="131">
        <f>IFERROR('Price History'!H3+(INDEX('Price History'!H:H,MATCH(9.99E+307,'Returns (Calc)'!$A:$A)+1)-'Price History'!H3)*(ROW()-3)/(MATCH(9.99E+307,'Returns (Calc)'!$A:$A)-3),"")</f>
        <v>412.85759493670889</v>
      </c>
      <c r="AD57" s="131">
        <f>IFERROR('Price History'!I3+(INDEX('Price History'!I:I,MATCH(9.99E+307,'Returns (Calc)'!$A:$A)+1)-'Price History'!I3)*(ROW()-3)/(MATCH(9.99E+307,'Returns (Calc)'!$A:$A)-3),"")</f>
        <v>108.76822784810128</v>
      </c>
      <c r="AE57" s="131">
        <f>IFERROR('Price History'!J3+(INDEX('Price History'!J:J,MATCH(9.99E+307,'Returns (Calc)'!$A:$A)+1)-'Price History'!J3)*(ROW()-3)/(MATCH(9.99E+307,'Returns (Calc)'!$A:$A)-3),"")</f>
        <v>117.67405063291139</v>
      </c>
      <c r="AF57" s="131">
        <f>IFERROR('Price History'!K3+(INDEX('Price History'!K:K,MATCH(9.99E+307,'Returns (Calc)'!$A:$A)+1)-'Price History'!K3)*(ROW()-3)/(MATCH(9.99E+307,'Returns (Calc)'!$A:$A)-3),"")</f>
        <v>74.600126582278477</v>
      </c>
      <c r="AG57" s="131">
        <f>IFERROR('Price History'!L3+(INDEX('Price History'!L:L,MATCH(9.99E+307,'Returns (Calc)'!$A:$A)+1)-'Price History'!L3)*(ROW()-3)/(MATCH(9.99E+307,'Returns (Calc)'!$A:$A)-3),"")</f>
        <v>218.02607594936708</v>
      </c>
      <c r="AH57" s="131">
        <f>IFERROR('Price History'!M3+(INDEX('Price History'!M:M,MATCH(9.99E+307,'Returns (Calc)'!$A:$A)+1)-'Price History'!M3)*(ROW()-3)/(MATCH(9.99E+307,'Returns (Calc)'!$A:$A)-3),"")</f>
        <v>111.2139240506329</v>
      </c>
      <c r="AI57" s="131">
        <f>IFERROR('Price History'!N3+(INDEX('Price History'!N:N,MATCH(9.99E+307,'Returns (Calc)'!$A:$A)+1)-'Price History'!N3)*(ROW()-3)/(MATCH(9.99E+307,'Returns (Calc)'!$A:$A)-3),"")</f>
        <v>402.15835443037975</v>
      </c>
      <c r="AJ57" s="131">
        <f>IFERROR('Price History'!O3+(INDEX('Price History'!O:O,MATCH(9.99E+307,'Returns (Calc)'!$A:$A)+1)-'Price History'!O3)*(ROW()-3)/(MATCH(9.99E+307,'Returns (Calc)'!$A:$A)-3),"")</f>
        <v>90.59405063291139</v>
      </c>
      <c r="AK57" s="131">
        <f>IFERROR('Price History'!Q3+(INDEX('Price History'!Q:Q,MATCH(9.99E+307,'Returns (Calc)'!$A:$A)+1)-'Price History'!Q3)*(ROW()-3)/(MATCH(9.99E+307,'Returns (Calc)'!$A:$A)-3),"")</f>
        <v>23.725822784810127</v>
      </c>
      <c r="AL57" s="131">
        <f>IFERROR('Price History'!R3+(INDEX('Price History'!R:R,MATCH(9.99E+307,'Returns (Calc)'!$A:$A)+1)-'Price History'!R3)*(ROW()-3)/(MATCH(9.99E+307,'Returns (Calc)'!$A:$A)-3),"")</f>
        <v>43.557468354430377</v>
      </c>
      <c r="AM57" s="131">
        <f>IFERROR('Price History'!S3+(INDEX('Price History'!S:S,MATCH(9.99E+307,'Returns (Calc)'!$A:$A)+1)-'Price History'!S3)*(ROW()-3)/(MATCH(9.99E+307,'Returns (Calc)'!$A:$A)-3),"")</f>
        <v>90.303417721518997</v>
      </c>
      <c r="AN57" s="131">
        <f>IFERROR('Price History'!T3+(INDEX('Price History'!T:T,MATCH(9.99E+307,'Returns (Calc)'!$A:$A)+1)-'Price History'!T3)*(ROW()-3)/(MATCH(9.99E+307,'Returns (Calc)'!$A:$A)-3),"")</f>
        <v>34.324303797468353</v>
      </c>
      <c r="AO57" s="132">
        <f>IFERROR('Price History'!V3+(INDEX('Price History'!V:V,MATCH(9.99E+307,'Returns (Calc)'!$A:$A)+1)-'Price History'!V3)*(ROW()-3)/(MATCH(9.99E+307,'Returns (Calc)'!$A:$A)-3),"")</f>
        <v>278.36177215189872</v>
      </c>
      <c r="AP57" s="130">
        <f>IFERROR(IF(OR(NOT(ISNUMBER('Price History'!W58)),NOT(ISNUMBER('Price History'!W57)),'Price History'!W57=0),"",'Price History'!W58/'Price History'!W57-1),"")</f>
        <v>7.165801828515006E-3</v>
      </c>
      <c r="AQ57" s="130" t="str">
        <f>IFERROR(IF(OR(NOT(ISNUMBER('Price History'!X58)),NOT(ISNUMBER('Price History'!X57)),'Price History'!X57=0),"",'Price History'!X58/'Price History'!X57-1),"")</f>
        <v/>
      </c>
      <c r="AR57" s="130">
        <f>IFERROR(IF(OR(NOT(ISNUMBER('Price History'!Y58)),NOT(ISNUMBER('Price History'!Y57)),'Price History'!Y57=0),"",'Price History'!Y58/'Price History'!Y57-1),"")</f>
        <v>2.1929824561404132E-3</v>
      </c>
      <c r="AS57" s="130">
        <f>IFERROR(IF(OR(NOT(ISNUMBER('Price History'!Z58)),NOT(ISNUMBER('Price History'!Z57)),'Price History'!Z57=0),"",'Price History'!Z58/'Price History'!Z57-1),"")</f>
        <v>9.2083038195389655E-3</v>
      </c>
      <c r="AT57" s="130">
        <f>IFERROR(IF(OR(NOT(ISNUMBER('Price History'!AA58)),NOT(ISNUMBER('Price History'!AA57)),'Price History'!AA57=0),"",'Price History'!AA58/'Price History'!AA57-1),"")</f>
        <v>1.7387616624257918E-2</v>
      </c>
    </row>
    <row r="58" spans="1:46" ht="15" customHeight="1" x14ac:dyDescent="0.2">
      <c r="A58" s="128">
        <f>IF('Price History'!A59="","",'Price History'!A59)</f>
        <v>45576</v>
      </c>
      <c r="B58" s="129">
        <f>IFERROR(IF(OR(NOT(ISNUMBER('Price History'!B59)),NOT(ISNUMBER('Price History'!B58)),'Price History'!B58=0),"",'Price History'!B59/'Price History'!B58-1),"")</f>
        <v>-2.3264066874334577E-2</v>
      </c>
      <c r="C58" s="129">
        <f>IFERROR(IF(OR(NOT(ISNUMBER('Price History'!C59)),NOT(ISNUMBER('Price History'!C58)),'Price History'!C58=0),"",'Price History'!C59/'Price History'!C58-1),"")</f>
        <v>5.2934639862612487E-2</v>
      </c>
      <c r="D58" s="129">
        <f>IFERROR(IF(OR(NOT(ISNUMBER('Price History'!D59)),NOT(ISNUMBER('Price History'!D58)),'Price History'!D58=0),"",'Price History'!D59/'Price History'!D58-1),"")</f>
        <v>9.2277271229266322E-3</v>
      </c>
      <c r="E58" s="129">
        <f>IFERROR(IF(OR(NOT(ISNUMBER('Price History'!E59)),NOT(ISNUMBER('Price History'!E58)),'Price History'!E58=0),"",'Price History'!E59/'Price History'!E58-1),"")</f>
        <v>2.7414617289638787E-2</v>
      </c>
      <c r="F58" s="129">
        <f>IFERROR(IF(OR(NOT(ISNUMBER('Price History'!F59)),NOT(ISNUMBER('Price History'!F58)),'Price History'!F58=0),"",'Price History'!F59/'Price History'!F58-1),"")</f>
        <v>9.5674787845606346E-2</v>
      </c>
      <c r="G58" s="129">
        <f>IFERROR(IF(OR(NOT(ISNUMBER('Price History'!G59)),NOT(ISNUMBER('Price History'!G58)),'Price History'!G58=0),"",'Price History'!G59/'Price History'!G58-1),"")</f>
        <v>2.0755446693309532E-2</v>
      </c>
      <c r="H58" s="129">
        <f>IFERROR(IF(OR(NOT(ISNUMBER('Price History'!H59)),NOT(ISNUMBER('Price History'!H58)),'Price History'!H58=0),"",'Price History'!H59/'Price History'!H58-1),"")</f>
        <v>4.6845782895384325E-2</v>
      </c>
      <c r="I58" s="129">
        <f>IFERROR(IF(OR(NOT(ISNUMBER('Price History'!I59)),NOT(ISNUMBER('Price History'!I58)),'Price History'!I58=0),"",'Price History'!I59/'Price History'!I58-1),"")</f>
        <v>7.9059314551729543E-2</v>
      </c>
      <c r="J58" s="129">
        <f>IFERROR(IF(OR(NOT(ISNUMBER('Price History'!J59)),NOT(ISNUMBER('Price History'!J58)),'Price History'!J58=0),"",'Price History'!J59/'Price History'!J58-1),"")</f>
        <v>-1.7815037987948701E-2</v>
      </c>
      <c r="K58" s="129">
        <f>IFERROR(IF(OR(NOT(ISNUMBER('Price History'!K59)),NOT(ISNUMBER('Price History'!K58)),'Price History'!K58=0),"",'Price History'!K59/'Price History'!K58-1),"")</f>
        <v>8.7478130467383064E-2</v>
      </c>
      <c r="L58" s="129">
        <f>IFERROR(IF(OR(NOT(ISNUMBER('Price History'!L59)),NOT(ISNUMBER('Price History'!L58)),'Price History'!L58=0),"",'Price History'!L59/'Price History'!L58-1),"")</f>
        <v>5.3223981900452522E-2</v>
      </c>
      <c r="M58" s="129">
        <f>IFERROR(IF(OR(NOT(ISNUMBER('Price History'!M59)),NOT(ISNUMBER('Price History'!M58)),'Price History'!M58=0),"",'Price History'!M59/'Price History'!M58-1),"")</f>
        <v>6.3077656026679252E-2</v>
      </c>
      <c r="N58" s="129">
        <f>IFERROR(IF(OR(NOT(ISNUMBER('Price History'!N59)),NOT(ISNUMBER('Price History'!N58)),'Price History'!N58=0),"",'Price History'!N59/'Price History'!N58-1),"")</f>
        <v>5.7982473479607277E-2</v>
      </c>
      <c r="O58" s="129">
        <f>IFERROR(IF(OR(NOT(ISNUMBER('Price History'!O59)),NOT(ISNUMBER('Price History'!O58)),'Price History'!O58=0),"",'Price History'!O59/'Price History'!O58-1),"")</f>
        <v>1.1943189154293155E-2</v>
      </c>
      <c r="P58" s="129">
        <f>IFERROR(IF(OR(NOT(ISNUMBER('Price History'!P59)),NOT(ISNUMBER('Price History'!P58)),'Price History'!P58=0),"",'Price History'!P59/'Price History'!P58-1),"")</f>
        <v>5.5986563224830199E-4</v>
      </c>
      <c r="Q58" s="129">
        <f>IFERROR(IF(OR(NOT(ISNUMBER('Price History'!Q59)),NOT(ISNUMBER('Price History'!Q58)),'Price History'!Q58=0),"",'Price History'!Q59/'Price History'!Q58-1),"")</f>
        <v>8.1381830260753851E-3</v>
      </c>
      <c r="R58" s="129">
        <f>IFERROR(IF(OR(NOT(ISNUMBER('Price History'!R59)),NOT(ISNUMBER('Price History'!R58)),'Price History'!R58=0),"",'Price History'!R59/'Price History'!R58-1),"")</f>
        <v>8.9944649446493941E-3</v>
      </c>
      <c r="S58" s="129">
        <f>IFERROR(IF(OR(NOT(ISNUMBER('Price History'!S59)),NOT(ISNUMBER('Price History'!S58)),'Price History'!S58=0),"",'Price History'!S59/'Price History'!S58-1),"")</f>
        <v>2.1609042553191626E-2</v>
      </c>
      <c r="T58" s="129">
        <f>IFERROR(IF(OR(NOT(ISNUMBER('Price History'!T59)),NOT(ISNUMBER('Price History'!T58)),'Price History'!T58=0),"",'Price History'!T59/'Price History'!T58-1),"")</f>
        <v>4.2527339003646247E-3</v>
      </c>
      <c r="U58" s="129">
        <f>IFERROR(IF(OR(NOT(ISNUMBER('Price History'!U59)),NOT(ISNUMBER('Price History'!U58)),'Price History'!U58=0),"",'Price History'!U59/'Price History'!U58-1),"")</f>
        <v>1.1424219345011366E-2</v>
      </c>
      <c r="V58" s="130">
        <f>IFERROR(IF(OR(NOT(ISNUMBER('Price History'!V59)),NOT(ISNUMBER('Price History'!V58)),'Price History'!V58=0),"",'Price History'!V59/'Price History'!V58-1),"")</f>
        <v>-3.2870708546395289E-4</v>
      </c>
      <c r="W58" s="131">
        <f>IFERROR('Price History'!B3+(INDEX('Price History'!B:B,MATCH(9.99E+307,'Returns (Calc)'!$A:$A)+1)-'Price History'!B3)*(ROW()-3)/(MATCH(9.99E+307,'Returns (Calc)'!$A:$A)-3),"")</f>
        <v>427.52291139240504</v>
      </c>
      <c r="X58" s="131">
        <f>IFERROR('Price History'!C3+(INDEX('Price History'!C:C,MATCH(9.99E+307,'Returns (Calc)'!$A:$A)+1)-'Price History'!C3)*(ROW()-3)/(MATCH(9.99E+307,'Returns (Calc)'!$A:$A)-3),"")</f>
        <v>102.28348101265823</v>
      </c>
      <c r="Y58" s="131">
        <f>IFERROR('Price History'!D3+(INDEX('Price History'!D:D,MATCH(9.99E+307,'Returns (Calc)'!$A:$A)+1)-'Price History'!D3)*(ROW()-3)/(MATCH(9.99E+307,'Returns (Calc)'!$A:$A)-3),"")</f>
        <v>1029.4245569620252</v>
      </c>
      <c r="Z58" s="131">
        <f>IFERROR('Price History'!E3+(INDEX('Price History'!E:E,MATCH(9.99E+307,'Returns (Calc)'!$A:$A)+1)-'Price History'!E3)*(ROW()-3)/(MATCH(9.99E+307,'Returns (Calc)'!$A:$A)-3),"")</f>
        <v>177.08037974683543</v>
      </c>
      <c r="AA58" s="131">
        <f>IFERROR('Price History'!F3+(INDEX('Price History'!F:F,MATCH(9.99E+307,'Returns (Calc)'!$A:$A)+1)-'Price History'!F3)*(ROW()-3)/(MATCH(9.99E+307,'Returns (Calc)'!$A:$A)-3),"")</f>
        <v>120.96379746835443</v>
      </c>
      <c r="AB58" s="131">
        <f>IFERROR('Price History'!G3+(INDEX('Price History'!G:G,MATCH(9.99E+307,'Returns (Calc)'!$A:$A)+1)-'Price History'!G3)*(ROW()-3)/(MATCH(9.99E+307,'Returns (Calc)'!$A:$A)-3),"")</f>
        <v>100.93037974683543</v>
      </c>
      <c r="AC58" s="131">
        <f>IFERROR('Price History'!H3+(INDEX('Price History'!H:H,MATCH(9.99E+307,'Returns (Calc)'!$A:$A)+1)-'Price History'!H3)*(ROW()-3)/(MATCH(9.99E+307,'Returns (Calc)'!$A:$A)-3),"")</f>
        <v>419.22329113924053</v>
      </c>
      <c r="AD58" s="131">
        <f>IFERROR('Price History'!I3+(INDEX('Price History'!I:I,MATCH(9.99E+307,'Returns (Calc)'!$A:$A)+1)-'Price History'!I3)*(ROW()-3)/(MATCH(9.99E+307,'Returns (Calc)'!$A:$A)-3),"")</f>
        <v>109.97189873417722</v>
      </c>
      <c r="AE58" s="131">
        <f>IFERROR('Price History'!J3+(INDEX('Price History'!J:J,MATCH(9.99E+307,'Returns (Calc)'!$A:$A)+1)-'Price History'!J3)*(ROW()-3)/(MATCH(9.99E+307,'Returns (Calc)'!$A:$A)-3),"")</f>
        <v>117.78208860759494</v>
      </c>
      <c r="AF58" s="131">
        <f>IFERROR('Price History'!K3+(INDEX('Price History'!K:K,MATCH(9.99E+307,'Returns (Calc)'!$A:$A)+1)-'Price History'!K3)*(ROW()-3)/(MATCH(9.99E+307,'Returns (Calc)'!$A:$A)-3),"")</f>
        <v>75.697721518987336</v>
      </c>
      <c r="AG58" s="131">
        <f>IFERROR('Price History'!L3+(INDEX('Price History'!L:L,MATCH(9.99E+307,'Returns (Calc)'!$A:$A)+1)-'Price History'!L3)*(ROW()-3)/(MATCH(9.99E+307,'Returns (Calc)'!$A:$A)-3),"")</f>
        <v>220.47563291139238</v>
      </c>
      <c r="AH58" s="131">
        <f>IFERROR('Price History'!M3+(INDEX('Price History'!M:M,MATCH(9.99E+307,'Returns (Calc)'!$A:$A)+1)-'Price History'!M3)*(ROW()-3)/(MATCH(9.99E+307,'Returns (Calc)'!$A:$A)-3),"")</f>
        <v>112.56936708860761</v>
      </c>
      <c r="AI58" s="131">
        <f>IFERROR('Price History'!N3+(INDEX('Price History'!N:N,MATCH(9.99E+307,'Returns (Calc)'!$A:$A)+1)-'Price History'!N3)*(ROW()-3)/(MATCH(9.99E+307,'Returns (Calc)'!$A:$A)-3),"")</f>
        <v>403.14462025316453</v>
      </c>
      <c r="AJ58" s="131">
        <f>IFERROR('Price History'!O3+(INDEX('Price History'!O:O,MATCH(9.99E+307,'Returns (Calc)'!$A:$A)+1)-'Price History'!O3)*(ROW()-3)/(MATCH(9.99E+307,'Returns (Calc)'!$A:$A)-3),"")</f>
        <v>90.877088607594942</v>
      </c>
      <c r="AK58" s="131">
        <f>IFERROR('Price History'!Q3+(INDEX('Price History'!Q:Q,MATCH(9.99E+307,'Returns (Calc)'!$A:$A)+1)-'Price History'!Q3)*(ROW()-3)/(MATCH(9.99E+307,'Returns (Calc)'!$A:$A)-3),"")</f>
        <v>24.16518987341772</v>
      </c>
      <c r="AL58" s="131">
        <f>IFERROR('Price History'!R3+(INDEX('Price History'!R:R,MATCH(9.99E+307,'Returns (Calc)'!$A:$A)+1)-'Price History'!R3)*(ROW()-3)/(MATCH(9.99E+307,'Returns (Calc)'!$A:$A)-3),"")</f>
        <v>43.725569620253161</v>
      </c>
      <c r="AM58" s="131">
        <f>IFERROR('Price History'!S3+(INDEX('Price History'!S:S,MATCH(9.99E+307,'Returns (Calc)'!$A:$A)+1)-'Price History'!S3)*(ROW()-3)/(MATCH(9.99E+307,'Returns (Calc)'!$A:$A)-3),"")</f>
        <v>90.908481012658228</v>
      </c>
      <c r="AN58" s="131">
        <f>IFERROR('Price History'!T3+(INDEX('Price History'!T:T,MATCH(9.99E+307,'Returns (Calc)'!$A:$A)+1)-'Price History'!T3)*(ROW()-3)/(MATCH(9.99E+307,'Returns (Calc)'!$A:$A)-3),"")</f>
        <v>34.49253164556962</v>
      </c>
      <c r="AO58" s="132">
        <f>IFERROR('Price History'!V3+(INDEX('Price History'!V:V,MATCH(9.99E+307,'Returns (Calc)'!$A:$A)+1)-'Price History'!V3)*(ROW()-3)/(MATCH(9.99E+307,'Returns (Calc)'!$A:$A)-3),"")</f>
        <v>279.15310126582278</v>
      </c>
      <c r="AP58" s="130">
        <f>IFERROR(IF(OR(NOT(ISNUMBER('Price History'!W59)),NOT(ISNUMBER('Price History'!W58)),'Price History'!W58=0),"",'Price History'!W59/'Price History'!W58-1),"")</f>
        <v>1.1122015047432043E-2</v>
      </c>
      <c r="AQ58" s="130" t="str">
        <f>IFERROR(IF(OR(NOT(ISNUMBER('Price History'!X59)),NOT(ISNUMBER('Price History'!X58)),'Price History'!X58=0),"",'Price History'!X59/'Price History'!X58-1),"")</f>
        <v/>
      </c>
      <c r="AR58" s="130">
        <f>IFERROR(IF(OR(NOT(ISNUMBER('Price History'!Y59)),NOT(ISNUMBER('Price History'!Y58)),'Price History'!Y58=0),"",'Price History'!Y59/'Price History'!Y58-1),"")</f>
        <v>5.3709966182613478E-3</v>
      </c>
      <c r="AS58" s="130">
        <f>IFERROR(IF(OR(NOT(ISNUMBER('Price History'!Z59)),NOT(ISNUMBER('Price History'!Z58)),'Price History'!Z58=0),"",'Price History'!Z59/'Price History'!Z58-1),"")</f>
        <v>2.1811899362919718E-2</v>
      </c>
      <c r="AT58" s="130">
        <f>IFERROR(IF(OR(NOT(ISNUMBER('Price History'!AA59)),NOT(ISNUMBER('Price History'!AA58)),'Price History'!AA58=0),"",'Price History'!AA59/'Price History'!AA58-1),"")</f>
        <v>4.3073502848409717E-3</v>
      </c>
    </row>
    <row r="59" spans="1:46" ht="15" customHeight="1" x14ac:dyDescent="0.2">
      <c r="A59" s="128">
        <f>IF('Price History'!A60="","",'Price History'!A60)</f>
        <v>45583</v>
      </c>
      <c r="B59" s="129">
        <f>IFERROR(IF(OR(NOT(ISNUMBER('Price History'!B60)),NOT(ISNUMBER('Price History'!B59)),'Price History'!B59=0),"",'Price History'!B60/'Price History'!B59-1),"")</f>
        <v>-1.049614468531801E-3</v>
      </c>
      <c r="C59" s="129">
        <f>IFERROR(IF(OR(NOT(ISNUMBER('Price History'!C60)),NOT(ISNUMBER('Price History'!C59)),'Price History'!C59=0),"",'Price History'!C60/'Price History'!C59-1),"")</f>
        <v>-3.5786241964885335E-2</v>
      </c>
      <c r="D59" s="129">
        <f>IFERROR(IF(OR(NOT(ISNUMBER('Price History'!D60)),NOT(ISNUMBER('Price History'!D59)),'Price History'!D59=0),"",'Price History'!D60/'Price History'!D59-1),"")</f>
        <v>-0.13967804748255386</v>
      </c>
      <c r="E59" s="129">
        <f>IFERROR(IF(OR(NOT(ISNUMBER('Price History'!E60)),NOT(ISNUMBER('Price History'!E59)),'Price History'!E59=0),"",'Price History'!E60/'Price History'!E59-1),"")</f>
        <v>-8.7448848029596515E-3</v>
      </c>
      <c r="F59" s="129">
        <f>IFERROR(IF(OR(NOT(ISNUMBER('Price History'!F60)),NOT(ISNUMBER('Price History'!F59)),'Price History'!F59=0),"",'Price History'!F60/'Price History'!F59-1),"")</f>
        <v>-3.1355402873204152E-2</v>
      </c>
      <c r="G59" s="129">
        <f>IFERROR(IF(OR(NOT(ISNUMBER('Price History'!G60)),NOT(ISNUMBER('Price History'!G59)),'Price History'!G59=0),"",'Price History'!G60/'Price History'!G59-1),"")</f>
        <v>-0.15584743622126807</v>
      </c>
      <c r="H59" s="129">
        <f>IFERROR(IF(OR(NOT(ISNUMBER('Price History'!H60)),NOT(ISNUMBER('Price History'!H59)),'Price History'!H59=0),"",'Price History'!H60/'Price History'!H59-1),"")</f>
        <v>3.9578828617091277E-2</v>
      </c>
      <c r="I59" s="129">
        <f>IFERROR(IF(OR(NOT(ISNUMBER('Price History'!I60)),NOT(ISNUMBER('Price History'!I59)),'Price History'!I59=0),"",'Price History'!I60/'Price History'!I59-1),"")</f>
        <v>2.3728057125855351E-2</v>
      </c>
      <c r="J59" s="129">
        <f>IFERROR(IF(OR(NOT(ISNUMBER('Price History'!J60)),NOT(ISNUMBER('Price History'!J59)),'Price History'!J59=0),"",'Price History'!J60/'Price History'!J59-1),"")</f>
        <v>1.8760558371121228E-2</v>
      </c>
      <c r="K59" s="129">
        <f>IFERROR(IF(OR(NOT(ISNUMBER('Price History'!K60)),NOT(ISNUMBER('Price History'!K59)),'Price History'!K59=0),"",'Price History'!K60/'Price History'!K59-1),"")</f>
        <v>-1.2410940013789951E-2</v>
      </c>
      <c r="L59" s="129">
        <f>IFERROR(IF(OR(NOT(ISNUMBER('Price History'!L60)),NOT(ISNUMBER('Price History'!L59)),'Price History'!L59=0),"",'Price History'!L60/'Price History'!L59-1),"")</f>
        <v>5.2252832823156625E-2</v>
      </c>
      <c r="M59" s="129">
        <f>IFERROR(IF(OR(NOT(ISNUMBER('Price History'!M60)),NOT(ISNUMBER('Price History'!M59)),'Price History'!M59=0),"",'Price History'!M60/'Price History'!M59-1),"")</f>
        <v>3.6748229810881217E-3</v>
      </c>
      <c r="N59" s="129">
        <f>IFERROR(IF(OR(NOT(ISNUMBER('Price History'!N60)),NOT(ISNUMBER('Price History'!N59)),'Price History'!N59=0),"",'Price History'!N60/'Price History'!N59-1),"")</f>
        <v>2.6779597683252998E-3</v>
      </c>
      <c r="O59" s="129">
        <f>IFERROR(IF(OR(NOT(ISNUMBER('Price History'!O60)),NOT(ISNUMBER('Price History'!O59)),'Price History'!O59=0),"",'Price History'!O60/'Price History'!O59-1),"")</f>
        <v>1.254651780967575E-2</v>
      </c>
      <c r="P59" s="129">
        <f>IFERROR(IF(OR(NOT(ISNUMBER('Price History'!P60)),NOT(ISNUMBER('Price History'!P59)),'Price History'!P59=0),"",'Price History'!P60/'Price History'!P59-1),"")</f>
        <v>1.934452438049572E-2</v>
      </c>
      <c r="Q59" s="129">
        <f>IFERROR(IF(OR(NOT(ISNUMBER('Price History'!Q60)),NOT(ISNUMBER('Price History'!Q59)),'Price History'!Q59=0),"",'Price History'!Q60/'Price History'!Q59-1),"")</f>
        <v>8.2372322899506578E-3</v>
      </c>
      <c r="R59" s="129">
        <f>IFERROR(IF(OR(NOT(ISNUMBER('Price History'!R60)),NOT(ISNUMBER('Price History'!R59)),'Price History'!R59=0),"",'Price History'!R60/'Price History'!R59-1),"")</f>
        <v>7.5428571428570734E-3</v>
      </c>
      <c r="S59" s="129">
        <f>IFERROR(IF(OR(NOT(ISNUMBER('Price History'!S60)),NOT(ISNUMBER('Price History'!S59)),'Price History'!S59=0),"",'Price History'!S60/'Price History'!S59-1),"")</f>
        <v>4.3388653867013627E-3</v>
      </c>
      <c r="T59" s="129">
        <f>IFERROR(IF(OR(NOT(ISNUMBER('Price History'!T60)),NOT(ISNUMBER('Price History'!T59)),'Price History'!T59=0),"",'Price History'!T60/'Price History'!T59-1),"")</f>
        <v>-4.8396854204477702E-3</v>
      </c>
      <c r="U59" s="129">
        <f>IFERROR(IF(OR(NOT(ISNUMBER('Price History'!U60)),NOT(ISNUMBER('Price History'!U59)),'Price History'!U59=0),"",'Price History'!U60/'Price History'!U59-1),"")</f>
        <v>9.4126506024097001E-3</v>
      </c>
      <c r="V59" s="130">
        <f>IFERROR(IF(OR(NOT(ISNUMBER('Price History'!V60)),NOT(ISNUMBER('Price History'!V59)),'Price History'!V59=0),"",'Price History'!V60/'Price History'!V59-1),"")</f>
        <v>4.5997588688758251E-2</v>
      </c>
      <c r="W59" s="131">
        <f>IFERROR('Price History'!B3+(INDEX('Price History'!B:B,MATCH(9.99E+307,'Returns (Calc)'!$A:$A)+1)-'Price History'!B3)*(ROW()-3)/(MATCH(9.99E+307,'Returns (Calc)'!$A:$A)-3),"")</f>
        <v>425.67987341772152</v>
      </c>
      <c r="X59" s="131">
        <f>IFERROR('Price History'!C3+(INDEX('Price History'!C:C,MATCH(9.99E+307,'Returns (Calc)'!$A:$A)+1)-'Price History'!C3)*(ROW()-3)/(MATCH(9.99E+307,'Returns (Calc)'!$A:$A)-3),"")</f>
        <v>103.30354430379745</v>
      </c>
      <c r="Y59" s="131">
        <f>IFERROR('Price History'!D3+(INDEX('Price History'!D:D,MATCH(9.99E+307,'Returns (Calc)'!$A:$A)+1)-'Price History'!D3)*(ROW()-3)/(MATCH(9.99E+307,'Returns (Calc)'!$A:$A)-3),"")</f>
        <v>1037.5593670886076</v>
      </c>
      <c r="Z59" s="131">
        <f>IFERROR('Price History'!E3+(INDEX('Price History'!E:E,MATCH(9.99E+307,'Returns (Calc)'!$A:$A)+1)-'Price History'!E3)*(ROW()-3)/(MATCH(9.99E+307,'Returns (Calc)'!$A:$A)-3),"")</f>
        <v>178.80911392405062</v>
      </c>
      <c r="AA59" s="131">
        <f>IFERROR('Price History'!F3+(INDEX('Price History'!F:F,MATCH(9.99E+307,'Returns (Calc)'!$A:$A)+1)-'Price History'!F3)*(ROW()-3)/(MATCH(9.99E+307,'Returns (Calc)'!$A:$A)-3),"")</f>
        <v>122.41113924050633</v>
      </c>
      <c r="AB59" s="131">
        <f>IFERROR('Price History'!G3+(INDEX('Price History'!G:G,MATCH(9.99E+307,'Returns (Calc)'!$A:$A)+1)-'Price History'!G3)*(ROW()-3)/(MATCH(9.99E+307,'Returns (Calc)'!$A:$A)-3),"")</f>
        <v>101.95911392405063</v>
      </c>
      <c r="AC59" s="131">
        <f>IFERROR('Price History'!H3+(INDEX('Price History'!H:H,MATCH(9.99E+307,'Returns (Calc)'!$A:$A)+1)-'Price History'!H3)*(ROW()-3)/(MATCH(9.99E+307,'Returns (Calc)'!$A:$A)-3),"")</f>
        <v>425.58898734177222</v>
      </c>
      <c r="AD59" s="131">
        <f>IFERROR('Price History'!I3+(INDEX('Price History'!I:I,MATCH(9.99E+307,'Returns (Calc)'!$A:$A)+1)-'Price History'!I3)*(ROW()-3)/(MATCH(9.99E+307,'Returns (Calc)'!$A:$A)-3),"")</f>
        <v>111.17556962025316</v>
      </c>
      <c r="AE59" s="131">
        <f>IFERROR('Price History'!J3+(INDEX('Price History'!J:J,MATCH(9.99E+307,'Returns (Calc)'!$A:$A)+1)-'Price History'!J3)*(ROW()-3)/(MATCH(9.99E+307,'Returns (Calc)'!$A:$A)-3),"")</f>
        <v>117.89012658227848</v>
      </c>
      <c r="AF59" s="131">
        <f>IFERROR('Price History'!K3+(INDEX('Price History'!K:K,MATCH(9.99E+307,'Returns (Calc)'!$A:$A)+1)-'Price History'!K3)*(ROW()-3)/(MATCH(9.99E+307,'Returns (Calc)'!$A:$A)-3),"")</f>
        <v>76.795316455696195</v>
      </c>
      <c r="AG59" s="131">
        <f>IFERROR('Price History'!L3+(INDEX('Price History'!L:L,MATCH(9.99E+307,'Returns (Calc)'!$A:$A)+1)-'Price History'!L3)*(ROW()-3)/(MATCH(9.99E+307,'Returns (Calc)'!$A:$A)-3),"")</f>
        <v>222.92518987341774</v>
      </c>
      <c r="AH59" s="131">
        <f>IFERROR('Price History'!M3+(INDEX('Price History'!M:M,MATCH(9.99E+307,'Returns (Calc)'!$A:$A)+1)-'Price History'!M3)*(ROW()-3)/(MATCH(9.99E+307,'Returns (Calc)'!$A:$A)-3),"")</f>
        <v>113.92481012658229</v>
      </c>
      <c r="AI59" s="131">
        <f>IFERROR('Price History'!N3+(INDEX('Price History'!N:N,MATCH(9.99E+307,'Returns (Calc)'!$A:$A)+1)-'Price History'!N3)*(ROW()-3)/(MATCH(9.99E+307,'Returns (Calc)'!$A:$A)-3),"")</f>
        <v>404.13088607594938</v>
      </c>
      <c r="AJ59" s="131">
        <f>IFERROR('Price History'!O3+(INDEX('Price History'!O:O,MATCH(9.99E+307,'Returns (Calc)'!$A:$A)+1)-'Price History'!O3)*(ROW()-3)/(MATCH(9.99E+307,'Returns (Calc)'!$A:$A)-3),"")</f>
        <v>91.16012658227848</v>
      </c>
      <c r="AK59" s="131">
        <f>IFERROR('Price History'!Q3+(INDEX('Price History'!Q:Q,MATCH(9.99E+307,'Returns (Calc)'!$A:$A)+1)-'Price History'!Q3)*(ROW()-3)/(MATCH(9.99E+307,'Returns (Calc)'!$A:$A)-3),"")</f>
        <v>24.604556962025317</v>
      </c>
      <c r="AL59" s="131">
        <f>IFERROR('Price History'!R3+(INDEX('Price History'!R:R,MATCH(9.99E+307,'Returns (Calc)'!$A:$A)+1)-'Price History'!R3)*(ROW()-3)/(MATCH(9.99E+307,'Returns (Calc)'!$A:$A)-3),"")</f>
        <v>43.893670886075945</v>
      </c>
      <c r="AM59" s="131">
        <f>IFERROR('Price History'!S3+(INDEX('Price History'!S:S,MATCH(9.99E+307,'Returns (Calc)'!$A:$A)+1)-'Price History'!S3)*(ROW()-3)/(MATCH(9.99E+307,'Returns (Calc)'!$A:$A)-3),"")</f>
        <v>91.51354430379746</v>
      </c>
      <c r="AN59" s="131">
        <f>IFERROR('Price History'!T3+(INDEX('Price History'!T:T,MATCH(9.99E+307,'Returns (Calc)'!$A:$A)+1)-'Price History'!T3)*(ROW()-3)/(MATCH(9.99E+307,'Returns (Calc)'!$A:$A)-3),"")</f>
        <v>34.660759493670881</v>
      </c>
      <c r="AO59" s="132">
        <f>IFERROR('Price History'!V3+(INDEX('Price History'!V:V,MATCH(9.99E+307,'Returns (Calc)'!$A:$A)+1)-'Price History'!V3)*(ROW()-3)/(MATCH(9.99E+307,'Returns (Calc)'!$A:$A)-3),"")</f>
        <v>279.94443037974685</v>
      </c>
      <c r="AP59" s="130">
        <f>IFERROR(IF(OR(NOT(ISNUMBER('Price History'!W60)),NOT(ISNUMBER('Price History'!W59)),'Price History'!W59=0),"",'Price History'!W60/'Price History'!W59-1),"")</f>
        <v>1.0109996764801066E-2</v>
      </c>
      <c r="AQ59" s="130" t="str">
        <f>IFERROR(IF(OR(NOT(ISNUMBER('Price History'!X60)),NOT(ISNUMBER('Price History'!X59)),'Price History'!X59=0),"",'Price History'!X60/'Price History'!X59-1),"")</f>
        <v/>
      </c>
      <c r="AR59" s="130">
        <f>IFERROR(IF(OR(NOT(ISNUMBER('Price History'!Y60)),NOT(ISNUMBER('Price History'!Y59)),'Price History'!Y59=0),"",'Price History'!Y60/'Price History'!Y59-1),"")</f>
        <v>7.3209339137316753E-3</v>
      </c>
      <c r="AS59" s="130">
        <f>IFERROR(IF(OR(NOT(ISNUMBER('Price History'!Z60)),NOT(ISNUMBER('Price History'!Z59)),'Price History'!Z59=0),"",'Price History'!Z60/'Price History'!Z59-1),"")</f>
        <v>7.555743421747918E-3</v>
      </c>
      <c r="AT59" s="130">
        <f>IFERROR(IF(OR(NOT(ISNUMBER('Price History'!AA60)),NOT(ISNUMBER('Price History'!AA59)),'Price History'!AA59=0),"",'Price History'!AA60/'Price History'!AA59-1),"")</f>
        <v>5.6862202545655771E-2</v>
      </c>
    </row>
    <row r="60" spans="1:46" ht="15" customHeight="1" x14ac:dyDescent="0.2">
      <c r="A60" s="128">
        <f>IF('Price History'!A61="","",'Price History'!A61)</f>
        <v>45590</v>
      </c>
      <c r="B60" s="129">
        <f>IFERROR(IF(OR(NOT(ISNUMBER('Price History'!B61)),NOT(ISNUMBER('Price History'!B60)),'Price History'!B60=0),"",'Price History'!B61/'Price History'!B60-1),"")</f>
        <v>-2.2590422307536828E-2</v>
      </c>
      <c r="C60" s="129">
        <f>IFERROR(IF(OR(NOT(ISNUMBER('Price History'!C61)),NOT(ISNUMBER('Price History'!C60)),'Price History'!C60=0),"",'Price History'!C61/'Price History'!C60-1),"")</f>
        <v>-1.9701492537313459E-2</v>
      </c>
      <c r="D60" s="129">
        <f>IFERROR(IF(OR(NOT(ISNUMBER('Price History'!D61)),NOT(ISNUMBER('Price History'!D60)),'Price History'!D60=0),"",'Price History'!D61/'Price History'!D60-1),"")</f>
        <v>-1.5983917676497872E-2</v>
      </c>
      <c r="E60" s="129">
        <f>IFERROR(IF(OR(NOT(ISNUMBER('Price History'!E61)),NOT(ISNUMBER('Price History'!E60)),'Price History'!E60=0),"",'Price History'!E61/'Price History'!E60-1),"")</f>
        <v>-3.8285358819204918E-2</v>
      </c>
      <c r="F60" s="129">
        <f>IFERROR(IF(OR(NOT(ISNUMBER('Price History'!F61)),NOT(ISNUMBER('Price History'!F60)),'Price History'!F60=0),"",'Price History'!F61/'Price History'!F60-1),"")</f>
        <v>-3.0822801134898103E-2</v>
      </c>
      <c r="G60" s="129">
        <f>IFERROR(IF(OR(NOT(ISNUMBER('Price History'!G61)),NOT(ISNUMBER('Price History'!G60)),'Price History'!G60=0),"",'Price History'!G61/'Price History'!G60-1),"")</f>
        <v>-7.9293836026331777E-3</v>
      </c>
      <c r="H60" s="129">
        <f>IFERROR(IF(OR(NOT(ISNUMBER('Price History'!H61)),NOT(ISNUMBER('Price History'!H60)),'Price History'!H60=0),"",'Price History'!H61/'Price History'!H60-1),"")</f>
        <v>-2.9119189726894534E-2</v>
      </c>
      <c r="I60" s="129">
        <f>IFERROR(IF(OR(NOT(ISNUMBER('Price History'!I61)),NOT(ISNUMBER('Price History'!I60)),'Price History'!I60=0),"",'Price History'!I61/'Price History'!I60-1),"")</f>
        <v>2.5648477802804548E-2</v>
      </c>
      <c r="J60" s="129">
        <f>IFERROR(IF(OR(NOT(ISNUMBER('Price History'!J61)),NOT(ISNUMBER('Price History'!J60)),'Price History'!J60=0),"",'Price History'!J61/'Price History'!J60-1),"")</f>
        <v>-4.0495723511956738E-2</v>
      </c>
      <c r="K60" s="129">
        <f>IFERROR(IF(OR(NOT(ISNUMBER('Price History'!K61)),NOT(ISNUMBER('Price History'!K60)),'Price History'!K60=0),"",'Price History'!K61/'Price History'!K60-1),"")</f>
        <v>4.3984175005818082E-2</v>
      </c>
      <c r="L60" s="129">
        <f>IFERROR(IF(OR(NOT(ISNUMBER('Price History'!L61)),NOT(ISNUMBER('Price History'!L60)),'Price History'!L60=0),"",'Price History'!L61/'Price History'!L60-1),"")</f>
        <v>1.3269368173930873E-2</v>
      </c>
      <c r="M60" s="129">
        <f>IFERROR(IF(OR(NOT(ISNUMBER('Price History'!M61)),NOT(ISNUMBER('Price History'!M60)),'Price History'!M60=0),"",'Price History'!M61/'Price History'!M60-1),"")</f>
        <v>-7.1441328808719007E-4</v>
      </c>
      <c r="N60" s="129">
        <f>IFERROR(IF(OR(NOT(ISNUMBER('Price History'!N61)),NOT(ISNUMBER('Price History'!N60)),'Price History'!N60=0),"",'Price History'!N61/'Price History'!N60-1),"")</f>
        <v>-1.0973084886128359E-2</v>
      </c>
      <c r="O60" s="129">
        <f>IFERROR(IF(OR(NOT(ISNUMBER('Price History'!O61)),NOT(ISNUMBER('Price History'!O60)),'Price History'!O60=0),"",'Price History'!O61/'Price History'!O60-1),"")</f>
        <v>-3.328782946550457E-2</v>
      </c>
      <c r="P60" s="129">
        <f>IFERROR(IF(OR(NOT(ISNUMBER('Price History'!P61)),NOT(ISNUMBER('Price History'!P60)),'Price History'!P60=0),"",'Price History'!P61/'Price History'!P60-1),"")</f>
        <v>-2.3604140526976125E-2</v>
      </c>
      <c r="Q60" s="129">
        <f>IFERROR(IF(OR(NOT(ISNUMBER('Price History'!Q61)),NOT(ISNUMBER('Price History'!Q60)),'Price History'!Q60=0),"",'Price History'!Q61/'Price History'!Q60-1),"")</f>
        <v>-2.7777777777777679E-3</v>
      </c>
      <c r="R60" s="129">
        <f>IFERROR(IF(OR(NOT(ISNUMBER('Price History'!R61)),NOT(ISNUMBER('Price History'!R60)),'Price History'!R60=0),"",'Price History'!R61/'Price History'!R60-1),"")</f>
        <v>2.2686025408349408E-3</v>
      </c>
      <c r="S60" s="129">
        <f>IFERROR(IF(OR(NOT(ISNUMBER('Price History'!S61)),NOT(ISNUMBER('Price History'!S60)),'Price History'!S60=0),"",'Price History'!S61/'Price History'!S60-1),"")</f>
        <v>-1.4688411275515678E-2</v>
      </c>
      <c r="T60" s="129">
        <f>IFERROR(IF(OR(NOT(ISNUMBER('Price History'!T61)),NOT(ISNUMBER('Price History'!T60)),'Price History'!T60=0),"",'Price History'!T61/'Price History'!T60-1),"")</f>
        <v>-1.9148936170212627E-2</v>
      </c>
      <c r="U60" s="129">
        <f>IFERROR(IF(OR(NOT(ISNUMBER('Price History'!U61)),NOT(ISNUMBER('Price History'!U60)),'Price History'!U60=0),"",'Price History'!U61/'Price History'!U60-1),"")</f>
        <v>-2.3125699365908137E-2</v>
      </c>
      <c r="V60" s="130">
        <f>IFERROR(IF(OR(NOT(ISNUMBER('Price History'!V61)),NOT(ISNUMBER('Price History'!V60)),'Price History'!V60=0),"",'Price History'!V61/'Price History'!V60-1),"")</f>
        <v>-3.0562347188264005E-2</v>
      </c>
      <c r="W60" s="131">
        <f>IFERROR('Price History'!B3+(INDEX('Price History'!B:B,MATCH(9.99E+307,'Returns (Calc)'!$A:$A)+1)-'Price History'!B3)*(ROW()-3)/(MATCH(9.99E+307,'Returns (Calc)'!$A:$A)-3),"")</f>
        <v>423.83683544303796</v>
      </c>
      <c r="X60" s="131">
        <f>IFERROR('Price History'!C3+(INDEX('Price History'!C:C,MATCH(9.99E+307,'Returns (Calc)'!$A:$A)+1)-'Price History'!C3)*(ROW()-3)/(MATCH(9.99E+307,'Returns (Calc)'!$A:$A)-3),"")</f>
        <v>104.3236075949367</v>
      </c>
      <c r="Y60" s="131">
        <f>IFERROR('Price History'!D3+(INDEX('Price History'!D:D,MATCH(9.99E+307,'Returns (Calc)'!$A:$A)+1)-'Price History'!D3)*(ROW()-3)/(MATCH(9.99E+307,'Returns (Calc)'!$A:$A)-3),"")</f>
        <v>1045.6941772151899</v>
      </c>
      <c r="Z60" s="131">
        <f>IFERROR('Price History'!E3+(INDEX('Price History'!E:E,MATCH(9.99E+307,'Returns (Calc)'!$A:$A)+1)-'Price History'!E3)*(ROW()-3)/(MATCH(9.99E+307,'Returns (Calc)'!$A:$A)-3),"")</f>
        <v>180.53784810126581</v>
      </c>
      <c r="AA60" s="131">
        <f>IFERROR('Price History'!F3+(INDEX('Price History'!F:F,MATCH(9.99E+307,'Returns (Calc)'!$A:$A)+1)-'Price History'!F3)*(ROW()-3)/(MATCH(9.99E+307,'Returns (Calc)'!$A:$A)-3),"")</f>
        <v>123.85848101265823</v>
      </c>
      <c r="AB60" s="131">
        <f>IFERROR('Price History'!G3+(INDEX('Price History'!G:G,MATCH(9.99E+307,'Returns (Calc)'!$A:$A)+1)-'Price History'!G3)*(ROW()-3)/(MATCH(9.99E+307,'Returns (Calc)'!$A:$A)-3),"")</f>
        <v>102.98784810126583</v>
      </c>
      <c r="AC60" s="131">
        <f>IFERROR('Price History'!H3+(INDEX('Price History'!H:H,MATCH(9.99E+307,'Returns (Calc)'!$A:$A)+1)-'Price History'!H3)*(ROW()-3)/(MATCH(9.99E+307,'Returns (Calc)'!$A:$A)-3),"")</f>
        <v>431.95468354430386</v>
      </c>
      <c r="AD60" s="131">
        <f>IFERROR('Price History'!I3+(INDEX('Price History'!I:I,MATCH(9.99E+307,'Returns (Calc)'!$A:$A)+1)-'Price History'!I3)*(ROW()-3)/(MATCH(9.99E+307,'Returns (Calc)'!$A:$A)-3),"")</f>
        <v>112.3792405063291</v>
      </c>
      <c r="AE60" s="131">
        <f>IFERROR('Price History'!J3+(INDEX('Price History'!J:J,MATCH(9.99E+307,'Returns (Calc)'!$A:$A)+1)-'Price History'!J3)*(ROW()-3)/(MATCH(9.99E+307,'Returns (Calc)'!$A:$A)-3),"")</f>
        <v>117.99816455696202</v>
      </c>
      <c r="AF60" s="131">
        <f>IFERROR('Price History'!K3+(INDEX('Price History'!K:K,MATCH(9.99E+307,'Returns (Calc)'!$A:$A)+1)-'Price History'!K3)*(ROW()-3)/(MATCH(9.99E+307,'Returns (Calc)'!$A:$A)-3),"")</f>
        <v>77.892911392405054</v>
      </c>
      <c r="AG60" s="131">
        <f>IFERROR('Price History'!L3+(INDEX('Price History'!L:L,MATCH(9.99E+307,'Returns (Calc)'!$A:$A)+1)-'Price History'!L3)*(ROW()-3)/(MATCH(9.99E+307,'Returns (Calc)'!$A:$A)-3),"")</f>
        <v>225.37474683544303</v>
      </c>
      <c r="AH60" s="131">
        <f>IFERROR('Price History'!M3+(INDEX('Price History'!M:M,MATCH(9.99E+307,'Returns (Calc)'!$A:$A)+1)-'Price History'!M3)*(ROW()-3)/(MATCH(9.99E+307,'Returns (Calc)'!$A:$A)-3),"")</f>
        <v>115.28025316455697</v>
      </c>
      <c r="AI60" s="131">
        <f>IFERROR('Price History'!N3+(INDEX('Price History'!N:N,MATCH(9.99E+307,'Returns (Calc)'!$A:$A)+1)-'Price History'!N3)*(ROW()-3)/(MATCH(9.99E+307,'Returns (Calc)'!$A:$A)-3),"")</f>
        <v>405.11715189873416</v>
      </c>
      <c r="AJ60" s="131">
        <f>IFERROR('Price History'!O3+(INDEX('Price History'!O:O,MATCH(9.99E+307,'Returns (Calc)'!$A:$A)+1)-'Price History'!O3)*(ROW()-3)/(MATCH(9.99E+307,'Returns (Calc)'!$A:$A)-3),"")</f>
        <v>91.443164556962031</v>
      </c>
      <c r="AK60" s="131">
        <f>IFERROR('Price History'!Q3+(INDEX('Price History'!Q:Q,MATCH(9.99E+307,'Returns (Calc)'!$A:$A)+1)-'Price History'!Q3)*(ROW()-3)/(MATCH(9.99E+307,'Returns (Calc)'!$A:$A)-3),"")</f>
        <v>25.043924050632913</v>
      </c>
      <c r="AL60" s="131">
        <f>IFERROR('Price History'!R3+(INDEX('Price History'!R:R,MATCH(9.99E+307,'Returns (Calc)'!$A:$A)+1)-'Price History'!R3)*(ROW()-3)/(MATCH(9.99E+307,'Returns (Calc)'!$A:$A)-3),"")</f>
        <v>44.06177215189873</v>
      </c>
      <c r="AM60" s="131">
        <f>IFERROR('Price History'!S3+(INDEX('Price History'!S:S,MATCH(9.99E+307,'Returns (Calc)'!$A:$A)+1)-'Price History'!S3)*(ROW()-3)/(MATCH(9.99E+307,'Returns (Calc)'!$A:$A)-3),"")</f>
        <v>92.118607594936719</v>
      </c>
      <c r="AN60" s="131">
        <f>IFERROR('Price History'!T3+(INDEX('Price History'!T:T,MATCH(9.99E+307,'Returns (Calc)'!$A:$A)+1)-'Price History'!T3)*(ROW()-3)/(MATCH(9.99E+307,'Returns (Calc)'!$A:$A)-3),"")</f>
        <v>34.828987341772148</v>
      </c>
      <c r="AO60" s="132">
        <f>IFERROR('Price History'!V3+(INDEX('Price History'!V:V,MATCH(9.99E+307,'Returns (Calc)'!$A:$A)+1)-'Price History'!V3)*(ROW()-3)/(MATCH(9.99E+307,'Returns (Calc)'!$A:$A)-3),"")</f>
        <v>280.73575949367091</v>
      </c>
      <c r="AP60" s="130">
        <f>IFERROR(IF(OR(NOT(ISNUMBER('Price History'!W61)),NOT(ISNUMBER('Price History'!W60)),'Price History'!W60=0),"",'Price History'!W61/'Price History'!W60-1),"")</f>
        <v>-2.2820081671871217E-2</v>
      </c>
      <c r="AQ60" s="130" t="str">
        <f>IFERROR(IF(OR(NOT(ISNUMBER('Price History'!X61)),NOT(ISNUMBER('Price History'!X60)),'Price History'!X60=0),"",'Price History'!X61/'Price History'!X60-1),"")</f>
        <v/>
      </c>
      <c r="AR60" s="130">
        <f>IFERROR(IF(OR(NOT(ISNUMBER('Price History'!Y61)),NOT(ISNUMBER('Price History'!Y60)),'Price History'!Y60=0),"",'Price History'!Y61/'Price History'!Y60-1),"")</f>
        <v>-1.1196228638774119E-2</v>
      </c>
      <c r="AS60" s="130">
        <f>IFERROR(IF(OR(NOT(ISNUMBER('Price History'!Z61)),NOT(ISNUMBER('Price History'!Z60)),'Price History'!Z60=0),"",'Price History'!Z61/'Price History'!Z60-1),"")</f>
        <v>-7.011379726257283E-2</v>
      </c>
      <c r="AT60" s="130">
        <f>IFERROR(IF(OR(NOT(ISNUMBER('Price History'!AA61)),NOT(ISNUMBER('Price History'!AA60)),'Price History'!AA60=0),"",'Price History'!AA61/'Price History'!AA60-1),"")</f>
        <v>-1.2043461186019178E-2</v>
      </c>
    </row>
    <row r="61" spans="1:46" ht="15" customHeight="1" x14ac:dyDescent="0.2">
      <c r="A61" s="128">
        <f>IF('Price History'!A62="","",'Price History'!A62)</f>
        <v>45597</v>
      </c>
      <c r="B61" s="129">
        <f>IFERROR(IF(OR(NOT(ISNUMBER('Price History'!B62)),NOT(ISNUMBER('Price History'!B61)),'Price History'!B61=0),"",'Price History'!B62/'Price History'!B61-1),"")</f>
        <v>-1.901926734474535E-3</v>
      </c>
      <c r="C61" s="129">
        <f>IFERROR(IF(OR(NOT(ISNUMBER('Price History'!C62)),NOT(ISNUMBER('Price History'!C61)),'Price History'!C61=0),"",'Price History'!C62/'Price History'!C61-1),"")</f>
        <v>2.0300446609833322E-4</v>
      </c>
      <c r="D61" s="129">
        <f>IFERROR(IF(OR(NOT(ISNUMBER('Price History'!D62)),NOT(ISNUMBER('Price History'!D61)),'Price History'!D61=0),"",'Price History'!D62/'Price History'!D61-1),"")</f>
        <v>-4.9744989070960255E-2</v>
      </c>
      <c r="E61" s="129">
        <f>IFERROR(IF(OR(NOT(ISNUMBER('Price History'!E62)),NOT(ISNUMBER('Price History'!E61)),'Price History'!E61=0),"",'Price History'!E62/'Price History'!E61-1),"")</f>
        <v>-2.3638715747383299E-2</v>
      </c>
      <c r="F61" s="129">
        <f>IFERROR(IF(OR(NOT(ISNUMBER('Price History'!F62)),NOT(ISNUMBER('Price History'!F61)),'Price History'!F61=0),"",'Price History'!F62/'Price History'!F61-1),"")</f>
        <v>8.3832335329341312E-3</v>
      </c>
      <c r="G61" s="129">
        <f>IFERROR(IF(OR(NOT(ISNUMBER('Price History'!G62)),NOT(ISNUMBER('Price History'!G61)),'Price History'!G61=0),"",'Price History'!G62/'Price History'!G61-1),"")</f>
        <v>-5.579852209319891E-3</v>
      </c>
      <c r="H61" s="129">
        <f>IFERROR(IF(OR(NOT(ISNUMBER('Price History'!H62)),NOT(ISNUMBER('Price History'!H61)),'Price History'!H61=0),"",'Price History'!H62/'Price History'!H61-1),"")</f>
        <v>-7.5819672131147597E-2</v>
      </c>
      <c r="I61" s="129">
        <f>IFERROR(IF(OR(NOT(ISNUMBER('Price History'!I62)),NOT(ISNUMBER('Price History'!I61)),'Price History'!I61=0),"",'Price History'!I62/'Price History'!I61-1),"")</f>
        <v>-4.3355058090110532E-2</v>
      </c>
      <c r="J61" s="129">
        <f>IFERROR(IF(OR(NOT(ISNUMBER('Price History'!J62)),NOT(ISNUMBER('Price History'!J61)),'Price History'!J61=0),"",'Price History'!J62/'Price History'!J61-1),"")</f>
        <v>-3.5201018737493261E-2</v>
      </c>
      <c r="K61" s="129">
        <f>IFERROR(IF(OR(NOT(ISNUMBER('Price History'!K62)),NOT(ISNUMBER('Price History'!K61)),'Price History'!K61=0),"",'Price History'!K62/'Price History'!K61-1),"")</f>
        <v>-6.553722692822106E-2</v>
      </c>
      <c r="L61" s="129">
        <f>IFERROR(IF(OR(NOT(ISNUMBER('Price History'!L62)),NOT(ISNUMBER('Price History'!L61)),'Price History'!L61=0),"",'Price History'!L62/'Price History'!L61-1),"")</f>
        <v>-5.1576508512138464E-2</v>
      </c>
      <c r="M61" s="129">
        <f>IFERROR(IF(OR(NOT(ISNUMBER('Price History'!M62)),NOT(ISNUMBER('Price History'!M61)),'Price History'!M61=0),"",'Price History'!M62/'Price History'!M61-1),"")</f>
        <v>-4.7006255585344103E-2</v>
      </c>
      <c r="N61" s="129">
        <f>IFERROR(IF(OR(NOT(ISNUMBER('Price History'!N62)),NOT(ISNUMBER('Price History'!N61)),'Price History'!N61=0),"",'Price History'!N62/'Price History'!N61-1),"")</f>
        <v>-1.3774335356918521E-2</v>
      </c>
      <c r="O61" s="129">
        <f>IFERROR(IF(OR(NOT(ISNUMBER('Price History'!O62)),NOT(ISNUMBER('Price History'!O61)),'Price History'!O61=0),"",'Price History'!O62/'Price History'!O61-1),"")</f>
        <v>-2.3897458179448217E-3</v>
      </c>
      <c r="P61" s="129">
        <f>IFERROR(IF(OR(NOT(ISNUMBER('Price History'!P62)),NOT(ISNUMBER('Price History'!P61)),'Price History'!P61=0),"",'Price History'!P62/'Price History'!P61-1),"")</f>
        <v>-9.6377800979841055E-4</v>
      </c>
      <c r="Q61" s="129">
        <f>IFERROR(IF(OR(NOT(ISNUMBER('Price History'!Q62)),NOT(ISNUMBER('Price History'!Q61)),'Price History'!Q61=0),"",'Price History'!Q62/'Price History'!Q61-1),"")</f>
        <v>-8.8481074881205934E-3</v>
      </c>
      <c r="R61" s="129">
        <f>IFERROR(IF(OR(NOT(ISNUMBER('Price History'!R62)),NOT(ISNUMBER('Price History'!R61)),'Price History'!R61=0),"",'Price History'!R62/'Price History'!R61-1),"")</f>
        <v>-8.3748302399274666E-3</v>
      </c>
      <c r="S61" s="129">
        <f>IFERROR(IF(OR(NOT(ISNUMBER('Price History'!S62)),NOT(ISNUMBER('Price History'!S61)),'Price History'!S61=0),"",'Price History'!S62/'Price History'!S61-1),"")</f>
        <v>-1.3701633234681543E-2</v>
      </c>
      <c r="T61" s="129">
        <f>IFERROR(IF(OR(NOT(ISNUMBER('Price History'!T62)),NOT(ISNUMBER('Price History'!T61)),'Price History'!T61=0),"",'Price History'!T62/'Price History'!T61-1),"")</f>
        <v>6.197706848465323E-4</v>
      </c>
      <c r="U61" s="129">
        <f>IFERROR(IF(OR(NOT(ISNUMBER('Price History'!U62)),NOT(ISNUMBER('Price History'!U61)),'Price History'!U61=0),"",'Price History'!U62/'Price History'!U61-1),"")</f>
        <v>-1.5273004963727299E-3</v>
      </c>
      <c r="V61" s="130">
        <f>IFERROR(IF(OR(NOT(ISNUMBER('Price History'!V62)),NOT(ISNUMBER('Price History'!V61)),'Price History'!V61=0),"",'Price History'!V62/'Price History'!V61-1),"")</f>
        <v>3.1958205728697564E-2</v>
      </c>
      <c r="W61" s="131">
        <f>IFERROR('Price History'!B3+(INDEX('Price History'!B:B,MATCH(9.99E+307,'Returns (Calc)'!$A:$A)+1)-'Price History'!B3)*(ROW()-3)/(MATCH(9.99E+307,'Returns (Calc)'!$A:$A)-3),"")</f>
        <v>421.99379746835444</v>
      </c>
      <c r="X61" s="131">
        <f>IFERROR('Price History'!C3+(INDEX('Price History'!C:C,MATCH(9.99E+307,'Returns (Calc)'!$A:$A)+1)-'Price History'!C3)*(ROW()-3)/(MATCH(9.99E+307,'Returns (Calc)'!$A:$A)-3),"")</f>
        <v>105.34367088607594</v>
      </c>
      <c r="Y61" s="131">
        <f>IFERROR('Price History'!D3+(INDEX('Price History'!D:D,MATCH(9.99E+307,'Returns (Calc)'!$A:$A)+1)-'Price History'!D3)*(ROW()-3)/(MATCH(9.99E+307,'Returns (Calc)'!$A:$A)-3),"")</f>
        <v>1053.8289873417721</v>
      </c>
      <c r="Z61" s="131">
        <f>IFERROR('Price History'!E3+(INDEX('Price History'!E:E,MATCH(9.99E+307,'Returns (Calc)'!$A:$A)+1)-'Price History'!E3)*(ROW()-3)/(MATCH(9.99E+307,'Returns (Calc)'!$A:$A)-3),"")</f>
        <v>182.266582278481</v>
      </c>
      <c r="AA61" s="131">
        <f>IFERROR('Price History'!F3+(INDEX('Price History'!F:F,MATCH(9.99E+307,'Returns (Calc)'!$A:$A)+1)-'Price History'!F3)*(ROW()-3)/(MATCH(9.99E+307,'Returns (Calc)'!$A:$A)-3),"")</f>
        <v>125.30582278481013</v>
      </c>
      <c r="AB61" s="131">
        <f>IFERROR('Price History'!G3+(INDEX('Price History'!G:G,MATCH(9.99E+307,'Returns (Calc)'!$A:$A)+1)-'Price History'!G3)*(ROW()-3)/(MATCH(9.99E+307,'Returns (Calc)'!$A:$A)-3),"")</f>
        <v>104.01658227848101</v>
      </c>
      <c r="AC61" s="131">
        <f>IFERROR('Price History'!H3+(INDEX('Price History'!H:H,MATCH(9.99E+307,'Returns (Calc)'!$A:$A)+1)-'Price History'!H3)*(ROW()-3)/(MATCH(9.99E+307,'Returns (Calc)'!$A:$A)-3),"")</f>
        <v>438.3203797468355</v>
      </c>
      <c r="AD61" s="131">
        <f>IFERROR('Price History'!I3+(INDEX('Price History'!I:I,MATCH(9.99E+307,'Returns (Calc)'!$A:$A)+1)-'Price History'!I3)*(ROW()-3)/(MATCH(9.99E+307,'Returns (Calc)'!$A:$A)-3),"")</f>
        <v>113.58291139240507</v>
      </c>
      <c r="AE61" s="131">
        <f>IFERROR('Price History'!J3+(INDEX('Price History'!J:J,MATCH(9.99E+307,'Returns (Calc)'!$A:$A)+1)-'Price History'!J3)*(ROW()-3)/(MATCH(9.99E+307,'Returns (Calc)'!$A:$A)-3),"")</f>
        <v>118.10620253164556</v>
      </c>
      <c r="AF61" s="131">
        <f>IFERROR('Price History'!K3+(INDEX('Price History'!K:K,MATCH(9.99E+307,'Returns (Calc)'!$A:$A)+1)-'Price History'!K3)*(ROW()-3)/(MATCH(9.99E+307,'Returns (Calc)'!$A:$A)-3),"")</f>
        <v>78.990506329113913</v>
      </c>
      <c r="AG61" s="131">
        <f>IFERROR('Price History'!L3+(INDEX('Price History'!L:L,MATCH(9.99E+307,'Returns (Calc)'!$A:$A)+1)-'Price History'!L3)*(ROW()-3)/(MATCH(9.99E+307,'Returns (Calc)'!$A:$A)-3),"")</f>
        <v>227.82430379746833</v>
      </c>
      <c r="AH61" s="131">
        <f>IFERROR('Price History'!M3+(INDEX('Price History'!M:M,MATCH(9.99E+307,'Returns (Calc)'!$A:$A)+1)-'Price History'!M3)*(ROW()-3)/(MATCH(9.99E+307,'Returns (Calc)'!$A:$A)-3),"")</f>
        <v>116.63569620253165</v>
      </c>
      <c r="AI61" s="131">
        <f>IFERROR('Price History'!N3+(INDEX('Price History'!N:N,MATCH(9.99E+307,'Returns (Calc)'!$A:$A)+1)-'Price History'!N3)*(ROW()-3)/(MATCH(9.99E+307,'Returns (Calc)'!$A:$A)-3),"")</f>
        <v>406.10341772151901</v>
      </c>
      <c r="AJ61" s="131">
        <f>IFERROR('Price History'!O3+(INDEX('Price History'!O:O,MATCH(9.99E+307,'Returns (Calc)'!$A:$A)+1)-'Price History'!O3)*(ROW()-3)/(MATCH(9.99E+307,'Returns (Calc)'!$A:$A)-3),"")</f>
        <v>91.726202531645569</v>
      </c>
      <c r="AK61" s="131">
        <f>IFERROR('Price History'!Q3+(INDEX('Price History'!Q:Q,MATCH(9.99E+307,'Returns (Calc)'!$A:$A)+1)-'Price History'!Q3)*(ROW()-3)/(MATCH(9.99E+307,'Returns (Calc)'!$A:$A)-3),"")</f>
        <v>25.483291139240507</v>
      </c>
      <c r="AL61" s="131">
        <f>IFERROR('Price History'!R3+(INDEX('Price History'!R:R,MATCH(9.99E+307,'Returns (Calc)'!$A:$A)+1)-'Price History'!R3)*(ROW()-3)/(MATCH(9.99E+307,'Returns (Calc)'!$A:$A)-3),"")</f>
        <v>44.229873417721514</v>
      </c>
      <c r="AM61" s="131">
        <f>IFERROR('Price History'!S3+(INDEX('Price History'!S:S,MATCH(9.99E+307,'Returns (Calc)'!$A:$A)+1)-'Price History'!S3)*(ROW()-3)/(MATCH(9.99E+307,'Returns (Calc)'!$A:$A)-3),"")</f>
        <v>92.723670886075951</v>
      </c>
      <c r="AN61" s="131">
        <f>IFERROR('Price History'!T3+(INDEX('Price History'!T:T,MATCH(9.99E+307,'Returns (Calc)'!$A:$A)+1)-'Price History'!T3)*(ROW()-3)/(MATCH(9.99E+307,'Returns (Calc)'!$A:$A)-3),"")</f>
        <v>34.997215189873415</v>
      </c>
      <c r="AO61" s="132">
        <f>IFERROR('Price History'!V3+(INDEX('Price History'!V:V,MATCH(9.99E+307,'Returns (Calc)'!$A:$A)+1)-'Price History'!V3)*(ROW()-3)/(MATCH(9.99E+307,'Returns (Calc)'!$A:$A)-3),"")</f>
        <v>281.52708860759492</v>
      </c>
      <c r="AP61" s="130">
        <f>IFERROR(IF(OR(NOT(ISNUMBER('Price History'!W62)),NOT(ISNUMBER('Price History'!W61)),'Price History'!W61=0),"",'Price History'!W62/'Price History'!W61-1),"")</f>
        <v>-6.9649295313012338E-3</v>
      </c>
      <c r="AQ61" s="130" t="str">
        <f>IFERROR(IF(OR(NOT(ISNUMBER('Price History'!X62)),NOT(ISNUMBER('Price History'!X61)),'Price History'!X61=0),"",'Price History'!X62/'Price History'!X61-1),"")</f>
        <v/>
      </c>
      <c r="AR61" s="130">
        <f>IFERROR(IF(OR(NOT(ISNUMBER('Price History'!Y62)),NOT(ISNUMBER('Price History'!Y61)),'Price History'!Y61=0),"",'Price History'!Y62/'Price History'!Y61-1),"")</f>
        <v>-6.5554231227653581E-3</v>
      </c>
      <c r="AS61" s="130">
        <f>IFERROR(IF(OR(NOT(ISNUMBER('Price History'!Z62)),NOT(ISNUMBER('Price History'!Z61)),'Price History'!Z61=0),"",'Price History'!Z62/'Price History'!Z61-1),"")</f>
        <v>-4.1337694563500893E-2</v>
      </c>
      <c r="AT61" s="130">
        <f>IFERROR(IF(OR(NOT(ISNUMBER('Price History'!AA62)),NOT(ISNUMBER('Price History'!AA61)),'Price History'!AA61=0),"",'Price History'!AA62/'Price History'!AA61-1),"")</f>
        <v>1.8550417384390894E-3</v>
      </c>
    </row>
    <row r="62" spans="1:46" ht="15" customHeight="1" x14ac:dyDescent="0.2">
      <c r="A62" s="128">
        <f>IF('Price History'!A63="","",'Price History'!A63)</f>
        <v>45604</v>
      </c>
      <c r="B62" s="129">
        <f>IFERROR(IF(OR(NOT(ISNUMBER('Price History'!B63)),NOT(ISNUMBER('Price History'!B62)),'Price History'!B62=0),"",'Price History'!B63/'Price History'!B62-1),"")</f>
        <v>2.4606462303231158E-2</v>
      </c>
      <c r="C62" s="129">
        <f>IFERROR(IF(OR(NOT(ISNUMBER('Price History'!C63)),NOT(ISNUMBER('Price History'!C62)),'Price History'!C62=0),"",'Price History'!C63/'Price History'!C62-1),"")</f>
        <v>1.5932616196468352E-2</v>
      </c>
      <c r="D62" s="129">
        <f>IFERROR(IF(OR(NOT(ISNUMBER('Price History'!D63)),NOT(ISNUMBER('Price History'!D62)),'Price History'!D62=0),"",'Price History'!D63/'Price History'!D62-1),"")</f>
        <v>-7.8027512591144488E-3</v>
      </c>
      <c r="E62" s="129">
        <f>IFERROR(IF(OR(NOT(ISNUMBER('Price History'!E63)),NOT(ISNUMBER('Price History'!E62)),'Price History'!E62=0),"",'Price History'!E63/'Price History'!E62-1),"")</f>
        <v>8.7147675258973711E-2</v>
      </c>
      <c r="F62" s="129">
        <f>IFERROR(IF(OR(NOT(ISNUMBER('Price History'!F63)),NOT(ISNUMBER('Price History'!F62)),'Price History'!F62=0),"",'Price History'!F63/'Price History'!F62-1),"")</f>
        <v>8.8809712325151891E-2</v>
      </c>
      <c r="G62" s="129">
        <f>IFERROR(IF(OR(NOT(ISNUMBER('Price History'!G63)),NOT(ISNUMBER('Price History'!G62)),'Price History'!G62=0),"",'Price History'!G63/'Price History'!G62-1),"")</f>
        <v>2.6994237185320014E-2</v>
      </c>
      <c r="H62" s="129">
        <f>IFERROR(IF(OR(NOT(ISNUMBER('Price History'!H63)),NOT(ISNUMBER('Price History'!H62)),'Price History'!H62=0),"",'Price History'!H63/'Price History'!H62-1),"")</f>
        <v>0.1220520056440233</v>
      </c>
      <c r="I62" s="129">
        <f>IFERROR(IF(OR(NOT(ISNUMBER('Price History'!I63)),NOT(ISNUMBER('Price History'!I62)),'Price History'!I62=0),"",'Price History'!I63/'Price History'!I62-1),"")</f>
        <v>9.0269549763033252E-2</v>
      </c>
      <c r="J62" s="129">
        <f>IFERROR(IF(OR(NOT(ISNUMBER('Price History'!J63)),NOT(ISNUMBER('Price History'!J62)),'Price History'!J62=0),"",'Price History'!J63/'Price History'!J62-1),"")</f>
        <v>2.1400961629112869E-2</v>
      </c>
      <c r="K62" s="129">
        <f>IFERROR(IF(OR(NOT(ISNUMBER('Price History'!K63)),NOT(ISNUMBER('Price History'!K62)),'Price History'!K62=0),"",'Price History'!K63/'Price History'!K62-1),"")</f>
        <v>0.39289122137404586</v>
      </c>
      <c r="L62" s="129">
        <f>IFERROR(IF(OR(NOT(ISNUMBER('Price History'!L63)),NOT(ISNUMBER('Price History'!L62)),'Price History'!L62=0),"",'Price History'!L63/'Price History'!L62-1),"")</f>
        <v>4.2750929368029711E-2</v>
      </c>
      <c r="M62" s="129">
        <f>IFERROR(IF(OR(NOT(ISNUMBER('Price History'!M63)),NOT(ISNUMBER('Price History'!M62)),'Price History'!M62=0),"",'Price History'!M63/'Price History'!M62-1),"")</f>
        <v>0.17638784696174037</v>
      </c>
      <c r="N62" s="129">
        <f>IFERROR(IF(OR(NOT(ISNUMBER('Price History'!N63)),NOT(ISNUMBER('Price History'!N62)),'Price History'!N62=0),"",'Price History'!N63/'Price History'!N62-1),"")</f>
        <v>9.6833078621158197E-2</v>
      </c>
      <c r="O62" s="129">
        <f>IFERROR(IF(OR(NOT(ISNUMBER('Price History'!O63)),NOT(ISNUMBER('Price History'!O62)),'Price History'!O62=0),"",'Price History'!O63/'Price History'!O62-1),"")</f>
        <v>8.8632404181184565E-2</v>
      </c>
      <c r="P62" s="129">
        <f>IFERROR(IF(OR(NOT(ISNUMBER('Price History'!P63)),NOT(ISNUMBER('Price History'!P62)),'Price History'!P62=0),"",'Price History'!P63/'Price History'!P62-1),"")</f>
        <v>3.4729479861725254E-2</v>
      </c>
      <c r="Q62" s="129">
        <f>IFERROR(IF(OR(NOT(ISNUMBER('Price History'!Q63)),NOT(ISNUMBER('Price History'!Q62)),'Price History'!Q62=0),"",'Price History'!Q63/'Price History'!Q62-1),"")</f>
        <v>2.4301537444205712E-2</v>
      </c>
      <c r="R62" s="129">
        <f>IFERROR(IF(OR(NOT(ISNUMBER('Price History'!R63)),NOT(ISNUMBER('Price History'!R62)),'Price History'!R62=0),"",'Price History'!R63/'Price History'!R62-1),"")</f>
        <v>3.8575667655786239E-2</v>
      </c>
      <c r="S62" s="129">
        <f>IFERROR(IF(OR(NOT(ISNUMBER('Price History'!S63)),NOT(ISNUMBER('Price History'!S62)),'Price History'!S62=0),"",'Price History'!S63/'Price History'!S62-1),"")</f>
        <v>5.9791064681040229E-2</v>
      </c>
      <c r="T62" s="129">
        <f>IFERROR(IF(OR(NOT(ISNUMBER('Price History'!T63)),NOT(ISNUMBER('Price History'!T62)),'Price History'!T62=0),"",'Price History'!T63/'Price History'!T62-1),"")</f>
        <v>7.7423350882626307E-2</v>
      </c>
      <c r="U62" s="129">
        <f>IFERROR(IF(OR(NOT(ISNUMBER('Price History'!U63)),NOT(ISNUMBER('Price History'!U62)),'Price History'!U62=0),"",'Price History'!U63/'Price History'!U62-1),"")</f>
        <v>3.4799235181644406E-2</v>
      </c>
      <c r="V62" s="130">
        <f>IFERROR(IF(OR(NOT(ISNUMBER('Price History'!V63)),NOT(ISNUMBER('Price History'!V62)),'Price History'!V62=0),"",'Price History'!V63/'Price History'!V62-1),"")</f>
        <v>5.8934431953075794E-2</v>
      </c>
      <c r="W62" s="131">
        <f>IFERROR('Price History'!B3+(INDEX('Price History'!B:B,MATCH(9.99E+307,'Returns (Calc)'!$A:$A)+1)-'Price History'!B3)*(ROW()-3)/(MATCH(9.99E+307,'Returns (Calc)'!$A:$A)-3),"")</f>
        <v>420.15075949367088</v>
      </c>
      <c r="X62" s="131">
        <f>IFERROR('Price History'!C3+(INDEX('Price History'!C:C,MATCH(9.99E+307,'Returns (Calc)'!$A:$A)+1)-'Price History'!C3)*(ROW()-3)/(MATCH(9.99E+307,'Returns (Calc)'!$A:$A)-3),"")</f>
        <v>106.36373417721518</v>
      </c>
      <c r="Y62" s="131">
        <f>IFERROR('Price History'!D3+(INDEX('Price History'!D:D,MATCH(9.99E+307,'Returns (Calc)'!$A:$A)+1)-'Price History'!D3)*(ROW()-3)/(MATCH(9.99E+307,'Returns (Calc)'!$A:$A)-3),"")</f>
        <v>1061.9637974683544</v>
      </c>
      <c r="Z62" s="131">
        <f>IFERROR('Price History'!E3+(INDEX('Price History'!E:E,MATCH(9.99E+307,'Returns (Calc)'!$A:$A)+1)-'Price History'!E3)*(ROW()-3)/(MATCH(9.99E+307,'Returns (Calc)'!$A:$A)-3),"")</f>
        <v>183.99531645569618</v>
      </c>
      <c r="AA62" s="131">
        <f>IFERROR('Price History'!F3+(INDEX('Price History'!F:F,MATCH(9.99E+307,'Returns (Calc)'!$A:$A)+1)-'Price History'!F3)*(ROW()-3)/(MATCH(9.99E+307,'Returns (Calc)'!$A:$A)-3),"")</f>
        <v>126.75316455696203</v>
      </c>
      <c r="AB62" s="131">
        <f>IFERROR('Price History'!G3+(INDEX('Price History'!G:G,MATCH(9.99E+307,'Returns (Calc)'!$A:$A)+1)-'Price History'!G3)*(ROW()-3)/(MATCH(9.99E+307,'Returns (Calc)'!$A:$A)-3),"")</f>
        <v>105.0453164556962</v>
      </c>
      <c r="AC62" s="131">
        <f>IFERROR('Price History'!H3+(INDEX('Price History'!H:H,MATCH(9.99E+307,'Returns (Calc)'!$A:$A)+1)-'Price History'!H3)*(ROW()-3)/(MATCH(9.99E+307,'Returns (Calc)'!$A:$A)-3),"")</f>
        <v>444.68607594936714</v>
      </c>
      <c r="AD62" s="131">
        <f>IFERROR('Price History'!I3+(INDEX('Price History'!I:I,MATCH(9.99E+307,'Returns (Calc)'!$A:$A)+1)-'Price History'!I3)*(ROW()-3)/(MATCH(9.99E+307,'Returns (Calc)'!$A:$A)-3),"")</f>
        <v>114.78658227848101</v>
      </c>
      <c r="AE62" s="131">
        <f>IFERROR('Price History'!J3+(INDEX('Price History'!J:J,MATCH(9.99E+307,'Returns (Calc)'!$A:$A)+1)-'Price History'!J3)*(ROW()-3)/(MATCH(9.99E+307,'Returns (Calc)'!$A:$A)-3),"")</f>
        <v>118.21424050632912</v>
      </c>
      <c r="AF62" s="131">
        <f>IFERROR('Price History'!K3+(INDEX('Price History'!K:K,MATCH(9.99E+307,'Returns (Calc)'!$A:$A)+1)-'Price History'!K3)*(ROW()-3)/(MATCH(9.99E+307,'Returns (Calc)'!$A:$A)-3),"")</f>
        <v>80.088101265822772</v>
      </c>
      <c r="AG62" s="131">
        <f>IFERROR('Price History'!L3+(INDEX('Price History'!L:L,MATCH(9.99E+307,'Returns (Calc)'!$A:$A)+1)-'Price History'!L3)*(ROW()-3)/(MATCH(9.99E+307,'Returns (Calc)'!$A:$A)-3),"")</f>
        <v>230.27386075949366</v>
      </c>
      <c r="AH62" s="131">
        <f>IFERROR('Price History'!M3+(INDEX('Price History'!M:M,MATCH(9.99E+307,'Returns (Calc)'!$A:$A)+1)-'Price History'!M3)*(ROW()-3)/(MATCH(9.99E+307,'Returns (Calc)'!$A:$A)-3),"")</f>
        <v>117.99113924050633</v>
      </c>
      <c r="AI62" s="131">
        <f>IFERROR('Price History'!N3+(INDEX('Price History'!N:N,MATCH(9.99E+307,'Returns (Calc)'!$A:$A)+1)-'Price History'!N3)*(ROW()-3)/(MATCH(9.99E+307,'Returns (Calc)'!$A:$A)-3),"")</f>
        <v>407.0896835443038</v>
      </c>
      <c r="AJ62" s="131">
        <f>IFERROR('Price History'!O3+(INDEX('Price History'!O:O,MATCH(9.99E+307,'Returns (Calc)'!$A:$A)+1)-'Price History'!O3)*(ROW()-3)/(MATCH(9.99E+307,'Returns (Calc)'!$A:$A)-3),"")</f>
        <v>92.009240506329121</v>
      </c>
      <c r="AK62" s="131">
        <f>IFERROR('Price History'!Q3+(INDEX('Price History'!Q:Q,MATCH(9.99E+307,'Returns (Calc)'!$A:$A)+1)-'Price History'!Q3)*(ROW()-3)/(MATCH(9.99E+307,'Returns (Calc)'!$A:$A)-3),"")</f>
        <v>25.922658227848103</v>
      </c>
      <c r="AL62" s="131">
        <f>IFERROR('Price History'!R3+(INDEX('Price History'!R:R,MATCH(9.99E+307,'Returns (Calc)'!$A:$A)+1)-'Price History'!R3)*(ROW()-3)/(MATCH(9.99E+307,'Returns (Calc)'!$A:$A)-3),"")</f>
        <v>44.397974683544305</v>
      </c>
      <c r="AM62" s="131">
        <f>IFERROR('Price History'!S3+(INDEX('Price History'!S:S,MATCH(9.99E+307,'Returns (Calc)'!$A:$A)+1)-'Price History'!S3)*(ROW()-3)/(MATCH(9.99E+307,'Returns (Calc)'!$A:$A)-3),"")</f>
        <v>93.328734177215182</v>
      </c>
      <c r="AN62" s="131">
        <f>IFERROR('Price History'!T3+(INDEX('Price History'!T:T,MATCH(9.99E+307,'Returns (Calc)'!$A:$A)+1)-'Price History'!T3)*(ROW()-3)/(MATCH(9.99E+307,'Returns (Calc)'!$A:$A)-3),"")</f>
        <v>35.165443037974683</v>
      </c>
      <c r="AO62" s="132">
        <f>IFERROR('Price History'!V3+(INDEX('Price History'!V:V,MATCH(9.99E+307,'Returns (Calc)'!$A:$A)+1)-'Price History'!V3)*(ROW()-3)/(MATCH(9.99E+307,'Returns (Calc)'!$A:$A)-3),"")</f>
        <v>282.31841772151898</v>
      </c>
      <c r="AP62" s="130">
        <f>IFERROR(IF(OR(NOT(ISNUMBER('Price History'!W63)),NOT(ISNUMBER('Price History'!W62)),'Price History'!W62=0),"",'Price History'!W63/'Price History'!W62-1),"")</f>
        <v>3.8947107847182139E-2</v>
      </c>
      <c r="AQ62" s="130" t="str">
        <f>IFERROR(IF(OR(NOT(ISNUMBER('Price History'!X63)),NOT(ISNUMBER('Price History'!X62)),'Price History'!X62=0),"",'Price History'!X63/'Price History'!X62-1),"")</f>
        <v/>
      </c>
      <c r="AR62" s="130">
        <f>IFERROR(IF(OR(NOT(ISNUMBER('Price History'!Y63)),NOT(ISNUMBER('Price History'!Y62)),'Price History'!Y62=0),"",'Price History'!Y63/'Price History'!Y62-1),"")</f>
        <v>2.6794641071785641E-2</v>
      </c>
      <c r="AS62" s="130">
        <f>IFERROR(IF(OR(NOT(ISNUMBER('Price History'!Z63)),NOT(ISNUMBER('Price History'!Z62)),'Price History'!Z62=0),"",'Price History'!Z63/'Price History'!Z62-1),"")</f>
        <v>7.6357432790164159E-2</v>
      </c>
      <c r="AT62" s="130">
        <f>IFERROR(IF(OR(NOT(ISNUMBER('Price History'!AA63)),NOT(ISNUMBER('Price History'!AA62)),'Price History'!AA62=0),"",'Price History'!AA63/'Price History'!AA62-1),"")</f>
        <v>5.1448221134770433E-2</v>
      </c>
    </row>
    <row r="63" spans="1:46" ht="15" customHeight="1" x14ac:dyDescent="0.2">
      <c r="A63" s="128">
        <f>IF('Price History'!A64="","",'Price History'!A64)</f>
        <v>45611</v>
      </c>
      <c r="B63" s="129">
        <f>IFERROR(IF(OR(NOT(ISNUMBER('Price History'!B64)),NOT(ISNUMBER('Price History'!B63)),'Price History'!B63=0),"",'Price History'!B64/'Price History'!B63-1),"")</f>
        <v>1.7566911943074359E-2</v>
      </c>
      <c r="C63" s="129">
        <f>IFERROR(IF(OR(NOT(ISNUMBER('Price History'!C64)),NOT(ISNUMBER('Price History'!C63)),'Price History'!C63=0),"",'Price History'!C64/'Price History'!C63-1),"")</f>
        <v>-6.5028468684447116E-2</v>
      </c>
      <c r="D63" s="129">
        <f>IFERROR(IF(OR(NOT(ISNUMBER('Price History'!D64)),NOT(ISNUMBER('Price History'!D63)),'Price History'!D63=0),"",'Price History'!D64/'Price History'!D63-1),"")</f>
        <v>-1.6182798957512623E-2</v>
      </c>
      <c r="E63" s="129">
        <f>IFERROR(IF(OR(NOT(ISNUMBER('Price History'!E64)),NOT(ISNUMBER('Price History'!E63)),'Price History'!E63=0),"",'Price History'!E64/'Price History'!E63-1),"")</f>
        <v>-0.10237659963436918</v>
      </c>
      <c r="F63" s="129">
        <f>IFERROR(IF(OR(NOT(ISNUMBER('Price History'!F64)),NOT(ISNUMBER('Price History'!F63)),'Price History'!F63=0),"",'Price History'!F64/'Price History'!F63-1),"")</f>
        <v>2.0361168343230984E-2</v>
      </c>
      <c r="G63" s="129">
        <f>IFERROR(IF(OR(NOT(ISNUMBER('Price History'!G64)),NOT(ISNUMBER('Price History'!G63)),'Price History'!G63=0),"",'Price History'!G64/'Price History'!G63-1),"")</f>
        <v>-0.10617247489663317</v>
      </c>
      <c r="H63" s="129">
        <f>IFERROR(IF(OR(NOT(ISNUMBER('Price History'!H64)),NOT(ISNUMBER('Price History'!H63)),'Price History'!H63=0),"",'Price History'!H64/'Price History'!H63-1),"")</f>
        <v>-0.13904607922392886</v>
      </c>
      <c r="I63" s="129">
        <f>IFERROR(IF(OR(NOT(ISNUMBER('Price History'!I64)),NOT(ISNUMBER('Price History'!I63)),'Price History'!I63=0),"",'Price History'!I64/'Price History'!I63-1),"")</f>
        <v>-3.8239489234531021E-2</v>
      </c>
      <c r="J63" s="129">
        <f>IFERROR(IF(OR(NOT(ISNUMBER('Price History'!J64)),NOT(ISNUMBER('Price History'!J63)),'Price History'!J63=0),"",'Price History'!J64/'Price History'!J63-1),"")</f>
        <v>-2.0767952741369777E-2</v>
      </c>
      <c r="K63" s="129">
        <f>IFERROR(IF(OR(NOT(ISNUMBER('Price History'!K64)),NOT(ISNUMBER('Price History'!K63)),'Price History'!K63=0),"",'Price History'!K64/'Price History'!K63-1),"")</f>
        <v>0.1263915053947593</v>
      </c>
      <c r="L63" s="129">
        <f>IFERROR(IF(OR(NOT(ISNUMBER('Price History'!L64)),NOT(ISNUMBER('Price History'!L63)),'Price History'!L63=0),"",'Price History'!L64/'Price History'!L63-1),"")</f>
        <v>-7.5477463712757764E-2</v>
      </c>
      <c r="M63" s="129">
        <f>IFERROR(IF(OR(NOT(ISNUMBER('Price History'!M64)),NOT(ISNUMBER('Price History'!M63)),'Price History'!M63=0),"",'Price History'!M64/'Price History'!M63-1),"")</f>
        <v>-3.882024711040255E-2</v>
      </c>
      <c r="N63" s="129">
        <f>IFERROR(IF(OR(NOT(ISNUMBER('Price History'!N64)),NOT(ISNUMBER('Price History'!N63)),'Price History'!N63=0),"",'Price History'!N64/'Price History'!N63-1),"")</f>
        <v>-9.8773077369663675E-2</v>
      </c>
      <c r="O63" s="129">
        <f>IFERROR(IF(OR(NOT(ISNUMBER('Price History'!O64)),NOT(ISNUMBER('Price History'!O63)),'Price History'!O63=0),"",'Price History'!O64/'Price History'!O63-1),"")</f>
        <v>-1.940388077615518E-2</v>
      </c>
      <c r="P63" s="129">
        <f>IFERROR(IF(OR(NOT(ISNUMBER('Price History'!P64)),NOT(ISNUMBER('Price History'!P63)),'Price History'!P63=0),"",'Price History'!P64/'Price History'!P63-1),"")</f>
        <v>1.2431046538730062E-3</v>
      </c>
      <c r="Q63" s="129">
        <f>IFERROR(IF(OR(NOT(ISNUMBER('Price History'!Q64)),NOT(ISNUMBER('Price History'!Q63)),'Price History'!Q63=0),"",'Price History'!Q64/'Price History'!Q63-1),"")</f>
        <v>-9.5222724338283049E-3</v>
      </c>
      <c r="R63" s="129">
        <f>IFERROR(IF(OR(NOT(ISNUMBER('Price History'!R64)),NOT(ISNUMBER('Price History'!R63)),'Price History'!R63=0),"",'Price History'!R64/'Price History'!R63-1),"")</f>
        <v>-1.6483516483516536E-2</v>
      </c>
      <c r="S63" s="129">
        <f>IFERROR(IF(OR(NOT(ISNUMBER('Price History'!S64)),NOT(ISNUMBER('Price History'!S63)),'Price History'!S63=0),"",'Price History'!S64/'Price History'!S63-1),"")</f>
        <v>-3.0830536912751616E-2</v>
      </c>
      <c r="T63" s="129">
        <f>IFERROR(IF(OR(NOT(ISNUMBER('Price History'!T64)),NOT(ISNUMBER('Price History'!T63)),'Price History'!T63=0),"",'Price History'!T64/'Price History'!T63-1),"")</f>
        <v>-1.5234262719172165E-2</v>
      </c>
      <c r="U63" s="129">
        <f>IFERROR(IF(OR(NOT(ISNUMBER('Price History'!U64)),NOT(ISNUMBER('Price History'!U63)),'Price History'!U63=0),"",'Price History'!U64/'Price History'!U63-1),"")</f>
        <v>-1.552106430155209E-2</v>
      </c>
      <c r="V63" s="130">
        <f>IFERROR(IF(OR(NOT(ISNUMBER('Price History'!V64)),NOT(ISNUMBER('Price History'!V63)),'Price History'!V63=0),"",'Price History'!V64/'Price History'!V63-1),"")</f>
        <v>7.6491922189252382E-3</v>
      </c>
      <c r="W63" s="131">
        <f>IFERROR('Price History'!B3+(INDEX('Price History'!B:B,MATCH(9.99E+307,'Returns (Calc)'!$A:$A)+1)-'Price History'!B3)*(ROW()-3)/(MATCH(9.99E+307,'Returns (Calc)'!$A:$A)-3),"")</f>
        <v>418.30772151898731</v>
      </c>
      <c r="X63" s="131">
        <f>IFERROR('Price History'!C3+(INDEX('Price History'!C:C,MATCH(9.99E+307,'Returns (Calc)'!$A:$A)+1)-'Price History'!C3)*(ROW()-3)/(MATCH(9.99E+307,'Returns (Calc)'!$A:$A)-3),"")</f>
        <v>107.38379746835443</v>
      </c>
      <c r="Y63" s="131">
        <f>IFERROR('Price History'!D3+(INDEX('Price History'!D:D,MATCH(9.99E+307,'Returns (Calc)'!$A:$A)+1)-'Price History'!D3)*(ROW()-3)/(MATCH(9.99E+307,'Returns (Calc)'!$A:$A)-3),"")</f>
        <v>1070.0986075949368</v>
      </c>
      <c r="Z63" s="131">
        <f>IFERROR('Price History'!E3+(INDEX('Price History'!E:E,MATCH(9.99E+307,'Returns (Calc)'!$A:$A)+1)-'Price History'!E3)*(ROW()-3)/(MATCH(9.99E+307,'Returns (Calc)'!$A:$A)-3),"")</f>
        <v>185.72405063291137</v>
      </c>
      <c r="AA63" s="131">
        <f>IFERROR('Price History'!F3+(INDEX('Price History'!F:F,MATCH(9.99E+307,'Returns (Calc)'!$A:$A)+1)-'Price History'!F3)*(ROW()-3)/(MATCH(9.99E+307,'Returns (Calc)'!$A:$A)-3),"")</f>
        <v>128.20050632911392</v>
      </c>
      <c r="AB63" s="131">
        <f>IFERROR('Price History'!G3+(INDEX('Price History'!G:G,MATCH(9.99E+307,'Returns (Calc)'!$A:$A)+1)-'Price History'!G3)*(ROW()-3)/(MATCH(9.99E+307,'Returns (Calc)'!$A:$A)-3),"")</f>
        <v>106.07405063291139</v>
      </c>
      <c r="AC63" s="131">
        <f>IFERROR('Price History'!H3+(INDEX('Price History'!H:H,MATCH(9.99E+307,'Returns (Calc)'!$A:$A)+1)-'Price History'!H3)*(ROW()-3)/(MATCH(9.99E+307,'Returns (Calc)'!$A:$A)-3),"")</f>
        <v>451.05177215189877</v>
      </c>
      <c r="AD63" s="131">
        <f>IFERROR('Price History'!I3+(INDEX('Price History'!I:I,MATCH(9.99E+307,'Returns (Calc)'!$A:$A)+1)-'Price History'!I3)*(ROW()-3)/(MATCH(9.99E+307,'Returns (Calc)'!$A:$A)-3),"")</f>
        <v>115.99025316455695</v>
      </c>
      <c r="AE63" s="131">
        <f>IFERROR('Price History'!J3+(INDEX('Price History'!J:J,MATCH(9.99E+307,'Returns (Calc)'!$A:$A)+1)-'Price History'!J3)*(ROW()-3)/(MATCH(9.99E+307,'Returns (Calc)'!$A:$A)-3),"")</f>
        <v>118.32227848101266</v>
      </c>
      <c r="AF63" s="131">
        <f>IFERROR('Price History'!K3+(INDEX('Price History'!K:K,MATCH(9.99E+307,'Returns (Calc)'!$A:$A)+1)-'Price History'!K3)*(ROW()-3)/(MATCH(9.99E+307,'Returns (Calc)'!$A:$A)-3),"")</f>
        <v>81.185696202531631</v>
      </c>
      <c r="AG63" s="131">
        <f>IFERROR('Price History'!L3+(INDEX('Price History'!L:L,MATCH(9.99E+307,'Returns (Calc)'!$A:$A)+1)-'Price History'!L3)*(ROW()-3)/(MATCH(9.99E+307,'Returns (Calc)'!$A:$A)-3),"")</f>
        <v>232.72341772151898</v>
      </c>
      <c r="AH63" s="131">
        <f>IFERROR('Price History'!M3+(INDEX('Price History'!M:M,MATCH(9.99E+307,'Returns (Calc)'!$A:$A)+1)-'Price History'!M3)*(ROW()-3)/(MATCH(9.99E+307,'Returns (Calc)'!$A:$A)-3),"")</f>
        <v>119.34658227848101</v>
      </c>
      <c r="AI63" s="131">
        <f>IFERROR('Price History'!N3+(INDEX('Price History'!N:N,MATCH(9.99E+307,'Returns (Calc)'!$A:$A)+1)-'Price History'!N3)*(ROW()-3)/(MATCH(9.99E+307,'Returns (Calc)'!$A:$A)-3),"")</f>
        <v>408.07594936708858</v>
      </c>
      <c r="AJ63" s="131">
        <f>IFERROR('Price History'!O3+(INDEX('Price History'!O:O,MATCH(9.99E+307,'Returns (Calc)'!$A:$A)+1)-'Price History'!O3)*(ROW()-3)/(MATCH(9.99E+307,'Returns (Calc)'!$A:$A)-3),"")</f>
        <v>92.292278481012659</v>
      </c>
      <c r="AK63" s="131">
        <f>IFERROR('Price History'!Q3+(INDEX('Price History'!Q:Q,MATCH(9.99E+307,'Returns (Calc)'!$A:$A)+1)-'Price History'!Q3)*(ROW()-3)/(MATCH(9.99E+307,'Returns (Calc)'!$A:$A)-3),"")</f>
        <v>26.362025316455696</v>
      </c>
      <c r="AL63" s="131">
        <f>IFERROR('Price History'!R3+(INDEX('Price History'!R:R,MATCH(9.99E+307,'Returns (Calc)'!$A:$A)+1)-'Price History'!R3)*(ROW()-3)/(MATCH(9.99E+307,'Returns (Calc)'!$A:$A)-3),"")</f>
        <v>44.566075949367089</v>
      </c>
      <c r="AM63" s="131">
        <f>IFERROR('Price History'!S3+(INDEX('Price History'!S:S,MATCH(9.99E+307,'Returns (Calc)'!$A:$A)+1)-'Price History'!S3)*(ROW()-3)/(MATCH(9.99E+307,'Returns (Calc)'!$A:$A)-3),"")</f>
        <v>93.933797468354442</v>
      </c>
      <c r="AN63" s="131">
        <f>IFERROR('Price History'!T3+(INDEX('Price History'!T:T,MATCH(9.99E+307,'Returns (Calc)'!$A:$A)+1)-'Price History'!T3)*(ROW()-3)/(MATCH(9.99E+307,'Returns (Calc)'!$A:$A)-3),"")</f>
        <v>35.33367088607595</v>
      </c>
      <c r="AO63" s="132">
        <f>IFERROR('Price History'!V3+(INDEX('Price History'!V:V,MATCH(9.99E+307,'Returns (Calc)'!$A:$A)+1)-'Price History'!V3)*(ROW()-3)/(MATCH(9.99E+307,'Returns (Calc)'!$A:$A)-3),"")</f>
        <v>283.10974683544305</v>
      </c>
      <c r="AP63" s="130">
        <f>IFERROR(IF(OR(NOT(ISNUMBER('Price History'!W64)),NOT(ISNUMBER('Price History'!W63)),'Price History'!W63=0),"",'Price History'!W64/'Price History'!W63-1),"")</f>
        <v>-1.3581129378127166E-2</v>
      </c>
      <c r="AQ63" s="130" t="str">
        <f>IFERROR(IF(OR(NOT(ISNUMBER('Price History'!X64)),NOT(ISNUMBER('Price History'!X63)),'Price History'!X63=0),"",'Price History'!X64/'Price History'!X63-1),"")</f>
        <v/>
      </c>
      <c r="AR63" s="130">
        <f>IFERROR(IF(OR(NOT(ISNUMBER('Price History'!Y64)),NOT(ISNUMBER('Price History'!Y63)),'Price History'!Y63=0),"",'Price History'!Y64/'Price History'!Y63-1),"")</f>
        <v>-1.2658227848101222E-2</v>
      </c>
      <c r="AS63" s="130">
        <f>IFERROR(IF(OR(NOT(ISNUMBER('Price History'!Z64)),NOT(ISNUMBER('Price History'!Z63)),'Price History'!Z63=0),"",'Price History'!Z64/'Price History'!Z63-1),"")</f>
        <v>-4.2629939334317135E-2</v>
      </c>
      <c r="AT63" s="130">
        <f>IFERROR(IF(OR(NOT(ISNUMBER('Price History'!AA64)),NOT(ISNUMBER('Price History'!AA63)),'Price History'!AA63=0),"",'Price History'!AA64/'Price History'!AA63-1),"")</f>
        <v>3.647798742138364E-2</v>
      </c>
    </row>
    <row r="64" spans="1:46" ht="15" customHeight="1" x14ac:dyDescent="0.2">
      <c r="A64" s="128">
        <f>IF('Price History'!A65="","",'Price History'!A65)</f>
        <v>45618</v>
      </c>
      <c r="B64" s="129">
        <f>IFERROR(IF(OR(NOT(ISNUMBER('Price History'!B65)),NOT(ISNUMBER('Price History'!B64)),'Price History'!B64=0),"",'Price History'!B65/'Price History'!B64-1),"")</f>
        <v>1.7442437968095081E-2</v>
      </c>
      <c r="C64" s="129">
        <f>IFERROR(IF(OR(NOT(ISNUMBER('Price History'!C65)),NOT(ISNUMBER('Price History'!C64)),'Price History'!C64=0),"",'Price History'!C65/'Price History'!C64-1),"")</f>
        <v>8.5683760683760823E-2</v>
      </c>
      <c r="D64" s="129">
        <f>IFERROR(IF(OR(NOT(ISNUMBER('Price History'!D65)),NOT(ISNUMBER('Price History'!D64)),'Price History'!D64=0),"",'Price History'!D65/'Price History'!D64-1),"")</f>
        <v>2.1623952686052439E-2</v>
      </c>
      <c r="E64" s="129">
        <f>IFERROR(IF(OR(NOT(ISNUMBER('Price History'!E65)),NOT(ISNUMBER('Price History'!E64)),'Price History'!E64=0),"",'Price History'!E65/'Price History'!E64-1),"")</f>
        <v>-3.7030179596371227E-3</v>
      </c>
      <c r="F64" s="129">
        <f>IFERROR(IF(OR(NOT(ISNUMBER('Price History'!F65)),NOT(ISNUMBER('Price History'!F64)),'Price History'!F64=0),"",'Price History'!F65/'Price History'!F64-1),"")</f>
        <v>0.10547570970424025</v>
      </c>
      <c r="G64" s="129">
        <f>IFERROR(IF(OR(NOT(ISNUMBER('Price History'!G65)),NOT(ISNUMBER('Price History'!G64)),'Price History'!G64=0),"",'Price History'!G65/'Price History'!G64-1),"")</f>
        <v>4.3779943829505896E-2</v>
      </c>
      <c r="H64" s="129">
        <f>IFERROR(IF(OR(NOT(ISNUMBER('Price History'!H65)),NOT(ISNUMBER('Price History'!H64)),'Price History'!H64=0),"",'Price History'!H65/'Price History'!H64-1),"")</f>
        <v>6.5310380803338619E-2</v>
      </c>
      <c r="I64" s="129">
        <f>IFERROR(IF(OR(NOT(ISNUMBER('Price History'!I65)),NOT(ISNUMBER('Price History'!I64)),'Price History'!I64=0),"",'Price History'!I65/'Price History'!I64-1),"")</f>
        <v>-2.1186440677967155E-4</v>
      </c>
      <c r="J64" s="129">
        <f>IFERROR(IF(OR(NOT(ISNUMBER('Price History'!J65)),NOT(ISNUMBER('Price History'!J64)),'Price History'!J64=0),"",'Price History'!J65/'Price History'!J64-1),"")</f>
        <v>2.0925629182769301E-2</v>
      </c>
      <c r="K64" s="129">
        <f>IFERROR(IF(OR(NOT(ISNUMBER('Price History'!K65)),NOT(ISNUMBER('Price History'!K64)),'Price History'!K64=0),"",'Price History'!K65/'Price History'!K64-1),"")</f>
        <v>-2.1590390755663713E-2</v>
      </c>
      <c r="L64" s="129">
        <f>IFERROR(IF(OR(NOT(ISNUMBER('Price History'!L65)),NOT(ISNUMBER('Price History'!L64)),'Price History'!L64=0),"",'Price History'!L65/'Price History'!L64-1),"")</f>
        <v>2.1869663416515195E-2</v>
      </c>
      <c r="M64" s="129">
        <f>IFERROR(IF(OR(NOT(ISNUMBER('Price History'!M65)),NOT(ISNUMBER('Price History'!M64)),'Price History'!M64=0),"",'Price History'!M65/'Price History'!M64-1),"")</f>
        <v>0.1594791839442693</v>
      </c>
      <c r="N64" s="129">
        <f>IFERROR(IF(OR(NOT(ISNUMBER('Price History'!N65)),NOT(ISNUMBER('Price History'!N64)),'Price History'!N64=0),"",'Price History'!N65/'Price History'!N64-1),"")</f>
        <v>-3.1629804595232902E-2</v>
      </c>
      <c r="O64" s="129">
        <f>IFERROR(IF(OR(NOT(ISNUMBER('Price History'!O65)),NOT(ISNUMBER('Price History'!O64)),'Price History'!O64=0),"",'Price History'!O65/'Price History'!O64-1),"")</f>
        <v>3.6515707874337E-2</v>
      </c>
      <c r="P64" s="129">
        <f>IFERROR(IF(OR(NOT(ISNUMBER('Price History'!P65)),NOT(ISNUMBER('Price History'!P64)),'Price History'!P64=0),"",'Price History'!P65/'Price History'!P64-1),"")</f>
        <v>2.7159152634437911E-2</v>
      </c>
      <c r="Q64" s="129">
        <f>IFERROR(IF(OR(NOT(ISNUMBER('Price History'!Q65)),NOT(ISNUMBER('Price History'!Q64)),'Price History'!Q64=0),"",'Price History'!Q65/'Price History'!Q64-1),"")</f>
        <v>7.4955189832166536E-3</v>
      </c>
      <c r="R64" s="129">
        <f>IFERROR(IF(OR(NOT(ISNUMBER('Price History'!R65)),NOT(ISNUMBER('Price History'!R64)),'Price History'!R64=0),"",'Price History'!R65/'Price History'!R64-1),"")</f>
        <v>1.7206703910614518E-2</v>
      </c>
      <c r="S64" s="129">
        <f>IFERROR(IF(OR(NOT(ISNUMBER('Price History'!S65)),NOT(ISNUMBER('Price History'!S64)),'Price History'!S64=0),"",'Price History'!S65/'Price History'!S64-1),"")</f>
        <v>1.785327851114471E-2</v>
      </c>
      <c r="T64" s="129">
        <f>IFERROR(IF(OR(NOT(ISNUMBER('Price History'!T65)),NOT(ISNUMBER('Price History'!T64)),'Price History'!T64=0),"",'Price History'!T65/'Price History'!T64-1),"")</f>
        <v>3.8528896672504365E-2</v>
      </c>
      <c r="U64" s="129">
        <f>IFERROR(IF(OR(NOT(ISNUMBER('Price History'!U65)),NOT(ISNUMBER('Price History'!U64)),'Price History'!U64=0),"",'Price History'!U65/'Price History'!U64-1),"")</f>
        <v>2.5150150150150097E-2</v>
      </c>
      <c r="V64" s="130">
        <f>IFERROR(IF(OR(NOT(ISNUMBER('Price History'!V65)),NOT(ISNUMBER('Price History'!V64)),'Price History'!V64=0),"",'Price History'!V65/'Price History'!V64-1),"")</f>
        <v>9.1617040769564895E-4</v>
      </c>
      <c r="W64" s="131">
        <f>IFERROR('Price History'!B3+(INDEX('Price History'!B:B,MATCH(9.99E+307,'Returns (Calc)'!$A:$A)+1)-'Price History'!B3)*(ROW()-3)/(MATCH(9.99E+307,'Returns (Calc)'!$A:$A)-3),"")</f>
        <v>416.4646835443038</v>
      </c>
      <c r="X64" s="131">
        <f>IFERROR('Price History'!C3+(INDEX('Price History'!C:C,MATCH(9.99E+307,'Returns (Calc)'!$A:$A)+1)-'Price History'!C3)*(ROW()-3)/(MATCH(9.99E+307,'Returns (Calc)'!$A:$A)-3),"")</f>
        <v>108.40386075949365</v>
      </c>
      <c r="Y64" s="131">
        <f>IFERROR('Price History'!D3+(INDEX('Price History'!D:D,MATCH(9.99E+307,'Returns (Calc)'!$A:$A)+1)-'Price History'!D3)*(ROW()-3)/(MATCH(9.99E+307,'Returns (Calc)'!$A:$A)-3),"")</f>
        <v>1078.2334177215189</v>
      </c>
      <c r="Z64" s="131">
        <f>IFERROR('Price History'!E3+(INDEX('Price History'!E:E,MATCH(9.99E+307,'Returns (Calc)'!$A:$A)+1)-'Price History'!E3)*(ROW()-3)/(MATCH(9.99E+307,'Returns (Calc)'!$A:$A)-3),"")</f>
        <v>187.45278481012659</v>
      </c>
      <c r="AA64" s="131">
        <f>IFERROR('Price History'!F3+(INDEX('Price History'!F:F,MATCH(9.99E+307,'Returns (Calc)'!$A:$A)+1)-'Price History'!F3)*(ROW()-3)/(MATCH(9.99E+307,'Returns (Calc)'!$A:$A)-3),"")</f>
        <v>129.64784810126582</v>
      </c>
      <c r="AB64" s="131">
        <f>IFERROR('Price History'!G3+(INDEX('Price History'!G:G,MATCH(9.99E+307,'Returns (Calc)'!$A:$A)+1)-'Price History'!G3)*(ROW()-3)/(MATCH(9.99E+307,'Returns (Calc)'!$A:$A)-3),"")</f>
        <v>107.10278481012658</v>
      </c>
      <c r="AC64" s="131">
        <f>IFERROR('Price History'!H3+(INDEX('Price History'!H:H,MATCH(9.99E+307,'Returns (Calc)'!$A:$A)+1)-'Price History'!H3)*(ROW()-3)/(MATCH(9.99E+307,'Returns (Calc)'!$A:$A)-3),"")</f>
        <v>457.41746835443041</v>
      </c>
      <c r="AD64" s="131">
        <f>IFERROR('Price History'!I3+(INDEX('Price History'!I:I,MATCH(9.99E+307,'Returns (Calc)'!$A:$A)+1)-'Price History'!I3)*(ROW()-3)/(MATCH(9.99E+307,'Returns (Calc)'!$A:$A)-3),"")</f>
        <v>117.19392405063292</v>
      </c>
      <c r="AE64" s="131">
        <f>IFERROR('Price History'!J3+(INDEX('Price History'!J:J,MATCH(9.99E+307,'Returns (Calc)'!$A:$A)+1)-'Price History'!J3)*(ROW()-3)/(MATCH(9.99E+307,'Returns (Calc)'!$A:$A)-3),"")</f>
        <v>118.4303164556962</v>
      </c>
      <c r="AF64" s="131">
        <f>IFERROR('Price History'!K3+(INDEX('Price History'!K:K,MATCH(9.99E+307,'Returns (Calc)'!$A:$A)+1)-'Price History'!K3)*(ROW()-3)/(MATCH(9.99E+307,'Returns (Calc)'!$A:$A)-3),"")</f>
        <v>82.283291139240504</v>
      </c>
      <c r="AG64" s="131">
        <f>IFERROR('Price History'!L3+(INDEX('Price History'!L:L,MATCH(9.99E+307,'Returns (Calc)'!$A:$A)+1)-'Price History'!L3)*(ROW()-3)/(MATCH(9.99E+307,'Returns (Calc)'!$A:$A)-3),"")</f>
        <v>235.17297468354428</v>
      </c>
      <c r="AH64" s="131">
        <f>IFERROR('Price History'!M3+(INDEX('Price History'!M:M,MATCH(9.99E+307,'Returns (Calc)'!$A:$A)+1)-'Price History'!M3)*(ROW()-3)/(MATCH(9.99E+307,'Returns (Calc)'!$A:$A)-3),"")</f>
        <v>120.70202531645569</v>
      </c>
      <c r="AI64" s="131">
        <f>IFERROR('Price History'!N3+(INDEX('Price History'!N:N,MATCH(9.99E+307,'Returns (Calc)'!$A:$A)+1)-'Price History'!N3)*(ROW()-3)/(MATCH(9.99E+307,'Returns (Calc)'!$A:$A)-3),"")</f>
        <v>409.06221518987343</v>
      </c>
      <c r="AJ64" s="131">
        <f>IFERROR('Price History'!O3+(INDEX('Price History'!O:O,MATCH(9.99E+307,'Returns (Calc)'!$A:$A)+1)-'Price History'!O3)*(ROW()-3)/(MATCH(9.99E+307,'Returns (Calc)'!$A:$A)-3),"")</f>
        <v>92.57531645569621</v>
      </c>
      <c r="AK64" s="131">
        <f>IFERROR('Price History'!Q3+(INDEX('Price History'!Q:Q,MATCH(9.99E+307,'Returns (Calc)'!$A:$A)+1)-'Price History'!Q3)*(ROW()-3)/(MATCH(9.99E+307,'Returns (Calc)'!$A:$A)-3),"")</f>
        <v>26.801392405063289</v>
      </c>
      <c r="AL64" s="131">
        <f>IFERROR('Price History'!R3+(INDEX('Price History'!R:R,MATCH(9.99E+307,'Returns (Calc)'!$A:$A)+1)-'Price History'!R3)*(ROW()-3)/(MATCH(9.99E+307,'Returns (Calc)'!$A:$A)-3),"")</f>
        <v>44.734177215189874</v>
      </c>
      <c r="AM64" s="131">
        <f>IFERROR('Price History'!S3+(INDEX('Price History'!S:S,MATCH(9.99E+307,'Returns (Calc)'!$A:$A)+1)-'Price History'!S3)*(ROW()-3)/(MATCH(9.99E+307,'Returns (Calc)'!$A:$A)-3),"")</f>
        <v>94.538860759493673</v>
      </c>
      <c r="AN64" s="131">
        <f>IFERROR('Price History'!T3+(INDEX('Price History'!T:T,MATCH(9.99E+307,'Returns (Calc)'!$A:$A)+1)-'Price History'!T3)*(ROW()-3)/(MATCH(9.99E+307,'Returns (Calc)'!$A:$A)-3),"")</f>
        <v>35.501898734177217</v>
      </c>
      <c r="AO64" s="132">
        <f>IFERROR('Price History'!V3+(INDEX('Price History'!V:V,MATCH(9.99E+307,'Returns (Calc)'!$A:$A)+1)-'Price History'!V3)*(ROW()-3)/(MATCH(9.99E+307,'Returns (Calc)'!$A:$A)-3),"")</f>
        <v>283.90107594936711</v>
      </c>
      <c r="AP64" s="130">
        <f>IFERROR(IF(OR(NOT(ISNUMBER('Price History'!W65)),NOT(ISNUMBER('Price History'!W64)),'Price History'!W64=0),"",'Price History'!W65/'Price History'!W64-1),"")</f>
        <v>2.2383252818035437E-2</v>
      </c>
      <c r="AQ64" s="130" t="str">
        <f>IFERROR(IF(OR(NOT(ISNUMBER('Price History'!X65)),NOT(ISNUMBER('Price History'!X64)),'Price History'!X64=0),"",'Price History'!X65/'Price History'!X64-1),"")</f>
        <v/>
      </c>
      <c r="AR64" s="130">
        <f>IFERROR(IF(OR(NOT(ISNUMBER('Price History'!Y65)),NOT(ISNUMBER('Price History'!Y64)),'Price History'!Y64=0),"",'Price History'!Y65/'Price History'!Y64-1),"")</f>
        <v>1.4990138067061176E-2</v>
      </c>
      <c r="AS64" s="130">
        <f>IFERROR(IF(OR(NOT(ISNUMBER('Price History'!Z65)),NOT(ISNUMBER('Price History'!Z64)),'Price History'!Z64=0),"",'Price History'!Z65/'Price History'!Z64-1),"")</f>
        <v>2.3862533538848041E-2</v>
      </c>
      <c r="AT64" s="130">
        <f>IFERROR(IF(OR(NOT(ISNUMBER('Price History'!AA65)),NOT(ISNUMBER('Price History'!AA64)),'Price History'!AA64=0),"",'Price History'!AA65/'Price History'!AA64-1),"")</f>
        <v>8.9563106796116454E-2</v>
      </c>
    </row>
    <row r="65" spans="1:46" ht="15" customHeight="1" x14ac:dyDescent="0.2">
      <c r="A65" s="128">
        <f>IF('Price History'!A66="","",'Price History'!A66)</f>
        <v>45625</v>
      </c>
      <c r="B65" s="129">
        <f>IFERROR(IF(OR(NOT(ISNUMBER('Price History'!B66)),NOT(ISNUMBER('Price History'!B65)),'Price History'!B65=0),"",'Price History'!B66/'Price History'!B65-1),"")</f>
        <v>7.3806502001365626E-3</v>
      </c>
      <c r="C65" s="129">
        <f>IFERROR(IF(OR(NOT(ISNUMBER('Price History'!C66)),NOT(ISNUMBER('Price History'!C65)),'Price History'!C65=0),"",'Price History'!C66/'Price History'!C65-1),"")</f>
        <v>-1.5744932099981401E-3</v>
      </c>
      <c r="D65" s="129">
        <f>IFERROR(IF(OR(NOT(ISNUMBER('Price History'!D66)),NOT(ISNUMBER('Price History'!D65)),'Price History'!D65=0),"",'Price History'!D66/'Price History'!D65-1),"")</f>
        <v>2.0412470602424015E-2</v>
      </c>
      <c r="E65" s="129">
        <f>IFERROR(IF(OR(NOT(ISNUMBER('Price History'!E66)),NOT(ISNUMBER('Price History'!E65)),'Price History'!E65=0),"",'Price History'!E66/'Price History'!E65-1),"")</f>
        <v>-1.3070680790435607E-2</v>
      </c>
      <c r="F65" s="129">
        <f>IFERROR(IF(OR(NOT(ISNUMBER('Price History'!F66)),NOT(ISNUMBER('Price History'!F65)),'Price History'!F65=0),"",'Price History'!F66/'Price History'!F65-1),"")</f>
        <v>-7.0699473514558964E-2</v>
      </c>
      <c r="G65" s="129">
        <f>IFERROR(IF(OR(NOT(ISNUMBER('Price History'!G66)),NOT(ISNUMBER('Price History'!G65)),'Price History'!G65=0),"",'Price History'!G66/'Price History'!G65-1),"")</f>
        <v>1.1712567268122864E-2</v>
      </c>
      <c r="H65" s="129">
        <f>IFERROR(IF(OR(NOT(ISNUMBER('Price History'!H66)),NOT(ISNUMBER('Price History'!H65)),'Price History'!H65=0),"",'Price History'!H66/'Price History'!H65-1),"")</f>
        <v>-4.563705807462537E-2</v>
      </c>
      <c r="I65" s="129">
        <f>IFERROR(IF(OR(NOT(ISNUMBER('Price History'!I66)),NOT(ISNUMBER('Price History'!I65)),'Price History'!I65=0),"",'Price History'!I66/'Price History'!I65-1),"")</f>
        <v>-2.6064844246662444E-2</v>
      </c>
      <c r="J65" s="129">
        <f>IFERROR(IF(OR(NOT(ISNUMBER('Price History'!J66)),NOT(ISNUMBER('Price History'!J65)),'Price History'!J65=0),"",'Price History'!J66/'Price History'!J65-1),"")</f>
        <v>8.4941371987812264E-3</v>
      </c>
      <c r="K65" s="129">
        <f>IFERROR(IF(OR(NOT(ISNUMBER('Price History'!K66)),NOT(ISNUMBER('Price History'!K65)),'Price History'!K65=0),"",'Price History'!K66/'Price History'!K65-1),"")</f>
        <v>4.2424242424242475E-2</v>
      </c>
      <c r="L65" s="129">
        <f>IFERROR(IF(OR(NOT(ISNUMBER('Price History'!L66)),NOT(ISNUMBER('Price History'!L65)),'Price History'!L65=0),"",'Price History'!L66/'Price History'!L65-1),"")</f>
        <v>-2.8517520215633363E-2</v>
      </c>
      <c r="M65" s="129">
        <f>IFERROR(IF(OR(NOT(ISNUMBER('Price History'!M66)),NOT(ISNUMBER('Price History'!M65)),'Price History'!M65=0),"",'Price History'!M66/'Price History'!M65-1),"")</f>
        <v>-8.9550103712180751E-2</v>
      </c>
      <c r="N65" s="129">
        <f>IFERROR(IF(OR(NOT(ISNUMBER('Price History'!N66)),NOT(ISNUMBER('Price History'!N65)),'Price History'!N65=0),"",'Price History'!N66/'Price History'!N65-1),"")</f>
        <v>3.8051311617180561E-2</v>
      </c>
      <c r="O65" s="129">
        <f>IFERROR(IF(OR(NOT(ISNUMBER('Price History'!O66)),NOT(ISNUMBER('Price History'!O65)),'Price History'!O65=0),"",'Price History'!O66/'Price History'!O65-1),"")</f>
        <v>6.7900019681164103E-3</v>
      </c>
      <c r="P65" s="129">
        <f>IFERROR(IF(OR(NOT(ISNUMBER('Price History'!P66)),NOT(ISNUMBER('Price History'!P65)),'Price History'!P65=0),"",'Price History'!P66/'Price History'!P65-1),"")</f>
        <v>9.3676814988290502E-3</v>
      </c>
      <c r="Q65" s="129">
        <f>IFERROR(IF(OR(NOT(ISNUMBER('Price History'!Q66)),NOT(ISNUMBER('Price History'!Q65)),'Price History'!Q65=0),"",'Price History'!Q66/'Price History'!Q65-1),"")</f>
        <v>6.145883875141589E-3</v>
      </c>
      <c r="R65" s="129">
        <f>IFERROR(IF(OR(NOT(ISNUMBER('Price History'!R66)),NOT(ISNUMBER('Price History'!R65)),'Price History'!R65=0),"",'Price History'!R66/'Price History'!R65-1),"")</f>
        <v>9.2267135325130312E-3</v>
      </c>
      <c r="S65" s="129">
        <f>IFERROR(IF(OR(NOT(ISNUMBER('Price History'!S66)),NOT(ISNUMBER('Price History'!S65)),'Price History'!S65=0),"",'Price History'!S66/'Price History'!S65-1),"")</f>
        <v>1.3075369405761705E-2</v>
      </c>
      <c r="T65" s="129">
        <f>IFERROR(IF(OR(NOT(ISNUMBER('Price History'!T66)),NOT(ISNUMBER('Price History'!T65)),'Price History'!T65=0),"",'Price History'!T66/'Price History'!T65-1),"")</f>
        <v>1.9673974142777606E-3</v>
      </c>
      <c r="U65" s="129">
        <f>IFERROR(IF(OR(NOT(ISNUMBER('Price History'!U66)),NOT(ISNUMBER('Price History'!U65)),'Price History'!U65=0),"",'Price History'!U66/'Price History'!U65-1),"")</f>
        <v>6.2248260710362491E-3</v>
      </c>
      <c r="V65" s="130">
        <f>IFERROR(IF(OR(NOT(ISNUMBER('Price History'!V66)),NOT(ISNUMBER('Price History'!V65)),'Price History'!V65=0),"",'Price History'!V66/'Price History'!V65-1),"")</f>
        <v>1.6639424648578149E-2</v>
      </c>
      <c r="W65" s="131">
        <f>IFERROR('Price History'!B3+(INDEX('Price History'!B:B,MATCH(9.99E+307,'Returns (Calc)'!$A:$A)+1)-'Price History'!B3)*(ROW()-3)/(MATCH(9.99E+307,'Returns (Calc)'!$A:$A)-3),"")</f>
        <v>414.62164556962023</v>
      </c>
      <c r="X65" s="131">
        <f>IFERROR('Price History'!C3+(INDEX('Price History'!C:C,MATCH(9.99E+307,'Returns (Calc)'!$A:$A)+1)-'Price History'!C3)*(ROW()-3)/(MATCH(9.99E+307,'Returns (Calc)'!$A:$A)-3),"")</f>
        <v>109.42392405063291</v>
      </c>
      <c r="Y65" s="131">
        <f>IFERROR('Price History'!D3+(INDEX('Price History'!D:D,MATCH(9.99E+307,'Returns (Calc)'!$A:$A)+1)-'Price History'!D3)*(ROW()-3)/(MATCH(9.99E+307,'Returns (Calc)'!$A:$A)-3),"")</f>
        <v>1086.3682278481012</v>
      </c>
      <c r="Z65" s="131">
        <f>IFERROR('Price History'!E3+(INDEX('Price History'!E:E,MATCH(9.99E+307,'Returns (Calc)'!$A:$A)+1)-'Price History'!E3)*(ROW()-3)/(MATCH(9.99E+307,'Returns (Calc)'!$A:$A)-3),"")</f>
        <v>189.18151898734178</v>
      </c>
      <c r="AA65" s="131">
        <f>IFERROR('Price History'!F3+(INDEX('Price History'!F:F,MATCH(9.99E+307,'Returns (Calc)'!$A:$A)+1)-'Price History'!F3)*(ROW()-3)/(MATCH(9.99E+307,'Returns (Calc)'!$A:$A)-3),"")</f>
        <v>131.09518987341772</v>
      </c>
      <c r="AB65" s="131">
        <f>IFERROR('Price History'!G3+(INDEX('Price History'!G:G,MATCH(9.99E+307,'Returns (Calc)'!$A:$A)+1)-'Price History'!G3)*(ROW()-3)/(MATCH(9.99E+307,'Returns (Calc)'!$A:$A)-3),"")</f>
        <v>108.13151898734176</v>
      </c>
      <c r="AC65" s="131">
        <f>IFERROR('Price History'!H3+(INDEX('Price History'!H:H,MATCH(9.99E+307,'Returns (Calc)'!$A:$A)+1)-'Price History'!H3)*(ROW()-3)/(MATCH(9.99E+307,'Returns (Calc)'!$A:$A)-3),"")</f>
        <v>463.78316455696211</v>
      </c>
      <c r="AD65" s="131">
        <f>IFERROR('Price History'!I3+(INDEX('Price History'!I:I,MATCH(9.99E+307,'Returns (Calc)'!$A:$A)+1)-'Price History'!I3)*(ROW()-3)/(MATCH(9.99E+307,'Returns (Calc)'!$A:$A)-3),"")</f>
        <v>118.39759493670886</v>
      </c>
      <c r="AE65" s="131">
        <f>IFERROR('Price History'!J3+(INDEX('Price History'!J:J,MATCH(9.99E+307,'Returns (Calc)'!$A:$A)+1)-'Price History'!J3)*(ROW()-3)/(MATCH(9.99E+307,'Returns (Calc)'!$A:$A)-3),"")</f>
        <v>118.53835443037975</v>
      </c>
      <c r="AF65" s="131">
        <f>IFERROR('Price History'!K3+(INDEX('Price History'!K:K,MATCH(9.99E+307,'Returns (Calc)'!$A:$A)+1)-'Price History'!K3)*(ROW()-3)/(MATCH(9.99E+307,'Returns (Calc)'!$A:$A)-3),"")</f>
        <v>83.380886075949363</v>
      </c>
      <c r="AG65" s="131">
        <f>IFERROR('Price History'!L3+(INDEX('Price History'!L:L,MATCH(9.99E+307,'Returns (Calc)'!$A:$A)+1)-'Price History'!L3)*(ROW()-3)/(MATCH(9.99E+307,'Returns (Calc)'!$A:$A)-3),"")</f>
        <v>237.62253164556961</v>
      </c>
      <c r="AH65" s="131">
        <f>IFERROR('Price History'!M3+(INDEX('Price History'!M:M,MATCH(9.99E+307,'Returns (Calc)'!$A:$A)+1)-'Price History'!M3)*(ROW()-3)/(MATCH(9.99E+307,'Returns (Calc)'!$A:$A)-3),"")</f>
        <v>122.05746835443037</v>
      </c>
      <c r="AI65" s="131">
        <f>IFERROR('Price History'!N3+(INDEX('Price History'!N:N,MATCH(9.99E+307,'Returns (Calc)'!$A:$A)+1)-'Price History'!N3)*(ROW()-3)/(MATCH(9.99E+307,'Returns (Calc)'!$A:$A)-3),"")</f>
        <v>410.04848101265821</v>
      </c>
      <c r="AJ65" s="131">
        <f>IFERROR('Price History'!O3+(INDEX('Price History'!O:O,MATCH(9.99E+307,'Returns (Calc)'!$A:$A)+1)-'Price History'!O3)*(ROW()-3)/(MATCH(9.99E+307,'Returns (Calc)'!$A:$A)-3),"")</f>
        <v>92.858354430379748</v>
      </c>
      <c r="AK65" s="131">
        <f>IFERROR('Price History'!Q3+(INDEX('Price History'!Q:Q,MATCH(9.99E+307,'Returns (Calc)'!$A:$A)+1)-'Price History'!Q3)*(ROW()-3)/(MATCH(9.99E+307,'Returns (Calc)'!$A:$A)-3),"")</f>
        <v>27.240759493670886</v>
      </c>
      <c r="AL65" s="131">
        <f>IFERROR('Price History'!R3+(INDEX('Price History'!R:R,MATCH(9.99E+307,'Returns (Calc)'!$A:$A)+1)-'Price History'!R3)*(ROW()-3)/(MATCH(9.99E+307,'Returns (Calc)'!$A:$A)-3),"")</f>
        <v>44.902278481012658</v>
      </c>
      <c r="AM65" s="131">
        <f>IFERROR('Price History'!S3+(INDEX('Price History'!S:S,MATCH(9.99E+307,'Returns (Calc)'!$A:$A)+1)-'Price History'!S3)*(ROW()-3)/(MATCH(9.99E+307,'Returns (Calc)'!$A:$A)-3),"")</f>
        <v>95.143924050632904</v>
      </c>
      <c r="AN65" s="131">
        <f>IFERROR('Price History'!T3+(INDEX('Price History'!T:T,MATCH(9.99E+307,'Returns (Calc)'!$A:$A)+1)-'Price History'!T3)*(ROW()-3)/(MATCH(9.99E+307,'Returns (Calc)'!$A:$A)-3),"")</f>
        <v>35.670126582278478</v>
      </c>
      <c r="AO65" s="132">
        <f>IFERROR('Price History'!V3+(INDEX('Price History'!V:V,MATCH(9.99E+307,'Returns (Calc)'!$A:$A)+1)-'Price History'!V3)*(ROW()-3)/(MATCH(9.99E+307,'Returns (Calc)'!$A:$A)-3),"")</f>
        <v>284.69240506329118</v>
      </c>
      <c r="AP65" s="130">
        <f>IFERROR(IF(OR(NOT(ISNUMBER('Price History'!W66)),NOT(ISNUMBER('Price History'!W65)),'Price History'!W65=0),"",'Price History'!W66/'Price History'!W65-1),"")</f>
        <v>8.3477713025672529E-3</v>
      </c>
      <c r="AQ65" s="130" t="str">
        <f>IFERROR(IF(OR(NOT(ISNUMBER('Price History'!X66)),NOT(ISNUMBER('Price History'!X65)),'Price History'!X65=0),"",'Price History'!X66/'Price History'!X65-1),"")</f>
        <v/>
      </c>
      <c r="AR65" s="130">
        <f>IFERROR(IF(OR(NOT(ISNUMBER('Price History'!Y66)),NOT(ISNUMBER('Price History'!Y65)),'Price History'!Y65=0),"",'Price History'!Y66/'Price History'!Y65-1),"")</f>
        <v>1.1076564321803373E-2</v>
      </c>
      <c r="AS65" s="130">
        <f>IFERROR(IF(OR(NOT(ISNUMBER('Price History'!Z66)),NOT(ISNUMBER('Price History'!Z65)),'Price History'!Z65=0),"",'Price History'!Z66/'Price History'!Z65-1),"")</f>
        <v>5.5756899916363789E-3</v>
      </c>
      <c r="AT65" s="130">
        <f>IFERROR(IF(OR(NOT(ISNUMBER('Price History'!AA66)),NOT(ISNUMBER('Price History'!AA65)),'Price History'!AA65=0),"",'Price History'!AA66/'Price History'!AA65-1),"")</f>
        <v>-1.2252171975941084E-2</v>
      </c>
    </row>
    <row r="66" spans="1:46" ht="15" customHeight="1" x14ac:dyDescent="0.2">
      <c r="A66" s="128">
        <f>IF('Price History'!A67="","",'Price History'!A67)</f>
        <v>45632</v>
      </c>
      <c r="B66" s="129">
        <f>IFERROR(IF(OR(NOT(ISNUMBER('Price History'!B67)),NOT(ISNUMBER('Price History'!B66)),'Price History'!B66=0),"",'Price History'!B67/'Price History'!B66-1),"")</f>
        <v>7.1773302579807519E-2</v>
      </c>
      <c r="C66" s="129">
        <f>IFERROR(IF(OR(NOT(ISNUMBER('Price History'!C67)),NOT(ISNUMBER('Price History'!C66)),'Price History'!C66=0),"",'Price History'!C67/'Price History'!C66-1),"")</f>
        <v>6.6922925290755053E-2</v>
      </c>
      <c r="D66" s="129">
        <f>IFERROR(IF(OR(NOT(ISNUMBER('Price History'!D67)),NOT(ISNUMBER('Price History'!D66)),'Price History'!D66=0),"",'Price History'!D67/'Price History'!D66-1),"")</f>
        <v>3.2576899211062882E-2</v>
      </c>
      <c r="E66" s="129">
        <f>IFERROR(IF(OR(NOT(ISNUMBER('Price History'!E67)),NOT(ISNUMBER('Price History'!E66)),'Price History'!E66=0),"",'Price History'!E67/'Price History'!E66-1),"")</f>
        <v>0.10764499121265381</v>
      </c>
      <c r="F66" s="129">
        <f>IFERROR(IF(OR(NOT(ISNUMBER('Price History'!F67)),NOT(ISNUMBER('Price History'!F66)),'Price History'!F66=0),"",'Price History'!F67/'Price History'!F66-1),"")</f>
        <v>5.6885189039195261E-2</v>
      </c>
      <c r="G66" s="129">
        <f>IFERROR(IF(OR(NOT(ISNUMBER('Price History'!G67)),NOT(ISNUMBER('Price History'!G66)),'Price History'!G66=0),"",'Price History'!G67/'Price History'!G66-1),"")</f>
        <v>2.0337922403002029E-3</v>
      </c>
      <c r="H66" s="129">
        <f>IFERROR(IF(OR(NOT(ISNUMBER('Price History'!H67)),NOT(ISNUMBER('Price History'!H66)),'Price History'!H66=0),"",'Price History'!H67/'Price History'!H66-1),"")</f>
        <v>3.283735248845554E-2</v>
      </c>
      <c r="I66" s="129">
        <f>IFERROR(IF(OR(NOT(ISNUMBER('Price History'!I67)),NOT(ISNUMBER('Price History'!I66)),'Price History'!I66=0),"",'Price History'!I67/'Price History'!I66-1),"")</f>
        <v>3.0388743835219056E-2</v>
      </c>
      <c r="J66" s="129">
        <f>IFERROR(IF(OR(NOT(ISNUMBER('Price History'!J67)),NOT(ISNUMBER('Price History'!J66)),'Price History'!J66=0),"",'Price History'!J67/'Price History'!J66-1),"")</f>
        <v>-4.0922823400164732E-2</v>
      </c>
      <c r="K66" s="129">
        <f>IFERROR(IF(OR(NOT(ISNUMBER('Price History'!K67)),NOT(ISNUMBER('Price History'!K66)),'Price History'!K66=0),"",'Price History'!K67/'Price History'!K66-1),"")</f>
        <v>0.13804412641621955</v>
      </c>
      <c r="L66" s="129">
        <f>IFERROR(IF(OR(NOT(ISNUMBER('Price History'!L67)),NOT(ISNUMBER('Price History'!L66)),'Price History'!L66=0),"",'Price History'!L67/'Price History'!L66-1),"")</f>
        <v>9.9439542755673793E-2</v>
      </c>
      <c r="M66" s="129">
        <f>IFERROR(IF(OR(NOT(ISNUMBER('Price History'!M67)),NOT(ISNUMBER('Price History'!M66)),'Price History'!M66=0),"",'Price History'!M67/'Price History'!M66-1),"")</f>
        <v>4.933616152093645E-2</v>
      </c>
      <c r="N66" s="129">
        <f>IFERROR(IF(OR(NOT(ISNUMBER('Price History'!N67)),NOT(ISNUMBER('Price History'!N66)),'Price History'!N66=0),"",'Price History'!N67/'Price History'!N66-1),"")</f>
        <v>-1.28810373186935E-2</v>
      </c>
      <c r="O66" s="129">
        <f>IFERROR(IF(OR(NOT(ISNUMBER('Price History'!O67)),NOT(ISNUMBER('Price History'!O66)),'Price History'!O66=0),"",'Price History'!O67/'Price History'!O66-1),"")</f>
        <v>-2.0819079268888596E-2</v>
      </c>
      <c r="P66" s="129">
        <f>IFERROR(IF(OR(NOT(ISNUMBER('Price History'!P67)),NOT(ISNUMBER('Price History'!P66)),'Price History'!P66=0),"",'Price History'!P67/'Price History'!P66-1),"")</f>
        <v>-2.5297507671581676E-2</v>
      </c>
      <c r="Q66" s="129">
        <f>IFERROR(IF(OR(NOT(ISNUMBER('Price History'!Q67)),NOT(ISNUMBER('Price History'!Q66)),'Price History'!Q66=0),"",'Price History'!Q67/'Price History'!Q66-1),"")</f>
        <v>3.6971547982638242E-3</v>
      </c>
      <c r="R66" s="129">
        <f>IFERROR(IF(OR(NOT(ISNUMBER('Price History'!R67)),NOT(ISNUMBER('Price History'!R66)),'Price History'!R66=0),"",'Price History'!R67/'Price History'!R66-1),"")</f>
        <v>1.8502394427514224E-2</v>
      </c>
      <c r="S66" s="129">
        <f>IFERROR(IF(OR(NOT(ISNUMBER('Price History'!S67)),NOT(ISNUMBER('Price History'!S66)),'Price History'!S66=0),"",'Price History'!S67/'Price History'!S66-1),"")</f>
        <v>1.9307450157397765E-2</v>
      </c>
      <c r="T66" s="129">
        <f>IFERROR(IF(OR(NOT(ISNUMBER('Price History'!T67)),NOT(ISNUMBER('Price History'!T66)),'Price History'!T66=0),"",'Price History'!T67/'Price History'!T66-1),"")</f>
        <v>-8.4151472650773051E-4</v>
      </c>
      <c r="U66" s="129">
        <f>IFERROR(IF(OR(NOT(ISNUMBER('Price History'!U67)),NOT(ISNUMBER('Price History'!U66)),'Price History'!U66=0),"",'Price History'!U67/'Price History'!U66-1),"")</f>
        <v>-2.4017467248908297E-2</v>
      </c>
      <c r="V66" s="130">
        <f>IFERROR(IF(OR(NOT(ISNUMBER('Price History'!V67)),NOT(ISNUMBER('Price History'!V66)),'Price History'!V66=0),"",'Price History'!V67/'Price History'!V66-1),"")</f>
        <v>-1.2926460657898931E-2</v>
      </c>
      <c r="W66" s="131">
        <f>IFERROR('Price History'!B3+(INDEX('Price History'!B:B,MATCH(9.99E+307,'Returns (Calc)'!$A:$A)+1)-'Price History'!B3)*(ROW()-3)/(MATCH(9.99E+307,'Returns (Calc)'!$A:$A)-3),"")</f>
        <v>412.77860759493672</v>
      </c>
      <c r="X66" s="131">
        <f>IFERROR('Price History'!C3+(INDEX('Price History'!C:C,MATCH(9.99E+307,'Returns (Calc)'!$A:$A)+1)-'Price History'!C3)*(ROW()-3)/(MATCH(9.99E+307,'Returns (Calc)'!$A:$A)-3),"")</f>
        <v>110.44398734177216</v>
      </c>
      <c r="Y66" s="131">
        <f>IFERROR('Price History'!D3+(INDEX('Price History'!D:D,MATCH(9.99E+307,'Returns (Calc)'!$A:$A)+1)-'Price History'!D3)*(ROW()-3)/(MATCH(9.99E+307,'Returns (Calc)'!$A:$A)-3),"")</f>
        <v>1094.5030379746836</v>
      </c>
      <c r="Z66" s="131">
        <f>IFERROR('Price History'!E3+(INDEX('Price History'!E:E,MATCH(9.99E+307,'Returns (Calc)'!$A:$A)+1)-'Price History'!E3)*(ROW()-3)/(MATCH(9.99E+307,'Returns (Calc)'!$A:$A)-3),"")</f>
        <v>190.91025316455696</v>
      </c>
      <c r="AA66" s="131">
        <f>IFERROR('Price History'!F3+(INDEX('Price History'!F:F,MATCH(9.99E+307,'Returns (Calc)'!$A:$A)+1)-'Price History'!F3)*(ROW()-3)/(MATCH(9.99E+307,'Returns (Calc)'!$A:$A)-3),"")</f>
        <v>132.54253164556962</v>
      </c>
      <c r="AB66" s="131">
        <f>IFERROR('Price History'!G3+(INDEX('Price History'!G:G,MATCH(9.99E+307,'Returns (Calc)'!$A:$A)+1)-'Price History'!G3)*(ROW()-3)/(MATCH(9.99E+307,'Returns (Calc)'!$A:$A)-3),"")</f>
        <v>109.16025316455696</v>
      </c>
      <c r="AC66" s="131">
        <f>IFERROR('Price History'!H3+(INDEX('Price History'!H:H,MATCH(9.99E+307,'Returns (Calc)'!$A:$A)+1)-'Price History'!H3)*(ROW()-3)/(MATCH(9.99E+307,'Returns (Calc)'!$A:$A)-3),"")</f>
        <v>470.14886075949374</v>
      </c>
      <c r="AD66" s="131">
        <f>IFERROR('Price History'!I3+(INDEX('Price History'!I:I,MATCH(9.99E+307,'Returns (Calc)'!$A:$A)+1)-'Price History'!I3)*(ROW()-3)/(MATCH(9.99E+307,'Returns (Calc)'!$A:$A)-3),"")</f>
        <v>119.6012658227848</v>
      </c>
      <c r="AE66" s="131">
        <f>IFERROR('Price History'!J3+(INDEX('Price History'!J:J,MATCH(9.99E+307,'Returns (Calc)'!$A:$A)+1)-'Price History'!J3)*(ROW()-3)/(MATCH(9.99E+307,'Returns (Calc)'!$A:$A)-3),"")</f>
        <v>118.6463924050633</v>
      </c>
      <c r="AF66" s="131">
        <f>IFERROR('Price History'!K3+(INDEX('Price History'!K:K,MATCH(9.99E+307,'Returns (Calc)'!$A:$A)+1)-'Price History'!K3)*(ROW()-3)/(MATCH(9.99E+307,'Returns (Calc)'!$A:$A)-3),"")</f>
        <v>84.478481012658222</v>
      </c>
      <c r="AG66" s="131">
        <f>IFERROR('Price History'!L3+(INDEX('Price History'!L:L,MATCH(9.99E+307,'Returns (Calc)'!$A:$A)+1)-'Price History'!L3)*(ROW()-3)/(MATCH(9.99E+307,'Returns (Calc)'!$A:$A)-3),"")</f>
        <v>240.07208860759494</v>
      </c>
      <c r="AH66" s="131">
        <f>IFERROR('Price History'!M3+(INDEX('Price History'!M:M,MATCH(9.99E+307,'Returns (Calc)'!$A:$A)+1)-'Price History'!M3)*(ROW()-3)/(MATCH(9.99E+307,'Returns (Calc)'!$A:$A)-3),"")</f>
        <v>123.41291139240508</v>
      </c>
      <c r="AI66" s="131">
        <f>IFERROR('Price History'!N3+(INDEX('Price History'!N:N,MATCH(9.99E+307,'Returns (Calc)'!$A:$A)+1)-'Price History'!N3)*(ROW()-3)/(MATCH(9.99E+307,'Returns (Calc)'!$A:$A)-3),"")</f>
        <v>411.034746835443</v>
      </c>
      <c r="AJ66" s="131">
        <f>IFERROR('Price History'!O3+(INDEX('Price History'!O:O,MATCH(9.99E+307,'Returns (Calc)'!$A:$A)+1)-'Price History'!O3)*(ROW()-3)/(MATCH(9.99E+307,'Returns (Calc)'!$A:$A)-3),"")</f>
        <v>93.1413924050633</v>
      </c>
      <c r="AK66" s="131">
        <f>IFERROR('Price History'!Q3+(INDEX('Price History'!Q:Q,MATCH(9.99E+307,'Returns (Calc)'!$A:$A)+1)-'Price History'!Q3)*(ROW()-3)/(MATCH(9.99E+307,'Returns (Calc)'!$A:$A)-3),"")</f>
        <v>27.680126582278483</v>
      </c>
      <c r="AL66" s="131">
        <f>IFERROR('Price History'!R3+(INDEX('Price History'!R:R,MATCH(9.99E+307,'Returns (Calc)'!$A:$A)+1)-'Price History'!R3)*(ROW()-3)/(MATCH(9.99E+307,'Returns (Calc)'!$A:$A)-3),"")</f>
        <v>45.070379746835442</v>
      </c>
      <c r="AM66" s="131">
        <f>IFERROR('Price History'!S3+(INDEX('Price History'!S:S,MATCH(9.99E+307,'Returns (Calc)'!$A:$A)+1)-'Price History'!S3)*(ROW()-3)/(MATCH(9.99E+307,'Returns (Calc)'!$A:$A)-3),"")</f>
        <v>95.74898734177215</v>
      </c>
      <c r="AN66" s="131">
        <f>IFERROR('Price History'!T3+(INDEX('Price History'!T:T,MATCH(9.99E+307,'Returns (Calc)'!$A:$A)+1)-'Price History'!T3)*(ROW()-3)/(MATCH(9.99E+307,'Returns (Calc)'!$A:$A)-3),"")</f>
        <v>35.838354430379745</v>
      </c>
      <c r="AO66" s="132">
        <f>IFERROR('Price History'!V3+(INDEX('Price History'!V:V,MATCH(9.99E+307,'Returns (Calc)'!$A:$A)+1)-'Price History'!V3)*(ROW()-3)/(MATCH(9.99E+307,'Returns (Calc)'!$A:$A)-3),"")</f>
        <v>285.48373417721518</v>
      </c>
      <c r="AP66" s="130">
        <f>IFERROR(IF(OR(NOT(ISNUMBER('Price History'!W67)),NOT(ISNUMBER('Price History'!W66)),'Price History'!W66=0),"",'Price History'!W67/'Price History'!W66-1),"")</f>
        <v>-1.4370509215869909E-2</v>
      </c>
      <c r="AQ66" s="130" t="str">
        <f>IFERROR(IF(OR(NOT(ISNUMBER('Price History'!X67)),NOT(ISNUMBER('Price History'!X66)),'Price History'!X66=0),"",'Price History'!X67/'Price History'!X66-1),"")</f>
        <v/>
      </c>
      <c r="AR66" s="130">
        <f>IFERROR(IF(OR(NOT(ISNUMBER('Price History'!Y67)),NOT(ISNUMBER('Price History'!Y66)),'Price History'!Y66=0),"",'Price History'!Y67/'Price History'!Y66-1),"")</f>
        <v>-8.4566596194503019E-3</v>
      </c>
      <c r="AS66" s="130">
        <f>IFERROR(IF(OR(NOT(ISNUMBER('Price History'!Z67)),NOT(ISNUMBER('Price History'!Z66)),'Price History'!Z66=0),"",'Price History'!Z67/'Price History'!Z66-1),"")</f>
        <v>-3.6151926808982382E-2</v>
      </c>
      <c r="AT66" s="130">
        <f>IFERROR(IF(OR(NOT(ISNUMBER('Price History'!AA67)),NOT(ISNUMBER('Price History'!AA66)),'Price History'!AA66=0),"",'Price History'!AA67/'Price History'!AA66-1),"")</f>
        <v>5.401443391971128E-2</v>
      </c>
    </row>
    <row r="67" spans="1:46" ht="15" customHeight="1" x14ac:dyDescent="0.2">
      <c r="A67" s="128">
        <f>IF('Price History'!A68="","",'Price History'!A68)</f>
        <v>45639</v>
      </c>
      <c r="B67" s="129">
        <f>IFERROR(IF(OR(NOT(ISNUMBER('Price History'!B68)),NOT(ISNUMBER('Price History'!B67)),'Price History'!B67=0),"",'Price History'!B68/'Price History'!B67-1),"")</f>
        <v>-0.15782335069444453</v>
      </c>
      <c r="C67" s="129">
        <f>IFERROR(IF(OR(NOT(ISNUMBER('Price History'!C68)),NOT(ISNUMBER('Price History'!C67)),'Price History'!C67=0),"",'Price History'!C68/'Price History'!C67-1),"")</f>
        <v>3.8060046189376529E-2</v>
      </c>
      <c r="D67" s="129">
        <f>IFERROR(IF(OR(NOT(ISNUMBER('Price History'!D68)),NOT(ISNUMBER('Price History'!D67)),'Price History'!D67=0),"",'Price History'!D68/'Price History'!D67-1),"")</f>
        <v>1.354967020074116E-2</v>
      </c>
      <c r="E67" s="129">
        <f>IFERROR(IF(OR(NOT(ISNUMBER('Price History'!E68)),NOT(ISNUMBER('Price History'!E67)),'Price History'!E67=0),"",'Price History'!E68/'Price History'!E67-1),"")</f>
        <v>0.25216750722502401</v>
      </c>
      <c r="F67" s="129">
        <f>IFERROR(IF(OR(NOT(ISNUMBER('Price History'!F68)),NOT(ISNUMBER('Price History'!F67)),'Price History'!F67=0),"",'Price History'!F68/'Price History'!F67-1),"")</f>
        <v>6.4544360573242088E-3</v>
      </c>
      <c r="G67" s="129">
        <f>IFERROR(IF(OR(NOT(ISNUMBER('Price History'!G68)),NOT(ISNUMBER('Price History'!G67)),'Price History'!G67=0),"",'Price History'!G68/'Price History'!G67-1),"")</f>
        <v>8.2747853239657498E-3</v>
      </c>
      <c r="H67" s="129">
        <f>IFERROR(IF(OR(NOT(ISNUMBER('Price History'!H68)),NOT(ISNUMBER('Price History'!H67)),'Price History'!H67=0),"",'Price History'!H68/'Price History'!H67-1),"")</f>
        <v>1.3114754098360493E-2</v>
      </c>
      <c r="I67" s="129">
        <f>IFERROR(IF(OR(NOT(ISNUMBER('Price History'!I68)),NOT(ISNUMBER('Price History'!I67)),'Price History'!I67=0),"",'Price History'!I68/'Price History'!I67-1),"")</f>
        <v>-5.7506862814105664E-2</v>
      </c>
      <c r="J67" s="129">
        <f>IFERROR(IF(OR(NOT(ISNUMBER('Price History'!J68)),NOT(ISNUMBER('Price History'!J67)),'Price History'!J67=0),"",'Price History'!J68/'Price History'!J67-1),"")</f>
        <v>-7.7319587628865705E-3</v>
      </c>
      <c r="K67" s="129">
        <f>IFERROR(IF(OR(NOT(ISNUMBER('Price History'!K68)),NOT(ISNUMBER('Price History'!K67)),'Price History'!K67=0),"",'Price History'!K68/'Price History'!K67-1),"")</f>
        <v>-3.5368090123134577E-3</v>
      </c>
      <c r="L67" s="129">
        <f>IFERROR(IF(OR(NOT(ISNUMBER('Price History'!L68)),NOT(ISNUMBER('Price History'!L67)),'Price History'!L67=0),"",'Price History'!L68/'Price History'!L67-1),"")</f>
        <v>-6.8641800837833111E-3</v>
      </c>
      <c r="M67" s="129">
        <f>IFERROR(IF(OR(NOT(ISNUMBER('Price History'!M68)),NOT(ISNUMBER('Price History'!M67)),'Price History'!M67=0),"",'Price History'!M68/'Price History'!M67-1),"")</f>
        <v>-6.0342891367822005E-2</v>
      </c>
      <c r="N67" s="129">
        <f>IFERROR(IF(OR(NOT(ISNUMBER('Price History'!N68)),NOT(ISNUMBER('Price History'!N67)),'Price History'!N67=0),"",'Price History'!N68/'Price History'!N67-1),"")</f>
        <v>3.5273750270503612E-3</v>
      </c>
      <c r="O67" s="129">
        <f>IFERROR(IF(OR(NOT(ISNUMBER('Price History'!O68)),NOT(ISNUMBER('Price History'!O67)),'Price History'!O67=0),"",'Price History'!O68/'Price History'!O67-1),"")</f>
        <v>-1.2377720103813217E-2</v>
      </c>
      <c r="P67" s="129">
        <f>IFERROR(IF(OR(NOT(ISNUMBER('Price History'!P68)),NOT(ISNUMBER('Price History'!P67)),'Price History'!P67=0),"",'Price History'!P68/'Price History'!P67-1),"")</f>
        <v>-2.0195039545419569E-2</v>
      </c>
      <c r="Q67" s="129">
        <f>IFERROR(IF(OR(NOT(ISNUMBER('Price History'!Q68)),NOT(ISNUMBER('Price History'!Q67)),'Price History'!Q67=0),"",'Price History'!Q68/'Price History'!Q67-1),"")</f>
        <v>-1.7616912235746129E-3</v>
      </c>
      <c r="R67" s="129">
        <f>IFERROR(IF(OR(NOT(ISNUMBER('Price History'!R68)),NOT(ISNUMBER('Price History'!R67)),'Price History'!R67=0),"",'Price History'!R68/'Price History'!R67-1),"")</f>
        <v>3.8469758495405237E-3</v>
      </c>
      <c r="S67" s="129">
        <f>IFERROR(IF(OR(NOT(ISNUMBER('Price History'!S68)),NOT(ISNUMBER('Price History'!S67)),'Price History'!S67=0),"",'Price History'!S68/'Price History'!S67-1),"")</f>
        <v>-9.3679225859584214E-3</v>
      </c>
      <c r="T67" s="129">
        <f>IFERROR(IF(OR(NOT(ISNUMBER('Price History'!T68)),NOT(ISNUMBER('Price History'!T67)),'Price History'!T67=0),"",'Price History'!T68/'Price History'!T67-1),"")</f>
        <v>-4.1549691184727622E-2</v>
      </c>
      <c r="U67" s="129">
        <f>IFERROR(IF(OR(NOT(ISNUMBER('Price History'!U68)),NOT(ISNUMBER('Price History'!U67)),'Price History'!U67=0),"",'Price History'!U68/'Price History'!U67-1),"")</f>
        <v>-1.4914243102162494E-2</v>
      </c>
      <c r="V67" s="130">
        <f>IFERROR(IF(OR(NOT(ISNUMBER('Price History'!V68)),NOT(ISNUMBER('Price History'!V67)),'Price History'!V67=0),"",'Price History'!V68/'Price History'!V67-1),"")</f>
        <v>1.1988142163729121E-2</v>
      </c>
      <c r="W67" s="131">
        <f>IFERROR('Price History'!B3+(INDEX('Price History'!B:B,MATCH(9.99E+307,'Returns (Calc)'!$A:$A)+1)-'Price History'!B3)*(ROW()-3)/(MATCH(9.99E+307,'Returns (Calc)'!$A:$A)-3),"")</f>
        <v>410.93556962025315</v>
      </c>
      <c r="X67" s="131">
        <f>IFERROR('Price History'!C3+(INDEX('Price History'!C:C,MATCH(9.99E+307,'Returns (Calc)'!$A:$A)+1)-'Price History'!C3)*(ROW()-3)/(MATCH(9.99E+307,'Returns (Calc)'!$A:$A)-3),"")</f>
        <v>111.46405063291138</v>
      </c>
      <c r="Y67" s="131">
        <f>IFERROR('Price History'!D3+(INDEX('Price History'!D:D,MATCH(9.99E+307,'Returns (Calc)'!$A:$A)+1)-'Price History'!D3)*(ROW()-3)/(MATCH(9.99E+307,'Returns (Calc)'!$A:$A)-3),"")</f>
        <v>1102.6378481012657</v>
      </c>
      <c r="Z67" s="131">
        <f>IFERROR('Price History'!E3+(INDEX('Price History'!E:E,MATCH(9.99E+307,'Returns (Calc)'!$A:$A)+1)-'Price History'!E3)*(ROW()-3)/(MATCH(9.99E+307,'Returns (Calc)'!$A:$A)-3),"")</f>
        <v>192.63898734177215</v>
      </c>
      <c r="AA67" s="131">
        <f>IFERROR('Price History'!F3+(INDEX('Price History'!F:F,MATCH(9.99E+307,'Returns (Calc)'!$A:$A)+1)-'Price History'!F3)*(ROW()-3)/(MATCH(9.99E+307,'Returns (Calc)'!$A:$A)-3),"")</f>
        <v>133.98987341772153</v>
      </c>
      <c r="AB67" s="131">
        <f>IFERROR('Price History'!G3+(INDEX('Price History'!G:G,MATCH(9.99E+307,'Returns (Calc)'!$A:$A)+1)-'Price History'!G3)*(ROW()-3)/(MATCH(9.99E+307,'Returns (Calc)'!$A:$A)-3),"")</f>
        <v>110.18898734177216</v>
      </c>
      <c r="AC67" s="131">
        <f>IFERROR('Price History'!H3+(INDEX('Price History'!H:H,MATCH(9.99E+307,'Returns (Calc)'!$A:$A)+1)-'Price History'!H3)*(ROW()-3)/(MATCH(9.99E+307,'Returns (Calc)'!$A:$A)-3),"")</f>
        <v>476.51455696202538</v>
      </c>
      <c r="AD67" s="131">
        <f>IFERROR('Price History'!I3+(INDEX('Price History'!I:I,MATCH(9.99E+307,'Returns (Calc)'!$A:$A)+1)-'Price History'!I3)*(ROW()-3)/(MATCH(9.99E+307,'Returns (Calc)'!$A:$A)-3),"")</f>
        <v>120.80493670886077</v>
      </c>
      <c r="AE67" s="131">
        <f>IFERROR('Price History'!J3+(INDEX('Price History'!J:J,MATCH(9.99E+307,'Returns (Calc)'!$A:$A)+1)-'Price History'!J3)*(ROW()-3)/(MATCH(9.99E+307,'Returns (Calc)'!$A:$A)-3),"")</f>
        <v>118.75443037974684</v>
      </c>
      <c r="AF67" s="131">
        <f>IFERROR('Price History'!K3+(INDEX('Price History'!K:K,MATCH(9.99E+307,'Returns (Calc)'!$A:$A)+1)-'Price History'!K3)*(ROW()-3)/(MATCH(9.99E+307,'Returns (Calc)'!$A:$A)-3),"")</f>
        <v>85.57607594936708</v>
      </c>
      <c r="AG67" s="131">
        <f>IFERROR('Price History'!L3+(INDEX('Price History'!L:L,MATCH(9.99E+307,'Returns (Calc)'!$A:$A)+1)-'Price History'!L3)*(ROW()-3)/(MATCH(9.99E+307,'Returns (Calc)'!$A:$A)-3),"")</f>
        <v>242.52164556962023</v>
      </c>
      <c r="AH67" s="131">
        <f>IFERROR('Price History'!M3+(INDEX('Price History'!M:M,MATCH(9.99E+307,'Returns (Calc)'!$A:$A)+1)-'Price History'!M3)*(ROW()-3)/(MATCH(9.99E+307,'Returns (Calc)'!$A:$A)-3),"")</f>
        <v>124.76835443037976</v>
      </c>
      <c r="AI67" s="131">
        <f>IFERROR('Price History'!N3+(INDEX('Price History'!N:N,MATCH(9.99E+307,'Returns (Calc)'!$A:$A)+1)-'Price History'!N3)*(ROW()-3)/(MATCH(9.99E+307,'Returns (Calc)'!$A:$A)-3),"")</f>
        <v>412.02101265822785</v>
      </c>
      <c r="AJ67" s="131">
        <f>IFERROR('Price History'!O3+(INDEX('Price History'!O:O,MATCH(9.99E+307,'Returns (Calc)'!$A:$A)+1)-'Price History'!O3)*(ROW()-3)/(MATCH(9.99E+307,'Returns (Calc)'!$A:$A)-3),"")</f>
        <v>93.424430379746838</v>
      </c>
      <c r="AK67" s="131">
        <f>IFERROR('Price History'!Q3+(INDEX('Price History'!Q:Q,MATCH(9.99E+307,'Returns (Calc)'!$A:$A)+1)-'Price History'!Q3)*(ROW()-3)/(MATCH(9.99E+307,'Returns (Calc)'!$A:$A)-3),"")</f>
        <v>28.119493670886076</v>
      </c>
      <c r="AL67" s="131">
        <f>IFERROR('Price History'!R3+(INDEX('Price History'!R:R,MATCH(9.99E+307,'Returns (Calc)'!$A:$A)+1)-'Price History'!R3)*(ROW()-3)/(MATCH(9.99E+307,'Returns (Calc)'!$A:$A)-3),"")</f>
        <v>45.238481012658227</v>
      </c>
      <c r="AM67" s="131">
        <f>IFERROR('Price History'!S3+(INDEX('Price History'!S:S,MATCH(9.99E+307,'Returns (Calc)'!$A:$A)+1)-'Price History'!S3)*(ROW()-3)/(MATCH(9.99E+307,'Returns (Calc)'!$A:$A)-3),"")</f>
        <v>96.354050632911395</v>
      </c>
      <c r="AN67" s="131">
        <f>IFERROR('Price History'!T3+(INDEX('Price History'!T:T,MATCH(9.99E+307,'Returns (Calc)'!$A:$A)+1)-'Price History'!T3)*(ROW()-3)/(MATCH(9.99E+307,'Returns (Calc)'!$A:$A)-3),"")</f>
        <v>36.006582278481012</v>
      </c>
      <c r="AO67" s="132">
        <f>IFERROR('Price History'!V3+(INDEX('Price History'!V:V,MATCH(9.99E+307,'Returns (Calc)'!$A:$A)+1)-'Price History'!V3)*(ROW()-3)/(MATCH(9.99E+307,'Returns (Calc)'!$A:$A)-3),"")</f>
        <v>286.27506329113925</v>
      </c>
      <c r="AP67" s="130">
        <f>IFERROR(IF(OR(NOT(ISNUMBER('Price History'!W68)),NOT(ISNUMBER('Price History'!W67)),'Price History'!W67=0),"",'Price History'!W68/'Price History'!W67-1),"")</f>
        <v>-7.0522979397781294E-3</v>
      </c>
      <c r="AQ67" s="130" t="str">
        <f>IFERROR(IF(OR(NOT(ISNUMBER('Price History'!X68)),NOT(ISNUMBER('Price History'!X67)),'Price History'!X67=0),"",'Price History'!X68/'Price History'!X67-1),"")</f>
        <v/>
      </c>
      <c r="AR67" s="130">
        <f>IFERROR(IF(OR(NOT(ISNUMBER('Price History'!Y68)),NOT(ISNUMBER('Price History'!Y67)),'Price History'!Y67=0),"",'Price History'!Y68/'Price History'!Y67-1),"")</f>
        <v>-8.141112618724633E-3</v>
      </c>
      <c r="AS67" s="130">
        <f>IFERROR(IF(OR(NOT(ISNUMBER('Price History'!Z68)),NOT(ISNUMBER('Price History'!Z67)),'Price History'!Z67=0),"",'Price History'!Z68/'Price History'!Z67-1),"")</f>
        <v>-5.4478513490191505E-2</v>
      </c>
      <c r="AT67" s="130">
        <f>IFERROR(IF(OR(NOT(ISNUMBER('Price History'!AA68)),NOT(ISNUMBER('Price History'!AA67)),'Price History'!AA67=0),"",'Price History'!AA68/'Price History'!AA67-1),"")</f>
        <v>-1.6903819407296461E-2</v>
      </c>
    </row>
    <row r="68" spans="1:46" ht="15" customHeight="1" x14ac:dyDescent="0.2">
      <c r="A68" s="128">
        <f>IF('Price History'!A69="","",'Price History'!A69)</f>
        <v>45646</v>
      </c>
      <c r="B68" s="129">
        <f>IFERROR(IF(OR(NOT(ISNUMBER('Price History'!B69)),NOT(ISNUMBER('Price History'!B68)),'Price History'!B68=0),"",'Price History'!B69/'Price History'!B68-1),"")</f>
        <v>-3.9768945006334655E-2</v>
      </c>
      <c r="C68" s="129">
        <f>IFERROR(IF(OR(NOT(ISNUMBER('Price History'!C69)),NOT(ISNUMBER('Price History'!C68)),'Price History'!C68=0),"",'Price History'!C69/'Price History'!C68-1),"")</f>
        <v>3.9156358458662943E-3</v>
      </c>
      <c r="D68" s="129">
        <f>IFERROR(IF(OR(NOT(ISNUMBER('Price History'!D69)),NOT(ISNUMBER('Price History'!D68)),'Price History'!D68=0),"",'Price History'!D69/'Price History'!D68-1),"")</f>
        <v>-1.7956464044721843E-2</v>
      </c>
      <c r="E68" s="129">
        <f>IFERROR(IF(OR(NOT(ISNUMBER('Price History'!E69)),NOT(ISNUMBER('Price History'!E68)),'Price History'!E68=0),"",'Price History'!E69/'Price History'!E68-1),"")</f>
        <v>-1.7830474725075818E-2</v>
      </c>
      <c r="F68" s="129">
        <f>IFERROR(IF(OR(NOT(ISNUMBER('Price History'!F69)),NOT(ISNUMBER('Price History'!F68)),'Price History'!F68=0),"",'Price History'!F69/'Price History'!F68-1),"")</f>
        <v>-1.5543478260869659E-2</v>
      </c>
      <c r="G68" s="129">
        <f>IFERROR(IF(OR(NOT(ISNUMBER('Price History'!G69)),NOT(ISNUMBER('Price History'!G68)),'Price History'!G68=0),"",'Price History'!G69/'Price History'!G68-1),"")</f>
        <v>-3.7318055125425742E-2</v>
      </c>
      <c r="H68" s="129">
        <f>IFERROR(IF(OR(NOT(ISNUMBER('Price History'!H69)),NOT(ISNUMBER('Price History'!H68)),'Price History'!H68=0),"",'Price History'!H69/'Price History'!H68-1),"")</f>
        <v>-0.12072178091595565</v>
      </c>
      <c r="I68" s="129">
        <f>IFERROR(IF(OR(NOT(ISNUMBER('Price History'!I69)),NOT(ISNUMBER('Price History'!I68)),'Price History'!I68=0),"",'Price History'!I69/'Price History'!I68-1),"")</f>
        <v>3.360716952949927E-3</v>
      </c>
      <c r="J68" s="129">
        <f>IFERROR(IF(OR(NOT(ISNUMBER('Price History'!J69)),NOT(ISNUMBER('Price History'!J68)),'Price History'!J68=0),"",'Price History'!J69/'Price History'!J68-1),"")</f>
        <v>-6.2241462241462209E-2</v>
      </c>
      <c r="K68" s="129">
        <f>IFERROR(IF(OR(NOT(ISNUMBER('Price History'!K69)),NOT(ISNUMBER('Price History'!K68)),'Price History'!K68=0),"",'Price History'!K69/'Price History'!K68-1),"")</f>
        <v>5.889312475351649E-2</v>
      </c>
      <c r="L68" s="129">
        <f>IFERROR(IF(OR(NOT(ISNUMBER('Price History'!L69)),NOT(ISNUMBER('Price History'!L68)),'Price History'!L68=0),"",'Price History'!L69/'Price History'!L68-1),"")</f>
        <v>-1.8803679422676356E-2</v>
      </c>
      <c r="M68" s="129">
        <f>IFERROR(IF(OR(NOT(ISNUMBER('Price History'!M69)),NOT(ISNUMBER('Price History'!M68)),'Price History'!M68=0),"",'Price History'!M69/'Price History'!M68-1),"")</f>
        <v>-4.5574057843996485E-2</v>
      </c>
      <c r="N68" s="129">
        <f>IFERROR(IF(OR(NOT(ISNUMBER('Price History'!N69)),NOT(ISNUMBER('Price History'!N68)),'Price History'!N68=0),"",'Price History'!N69/'Price History'!N68-1),"")</f>
        <v>-0.14331615379639018</v>
      </c>
      <c r="O68" s="129">
        <f>IFERROR(IF(OR(NOT(ISNUMBER('Price History'!O69)),NOT(ISNUMBER('Price History'!O68)),'Price History'!O68=0),"",'Price History'!O69/'Price History'!O68-1),"")</f>
        <v>-5.387103294926221E-2</v>
      </c>
      <c r="P68" s="129">
        <f>IFERROR(IF(OR(NOT(ISNUMBER('Price History'!P69)),NOT(ISNUMBER('Price History'!P68)),'Price History'!P68=0),"",'Price History'!P69/'Price History'!P68-1),"")</f>
        <v>-3.1583072100313525E-2</v>
      </c>
      <c r="Q68" s="129">
        <f>IFERROR(IF(OR(NOT(ISNUMBER('Price History'!Q69)),NOT(ISNUMBER('Price History'!Q68)),'Price History'!Q68=0),"",'Price History'!Q69/'Price History'!Q68-1),"")</f>
        <v>-1.2193165409914886E-2</v>
      </c>
      <c r="R68" s="129">
        <f>IFERROR(IF(OR(NOT(ISNUMBER('Price History'!R69)),NOT(ISNUMBER('Price History'!R68)),'Price History'!R68=0),"",'Price History'!R69/'Price History'!R68-1),"")</f>
        <v>-1.1070896316797918E-2</v>
      </c>
      <c r="S68" s="129">
        <f>IFERROR(IF(OR(NOT(ISNUMBER('Price History'!S69)),NOT(ISNUMBER('Price History'!S68)),'Price History'!S68=0),"",'Price History'!S69/'Price History'!S68-1),"")</f>
        <v>-2.2446222591707476E-2</v>
      </c>
      <c r="T68" s="129">
        <f>IFERROR(IF(OR(NOT(ISNUMBER('Price History'!T69)),NOT(ISNUMBER('Price History'!T68)),'Price History'!T68=0),"",'Price History'!T69/'Price History'!T68-1),"")</f>
        <v>-3.0462800234329235E-2</v>
      </c>
      <c r="U68" s="129">
        <f>IFERROR(IF(OR(NOT(ISNUMBER('Price History'!U69)),NOT(ISNUMBER('Price History'!U68)),'Price History'!U68=0),"",'Price History'!U69/'Price History'!U68-1),"")</f>
        <v>-2.9901589704769194E-2</v>
      </c>
      <c r="V68" s="130">
        <f>IFERROR(IF(OR(NOT(ISNUMBER('Price History'!V69)),NOT(ISNUMBER('Price History'!V68)),'Price History'!V68=0),"",'Price History'!V69/'Price History'!V68-1),"")</f>
        <v>9.4640270400772053E-3</v>
      </c>
      <c r="W68" s="131">
        <f>IFERROR('Price History'!B3+(INDEX('Price History'!B:B,MATCH(9.99E+307,'Returns (Calc)'!$A:$A)+1)-'Price History'!B3)*(ROW()-3)/(MATCH(9.99E+307,'Returns (Calc)'!$A:$A)-3),"")</f>
        <v>409.09253164556958</v>
      </c>
      <c r="X68" s="131">
        <f>IFERROR('Price History'!C3+(INDEX('Price History'!C:C,MATCH(9.99E+307,'Returns (Calc)'!$A:$A)+1)-'Price History'!C3)*(ROW()-3)/(MATCH(9.99E+307,'Returns (Calc)'!$A:$A)-3),"")</f>
        <v>112.48411392405063</v>
      </c>
      <c r="Y68" s="131">
        <f>IFERROR('Price History'!D3+(INDEX('Price History'!D:D,MATCH(9.99E+307,'Returns (Calc)'!$A:$A)+1)-'Price History'!D3)*(ROW()-3)/(MATCH(9.99E+307,'Returns (Calc)'!$A:$A)-3),"")</f>
        <v>1110.7726582278481</v>
      </c>
      <c r="Z68" s="131">
        <f>IFERROR('Price History'!E3+(INDEX('Price History'!E:E,MATCH(9.99E+307,'Returns (Calc)'!$A:$A)+1)-'Price History'!E3)*(ROW()-3)/(MATCH(9.99E+307,'Returns (Calc)'!$A:$A)-3),"")</f>
        <v>194.36772151898734</v>
      </c>
      <c r="AA68" s="131">
        <f>IFERROR('Price History'!F3+(INDEX('Price History'!F:F,MATCH(9.99E+307,'Returns (Calc)'!$A:$A)+1)-'Price History'!F3)*(ROW()-3)/(MATCH(9.99E+307,'Returns (Calc)'!$A:$A)-3),"")</f>
        <v>135.43721518987343</v>
      </c>
      <c r="AB68" s="131">
        <f>IFERROR('Price History'!G3+(INDEX('Price History'!G:G,MATCH(9.99E+307,'Returns (Calc)'!$A:$A)+1)-'Price History'!G3)*(ROW()-3)/(MATCH(9.99E+307,'Returns (Calc)'!$A:$A)-3),"")</f>
        <v>111.21772151898733</v>
      </c>
      <c r="AC68" s="131">
        <f>IFERROR('Price History'!H3+(INDEX('Price History'!H:H,MATCH(9.99E+307,'Returns (Calc)'!$A:$A)+1)-'Price History'!H3)*(ROW()-3)/(MATCH(9.99E+307,'Returns (Calc)'!$A:$A)-3),"")</f>
        <v>482.88025316455702</v>
      </c>
      <c r="AD68" s="131">
        <f>IFERROR('Price History'!I3+(INDEX('Price History'!I:I,MATCH(9.99E+307,'Returns (Calc)'!$A:$A)+1)-'Price History'!I3)*(ROW()-3)/(MATCH(9.99E+307,'Returns (Calc)'!$A:$A)-3),"")</f>
        <v>122.00860759493671</v>
      </c>
      <c r="AE68" s="131">
        <f>IFERROR('Price History'!J3+(INDEX('Price History'!J:J,MATCH(9.99E+307,'Returns (Calc)'!$A:$A)+1)-'Price History'!J3)*(ROW()-3)/(MATCH(9.99E+307,'Returns (Calc)'!$A:$A)-3),"")</f>
        <v>118.86246835443038</v>
      </c>
      <c r="AF68" s="131">
        <f>IFERROR('Price History'!K3+(INDEX('Price History'!K:K,MATCH(9.99E+307,'Returns (Calc)'!$A:$A)+1)-'Price History'!K3)*(ROW()-3)/(MATCH(9.99E+307,'Returns (Calc)'!$A:$A)-3),"")</f>
        <v>86.673670886075939</v>
      </c>
      <c r="AG68" s="131">
        <f>IFERROR('Price History'!L3+(INDEX('Price History'!L:L,MATCH(9.99E+307,'Returns (Calc)'!$A:$A)+1)-'Price History'!L3)*(ROW()-3)/(MATCH(9.99E+307,'Returns (Calc)'!$A:$A)-3),"")</f>
        <v>244.97120253164556</v>
      </c>
      <c r="AH68" s="131">
        <f>IFERROR('Price History'!M3+(INDEX('Price History'!M:M,MATCH(9.99E+307,'Returns (Calc)'!$A:$A)+1)-'Price History'!M3)*(ROW()-3)/(MATCH(9.99E+307,'Returns (Calc)'!$A:$A)-3),"")</f>
        <v>126.12379746835444</v>
      </c>
      <c r="AI68" s="131">
        <f>IFERROR('Price History'!N3+(INDEX('Price History'!N:N,MATCH(9.99E+307,'Returns (Calc)'!$A:$A)+1)-'Price History'!N3)*(ROW()-3)/(MATCH(9.99E+307,'Returns (Calc)'!$A:$A)-3),"")</f>
        <v>413.00727848101263</v>
      </c>
      <c r="AJ68" s="131">
        <f>IFERROR('Price History'!O3+(INDEX('Price History'!O:O,MATCH(9.99E+307,'Returns (Calc)'!$A:$A)+1)-'Price History'!O3)*(ROW()-3)/(MATCH(9.99E+307,'Returns (Calc)'!$A:$A)-3),"")</f>
        <v>93.707468354430375</v>
      </c>
      <c r="AK68" s="131">
        <f>IFERROR('Price History'!Q3+(INDEX('Price History'!Q:Q,MATCH(9.99E+307,'Returns (Calc)'!$A:$A)+1)-'Price History'!Q3)*(ROW()-3)/(MATCH(9.99E+307,'Returns (Calc)'!$A:$A)-3),"")</f>
        <v>28.558860759493673</v>
      </c>
      <c r="AL68" s="131">
        <f>IFERROR('Price History'!R3+(INDEX('Price History'!R:R,MATCH(9.99E+307,'Returns (Calc)'!$A:$A)+1)-'Price History'!R3)*(ROW()-3)/(MATCH(9.99E+307,'Returns (Calc)'!$A:$A)-3),"")</f>
        <v>45.406582278481011</v>
      </c>
      <c r="AM68" s="131">
        <f>IFERROR('Price History'!S3+(INDEX('Price History'!S:S,MATCH(9.99E+307,'Returns (Calc)'!$A:$A)+1)-'Price History'!S3)*(ROW()-3)/(MATCH(9.99E+307,'Returns (Calc)'!$A:$A)-3),"")</f>
        <v>96.959113924050627</v>
      </c>
      <c r="AN68" s="131">
        <f>IFERROR('Price History'!T3+(INDEX('Price History'!T:T,MATCH(9.99E+307,'Returns (Calc)'!$A:$A)+1)-'Price History'!T3)*(ROW()-3)/(MATCH(9.99E+307,'Returns (Calc)'!$A:$A)-3),"")</f>
        <v>36.17481012658228</v>
      </c>
      <c r="AO68" s="132">
        <f>IFERROR('Price History'!V3+(INDEX('Price History'!V:V,MATCH(9.99E+307,'Returns (Calc)'!$A:$A)+1)-'Price History'!V3)*(ROW()-3)/(MATCH(9.99E+307,'Returns (Calc)'!$A:$A)-3),"")</f>
        <v>287.06639240506331</v>
      </c>
      <c r="AP68" s="130">
        <f>IFERROR(IF(OR(NOT(ISNUMBER('Price History'!W69)),NOT(ISNUMBER('Price History'!W68)),'Price History'!W68=0),"",'Price History'!W69/'Price History'!W68-1),"")</f>
        <v>-2.8569148511691012E-2</v>
      </c>
      <c r="AQ68" s="130" t="str">
        <f>IFERROR(IF(OR(NOT(ISNUMBER('Price History'!X69)),NOT(ISNUMBER('Price History'!X68)),'Price History'!X68=0),"",'Price History'!X69/'Price History'!X68-1),"")</f>
        <v/>
      </c>
      <c r="AR68" s="130">
        <f>IFERROR(IF(OR(NOT(ISNUMBER('Price History'!Y69)),NOT(ISNUMBER('Price History'!Y68)),'Price History'!Y68=0),"",'Price History'!Y69/'Price History'!Y68-1),"")</f>
        <v>-2.0519835841313339E-2</v>
      </c>
      <c r="AS68" s="130">
        <f>IFERROR(IF(OR(NOT(ISNUMBER('Price History'!Z69)),NOT(ISNUMBER('Price History'!Z68)),'Price History'!Z68=0),"",'Price History'!Z69/'Price History'!Z68-1),"")</f>
        <v>1.4176198588464306E-2</v>
      </c>
      <c r="AT68" s="130">
        <f>IFERROR(IF(OR(NOT(ISNUMBER('Price History'!AA69)),NOT(ISNUMBER('Price History'!AA68)),'Price History'!AA68=0),"",'Price History'!AA69/'Price History'!AA68-1),"")</f>
        <v>-1.0773751224289807E-2</v>
      </c>
    </row>
    <row r="69" spans="1:46" ht="15" customHeight="1" x14ac:dyDescent="0.2">
      <c r="A69" s="128">
        <f>IF('Price History'!A70="","",'Price History'!A70)</f>
        <v>45653</v>
      </c>
      <c r="B69" s="129">
        <f>IFERROR(IF(OR(NOT(ISNUMBER('Price History'!B70)),NOT(ISNUMBER('Price History'!B69)),'Price History'!B69=0),"",'Price History'!B70/'Price History'!B69-1),"")</f>
        <v>-1.5430373236129391E-3</v>
      </c>
      <c r="C69" s="129">
        <f>IFERROR(IF(OR(NOT(ISNUMBER('Price History'!C70)),NOT(ISNUMBER('Price History'!C69)),'Price History'!C69=0),"",'Price History'!C70/'Price History'!C69-1),"")</f>
        <v>1.9501817214786499E-3</v>
      </c>
      <c r="D69" s="129">
        <f>IFERROR(IF(OR(NOT(ISNUMBER('Price History'!D70)),NOT(ISNUMBER('Price History'!D69)),'Price History'!D69=0),"",'Price History'!D70/'Price History'!D69-1),"")</f>
        <v>1.12123738607941E-2</v>
      </c>
      <c r="E69" s="129">
        <f>IFERROR(IF(OR(NOT(ISNUMBER('Price History'!E70)),NOT(ISNUMBER('Price History'!E69)),'Price History'!E69=0),"",'Price History'!E70/'Price History'!E69-1),"")</f>
        <v>9.7866654379578977E-2</v>
      </c>
      <c r="F69" s="129">
        <f>IFERROR(IF(OR(NOT(ISNUMBER('Price History'!F70)),NOT(ISNUMBER('Price History'!F69)),'Price History'!F69=0),"",'Price History'!F70/'Price History'!F69-1),"")</f>
        <v>-2.0094954179087909E-2</v>
      </c>
      <c r="G69" s="129">
        <f>IFERROR(IF(OR(NOT(ISNUMBER('Price History'!G70)),NOT(ISNUMBER('Price History'!G69)),'Price History'!G69=0),"",'Price History'!G70/'Price History'!G69-1),"")</f>
        <v>2.4609940485764925E-2</v>
      </c>
      <c r="H69" s="129">
        <f>IFERROR(IF(OR(NOT(ISNUMBER('Price History'!H70)),NOT(ISNUMBER('Price History'!H69)),'Price History'!H69=0),"",'Price History'!H70/'Price History'!H69-1),"")</f>
        <v>-1.6506803479812482E-2</v>
      </c>
      <c r="I69" s="129">
        <f>IFERROR(IF(OR(NOT(ISNUMBER('Price History'!I70)),NOT(ISNUMBER('Price History'!I69)),'Price History'!I69=0),"",'Price History'!I70/'Price History'!I69-1),"")</f>
        <v>1.7119464086341685E-2</v>
      </c>
      <c r="J69" s="129">
        <f>IFERROR(IF(OR(NOT(ISNUMBER('Price History'!J70)),NOT(ISNUMBER('Price History'!J69)),'Price History'!J69=0),"",'Price History'!J70/'Price History'!J69-1),"")</f>
        <v>1.8567911366434098E-2</v>
      </c>
      <c r="K69" s="129">
        <f>IFERROR(IF(OR(NOT(ISNUMBER('Price History'!K70)),NOT(ISNUMBER('Price History'!K69)),'Price History'!K69=0),"",'Price History'!K70/'Price History'!K69-1),"")</f>
        <v>-1.8249534450651805E-2</v>
      </c>
      <c r="L69" s="129">
        <f>IFERROR(IF(OR(NOT(ISNUMBER('Price History'!L70)),NOT(ISNUMBER('Price History'!L69)),'Price History'!L69=0),"",'Price History'!L70/'Price History'!L69-1),"")</f>
        <v>2.2427098979644677E-2</v>
      </c>
      <c r="M69" s="129">
        <f>IFERROR(IF(OR(NOT(ISNUMBER('Price History'!M70)),NOT(ISNUMBER('Price History'!M69)),'Price History'!M69=0),"",'Price History'!M70/'Price History'!M69-1),"")</f>
        <v>-4.1071875782619616E-2</v>
      </c>
      <c r="N69" s="129">
        <f>IFERROR(IF(OR(NOT(ISNUMBER('Price History'!N70)),NOT(ISNUMBER('Price History'!N69)),'Price History'!N69=0),"",'Price History'!N70/'Price History'!N69-1),"")</f>
        <v>2.8922395348251806E-2</v>
      </c>
      <c r="O69" s="129">
        <f>IFERROR(IF(OR(NOT(ISNUMBER('Price History'!O70)),NOT(ISNUMBER('Price History'!O69)),'Price History'!O69=0),"",'Price History'!O70/'Price History'!O69-1),"")</f>
        <v>3.9525691699604515E-3</v>
      </c>
      <c r="P69" s="129">
        <f>IFERROR(IF(OR(NOT(ISNUMBER('Price History'!P70)),NOT(ISNUMBER('Price History'!P69)),'Price History'!P69=0),"",'Price History'!P70/'Price History'!P69-1),"")</f>
        <v>4.5318442987780649E-3</v>
      </c>
      <c r="Q69" s="129">
        <f>IFERROR(IF(OR(NOT(ISNUMBER('Price History'!Q70)),NOT(ISNUMBER('Price History'!Q69)),'Price History'!Q69=0),"",'Price History'!Q70/'Price History'!Q69-1),"")</f>
        <v>6.4966704563911293E-3</v>
      </c>
      <c r="R69" s="129">
        <f>IFERROR(IF(OR(NOT(ISNUMBER('Price History'!R70)),NOT(ISNUMBER('Price History'!R69)),'Price History'!R69=0),"",'Price History'!R70/'Price History'!R69-1),"")</f>
        <v>9.2572658772873684E-3</v>
      </c>
      <c r="S69" s="129">
        <f>IFERROR(IF(OR(NOT(ISNUMBER('Price History'!S70)),NOT(ISNUMBER('Price History'!S69)),'Price History'!S69=0),"",'Price History'!S70/'Price History'!S69-1),"")</f>
        <v>1.265015414053372E-2</v>
      </c>
      <c r="T69" s="129">
        <f>IFERROR(IF(OR(NOT(ISNUMBER('Price History'!T70)),NOT(ISNUMBER('Price History'!T69)),'Price History'!T69=0),"",'Price History'!T70/'Price History'!T69-1),"")</f>
        <v>9.3655589123866623E-3</v>
      </c>
      <c r="U69" s="129">
        <f>IFERROR(IF(OR(NOT(ISNUMBER('Price History'!U70)),NOT(ISNUMBER('Price History'!U69)),'Price History'!U69=0),"",'Price History'!U70/'Price History'!U69-1),"")</f>
        <v>6.6328521264145124E-3</v>
      </c>
      <c r="V69" s="130">
        <f>IFERROR(IF(OR(NOT(ISNUMBER('Price History'!V70)),NOT(ISNUMBER('Price History'!V69)),'Price History'!V69=0),"",'Price History'!V70/'Price History'!V69-1),"")</f>
        <v>2.9656557925954452E-3</v>
      </c>
      <c r="W69" s="131">
        <f>IFERROR('Price History'!B3+(INDEX('Price History'!B:B,MATCH(9.99E+307,'Returns (Calc)'!$A:$A)+1)-'Price History'!B3)*(ROW()-3)/(MATCH(9.99E+307,'Returns (Calc)'!$A:$A)-3),"")</f>
        <v>407.24949367088607</v>
      </c>
      <c r="X69" s="131">
        <f>IFERROR('Price History'!C3+(INDEX('Price History'!C:C,MATCH(9.99E+307,'Returns (Calc)'!$A:$A)+1)-'Price History'!C3)*(ROW()-3)/(MATCH(9.99E+307,'Returns (Calc)'!$A:$A)-3),"")</f>
        <v>113.50417721518986</v>
      </c>
      <c r="Y69" s="131">
        <f>IFERROR('Price History'!D3+(INDEX('Price History'!D:D,MATCH(9.99E+307,'Returns (Calc)'!$A:$A)+1)-'Price History'!D3)*(ROW()-3)/(MATCH(9.99E+307,'Returns (Calc)'!$A:$A)-3),"")</f>
        <v>1118.9074683544304</v>
      </c>
      <c r="Z69" s="131">
        <f>IFERROR('Price History'!E3+(INDEX('Price History'!E:E,MATCH(9.99E+307,'Returns (Calc)'!$A:$A)+1)-'Price History'!E3)*(ROW()-3)/(MATCH(9.99E+307,'Returns (Calc)'!$A:$A)-3),"")</f>
        <v>196.09645569620253</v>
      </c>
      <c r="AA69" s="131">
        <f>IFERROR('Price History'!F3+(INDEX('Price History'!F:F,MATCH(9.99E+307,'Returns (Calc)'!$A:$A)+1)-'Price History'!F3)*(ROW()-3)/(MATCH(9.99E+307,'Returns (Calc)'!$A:$A)-3),"")</f>
        <v>136.88455696202533</v>
      </c>
      <c r="AB69" s="131">
        <f>IFERROR('Price History'!G3+(INDEX('Price History'!G:G,MATCH(9.99E+307,'Returns (Calc)'!$A:$A)+1)-'Price History'!G3)*(ROW()-3)/(MATCH(9.99E+307,'Returns (Calc)'!$A:$A)-3),"")</f>
        <v>112.24645569620253</v>
      </c>
      <c r="AC69" s="131">
        <f>IFERROR('Price History'!H3+(INDEX('Price History'!H:H,MATCH(9.99E+307,'Returns (Calc)'!$A:$A)+1)-'Price History'!H3)*(ROW()-3)/(MATCH(9.99E+307,'Returns (Calc)'!$A:$A)-3),"")</f>
        <v>489.24594936708871</v>
      </c>
      <c r="AD69" s="131">
        <f>IFERROR('Price History'!I3+(INDEX('Price History'!I:I,MATCH(9.99E+307,'Returns (Calc)'!$A:$A)+1)-'Price History'!I3)*(ROW()-3)/(MATCH(9.99E+307,'Returns (Calc)'!$A:$A)-3),"")</f>
        <v>123.21227848101265</v>
      </c>
      <c r="AE69" s="131">
        <f>IFERROR('Price History'!J3+(INDEX('Price History'!J:J,MATCH(9.99E+307,'Returns (Calc)'!$A:$A)+1)-'Price History'!J3)*(ROW()-3)/(MATCH(9.99E+307,'Returns (Calc)'!$A:$A)-3),"")</f>
        <v>118.97050632911393</v>
      </c>
      <c r="AF69" s="131">
        <f>IFERROR('Price History'!K3+(INDEX('Price History'!K:K,MATCH(9.99E+307,'Returns (Calc)'!$A:$A)+1)-'Price History'!K3)*(ROW()-3)/(MATCH(9.99E+307,'Returns (Calc)'!$A:$A)-3),"")</f>
        <v>87.771265822784798</v>
      </c>
      <c r="AG69" s="131">
        <f>IFERROR('Price History'!L3+(INDEX('Price History'!L:L,MATCH(9.99E+307,'Returns (Calc)'!$A:$A)+1)-'Price History'!L3)*(ROW()-3)/(MATCH(9.99E+307,'Returns (Calc)'!$A:$A)-3),"")</f>
        <v>247.42075949367089</v>
      </c>
      <c r="AH69" s="131">
        <f>IFERROR('Price History'!M3+(INDEX('Price History'!M:M,MATCH(9.99E+307,'Returns (Calc)'!$A:$A)+1)-'Price History'!M3)*(ROW()-3)/(MATCH(9.99E+307,'Returns (Calc)'!$A:$A)-3),"")</f>
        <v>127.47924050632912</v>
      </c>
      <c r="AI69" s="131">
        <f>IFERROR('Price History'!N3+(INDEX('Price History'!N:N,MATCH(9.99E+307,'Returns (Calc)'!$A:$A)+1)-'Price History'!N3)*(ROW()-3)/(MATCH(9.99E+307,'Returns (Calc)'!$A:$A)-3),"")</f>
        <v>413.99354430379748</v>
      </c>
      <c r="AJ69" s="131">
        <f>IFERROR('Price History'!O3+(INDEX('Price History'!O:O,MATCH(9.99E+307,'Returns (Calc)'!$A:$A)+1)-'Price History'!O3)*(ROW()-3)/(MATCH(9.99E+307,'Returns (Calc)'!$A:$A)-3),"")</f>
        <v>93.990506329113927</v>
      </c>
      <c r="AK69" s="131">
        <f>IFERROR('Price History'!Q3+(INDEX('Price History'!Q:Q,MATCH(9.99E+307,'Returns (Calc)'!$A:$A)+1)-'Price History'!Q3)*(ROW()-3)/(MATCH(9.99E+307,'Returns (Calc)'!$A:$A)-3),"")</f>
        <v>28.998227848101269</v>
      </c>
      <c r="AL69" s="131">
        <f>IFERROR('Price History'!R3+(INDEX('Price History'!R:R,MATCH(9.99E+307,'Returns (Calc)'!$A:$A)+1)-'Price History'!R3)*(ROW()-3)/(MATCH(9.99E+307,'Returns (Calc)'!$A:$A)-3),"")</f>
        <v>45.574683544303795</v>
      </c>
      <c r="AM69" s="131">
        <f>IFERROR('Price History'!S3+(INDEX('Price History'!S:S,MATCH(9.99E+307,'Returns (Calc)'!$A:$A)+1)-'Price History'!S3)*(ROW()-3)/(MATCH(9.99E+307,'Returns (Calc)'!$A:$A)-3),"")</f>
        <v>97.564177215189872</v>
      </c>
      <c r="AN69" s="131">
        <f>IFERROR('Price History'!T3+(INDEX('Price History'!T:T,MATCH(9.99E+307,'Returns (Calc)'!$A:$A)+1)-'Price History'!T3)*(ROW()-3)/(MATCH(9.99E+307,'Returns (Calc)'!$A:$A)-3),"")</f>
        <v>36.34303797468354</v>
      </c>
      <c r="AO69" s="132">
        <f>IFERROR('Price History'!V3+(INDEX('Price History'!V:V,MATCH(9.99E+307,'Returns (Calc)'!$A:$A)+1)-'Price History'!V3)*(ROW()-3)/(MATCH(9.99E+307,'Returns (Calc)'!$A:$A)-3),"")</f>
        <v>287.85772151898732</v>
      </c>
      <c r="AP69" s="130">
        <f>IFERROR(IF(OR(NOT(ISNUMBER('Price History'!W70)),NOT(ISNUMBER('Price History'!W69)),'Price History'!W69=0),"",'Price History'!W70/'Price History'!W69-1),"")</f>
        <v>1.1911607656288625E-2</v>
      </c>
      <c r="AQ69" s="130" t="str">
        <f>IFERROR(IF(OR(NOT(ISNUMBER('Price History'!X70)),NOT(ISNUMBER('Price History'!X69)),'Price History'!X69=0),"",'Price History'!X70/'Price History'!X69-1),"")</f>
        <v/>
      </c>
      <c r="AR69" s="130">
        <f>IFERROR(IF(OR(NOT(ISNUMBER('Price History'!Y70)),NOT(ISNUMBER('Price History'!Y69)),'Price History'!Y69=0),"",'Price History'!Y70/'Price History'!Y69-1),"")</f>
        <v>4.3894652833200709E-3</v>
      </c>
      <c r="AS69" s="130">
        <f>IFERROR(IF(OR(NOT(ISNUMBER('Price History'!Z70)),NOT(ISNUMBER('Price History'!Z69)),'Price History'!Z69=0),"",'Price History'!Z70/'Price History'!Z69-1),"")</f>
        <v>1.1818345431639621E-2</v>
      </c>
      <c r="AT69" s="130">
        <f>IFERROR(IF(OR(NOT(ISNUMBER('Price History'!AA70)),NOT(ISNUMBER('Price History'!AA69)),'Price History'!AA69=0),"",'Price History'!AA70/'Price History'!AA69-1),"")</f>
        <v>-1.6501650165017256E-3</v>
      </c>
    </row>
    <row r="70" spans="1:46" ht="15" customHeight="1" x14ac:dyDescent="0.2">
      <c r="A70" s="128">
        <f>IF('Price History'!A71="","",'Price History'!A71)</f>
        <v>45660</v>
      </c>
      <c r="B70" s="129">
        <f>IFERROR(IF(OR(NOT(ISNUMBER('Price History'!B71)),NOT(ISNUMBER('Price History'!B70)),'Price History'!B70=0),"",'Price History'!B71/'Price History'!B70-1),"")</f>
        <v>-3.5634294929224208E-2</v>
      </c>
      <c r="C70" s="129">
        <f>IFERROR(IF(OR(NOT(ISNUMBER('Price History'!C71)),NOT(ISNUMBER('Price History'!C70)),'Price History'!C70=0),"",'Price History'!C71/'Price History'!C70-1),"")</f>
        <v>1.9198442891267931E-2</v>
      </c>
      <c r="D70" s="129">
        <f>IFERROR(IF(OR(NOT(ISNUMBER('Price History'!D71)),NOT(ISNUMBER('Price History'!D70)),'Price History'!D70=0),"",'Price History'!D71/'Price History'!D70-1),"")</f>
        <v>1.0803741506268949E-3</v>
      </c>
      <c r="E70" s="129">
        <f>IFERROR(IF(OR(NOT(ISNUMBER('Price History'!E71)),NOT(ISNUMBER('Price History'!E70)),'Price History'!E70=0),"",'Price History'!E71/'Price History'!E70-1),"")</f>
        <v>-3.8066059512318007E-2</v>
      </c>
      <c r="F70" s="129">
        <f>IFERROR(IF(OR(NOT(ISNUMBER('Price History'!F71)),NOT(ISNUMBER('Price History'!F70)),'Price History'!F70=0),"",'Price History'!F71/'Price History'!F70-1),"")</f>
        <v>1.1267605633802802E-2</v>
      </c>
      <c r="G70" s="129">
        <f>IFERROR(IF(OR(NOT(ISNUMBER('Price History'!G71)),NOT(ISNUMBER('Price History'!G70)),'Price History'!G70=0),"",'Price History'!G71/'Price History'!G70-1),"")</f>
        <v>1.883830455259039E-2</v>
      </c>
      <c r="H70" s="129">
        <f>IFERROR(IF(OR(NOT(ISNUMBER('Price History'!H71)),NOT(ISNUMBER('Price History'!H70)),'Price History'!H70=0),"",'Price History'!H71/'Price History'!H70-1),"")</f>
        <v>1.5309594012247629E-2</v>
      </c>
      <c r="I70" s="129">
        <f>IFERROR(IF(OR(NOT(ISNUMBER('Price History'!I71)),NOT(ISNUMBER('Price History'!I70)),'Price History'!I70=0),"",'Price History'!I71/'Price History'!I70-1),"")</f>
        <v>5.4445664105378766E-2</v>
      </c>
      <c r="J70" s="129">
        <f>IFERROR(IF(OR(NOT(ISNUMBER('Price History'!J71)),NOT(ISNUMBER('Price History'!J70)),'Price History'!J70=0),"",'Price History'!J71/'Price History'!J70-1),"")</f>
        <v>3.7264578507401058E-3</v>
      </c>
      <c r="K70" s="129">
        <f>IFERROR(IF(OR(NOT(ISNUMBER('Price History'!K71)),NOT(ISNUMBER('Price History'!K70)),'Price History'!K70=0),"",'Price History'!K71/'Price History'!K70-1),"")</f>
        <v>1.0242792109256493E-2</v>
      </c>
      <c r="L70" s="129">
        <f>IFERROR(IF(OR(NOT(ISNUMBER('Price History'!L71)),NOT(ISNUMBER('Price History'!L70)),'Price History'!L70=0),"",'Price History'!L71/'Price History'!L70-1),"")</f>
        <v>3.4599797365754803E-2</v>
      </c>
      <c r="M70" s="129">
        <f>IFERROR(IF(OR(NOT(ISNUMBER('Price History'!M71)),NOT(ISNUMBER('Price History'!M70)),'Price History'!M70=0),"",'Price History'!M71/'Price History'!M70-1),"")</f>
        <v>9.1668843039958148E-2</v>
      </c>
      <c r="N70" s="129">
        <f>IFERROR(IF(OR(NOT(ISNUMBER('Price History'!N71)),NOT(ISNUMBER('Price History'!N70)),'Price History'!N70=0),"",'Price History'!N71/'Price History'!N70-1),"")</f>
        <v>-4.0365984930031962E-3</v>
      </c>
      <c r="O70" s="129">
        <f>IFERROR(IF(OR(NOT(ISNUMBER('Price History'!O71)),NOT(ISNUMBER('Price History'!O70)),'Price History'!O70=0),"",'Price History'!O71/'Price History'!O70-1),"")</f>
        <v>7.8740157480314821E-3</v>
      </c>
      <c r="P70" s="129">
        <f>IFERROR(IF(OR(NOT(ISNUMBER('Price History'!P71)),NOT(ISNUMBER('Price History'!P70)),'Price History'!P70=0),"",'Price History'!P71/'Price History'!P70-1),"")</f>
        <v>-5.639249174251848E-4</v>
      </c>
      <c r="Q70" s="129">
        <f>IFERROR(IF(OR(NOT(ISNUMBER('Price History'!Q71)),NOT(ISNUMBER('Price History'!Q70)),'Price History'!Q70=0),"",'Price History'!Q71/'Price History'!Q70-1),"")</f>
        <v>-4.0342101016620502E-3</v>
      </c>
      <c r="R70" s="129">
        <f>IFERROR(IF(OR(NOT(ISNUMBER('Price History'!R71)),NOT(ISNUMBER('Price History'!R70)),'Price History'!R70=0),"",'Price History'!R71/'Price History'!R70-1),"")</f>
        <v>-3.4129692832765013E-3</v>
      </c>
      <c r="S70" s="129">
        <f>IFERROR(IF(OR(NOT(ISNUMBER('Price History'!S71)),NOT(ISNUMBER('Price History'!S70)),'Price History'!S70=0),"",'Price History'!S71/'Price History'!S70-1),"")</f>
        <v>3.0442998110433717E-3</v>
      </c>
      <c r="T70" s="129">
        <f>IFERROR(IF(OR(NOT(ISNUMBER('Price History'!T71)),NOT(ISNUMBER('Price History'!T70)),'Price History'!T70=0),"",'Price History'!T71/'Price History'!T70-1),"")</f>
        <v>7.4827895839568725E-3</v>
      </c>
      <c r="U70" s="129">
        <f>IFERROR(IF(OR(NOT(ISNUMBER('Price History'!U71)),NOT(ISNUMBER('Price History'!U70)),'Price History'!U70=0),"",'Price History'!U71/'Price History'!U70-1),"")</f>
        <v>-1.1627906976744429E-3</v>
      </c>
      <c r="V70" s="130">
        <f>IFERROR(IF(OR(NOT(ISNUMBER('Price History'!V71)),NOT(ISNUMBER('Price History'!V70)),'Price History'!V70=0),"",'Price History'!V71/'Price History'!V70-1),"")</f>
        <v>-1.1763957776929845E-2</v>
      </c>
      <c r="W70" s="131">
        <f>IFERROR('Price History'!B3+(INDEX('Price History'!B:B,MATCH(9.99E+307,'Returns (Calc)'!$A:$A)+1)-'Price History'!B3)*(ROW()-3)/(MATCH(9.99E+307,'Returns (Calc)'!$A:$A)-3),"")</f>
        <v>405.40645569620256</v>
      </c>
      <c r="X70" s="131">
        <f>IFERROR('Price History'!C3+(INDEX('Price History'!C:C,MATCH(9.99E+307,'Returns (Calc)'!$A:$A)+1)-'Price History'!C3)*(ROW()-3)/(MATCH(9.99E+307,'Returns (Calc)'!$A:$A)-3),"")</f>
        <v>114.52424050632911</v>
      </c>
      <c r="Y70" s="131">
        <f>IFERROR('Price History'!D3+(INDEX('Price History'!D:D,MATCH(9.99E+307,'Returns (Calc)'!$A:$A)+1)-'Price History'!D3)*(ROW()-3)/(MATCH(9.99E+307,'Returns (Calc)'!$A:$A)-3),"")</f>
        <v>1127.0422784810125</v>
      </c>
      <c r="Z70" s="131">
        <f>IFERROR('Price History'!E3+(INDEX('Price History'!E:E,MATCH(9.99E+307,'Returns (Calc)'!$A:$A)+1)-'Price History'!E3)*(ROW()-3)/(MATCH(9.99E+307,'Returns (Calc)'!$A:$A)-3),"")</f>
        <v>197.82518987341768</v>
      </c>
      <c r="AA70" s="131">
        <f>IFERROR('Price History'!F3+(INDEX('Price History'!F:F,MATCH(9.99E+307,'Returns (Calc)'!$A:$A)+1)-'Price History'!F3)*(ROW()-3)/(MATCH(9.99E+307,'Returns (Calc)'!$A:$A)-3),"")</f>
        <v>138.33189873417723</v>
      </c>
      <c r="AB70" s="131">
        <f>IFERROR('Price History'!G3+(INDEX('Price History'!G:G,MATCH(9.99E+307,'Returns (Calc)'!$A:$A)+1)-'Price History'!G3)*(ROW()-3)/(MATCH(9.99E+307,'Returns (Calc)'!$A:$A)-3),"")</f>
        <v>113.27518987341773</v>
      </c>
      <c r="AC70" s="131">
        <f>IFERROR('Price History'!H3+(INDEX('Price History'!H:H,MATCH(9.99E+307,'Returns (Calc)'!$A:$A)+1)-'Price History'!H3)*(ROW()-3)/(MATCH(9.99E+307,'Returns (Calc)'!$A:$A)-3),"")</f>
        <v>495.61164556962035</v>
      </c>
      <c r="AD70" s="131">
        <f>IFERROR('Price History'!I3+(INDEX('Price History'!I:I,MATCH(9.99E+307,'Returns (Calc)'!$A:$A)+1)-'Price History'!I3)*(ROW()-3)/(MATCH(9.99E+307,'Returns (Calc)'!$A:$A)-3),"")</f>
        <v>124.41594936708859</v>
      </c>
      <c r="AE70" s="131">
        <f>IFERROR('Price History'!J3+(INDEX('Price History'!J:J,MATCH(9.99E+307,'Returns (Calc)'!$A:$A)+1)-'Price History'!J3)*(ROW()-3)/(MATCH(9.99E+307,'Returns (Calc)'!$A:$A)-3),"")</f>
        <v>119.07854430379747</v>
      </c>
      <c r="AF70" s="131">
        <f>IFERROR('Price History'!K3+(INDEX('Price History'!K:K,MATCH(9.99E+307,'Returns (Calc)'!$A:$A)+1)-'Price History'!K3)*(ROW()-3)/(MATCH(9.99E+307,'Returns (Calc)'!$A:$A)-3),"")</f>
        <v>88.868860759493671</v>
      </c>
      <c r="AG70" s="131">
        <f>IFERROR('Price History'!L3+(INDEX('Price History'!L:L,MATCH(9.99E+307,'Returns (Calc)'!$A:$A)+1)-'Price History'!L3)*(ROW()-3)/(MATCH(9.99E+307,'Returns (Calc)'!$A:$A)-3),"")</f>
        <v>249.87031645569618</v>
      </c>
      <c r="AH70" s="131">
        <f>IFERROR('Price History'!M3+(INDEX('Price History'!M:M,MATCH(9.99E+307,'Returns (Calc)'!$A:$A)+1)-'Price History'!M3)*(ROW()-3)/(MATCH(9.99E+307,'Returns (Calc)'!$A:$A)-3),"")</f>
        <v>128.8346835443038</v>
      </c>
      <c r="AI70" s="131">
        <f>IFERROR('Price History'!N3+(INDEX('Price History'!N:N,MATCH(9.99E+307,'Returns (Calc)'!$A:$A)+1)-'Price History'!N3)*(ROW()-3)/(MATCH(9.99E+307,'Returns (Calc)'!$A:$A)-3),"")</f>
        <v>414.97981012658227</v>
      </c>
      <c r="AJ70" s="131">
        <f>IFERROR('Price History'!O3+(INDEX('Price History'!O:O,MATCH(9.99E+307,'Returns (Calc)'!$A:$A)+1)-'Price History'!O3)*(ROW()-3)/(MATCH(9.99E+307,'Returns (Calc)'!$A:$A)-3),"")</f>
        <v>94.273544303797465</v>
      </c>
      <c r="AK70" s="131">
        <f>IFERROR('Price History'!Q3+(INDEX('Price History'!Q:Q,MATCH(9.99E+307,'Returns (Calc)'!$A:$A)+1)-'Price History'!Q3)*(ROW()-3)/(MATCH(9.99E+307,'Returns (Calc)'!$A:$A)-3),"")</f>
        <v>29.437594936708862</v>
      </c>
      <c r="AL70" s="131">
        <f>IFERROR('Price History'!R3+(INDEX('Price History'!R:R,MATCH(9.99E+307,'Returns (Calc)'!$A:$A)+1)-'Price History'!R3)*(ROW()-3)/(MATCH(9.99E+307,'Returns (Calc)'!$A:$A)-3),"")</f>
        <v>45.742784810126579</v>
      </c>
      <c r="AM70" s="131">
        <f>IFERROR('Price History'!S3+(INDEX('Price History'!S:S,MATCH(9.99E+307,'Returns (Calc)'!$A:$A)+1)-'Price History'!S3)*(ROW()-3)/(MATCH(9.99E+307,'Returns (Calc)'!$A:$A)-3),"")</f>
        <v>98.169240506329118</v>
      </c>
      <c r="AN70" s="131">
        <f>IFERROR('Price History'!T3+(INDEX('Price History'!T:T,MATCH(9.99E+307,'Returns (Calc)'!$A:$A)+1)-'Price History'!T3)*(ROW()-3)/(MATCH(9.99E+307,'Returns (Calc)'!$A:$A)-3),"")</f>
        <v>36.511265822784807</v>
      </c>
      <c r="AO70" s="132">
        <f>IFERROR('Price History'!V3+(INDEX('Price History'!V:V,MATCH(9.99E+307,'Returns (Calc)'!$A:$A)+1)-'Price History'!V3)*(ROW()-3)/(MATCH(9.99E+307,'Returns (Calc)'!$A:$A)-3),"")</f>
        <v>288.64905063291138</v>
      </c>
      <c r="AP70" s="130">
        <f>IFERROR(IF(OR(NOT(ISNUMBER('Price History'!W71)),NOT(ISNUMBER('Price History'!W70)),'Price History'!W70=0),"",'Price History'!W71/'Price History'!W70-1),"")</f>
        <v>-1.7048222113980049E-3</v>
      </c>
      <c r="AQ70" s="130" t="str">
        <f>IFERROR(IF(OR(NOT(ISNUMBER('Price History'!X71)),NOT(ISNUMBER('Price History'!X70)),'Price History'!X70=0),"",'Price History'!X71/'Price History'!X70-1),"")</f>
        <v/>
      </c>
      <c r="AR70" s="130">
        <f>IFERROR(IF(OR(NOT(ISNUMBER('Price History'!Y71)),NOT(ISNUMBER('Price History'!Y70)),'Price History'!Y70=0),"",'Price History'!Y71/'Price History'!Y70-1),"")</f>
        <v>-1.3905442987683925E-3</v>
      </c>
      <c r="AS70" s="130">
        <f>IFERROR(IF(OR(NOT(ISNUMBER('Price History'!Z71)),NOT(ISNUMBER('Price History'!Z70)),'Price History'!Z70=0),"",'Price History'!Z71/'Price History'!Z70-1),"")</f>
        <v>1.1028103877623652E-2</v>
      </c>
      <c r="AT70" s="130">
        <f>IFERROR(IF(OR(NOT(ISNUMBER('Price History'!AA71)),NOT(ISNUMBER('Price History'!AA70)),'Price History'!AA70=0),"",'Price History'!AA71/'Price History'!AA70-1),"")</f>
        <v>-2.9090909090909056E-2</v>
      </c>
    </row>
    <row r="71" spans="1:46" ht="15" customHeight="1" x14ac:dyDescent="0.2">
      <c r="A71" s="128">
        <f>IF('Price History'!A72="","",'Price History'!A72)</f>
        <v>45667</v>
      </c>
      <c r="B71" s="129">
        <f>IFERROR(IF(OR(NOT(ISNUMBER('Price History'!B72)),NOT(ISNUMBER('Price History'!B71)),'Price History'!B71=0),"",'Price History'!B72/'Price History'!B71-1),"")</f>
        <v>-5.7249692268388386E-2</v>
      </c>
      <c r="C71" s="129">
        <f>IFERROR(IF(OR(NOT(ISNUMBER('Price History'!C72)),NOT(ISNUMBER('Price History'!C71)),'Price History'!C71=0),"",'Price History'!C72/'Price History'!C71-1),"")</f>
        <v>-7.4652777777777235E-3</v>
      </c>
      <c r="D71" s="129">
        <f>IFERROR(IF(OR(NOT(ISNUMBER('Price History'!D72)),NOT(ISNUMBER('Price History'!D71)),'Price History'!D71=0),"",'Price History'!D72/'Price History'!D71-1),"")</f>
        <v>3.4506262247593122E-2</v>
      </c>
      <c r="E71" s="129">
        <f>IFERROR(IF(OR(NOT(ISNUMBER('Price History'!E72)),NOT(ISNUMBER('Price History'!E71)),'Price History'!E71=0),"",'Price History'!E72/'Price History'!E71-1),"")</f>
        <v>-3.5427574171029597E-2</v>
      </c>
      <c r="F71" s="129">
        <f>IFERROR(IF(OR(NOT(ISNUMBER('Price History'!F72)),NOT(ISNUMBER('Price History'!F71)),'Price History'!F71=0),"",'Price History'!F72/'Price History'!F71-1),"")</f>
        <v>-2.8300835654596179E-2</v>
      </c>
      <c r="G71" s="129">
        <f>IFERROR(IF(OR(NOT(ISNUMBER('Price History'!G72)),NOT(ISNUMBER('Price History'!G71)),'Price History'!G71=0),"",'Price History'!G72/'Price History'!G71-1),"")</f>
        <v>3.9753466872110899E-2</v>
      </c>
      <c r="H71" s="129">
        <f>IFERROR(IF(OR(NOT(ISNUMBER('Price History'!H72)),NOT(ISNUMBER('Price History'!H71)),'Price History'!H71=0),"",'Price History'!H72/'Price History'!H71-1),"")</f>
        <v>0.1053278230760637</v>
      </c>
      <c r="I71" s="129">
        <f>IFERROR(IF(OR(NOT(ISNUMBER('Price History'!I72)),NOT(ISNUMBER('Price History'!I71)),'Price History'!I71=0),"",'Price History'!I72/'Price History'!I71-1),"")</f>
        <v>-5.9199111666319637E-2</v>
      </c>
      <c r="J71" s="129">
        <f>IFERROR(IF(OR(NOT(ISNUMBER('Price History'!J72)),NOT(ISNUMBER('Price History'!J71)),'Price History'!J71=0),"",'Price History'!J72/'Price History'!J71-1),"")</f>
        <v>-1.9265502709211346E-2</v>
      </c>
      <c r="K71" s="129">
        <f>IFERROR(IF(OR(NOT(ISNUMBER('Price History'!K72)),NOT(ISNUMBER('Price History'!K71)),'Price History'!K71=0),"",'Price History'!K72/'Price History'!K71-1),"")</f>
        <v>-0.15809237701840029</v>
      </c>
      <c r="L71" s="129">
        <f>IFERROR(IF(OR(NOT(ISNUMBER('Price History'!L72)),NOT(ISNUMBER('Price History'!L71)),'Price History'!L71=0),"",'Price History'!L72/'Price History'!L71-1),"")</f>
        <v>-1.1261812662194393E-3</v>
      </c>
      <c r="M71" s="129">
        <f>IFERROR(IF(OR(NOT(ISNUMBER('Price History'!M72)),NOT(ISNUMBER('Price History'!M71)),'Price History'!M71=0),"",'Price History'!M72/'Price History'!M71-1),"")</f>
        <v>2.5996810207336463E-2</v>
      </c>
      <c r="N71" s="129">
        <f>IFERROR(IF(OR(NOT(ISNUMBER('Price History'!N72)),NOT(ISNUMBER('Price History'!N71)),'Price History'!N71=0),"",'Price History'!N72/'Price History'!N71-1),"")</f>
        <v>6.0180295251897054E-3</v>
      </c>
      <c r="O71" s="129">
        <f>IFERROR(IF(OR(NOT(ISNUMBER('Price History'!O72)),NOT(ISNUMBER('Price History'!O71)),'Price History'!O71=0),"",'Price History'!O72/'Price History'!O71-1),"")</f>
        <v>-2.6288006756756688E-2</v>
      </c>
      <c r="P71" s="129">
        <f>IFERROR(IF(OR(NOT(ISNUMBER('Price History'!P72)),NOT(ISNUMBER('Price History'!P71)),'Price History'!P71=0),"",'Price History'!P72/'Price History'!P71-1),"")</f>
        <v>-2.4987909076253478E-2</v>
      </c>
      <c r="Q71" s="129">
        <f>IFERROR(IF(OR(NOT(ISNUMBER('Price History'!Q72)),NOT(ISNUMBER('Price History'!Q71)),'Price History'!Q71=0),"",'Price History'!Q72/'Price History'!Q71-1),"")</f>
        <v>-1.2151652624756926E-2</v>
      </c>
      <c r="R71" s="129">
        <f>IFERROR(IF(OR(NOT(ISNUMBER('Price History'!R72)),NOT(ISNUMBER('Price History'!R71)),'Price History'!R71=0),"",'Price History'!R72/'Price History'!R71-1),"")</f>
        <v>-1.9263698630136994E-2</v>
      </c>
      <c r="S71" s="129">
        <f>IFERROR(IF(OR(NOT(ISNUMBER('Price History'!S72)),NOT(ISNUMBER('Price History'!S71)),'Price History'!S71=0),"",'Price History'!S72/'Price History'!S71-1),"")</f>
        <v>-1.3500784929356247E-2</v>
      </c>
      <c r="T71" s="129">
        <f>IFERROR(IF(OR(NOT(ISNUMBER('Price History'!T72)),NOT(ISNUMBER('Price History'!T71)),'Price History'!T71=0),"",'Price History'!T72/'Price History'!T71-1),"")</f>
        <v>0</v>
      </c>
      <c r="U71" s="129">
        <f>IFERROR(IF(OR(NOT(ISNUMBER('Price History'!U72)),NOT(ISNUMBER('Price History'!U71)),'Price History'!U71=0),"",'Price History'!U72/'Price History'!U71-1),"")</f>
        <v>-1.5521924718665092E-2</v>
      </c>
      <c r="V71" s="130">
        <f>IFERROR(IF(OR(NOT(ISNUMBER('Price History'!V72)),NOT(ISNUMBER('Price History'!V71)),'Price History'!V71=0),"",'Price History'!V72/'Price History'!V71-1),"")</f>
        <v>-2.2842802908435655E-2</v>
      </c>
      <c r="W71" s="131">
        <f>IFERROR('Price History'!B3+(INDEX('Price History'!B:B,MATCH(9.99E+307,'Returns (Calc)'!$A:$A)+1)-'Price History'!B3)*(ROW()-3)/(MATCH(9.99E+307,'Returns (Calc)'!$A:$A)-3),"")</f>
        <v>403.56341772151899</v>
      </c>
      <c r="X71" s="131">
        <f>IFERROR('Price History'!C3+(INDEX('Price History'!C:C,MATCH(9.99E+307,'Returns (Calc)'!$A:$A)+1)-'Price History'!C3)*(ROW()-3)/(MATCH(9.99E+307,'Returns (Calc)'!$A:$A)-3),"")</f>
        <v>115.54430379746836</v>
      </c>
      <c r="Y71" s="131">
        <f>IFERROR('Price History'!D3+(INDEX('Price History'!D:D,MATCH(9.99E+307,'Returns (Calc)'!$A:$A)+1)-'Price History'!D3)*(ROW()-3)/(MATCH(9.99E+307,'Returns (Calc)'!$A:$A)-3),"")</f>
        <v>1135.1770886075949</v>
      </c>
      <c r="Z71" s="131">
        <f>IFERROR('Price History'!E3+(INDEX('Price History'!E:E,MATCH(9.99E+307,'Returns (Calc)'!$A:$A)+1)-'Price History'!E3)*(ROW()-3)/(MATCH(9.99E+307,'Returns (Calc)'!$A:$A)-3),"")</f>
        <v>199.55392405063293</v>
      </c>
      <c r="AA71" s="131">
        <f>IFERROR('Price History'!F3+(INDEX('Price History'!F:F,MATCH(9.99E+307,'Returns (Calc)'!$A:$A)+1)-'Price History'!F3)*(ROW()-3)/(MATCH(9.99E+307,'Returns (Calc)'!$A:$A)-3),"")</f>
        <v>139.77924050632913</v>
      </c>
      <c r="AB71" s="131">
        <f>IFERROR('Price History'!G3+(INDEX('Price History'!G:G,MATCH(9.99E+307,'Returns (Calc)'!$A:$A)+1)-'Price History'!G3)*(ROW()-3)/(MATCH(9.99E+307,'Returns (Calc)'!$A:$A)-3),"")</f>
        <v>114.3039240506329</v>
      </c>
      <c r="AC71" s="131">
        <f>IFERROR('Price History'!H3+(INDEX('Price History'!H:H,MATCH(9.99E+307,'Returns (Calc)'!$A:$A)+1)-'Price History'!H3)*(ROW()-3)/(MATCH(9.99E+307,'Returns (Calc)'!$A:$A)-3),"")</f>
        <v>501.97734177215199</v>
      </c>
      <c r="AD71" s="131">
        <f>IFERROR('Price History'!I3+(INDEX('Price History'!I:I,MATCH(9.99E+307,'Returns (Calc)'!$A:$A)+1)-'Price History'!I3)*(ROW()-3)/(MATCH(9.99E+307,'Returns (Calc)'!$A:$A)-3),"")</f>
        <v>125.61962025316456</v>
      </c>
      <c r="AE71" s="131">
        <f>IFERROR('Price History'!J3+(INDEX('Price History'!J:J,MATCH(9.99E+307,'Returns (Calc)'!$A:$A)+1)-'Price History'!J3)*(ROW()-3)/(MATCH(9.99E+307,'Returns (Calc)'!$A:$A)-3),"")</f>
        <v>119.18658227848101</v>
      </c>
      <c r="AF71" s="131">
        <f>IFERROR('Price History'!K3+(INDEX('Price History'!K:K,MATCH(9.99E+307,'Returns (Calc)'!$A:$A)+1)-'Price History'!K3)*(ROW()-3)/(MATCH(9.99E+307,'Returns (Calc)'!$A:$A)-3),"")</f>
        <v>89.96645569620253</v>
      </c>
      <c r="AG71" s="131">
        <f>IFERROR('Price History'!L3+(INDEX('Price History'!L:L,MATCH(9.99E+307,'Returns (Calc)'!$A:$A)+1)-'Price History'!L3)*(ROW()-3)/(MATCH(9.99E+307,'Returns (Calc)'!$A:$A)-3),"")</f>
        <v>252.31987341772151</v>
      </c>
      <c r="AH71" s="131">
        <f>IFERROR('Price History'!M3+(INDEX('Price History'!M:M,MATCH(9.99E+307,'Returns (Calc)'!$A:$A)+1)-'Price History'!M3)*(ROW()-3)/(MATCH(9.99E+307,'Returns (Calc)'!$A:$A)-3),"")</f>
        <v>130.19012658227848</v>
      </c>
      <c r="AI71" s="131">
        <f>IFERROR('Price History'!N3+(INDEX('Price History'!N:N,MATCH(9.99E+307,'Returns (Calc)'!$A:$A)+1)-'Price History'!N3)*(ROW()-3)/(MATCH(9.99E+307,'Returns (Calc)'!$A:$A)-3),"")</f>
        <v>415.96607594936711</v>
      </c>
      <c r="AJ71" s="131">
        <f>IFERROR('Price History'!O3+(INDEX('Price History'!O:O,MATCH(9.99E+307,'Returns (Calc)'!$A:$A)+1)-'Price History'!O3)*(ROW()-3)/(MATCH(9.99E+307,'Returns (Calc)'!$A:$A)-3),"")</f>
        <v>94.556582278481017</v>
      </c>
      <c r="AK71" s="131">
        <f>IFERROR('Price History'!Q3+(INDEX('Price History'!Q:Q,MATCH(9.99E+307,'Returns (Calc)'!$A:$A)+1)-'Price History'!Q3)*(ROW()-3)/(MATCH(9.99E+307,'Returns (Calc)'!$A:$A)-3),"")</f>
        <v>29.876962025316459</v>
      </c>
      <c r="AL71" s="131">
        <f>IFERROR('Price History'!R3+(INDEX('Price History'!R:R,MATCH(9.99E+307,'Returns (Calc)'!$A:$A)+1)-'Price History'!R3)*(ROW()-3)/(MATCH(9.99E+307,'Returns (Calc)'!$A:$A)-3),"")</f>
        <v>45.910886075949364</v>
      </c>
      <c r="AM71" s="131">
        <f>IFERROR('Price History'!S3+(INDEX('Price History'!S:S,MATCH(9.99E+307,'Returns (Calc)'!$A:$A)+1)-'Price History'!S3)*(ROW()-3)/(MATCH(9.99E+307,'Returns (Calc)'!$A:$A)-3),"")</f>
        <v>98.774303797468349</v>
      </c>
      <c r="AN71" s="131">
        <f>IFERROR('Price History'!T3+(INDEX('Price History'!T:T,MATCH(9.99E+307,'Returns (Calc)'!$A:$A)+1)-'Price History'!T3)*(ROW()-3)/(MATCH(9.99E+307,'Returns (Calc)'!$A:$A)-3),"")</f>
        <v>36.679493670886075</v>
      </c>
      <c r="AO71" s="132">
        <f>IFERROR('Price History'!V3+(INDEX('Price History'!V:V,MATCH(9.99E+307,'Returns (Calc)'!$A:$A)+1)-'Price History'!V3)*(ROW()-3)/(MATCH(9.99E+307,'Returns (Calc)'!$A:$A)-3),"")</f>
        <v>289.44037974683545</v>
      </c>
      <c r="AP71" s="130">
        <f>IFERROR(IF(OR(NOT(ISNUMBER('Price History'!W72)),NOT(ISNUMBER('Price History'!W71)),'Price History'!W71=0),"",'Price History'!W72/'Price History'!W71-1),"")</f>
        <v>-1.7971863056029824E-2</v>
      </c>
      <c r="AQ71" s="130" t="str">
        <f>IFERROR(IF(OR(NOT(ISNUMBER('Price History'!X72)),NOT(ISNUMBER('Price History'!X71)),'Price History'!X71=0),"",'Price History'!X72/'Price History'!X71-1),"")</f>
        <v/>
      </c>
      <c r="AR71" s="130">
        <f>IFERROR(IF(OR(NOT(ISNUMBER('Price History'!Y72)),NOT(ISNUMBER('Price History'!Y71)),'Price History'!Y71=0),"",'Price History'!Y72/'Price History'!Y71-1),"")</f>
        <v>-1.591406405410789E-2</v>
      </c>
      <c r="AS71" s="130">
        <f>IFERROR(IF(OR(NOT(ISNUMBER('Price History'!Z72)),NOT(ISNUMBER('Price History'!Z71)),'Price History'!Z71=0),"",'Price History'!Z72/'Price History'!Z71-1),"")</f>
        <v>-1.5247478301666506E-3</v>
      </c>
      <c r="AT71" s="130">
        <f>IFERROR(IF(OR(NOT(ISNUMBER('Price History'!AA72)),NOT(ISNUMBER('Price History'!AA71)),'Price History'!AA71=0),"",'Price History'!AA72/'Price History'!AA71-1),"")</f>
        <v>-4.9256611054363852E-2</v>
      </c>
    </row>
    <row r="72" spans="1:46" ht="15" customHeight="1" x14ac:dyDescent="0.2">
      <c r="A72" s="128">
        <f>IF('Price History'!A73="","",'Price History'!A73)</f>
        <v>45674</v>
      </c>
      <c r="B72" s="129">
        <f>IFERROR(IF(OR(NOT(ISNUMBER('Price History'!B73)),NOT(ISNUMBER('Price History'!B72)),'Price History'!B72=0),"",'Price History'!B73/'Price History'!B72-1),"")</f>
        <v>5.9297398502167864E-2</v>
      </c>
      <c r="C72" s="129">
        <f>IFERROR(IF(OR(NOT(ISNUMBER('Price History'!C73)),NOT(ISNUMBER('Price History'!C72)),'Price History'!C72=0),"",'Price History'!C73/'Price History'!C72-1),"")</f>
        <v>4.9064194507608905E-2</v>
      </c>
      <c r="D72" s="129">
        <f>IFERROR(IF(OR(NOT(ISNUMBER('Price History'!D73)),NOT(ISNUMBER('Price History'!D72)),'Price History'!D72=0),"",'Price History'!D73/'Price History'!D72-1),"")</f>
        <v>2.343106572228626E-2</v>
      </c>
      <c r="E72" s="129">
        <f>IFERROR(IF(OR(NOT(ISNUMBER('Price History'!E73)),NOT(ISNUMBER('Price History'!E72)),'Price History'!E72=0),"",'Price History'!E73/'Price History'!E72-1),"")</f>
        <v>5.853084856160673E-2</v>
      </c>
      <c r="F72" s="129">
        <f>IFERROR(IF(OR(NOT(ISNUMBER('Price History'!F73)),NOT(ISNUMBER('Price History'!F72)),'Price History'!F72=0),"",'Price History'!F73/'Price History'!F72-1),"")</f>
        <v>2.3391812865497075E-2</v>
      </c>
      <c r="G72" s="129">
        <f>IFERROR(IF(OR(NOT(ISNUMBER('Price History'!G73)),NOT(ISNUMBER('Price History'!G72)),'Price History'!G72=0),"",'Price History'!G73/'Price History'!G72-1),"")</f>
        <v>0.10892116182572598</v>
      </c>
      <c r="H72" s="129">
        <f>IFERROR(IF(OR(NOT(ISNUMBER('Price History'!H73)),NOT(ISNUMBER('Price History'!H72)),'Price History'!H72=0),"",'Price History'!H73/'Price History'!H72-1),"")</f>
        <v>6.4470493128536921E-2</v>
      </c>
      <c r="I72" s="129">
        <f>IFERROR(IF(OR(NOT(ISNUMBER('Price History'!I73)),NOT(ISNUMBER('Price History'!I72)),'Price History'!I72=0),"",'Price History'!I73/'Price History'!I72-1),"")</f>
        <v>1.3204485098849084E-2</v>
      </c>
      <c r="J72" s="129">
        <f>IFERROR(IF(OR(NOT(ISNUMBER('Price History'!J73)),NOT(ISNUMBER('Price History'!J72)),'Price History'!J72=0),"",'Price History'!J73/'Price History'!J72-1),"")</f>
        <v>5.6783302639656252E-2</v>
      </c>
      <c r="K72" s="129">
        <f>IFERROR(IF(OR(NOT(ISNUMBER('Price History'!K73)),NOT(ISNUMBER('Price History'!K72)),'Price History'!K72=0),"",'Price History'!K73/'Price History'!K72-1),"")</f>
        <v>6.7053226286053924E-2</v>
      </c>
      <c r="L72" s="129">
        <f>IFERROR(IF(OR(NOT(ISNUMBER('Price History'!L73)),NOT(ISNUMBER('Price History'!L72)),'Price History'!L72=0),"",'Price History'!L73/'Price History'!L72-1),"")</f>
        <v>1.4999999999999902E-2</v>
      </c>
      <c r="M72" s="129">
        <f>IFERROR(IF(OR(NOT(ISNUMBER('Price History'!M73)),NOT(ISNUMBER('Price History'!M72)),'Price History'!M72=0),"",'Price History'!M73/'Price History'!M72-1),"")</f>
        <v>5.3862894450489751E-2</v>
      </c>
      <c r="N72" s="129">
        <f>IFERROR(IF(OR(NOT(ISNUMBER('Price History'!N73)),NOT(ISNUMBER('Price History'!N72)),'Price History'!N72=0),"",'Price History'!N73/'Price History'!N72-1),"")</f>
        <v>3.0374059966793654E-2</v>
      </c>
      <c r="O72" s="129">
        <f>IFERROR(IF(OR(NOT(ISNUMBER('Price History'!O73)),NOT(ISNUMBER('Price History'!O72)),'Price History'!O72=0),"",'Price History'!O73/'Price History'!O72-1),"")</f>
        <v>4.889949040442354E-2</v>
      </c>
      <c r="P72" s="129">
        <f>IFERROR(IF(OR(NOT(ISNUMBER('Price History'!P73)),NOT(ISNUMBER('Price History'!P72)),'Price History'!P72=0),"",'Price History'!P73/'Price History'!P72-1),"")</f>
        <v>4.8363095238095344E-2</v>
      </c>
      <c r="Q72" s="129">
        <f>IFERROR(IF(OR(NOT(ISNUMBER('Price History'!Q73)),NOT(ISNUMBER('Price History'!Q72)),'Price History'!Q72=0),"",'Price History'!Q73/'Price History'!Q72-1),"")</f>
        <v>1.7221584385763489E-2</v>
      </c>
      <c r="R72" s="129">
        <f>IFERROR(IF(OR(NOT(ISNUMBER('Price History'!R73)),NOT(ISNUMBER('Price History'!R72)),'Price History'!R72=0),"",'Price History'!R73/'Price History'!R72-1),"")</f>
        <v>2.3134002618943716E-2</v>
      </c>
      <c r="S72" s="129">
        <f>IFERROR(IF(OR(NOT(ISNUMBER('Price History'!S73)),NOT(ISNUMBER('Price History'!S72)),'Price History'!S72=0),"",'Price History'!S73/'Price History'!S72-1),"")</f>
        <v>3.2145130490133678E-2</v>
      </c>
      <c r="T72" s="129">
        <f>IFERROR(IF(OR(NOT(ISNUMBER('Price History'!T73)),NOT(ISNUMBER('Price History'!T72)),'Price History'!T72=0),"",'Price History'!T73/'Price History'!T72-1),"")</f>
        <v>3.8621509209744609E-2</v>
      </c>
      <c r="U72" s="129">
        <f>IFERROR(IF(OR(NOT(ISNUMBER('Price History'!U73)),NOT(ISNUMBER('Price History'!U72)),'Price History'!U72=0),"",'Price History'!U73/'Price History'!U72-1),"")</f>
        <v>3.6263303113913903E-2</v>
      </c>
      <c r="V72" s="130">
        <f>IFERROR(IF(OR(NOT(ISNUMBER('Price History'!V73)),NOT(ISNUMBER('Price History'!V72)),'Price History'!V72=0),"",'Price History'!V73/'Price History'!V72-1),"")</f>
        <v>3.8686948505202157E-2</v>
      </c>
      <c r="W72" s="131">
        <f>IFERROR('Price History'!B3+(INDEX('Price History'!B:B,MATCH(9.99E+307,'Returns (Calc)'!$A:$A)+1)-'Price History'!B3)*(ROW()-3)/(MATCH(9.99E+307,'Returns (Calc)'!$A:$A)-3),"")</f>
        <v>401.72037974683542</v>
      </c>
      <c r="X72" s="131">
        <f>IFERROR('Price History'!C3+(INDEX('Price History'!C:C,MATCH(9.99E+307,'Returns (Calc)'!$A:$A)+1)-'Price History'!C3)*(ROW()-3)/(MATCH(9.99E+307,'Returns (Calc)'!$A:$A)-3),"")</f>
        <v>116.56436708860758</v>
      </c>
      <c r="Y72" s="131">
        <f>IFERROR('Price History'!D3+(INDEX('Price History'!D:D,MATCH(9.99E+307,'Returns (Calc)'!$A:$A)+1)-'Price History'!D3)*(ROW()-3)/(MATCH(9.99E+307,'Returns (Calc)'!$A:$A)-3),"")</f>
        <v>1143.3118987341772</v>
      </c>
      <c r="Z72" s="131">
        <f>IFERROR('Price History'!E3+(INDEX('Price History'!E:E,MATCH(9.99E+307,'Returns (Calc)'!$A:$A)+1)-'Price History'!E3)*(ROW()-3)/(MATCH(9.99E+307,'Returns (Calc)'!$A:$A)-3),"")</f>
        <v>201.28265822784812</v>
      </c>
      <c r="AA72" s="131">
        <f>IFERROR('Price History'!F3+(INDEX('Price History'!F:F,MATCH(9.99E+307,'Returns (Calc)'!$A:$A)+1)-'Price History'!F3)*(ROW()-3)/(MATCH(9.99E+307,'Returns (Calc)'!$A:$A)-3),"")</f>
        <v>141.22658227848103</v>
      </c>
      <c r="AB72" s="131">
        <f>IFERROR('Price History'!G3+(INDEX('Price History'!G:G,MATCH(9.99E+307,'Returns (Calc)'!$A:$A)+1)-'Price History'!G3)*(ROW()-3)/(MATCH(9.99E+307,'Returns (Calc)'!$A:$A)-3),"")</f>
        <v>115.3326582278481</v>
      </c>
      <c r="AC72" s="131">
        <f>IFERROR('Price History'!H3+(INDEX('Price History'!H:H,MATCH(9.99E+307,'Returns (Calc)'!$A:$A)+1)-'Price History'!H3)*(ROW()-3)/(MATCH(9.99E+307,'Returns (Calc)'!$A:$A)-3),"")</f>
        <v>508.34303797468363</v>
      </c>
      <c r="AD72" s="131">
        <f>IFERROR('Price History'!I3+(INDEX('Price History'!I:I,MATCH(9.99E+307,'Returns (Calc)'!$A:$A)+1)-'Price History'!I3)*(ROW()-3)/(MATCH(9.99E+307,'Returns (Calc)'!$A:$A)-3),"")</f>
        <v>126.8232911392405</v>
      </c>
      <c r="AE72" s="131">
        <f>IFERROR('Price History'!J3+(INDEX('Price History'!J:J,MATCH(9.99E+307,'Returns (Calc)'!$A:$A)+1)-'Price History'!J3)*(ROW()-3)/(MATCH(9.99E+307,'Returns (Calc)'!$A:$A)-3),"")</f>
        <v>119.29462025316455</v>
      </c>
      <c r="AF72" s="131">
        <f>IFERROR('Price History'!K3+(INDEX('Price History'!K:K,MATCH(9.99E+307,'Returns (Calc)'!$A:$A)+1)-'Price History'!K3)*(ROW()-3)/(MATCH(9.99E+307,'Returns (Calc)'!$A:$A)-3),"")</f>
        <v>91.064050632911389</v>
      </c>
      <c r="AG72" s="131">
        <f>IFERROR('Price History'!L3+(INDEX('Price History'!L:L,MATCH(9.99E+307,'Returns (Calc)'!$A:$A)+1)-'Price History'!L3)*(ROW()-3)/(MATCH(9.99E+307,'Returns (Calc)'!$A:$A)-3),"")</f>
        <v>254.76943037974684</v>
      </c>
      <c r="AH72" s="131">
        <f>IFERROR('Price History'!M3+(INDEX('Price History'!M:M,MATCH(9.99E+307,'Returns (Calc)'!$A:$A)+1)-'Price History'!M3)*(ROW()-3)/(MATCH(9.99E+307,'Returns (Calc)'!$A:$A)-3),"")</f>
        <v>131.54556962025316</v>
      </c>
      <c r="AI72" s="131">
        <f>IFERROR('Price History'!N3+(INDEX('Price History'!N:N,MATCH(9.99E+307,'Returns (Calc)'!$A:$A)+1)-'Price History'!N3)*(ROW()-3)/(MATCH(9.99E+307,'Returns (Calc)'!$A:$A)-3),"")</f>
        <v>416.9523417721519</v>
      </c>
      <c r="AJ72" s="131">
        <f>IFERROR('Price History'!O3+(INDEX('Price History'!O:O,MATCH(9.99E+307,'Returns (Calc)'!$A:$A)+1)-'Price History'!O3)*(ROW()-3)/(MATCH(9.99E+307,'Returns (Calc)'!$A:$A)-3),"")</f>
        <v>94.839620253164554</v>
      </c>
      <c r="AK72" s="131">
        <f>IFERROR('Price History'!Q3+(INDEX('Price History'!Q:Q,MATCH(9.99E+307,'Returns (Calc)'!$A:$A)+1)-'Price History'!Q3)*(ROW()-3)/(MATCH(9.99E+307,'Returns (Calc)'!$A:$A)-3),"")</f>
        <v>30.316329113924052</v>
      </c>
      <c r="AL72" s="131">
        <f>IFERROR('Price History'!R3+(INDEX('Price History'!R:R,MATCH(9.99E+307,'Returns (Calc)'!$A:$A)+1)-'Price History'!R3)*(ROW()-3)/(MATCH(9.99E+307,'Returns (Calc)'!$A:$A)-3),"")</f>
        <v>46.078987341772148</v>
      </c>
      <c r="AM72" s="131">
        <f>IFERROR('Price History'!S3+(INDEX('Price History'!S:S,MATCH(9.99E+307,'Returns (Calc)'!$A:$A)+1)-'Price History'!S3)*(ROW()-3)/(MATCH(9.99E+307,'Returns (Calc)'!$A:$A)-3),"")</f>
        <v>99.379367088607594</v>
      </c>
      <c r="AN72" s="131">
        <f>IFERROR('Price History'!T3+(INDEX('Price History'!T:T,MATCH(9.99E+307,'Returns (Calc)'!$A:$A)+1)-'Price History'!T3)*(ROW()-3)/(MATCH(9.99E+307,'Returns (Calc)'!$A:$A)-3),"")</f>
        <v>36.847721518987342</v>
      </c>
      <c r="AO72" s="132">
        <f>IFERROR('Price History'!V3+(INDEX('Price History'!V:V,MATCH(9.99E+307,'Returns (Calc)'!$A:$A)+1)-'Price History'!V3)*(ROW()-3)/(MATCH(9.99E+307,'Returns (Calc)'!$A:$A)-3),"")</f>
        <v>290.23170886075951</v>
      </c>
      <c r="AP72" s="130">
        <f>IFERROR(IF(OR(NOT(ISNUMBER('Price History'!W73)),NOT(ISNUMBER('Price History'!W72)),'Price History'!W72=0),"",'Price History'!W73/'Price History'!W72-1),"")</f>
        <v>4.4219940377608458E-2</v>
      </c>
      <c r="AQ72" s="130" t="str">
        <f>IFERROR(IF(OR(NOT(ISNUMBER('Price History'!X73)),NOT(ISNUMBER('Price History'!X72)),'Price History'!X72=0),"",'Price History'!X73/'Price History'!X72-1),"")</f>
        <v/>
      </c>
      <c r="AR72" s="130">
        <f>IFERROR(IF(OR(NOT(ISNUMBER('Price History'!Y73)),NOT(ISNUMBER('Price History'!Y72)),'Price History'!Y72=0),"",'Price History'!Y73/'Price History'!Y72-1),"")</f>
        <v>2.5267839094400557E-2</v>
      </c>
      <c r="AS72" s="130">
        <f>IFERROR(IF(OR(NOT(ISNUMBER('Price History'!Z73)),NOT(ISNUMBER('Price History'!Z72)),'Price History'!Z72=0),"",'Price History'!Z73/'Price History'!Z72-1),"")</f>
        <v>6.4959473746035501E-2</v>
      </c>
      <c r="AT72" s="130">
        <f>IFERROR(IF(OR(NOT(ISNUMBER('Price History'!AA73)),NOT(ISNUMBER('Price History'!AA72)),'Price History'!AA72=0),"",'Price History'!AA73/'Price History'!AA72-1),"")</f>
        <v>2.4352393458278776E-2</v>
      </c>
    </row>
    <row r="73" spans="1:46" ht="15" customHeight="1" x14ac:dyDescent="0.2">
      <c r="A73" s="128">
        <f>IF('Price History'!A74="","",'Price History'!A74)</f>
        <v>45681</v>
      </c>
      <c r="B73" s="129">
        <f>IFERROR(IF(OR(NOT(ISNUMBER('Price History'!B74)),NOT(ISNUMBER('Price History'!B73)),'Price History'!B73=0),"",'Price History'!B74/'Price History'!B73-1),"")</f>
        <v>1.2535175236633389E-2</v>
      </c>
      <c r="C73" s="129">
        <f>IFERROR(IF(OR(NOT(ISNUMBER('Price History'!C74)),NOT(ISNUMBER('Price History'!C73)),'Price History'!C73=0),"",'Price History'!C74/'Price History'!C73-1),"")</f>
        <v>7.6865360566902741E-2</v>
      </c>
      <c r="D73" s="129">
        <f>IFERROR(IF(OR(NOT(ISNUMBER('Price History'!D74)),NOT(ISNUMBER('Price History'!D73)),'Price History'!D73=0),"",'Price History'!D74/'Price History'!D73-1),"")</f>
        <v>-3.1840555801445847E-2</v>
      </c>
      <c r="E73" s="129">
        <f>IFERROR(IF(OR(NOT(ISNUMBER('Price History'!E74)),NOT(ISNUMBER('Price History'!E73)),'Price History'!E73=0),"",'Price History'!E74/'Price History'!E73-1),"")</f>
        <v>3.0595675583283466E-2</v>
      </c>
      <c r="F73" s="129">
        <f>IFERROR(IF(OR(NOT(ISNUMBER('Price History'!F74)),NOT(ISNUMBER('Price History'!F73)),'Price History'!F73=0),"",'Price History'!F74/'Price History'!F73-1),"")</f>
        <v>5.0196078431372637E-2</v>
      </c>
      <c r="G73" s="129">
        <f>IFERROR(IF(OR(NOT(ISNUMBER('Price History'!G74)),NOT(ISNUMBER('Price History'!G73)),'Price History'!G73=0),"",'Price History'!G74/'Price History'!G73-1),"")</f>
        <v>-1.0156354403314194E-2</v>
      </c>
      <c r="H73" s="129">
        <f>IFERROR(IF(OR(NOT(ISNUMBER('Price History'!H74)),NOT(ISNUMBER('Price History'!H73)),'Price History'!H73=0),"",'Price History'!H74/'Price History'!H73-1),"")</f>
        <v>-2.4207328650085458E-2</v>
      </c>
      <c r="I73" s="129">
        <f>IFERROR(IF(OR(NOT(ISNUMBER('Price History'!I74)),NOT(ISNUMBER('Price History'!I73)),'Price History'!I73=0),"",'Price History'!I74/'Price History'!I73-1),"")</f>
        <v>3.567528212595561E-2</v>
      </c>
      <c r="J73" s="129">
        <f>IFERROR(IF(OR(NOT(ISNUMBER('Price History'!J74)),NOT(ISNUMBER('Price History'!J73)),'Price History'!J73=0),"",'Price History'!J74/'Price History'!J73-1),"")</f>
        <v>8.6358795623971307E-2</v>
      </c>
      <c r="K73" s="129">
        <f>IFERROR(IF(OR(NOT(ISNUMBER('Price History'!K74)),NOT(ISNUMBER('Price History'!K73)),'Price History'!K73=0),"",'Price History'!K74/'Price History'!K73-1),"")</f>
        <v>0.10045980214574346</v>
      </c>
      <c r="L73" s="129">
        <f>IFERROR(IF(OR(NOT(ISNUMBER('Price History'!L74)),NOT(ISNUMBER('Price History'!L73)),'Price History'!L73=0),"",'Price History'!L74/'Price History'!L73-1),"")</f>
        <v>4.9067903023278348E-2</v>
      </c>
      <c r="M73" s="129">
        <f>IFERROR(IF(OR(NOT(ISNUMBER('Price History'!M74)),NOT(ISNUMBER('Price History'!M73)),'Price History'!M73=0),"",'Price History'!M74/'Price History'!M73-1),"")</f>
        <v>7.6849325171472804E-2</v>
      </c>
      <c r="N73" s="129">
        <f>IFERROR(IF(OR(NOT(ISNUMBER('Price History'!N74)),NOT(ISNUMBER('Price History'!N73)),'Price History'!N73=0),"",'Price History'!N74/'Price History'!N73-1),"")</f>
        <v>4.1753554502369727E-2</v>
      </c>
      <c r="O73" s="129">
        <f>IFERROR(IF(OR(NOT(ISNUMBER('Price History'!O74)),NOT(ISNUMBER('Price History'!O73)),'Price History'!O73=0),"",'Price History'!O74/'Price History'!O73-1),"")</f>
        <v>5.0651230101304012E-3</v>
      </c>
      <c r="P73" s="129">
        <f>IFERROR(IF(OR(NOT(ISNUMBER('Price History'!P74)),NOT(ISNUMBER('Price History'!P73)),'Price History'!P73=0),"",'Price History'!P74/'Price History'!P73-1),"")</f>
        <v>2.2080277580631691E-3</v>
      </c>
      <c r="Q73" s="129">
        <f>IFERROR(IF(OR(NOT(ISNUMBER('Price History'!Q74)),NOT(ISNUMBER('Price History'!Q73)),'Price History'!Q73=0),"",'Price History'!Q74/'Price History'!Q73-1),"")</f>
        <v>1.0319251854240541E-2</v>
      </c>
      <c r="R73" s="129">
        <f>IFERROR(IF(OR(NOT(ISNUMBER('Price History'!R74)),NOT(ISNUMBER('Price History'!R73)),'Price History'!R73=0),"",'Price History'!R74/'Price History'!R73-1),"")</f>
        <v>1.3865187713310467E-2</v>
      </c>
      <c r="S73" s="129">
        <f>IFERROR(IF(OR(NOT(ISNUMBER('Price History'!S74)),NOT(ISNUMBER('Price History'!S73)),'Price History'!S73=0),"",'Price History'!S74/'Price History'!S73-1),"")</f>
        <v>2.7135368485969869E-2</v>
      </c>
      <c r="T73" s="129">
        <f>IFERROR(IF(OR(NOT(ISNUMBER('Price History'!T74)),NOT(ISNUMBER('Price History'!T73)),'Price History'!T73=0),"",'Price History'!T74/'Price History'!T73-1),"")</f>
        <v>2.5743707093819346E-3</v>
      </c>
      <c r="U73" s="129">
        <f>IFERROR(IF(OR(NOT(ISNUMBER('Price History'!U74)),NOT(ISNUMBER('Price History'!U73)),'Price History'!U73=0),"",'Price History'!U74/'Price History'!U73-1),"")</f>
        <v>2.6626093571699982E-3</v>
      </c>
      <c r="V73" s="130">
        <f>IFERROR(IF(OR(NOT(ISNUMBER('Price History'!V74)),NOT(ISNUMBER('Price History'!V73)),'Price History'!V73=0),"",'Price History'!V74/'Price History'!V73-1),"")</f>
        <v>3.3093479570165174E-2</v>
      </c>
      <c r="W73" s="131">
        <f>IFERROR('Price History'!B3+(INDEX('Price History'!B:B,MATCH(9.99E+307,'Returns (Calc)'!$A:$A)+1)-'Price History'!B3)*(ROW()-3)/(MATCH(9.99E+307,'Returns (Calc)'!$A:$A)-3),"")</f>
        <v>399.87734177215191</v>
      </c>
      <c r="X73" s="131">
        <f>IFERROR('Price History'!C3+(INDEX('Price History'!C:C,MATCH(9.99E+307,'Returns (Calc)'!$A:$A)+1)-'Price History'!C3)*(ROW()-3)/(MATCH(9.99E+307,'Returns (Calc)'!$A:$A)-3),"")</f>
        <v>117.58443037974683</v>
      </c>
      <c r="Y73" s="131">
        <f>IFERROR('Price History'!D3+(INDEX('Price History'!D:D,MATCH(9.99E+307,'Returns (Calc)'!$A:$A)+1)-'Price History'!D3)*(ROW()-3)/(MATCH(9.99E+307,'Returns (Calc)'!$A:$A)-3),"")</f>
        <v>1151.4467088607594</v>
      </c>
      <c r="Z73" s="131">
        <f>IFERROR('Price History'!E3+(INDEX('Price History'!E:E,MATCH(9.99E+307,'Returns (Calc)'!$A:$A)+1)-'Price History'!E3)*(ROW()-3)/(MATCH(9.99E+307,'Returns (Calc)'!$A:$A)-3),"")</f>
        <v>203.0113924050633</v>
      </c>
      <c r="AA73" s="131">
        <f>IFERROR('Price History'!F3+(INDEX('Price History'!F:F,MATCH(9.99E+307,'Returns (Calc)'!$A:$A)+1)-'Price History'!F3)*(ROW()-3)/(MATCH(9.99E+307,'Returns (Calc)'!$A:$A)-3),"")</f>
        <v>142.67392405063293</v>
      </c>
      <c r="AB73" s="131">
        <f>IFERROR('Price History'!G3+(INDEX('Price History'!G:G,MATCH(9.99E+307,'Returns (Calc)'!$A:$A)+1)-'Price History'!G3)*(ROW()-3)/(MATCH(9.99E+307,'Returns (Calc)'!$A:$A)-3),"")</f>
        <v>116.3613924050633</v>
      </c>
      <c r="AC73" s="131">
        <f>IFERROR('Price History'!H3+(INDEX('Price History'!H:H,MATCH(9.99E+307,'Returns (Calc)'!$A:$A)+1)-'Price History'!H3)*(ROW()-3)/(MATCH(9.99E+307,'Returns (Calc)'!$A:$A)-3),"")</f>
        <v>514.70873417721521</v>
      </c>
      <c r="AD73" s="131">
        <f>IFERROR('Price History'!I3+(INDEX('Price History'!I:I,MATCH(9.99E+307,'Returns (Calc)'!$A:$A)+1)-'Price History'!I3)*(ROW()-3)/(MATCH(9.99E+307,'Returns (Calc)'!$A:$A)-3),"")</f>
        <v>128.02696202531644</v>
      </c>
      <c r="AE73" s="131">
        <f>IFERROR('Price History'!J3+(INDEX('Price History'!J:J,MATCH(9.99E+307,'Returns (Calc)'!$A:$A)+1)-'Price History'!J3)*(ROW()-3)/(MATCH(9.99E+307,'Returns (Calc)'!$A:$A)-3),"")</f>
        <v>119.40265822784811</v>
      </c>
      <c r="AF73" s="131">
        <f>IFERROR('Price History'!K3+(INDEX('Price History'!K:K,MATCH(9.99E+307,'Returns (Calc)'!$A:$A)+1)-'Price History'!K3)*(ROW()-3)/(MATCH(9.99E+307,'Returns (Calc)'!$A:$A)-3),"")</f>
        <v>92.161645569620248</v>
      </c>
      <c r="AG73" s="131">
        <f>IFERROR('Price History'!L3+(INDEX('Price History'!L:L,MATCH(9.99E+307,'Returns (Calc)'!$A:$A)+1)-'Price History'!L3)*(ROW()-3)/(MATCH(9.99E+307,'Returns (Calc)'!$A:$A)-3),"")</f>
        <v>257.21898734177216</v>
      </c>
      <c r="AH73" s="131">
        <f>IFERROR('Price History'!M3+(INDEX('Price History'!M:M,MATCH(9.99E+307,'Returns (Calc)'!$A:$A)+1)-'Price History'!M3)*(ROW()-3)/(MATCH(9.99E+307,'Returns (Calc)'!$A:$A)-3),"")</f>
        <v>132.90101265822784</v>
      </c>
      <c r="AI73" s="131">
        <f>IFERROR('Price History'!N3+(INDEX('Price History'!N:N,MATCH(9.99E+307,'Returns (Calc)'!$A:$A)+1)-'Price History'!N3)*(ROW()-3)/(MATCH(9.99E+307,'Returns (Calc)'!$A:$A)-3),"")</f>
        <v>417.93860759493668</v>
      </c>
      <c r="AJ73" s="131">
        <f>IFERROR('Price History'!O3+(INDEX('Price History'!O:O,MATCH(9.99E+307,'Returns (Calc)'!$A:$A)+1)-'Price History'!O3)*(ROW()-3)/(MATCH(9.99E+307,'Returns (Calc)'!$A:$A)-3),"")</f>
        <v>95.122658227848106</v>
      </c>
      <c r="AK73" s="131">
        <f>IFERROR('Price History'!Q3+(INDEX('Price History'!Q:Q,MATCH(9.99E+307,'Returns (Calc)'!$A:$A)+1)-'Price History'!Q3)*(ROW()-3)/(MATCH(9.99E+307,'Returns (Calc)'!$A:$A)-3),"")</f>
        <v>30.755696202531649</v>
      </c>
      <c r="AL73" s="131">
        <f>IFERROR('Price History'!R3+(INDEX('Price History'!R:R,MATCH(9.99E+307,'Returns (Calc)'!$A:$A)+1)-'Price History'!R3)*(ROW()-3)/(MATCH(9.99E+307,'Returns (Calc)'!$A:$A)-3),"")</f>
        <v>46.247088607594932</v>
      </c>
      <c r="AM73" s="131">
        <f>IFERROR('Price History'!S3+(INDEX('Price History'!S:S,MATCH(9.99E+307,'Returns (Calc)'!$A:$A)+1)-'Price History'!S3)*(ROW()-3)/(MATCH(9.99E+307,'Returns (Calc)'!$A:$A)-3),"")</f>
        <v>99.98443037974684</v>
      </c>
      <c r="AN73" s="131">
        <f>IFERROR('Price History'!T3+(INDEX('Price History'!T:T,MATCH(9.99E+307,'Returns (Calc)'!$A:$A)+1)-'Price History'!T3)*(ROW()-3)/(MATCH(9.99E+307,'Returns (Calc)'!$A:$A)-3),"")</f>
        <v>37.015949367088609</v>
      </c>
      <c r="AO73" s="132">
        <f>IFERROR('Price History'!V3+(INDEX('Price History'!V:V,MATCH(9.99E+307,'Returns (Calc)'!$A:$A)+1)-'Price History'!V3)*(ROW()-3)/(MATCH(9.99E+307,'Returns (Calc)'!$A:$A)-3),"")</f>
        <v>291.02303797468358</v>
      </c>
      <c r="AP73" s="130">
        <f>IFERROR(IF(OR(NOT(ISNUMBER('Price History'!W74)),NOT(ISNUMBER('Price History'!W73)),'Price History'!W73=0),"",'Price History'!W74/'Price History'!W73-1),"")</f>
        <v>1.0388580491673238E-2</v>
      </c>
      <c r="AQ73" s="130" t="str">
        <f>IFERROR(IF(OR(NOT(ISNUMBER('Price History'!X74)),NOT(ISNUMBER('Price History'!X73)),'Price History'!X73=0),"",'Price History'!X74/'Price History'!X73-1),"")</f>
        <v/>
      </c>
      <c r="AR73" s="130">
        <f>IFERROR(IF(OR(NOT(ISNUMBER('Price History'!Y74)),NOT(ISNUMBER('Price History'!Y73)),'Price History'!Y73=0),"",'Price History'!Y74/'Price History'!Y73-1),"")</f>
        <v>1.0252365930599527E-2</v>
      </c>
      <c r="AS73" s="130">
        <f>IFERROR(IF(OR(NOT(ISNUMBER('Price History'!Z74)),NOT(ISNUMBER('Price History'!Z73)),'Price History'!Z73=0),"",'Price History'!Z74/'Price History'!Z73-1),"")</f>
        <v>7.6053386278402968E-2</v>
      </c>
      <c r="AT73" s="130">
        <f>IFERROR(IF(OR(NOT(ISNUMBER('Price History'!AA74)),NOT(ISNUMBER('Price History'!AA73)),'Price History'!AA73=0),"",'Price History'!AA74/'Price History'!AA73-1),"")</f>
        <v>0.13926115837315001</v>
      </c>
    </row>
    <row r="74" spans="1:46" ht="15" customHeight="1" x14ac:dyDescent="0.2">
      <c r="A74" s="128">
        <f>IF('Price History'!A75="","",'Price History'!A75)</f>
        <v>45688</v>
      </c>
      <c r="B74" s="129">
        <f>IFERROR(IF(OR(NOT(ISNUMBER('Price History'!B75)),NOT(ISNUMBER('Price History'!B74)),'Price History'!B74=0),"",'Price History'!B75/'Price History'!B74-1),"")</f>
        <v>4.7544673618447053E-3</v>
      </c>
      <c r="C74" s="129">
        <f>IFERROR(IF(OR(NOT(ISNUMBER('Price History'!C75)),NOT(ISNUMBER('Price History'!C74)),'Price History'!C74=0),"",'Price History'!C75/'Price History'!C74-1),"")</f>
        <v>-0.10791979561817744</v>
      </c>
      <c r="D74" s="129">
        <f>IFERROR(IF(OR(NOT(ISNUMBER('Price History'!D75)),NOT(ISNUMBER('Price History'!D74)),'Price History'!D74=0),"",'Price History'!D75/'Price History'!D74-1),"")</f>
        <v>9.6418923599084216E-3</v>
      </c>
      <c r="E74" s="129">
        <f>IFERROR(IF(OR(NOT(ISNUMBER('Price History'!E75)),NOT(ISNUMBER('Price History'!E74)),'Price History'!E74=0),"",'Price History'!E75/'Price History'!E74-1),"")</f>
        <v>-9.5737623351853429E-2</v>
      </c>
      <c r="F74" s="129">
        <f>IFERROR(IF(OR(NOT(ISNUMBER('Price History'!F75)),NOT(ISNUMBER('Price History'!F74)),'Price History'!F74=0),"",'Price History'!F75/'Price History'!F74-1),"")</f>
        <v>6.1773178278032637E-2</v>
      </c>
      <c r="G74" s="129">
        <f>IFERROR(IF(OR(NOT(ISNUMBER('Price History'!G75)),NOT(ISNUMBER('Price History'!G74)),'Price History'!G74=0),"",'Price History'!G75/'Price History'!G74-1),"")</f>
        <v>-1.5390846496557087E-2</v>
      </c>
      <c r="H74" s="129">
        <f>IFERROR(IF(OR(NOT(ISNUMBER('Price History'!H75)),NOT(ISNUMBER('Price History'!H74)),'Price History'!H74=0),"",'Price History'!H75/'Price History'!H74-1),"")</f>
        <v>-0.11577001653857388</v>
      </c>
      <c r="I74" s="129">
        <f>IFERROR(IF(OR(NOT(ISNUMBER('Price History'!I75)),NOT(ISNUMBER('Price History'!I74)),'Price History'!I74=0),"",'Price History'!I75/'Price History'!I74-1),"")</f>
        <v>-0.15810193321616872</v>
      </c>
      <c r="J74" s="129">
        <f>IFERROR(IF(OR(NOT(ISNUMBER('Price History'!J75)),NOT(ISNUMBER('Price History'!J74)),'Price History'!J74=0),"",'Price History'!J75/'Price History'!J74-1),"")</f>
        <v>2.6735585063721867E-3</v>
      </c>
      <c r="K74" s="129">
        <f>IFERROR(IF(OR(NOT(ISNUMBER('Price History'!K75)),NOT(ISNUMBER('Price History'!K74)),'Price History'!K74=0),"",'Price History'!K75/'Price History'!K74-1),"")</f>
        <v>4.4441630792605658E-2</v>
      </c>
      <c r="L74" s="129">
        <f>IFERROR(IF(OR(NOT(ISNUMBER('Price History'!L75)),NOT(ISNUMBER('Price History'!L74)),'Price History'!L74=0),"",'Price History'!L75/'Price History'!L74-1),"")</f>
        <v>-5.6578583924132175E-2</v>
      </c>
      <c r="M74" s="129">
        <f>IFERROR(IF(OR(NOT(ISNUMBER('Price History'!M75)),NOT(ISNUMBER('Price History'!M74)),'Price History'!M74=0),"",'Price History'!M75/'Price History'!M74-1),"")</f>
        <v>-0.20026025614683929</v>
      </c>
      <c r="N74" s="129">
        <f>IFERROR(IF(OR(NOT(ISNUMBER('Price History'!N75)),NOT(ISNUMBER('Price History'!N74)),'Price History'!N74=0),"",'Price History'!N75/'Price History'!N74-1),"")</f>
        <v>5.0179700650561765E-2</v>
      </c>
      <c r="O74" s="129">
        <f>IFERROR(IF(OR(NOT(ISNUMBER('Price History'!O75)),NOT(ISNUMBER('Price History'!O74)),'Price History'!O74=0),"",'Price History'!O75/'Price History'!O74-1),"")</f>
        <v>-1.5118790496760237E-2</v>
      </c>
      <c r="P74" s="129">
        <f>IFERROR(IF(OR(NOT(ISNUMBER('Price History'!P75)),NOT(ISNUMBER('Price History'!P74)),'Price History'!P74=0),"",'Price History'!P75/'Price History'!P74-1),"")</f>
        <v>-2.5965850971751969E-3</v>
      </c>
      <c r="Q74" s="129">
        <f>IFERROR(IF(OR(NOT(ISNUMBER('Price History'!Q75)),NOT(ISNUMBER('Price History'!Q74)),'Price History'!Q74=0),"",'Price History'!Q75/'Price History'!Q74-1),"")</f>
        <v>-8.6179380785189608E-3</v>
      </c>
      <c r="R74" s="129">
        <f>IFERROR(IF(OR(NOT(ISNUMBER('Price History'!R75)),NOT(ISNUMBER('Price History'!R74)),'Price History'!R74=0),"",'Price History'!R75/'Price History'!R74-1),"")</f>
        <v>-1.0309278350515538E-2</v>
      </c>
      <c r="S74" s="129">
        <f>IFERROR(IF(OR(NOT(ISNUMBER('Price History'!S75)),NOT(ISNUMBER('Price History'!S74)),'Price History'!S74=0),"",'Price History'!S75/'Price History'!S74-1),"")</f>
        <v>-1.2708896227359268E-2</v>
      </c>
      <c r="T74" s="129">
        <f>IFERROR(IF(OR(NOT(ISNUMBER('Price History'!T75)),NOT(ISNUMBER('Price History'!T74)),'Price History'!T74=0),"",'Price History'!T75/'Price History'!T74-1),"")</f>
        <v>-1.0271041369472211E-2</v>
      </c>
      <c r="U74" s="129">
        <f>IFERROR(IF(OR(NOT(ISNUMBER('Price History'!U75)),NOT(ISNUMBER('Price History'!U74)),'Price History'!U74=0),"",'Price History'!U75/'Price History'!U74-1),"")</f>
        <v>-8.3459787556904308E-3</v>
      </c>
      <c r="V74" s="130">
        <f>IFERROR(IF(OR(NOT(ISNUMBER('Price History'!V75)),NOT(ISNUMBER('Price History'!V74)),'Price History'!V74=0),"",'Price History'!V75/'Price History'!V74-1),"")</f>
        <v>3.5132398514927443E-2</v>
      </c>
      <c r="W74" s="131">
        <f>IFERROR('Price History'!B3+(INDEX('Price History'!B:B,MATCH(9.99E+307,'Returns (Calc)'!$A:$A)+1)-'Price History'!B3)*(ROW()-3)/(MATCH(9.99E+307,'Returns (Calc)'!$A:$A)-3),"")</f>
        <v>398.03430379746834</v>
      </c>
      <c r="X74" s="131">
        <f>IFERROR('Price History'!C3+(INDEX('Price History'!C:C,MATCH(9.99E+307,'Returns (Calc)'!$A:$A)+1)-'Price History'!C3)*(ROW()-3)/(MATCH(9.99E+307,'Returns (Calc)'!$A:$A)-3),"")</f>
        <v>118.60449367088609</v>
      </c>
      <c r="Y74" s="131">
        <f>IFERROR('Price History'!D3+(INDEX('Price History'!D:D,MATCH(9.99E+307,'Returns (Calc)'!$A:$A)+1)-'Price History'!D3)*(ROW()-3)/(MATCH(9.99E+307,'Returns (Calc)'!$A:$A)-3),"")</f>
        <v>1159.581518987342</v>
      </c>
      <c r="Z74" s="131">
        <f>IFERROR('Price History'!E3+(INDEX('Price History'!E:E,MATCH(9.99E+307,'Returns (Calc)'!$A:$A)+1)-'Price History'!E3)*(ROW()-3)/(MATCH(9.99E+307,'Returns (Calc)'!$A:$A)-3),"")</f>
        <v>204.74012658227849</v>
      </c>
      <c r="AA74" s="131">
        <f>IFERROR('Price History'!F3+(INDEX('Price History'!F:F,MATCH(9.99E+307,'Returns (Calc)'!$A:$A)+1)-'Price History'!F3)*(ROW()-3)/(MATCH(9.99E+307,'Returns (Calc)'!$A:$A)-3),"")</f>
        <v>144.12126582278481</v>
      </c>
      <c r="AB74" s="131">
        <f>IFERROR('Price History'!G3+(INDEX('Price History'!G:G,MATCH(9.99E+307,'Returns (Calc)'!$A:$A)+1)-'Price History'!G3)*(ROW()-3)/(MATCH(9.99E+307,'Returns (Calc)'!$A:$A)-3),"")</f>
        <v>117.39012658227847</v>
      </c>
      <c r="AC74" s="131">
        <f>IFERROR('Price History'!H3+(INDEX('Price History'!H:H,MATCH(9.99E+307,'Returns (Calc)'!$A:$A)+1)-'Price History'!H3)*(ROW()-3)/(MATCH(9.99E+307,'Returns (Calc)'!$A:$A)-3),"")</f>
        <v>521.0744303797469</v>
      </c>
      <c r="AD74" s="131">
        <f>IFERROR('Price History'!I3+(INDEX('Price History'!I:I,MATCH(9.99E+307,'Returns (Calc)'!$A:$A)+1)-'Price History'!I3)*(ROW()-3)/(MATCH(9.99E+307,'Returns (Calc)'!$A:$A)-3),"")</f>
        <v>129.23063291139241</v>
      </c>
      <c r="AE74" s="131">
        <f>IFERROR('Price History'!J3+(INDEX('Price History'!J:J,MATCH(9.99E+307,'Returns (Calc)'!$A:$A)+1)-'Price History'!J3)*(ROW()-3)/(MATCH(9.99E+307,'Returns (Calc)'!$A:$A)-3),"")</f>
        <v>119.51069620253165</v>
      </c>
      <c r="AF74" s="131">
        <f>IFERROR('Price History'!K3+(INDEX('Price History'!K:K,MATCH(9.99E+307,'Returns (Calc)'!$A:$A)+1)-'Price History'!K3)*(ROW()-3)/(MATCH(9.99E+307,'Returns (Calc)'!$A:$A)-3),"")</f>
        <v>93.259240506329107</v>
      </c>
      <c r="AG74" s="131">
        <f>IFERROR('Price History'!L3+(INDEX('Price History'!L:L,MATCH(9.99E+307,'Returns (Calc)'!$A:$A)+1)-'Price History'!L3)*(ROW()-3)/(MATCH(9.99E+307,'Returns (Calc)'!$A:$A)-3),"")</f>
        <v>259.66854430379749</v>
      </c>
      <c r="AH74" s="131">
        <f>IFERROR('Price History'!M3+(INDEX('Price History'!M:M,MATCH(9.99E+307,'Returns (Calc)'!$A:$A)+1)-'Price History'!M3)*(ROW()-3)/(MATCH(9.99E+307,'Returns (Calc)'!$A:$A)-3),"")</f>
        <v>134.25645569620255</v>
      </c>
      <c r="AI74" s="131">
        <f>IFERROR('Price History'!N3+(INDEX('Price History'!N:N,MATCH(9.99E+307,'Returns (Calc)'!$A:$A)+1)-'Price History'!N3)*(ROW()-3)/(MATCH(9.99E+307,'Returns (Calc)'!$A:$A)-3),"")</f>
        <v>418.92487341772153</v>
      </c>
      <c r="AJ74" s="131">
        <f>IFERROR('Price History'!O3+(INDEX('Price History'!O:O,MATCH(9.99E+307,'Returns (Calc)'!$A:$A)+1)-'Price History'!O3)*(ROW()-3)/(MATCH(9.99E+307,'Returns (Calc)'!$A:$A)-3),"")</f>
        <v>95.405696202531644</v>
      </c>
      <c r="AK74" s="131">
        <f>IFERROR('Price History'!Q3+(INDEX('Price History'!Q:Q,MATCH(9.99E+307,'Returns (Calc)'!$A:$A)+1)-'Price History'!Q3)*(ROW()-3)/(MATCH(9.99E+307,'Returns (Calc)'!$A:$A)-3),"")</f>
        <v>31.195063291139238</v>
      </c>
      <c r="AL74" s="131">
        <f>IFERROR('Price History'!R3+(INDEX('Price History'!R:R,MATCH(9.99E+307,'Returns (Calc)'!$A:$A)+1)-'Price History'!R3)*(ROW()-3)/(MATCH(9.99E+307,'Returns (Calc)'!$A:$A)-3),"")</f>
        <v>46.415189873417717</v>
      </c>
      <c r="AM74" s="131">
        <f>IFERROR('Price History'!S3+(INDEX('Price History'!S:S,MATCH(9.99E+307,'Returns (Calc)'!$A:$A)+1)-'Price History'!S3)*(ROW()-3)/(MATCH(9.99E+307,'Returns (Calc)'!$A:$A)-3),"")</f>
        <v>100.58949367088607</v>
      </c>
      <c r="AN74" s="131">
        <f>IFERROR('Price History'!T3+(INDEX('Price History'!T:T,MATCH(9.99E+307,'Returns (Calc)'!$A:$A)+1)-'Price History'!T3)*(ROW()-3)/(MATCH(9.99E+307,'Returns (Calc)'!$A:$A)-3),"")</f>
        <v>37.184177215189877</v>
      </c>
      <c r="AO74" s="132">
        <f>IFERROR('Price History'!V3+(INDEX('Price History'!V:V,MATCH(9.99E+307,'Returns (Calc)'!$A:$A)+1)-'Price History'!V3)*(ROW()-3)/(MATCH(9.99E+307,'Returns (Calc)'!$A:$A)-3),"")</f>
        <v>291.81436708860758</v>
      </c>
      <c r="AP74" s="130">
        <f>IFERROR(IF(OR(NOT(ISNUMBER('Price History'!W75)),NOT(ISNUMBER('Price History'!W74)),'Price History'!W74=0),"",'Price History'!W75/'Price History'!W74-1),"")</f>
        <v>-5.2586139235538676E-3</v>
      </c>
      <c r="AQ74" s="130" t="str">
        <f>IFERROR(IF(OR(NOT(ISNUMBER('Price History'!X75)),NOT(ISNUMBER('Price History'!X74)),'Price History'!X74=0),"",'Price History'!X75/'Price History'!X74-1),"")</f>
        <v/>
      </c>
      <c r="AR74" s="130">
        <f>IFERROR(IF(OR(NOT(ISNUMBER('Price History'!Y75)),NOT(ISNUMBER('Price History'!Y74)),'Price History'!Y74=0),"",'Price History'!Y75/'Price History'!Y74-1),"")</f>
        <v>-2.1467603434816018E-3</v>
      </c>
      <c r="AS74" s="130">
        <f>IFERROR(IF(OR(NOT(ISNUMBER('Price History'!Z75)),NOT(ISNUMBER('Price History'!Z74)),'Price History'!Z74=0),"",'Price History'!Z75/'Price History'!Z74-1),"")</f>
        <v>3.4647122136230779E-2</v>
      </c>
      <c r="AT74" s="130">
        <f>IFERROR(IF(OR(NOT(ISNUMBER('Price History'!AA75)),NOT(ISNUMBER('Price History'!AA74)),'Price History'!AA74=0),"",'Price History'!AA75/'Price History'!AA74-1),"")</f>
        <v>-8.1833060556457671E-4</v>
      </c>
    </row>
    <row r="75" spans="1:46" ht="15" customHeight="1" x14ac:dyDescent="0.2">
      <c r="A75" s="128">
        <f>IF('Price History'!A76="","",'Price History'!A76)</f>
        <v>45695</v>
      </c>
      <c r="B75" s="129">
        <f>IFERROR(IF(OR(NOT(ISNUMBER('Price History'!B76)),NOT(ISNUMBER('Price History'!B75)),'Price History'!B75=0),"",'Price History'!B76/'Price History'!B75-1),"")</f>
        <v>-1.0012572865470304E-2</v>
      </c>
      <c r="C75" s="129">
        <f>IFERROR(IF(OR(NOT(ISNUMBER('Price History'!C76)),NOT(ISNUMBER('Price History'!C75)),'Price History'!C75=0),"",'Price History'!C76/'Price History'!C75-1),"")</f>
        <v>2.8117677688102027E-2</v>
      </c>
      <c r="D75" s="129">
        <f>IFERROR(IF(OR(NOT(ISNUMBER('Price History'!D76)),NOT(ISNUMBER('Price History'!D75)),'Price History'!D75=0),"",'Price History'!D76/'Price History'!D75-1),"")</f>
        <v>-1.5696820844938952E-2</v>
      </c>
      <c r="E75" s="129">
        <f>IFERROR(IF(OR(NOT(ISNUMBER('Price History'!E76)),NOT(ISNUMBER('Price History'!E75)),'Price History'!E75=0),"",'Price History'!E76/'Price History'!E75-1),"")</f>
        <v>1.6231830895501842E-2</v>
      </c>
      <c r="F75" s="129">
        <f>IFERROR(IF(OR(NOT(ISNUMBER('Price History'!F76)),NOT(ISNUMBER('Price History'!F75)),'Price History'!F75=0),"",'Price History'!F76/'Price History'!F75-1),"")</f>
        <v>5.9083601286173737E-2</v>
      </c>
      <c r="G75" s="129">
        <f>IFERROR(IF(OR(NOT(ISNUMBER('Price History'!G76)),NOT(ISNUMBER('Price History'!G75)),'Price History'!G75=0),"",'Price History'!G76/'Price History'!G75-1),"")</f>
        <v>1.2751953928424431E-2</v>
      </c>
      <c r="H75" s="129">
        <f>IFERROR(IF(OR(NOT(ISNUMBER('Price History'!H76)),NOT(ISNUMBER('Price History'!H75)),'Price History'!H75=0),"",'Price History'!H76/'Price History'!H75-1),"")</f>
        <v>1.1662449114314022E-2</v>
      </c>
      <c r="I75" s="129">
        <f>IFERROR(IF(OR(NOT(ISNUMBER('Price History'!I76)),NOT(ISNUMBER('Price History'!I75)),'Price History'!I75=0),"",'Price History'!I76/'Price History'!I75-1),"")</f>
        <v>8.1329325317301304E-2</v>
      </c>
      <c r="J75" s="129">
        <f>IFERROR(IF(OR(NOT(ISNUMBER('Price History'!J76)),NOT(ISNUMBER('Price History'!J75)),'Price History'!J75=0),"",'Price History'!J76/'Price History'!J75-1),"")</f>
        <v>-1.5909696915829774E-2</v>
      </c>
      <c r="K75" s="129">
        <f>IFERROR(IF(OR(NOT(ISNUMBER('Price History'!K76)),NOT(ISNUMBER('Price History'!K75)),'Price History'!K75=0),"",'Price History'!K76/'Price History'!K75-1),"")</f>
        <v>0.34379924839374465</v>
      </c>
      <c r="L75" s="129">
        <f>IFERROR(IF(OR(NOT(ISNUMBER('Price History'!L76)),NOT(ISNUMBER('Price History'!L75)),'Price History'!L75=0),"",'Price History'!L76/'Price History'!L75-1),"")</f>
        <v>-1.532230517737776E-2</v>
      </c>
      <c r="M75" s="129">
        <f>IFERROR(IF(OR(NOT(ISNUMBER('Price History'!M76)),NOT(ISNUMBER('Price History'!M75)),'Price History'!M75=0),"",'Price History'!M76/'Price History'!M75-1),"")</f>
        <v>3.7252719020296476E-2</v>
      </c>
      <c r="N75" s="129">
        <f>IFERROR(IF(OR(NOT(ISNUMBER('Price History'!N76)),NOT(ISNUMBER('Price History'!N75)),'Price History'!N75=0),"",'Price History'!N76/'Price History'!N75-1),"")</f>
        <v>1.6548258534049509E-2</v>
      </c>
      <c r="O75" s="129">
        <f>IFERROR(IF(OR(NOT(ISNUMBER('Price History'!O76)),NOT(ISNUMBER('Price History'!O75)),'Price History'!O75=0),"",'Price History'!O76/'Price History'!O75-1),"")</f>
        <v>-1.1591478696741819E-2</v>
      </c>
      <c r="P75" s="129">
        <f>IFERROR(IF(OR(NOT(ISNUMBER('Price History'!P76)),NOT(ISNUMBER('Price History'!P75)),'Price History'!P75=0),"",'Price History'!P76/'Price History'!P75-1),"")</f>
        <v>-4.8122436099715671E-3</v>
      </c>
      <c r="Q75" s="129">
        <f>IFERROR(IF(OR(NOT(ISNUMBER('Price History'!Q76)),NOT(ISNUMBER('Price History'!Q75)),'Price History'!Q75=0),"",'Price History'!Q76/'Price History'!Q75-1),"")</f>
        <v>-6.4391500321958617E-4</v>
      </c>
      <c r="R75" s="129">
        <f>IFERROR(IF(OR(NOT(ISNUMBER('Price History'!R76)),NOT(ISNUMBER('Price History'!R75)),'Price History'!R75=0),"",'Price History'!R76/'Price History'!R75-1),"")</f>
        <v>2.5510204081631294E-3</v>
      </c>
      <c r="S75" s="129">
        <f>IFERROR(IF(OR(NOT(ISNUMBER('Price History'!S76)),NOT(ISNUMBER('Price History'!S75)),'Price History'!S75=0),"",'Price History'!S76/'Price History'!S75-1),"")</f>
        <v>1.9866207176160611E-2</v>
      </c>
      <c r="T75" s="129">
        <f>IFERROR(IF(OR(NOT(ISNUMBER('Price History'!T76)),NOT(ISNUMBER('Price History'!T75)),'Price History'!T75=0),"",'Price History'!T76/'Price History'!T75-1),"")</f>
        <v>-7.4949553185355011E-3</v>
      </c>
      <c r="U75" s="129">
        <f>IFERROR(IF(OR(NOT(ISNUMBER('Price History'!U76)),NOT(ISNUMBER('Price History'!U75)),'Price History'!U75=0),"",'Price History'!U76/'Price History'!U75-1),"")</f>
        <v>-9.9464422341239977E-3</v>
      </c>
      <c r="V75" s="130">
        <f>IFERROR(IF(OR(NOT(ISNUMBER('Price History'!V76)),NOT(ISNUMBER('Price History'!V75)),'Price History'!V75=0),"",'Price History'!V76/'Price History'!V75-1),"")</f>
        <v>1.820014228124256E-2</v>
      </c>
      <c r="W75" s="131">
        <f>IFERROR('Price History'!B3+(INDEX('Price History'!B:B,MATCH(9.99E+307,'Returns (Calc)'!$A:$A)+1)-'Price History'!B3)*(ROW()-3)/(MATCH(9.99E+307,'Returns (Calc)'!$A:$A)-3),"")</f>
        <v>396.19126582278477</v>
      </c>
      <c r="X75" s="131">
        <f>IFERROR('Price History'!C3+(INDEX('Price History'!C:C,MATCH(9.99E+307,'Returns (Calc)'!$A:$A)+1)-'Price History'!C3)*(ROW()-3)/(MATCH(9.99E+307,'Returns (Calc)'!$A:$A)-3),"")</f>
        <v>119.62455696202531</v>
      </c>
      <c r="Y75" s="131">
        <f>IFERROR('Price History'!D3+(INDEX('Price History'!D:D,MATCH(9.99E+307,'Returns (Calc)'!$A:$A)+1)-'Price History'!D3)*(ROW()-3)/(MATCH(9.99E+307,'Returns (Calc)'!$A:$A)-3),"")</f>
        <v>1167.7163291139241</v>
      </c>
      <c r="Z75" s="131">
        <f>IFERROR('Price History'!E3+(INDEX('Price History'!E:E,MATCH(9.99E+307,'Returns (Calc)'!$A:$A)+1)-'Price History'!E3)*(ROW()-3)/(MATCH(9.99E+307,'Returns (Calc)'!$A:$A)-3),"")</f>
        <v>206.46886075949368</v>
      </c>
      <c r="AA75" s="131">
        <f>IFERROR('Price History'!F3+(INDEX('Price History'!F:F,MATCH(9.99E+307,'Returns (Calc)'!$A:$A)+1)-'Price History'!F3)*(ROW()-3)/(MATCH(9.99E+307,'Returns (Calc)'!$A:$A)-3),"")</f>
        <v>145.56860759493671</v>
      </c>
      <c r="AB75" s="131">
        <f>IFERROR('Price History'!G3+(INDEX('Price History'!G:G,MATCH(9.99E+307,'Returns (Calc)'!$A:$A)+1)-'Price History'!G3)*(ROW()-3)/(MATCH(9.99E+307,'Returns (Calc)'!$A:$A)-3),"")</f>
        <v>118.41886075949367</v>
      </c>
      <c r="AC75" s="131">
        <f>IFERROR('Price History'!H3+(INDEX('Price History'!H:H,MATCH(9.99E+307,'Returns (Calc)'!$A:$A)+1)-'Price History'!H3)*(ROW()-3)/(MATCH(9.99E+307,'Returns (Calc)'!$A:$A)-3),"")</f>
        <v>527.44012658227848</v>
      </c>
      <c r="AD75" s="131">
        <f>IFERROR('Price History'!I3+(INDEX('Price History'!I:I,MATCH(9.99E+307,'Returns (Calc)'!$A:$A)+1)-'Price History'!I3)*(ROW()-3)/(MATCH(9.99E+307,'Returns (Calc)'!$A:$A)-3),"")</f>
        <v>130.43430379746835</v>
      </c>
      <c r="AE75" s="131">
        <f>IFERROR('Price History'!J3+(INDEX('Price History'!J:J,MATCH(9.99E+307,'Returns (Calc)'!$A:$A)+1)-'Price History'!J3)*(ROW()-3)/(MATCH(9.99E+307,'Returns (Calc)'!$A:$A)-3),"")</f>
        <v>119.61873417721519</v>
      </c>
      <c r="AF75" s="131">
        <f>IFERROR('Price History'!K3+(INDEX('Price History'!K:K,MATCH(9.99E+307,'Returns (Calc)'!$A:$A)+1)-'Price History'!K3)*(ROW()-3)/(MATCH(9.99E+307,'Returns (Calc)'!$A:$A)-3),"")</f>
        <v>94.356835443037966</v>
      </c>
      <c r="AG75" s="131">
        <f>IFERROR('Price History'!L3+(INDEX('Price History'!L:L,MATCH(9.99E+307,'Returns (Calc)'!$A:$A)+1)-'Price History'!L3)*(ROW()-3)/(MATCH(9.99E+307,'Returns (Calc)'!$A:$A)-3),"")</f>
        <v>262.11810126582276</v>
      </c>
      <c r="AH75" s="131">
        <f>IFERROR('Price History'!M3+(INDEX('Price History'!M:M,MATCH(9.99E+307,'Returns (Calc)'!$A:$A)+1)-'Price History'!M3)*(ROW()-3)/(MATCH(9.99E+307,'Returns (Calc)'!$A:$A)-3),"")</f>
        <v>135.61189873417723</v>
      </c>
      <c r="AI75" s="131">
        <f>IFERROR('Price History'!N3+(INDEX('Price History'!N:N,MATCH(9.99E+307,'Returns (Calc)'!$A:$A)+1)-'Price History'!N3)*(ROW()-3)/(MATCH(9.99E+307,'Returns (Calc)'!$A:$A)-3),"")</f>
        <v>419.91113924050632</v>
      </c>
      <c r="AJ75" s="131">
        <f>IFERROR('Price History'!O3+(INDEX('Price History'!O:O,MATCH(9.99E+307,'Returns (Calc)'!$A:$A)+1)-'Price History'!O3)*(ROW()-3)/(MATCH(9.99E+307,'Returns (Calc)'!$A:$A)-3),"")</f>
        <v>95.688734177215196</v>
      </c>
      <c r="AK75" s="131">
        <f>IFERROR('Price History'!Q3+(INDEX('Price History'!Q:Q,MATCH(9.99E+307,'Returns (Calc)'!$A:$A)+1)-'Price History'!Q3)*(ROW()-3)/(MATCH(9.99E+307,'Returns (Calc)'!$A:$A)-3),"")</f>
        <v>31.634430379746835</v>
      </c>
      <c r="AL75" s="131">
        <f>IFERROR('Price History'!R3+(INDEX('Price History'!R:R,MATCH(9.99E+307,'Returns (Calc)'!$A:$A)+1)-'Price History'!R3)*(ROW()-3)/(MATCH(9.99E+307,'Returns (Calc)'!$A:$A)-3),"")</f>
        <v>46.583291139240501</v>
      </c>
      <c r="AM75" s="131">
        <f>IFERROR('Price History'!S3+(INDEX('Price History'!S:S,MATCH(9.99E+307,'Returns (Calc)'!$A:$A)+1)-'Price History'!S3)*(ROW()-3)/(MATCH(9.99E+307,'Returns (Calc)'!$A:$A)-3),"")</f>
        <v>101.19455696202532</v>
      </c>
      <c r="AN75" s="131">
        <f>IFERROR('Price History'!T3+(INDEX('Price History'!T:T,MATCH(9.99E+307,'Returns (Calc)'!$A:$A)+1)-'Price History'!T3)*(ROW()-3)/(MATCH(9.99E+307,'Returns (Calc)'!$A:$A)-3),"")</f>
        <v>37.352405063291137</v>
      </c>
      <c r="AO75" s="132">
        <f>IFERROR('Price History'!V3+(INDEX('Price History'!V:V,MATCH(9.99E+307,'Returns (Calc)'!$A:$A)+1)-'Price History'!V3)*(ROW()-3)/(MATCH(9.99E+307,'Returns (Calc)'!$A:$A)-3),"")</f>
        <v>292.60569620253165</v>
      </c>
      <c r="AP75" s="130">
        <f>IFERROR(IF(OR(NOT(ISNUMBER('Price History'!W76)),NOT(ISNUMBER('Price History'!W75)),'Price History'!W75=0),"",'Price History'!W76/'Price History'!W75-1),"")</f>
        <v>-3.1560675398445426E-4</v>
      </c>
      <c r="AQ75" s="130" t="str">
        <f>IFERROR(IF(OR(NOT(ISNUMBER('Price History'!X76)),NOT(ISNUMBER('Price History'!X75)),'Price History'!X75=0),"",'Price History'!X76/'Price History'!X75-1),"")</f>
        <v/>
      </c>
      <c r="AR75" s="130">
        <f>IFERROR(IF(OR(NOT(ISNUMBER('Price History'!Y76)),NOT(ISNUMBER('Price History'!Y75)),'Price History'!Y75=0),"",'Price History'!Y76/'Price History'!Y75-1),"")</f>
        <v>2.3469587326421237E-3</v>
      </c>
      <c r="AS75" s="130">
        <f>IFERROR(IF(OR(NOT(ISNUMBER('Price History'!Z76)),NOT(ISNUMBER('Price History'!Z75)),'Price History'!Z75=0),"",'Price History'!Z76/'Price History'!Z75-1),"")</f>
        <v>8.4212612077079196E-3</v>
      </c>
      <c r="AT75" s="130">
        <f>IFERROR(IF(OR(NOT(ISNUMBER('Price History'!AA76)),NOT(ISNUMBER('Price History'!AA75)),'Price History'!AA75=0),"",'Price History'!AA76/'Price History'!AA75-1),"")</f>
        <v>3.798116298116283E-2</v>
      </c>
    </row>
    <row r="76" spans="1:46" ht="15" customHeight="1" x14ac:dyDescent="0.2">
      <c r="A76" s="128">
        <f>IF('Price History'!A77="","",'Price History'!A77)</f>
        <v>45702</v>
      </c>
      <c r="B76" s="129">
        <f>IFERROR(IF(OR(NOT(ISNUMBER('Price History'!B77)),NOT(ISNUMBER('Price History'!B76)),'Price History'!B76=0),"",'Price History'!B77/'Price History'!B76-1),"")</f>
        <v>6.2553397834068436E-2</v>
      </c>
      <c r="C76" s="129">
        <f>IFERROR(IF(OR(NOT(ISNUMBER('Price History'!C77)),NOT(ISNUMBER('Price History'!C76)),'Price History'!C76=0),"",'Price History'!C77/'Price History'!C76-1),"")</f>
        <v>-9.7915083987507368E-2</v>
      </c>
      <c r="D76" s="129">
        <f>IFERROR(IF(OR(NOT(ISNUMBER('Price History'!D77)),NOT(ISNUMBER('Price History'!D76)),'Price History'!D76=0),"",'Price History'!D77/'Price History'!D76-1),"")</f>
        <v>3.4947098428983692E-2</v>
      </c>
      <c r="E76" s="129">
        <f>IFERROR(IF(OR(NOT(ISNUMBER('Price History'!E77)),NOT(ISNUMBER('Price History'!E76)),'Price History'!E76=0),"",'Price History'!E77/'Price History'!E76-1),"")</f>
        <v>3.6366917836033075E-2</v>
      </c>
      <c r="F76" s="129">
        <f>IFERROR(IF(OR(NOT(ISNUMBER('Price History'!F77)),NOT(ISNUMBER('Price History'!F76)),'Price History'!F76=0),"",'Price History'!F77/'Price History'!F76-1),"")</f>
        <v>7.1442125237191734E-2</v>
      </c>
      <c r="G76" s="129">
        <f>IFERROR(IF(OR(NOT(ISNUMBER('Price History'!G77)),NOT(ISNUMBER('Price History'!G76)),'Price History'!G76=0),"",'Price History'!G77/'Price History'!G76-1),"")</f>
        <v>4.0617384240455578E-3</v>
      </c>
      <c r="H76" s="129">
        <f>IFERROR(IF(OR(NOT(ISNUMBER('Price History'!H77)),NOT(ISNUMBER('Price History'!H76)),'Price History'!H76=0),"",'Price History'!H77/'Price History'!H76-1),"")</f>
        <v>7.8194671016857065E-2</v>
      </c>
      <c r="I76" s="129">
        <f>IFERROR(IF(OR(NOT(ISNUMBER('Price History'!I77)),NOT(ISNUMBER('Price History'!I76)),'Price History'!I76=0),"",'Price History'!I77/'Price History'!I76-1),"")</f>
        <v>6.9420849420849473E-2</v>
      </c>
      <c r="J76" s="129">
        <f>IFERROR(IF(OR(NOT(ISNUMBER('Price History'!J77)),NOT(ISNUMBER('Price History'!J76)),'Price History'!J76=0),"",'Price History'!J77/'Price History'!J76-1),"")</f>
        <v>2.980491329479773E-2</v>
      </c>
      <c r="K76" s="129">
        <f>IFERROR(IF(OR(NOT(ISNUMBER('Price History'!K77)),NOT(ISNUMBER('Price History'!K76)),'Price History'!K76=0),"",'Price History'!K77/'Price History'!K76-1),"")</f>
        <v>7.4966170500676554E-2</v>
      </c>
      <c r="L76" s="129">
        <f>IFERROR(IF(OR(NOT(ISNUMBER('Price History'!L77)),NOT(ISNUMBER('Price History'!L76)),'Price History'!L76=0),"",'Price History'!L77/'Price History'!L76-1),"")</f>
        <v>-1.0753753902571939E-2</v>
      </c>
      <c r="M76" s="129">
        <f>IFERROR(IF(OR(NOT(ISNUMBER('Price History'!M77)),NOT(ISNUMBER('Price History'!M76)),'Price History'!M76=0),"",'Price History'!M77/'Price History'!M76-1),"")</f>
        <v>-0.10980845442536336</v>
      </c>
      <c r="N76" s="129">
        <f>IFERROR(IF(OR(NOT(ISNUMBER('Price History'!N77)),NOT(ISNUMBER('Price History'!N76)),'Price History'!N76=0),"",'Price History'!N77/'Price History'!N76-1),"")</f>
        <v>-2.1989261058552811E-2</v>
      </c>
      <c r="O76" s="129">
        <f>IFERROR(IF(OR(NOT(ISNUMBER('Price History'!O77)),NOT(ISNUMBER('Price History'!O76)),'Price History'!O76=0),"",'Price History'!O77/'Price History'!O76-1),"")</f>
        <v>3.0639197041730792E-3</v>
      </c>
      <c r="P76" s="129">
        <f>IFERROR(IF(OR(NOT(ISNUMBER('Price History'!P77)),NOT(ISNUMBER('Price History'!P76)),'Price History'!P76=0),"",'Price History'!P77/'Price History'!P76-1),"")</f>
        <v>1.1969877130400208E-2</v>
      </c>
      <c r="Q76" s="129">
        <f>IFERROR(IF(OR(NOT(ISNUMBER('Price History'!Q77)),NOT(ISNUMBER('Price History'!Q76)),'Price History'!Q76=0),"",'Price History'!Q77/'Price History'!Q76-1),"")</f>
        <v>1.0470360824742286E-2</v>
      </c>
      <c r="R76" s="129">
        <f>IFERROR(IF(OR(NOT(ISNUMBER('Price History'!R77)),NOT(ISNUMBER('Price History'!R76)),'Price History'!R76=0),"",'Price History'!R77/'Price History'!R76-1),"")</f>
        <v>1.929601357082289E-2</v>
      </c>
      <c r="S76" s="129">
        <f>IFERROR(IF(OR(NOT(ISNUMBER('Price History'!S77)),NOT(ISNUMBER('Price History'!S76)),'Price History'!S76=0),"",'Price History'!S77/'Price History'!S76-1),"")</f>
        <v>1.0137149672033274E-2</v>
      </c>
      <c r="T76" s="129">
        <f>IFERROR(IF(OR(NOT(ISNUMBER('Price History'!T77)),NOT(ISNUMBER('Price History'!T76)),'Price History'!T76=0),"",'Price History'!T77/'Price History'!T76-1),"")</f>
        <v>1.1617775196050006E-2</v>
      </c>
      <c r="U76" s="129">
        <f>IFERROR(IF(OR(NOT(ISNUMBER('Price History'!U77)),NOT(ISNUMBER('Price History'!U76)),'Price History'!U76=0),"",'Price History'!U77/'Price History'!U76-1),"")</f>
        <v>8.5007727975270342E-3</v>
      </c>
      <c r="V76" s="130">
        <f>IFERROR(IF(OR(NOT(ISNUMBER('Price History'!V77)),NOT(ISNUMBER('Price History'!V76)),'Price History'!V76=0),"",'Price History'!V77/'Price History'!V76-1),"")</f>
        <v>1.8369723435225582E-2</v>
      </c>
      <c r="W76" s="131">
        <f>IFERROR('Price History'!B3+(INDEX('Price History'!B:B,MATCH(9.99E+307,'Returns (Calc)'!$A:$A)+1)-'Price History'!B3)*(ROW()-3)/(MATCH(9.99E+307,'Returns (Calc)'!$A:$A)-3),"")</f>
        <v>394.34822784810126</v>
      </c>
      <c r="X76" s="131">
        <f>IFERROR('Price History'!C3+(INDEX('Price History'!C:C,MATCH(9.99E+307,'Returns (Calc)'!$A:$A)+1)-'Price History'!C3)*(ROW()-3)/(MATCH(9.99E+307,'Returns (Calc)'!$A:$A)-3),"")</f>
        <v>120.64462025316456</v>
      </c>
      <c r="Y76" s="131">
        <f>IFERROR('Price History'!D3+(INDEX('Price History'!D:D,MATCH(9.99E+307,'Returns (Calc)'!$A:$A)+1)-'Price History'!D3)*(ROW()-3)/(MATCH(9.99E+307,'Returns (Calc)'!$A:$A)-3),"")</f>
        <v>1175.8511392405062</v>
      </c>
      <c r="Z76" s="131">
        <f>IFERROR('Price History'!E3+(INDEX('Price History'!E:E,MATCH(9.99E+307,'Returns (Calc)'!$A:$A)+1)-'Price History'!E3)*(ROW()-3)/(MATCH(9.99E+307,'Returns (Calc)'!$A:$A)-3),"")</f>
        <v>208.19759493670884</v>
      </c>
      <c r="AA76" s="131">
        <f>IFERROR('Price History'!F3+(INDEX('Price History'!F:F,MATCH(9.99E+307,'Returns (Calc)'!$A:$A)+1)-'Price History'!F3)*(ROW()-3)/(MATCH(9.99E+307,'Returns (Calc)'!$A:$A)-3),"")</f>
        <v>147.01594936708861</v>
      </c>
      <c r="AB76" s="131">
        <f>IFERROR('Price History'!G3+(INDEX('Price History'!G:G,MATCH(9.99E+307,'Returns (Calc)'!$A:$A)+1)-'Price History'!G3)*(ROW()-3)/(MATCH(9.99E+307,'Returns (Calc)'!$A:$A)-3),"")</f>
        <v>119.44759493670887</v>
      </c>
      <c r="AC76" s="131">
        <f>IFERROR('Price History'!H3+(INDEX('Price History'!H:H,MATCH(9.99E+307,'Returns (Calc)'!$A:$A)+1)-'Price History'!H3)*(ROW()-3)/(MATCH(9.99E+307,'Returns (Calc)'!$A:$A)-3),"")</f>
        <v>533.80582278481018</v>
      </c>
      <c r="AD76" s="131">
        <f>IFERROR('Price History'!I3+(INDEX('Price History'!I:I,MATCH(9.99E+307,'Returns (Calc)'!$A:$A)+1)-'Price History'!I3)*(ROW()-3)/(MATCH(9.99E+307,'Returns (Calc)'!$A:$A)-3),"")</f>
        <v>131.63797468354429</v>
      </c>
      <c r="AE76" s="131">
        <f>IFERROR('Price History'!J3+(INDEX('Price History'!J:J,MATCH(9.99E+307,'Returns (Calc)'!$A:$A)+1)-'Price History'!J3)*(ROW()-3)/(MATCH(9.99E+307,'Returns (Calc)'!$A:$A)-3),"")</f>
        <v>119.72677215189873</v>
      </c>
      <c r="AF76" s="131">
        <f>IFERROR('Price History'!K3+(INDEX('Price History'!K:K,MATCH(9.99E+307,'Returns (Calc)'!$A:$A)+1)-'Price History'!K3)*(ROW()-3)/(MATCH(9.99E+307,'Returns (Calc)'!$A:$A)-3),"")</f>
        <v>95.454430379746839</v>
      </c>
      <c r="AG76" s="131">
        <f>IFERROR('Price History'!L3+(INDEX('Price History'!L:L,MATCH(9.99E+307,'Returns (Calc)'!$A:$A)+1)-'Price History'!L3)*(ROW()-3)/(MATCH(9.99E+307,'Returns (Calc)'!$A:$A)-3),"")</f>
        <v>264.56765822784809</v>
      </c>
      <c r="AH76" s="131">
        <f>IFERROR('Price History'!M3+(INDEX('Price History'!M:M,MATCH(9.99E+307,'Returns (Calc)'!$A:$A)+1)-'Price History'!M3)*(ROW()-3)/(MATCH(9.99E+307,'Returns (Calc)'!$A:$A)-3),"")</f>
        <v>136.96734177215191</v>
      </c>
      <c r="AI76" s="131">
        <f>IFERROR('Price History'!N3+(INDEX('Price History'!N:N,MATCH(9.99E+307,'Returns (Calc)'!$A:$A)+1)-'Price History'!N3)*(ROW()-3)/(MATCH(9.99E+307,'Returns (Calc)'!$A:$A)-3),"")</f>
        <v>420.89740506329116</v>
      </c>
      <c r="AJ76" s="131">
        <f>IFERROR('Price History'!O3+(INDEX('Price History'!O:O,MATCH(9.99E+307,'Returns (Calc)'!$A:$A)+1)-'Price History'!O3)*(ROW()-3)/(MATCH(9.99E+307,'Returns (Calc)'!$A:$A)-3),"")</f>
        <v>95.971772151898733</v>
      </c>
      <c r="AK76" s="131">
        <f>IFERROR('Price History'!Q3+(INDEX('Price History'!Q:Q,MATCH(9.99E+307,'Returns (Calc)'!$A:$A)+1)-'Price History'!Q3)*(ROW()-3)/(MATCH(9.99E+307,'Returns (Calc)'!$A:$A)-3),"")</f>
        <v>32.073797468354428</v>
      </c>
      <c r="AL76" s="131">
        <f>IFERROR('Price History'!R3+(INDEX('Price History'!R:R,MATCH(9.99E+307,'Returns (Calc)'!$A:$A)+1)-'Price History'!R3)*(ROW()-3)/(MATCH(9.99E+307,'Returns (Calc)'!$A:$A)-3),"")</f>
        <v>46.751392405063285</v>
      </c>
      <c r="AM76" s="131">
        <f>IFERROR('Price History'!S3+(INDEX('Price History'!S:S,MATCH(9.99E+307,'Returns (Calc)'!$A:$A)+1)-'Price History'!S3)*(ROW()-3)/(MATCH(9.99E+307,'Returns (Calc)'!$A:$A)-3),"")</f>
        <v>101.79962025316456</v>
      </c>
      <c r="AN76" s="131">
        <f>IFERROR('Price History'!T3+(INDEX('Price History'!T:T,MATCH(9.99E+307,'Returns (Calc)'!$A:$A)+1)-'Price History'!T3)*(ROW()-3)/(MATCH(9.99E+307,'Returns (Calc)'!$A:$A)-3),"")</f>
        <v>37.520632911392404</v>
      </c>
      <c r="AO76" s="132">
        <f>IFERROR('Price History'!V3+(INDEX('Price History'!V:V,MATCH(9.99E+307,'Returns (Calc)'!$A:$A)+1)-'Price History'!V3)*(ROW()-3)/(MATCH(9.99E+307,'Returns (Calc)'!$A:$A)-3),"")</f>
        <v>293.39702531645571</v>
      </c>
      <c r="AP76" s="130">
        <f>IFERROR(IF(OR(NOT(ISNUMBER('Price History'!W77)),NOT(ISNUMBER('Price History'!W76)),'Price History'!W76=0),"",'Price History'!W77/'Price History'!W76-1),"")</f>
        <v>1.0970797158642576E-2</v>
      </c>
      <c r="AQ76" s="130" t="str">
        <f>IFERROR(IF(OR(NOT(ISNUMBER('Price History'!X77)),NOT(ISNUMBER('Price History'!X76)),'Price History'!X76=0),"",'Price History'!X77/'Price History'!X76-1),"")</f>
        <v/>
      </c>
      <c r="AR76" s="130">
        <f>IFERROR(IF(OR(NOT(ISNUMBER('Price History'!Y77)),NOT(ISNUMBER('Price History'!Y76)),'Price History'!Y76=0),"",'Price History'!Y77/'Price History'!Y76-1),"")</f>
        <v>6.6341463414634205E-3</v>
      </c>
      <c r="AS76" s="130">
        <f>IFERROR(IF(OR(NOT(ISNUMBER('Price History'!Z77)),NOT(ISNUMBER('Price History'!Z76)),'Price History'!Z76=0),"",'Price History'!Z77/'Price History'!Z76-1),"")</f>
        <v>1.4540452915459134E-2</v>
      </c>
      <c r="AT76" s="130">
        <f>IFERROR(IF(OR(NOT(ISNUMBER('Price History'!AA77)),NOT(ISNUMBER('Price History'!AA76)),'Price History'!AA76=0),"",'Price History'!AA77/'Price History'!AA76-1),"")</f>
        <v>4.4087188085609963E-2</v>
      </c>
    </row>
    <row r="77" spans="1:46" ht="15" customHeight="1" x14ac:dyDescent="0.2">
      <c r="A77" s="128">
        <f>IF('Price History'!A78="","",'Price History'!A78)</f>
        <v>45709</v>
      </c>
      <c r="B77" s="129">
        <f>IFERROR(IF(OR(NOT(ISNUMBER('Price History'!B78)),NOT(ISNUMBER('Price History'!B77)),'Price History'!B77=0),"",'Price History'!B78/'Price History'!B77-1),"")</f>
        <v>-3.4422809457580028E-2</v>
      </c>
      <c r="C77" s="129">
        <f>IFERROR(IF(OR(NOT(ISNUMBER('Price History'!C78)),NOT(ISNUMBER('Price History'!C77)),'Price History'!C77=0),"",'Price History'!C78/'Price History'!C77-1),"")</f>
        <v>-8.0190886123327476E-2</v>
      </c>
      <c r="D77" s="129">
        <f>IFERROR(IF(OR(NOT(ISNUMBER('Price History'!D78)),NOT(ISNUMBER('Price History'!D77)),'Price History'!D77=0),"",'Price History'!D78/'Price History'!D77-1),"")</f>
        <v>-1.9072248262485991E-2</v>
      </c>
      <c r="E77" s="129">
        <f>IFERROR(IF(OR(NOT(ISNUMBER('Price History'!E78)),NOT(ISNUMBER('Price History'!E77)),'Price History'!E77=0),"",'Price History'!E78/'Price History'!E77-1),"")</f>
        <v>-6.1735382472027589E-2</v>
      </c>
      <c r="F77" s="129">
        <f>IFERROR(IF(OR(NOT(ISNUMBER('Price History'!F78)),NOT(ISNUMBER('Price History'!F77)),'Price History'!F77=0),"",'Price History'!F78/'Price History'!F77-1),"")</f>
        <v>-9.9707783582750453E-2</v>
      </c>
      <c r="G77" s="129">
        <f>IFERROR(IF(OR(NOT(ISNUMBER('Price History'!G78)),NOT(ISNUMBER('Price History'!G77)),'Price History'!G77=0),"",'Price History'!G78/'Price History'!G77-1),"")</f>
        <v>4.7195253505933898E-3</v>
      </c>
      <c r="H77" s="129">
        <f>IFERROR(IF(OR(NOT(ISNUMBER('Price History'!H78)),NOT(ISNUMBER('Price History'!H77)),'Price History'!H77=0),"",'Price History'!H78/'Price History'!H77-1),"")</f>
        <v>-6.8589872907001137E-3</v>
      </c>
      <c r="I77" s="129">
        <f>IFERROR(IF(OR(NOT(ISNUMBER('Price History'!I78)),NOT(ISNUMBER('Price History'!I77)),'Price History'!I77=0),"",'Price History'!I78/'Price History'!I77-1),"")</f>
        <v>-3.184345440103975E-2</v>
      </c>
      <c r="J77" s="129">
        <f>IFERROR(IF(OR(NOT(ISNUMBER('Price History'!J78)),NOT(ISNUMBER('Price History'!J77)),'Price History'!J77=0),"",'Price History'!J78/'Price History'!J77-1),"")</f>
        <v>1.0524469391335334E-3</v>
      </c>
      <c r="K77" s="129">
        <f>IFERROR(IF(OR(NOT(ISNUMBER('Price History'!K78)),NOT(ISNUMBER('Price History'!K77)),'Price History'!K77=0),"",'Price History'!K78/'Price History'!K77-1),"")</f>
        <v>-0.14946290701577714</v>
      </c>
      <c r="L77" s="129">
        <f>IFERROR(IF(OR(NOT(ISNUMBER('Price History'!L78)),NOT(ISNUMBER('Price History'!L77)),'Price History'!L77=0),"",'Price History'!L78/'Price History'!L77-1),"")</f>
        <v>-2.7752730187355912E-2</v>
      </c>
      <c r="M77" s="129">
        <f>IFERROR(IF(OR(NOT(ISNUMBER('Price History'!M78)),NOT(ISNUMBER('Price History'!M77)),'Price History'!M77=0),"",'Price History'!M78/'Price History'!M77-1),"")</f>
        <v>-0.11157484696716735</v>
      </c>
      <c r="N77" s="129">
        <f>IFERROR(IF(OR(NOT(ISNUMBER('Price History'!N78)),NOT(ISNUMBER('Price History'!N77)),'Price History'!N77=0),"",'Price History'!N78/'Price History'!N77-1),"")</f>
        <v>5.4989106753812633E-2</v>
      </c>
      <c r="O77" s="129">
        <f>IFERROR(IF(OR(NOT(ISNUMBER('Price History'!O78)),NOT(ISNUMBER('Price History'!O77)),'Price History'!O77=0),"",'Price History'!O78/'Price History'!O77-1),"")</f>
        <v>-3.6549399620813161E-2</v>
      </c>
      <c r="P77" s="129">
        <f>IFERROR(IF(OR(NOT(ISNUMBER('Price History'!P78)),NOT(ISNUMBER('Price History'!P77)),'Price History'!P77=0),"",'Price History'!P78/'Price History'!P77-1),"")</f>
        <v>7.2849757167476881E-3</v>
      </c>
      <c r="Q77" s="129">
        <f>IFERROR(IF(OR(NOT(ISNUMBER('Price History'!Q78)),NOT(ISNUMBER('Price History'!Q77)),'Price History'!Q77=0),"",'Price History'!Q78/'Price History'!Q77-1),"")</f>
        <v>-8.9271480950102733E-3</v>
      </c>
      <c r="R77" s="129">
        <f>IFERROR(IF(OR(NOT(ISNUMBER('Price History'!R78)),NOT(ISNUMBER('Price History'!R77)),'Price History'!R77=0),"",'Price History'!R78/'Price History'!R77-1),"")</f>
        <v>-1.2065737466195103E-2</v>
      </c>
      <c r="S77" s="129">
        <f>IFERROR(IF(OR(NOT(ISNUMBER('Price History'!S78)),NOT(ISNUMBER('Price History'!S77)),'Price History'!S77=0),"",'Price History'!S78/'Price History'!S77-1),"")</f>
        <v>-3.0598189689098776E-2</v>
      </c>
      <c r="T77" s="129">
        <f>IFERROR(IF(OR(NOT(ISNUMBER('Price History'!T78)),NOT(ISNUMBER('Price History'!T77)),'Price History'!T77=0),"",'Price History'!T78/'Price History'!T77-1),"")</f>
        <v>-3.445305770887086E-3</v>
      </c>
      <c r="U77" s="129">
        <f>IFERROR(IF(OR(NOT(ISNUMBER('Price History'!U78)),NOT(ISNUMBER('Price History'!U77)),'Price History'!U77=0),"",'Price History'!U78/'Price History'!U77-1),"")</f>
        <v>1.4942528735632177E-2</v>
      </c>
      <c r="V77" s="130">
        <f>IFERROR(IF(OR(NOT(ISNUMBER('Price History'!V78)),NOT(ISNUMBER('Price History'!V77)),'Price History'!V77=0),"",'Price History'!V78/'Price History'!V77-1),"")</f>
        <v>-1.4922386438352309E-2</v>
      </c>
      <c r="W77" s="131">
        <f>IFERROR('Price History'!B3+(INDEX('Price History'!B:B,MATCH(9.99E+307,'Returns (Calc)'!$A:$A)+1)-'Price History'!B3)*(ROW()-3)/(MATCH(9.99E+307,'Returns (Calc)'!$A:$A)-3),"")</f>
        <v>392.50518987341775</v>
      </c>
      <c r="X77" s="131">
        <f>IFERROR('Price History'!C3+(INDEX('Price History'!C:C,MATCH(9.99E+307,'Returns (Calc)'!$A:$A)+1)-'Price History'!C3)*(ROW()-3)/(MATCH(9.99E+307,'Returns (Calc)'!$A:$A)-3),"")</f>
        <v>121.66468354430378</v>
      </c>
      <c r="Y77" s="131">
        <f>IFERROR('Price History'!D3+(INDEX('Price History'!D:D,MATCH(9.99E+307,'Returns (Calc)'!$A:$A)+1)-'Price History'!D3)*(ROW()-3)/(MATCH(9.99E+307,'Returns (Calc)'!$A:$A)-3),"")</f>
        <v>1183.9859493670886</v>
      </c>
      <c r="Z77" s="131">
        <f>IFERROR('Price History'!E3+(INDEX('Price History'!E:E,MATCH(9.99E+307,'Returns (Calc)'!$A:$A)+1)-'Price History'!E3)*(ROW()-3)/(MATCH(9.99E+307,'Returns (Calc)'!$A:$A)-3),"")</f>
        <v>209.92632911392406</v>
      </c>
      <c r="AA77" s="131">
        <f>IFERROR('Price History'!F3+(INDEX('Price History'!F:F,MATCH(9.99E+307,'Returns (Calc)'!$A:$A)+1)-'Price History'!F3)*(ROW()-3)/(MATCH(9.99E+307,'Returns (Calc)'!$A:$A)-3),"")</f>
        <v>148.46329113924051</v>
      </c>
      <c r="AB77" s="131">
        <f>IFERROR('Price History'!G3+(INDEX('Price History'!G:G,MATCH(9.99E+307,'Returns (Calc)'!$A:$A)+1)-'Price History'!G3)*(ROW()-3)/(MATCH(9.99E+307,'Returns (Calc)'!$A:$A)-3),"")</f>
        <v>120.47632911392404</v>
      </c>
      <c r="AC77" s="131">
        <f>IFERROR('Price History'!H3+(INDEX('Price History'!H:H,MATCH(9.99E+307,'Returns (Calc)'!$A:$A)+1)-'Price History'!H3)*(ROW()-3)/(MATCH(9.99E+307,'Returns (Calc)'!$A:$A)-3),"")</f>
        <v>540.17151898734176</v>
      </c>
      <c r="AD77" s="131">
        <f>IFERROR('Price History'!I3+(INDEX('Price History'!I:I,MATCH(9.99E+307,'Returns (Calc)'!$A:$A)+1)-'Price History'!I3)*(ROW()-3)/(MATCH(9.99E+307,'Returns (Calc)'!$A:$A)-3),"")</f>
        <v>132.84164556962025</v>
      </c>
      <c r="AE77" s="131">
        <f>IFERROR('Price History'!J3+(INDEX('Price History'!J:J,MATCH(9.99E+307,'Returns (Calc)'!$A:$A)+1)-'Price History'!J3)*(ROW()-3)/(MATCH(9.99E+307,'Returns (Calc)'!$A:$A)-3),"")</f>
        <v>119.83481012658228</v>
      </c>
      <c r="AF77" s="131">
        <f>IFERROR('Price History'!K3+(INDEX('Price History'!K:K,MATCH(9.99E+307,'Returns (Calc)'!$A:$A)+1)-'Price History'!K3)*(ROW()-3)/(MATCH(9.99E+307,'Returns (Calc)'!$A:$A)-3),"")</f>
        <v>96.552025316455698</v>
      </c>
      <c r="AG77" s="131">
        <f>IFERROR('Price History'!L3+(INDEX('Price History'!L:L,MATCH(9.99E+307,'Returns (Calc)'!$A:$A)+1)-'Price History'!L3)*(ROW()-3)/(MATCH(9.99E+307,'Returns (Calc)'!$A:$A)-3),"")</f>
        <v>267.01721518987341</v>
      </c>
      <c r="AH77" s="131">
        <f>IFERROR('Price History'!M3+(INDEX('Price History'!M:M,MATCH(9.99E+307,'Returns (Calc)'!$A:$A)+1)-'Price History'!M3)*(ROW()-3)/(MATCH(9.99E+307,'Returns (Calc)'!$A:$A)-3),"")</f>
        <v>138.32278481012659</v>
      </c>
      <c r="AI77" s="131">
        <f>IFERROR('Price History'!N3+(INDEX('Price History'!N:N,MATCH(9.99E+307,'Returns (Calc)'!$A:$A)+1)-'Price History'!N3)*(ROW()-3)/(MATCH(9.99E+307,'Returns (Calc)'!$A:$A)-3),"")</f>
        <v>421.88367088607595</v>
      </c>
      <c r="AJ77" s="131">
        <f>IFERROR('Price History'!O3+(INDEX('Price History'!O:O,MATCH(9.99E+307,'Returns (Calc)'!$A:$A)+1)-'Price History'!O3)*(ROW()-3)/(MATCH(9.99E+307,'Returns (Calc)'!$A:$A)-3),"")</f>
        <v>96.254810126582271</v>
      </c>
      <c r="AK77" s="131">
        <f>IFERROR('Price History'!Q3+(INDEX('Price History'!Q:Q,MATCH(9.99E+307,'Returns (Calc)'!$A:$A)+1)-'Price History'!Q3)*(ROW()-3)/(MATCH(9.99E+307,'Returns (Calc)'!$A:$A)-3),"")</f>
        <v>32.513164556962025</v>
      </c>
      <c r="AL77" s="131">
        <f>IFERROR('Price History'!R3+(INDEX('Price History'!R:R,MATCH(9.99E+307,'Returns (Calc)'!$A:$A)+1)-'Price History'!R3)*(ROW()-3)/(MATCH(9.99E+307,'Returns (Calc)'!$A:$A)-3),"")</f>
        <v>46.919493670886069</v>
      </c>
      <c r="AM77" s="131">
        <f>IFERROR('Price History'!S3+(INDEX('Price History'!S:S,MATCH(9.99E+307,'Returns (Calc)'!$A:$A)+1)-'Price History'!S3)*(ROW()-3)/(MATCH(9.99E+307,'Returns (Calc)'!$A:$A)-3),"")</f>
        <v>102.40468354430379</v>
      </c>
      <c r="AN77" s="131">
        <f>IFERROR('Price History'!T3+(INDEX('Price History'!T:T,MATCH(9.99E+307,'Returns (Calc)'!$A:$A)+1)-'Price History'!T3)*(ROW()-3)/(MATCH(9.99E+307,'Returns (Calc)'!$A:$A)-3),"")</f>
        <v>37.688860759493672</v>
      </c>
      <c r="AO77" s="132">
        <f>IFERROR('Price History'!V3+(INDEX('Price History'!V:V,MATCH(9.99E+307,'Returns (Calc)'!$A:$A)+1)-'Price History'!V3)*(ROW()-3)/(MATCH(9.99E+307,'Returns (Calc)'!$A:$A)-3),"")</f>
        <v>294.18835443037977</v>
      </c>
      <c r="AP77" s="130">
        <f>IFERROR(IF(OR(NOT(ISNUMBER('Price History'!W78)),NOT(ISNUMBER('Price History'!W77)),'Price History'!W77=0),"",'Price History'!W78/'Price History'!W77-1),"")</f>
        <v>-3.3570145991100864E-3</v>
      </c>
      <c r="AQ77" s="130" t="str">
        <f>IFERROR(IF(OR(NOT(ISNUMBER('Price History'!X78)),NOT(ISNUMBER('Price History'!X77)),'Price History'!X77=0),"",'Price History'!X78/'Price History'!X77-1),"")</f>
        <v/>
      </c>
      <c r="AR77" s="130">
        <f>IFERROR(IF(OR(NOT(ISNUMBER('Price History'!Y78)),NOT(ISNUMBER('Price History'!Y77)),'Price History'!Y77=0),"",'Price History'!Y78/'Price History'!Y77-1),"")</f>
        <v>-7.7534405892631941E-4</v>
      </c>
      <c r="AS77" s="130">
        <f>IFERROR(IF(OR(NOT(ISNUMBER('Price History'!Z78)),NOT(ISNUMBER('Price History'!Z77)),'Price History'!Z77=0),"",'Price History'!Z78/'Price History'!Z77-1),"")</f>
        <v>-4.0526799980632355E-2</v>
      </c>
      <c r="AT77" s="130">
        <f>IFERROR(IF(OR(NOT(ISNUMBER('Price History'!AA78)),NOT(ISNUMBER('Price History'!AA77)),'Price History'!AA77=0),"",'Price History'!AA78/'Price History'!AA77-1),"")</f>
        <v>-5.2333270357075468E-2</v>
      </c>
    </row>
    <row r="78" spans="1:46" ht="15" customHeight="1" x14ac:dyDescent="0.2">
      <c r="A78" s="128">
        <f>IF('Price History'!A79="","",'Price History'!A79)</f>
        <v>45716</v>
      </c>
      <c r="B78" s="129">
        <f>IFERROR(IF(OR(NOT(ISNUMBER('Price History'!B79)),NOT(ISNUMBER('Price History'!B78)),'Price History'!B78=0),"",'Price History'!B79/'Price History'!B78-1),"")</f>
        <v>-1.2963629816348576E-2</v>
      </c>
      <c r="C78" s="129">
        <f>IFERROR(IF(OR(NOT(ISNUMBER('Price History'!C79)),NOT(ISNUMBER('Price History'!C78)),'Price History'!C78=0),"",'Price History'!C79/'Price History'!C78-1),"")</f>
        <v>-5.3407934893184184E-2</v>
      </c>
      <c r="D78" s="129">
        <f>IFERROR(IF(OR(NOT(ISNUMBER('Price History'!D79)),NOT(ISNUMBER('Price History'!D78)),'Price History'!D78=0),"",'Price History'!D79/'Price History'!D78-1),"")</f>
        <v>-3.8158400615147969E-2</v>
      </c>
      <c r="E78" s="129">
        <f>IFERROR(IF(OR(NOT(ISNUMBER('Price History'!E79)),NOT(ISNUMBER('Price History'!E78)),'Price History'!E78=0),"",'Price History'!E79/'Price History'!E78-1),"")</f>
        <v>-8.7930954480070489E-2</v>
      </c>
      <c r="F78" s="129">
        <f>IFERROR(IF(OR(NOT(ISNUMBER('Price History'!F79)),NOT(ISNUMBER('Price History'!F78)),'Price History'!F78=0),"",'Price History'!F79/'Price History'!F78-1),"")</f>
        <v>-4.1801908134159516E-2</v>
      </c>
      <c r="G78" s="129">
        <f>IFERROR(IF(OR(NOT(ISNUMBER('Price History'!G79)),NOT(ISNUMBER('Price History'!G78)),'Price History'!G78=0),"",'Price History'!G79/'Price History'!G78-1),"")</f>
        <v>-5.8113004965776427E-2</v>
      </c>
      <c r="H78" s="129">
        <f>IFERROR(IF(OR(NOT(ISNUMBER('Price History'!H79)),NOT(ISNUMBER('Price History'!H78)),'Price History'!H78=0),"",'Price History'!H79/'Price History'!H78-1),"")</f>
        <v>-5.271176112126752E-2</v>
      </c>
      <c r="I78" s="129">
        <f>IFERROR(IF(OR(NOT(ISNUMBER('Price History'!I79)),NOT(ISNUMBER('Price History'!I78)),'Price History'!I78=0),"",'Price History'!I79/'Price History'!I78-1),"")</f>
        <v>-7.0778639618138461E-2</v>
      </c>
      <c r="J78" s="129">
        <f>IFERROR(IF(OR(NOT(ISNUMBER('Price History'!J79)),NOT(ISNUMBER('Price History'!J78)),'Price History'!J78=0),"",'Price History'!J79/'Price History'!J78-1),"")</f>
        <v>2.4356053968810354E-2</v>
      </c>
      <c r="K78" s="129">
        <f>IFERROR(IF(OR(NOT(ISNUMBER('Price History'!K79)),NOT(ISNUMBER('Price History'!K78)),'Price History'!K78=0),"",'Price History'!K79/'Price History'!K78-1),"")</f>
        <v>-0.16211149481993092</v>
      </c>
      <c r="L78" s="129">
        <f>IFERROR(IF(OR(NOT(ISNUMBER('Price History'!L79)),NOT(ISNUMBER('Price History'!L78)),'Price History'!L78=0),"",'Price History'!L79/'Price History'!L78-1),"")</f>
        <v>-8.9344600164880439E-2</v>
      </c>
      <c r="M78" s="129">
        <f>IFERROR(IF(OR(NOT(ISNUMBER('Price History'!M79)),NOT(ISNUMBER('Price History'!M78)),'Price History'!M78=0),"",'Price History'!M79/'Price History'!M78-1),"")</f>
        <v>-8.5603925253158186E-3</v>
      </c>
      <c r="N78" s="129">
        <f>IFERROR(IF(OR(NOT(ISNUMBER('Price History'!N79)),NOT(ISNUMBER('Price History'!N78)),'Price History'!N78=0),"",'Price History'!N79/'Price History'!N78-1),"")</f>
        <v>-9.1896580208160605E-3</v>
      </c>
      <c r="O78" s="129">
        <f>IFERROR(IF(OR(NOT(ISNUMBER('Price History'!O79)),NOT(ISNUMBER('Price History'!O78)),'Price History'!O78=0),"",'Price History'!O79/'Price History'!O78-1),"")</f>
        <v>-1.1260522575707865E-2</v>
      </c>
      <c r="P78" s="129">
        <f>IFERROR(IF(OR(NOT(ISNUMBER('Price History'!P79)),NOT(ISNUMBER('Price History'!P78)),'Price History'!P78=0),"",'Price History'!P79/'Price History'!P78-1),"")</f>
        <v>1.0265183917878451E-2</v>
      </c>
      <c r="Q78" s="129">
        <f>IFERROR(IF(OR(NOT(ISNUMBER('Price History'!Q79)),NOT(ISNUMBER('Price History'!Q78)),'Price History'!Q78=0),"",'Price History'!Q79/'Price History'!Q78-1),"")</f>
        <v>-6.4339713688273958E-3</v>
      </c>
      <c r="R78" s="129">
        <f>IFERROR(IF(OR(NOT(ISNUMBER('Price History'!R79)),NOT(ISNUMBER('Price History'!R78)),'Price History'!R78=0),"",'Price History'!R79/'Price History'!R78-1),"")</f>
        <v>-2.7584754685196944E-2</v>
      </c>
      <c r="S78" s="129">
        <f>IFERROR(IF(OR(NOT(ISNUMBER('Price History'!S79)),NOT(ISNUMBER('Price History'!S78)),'Price History'!S78=0),"",'Price History'!S79/'Price History'!S78-1),"")</f>
        <v>-1.1164112453060371E-3</v>
      </c>
      <c r="T78" s="129">
        <f>IFERROR(IF(OR(NOT(ISNUMBER('Price History'!T79)),NOT(ISNUMBER('Price History'!T78)),'Price History'!T78=0),"",'Price History'!T79/'Price History'!T78-1),"")</f>
        <v>-4.6096225871508079E-3</v>
      </c>
      <c r="U78" s="129">
        <f>IFERROR(IF(OR(NOT(ISNUMBER('Price History'!U79)),NOT(ISNUMBER('Price History'!U78)),'Price History'!U78=0),"",'Price History'!U79/'Price History'!U78-1),"")</f>
        <v>1.1702529256323313E-2</v>
      </c>
      <c r="V78" s="130">
        <f>IFERROR(IF(OR(NOT(ISNUMBER('Price History'!V79)),NOT(ISNUMBER('Price History'!V78)),'Price History'!V78=0),"",'Price History'!V79/'Price History'!V78-1),"")</f>
        <v>4.0657012681737825E-2</v>
      </c>
      <c r="W78" s="131">
        <f>IFERROR('Price History'!B3+(INDEX('Price History'!B:B,MATCH(9.99E+307,'Returns (Calc)'!$A:$A)+1)-'Price History'!B3)*(ROW()-3)/(MATCH(9.99E+307,'Returns (Calc)'!$A:$A)-3),"")</f>
        <v>390.66215189873412</v>
      </c>
      <c r="X78" s="131">
        <f>IFERROR('Price History'!C3+(INDEX('Price History'!C:C,MATCH(9.99E+307,'Returns (Calc)'!$A:$A)+1)-'Price History'!C3)*(ROW()-3)/(MATCH(9.99E+307,'Returns (Calc)'!$A:$A)-3),"")</f>
        <v>122.68474683544304</v>
      </c>
      <c r="Y78" s="131">
        <f>IFERROR('Price History'!D3+(INDEX('Price History'!D:D,MATCH(9.99E+307,'Returns (Calc)'!$A:$A)+1)-'Price History'!D3)*(ROW()-3)/(MATCH(9.99E+307,'Returns (Calc)'!$A:$A)-3),"")</f>
        <v>1192.1207594936709</v>
      </c>
      <c r="Z78" s="131">
        <f>IFERROR('Price History'!E3+(INDEX('Price History'!E:E,MATCH(9.99E+307,'Returns (Calc)'!$A:$A)+1)-'Price History'!E3)*(ROW()-3)/(MATCH(9.99E+307,'Returns (Calc)'!$A:$A)-3),"")</f>
        <v>211.65506329113924</v>
      </c>
      <c r="AA78" s="131">
        <f>IFERROR('Price History'!F3+(INDEX('Price History'!F:F,MATCH(9.99E+307,'Returns (Calc)'!$A:$A)+1)-'Price History'!F3)*(ROW()-3)/(MATCH(9.99E+307,'Returns (Calc)'!$A:$A)-3),"")</f>
        <v>149.91063291139238</v>
      </c>
      <c r="AB78" s="131">
        <f>IFERROR('Price History'!G3+(INDEX('Price History'!G:G,MATCH(9.99E+307,'Returns (Calc)'!$A:$A)+1)-'Price History'!G3)*(ROW()-3)/(MATCH(9.99E+307,'Returns (Calc)'!$A:$A)-3),"")</f>
        <v>121.50506329113924</v>
      </c>
      <c r="AC78" s="131">
        <f>IFERROR('Price History'!H3+(INDEX('Price History'!H:H,MATCH(9.99E+307,'Returns (Calc)'!$A:$A)+1)-'Price History'!H3)*(ROW()-3)/(MATCH(9.99E+307,'Returns (Calc)'!$A:$A)-3),"")</f>
        <v>546.53721518987345</v>
      </c>
      <c r="AD78" s="131">
        <f>IFERROR('Price History'!I3+(INDEX('Price History'!I:I,MATCH(9.99E+307,'Returns (Calc)'!$A:$A)+1)-'Price History'!I3)*(ROW()-3)/(MATCH(9.99E+307,'Returns (Calc)'!$A:$A)-3),"")</f>
        <v>134.0453164556962</v>
      </c>
      <c r="AE78" s="131">
        <f>IFERROR('Price History'!J3+(INDEX('Price History'!J:J,MATCH(9.99E+307,'Returns (Calc)'!$A:$A)+1)-'Price History'!J3)*(ROW()-3)/(MATCH(9.99E+307,'Returns (Calc)'!$A:$A)-3),"")</f>
        <v>119.94284810126582</v>
      </c>
      <c r="AF78" s="131">
        <f>IFERROR('Price History'!K3+(INDEX('Price History'!K:K,MATCH(9.99E+307,'Returns (Calc)'!$A:$A)+1)-'Price History'!K3)*(ROW()-3)/(MATCH(9.99E+307,'Returns (Calc)'!$A:$A)-3),"")</f>
        <v>97.649620253164542</v>
      </c>
      <c r="AG78" s="131">
        <f>IFERROR('Price History'!L3+(INDEX('Price History'!L:L,MATCH(9.99E+307,'Returns (Calc)'!$A:$A)+1)-'Price History'!L3)*(ROW()-3)/(MATCH(9.99E+307,'Returns (Calc)'!$A:$A)-3),"")</f>
        <v>269.46677215189868</v>
      </c>
      <c r="AH78" s="131">
        <f>IFERROR('Price History'!M3+(INDEX('Price History'!M:M,MATCH(9.99E+307,'Returns (Calc)'!$A:$A)+1)-'Price History'!M3)*(ROW()-3)/(MATCH(9.99E+307,'Returns (Calc)'!$A:$A)-3),"")</f>
        <v>139.67822784810127</v>
      </c>
      <c r="AI78" s="131">
        <f>IFERROR('Price History'!N3+(INDEX('Price History'!N:N,MATCH(9.99E+307,'Returns (Calc)'!$A:$A)+1)-'Price History'!N3)*(ROW()-3)/(MATCH(9.99E+307,'Returns (Calc)'!$A:$A)-3),"")</f>
        <v>422.86993670886079</v>
      </c>
      <c r="AJ78" s="131">
        <f>IFERROR('Price History'!O3+(INDEX('Price History'!O:O,MATCH(9.99E+307,'Returns (Calc)'!$A:$A)+1)-'Price History'!O3)*(ROW()-3)/(MATCH(9.99E+307,'Returns (Calc)'!$A:$A)-3),"")</f>
        <v>96.537848101265823</v>
      </c>
      <c r="AK78" s="131">
        <f>IFERROR('Price History'!Q3+(INDEX('Price History'!Q:Q,MATCH(9.99E+307,'Returns (Calc)'!$A:$A)+1)-'Price History'!Q3)*(ROW()-3)/(MATCH(9.99E+307,'Returns (Calc)'!$A:$A)-3),"")</f>
        <v>32.952531645569621</v>
      </c>
      <c r="AL78" s="131">
        <f>IFERROR('Price History'!R3+(INDEX('Price History'!R:R,MATCH(9.99E+307,'Returns (Calc)'!$A:$A)+1)-'Price History'!R3)*(ROW()-3)/(MATCH(9.99E+307,'Returns (Calc)'!$A:$A)-3),"")</f>
        <v>47.087594936708861</v>
      </c>
      <c r="AM78" s="131">
        <f>IFERROR('Price History'!S3+(INDEX('Price History'!S:S,MATCH(9.99E+307,'Returns (Calc)'!$A:$A)+1)-'Price History'!S3)*(ROW()-3)/(MATCH(9.99E+307,'Returns (Calc)'!$A:$A)-3),"")</f>
        <v>103.00974683544304</v>
      </c>
      <c r="AN78" s="131">
        <f>IFERROR('Price History'!T3+(INDEX('Price History'!T:T,MATCH(9.99E+307,'Returns (Calc)'!$A:$A)+1)-'Price History'!T3)*(ROW()-3)/(MATCH(9.99E+307,'Returns (Calc)'!$A:$A)-3),"")</f>
        <v>37.857088607594939</v>
      </c>
      <c r="AO78" s="132">
        <f>IFERROR('Price History'!V3+(INDEX('Price History'!V:V,MATCH(9.99E+307,'Returns (Calc)'!$A:$A)+1)-'Price History'!V3)*(ROW()-3)/(MATCH(9.99E+307,'Returns (Calc)'!$A:$A)-3),"")</f>
        <v>294.97968354430378</v>
      </c>
      <c r="AP78" s="130">
        <f>IFERROR(IF(OR(NOT(ISNUMBER('Price History'!W79)),NOT(ISNUMBER('Price History'!W78)),'Price History'!W78=0),"",'Price History'!W79/'Price History'!W78-1),"")</f>
        <v>5.483315055616611E-3</v>
      </c>
      <c r="AQ78" s="130" t="str">
        <f>IFERROR(IF(OR(NOT(ISNUMBER('Price History'!X79)),NOT(ISNUMBER('Price History'!X78)),'Price History'!X78=0),"",'Price History'!X79/'Price History'!X78-1),"")</f>
        <v/>
      </c>
      <c r="AR78" s="130">
        <f>IFERROR(IF(OR(NOT(ISNUMBER('Price History'!Y79)),NOT(ISNUMBER('Price History'!Y78)),'Price History'!Y78=0),"",'Price History'!Y79/'Price History'!Y78-1),"")</f>
        <v>4.6556741028127568E-3</v>
      </c>
      <c r="AS78" s="130">
        <f>IFERROR(IF(OR(NOT(ISNUMBER('Price History'!Z79)),NOT(ISNUMBER('Price History'!Z78)),'Price History'!Z78=0),"",'Price History'!Z79/'Price History'!Z78-1),"")</f>
        <v>3.5779168348809121E-2</v>
      </c>
      <c r="AT78" s="130">
        <f>IFERROR(IF(OR(NOT(ISNUMBER('Price History'!AA79)),NOT(ISNUMBER('Price History'!AA78)),'Price History'!AA78=0),"",'Price History'!AA79/'Price History'!AA78-1),"")</f>
        <v>-2.2527910685805286E-2</v>
      </c>
    </row>
    <row r="79" spans="1:46" ht="15" customHeight="1" x14ac:dyDescent="0.2">
      <c r="A79" s="128">
        <f>IF('Price History'!A80="","",'Price History'!A80)</f>
        <v>45723</v>
      </c>
      <c r="B79" s="129">
        <f>IFERROR(IF(OR(NOT(ISNUMBER('Price History'!B80)),NOT(ISNUMBER('Price History'!B79)),'Price History'!B79=0),"",'Price History'!B80/'Price History'!B79-1),"")</f>
        <v>2.4717256475738747E-2</v>
      </c>
      <c r="C79" s="129">
        <f>IFERROR(IF(OR(NOT(ISNUMBER('Price History'!C80)),NOT(ISNUMBER('Price History'!C79)),'Price History'!C79=0),"",'Price History'!C80/'Price History'!C79-1),"")</f>
        <v>-0.10413756045137024</v>
      </c>
      <c r="D79" s="129">
        <f>IFERROR(IF(OR(NOT(ISNUMBER('Price History'!D80)),NOT(ISNUMBER('Price History'!D79)),'Price History'!D79=0),"",'Price History'!D80/'Price History'!D79-1),"")</f>
        <v>3.2634298847949328E-2</v>
      </c>
      <c r="E79" s="129">
        <f>IFERROR(IF(OR(NOT(ISNUMBER('Price History'!E80)),NOT(ISNUMBER('Price History'!E79)),'Price History'!E79=0),"",'Price History'!E80/'Price History'!E79-1),"")</f>
        <v>-2.238502238502238E-2</v>
      </c>
      <c r="F79" s="129">
        <f>IFERROR(IF(OR(NOT(ISNUMBER('Price History'!F80)),NOT(ISNUMBER('Price History'!F79)),'Price History'!F79=0),"",'Price History'!F80/'Price History'!F79-1),"")</f>
        <v>-0.14411825087251084</v>
      </c>
      <c r="G79" s="129">
        <f>IFERROR(IF(OR(NOT(ISNUMBER('Price History'!G80)),NOT(ISNUMBER('Price History'!G79)),'Price History'!G79=0),"",'Price History'!G80/'Price History'!G79-1),"")</f>
        <v>3.4197777144484576E-3</v>
      </c>
      <c r="H79" s="129">
        <f>IFERROR(IF(OR(NOT(ISNUMBER('Price History'!H80)),NOT(ISNUMBER('Price History'!H79)),'Price History'!H79=0),"",'Price History'!H80/'Price History'!H79-1),"")</f>
        <v>-7.1834459097245285E-3</v>
      </c>
      <c r="I79" s="129">
        <f>IFERROR(IF(OR(NOT(ISNUMBER('Price History'!I80)),NOT(ISNUMBER('Price History'!I79)),'Price History'!I79=0),"",'Price History'!I80/'Price History'!I79-1),"")</f>
        <v>-9.7840918211734462E-2</v>
      </c>
      <c r="J79" s="129">
        <f>IFERROR(IF(OR(NOT(ISNUMBER('Price History'!J80)),NOT(ISNUMBER('Price History'!J79)),'Price History'!J79=0),"",'Price History'!J80/'Price History'!J79-1),"")</f>
        <v>-3.2329798152582967E-2</v>
      </c>
      <c r="K79" s="129">
        <f>IFERROR(IF(OR(NOT(ISNUMBER('Price History'!K80)),NOT(ISNUMBER('Price History'!K79)),'Price History'!K79=0),"",'Price History'!K80/'Price History'!K79-1),"")</f>
        <v>-1.1775788977863577E-4</v>
      </c>
      <c r="L79" s="129">
        <f>IFERROR(IF(OR(NOT(ISNUMBER('Price History'!L80)),NOT(ISNUMBER('Price History'!L79)),'Price History'!L79=0),"",'Price History'!L80/'Price History'!L79-1),"")</f>
        <v>-1.9010976575761118E-2</v>
      </c>
      <c r="M79" s="129">
        <f>IFERROR(IF(OR(NOT(ISNUMBER('Price History'!M80)),NOT(ISNUMBER('Price History'!M79)),'Price History'!M79=0),"",'Price History'!M80/'Price History'!M79-1),"")</f>
        <v>-0.10645466989575658</v>
      </c>
      <c r="N79" s="129">
        <f>IFERROR(IF(OR(NOT(ISNUMBER('Price History'!N80)),NOT(ISNUMBER('Price History'!N79)),'Price History'!N79=0),"",'Price History'!N80/'Price History'!N79-1),"")</f>
        <v>1.7716084120135811E-2</v>
      </c>
      <c r="O79" s="129">
        <f>IFERROR(IF(OR(NOT(ISNUMBER('Price History'!O80)),NOT(ISNUMBER('Price History'!O79)),'Price History'!O79=0),"",'Price History'!O80/'Price History'!O79-1),"")</f>
        <v>-4.4891640866873139E-2</v>
      </c>
      <c r="P79" s="129">
        <f>IFERROR(IF(OR(NOT(ISNUMBER('Price History'!P80)),NOT(ISNUMBER('Price History'!P79)),'Price History'!P79=0),"",'Price History'!P80/'Price History'!P79-1),"")</f>
        <v>-2.7480563467015551E-2</v>
      </c>
      <c r="Q79" s="129">
        <f>IFERROR(IF(OR(NOT(ISNUMBER('Price History'!Q80)),NOT(ISNUMBER('Price History'!Q79)),'Price History'!Q79=0),"",'Price History'!Q80/'Price History'!Q79-1),"")</f>
        <v>-1.748421563865965E-2</v>
      </c>
      <c r="R79" s="129">
        <f>IFERROR(IF(OR(NOT(ISNUMBER('Price History'!R80)),NOT(ISNUMBER('Price History'!R79)),'Price History'!R79=0),"",'Price History'!R80/'Price History'!R79-1),"")</f>
        <v>-3.1398873971416275E-2</v>
      </c>
      <c r="S79" s="129">
        <f>IFERROR(IF(OR(NOT(ISNUMBER('Price History'!S80)),NOT(ISNUMBER('Price History'!S79)),'Price History'!S79=0),"",'Price History'!S80/'Price History'!S79-1),"")</f>
        <v>-5.2631578947368474E-2</v>
      </c>
      <c r="T79" s="129">
        <f>IFERROR(IF(OR(NOT(ISNUMBER('Price History'!T80)),NOT(ISNUMBER('Price History'!T79)),'Price History'!T79=0),"",'Price History'!T80/'Price History'!T79-1),"")</f>
        <v>-1.4471780028943559E-2</v>
      </c>
      <c r="U79" s="129">
        <f>IFERROR(IF(OR(NOT(ISNUMBER('Price History'!U80)),NOT(ISNUMBER('Price History'!U79)),'Price History'!U79=0),"",'Price History'!U80/'Price History'!U79-1),"")</f>
        <v>-2.6119402985074203E-3</v>
      </c>
      <c r="V79" s="130">
        <f>IFERROR(IF(OR(NOT(ISNUMBER('Price History'!V80)),NOT(ISNUMBER('Price History'!V79)),'Price History'!V79=0),"",'Price History'!V80/'Price History'!V79-1),"")</f>
        <v>-4.7936419408811992E-2</v>
      </c>
      <c r="W79" s="131">
        <f>IFERROR('Price History'!B3+(INDEX('Price History'!B:B,MATCH(9.99E+307,'Returns (Calc)'!$A:$A)+1)-'Price History'!B3)*(ROW()-3)/(MATCH(9.99E+307,'Returns (Calc)'!$A:$A)-3),"")</f>
        <v>388.81911392405061</v>
      </c>
      <c r="X79" s="131">
        <f>IFERROR('Price History'!C3+(INDEX('Price History'!C:C,MATCH(9.99E+307,'Returns (Calc)'!$A:$A)+1)-'Price History'!C3)*(ROW()-3)/(MATCH(9.99E+307,'Returns (Calc)'!$A:$A)-3),"")</f>
        <v>123.70481012658226</v>
      </c>
      <c r="Y79" s="131">
        <f>IFERROR('Price History'!D3+(INDEX('Price History'!D:D,MATCH(9.99E+307,'Returns (Calc)'!$A:$A)+1)-'Price History'!D3)*(ROW()-3)/(MATCH(9.99E+307,'Returns (Calc)'!$A:$A)-3),"")</f>
        <v>1200.255569620253</v>
      </c>
      <c r="Z79" s="131">
        <f>IFERROR('Price History'!E3+(INDEX('Price History'!E:E,MATCH(9.99E+307,'Returns (Calc)'!$A:$A)+1)-'Price History'!E3)*(ROW()-3)/(MATCH(9.99E+307,'Returns (Calc)'!$A:$A)-3),"")</f>
        <v>213.38379746835443</v>
      </c>
      <c r="AA79" s="131">
        <f>IFERROR('Price History'!F3+(INDEX('Price History'!F:F,MATCH(9.99E+307,'Returns (Calc)'!$A:$A)+1)-'Price History'!F3)*(ROW()-3)/(MATCH(9.99E+307,'Returns (Calc)'!$A:$A)-3),"")</f>
        <v>151.35797468354428</v>
      </c>
      <c r="AB79" s="131">
        <f>IFERROR('Price History'!G3+(INDEX('Price History'!G:G,MATCH(9.99E+307,'Returns (Calc)'!$A:$A)+1)-'Price History'!G3)*(ROW()-3)/(MATCH(9.99E+307,'Returns (Calc)'!$A:$A)-3),"")</f>
        <v>122.53379746835444</v>
      </c>
      <c r="AC79" s="131">
        <f>IFERROR('Price History'!H3+(INDEX('Price History'!H:H,MATCH(9.99E+307,'Returns (Calc)'!$A:$A)+1)-'Price History'!H3)*(ROW()-3)/(MATCH(9.99E+307,'Returns (Calc)'!$A:$A)-3),"")</f>
        <v>552.90291139240514</v>
      </c>
      <c r="AD79" s="131">
        <f>IFERROR('Price History'!I3+(INDEX('Price History'!I:I,MATCH(9.99E+307,'Returns (Calc)'!$A:$A)+1)-'Price History'!I3)*(ROW()-3)/(MATCH(9.99E+307,'Returns (Calc)'!$A:$A)-3),"")</f>
        <v>135.24898734177214</v>
      </c>
      <c r="AE79" s="131">
        <f>IFERROR('Price History'!J3+(INDEX('Price History'!J:J,MATCH(9.99E+307,'Returns (Calc)'!$A:$A)+1)-'Price History'!J3)*(ROW()-3)/(MATCH(9.99E+307,'Returns (Calc)'!$A:$A)-3),"")</f>
        <v>120.05088607594936</v>
      </c>
      <c r="AF79" s="131">
        <f>IFERROR('Price History'!K3+(INDEX('Price History'!K:K,MATCH(9.99E+307,'Returns (Calc)'!$A:$A)+1)-'Price History'!K3)*(ROW()-3)/(MATCH(9.99E+307,'Returns (Calc)'!$A:$A)-3),"")</f>
        <v>98.747215189873401</v>
      </c>
      <c r="AG79" s="131">
        <f>IFERROR('Price History'!L3+(INDEX('Price History'!L:L,MATCH(9.99E+307,'Returns (Calc)'!$A:$A)+1)-'Price History'!L3)*(ROW()-3)/(MATCH(9.99E+307,'Returns (Calc)'!$A:$A)-3),"")</f>
        <v>271.91632911392401</v>
      </c>
      <c r="AH79" s="131">
        <f>IFERROR('Price History'!M3+(INDEX('Price History'!M:M,MATCH(9.99E+307,'Returns (Calc)'!$A:$A)+1)-'Price History'!M3)*(ROW()-3)/(MATCH(9.99E+307,'Returns (Calc)'!$A:$A)-3),"")</f>
        <v>141.03367088607595</v>
      </c>
      <c r="AI79" s="131">
        <f>IFERROR('Price History'!N3+(INDEX('Price History'!N:N,MATCH(9.99E+307,'Returns (Calc)'!$A:$A)+1)-'Price History'!N3)*(ROW()-3)/(MATCH(9.99E+307,'Returns (Calc)'!$A:$A)-3),"")</f>
        <v>423.85620253164558</v>
      </c>
      <c r="AJ79" s="131">
        <f>IFERROR('Price History'!O3+(INDEX('Price History'!O:O,MATCH(9.99E+307,'Returns (Calc)'!$A:$A)+1)-'Price History'!O3)*(ROW()-3)/(MATCH(9.99E+307,'Returns (Calc)'!$A:$A)-3),"")</f>
        <v>96.820886075949375</v>
      </c>
      <c r="AK79" s="131">
        <f>IFERROR('Price History'!Q3+(INDEX('Price History'!Q:Q,MATCH(9.99E+307,'Returns (Calc)'!$A:$A)+1)-'Price History'!Q3)*(ROW()-3)/(MATCH(9.99E+307,'Returns (Calc)'!$A:$A)-3),"")</f>
        <v>33.391898734177218</v>
      </c>
      <c r="AL79" s="131">
        <f>IFERROR('Price History'!R3+(INDEX('Price History'!R:R,MATCH(9.99E+307,'Returns (Calc)'!$A:$A)+1)-'Price History'!R3)*(ROW()-3)/(MATCH(9.99E+307,'Returns (Calc)'!$A:$A)-3),"")</f>
        <v>47.255696202531645</v>
      </c>
      <c r="AM79" s="131">
        <f>IFERROR('Price History'!S3+(INDEX('Price History'!S:S,MATCH(9.99E+307,'Returns (Calc)'!$A:$A)+1)-'Price History'!S3)*(ROW()-3)/(MATCH(9.99E+307,'Returns (Calc)'!$A:$A)-3),"")</f>
        <v>103.61481012658228</v>
      </c>
      <c r="AN79" s="131">
        <f>IFERROR('Price History'!T3+(INDEX('Price History'!T:T,MATCH(9.99E+307,'Returns (Calc)'!$A:$A)+1)-'Price History'!T3)*(ROW()-3)/(MATCH(9.99E+307,'Returns (Calc)'!$A:$A)-3),"")</f>
        <v>38.025316455696199</v>
      </c>
      <c r="AO79" s="132">
        <f>IFERROR('Price History'!V3+(INDEX('Price History'!V:V,MATCH(9.99E+307,'Returns (Calc)'!$A:$A)+1)-'Price History'!V3)*(ROW()-3)/(MATCH(9.99E+307,'Returns (Calc)'!$A:$A)-3),"")</f>
        <v>295.77101265822785</v>
      </c>
      <c r="AP79" s="130">
        <f>IFERROR(IF(OR(NOT(ISNUMBER('Price History'!W80)),NOT(ISNUMBER('Price History'!W79)),'Price History'!W79=0),"",'Price History'!W80/'Price History'!W79-1),"")</f>
        <v>-2.103459021502041E-2</v>
      </c>
      <c r="AQ79" s="130" t="str">
        <f>IFERROR(IF(OR(NOT(ISNUMBER('Price History'!X80)),NOT(ISNUMBER('Price History'!X79)),'Price History'!X79=0),"",'Price History'!X80/'Price History'!X79-1),"")</f>
        <v/>
      </c>
      <c r="AR79" s="130">
        <f>IFERROR(IF(OR(NOT(ISNUMBER('Price History'!Y80)),NOT(ISNUMBER('Price History'!Y79)),'Price History'!Y79=0),"",'Price History'!Y80/'Price History'!Y79-1),"")</f>
        <v>-1.4867735083992972E-2</v>
      </c>
      <c r="AS79" s="130">
        <f>IFERROR(IF(OR(NOT(ISNUMBER('Price History'!Z80)),NOT(ISNUMBER('Price History'!Z79)),'Price History'!Z79=0),"",'Price History'!Z80/'Price History'!Z79-1),"")</f>
        <v>-6.3434835566382519E-2</v>
      </c>
      <c r="AT79" s="130">
        <f>IFERROR(IF(OR(NOT(ISNUMBER('Price History'!AA80)),NOT(ISNUMBER('Price History'!AA79)),'Price History'!AA79=0),"",'Price History'!AA80/'Price History'!AA79-1),"")</f>
        <v>-9.1270650622068183E-2</v>
      </c>
    </row>
    <row r="80" spans="1:46" ht="15" customHeight="1" x14ac:dyDescent="0.2">
      <c r="A80" s="128">
        <f>IF('Price History'!A81="","",'Price History'!A81)</f>
        <v>45730</v>
      </c>
      <c r="B80" s="129">
        <f>IFERROR(IF(OR(NOT(ISNUMBER('Price History'!B81)),NOT(ISNUMBER('Price History'!B80)),'Price History'!B80=0),"",'Price History'!B81/'Price History'!B80-1),"")</f>
        <v>-0.12162883845126826</v>
      </c>
      <c r="C80" s="129">
        <f>IFERROR(IF(OR(NOT(ISNUMBER('Price History'!C81)),NOT(ISNUMBER('Price History'!C80)),'Price History'!C80=0),"",'Price History'!C81/'Price History'!C80-1),"")</f>
        <v>1.7994241842611558E-3</v>
      </c>
      <c r="D80" s="129">
        <f>IFERROR(IF(OR(NOT(ISNUMBER('Price History'!D81)),NOT(ISNUMBER('Price History'!D80)),'Price History'!D80=0),"",'Price History'!D81/'Price History'!D80-1),"")</f>
        <v>-2.4884219257620743E-2</v>
      </c>
      <c r="E80" s="129">
        <f>IFERROR(IF(OR(NOT(ISNUMBER('Price History'!E81)),NOT(ISNUMBER('Price History'!E80)),'Price History'!E80=0),"",'Price History'!E81/'Price History'!E80-1),"")</f>
        <v>2.9662781015820094E-3</v>
      </c>
      <c r="F80" s="129">
        <f>IFERROR(IF(OR(NOT(ISNUMBER('Price History'!F81)),NOT(ISNUMBER('Price History'!F80)),'Price History'!F80=0),"",'Price History'!F81/'Price History'!F80-1),"")</f>
        <v>6.0566082993523729E-2</v>
      </c>
      <c r="G80" s="129">
        <f>IFERROR(IF(OR(NOT(ISNUMBER('Price History'!G81)),NOT(ISNUMBER('Price History'!G80)),'Price History'!G80=0),"",'Price History'!G81/'Price History'!G80-1),"")</f>
        <v>2.414086907128743E-3</v>
      </c>
      <c r="H80" s="129">
        <f>IFERROR(IF(OR(NOT(ISNUMBER('Price History'!H81)),NOT(ISNUMBER('Price History'!H80)),'Price History'!H80=0),"",'Price History'!H81/'Price History'!H80-1),"")</f>
        <v>8.4233261339093035E-2</v>
      </c>
      <c r="I80" s="129">
        <f>IFERROR(IF(OR(NOT(ISNUMBER('Price History'!I81)),NOT(ISNUMBER('Price History'!I80)),'Price History'!I80=0),"",'Price History'!I81/'Price History'!I80-1),"")</f>
        <v>7.9715302491103035E-2</v>
      </c>
      <c r="J80" s="129">
        <f>IFERROR(IF(OR(NOT(ISNUMBER('Price History'!J81)),NOT(ISNUMBER('Price History'!J80)),'Price History'!J80=0),"",'Price History'!J81/'Price History'!J80-1),"")</f>
        <v>-6.6908255258971261E-2</v>
      </c>
      <c r="K80" s="129">
        <f>IFERROR(IF(OR(NOT(ISNUMBER('Price History'!K81)),NOT(ISNUMBER('Price History'!K80)),'Price History'!K80=0),"",'Price History'!K81/'Price History'!K80-1),"")</f>
        <v>1.5663643858202736E-2</v>
      </c>
      <c r="L80" s="129">
        <f>IFERROR(IF(OR(NOT(ISNUMBER('Price History'!L81)),NOT(ISNUMBER('Price History'!L80)),'Price History'!L80=0),"",'Price History'!L81/'Price History'!L80-1),"")</f>
        <v>-1.6956973122620789E-2</v>
      </c>
      <c r="M80" s="129">
        <f>IFERROR(IF(OR(NOT(ISNUMBER('Price History'!M81)),NOT(ISNUMBER('Price History'!M80)),'Price History'!M80=0),"",'Price History'!M81/'Price History'!M80-1),"")</f>
        <v>2.839971718123957E-2</v>
      </c>
      <c r="N80" s="129">
        <f>IFERROR(IF(OR(NOT(ISNUMBER('Price History'!N81)),NOT(ISNUMBER('Price History'!N80)),'Price History'!N80=0),"",'Price History'!N81/'Price History'!N80-1),"")</f>
        <v>3.3750435192201333E-2</v>
      </c>
      <c r="O80" s="129">
        <f>IFERROR(IF(OR(NOT(ISNUMBER('Price History'!O81)),NOT(ISNUMBER('Price History'!O80)),'Price History'!O80=0),"",'Price History'!O81/'Price History'!O80-1),"")</f>
        <v>-1.8754341282704257E-2</v>
      </c>
      <c r="P80" s="129">
        <f>IFERROR(IF(OR(NOT(ISNUMBER('Price History'!P81)),NOT(ISNUMBER('Price History'!P80)),'Price History'!P80=0),"",'Price History'!P81/'Price History'!P80-1),"")</f>
        <v>-8.390058572107062E-3</v>
      </c>
      <c r="Q80" s="129">
        <f>IFERROR(IF(OR(NOT(ISNUMBER('Price History'!Q81)),NOT(ISNUMBER('Price History'!Q80)),'Price History'!Q80=0),"",'Price History'!Q81/'Price History'!Q80-1),"")</f>
        <v>-1.4170374031965749E-2</v>
      </c>
      <c r="R80" s="129">
        <f>IFERROR(IF(OR(NOT(ISNUMBER('Price History'!R81)),NOT(ISNUMBER('Price History'!R80)),'Price History'!R80=0),"",'Price History'!R81/'Price History'!R80-1),"")</f>
        <v>-2.123854236530287E-2</v>
      </c>
      <c r="S80" s="129">
        <f>IFERROR(IF(OR(NOT(ISNUMBER('Price History'!S81)),NOT(ISNUMBER('Price History'!S80)),'Price History'!S80=0),"",'Price History'!S81/'Price History'!S80-1),"")</f>
        <v>-7.1857571857572022E-3</v>
      </c>
      <c r="T80" s="129">
        <f>IFERROR(IF(OR(NOT(ISNUMBER('Price History'!T81)),NOT(ISNUMBER('Price History'!T80)),'Price History'!T80=0),"",'Price History'!T81/'Price History'!T80-1),"")</f>
        <v>-1.8795888399412597E-2</v>
      </c>
      <c r="U80" s="129">
        <f>IFERROR(IF(OR(NOT(ISNUMBER('Price History'!U81)),NOT(ISNUMBER('Price History'!U80)),'Price History'!U80=0),"",'Price History'!U81/'Price History'!U80-1),"")</f>
        <v>-2.8806584362139898E-2</v>
      </c>
      <c r="V80" s="130">
        <f>IFERROR(IF(OR(NOT(ISNUMBER('Price History'!V81)),NOT(ISNUMBER('Price History'!V80)),'Price History'!V80=0),"",'Price History'!V81/'Price History'!V80-1),"")</f>
        <v>-3.916112591898302E-2</v>
      </c>
      <c r="W80" s="131">
        <f>IFERROR('Price History'!B3+(INDEX('Price History'!B:B,MATCH(9.99E+307,'Returns (Calc)'!$A:$A)+1)-'Price History'!B3)*(ROW()-3)/(MATCH(9.99E+307,'Returns (Calc)'!$A:$A)-3),"")</f>
        <v>386.9760759493671</v>
      </c>
      <c r="X80" s="131">
        <f>IFERROR('Price History'!C3+(INDEX('Price History'!C:C,MATCH(9.99E+307,'Returns (Calc)'!$A:$A)+1)-'Price History'!C3)*(ROW()-3)/(MATCH(9.99E+307,'Returns (Calc)'!$A:$A)-3),"")</f>
        <v>124.72487341772151</v>
      </c>
      <c r="Y80" s="131">
        <f>IFERROR('Price History'!D3+(INDEX('Price History'!D:D,MATCH(9.99E+307,'Returns (Calc)'!$A:$A)+1)-'Price History'!D3)*(ROW()-3)/(MATCH(9.99E+307,'Returns (Calc)'!$A:$A)-3),"")</f>
        <v>1208.3903797468354</v>
      </c>
      <c r="Z80" s="131">
        <f>IFERROR('Price History'!E3+(INDEX('Price History'!E:E,MATCH(9.99E+307,'Returns (Calc)'!$A:$A)+1)-'Price History'!E3)*(ROW()-3)/(MATCH(9.99E+307,'Returns (Calc)'!$A:$A)-3),"")</f>
        <v>215.11253164556962</v>
      </c>
      <c r="AA80" s="131">
        <f>IFERROR('Price History'!F3+(INDEX('Price History'!F:F,MATCH(9.99E+307,'Returns (Calc)'!$A:$A)+1)-'Price History'!F3)*(ROW()-3)/(MATCH(9.99E+307,'Returns (Calc)'!$A:$A)-3),"")</f>
        <v>152.80531645569619</v>
      </c>
      <c r="AB80" s="131">
        <f>IFERROR('Price History'!G3+(INDEX('Price History'!G:G,MATCH(9.99E+307,'Returns (Calc)'!$A:$A)+1)-'Price History'!G3)*(ROW()-3)/(MATCH(9.99E+307,'Returns (Calc)'!$A:$A)-3),"")</f>
        <v>123.56253164556963</v>
      </c>
      <c r="AC80" s="131">
        <f>IFERROR('Price History'!H3+(INDEX('Price History'!H:H,MATCH(9.99E+307,'Returns (Calc)'!$A:$A)+1)-'Price History'!H3)*(ROW()-3)/(MATCH(9.99E+307,'Returns (Calc)'!$A:$A)-3),"")</f>
        <v>559.26860759493673</v>
      </c>
      <c r="AD80" s="131">
        <f>IFERROR('Price History'!I3+(INDEX('Price History'!I:I,MATCH(9.99E+307,'Returns (Calc)'!$A:$A)+1)-'Price History'!I3)*(ROW()-3)/(MATCH(9.99E+307,'Returns (Calc)'!$A:$A)-3),"")</f>
        <v>136.4526582278481</v>
      </c>
      <c r="AE80" s="131">
        <f>IFERROR('Price History'!J3+(INDEX('Price History'!J:J,MATCH(9.99E+307,'Returns (Calc)'!$A:$A)+1)-'Price History'!J3)*(ROW()-3)/(MATCH(9.99E+307,'Returns (Calc)'!$A:$A)-3),"")</f>
        <v>120.15892405063292</v>
      </c>
      <c r="AF80" s="131">
        <f>IFERROR('Price History'!K3+(INDEX('Price History'!K:K,MATCH(9.99E+307,'Returns (Calc)'!$A:$A)+1)-'Price History'!K3)*(ROW()-3)/(MATCH(9.99E+307,'Returns (Calc)'!$A:$A)-3),"")</f>
        <v>99.84481012658226</v>
      </c>
      <c r="AG80" s="131">
        <f>IFERROR('Price History'!L3+(INDEX('Price History'!L:L,MATCH(9.99E+307,'Returns (Calc)'!$A:$A)+1)-'Price History'!L3)*(ROW()-3)/(MATCH(9.99E+307,'Returns (Calc)'!$A:$A)-3),"")</f>
        <v>274.36588607594933</v>
      </c>
      <c r="AH80" s="131">
        <f>IFERROR('Price History'!M3+(INDEX('Price History'!M:M,MATCH(9.99E+307,'Returns (Calc)'!$A:$A)+1)-'Price History'!M3)*(ROW()-3)/(MATCH(9.99E+307,'Returns (Calc)'!$A:$A)-3),"")</f>
        <v>142.38911392405063</v>
      </c>
      <c r="AI80" s="131">
        <f>IFERROR('Price History'!N3+(INDEX('Price History'!N:N,MATCH(9.99E+307,'Returns (Calc)'!$A:$A)+1)-'Price History'!N3)*(ROW()-3)/(MATCH(9.99E+307,'Returns (Calc)'!$A:$A)-3),"")</f>
        <v>424.84246835443037</v>
      </c>
      <c r="AJ80" s="131">
        <f>IFERROR('Price History'!O3+(INDEX('Price History'!O:O,MATCH(9.99E+307,'Returns (Calc)'!$A:$A)+1)-'Price History'!O3)*(ROW()-3)/(MATCH(9.99E+307,'Returns (Calc)'!$A:$A)-3),"")</f>
        <v>97.103924050632912</v>
      </c>
      <c r="AK80" s="131">
        <f>IFERROR('Price History'!Q3+(INDEX('Price History'!Q:Q,MATCH(9.99E+307,'Returns (Calc)'!$A:$A)+1)-'Price History'!Q3)*(ROW()-3)/(MATCH(9.99E+307,'Returns (Calc)'!$A:$A)-3),"")</f>
        <v>33.831265822784808</v>
      </c>
      <c r="AL80" s="131">
        <f>IFERROR('Price History'!R3+(INDEX('Price History'!R:R,MATCH(9.99E+307,'Returns (Calc)'!$A:$A)+1)-'Price History'!R3)*(ROW()-3)/(MATCH(9.99E+307,'Returns (Calc)'!$A:$A)-3),"")</f>
        <v>47.423797468354429</v>
      </c>
      <c r="AM80" s="131">
        <f>IFERROR('Price History'!S3+(INDEX('Price History'!S:S,MATCH(9.99E+307,'Returns (Calc)'!$A:$A)+1)-'Price History'!S3)*(ROW()-3)/(MATCH(9.99E+307,'Returns (Calc)'!$A:$A)-3),"")</f>
        <v>104.21987341772152</v>
      </c>
      <c r="AN80" s="131">
        <f>IFERROR('Price History'!T3+(INDEX('Price History'!T:T,MATCH(9.99E+307,'Returns (Calc)'!$A:$A)+1)-'Price History'!T3)*(ROW()-3)/(MATCH(9.99E+307,'Returns (Calc)'!$A:$A)-3),"")</f>
        <v>38.193544303797466</v>
      </c>
      <c r="AO80" s="132">
        <f>IFERROR('Price History'!V3+(INDEX('Price History'!V:V,MATCH(9.99E+307,'Returns (Calc)'!$A:$A)+1)-'Price History'!V3)*(ROW()-3)/(MATCH(9.99E+307,'Returns (Calc)'!$A:$A)-3),"")</f>
        <v>296.56234177215191</v>
      </c>
      <c r="AP80" s="130">
        <f>IFERROR(IF(OR(NOT(ISNUMBER('Price History'!W81)),NOT(ISNUMBER('Price History'!W80)),'Price History'!W80=0),"",'Price History'!W81/'Price History'!W80-1),"")</f>
        <v>-2.2441508833359824E-2</v>
      </c>
      <c r="AQ80" s="130" t="str">
        <f>IFERROR(IF(OR(NOT(ISNUMBER('Price History'!X81)),NOT(ISNUMBER('Price History'!X80)),'Price History'!X80=0),"",'Price History'!X81/'Price History'!X80-1),"")</f>
        <v/>
      </c>
      <c r="AR80" s="130">
        <f>IFERROR(IF(OR(NOT(ISNUMBER('Price History'!Y81)),NOT(ISNUMBER('Price History'!Y80)),'Price History'!Y80=0),"",'Price History'!Y81/'Price History'!Y80-1),"")</f>
        <v>-2.1364170913367397E-2</v>
      </c>
      <c r="AS80" s="130">
        <f>IFERROR(IF(OR(NOT(ISNUMBER('Price History'!Z81)),NOT(ISNUMBER('Price History'!Z80)),'Price History'!Z80=0),"",'Price History'!Z81/'Price History'!Z80-1),"")</f>
        <v>1.8727565936638602E-2</v>
      </c>
      <c r="AT80" s="130">
        <f>IFERROR(IF(OR(NOT(ISNUMBER('Price History'!AA81)),NOT(ISNUMBER('Price History'!AA80)),'Price History'!AA80=0),"",'Price History'!AA81/'Price History'!AA80-1),"")</f>
        <v>3.0187408820558925E-2</v>
      </c>
    </row>
    <row r="81" spans="1:46" ht="15" customHeight="1" x14ac:dyDescent="0.2">
      <c r="A81" s="128">
        <f>IF('Price History'!A82="","",'Price History'!A82)</f>
        <v>45737</v>
      </c>
      <c r="B81" s="129">
        <f>IFERROR(IF(OR(NOT(ISNUMBER('Price History'!B82)),NOT(ISNUMBER('Price History'!B81)),'Price History'!B81=0),"",'Price History'!B82/'Price History'!B81-1),"")</f>
        <v>-1.8949181739879473E-2</v>
      </c>
      <c r="C81" s="129">
        <f>IFERROR(IF(OR(NOT(ISNUMBER('Price History'!C82)),NOT(ISNUMBER('Price History'!C81)),'Price History'!C81=0),"",'Price History'!C82/'Price History'!C81-1),"")</f>
        <v>-4.5503532511077527E-3</v>
      </c>
      <c r="D81" s="129">
        <f>IFERROR(IF(OR(NOT(ISNUMBER('Price History'!D82)),NOT(ISNUMBER('Price History'!D81)),'Price History'!D81=0),"",'Price History'!D82/'Price History'!D81-1),"")</f>
        <v>3.1048415680157149E-3</v>
      </c>
      <c r="E81" s="129">
        <f>IFERROR(IF(OR(NOT(ISNUMBER('Price History'!E82)),NOT(ISNUMBER('Price History'!E81)),'Price History'!E81=0),"",'Price History'!E82/'Price History'!E81-1),"")</f>
        <v>-1.6914854978467231E-2</v>
      </c>
      <c r="F81" s="129">
        <f>IFERROR(IF(OR(NOT(ISNUMBER('Price History'!F82)),NOT(ISNUMBER('Price History'!F81)),'Price History'!F81=0),"",'Price History'!F82/'Price History'!F81-1),"")</f>
        <v>2.4086848354630819E-2</v>
      </c>
      <c r="G81" s="129">
        <f>IFERROR(IF(OR(NOT(ISNUMBER('Price History'!G82)),NOT(ISNUMBER('Price History'!G81)),'Price History'!G81=0),"",'Price History'!G82/'Price History'!G81-1),"")</f>
        <v>-9.0664400056665873E-3</v>
      </c>
      <c r="H81" s="129">
        <f>IFERROR(IF(OR(NOT(ISNUMBER('Price History'!H82)),NOT(ISNUMBER('Price History'!H81)),'Price History'!H81=0),"",'Price History'!H82/'Price History'!H81-1),"")</f>
        <v>-6.015936254980081E-2</v>
      </c>
      <c r="I81" s="129">
        <f>IFERROR(IF(OR(NOT(ISNUMBER('Price History'!I82)),NOT(ISNUMBER('Price History'!I81)),'Price History'!I81=0),"",'Price History'!I82/'Price History'!I81-1),"")</f>
        <v>-3.2630191166776457E-2</v>
      </c>
      <c r="J81" s="129">
        <f>IFERROR(IF(OR(NOT(ISNUMBER('Price History'!J82)),NOT(ISNUMBER('Price History'!J81)),'Price History'!J81=0),"",'Price History'!J82/'Price History'!J81-1),"")</f>
        <v>-2.2354835654068372E-2</v>
      </c>
      <c r="K81" s="129">
        <f>IFERROR(IF(OR(NOT(ISNUMBER('Price History'!K82)),NOT(ISNUMBER('Price History'!K81)),'Price History'!K81=0),"",'Price History'!K82/'Price History'!K81-1),"")</f>
        <v>5.4730983302411884E-2</v>
      </c>
      <c r="L81" s="129">
        <f>IFERROR(IF(OR(NOT(ISNUMBER('Price History'!L82)),NOT(ISNUMBER('Price History'!L81)),'Price History'!L81=0),"",'Price History'!L82/'Price History'!L81-1),"")</f>
        <v>1.9068293827740002E-2</v>
      </c>
      <c r="M81" s="129">
        <f>IFERROR(IF(OR(NOT(ISNUMBER('Price History'!M82)),NOT(ISNUMBER('Price History'!M81)),'Price History'!M81=0),"",'Price History'!M82/'Price History'!M81-1),"")</f>
        <v>1.3865016615102643E-2</v>
      </c>
      <c r="N81" s="129">
        <f>IFERROR(IF(OR(NOT(ISNUMBER('Price History'!N82)),NOT(ISNUMBER('Price History'!N81)),'Price History'!N81=0),"",'Price History'!N82/'Price History'!N81-1),"")</f>
        <v>-3.1103274758801369E-3</v>
      </c>
      <c r="O81" s="129">
        <f>IFERROR(IF(OR(NOT(ISNUMBER('Price History'!O82)),NOT(ISNUMBER('Price History'!O81)),'Price History'!O81=0),"",'Price History'!O82/'Price History'!O81-1),"")</f>
        <v>9.6743747050493933E-3</v>
      </c>
      <c r="P81" s="129">
        <f>IFERROR(IF(OR(NOT(ISNUMBER('Price History'!P82)),NOT(ISNUMBER('Price History'!P81)),'Price History'!P81=0),"",'Price History'!P82/'Price History'!P81-1),"")</f>
        <v>4.7892720306512704E-3</v>
      </c>
      <c r="Q81" s="129">
        <f>IFERROR(IF(OR(NOT(ISNUMBER('Price History'!Q82)),NOT(ISNUMBER('Price History'!Q81)),'Price History'!Q81=0),"",'Price History'!Q82/'Price History'!Q81-1),"")</f>
        <v>-2.0056827678421874E-3</v>
      </c>
      <c r="R81" s="129">
        <f>IFERROR(IF(OR(NOT(ISNUMBER('Price History'!R82)),NOT(ISNUMBER('Price History'!R81)),'Price History'!R81=0),"",'Price History'!R82/'Price History'!R81-1),"")</f>
        <v>3.6546368204659618E-3</v>
      </c>
      <c r="S81" s="129">
        <f>IFERROR(IF(OR(NOT(ISNUMBER('Price History'!S82)),NOT(ISNUMBER('Price History'!S81)),'Price History'!S81=0),"",'Price History'!S82/'Price History'!S81-1),"")</f>
        <v>3.7809225451010953E-3</v>
      </c>
      <c r="T81" s="129">
        <f>IFERROR(IF(OR(NOT(ISNUMBER('Price History'!T82)),NOT(ISNUMBER('Price History'!T81)),'Price History'!T81=0),"",'Price History'!T82/'Price History'!T81-1),"")</f>
        <v>1.7060760251421669E-2</v>
      </c>
      <c r="U81" s="129">
        <f>IFERROR(IF(OR(NOT(ISNUMBER('Price History'!U82)),NOT(ISNUMBER('Price History'!U81)),'Price History'!U81=0),"",'Price History'!U82/'Price History'!U81-1),"")</f>
        <v>4.237288135593209E-3</v>
      </c>
      <c r="V81" s="130">
        <f>IFERROR(IF(OR(NOT(ISNUMBER('Price History'!V82)),NOT(ISNUMBER('Price History'!V81)),'Price History'!V81=0),"",'Price History'!V82/'Price History'!V81-1),"")</f>
        <v>1.1644921351054771E-2</v>
      </c>
      <c r="W81" s="131">
        <f>IFERROR('Price History'!B3+(INDEX('Price History'!B:B,MATCH(9.99E+307,'Returns (Calc)'!$A:$A)+1)-'Price History'!B3)*(ROW()-3)/(MATCH(9.99E+307,'Returns (Calc)'!$A:$A)-3),"")</f>
        <v>385.13303797468353</v>
      </c>
      <c r="X81" s="131">
        <f>IFERROR('Price History'!C3+(INDEX('Price History'!C:C,MATCH(9.99E+307,'Returns (Calc)'!$A:$A)+1)-'Price History'!C3)*(ROW()-3)/(MATCH(9.99E+307,'Returns (Calc)'!$A:$A)-3),"")</f>
        <v>125.74493670886076</v>
      </c>
      <c r="Y81" s="131">
        <f>IFERROR('Price History'!D3+(INDEX('Price History'!D:D,MATCH(9.99E+307,'Returns (Calc)'!$A:$A)+1)-'Price History'!D3)*(ROW()-3)/(MATCH(9.99E+307,'Returns (Calc)'!$A:$A)-3),"")</f>
        <v>1216.5251898734177</v>
      </c>
      <c r="Z81" s="131">
        <f>IFERROR('Price History'!E3+(INDEX('Price History'!E:E,MATCH(9.99E+307,'Returns (Calc)'!$A:$A)+1)-'Price History'!E3)*(ROW()-3)/(MATCH(9.99E+307,'Returns (Calc)'!$A:$A)-3),"")</f>
        <v>216.84126582278481</v>
      </c>
      <c r="AA81" s="131">
        <f>IFERROR('Price History'!F3+(INDEX('Price History'!F:F,MATCH(9.99E+307,'Returns (Calc)'!$A:$A)+1)-'Price History'!F3)*(ROW()-3)/(MATCH(9.99E+307,'Returns (Calc)'!$A:$A)-3),"")</f>
        <v>154.25265822784809</v>
      </c>
      <c r="AB81" s="131">
        <f>IFERROR('Price History'!G3+(INDEX('Price History'!G:G,MATCH(9.99E+307,'Returns (Calc)'!$A:$A)+1)-'Price History'!G3)*(ROW()-3)/(MATCH(9.99E+307,'Returns (Calc)'!$A:$A)-3),"")</f>
        <v>124.59126582278481</v>
      </c>
      <c r="AC81" s="131">
        <f>IFERROR('Price History'!H3+(INDEX('Price History'!H:H,MATCH(9.99E+307,'Returns (Calc)'!$A:$A)+1)-'Price History'!H3)*(ROW()-3)/(MATCH(9.99E+307,'Returns (Calc)'!$A:$A)-3),"")</f>
        <v>565.63430379746842</v>
      </c>
      <c r="AD81" s="131">
        <f>IFERROR('Price History'!I3+(INDEX('Price History'!I:I,MATCH(9.99E+307,'Returns (Calc)'!$A:$A)+1)-'Price History'!I3)*(ROW()-3)/(MATCH(9.99E+307,'Returns (Calc)'!$A:$A)-3),"")</f>
        <v>137.65632911392404</v>
      </c>
      <c r="AE81" s="131">
        <f>IFERROR('Price History'!J3+(INDEX('Price History'!J:J,MATCH(9.99E+307,'Returns (Calc)'!$A:$A)+1)-'Price History'!J3)*(ROW()-3)/(MATCH(9.99E+307,'Returns (Calc)'!$A:$A)-3),"")</f>
        <v>120.26696202531646</v>
      </c>
      <c r="AF81" s="131">
        <f>IFERROR('Price History'!K3+(INDEX('Price History'!K:K,MATCH(9.99E+307,'Returns (Calc)'!$A:$A)+1)-'Price History'!K3)*(ROW()-3)/(MATCH(9.99E+307,'Returns (Calc)'!$A:$A)-3),"")</f>
        <v>100.94240506329113</v>
      </c>
      <c r="AG81" s="131">
        <f>IFERROR('Price History'!L3+(INDEX('Price History'!L:L,MATCH(9.99E+307,'Returns (Calc)'!$A:$A)+1)-'Price History'!L3)*(ROW()-3)/(MATCH(9.99E+307,'Returns (Calc)'!$A:$A)-3),"")</f>
        <v>276.81544303797466</v>
      </c>
      <c r="AH81" s="131">
        <f>IFERROR('Price History'!M3+(INDEX('Price History'!M:M,MATCH(9.99E+307,'Returns (Calc)'!$A:$A)+1)-'Price History'!M3)*(ROW()-3)/(MATCH(9.99E+307,'Returns (Calc)'!$A:$A)-3),"")</f>
        <v>143.74455696202531</v>
      </c>
      <c r="AI81" s="131">
        <f>IFERROR('Price History'!N3+(INDEX('Price History'!N:N,MATCH(9.99E+307,'Returns (Calc)'!$A:$A)+1)-'Price History'!N3)*(ROW()-3)/(MATCH(9.99E+307,'Returns (Calc)'!$A:$A)-3),"")</f>
        <v>425.82873417721521</v>
      </c>
      <c r="AJ81" s="131">
        <f>IFERROR('Price History'!O3+(INDEX('Price History'!O:O,MATCH(9.99E+307,'Returns (Calc)'!$A:$A)+1)-'Price History'!O3)*(ROW()-3)/(MATCH(9.99E+307,'Returns (Calc)'!$A:$A)-3),"")</f>
        <v>97.38696202531645</v>
      </c>
      <c r="AK81" s="131">
        <f>IFERROR('Price History'!Q3+(INDEX('Price History'!Q:Q,MATCH(9.99E+307,'Returns (Calc)'!$A:$A)+1)-'Price History'!Q3)*(ROW()-3)/(MATCH(9.99E+307,'Returns (Calc)'!$A:$A)-3),"")</f>
        <v>34.270632911392404</v>
      </c>
      <c r="AL81" s="131">
        <f>IFERROR('Price History'!R3+(INDEX('Price History'!R:R,MATCH(9.99E+307,'Returns (Calc)'!$A:$A)+1)-'Price History'!R3)*(ROW()-3)/(MATCH(9.99E+307,'Returns (Calc)'!$A:$A)-3),"")</f>
        <v>47.591898734177214</v>
      </c>
      <c r="AM81" s="131">
        <f>IFERROR('Price History'!S3+(INDEX('Price History'!S:S,MATCH(9.99E+307,'Returns (Calc)'!$A:$A)+1)-'Price History'!S3)*(ROW()-3)/(MATCH(9.99E+307,'Returns (Calc)'!$A:$A)-3),"")</f>
        <v>104.82493670886075</v>
      </c>
      <c r="AN81" s="131">
        <f>IFERROR('Price History'!T3+(INDEX('Price History'!T:T,MATCH(9.99E+307,'Returns (Calc)'!$A:$A)+1)-'Price History'!T3)*(ROW()-3)/(MATCH(9.99E+307,'Returns (Calc)'!$A:$A)-3),"")</f>
        <v>38.361772151898734</v>
      </c>
      <c r="AO81" s="132">
        <f>IFERROR('Price History'!V3+(INDEX('Price History'!V:V,MATCH(9.99E+307,'Returns (Calc)'!$A:$A)+1)-'Price History'!V3)*(ROW()-3)/(MATCH(9.99E+307,'Returns (Calc)'!$A:$A)-3),"")</f>
        <v>297.35367088607597</v>
      </c>
      <c r="AP81" s="130">
        <f>IFERROR(IF(OR(NOT(ISNUMBER('Price History'!W82)),NOT(ISNUMBER('Price History'!W81)),'Price History'!W81=0),"",'Price History'!W82/'Price History'!W81-1),"")</f>
        <v>7.4894171279713539E-3</v>
      </c>
      <c r="AQ81" s="130" t="str">
        <f>IFERROR(IF(OR(NOT(ISNUMBER('Price History'!X82)),NOT(ISNUMBER('Price History'!X81)),'Price History'!X81=0),"",'Price History'!X82/'Price History'!X81-1),"")</f>
        <v/>
      </c>
      <c r="AR81" s="130">
        <f>IFERROR(IF(OR(NOT(ISNUMBER('Price History'!Y82)),NOT(ISNUMBER('Price History'!Y81)),'Price History'!Y81=0),"",'Price History'!Y82/'Price History'!Y81-1),"")</f>
        <v>2.8039254956939708E-3</v>
      </c>
      <c r="AS81" s="130">
        <f>IFERROR(IF(OR(NOT(ISNUMBER('Price History'!Z82)),NOT(ISNUMBER('Price History'!Z81)),'Price History'!Z81=0),"",'Price History'!Z82/'Price History'!Z81-1),"")</f>
        <v>3.5592095184598938E-2</v>
      </c>
      <c r="AT81" s="130">
        <f>IFERROR(IF(OR(NOT(ISNUMBER('Price History'!AA82)),NOT(ISNUMBER('Price History'!AA81)),'Price History'!AA81=0),"",'Price History'!AA82/'Price History'!AA81-1),"")</f>
        <v>4.6078431372549078E-2</v>
      </c>
    </row>
    <row r="82" spans="1:46" ht="15" customHeight="1" x14ac:dyDescent="0.2">
      <c r="A82" s="128">
        <f>IF('Price History'!A83="","",'Price History'!A83)</f>
        <v>45744</v>
      </c>
      <c r="B82" s="129">
        <f>IFERROR(IF(OR(NOT(ISNUMBER('Price History'!B83)),NOT(ISNUMBER('Price History'!B82)),'Price History'!B82=0),"",'Price History'!B83/'Price History'!B82-1),"")</f>
        <v>-4.0024789547075112E-3</v>
      </c>
      <c r="C82" s="129">
        <f>IFERROR(IF(OR(NOT(ISNUMBER('Price History'!C83)),NOT(ISNUMBER('Price History'!C82)),'Price History'!C82=0),"",'Price History'!C83/'Price History'!C82-1),"")</f>
        <v>-6.2432334897149055E-2</v>
      </c>
      <c r="D82" s="129">
        <f>IFERROR(IF(OR(NOT(ISNUMBER('Price History'!D83)),NOT(ISNUMBER('Price History'!D82)),'Price History'!D82=0),"",'Price History'!D83/'Price History'!D82-1),"")</f>
        <v>-5.8130989060689142E-2</v>
      </c>
      <c r="E82" s="129">
        <f>IFERROR(IF(OR(NOT(ISNUMBER('Price History'!E83)),NOT(ISNUMBER('Price History'!E82)),'Price History'!E82=0),"",'Price History'!E83/'Price History'!E82-1),"")</f>
        <v>-0.1175911753839658</v>
      </c>
      <c r="F82" s="129">
        <f>IFERROR(IF(OR(NOT(ISNUMBER('Price History'!F83)),NOT(ISNUMBER('Price History'!F82)),'Price History'!F82=0),"",'Price History'!F83/'Price History'!F82-1),"")</f>
        <v>-1.4134275618374548E-2</v>
      </c>
      <c r="G82" s="129">
        <f>IFERROR(IF(OR(NOT(ISNUMBER('Price History'!G83)),NOT(ISNUMBER('Price History'!G82)),'Price History'!G82=0),"",'Price History'!G83/'Price History'!G82-1),"")</f>
        <v>-4.6604717655468253E-2</v>
      </c>
      <c r="H82" s="129">
        <f>IFERROR(IF(OR(NOT(ISNUMBER('Price History'!H83)),NOT(ISNUMBER('Price History'!H82)),'Price History'!H82=0),"",'Price History'!H83/'Price History'!H82-1),"")</f>
        <v>-6.6341670199236979E-2</v>
      </c>
      <c r="I82" s="129">
        <f>IFERROR(IF(OR(NOT(ISNUMBER('Price History'!I83)),NOT(ISNUMBER('Price History'!I82)),'Price History'!I82=0),"",'Price History'!I83/'Price History'!I82-1),"")</f>
        <v>-6.8228279386712165E-2</v>
      </c>
      <c r="J82" s="129">
        <f>IFERROR(IF(OR(NOT(ISNUMBER('Price History'!J83)),NOT(ISNUMBER('Price History'!J82)),'Price History'!J82=0),"",'Price History'!J83/'Price History'!J82-1),"")</f>
        <v>1.8699738397442101E-2</v>
      </c>
      <c r="K82" s="129">
        <f>IFERROR(IF(OR(NOT(ISNUMBER('Price History'!K83)),NOT(ISNUMBER('Price History'!K82)),'Price History'!K82=0),"",'Price History'!K83/'Price History'!K82-1),"")</f>
        <v>-5.6178540017590151E-2</v>
      </c>
      <c r="L82" s="129">
        <f>IFERROR(IF(OR(NOT(ISNUMBER('Price History'!L83)),NOT(ISNUMBER('Price History'!L82)),'Price History'!L82=0),"",'Price History'!L83/'Price History'!L82-1),"")</f>
        <v>-6.4943289769128887E-2</v>
      </c>
      <c r="M82" s="129">
        <f>IFERROR(IF(OR(NOT(ISNUMBER('Price History'!M83)),NOT(ISNUMBER('Price History'!M82)),'Price History'!M82=0),"",'Price History'!M83/'Price History'!M82-1),"")</f>
        <v>-0.16229656419529837</v>
      </c>
      <c r="N82" s="129">
        <f>IFERROR(IF(OR(NOT(ISNUMBER('Price History'!N83)),NOT(ISNUMBER('Price History'!N82)),'Price History'!N82=0),"",'Price History'!N83/'Price History'!N82-1),"")</f>
        <v>-2.0886327503974567E-2</v>
      </c>
      <c r="O82" s="129">
        <f>IFERROR(IF(OR(NOT(ISNUMBER('Price History'!O83)),NOT(ISNUMBER('Price History'!O82)),'Price History'!O82=0),"",'Price History'!O83/'Price History'!O82-1),"")</f>
        <v>-4.6739892498246505E-3</v>
      </c>
      <c r="P82" s="129">
        <f>IFERROR(IF(OR(NOT(ISNUMBER('Price History'!P83)),NOT(ISNUMBER('Price History'!P82)),'Price History'!P82=0),"",'Price History'!P83/'Price History'!P82-1),"")</f>
        <v>-2.3832221163011535E-4</v>
      </c>
      <c r="Q82" s="129">
        <f>IFERROR(IF(OR(NOT(ISNUMBER('Price History'!Q83)),NOT(ISNUMBER('Price History'!Q82)),'Price History'!Q82=0),"",'Price History'!Q83/'Price History'!Q82-1),"")</f>
        <v>-1.1555853290906026E-2</v>
      </c>
      <c r="R82" s="129">
        <f>IFERROR(IF(OR(NOT(ISNUMBER('Price History'!R83)),NOT(ISNUMBER('Price History'!R82)),'Price History'!R82=0),"",'Price History'!R83/'Price History'!R82-1),"")</f>
        <v>-1.8889394629039602E-2</v>
      </c>
      <c r="S82" s="129">
        <f>IFERROR(IF(OR(NOT(ISNUMBER('Price History'!S83)),NOT(ISNUMBER('Price History'!S82)),'Price History'!S82=0),"",'Price History'!S83/'Price History'!S82-1),"")</f>
        <v>-1.9694360740421857E-2</v>
      </c>
      <c r="T82" s="129">
        <f>IFERROR(IF(OR(NOT(ISNUMBER('Price History'!T83)),NOT(ISNUMBER('Price History'!T82)),'Price History'!T82=0),"",'Price History'!T83/'Price History'!T82-1),"")</f>
        <v>-1.6480282519128808E-2</v>
      </c>
      <c r="U82" s="129">
        <f>IFERROR(IF(OR(NOT(ISNUMBER('Price History'!U83)),NOT(ISNUMBER('Price History'!U82)),'Price History'!U82=0),"",'Price History'!U83/'Price History'!U82-1),"")</f>
        <v>2.6850786344456701E-3</v>
      </c>
      <c r="V82" s="130">
        <f>IFERROR(IF(OR(NOT(ISNUMBER('Price History'!V83)),NOT(ISNUMBER('Price History'!V82)),'Price History'!V82=0),"",'Price History'!V83/'Price History'!V82-1),"")</f>
        <v>2.1424697161453565E-2</v>
      </c>
      <c r="W82" s="131">
        <f>IFERROR('Price History'!B3+(INDEX('Price History'!B:B,MATCH(9.99E+307,'Returns (Calc)'!$A:$A)+1)-'Price History'!B3)*(ROW()-3)/(MATCH(9.99E+307,'Returns (Calc)'!$A:$A)-3),"")</f>
        <v>383.28999999999996</v>
      </c>
      <c r="X82" s="131">
        <f>IFERROR('Price History'!C3+(INDEX('Price History'!C:C,MATCH(9.99E+307,'Returns (Calc)'!$A:$A)+1)-'Price History'!C3)*(ROW()-3)/(MATCH(9.99E+307,'Returns (Calc)'!$A:$A)-3),"")</f>
        <v>126.76499999999999</v>
      </c>
      <c r="Y82" s="131">
        <f>IFERROR('Price History'!D3+(INDEX('Price History'!D:D,MATCH(9.99E+307,'Returns (Calc)'!$A:$A)+1)-'Price History'!D3)*(ROW()-3)/(MATCH(9.99E+307,'Returns (Calc)'!$A:$A)-3),"")</f>
        <v>1224.6599999999999</v>
      </c>
      <c r="Z82" s="131">
        <f>IFERROR('Price History'!E3+(INDEX('Price History'!E:E,MATCH(9.99E+307,'Returns (Calc)'!$A:$A)+1)-'Price History'!E3)*(ROW()-3)/(MATCH(9.99E+307,'Returns (Calc)'!$A:$A)-3),"")</f>
        <v>218.57</v>
      </c>
      <c r="AA82" s="131">
        <f>IFERROR('Price History'!F3+(INDEX('Price History'!F:F,MATCH(9.99E+307,'Returns (Calc)'!$A:$A)+1)-'Price History'!F3)*(ROW()-3)/(MATCH(9.99E+307,'Returns (Calc)'!$A:$A)-3),"")</f>
        <v>155.69999999999999</v>
      </c>
      <c r="AB82" s="131">
        <f>IFERROR('Price History'!G3+(INDEX('Price History'!G:G,MATCH(9.99E+307,'Returns (Calc)'!$A:$A)+1)-'Price History'!G3)*(ROW()-3)/(MATCH(9.99E+307,'Returns (Calc)'!$A:$A)-3),"")</f>
        <v>125.62</v>
      </c>
      <c r="AC82" s="131">
        <f>IFERROR('Price History'!H3+(INDEX('Price History'!H:H,MATCH(9.99E+307,'Returns (Calc)'!$A:$A)+1)-'Price History'!H3)*(ROW()-3)/(MATCH(9.99E+307,'Returns (Calc)'!$A:$A)-3),"")</f>
        <v>572</v>
      </c>
      <c r="AD82" s="131">
        <f>IFERROR('Price History'!I3+(INDEX('Price History'!I:I,MATCH(9.99E+307,'Returns (Calc)'!$A:$A)+1)-'Price History'!I3)*(ROW()-3)/(MATCH(9.99E+307,'Returns (Calc)'!$A:$A)-3),"")</f>
        <v>138.85999999999999</v>
      </c>
      <c r="AE82" s="131">
        <f>IFERROR('Price History'!J3+(INDEX('Price History'!J:J,MATCH(9.99E+307,'Returns (Calc)'!$A:$A)+1)-'Price History'!J3)*(ROW()-3)/(MATCH(9.99E+307,'Returns (Calc)'!$A:$A)-3),"")</f>
        <v>120.375</v>
      </c>
      <c r="AF82" s="131">
        <f>IFERROR('Price History'!K3+(INDEX('Price History'!K:K,MATCH(9.99E+307,'Returns (Calc)'!$A:$A)+1)-'Price History'!K3)*(ROW()-3)/(MATCH(9.99E+307,'Returns (Calc)'!$A:$A)-3),"")</f>
        <v>102.03999999999999</v>
      </c>
      <c r="AG82" s="131">
        <f>IFERROR('Price History'!L3+(INDEX('Price History'!L:L,MATCH(9.99E+307,'Returns (Calc)'!$A:$A)+1)-'Price History'!L3)*(ROW()-3)/(MATCH(9.99E+307,'Returns (Calc)'!$A:$A)-3),"")</f>
        <v>279.26499999999999</v>
      </c>
      <c r="AH82" s="131">
        <f>IFERROR('Price History'!M3+(INDEX('Price History'!M:M,MATCH(9.99E+307,'Returns (Calc)'!$A:$A)+1)-'Price History'!M3)*(ROW()-3)/(MATCH(9.99E+307,'Returns (Calc)'!$A:$A)-3),"")</f>
        <v>145.1</v>
      </c>
      <c r="AI82" s="131">
        <f>IFERROR('Price History'!N3+(INDEX('Price History'!N:N,MATCH(9.99E+307,'Returns (Calc)'!$A:$A)+1)-'Price History'!N3)*(ROW()-3)/(MATCH(9.99E+307,'Returns (Calc)'!$A:$A)-3),"")</f>
        <v>426.815</v>
      </c>
      <c r="AJ82" s="131">
        <f>IFERROR('Price History'!O3+(INDEX('Price History'!O:O,MATCH(9.99E+307,'Returns (Calc)'!$A:$A)+1)-'Price History'!O3)*(ROW()-3)/(MATCH(9.99E+307,'Returns (Calc)'!$A:$A)-3),"")</f>
        <v>97.67</v>
      </c>
      <c r="AK82" s="131">
        <f>IFERROR('Price History'!Q3+(INDEX('Price History'!Q:Q,MATCH(9.99E+307,'Returns (Calc)'!$A:$A)+1)-'Price History'!Q3)*(ROW()-3)/(MATCH(9.99E+307,'Returns (Calc)'!$A:$A)-3),"")</f>
        <v>34.71</v>
      </c>
      <c r="AL82" s="131">
        <f>IFERROR('Price History'!R3+(INDEX('Price History'!R:R,MATCH(9.99E+307,'Returns (Calc)'!$A:$A)+1)-'Price History'!R3)*(ROW()-3)/(MATCH(9.99E+307,'Returns (Calc)'!$A:$A)-3),"")</f>
        <v>47.76</v>
      </c>
      <c r="AM82" s="131">
        <f>IFERROR('Price History'!S3+(INDEX('Price History'!S:S,MATCH(9.99E+307,'Returns (Calc)'!$A:$A)+1)-'Price History'!S3)*(ROW()-3)/(MATCH(9.99E+307,'Returns (Calc)'!$A:$A)-3),"")</f>
        <v>105.43</v>
      </c>
      <c r="AN82" s="131">
        <f>IFERROR('Price History'!T3+(INDEX('Price History'!T:T,MATCH(9.99E+307,'Returns (Calc)'!$A:$A)+1)-'Price History'!T3)*(ROW()-3)/(MATCH(9.99E+307,'Returns (Calc)'!$A:$A)-3),"")</f>
        <v>38.53</v>
      </c>
      <c r="AO82" s="132">
        <f>IFERROR('Price History'!V3+(INDEX('Price History'!V:V,MATCH(9.99E+307,'Returns (Calc)'!$A:$A)+1)-'Price History'!V3)*(ROW()-3)/(MATCH(9.99E+307,'Returns (Calc)'!$A:$A)-3),"")</f>
        <v>298.14499999999998</v>
      </c>
      <c r="AP82" s="130">
        <f>IFERROR(IF(OR(NOT(ISNUMBER('Price History'!W83)),NOT(ISNUMBER('Price History'!W82)),'Price History'!W82=0),"",'Price History'!W83/'Price History'!W82-1),"")</f>
        <v>-6.6257272139625956E-3</v>
      </c>
      <c r="AQ82" s="130" t="str">
        <f>IFERROR(IF(OR(NOT(ISNUMBER('Price History'!X83)),NOT(ISNUMBER('Price History'!X82)),'Price History'!X82=0),"",'Price History'!X83/'Price History'!X82-1),"")</f>
        <v/>
      </c>
      <c r="AR82" s="130">
        <f>IFERROR(IF(OR(NOT(ISNUMBER('Price History'!Y83)),NOT(ISNUMBER('Price History'!Y82)),'Price History'!Y82=0),"",'Price History'!Y83/'Price History'!Y82-1),"")</f>
        <v>-7.5893748751748591E-3</v>
      </c>
      <c r="AS82" s="130">
        <f>IFERROR(IF(OR(NOT(ISNUMBER('Price History'!Z83)),NOT(ISNUMBER('Price History'!Z82)),'Price History'!Z82=0),"",'Price History'!Z83/'Price History'!Z82-1),"")</f>
        <v>-2.0808678500986222E-2</v>
      </c>
      <c r="AT82" s="130">
        <f>IFERROR(IF(OR(NOT(ISNUMBER('Price History'!AA83)),NOT(ISNUMBER('Price History'!AA82)),'Price History'!AA82=0),"",'Price History'!AA83/'Price History'!AA82-1),"")</f>
        <v>-2.7491408934707917E-2</v>
      </c>
    </row>
    <row r="83" spans="1:46" ht="15" customHeight="1" x14ac:dyDescent="0.2">
      <c r="A83" s="128">
        <f>IF('Price History'!A84="","",'Price History'!A84)</f>
        <v>45751</v>
      </c>
      <c r="B83" s="129">
        <f>IFERROR(IF(OR(NOT(ISNUMBER('Price History'!B84)),NOT(ISNUMBER('Price History'!B83)),'Price History'!B83=0),"",'Price History'!B84/'Price History'!B83-1),"")</f>
        <v>-9.4993648077571158E-2</v>
      </c>
      <c r="C83" s="129">
        <f>IFERROR(IF(OR(NOT(ISNUMBER('Price History'!C84)),NOT(ISNUMBER('Price History'!C83)),'Price History'!C83=0),"",'Price History'!C84/'Price History'!C83-1),"")</f>
        <v>-0.17410828842699499</v>
      </c>
      <c r="D83" s="129">
        <f>IFERROR(IF(OR(NOT(ISNUMBER('Price History'!D84)),NOT(ISNUMBER('Price History'!D83)),'Price History'!D83=0),"",'Price History'!D84/'Price History'!D83-1),"")</f>
        <v>-0.10233940066925762</v>
      </c>
      <c r="E83" s="129">
        <f>IFERROR(IF(OR(NOT(ISNUMBER('Price History'!E84)),NOT(ISNUMBER('Price History'!E83)),'Price History'!E83=0),"",'Price History'!E84/'Price History'!E83-1),"")</f>
        <v>-0.13499611220766783</v>
      </c>
      <c r="F83" s="129">
        <f>IFERROR(IF(OR(NOT(ISNUMBER('Price History'!F84)),NOT(ISNUMBER('Price History'!F83)),'Price History'!F83=0),"",'Price History'!F84/'Price History'!F83-1),"")</f>
        <v>-9.9350358422939156E-2</v>
      </c>
      <c r="G83" s="129">
        <f>IFERROR(IF(OR(NOT(ISNUMBER('Price History'!G84)),NOT(ISNUMBER('Price History'!G83)),'Price History'!G83=0),"",'Price History'!G84/'Price History'!G83-1),"")</f>
        <v>-0.14409956515219668</v>
      </c>
      <c r="H83" s="129">
        <f>IFERROR(IF(OR(NOT(ISNUMBER('Price History'!H84)),NOT(ISNUMBER('Price History'!H83)),'Price History'!H83=0),"",'Price History'!H84/'Price History'!H83-1),"")</f>
        <v>-0.26719636776390454</v>
      </c>
      <c r="I83" s="129">
        <f>IFERROR(IF(OR(NOT(ISNUMBER('Price History'!I84)),NOT(ISNUMBER('Price History'!I83)),'Price History'!I83=0),"",'Price History'!I84/'Price History'!I83-1),"")</f>
        <v>-0.14004936465856122</v>
      </c>
      <c r="J83" s="129">
        <f>IFERROR(IF(OR(NOT(ISNUMBER('Price History'!J84)),NOT(ISNUMBER('Price History'!J83)),'Price History'!J83=0),"",'Price History'!J84/'Price History'!J83-1),"")</f>
        <v>-0.11061441887007795</v>
      </c>
      <c r="K83" s="129">
        <f>IFERROR(IF(OR(NOT(ISNUMBER('Price History'!K84)),NOT(ISNUMBER('Price History'!K83)),'Price History'!K83=0),"",'Price History'!K84/'Price History'!K83-1),"")</f>
        <v>-0.13791496796738489</v>
      </c>
      <c r="L83" s="129">
        <f>IFERROR(IF(OR(NOT(ISNUMBER('Price History'!L84)),NOT(ISNUMBER('Price History'!L83)),'Price History'!L83=0),"",'Price History'!L84/'Price History'!L83-1),"")</f>
        <v>-0.11163105720091127</v>
      </c>
      <c r="M83" s="129">
        <f>IFERROR(IF(OR(NOT(ISNUMBER('Price History'!M84)),NOT(ISNUMBER('Price History'!M83)),'Price History'!M83=0),"",'Price History'!M84/'Price History'!M83-1),"")</f>
        <v>-0.19981111710739341</v>
      </c>
      <c r="N83" s="129">
        <f>IFERROR(IF(OR(NOT(ISNUMBER('Price History'!N84)),NOT(ISNUMBER('Price History'!N83)),'Price History'!N83=0),"",'Price History'!N84/'Price History'!N83-1),"")</f>
        <v>-3.6676206133674283E-2</v>
      </c>
      <c r="O83" s="129">
        <f>IFERROR(IF(OR(NOT(ISNUMBER('Price History'!O84)),NOT(ISNUMBER('Price History'!O83)),'Price History'!O83=0),"",'Price History'!O84/'Price History'!O83-1),"")</f>
        <v>-0.10471941770368631</v>
      </c>
      <c r="P83" s="129">
        <f>IFERROR(IF(OR(NOT(ISNUMBER('Price History'!P84)),NOT(ISNUMBER('Price History'!P83)),'Price History'!P83=0),"",'Price History'!P84/'Price History'!P83-1),"")</f>
        <v>-8.0333730631704459E-2</v>
      </c>
      <c r="Q83" s="129">
        <f>IFERROR(IF(OR(NOT(ISNUMBER('Price History'!Q84)),NOT(ISNUMBER('Price History'!Q83)),'Price History'!Q83=0),"",'Price History'!Q84/'Price History'!Q83-1),"")</f>
        <v>-3.8800406641816387E-2</v>
      </c>
      <c r="R83" s="129">
        <f>IFERROR(IF(OR(NOT(ISNUMBER('Price History'!R84)),NOT(ISNUMBER('Price History'!R83)),'Price History'!R83=0),"",'Price History'!R84/'Price History'!R83-1),"")</f>
        <v>-9.0930178612850909E-2</v>
      </c>
      <c r="S83" s="129">
        <f>IFERROR(IF(OR(NOT(ISNUMBER('Price History'!S84)),NOT(ISNUMBER('Price History'!S83)),'Price History'!S83=0),"",'Price History'!S84/'Price History'!S83-1),"")</f>
        <v>-0.10703699637720931</v>
      </c>
      <c r="T83" s="129">
        <f>IFERROR(IF(OR(NOT(ISNUMBER('Price History'!T84)),NOT(ISNUMBER('Price History'!T83)),'Price History'!T83=0),"",'Price History'!T84/'Price History'!T83-1),"")</f>
        <v>-9.245960502693007E-2</v>
      </c>
      <c r="U83" s="129">
        <f>IFERROR(IF(OR(NOT(ISNUMBER('Price History'!U84)),NOT(ISNUMBER('Price History'!U83)),'Price History'!U83=0),"",'Price History'!U84/'Price History'!U83-1),"")</f>
        <v>-8.339709257842387E-2</v>
      </c>
      <c r="V83" s="130">
        <f>IFERROR(IF(OR(NOT(ISNUMBER('Price History'!V84)),NOT(ISNUMBER('Price History'!V83)),'Price History'!V83=0),"",'Price History'!V84/'Price History'!V83-1),"")</f>
        <v>-8.6674336961973131E-2</v>
      </c>
      <c r="W83" s="131">
        <f>IFERROR('Price History'!B3+(INDEX('Price History'!B:B,MATCH(9.99E+307,'Returns (Calc)'!$A:$A)+1)-'Price History'!B3)*(ROW()-3)/(MATCH(9.99E+307,'Returns (Calc)'!$A:$A)-3),"")</f>
        <v>381.44696202531645</v>
      </c>
      <c r="X83" s="131">
        <f>IFERROR('Price History'!C3+(INDEX('Price History'!C:C,MATCH(9.99E+307,'Returns (Calc)'!$A:$A)+1)-'Price History'!C3)*(ROW()-3)/(MATCH(9.99E+307,'Returns (Calc)'!$A:$A)-3),"")</f>
        <v>127.78506329113924</v>
      </c>
      <c r="Y83" s="131">
        <f>IFERROR('Price History'!D3+(INDEX('Price History'!D:D,MATCH(9.99E+307,'Returns (Calc)'!$A:$A)+1)-'Price History'!D3)*(ROW()-3)/(MATCH(9.99E+307,'Returns (Calc)'!$A:$A)-3),"")</f>
        <v>1232.7948101265824</v>
      </c>
      <c r="Z83" s="131">
        <f>IFERROR('Price History'!E3+(INDEX('Price History'!E:E,MATCH(9.99E+307,'Returns (Calc)'!$A:$A)+1)-'Price History'!E3)*(ROW()-3)/(MATCH(9.99E+307,'Returns (Calc)'!$A:$A)-3),"")</f>
        <v>220.29873417721518</v>
      </c>
      <c r="AA83" s="131">
        <f>IFERROR('Price History'!F3+(INDEX('Price History'!F:F,MATCH(9.99E+307,'Returns (Calc)'!$A:$A)+1)-'Price History'!F3)*(ROW()-3)/(MATCH(9.99E+307,'Returns (Calc)'!$A:$A)-3),"")</f>
        <v>157.14734177215189</v>
      </c>
      <c r="AB83" s="131">
        <f>IFERROR('Price History'!G3+(INDEX('Price History'!G:G,MATCH(9.99E+307,'Returns (Calc)'!$A:$A)+1)-'Price History'!G3)*(ROW()-3)/(MATCH(9.99E+307,'Returns (Calc)'!$A:$A)-3),"")</f>
        <v>126.64873417721518</v>
      </c>
      <c r="AC83" s="131">
        <f>IFERROR('Price History'!H3+(INDEX('Price History'!H:H,MATCH(9.99E+307,'Returns (Calc)'!$A:$A)+1)-'Price History'!H3)*(ROW()-3)/(MATCH(9.99E+307,'Returns (Calc)'!$A:$A)-3),"")</f>
        <v>578.36569620253169</v>
      </c>
      <c r="AD83" s="131">
        <f>IFERROR('Price History'!I3+(INDEX('Price History'!I:I,MATCH(9.99E+307,'Returns (Calc)'!$A:$A)+1)-'Price History'!I3)*(ROW()-3)/(MATCH(9.99E+307,'Returns (Calc)'!$A:$A)-3),"")</f>
        <v>140.06367088607593</v>
      </c>
      <c r="AE83" s="131">
        <f>IFERROR('Price History'!J3+(INDEX('Price History'!J:J,MATCH(9.99E+307,'Returns (Calc)'!$A:$A)+1)-'Price History'!J3)*(ROW()-3)/(MATCH(9.99E+307,'Returns (Calc)'!$A:$A)-3),"")</f>
        <v>120.48303797468354</v>
      </c>
      <c r="AF83" s="131">
        <f>IFERROR('Price History'!K3+(INDEX('Price History'!K:K,MATCH(9.99E+307,'Returns (Calc)'!$A:$A)+1)-'Price History'!K3)*(ROW()-3)/(MATCH(9.99E+307,'Returns (Calc)'!$A:$A)-3),"")</f>
        <v>103.13759493670885</v>
      </c>
      <c r="AG83" s="131">
        <f>IFERROR('Price History'!L3+(INDEX('Price History'!L:L,MATCH(9.99E+307,'Returns (Calc)'!$A:$A)+1)-'Price History'!L3)*(ROW()-3)/(MATCH(9.99E+307,'Returns (Calc)'!$A:$A)-3),"")</f>
        <v>281.71455696202531</v>
      </c>
      <c r="AH83" s="131">
        <f>IFERROR('Price History'!M3+(INDEX('Price History'!M:M,MATCH(9.99E+307,'Returns (Calc)'!$A:$A)+1)-'Price History'!M3)*(ROW()-3)/(MATCH(9.99E+307,'Returns (Calc)'!$A:$A)-3),"")</f>
        <v>146.45544303797467</v>
      </c>
      <c r="AI83" s="131">
        <f>IFERROR('Price History'!N3+(INDEX('Price History'!N:N,MATCH(9.99E+307,'Returns (Calc)'!$A:$A)+1)-'Price History'!N3)*(ROW()-3)/(MATCH(9.99E+307,'Returns (Calc)'!$A:$A)-3),"")</f>
        <v>427.80126582278479</v>
      </c>
      <c r="AJ83" s="131">
        <f>IFERROR('Price History'!O3+(INDEX('Price History'!O:O,MATCH(9.99E+307,'Returns (Calc)'!$A:$A)+1)-'Price History'!O3)*(ROW()-3)/(MATCH(9.99E+307,'Returns (Calc)'!$A:$A)-3),"")</f>
        <v>97.953037974683554</v>
      </c>
      <c r="AK83" s="131">
        <f>IFERROR('Price History'!Q3+(INDEX('Price History'!Q:Q,MATCH(9.99E+307,'Returns (Calc)'!$A:$A)+1)-'Price History'!Q3)*(ROW()-3)/(MATCH(9.99E+307,'Returns (Calc)'!$A:$A)-3),"")</f>
        <v>35.149367088607598</v>
      </c>
      <c r="AL83" s="131">
        <f>IFERROR('Price History'!R3+(INDEX('Price History'!R:R,MATCH(9.99E+307,'Returns (Calc)'!$A:$A)+1)-'Price History'!R3)*(ROW()-3)/(MATCH(9.99E+307,'Returns (Calc)'!$A:$A)-3),"")</f>
        <v>47.928101265822782</v>
      </c>
      <c r="AM83" s="131">
        <f>IFERROR('Price History'!S3+(INDEX('Price History'!S:S,MATCH(9.99E+307,'Returns (Calc)'!$A:$A)+1)-'Price History'!S3)*(ROW()-3)/(MATCH(9.99E+307,'Returns (Calc)'!$A:$A)-3),"")</f>
        <v>106.03506329113924</v>
      </c>
      <c r="AN83" s="131">
        <f>IFERROR('Price History'!T3+(INDEX('Price History'!T:T,MATCH(9.99E+307,'Returns (Calc)'!$A:$A)+1)-'Price History'!T3)*(ROW()-3)/(MATCH(9.99E+307,'Returns (Calc)'!$A:$A)-3),"")</f>
        <v>38.698227848101268</v>
      </c>
      <c r="AO83" s="132">
        <f>IFERROR('Price History'!V3+(INDEX('Price History'!V:V,MATCH(9.99E+307,'Returns (Calc)'!$A:$A)+1)-'Price History'!V3)*(ROW()-3)/(MATCH(9.99E+307,'Returns (Calc)'!$A:$A)-3),"")</f>
        <v>298.93632911392405</v>
      </c>
      <c r="AP83" s="130">
        <f>IFERROR(IF(OR(NOT(ISNUMBER('Price History'!W84)),NOT(ISNUMBER('Price History'!W83)),'Price History'!W83=0),"",'Price History'!W84/'Price History'!W83-1),"")</f>
        <v>-8.247925817471935E-2</v>
      </c>
      <c r="AQ83" s="130" t="str">
        <f>IFERROR(IF(OR(NOT(ISNUMBER('Price History'!X84)),NOT(ISNUMBER('Price History'!X83)),'Price History'!X83=0),"",'Price History'!X84/'Price History'!X83-1),"")</f>
        <v/>
      </c>
      <c r="AR83" s="130">
        <f>IFERROR(IF(OR(NOT(ISNUMBER('Price History'!Y84)),NOT(ISNUMBER('Price History'!Y83)),'Price History'!Y83=0),"",'Price History'!Y84/'Price History'!Y83-1),"")</f>
        <v>-7.3455423626484162E-2</v>
      </c>
      <c r="AS83" s="130">
        <f>IFERROR(IF(OR(NOT(ISNUMBER('Price History'!Z84)),NOT(ISNUMBER('Price History'!Z83)),'Price History'!Z83=0),"",'Price History'!Z84/'Price History'!Z83-1),"")</f>
        <v>-0.16542451404975334</v>
      </c>
      <c r="AT83" s="130">
        <f>IFERROR(IF(OR(NOT(ISNUMBER('Price History'!AA84)),NOT(ISNUMBER('Price History'!AA83)),'Price History'!AA83=0),"",'Price History'!AA84/'Price History'!AA83-1),"")</f>
        <v>-8.3520719563122348E-2</v>
      </c>
    </row>
    <row r="84" spans="1:46" ht="15" customHeight="1" x14ac:dyDescent="0.2">
      <c r="A84" s="128">
        <f>IF('Price History'!A85="","",'Price History'!A85)</f>
        <v>45758</v>
      </c>
      <c r="B84" s="129">
        <f>IFERROR(IF(OR(NOT(ISNUMBER('Price History'!B85)),NOT(ISNUMBER('Price History'!B84)),'Price History'!B84=0),"",'Price History'!B85/'Price History'!B84-1),"")</f>
        <v>9.7401667287364546E-3</v>
      </c>
      <c r="C84" s="129">
        <f>IFERROR(IF(OR(NOT(ISNUMBER('Price History'!C85)),NOT(ISNUMBER('Price History'!C84)),'Price History'!C84=0),"",'Price History'!C85/'Price History'!C84-1),"")</f>
        <v>0.12894205375174761</v>
      </c>
      <c r="D84" s="129">
        <f>IFERROR(IF(OR(NOT(ISNUMBER('Price History'!D85)),NOT(ISNUMBER('Price History'!D84)),'Price History'!D84=0),"",'Price History'!D85/'Price History'!D84-1),"")</f>
        <v>0.10447836044198522</v>
      </c>
      <c r="E84" s="129">
        <f>IFERROR(IF(OR(NOT(ISNUMBER('Price History'!E85)),NOT(ISNUMBER('Price History'!E84)),'Price History'!E84=0),"",'Price History'!E85/'Price History'!E84-1),"")</f>
        <v>0.24367307426358731</v>
      </c>
      <c r="F84" s="129">
        <f>IFERROR(IF(OR(NOT(ISNUMBER('Price History'!F85)),NOT(ISNUMBER('Price History'!F84)),'Price History'!F84=0),"",'Price History'!F85/'Price History'!F84-1),"")</f>
        <v>0.17485387389628149</v>
      </c>
      <c r="G84" s="129">
        <f>IFERROR(IF(OR(NOT(ISNUMBER('Price History'!G85)),NOT(ISNUMBER('Price History'!G84)),'Price History'!G84=0),"",'Price History'!G85/'Price History'!G84-1),"")</f>
        <v>0.16257883672039242</v>
      </c>
      <c r="H84" s="129">
        <f>IFERROR(IF(OR(NOT(ISNUMBER('Price History'!H85)),NOT(ISNUMBER('Price History'!H84)),'Price History'!H84=0),"",'Price History'!H85/'Price History'!H84-1),"")</f>
        <v>7.4504337050805391E-2</v>
      </c>
      <c r="I84" s="129">
        <f>IFERROR(IF(OR(NOT(ISNUMBER('Price History'!I85)),NOT(ISNUMBER('Price History'!I84)),'Price History'!I84=0),"",'Price History'!I85/'Price History'!I84-1),"")</f>
        <v>0.17625172743701523</v>
      </c>
      <c r="J84" s="129">
        <f>IFERROR(IF(OR(NOT(ISNUMBER('Price History'!J85)),NOT(ISNUMBER('Price History'!J84)),'Price History'!J84=0),"",'Price History'!J85/'Price History'!J84-1),"")</f>
        <v>-2.0425622928029186E-2</v>
      </c>
      <c r="K84" s="129">
        <f>IFERROR(IF(OR(NOT(ISNUMBER('Price History'!K85)),NOT(ISNUMBER('Price History'!K84)),'Price History'!K84=0),"",'Price History'!K85/'Price History'!K84-1),"")</f>
        <v>0.19645993784623683</v>
      </c>
      <c r="L84" s="129">
        <f>IFERROR(IF(OR(NOT(ISNUMBER('Price History'!L85)),NOT(ISNUMBER('Price History'!L84)),'Price History'!L84=0),"",'Price History'!L85/'Price History'!L84-1),"")</f>
        <v>7.0002772387025125E-2</v>
      </c>
      <c r="M84" s="129">
        <f>IFERROR(IF(OR(NOT(ISNUMBER('Price History'!M85)),NOT(ISNUMBER('Price History'!M84)),'Price History'!M84=0),"",'Price History'!M85/'Price History'!M84-1),"")</f>
        <v>0.1716405327937951</v>
      </c>
      <c r="N84" s="129">
        <f>IFERROR(IF(OR(NOT(ISNUMBER('Price History'!N85)),NOT(ISNUMBER('Price History'!N84)),'Price History'!N84=0),"",'Price History'!N85/'Price History'!N84-1),"")</f>
        <v>2.022670768193513E-2</v>
      </c>
      <c r="O84" s="129">
        <f>IFERROR(IF(OR(NOT(ISNUMBER('Price History'!O85)),NOT(ISNUMBER('Price History'!O84)),'Price History'!O84=0),"",'Price History'!O85/'Price History'!O84-1),"")</f>
        <v>1.2588512981903888E-2</v>
      </c>
      <c r="P84" s="129">
        <f>IFERROR(IF(OR(NOT(ISNUMBER('Price History'!P85)),NOT(ISNUMBER('Price History'!P84)),'Price History'!P84=0),"",'Price History'!P85/'Price History'!P84-1),"")</f>
        <v>1.6070502851218249E-2</v>
      </c>
      <c r="Q84" s="129">
        <f>IFERROR(IF(OR(NOT(ISNUMBER('Price History'!Q85)),NOT(ISNUMBER('Price History'!Q84)),'Price History'!Q84=0),"",'Price History'!Q85/'Price History'!Q84-1),"")</f>
        <v>1.8861272695223086E-2</v>
      </c>
      <c r="R84" s="129">
        <f>IFERROR(IF(OR(NOT(ISNUMBER('Price History'!R85)),NOT(ISNUMBER('Price History'!R84)),'Price History'!R84=0),"",'Price History'!R85/'Price History'!R84-1),"")</f>
        <v>6.3026282214850626E-2</v>
      </c>
      <c r="S84" s="129">
        <f>IFERROR(IF(OR(NOT(ISNUMBER('Price History'!S85)),NOT(ISNUMBER('Price History'!S84)),'Price History'!S84=0),"",'Price History'!S85/'Price History'!S84-1),"")</f>
        <v>9.1099090238504932E-2</v>
      </c>
      <c r="T84" s="129">
        <f>IFERROR(IF(OR(NOT(ISNUMBER('Price History'!T85)),NOT(ISNUMBER('Price History'!T84)),'Price History'!T84=0),"",'Price History'!T85/'Price History'!T84-1),"")</f>
        <v>2.1101219914276381E-2</v>
      </c>
      <c r="U84" s="129">
        <f>IFERROR(IF(OR(NOT(ISNUMBER('Price History'!U85)),NOT(ISNUMBER('Price History'!U84)),'Price History'!U84=0),"",'Price History'!U85/'Price History'!U84-1),"")</f>
        <v>8.3472454090149917E-4</v>
      </c>
      <c r="V84" s="130">
        <f>IFERROR(IF(OR(NOT(ISNUMBER('Price History'!V85)),NOT(ISNUMBER('Price History'!V84)),'Price History'!V84=0),"",'Price History'!V85/'Price History'!V84-1),"")</f>
        <v>6.4730772957782845E-2</v>
      </c>
      <c r="W84" s="131">
        <f>IFERROR('Price History'!B3+(INDEX('Price History'!B:B,MATCH(9.99E+307,'Returns (Calc)'!$A:$A)+1)-'Price History'!B3)*(ROW()-3)/(MATCH(9.99E+307,'Returns (Calc)'!$A:$A)-3),"")</f>
        <v>379.60392405063288</v>
      </c>
      <c r="X84" s="131">
        <f>IFERROR('Price History'!C3+(INDEX('Price History'!C:C,MATCH(9.99E+307,'Returns (Calc)'!$A:$A)+1)-'Price History'!C3)*(ROW()-3)/(MATCH(9.99E+307,'Returns (Calc)'!$A:$A)-3),"")</f>
        <v>128.80512658227846</v>
      </c>
      <c r="Y84" s="131">
        <f>IFERROR('Price History'!D3+(INDEX('Price History'!D:D,MATCH(9.99E+307,'Returns (Calc)'!$A:$A)+1)-'Price History'!D3)*(ROW()-3)/(MATCH(9.99E+307,'Returns (Calc)'!$A:$A)-3),"")</f>
        <v>1240.9296202531646</v>
      </c>
      <c r="Z84" s="131">
        <f>IFERROR('Price History'!E3+(INDEX('Price History'!E:E,MATCH(9.99E+307,'Returns (Calc)'!$A:$A)+1)-'Price History'!E3)*(ROW()-3)/(MATCH(9.99E+307,'Returns (Calc)'!$A:$A)-3),"")</f>
        <v>222.02746835443037</v>
      </c>
      <c r="AA84" s="131">
        <f>IFERROR('Price History'!F3+(INDEX('Price History'!F:F,MATCH(9.99E+307,'Returns (Calc)'!$A:$A)+1)-'Price History'!F3)*(ROW()-3)/(MATCH(9.99E+307,'Returns (Calc)'!$A:$A)-3),"")</f>
        <v>158.59468354430379</v>
      </c>
      <c r="AB84" s="131">
        <f>IFERROR('Price History'!G3+(INDEX('Price History'!G:G,MATCH(9.99E+307,'Returns (Calc)'!$A:$A)+1)-'Price History'!G3)*(ROW()-3)/(MATCH(9.99E+307,'Returns (Calc)'!$A:$A)-3),"")</f>
        <v>127.67746835443037</v>
      </c>
      <c r="AC84" s="131">
        <f>IFERROR('Price History'!H3+(INDEX('Price History'!H:H,MATCH(9.99E+307,'Returns (Calc)'!$A:$A)+1)-'Price History'!H3)*(ROW()-3)/(MATCH(9.99E+307,'Returns (Calc)'!$A:$A)-3),"")</f>
        <v>584.73139240506339</v>
      </c>
      <c r="AD84" s="131">
        <f>IFERROR('Price History'!I3+(INDEX('Price History'!I:I,MATCH(9.99E+307,'Returns (Calc)'!$A:$A)+1)-'Price History'!I3)*(ROW()-3)/(MATCH(9.99E+307,'Returns (Calc)'!$A:$A)-3),"")</f>
        <v>141.26734177215189</v>
      </c>
      <c r="AE84" s="131">
        <f>IFERROR('Price History'!J3+(INDEX('Price History'!J:J,MATCH(9.99E+307,'Returns (Calc)'!$A:$A)+1)-'Price History'!J3)*(ROW()-3)/(MATCH(9.99E+307,'Returns (Calc)'!$A:$A)-3),"")</f>
        <v>120.59107594936708</v>
      </c>
      <c r="AF84" s="131">
        <f>IFERROR('Price History'!K3+(INDEX('Price History'!K:K,MATCH(9.99E+307,'Returns (Calc)'!$A:$A)+1)-'Price History'!K3)*(ROW()-3)/(MATCH(9.99E+307,'Returns (Calc)'!$A:$A)-3),"")</f>
        <v>104.23518987341771</v>
      </c>
      <c r="AG84" s="131">
        <f>IFERROR('Price History'!L3+(INDEX('Price History'!L:L,MATCH(9.99E+307,'Returns (Calc)'!$A:$A)+1)-'Price History'!L3)*(ROW()-3)/(MATCH(9.99E+307,'Returns (Calc)'!$A:$A)-3),"")</f>
        <v>284.16411392405064</v>
      </c>
      <c r="AH84" s="131">
        <f>IFERROR('Price History'!M3+(INDEX('Price History'!M:M,MATCH(9.99E+307,'Returns (Calc)'!$A:$A)+1)-'Price History'!M3)*(ROW()-3)/(MATCH(9.99E+307,'Returns (Calc)'!$A:$A)-3),"")</f>
        <v>147.81088607594936</v>
      </c>
      <c r="AI84" s="131">
        <f>IFERROR('Price History'!N3+(INDEX('Price History'!N:N,MATCH(9.99E+307,'Returns (Calc)'!$A:$A)+1)-'Price History'!N3)*(ROW()-3)/(MATCH(9.99E+307,'Returns (Calc)'!$A:$A)-3),"")</f>
        <v>428.78753164556963</v>
      </c>
      <c r="AJ84" s="131">
        <f>IFERROR('Price History'!O3+(INDEX('Price History'!O:O,MATCH(9.99E+307,'Returns (Calc)'!$A:$A)+1)-'Price History'!O3)*(ROW()-3)/(MATCH(9.99E+307,'Returns (Calc)'!$A:$A)-3),"")</f>
        <v>98.236075949367091</v>
      </c>
      <c r="AK84" s="131">
        <f>IFERROR('Price History'!Q3+(INDEX('Price History'!Q:Q,MATCH(9.99E+307,'Returns (Calc)'!$A:$A)+1)-'Price History'!Q3)*(ROW()-3)/(MATCH(9.99E+307,'Returns (Calc)'!$A:$A)-3),"")</f>
        <v>35.588734177215194</v>
      </c>
      <c r="AL84" s="131">
        <f>IFERROR('Price History'!R3+(INDEX('Price History'!R:R,MATCH(9.99E+307,'Returns (Calc)'!$A:$A)+1)-'Price History'!R3)*(ROW()-3)/(MATCH(9.99E+307,'Returns (Calc)'!$A:$A)-3),"")</f>
        <v>48.096202531645567</v>
      </c>
      <c r="AM84" s="131">
        <f>IFERROR('Price History'!S3+(INDEX('Price History'!S:S,MATCH(9.99E+307,'Returns (Calc)'!$A:$A)+1)-'Price History'!S3)*(ROW()-3)/(MATCH(9.99E+307,'Returns (Calc)'!$A:$A)-3),"")</f>
        <v>106.64012658227848</v>
      </c>
      <c r="AN84" s="131">
        <f>IFERROR('Price History'!T3+(INDEX('Price History'!T:T,MATCH(9.99E+307,'Returns (Calc)'!$A:$A)+1)-'Price History'!T3)*(ROW()-3)/(MATCH(9.99E+307,'Returns (Calc)'!$A:$A)-3),"")</f>
        <v>38.866455696202529</v>
      </c>
      <c r="AO84" s="132">
        <f>IFERROR('Price History'!V3+(INDEX('Price History'!V:V,MATCH(9.99E+307,'Returns (Calc)'!$A:$A)+1)-'Price History'!V3)*(ROW()-3)/(MATCH(9.99E+307,'Returns (Calc)'!$A:$A)-3),"")</f>
        <v>299.72765822784811</v>
      </c>
      <c r="AP84" s="130">
        <f>IFERROR(IF(OR(NOT(ISNUMBER('Price History'!W85)),NOT(ISNUMBER('Price History'!W84)),'Price History'!W84=0),"",'Price History'!W85/'Price History'!W84-1),"")</f>
        <v>3.4131205673759046E-2</v>
      </c>
      <c r="AQ84" s="130" t="str">
        <f>IFERROR(IF(OR(NOT(ISNUMBER('Price History'!X85)),NOT(ISNUMBER('Price History'!X84)),'Price History'!X84=0),"",'Price History'!X85/'Price History'!X84-1),"")</f>
        <v/>
      </c>
      <c r="AR84" s="130">
        <f>IFERROR(IF(OR(NOT(ISNUMBER('Price History'!Y85)),NOT(ISNUMBER('Price History'!Y84)),'Price History'!Y84=0),"",'Price History'!Y85/'Price History'!Y84-1),"")</f>
        <v>3.5186794092093798E-2</v>
      </c>
      <c r="AS84" s="130">
        <f>IFERROR(IF(OR(NOT(ISNUMBER('Price History'!Z85)),NOT(ISNUMBER('Price History'!Z84)),'Price History'!Z84=0),"",'Price History'!Z85/'Price History'!Z84-1),"")</f>
        <v>8.9060520123091846E-2</v>
      </c>
      <c r="AT84" s="130">
        <f>IFERROR(IF(OR(NOT(ISNUMBER('Price History'!AA85)),NOT(ISNUMBER('Price History'!AA84)),'Price History'!AA84=0),"",'Price History'!AA85/'Price History'!AA84-1),"")</f>
        <v>7.2905713284262097E-2</v>
      </c>
    </row>
    <row r="85" spans="1:46" ht="15" customHeight="1" x14ac:dyDescent="0.2">
      <c r="A85" s="128">
        <f>IF('Price History'!A86="","",'Price History'!A86)</f>
        <v>45765</v>
      </c>
      <c r="B85" s="129">
        <f>IFERROR(IF(OR(NOT(ISNUMBER('Price History'!B86)),NOT(ISNUMBER('Price History'!B85)),'Price History'!B85=0),"",'Price History'!B86/'Price History'!B85-1),"")</f>
        <v>-1.0412233665276549E-2</v>
      </c>
      <c r="C85" s="129">
        <f>IFERROR(IF(OR(NOT(ISNUMBER('Price History'!C86)),NOT(ISNUMBER('Price History'!C85)),'Price History'!C85=0),"",'Price History'!C86/'Price History'!C85-1),"")</f>
        <v>-2.0228429888537236E-2</v>
      </c>
      <c r="D85" s="129">
        <f>IFERROR(IF(OR(NOT(ISNUMBER('Price History'!D86)),NOT(ISNUMBER('Price History'!D85)),'Price History'!D85=0),"",'Price History'!D86/'Price History'!D85-1),"")</f>
        <v>-4.2847845499538462E-2</v>
      </c>
      <c r="E85" s="129">
        <f>IFERROR(IF(OR(NOT(ISNUMBER('Price History'!E86)),NOT(ISNUMBER('Price History'!E85)),'Price History'!E85=0),"",'Price History'!E86/'Price History'!E85-1),"")</f>
        <v>-6.0157900589347335E-2</v>
      </c>
      <c r="F85" s="129">
        <f>IFERROR(IF(OR(NOT(ISNUMBER('Price History'!F86)),NOT(ISNUMBER('Price History'!F85)),'Price History'!F85=0),"",'Price History'!F86/'Price History'!F85-1),"")</f>
        <v>-6.033661479834751E-3</v>
      </c>
      <c r="G85" s="129">
        <f>IFERROR(IF(OR(NOT(ISNUMBER('Price History'!G86)),NOT(ISNUMBER('Price History'!G85)),'Price History'!G85=0),"",'Price History'!G86/'Price History'!G85-1),"")</f>
        <v>-5.3496081977094545E-2</v>
      </c>
      <c r="H85" s="129">
        <f>IFERROR(IF(OR(NOT(ISNUMBER('Price History'!H86)),NOT(ISNUMBER('Price History'!H85)),'Price History'!H85=0),"",'Price History'!H86/'Price History'!H85-1),"")</f>
        <v>-1.0667435490846366E-2</v>
      </c>
      <c r="I85" s="129">
        <f>IFERROR(IF(OR(NOT(ISNUMBER('Price History'!I86)),NOT(ISNUMBER('Price History'!I85)),'Price History'!I85=0),"",'Price History'!I86/'Price History'!I85-1),"")</f>
        <v>-8.513330320831447E-2</v>
      </c>
      <c r="J85" s="129">
        <f>IFERROR(IF(OR(NOT(ISNUMBER('Price History'!J86)),NOT(ISNUMBER('Price History'!J85)),'Price History'!J85=0),"",'Price History'!J86/'Price History'!J85-1),"")</f>
        <v>6.1026200873362413E-2</v>
      </c>
      <c r="K85" s="129">
        <f>IFERROR(IF(OR(NOT(ISNUMBER('Price History'!K86)),NOT(ISNUMBER('Price History'!K85)),'Price History'!K85=0),"",'Price History'!K86/'Price History'!K85-1),"")</f>
        <v>5.9062676453980778E-2</v>
      </c>
      <c r="L85" s="129">
        <f>IFERROR(IF(OR(NOT(ISNUMBER('Price History'!L86)),NOT(ISNUMBER('Price History'!L85)),'Price History'!L85=0),"",'Price History'!L86/'Price History'!L85-1),"")</f>
        <v>-3.4006995724834788E-2</v>
      </c>
      <c r="M85" s="129">
        <f>IFERROR(IF(OR(NOT(ISNUMBER('Price History'!M86)),NOT(ISNUMBER('Price History'!M85)),'Price History'!M85=0),"",'Price History'!M86/'Price History'!M85-1),"")</f>
        <v>5.180601525399342E-2</v>
      </c>
      <c r="N85" s="129">
        <f>IFERROR(IF(OR(NOT(ISNUMBER('Price History'!N86)),NOT(ISNUMBER('Price History'!N85)),'Price History'!N85=0),"",'Price History'!N86/'Price History'!N85-1),"")</f>
        <v>1.0078063690058148E-2</v>
      </c>
      <c r="O85" s="129">
        <f>IFERROR(IF(OR(NOT(ISNUMBER('Price History'!O86)),NOT(ISNUMBER('Price History'!O85)),'Price History'!O85=0),"",'Price History'!O86/'Price History'!O85-1),"")</f>
        <v>1.8648018648018683E-2</v>
      </c>
      <c r="P85" s="129">
        <f>IFERROR(IF(OR(NOT(ISNUMBER('Price History'!P86)),NOT(ISNUMBER('Price History'!P85)),'Price History'!P85=0),"",'Price History'!P86/'Price History'!P85-1),"")</f>
        <v>1.4710884353741571E-2</v>
      </c>
      <c r="Q85" s="129">
        <f>IFERROR(IF(OR(NOT(ISNUMBER('Price History'!Q86)),NOT(ISNUMBER('Price History'!Q85)),'Price History'!Q85=0),"",'Price History'!Q86/'Price History'!Q85-1),"")</f>
        <v>-6.0553633217992342E-3</v>
      </c>
      <c r="R85" s="129">
        <f>IFERROR(IF(OR(NOT(ISNUMBER('Price History'!R86)),NOT(ISNUMBER('Price History'!R85)),'Price History'!R85=0),"",'Price History'!R86/'Price History'!R85-1),"")</f>
        <v>-1.6082573211713691E-2</v>
      </c>
      <c r="S85" s="129">
        <f>IFERROR(IF(OR(NOT(ISNUMBER('Price History'!S86)),NOT(ISNUMBER('Price History'!S85)),'Price History'!S85=0),"",'Price History'!S86/'Price History'!S85-1),"")</f>
        <v>-1.7352112676056408E-2</v>
      </c>
      <c r="T85" s="129">
        <f>IFERROR(IF(OR(NOT(ISNUMBER('Price History'!T86)),NOT(ISNUMBER('Price History'!T85)),'Price History'!T85=0),"",'Price History'!T86/'Price History'!T85-1),"")</f>
        <v>6.780755569906427E-3</v>
      </c>
      <c r="U85" s="129">
        <f>IFERROR(IF(OR(NOT(ISNUMBER('Price History'!U86)),NOT(ISNUMBER('Price History'!U85)),'Price History'!U85=0),"",'Price History'!U86/'Price History'!U85-1),"")</f>
        <v>4.5871559633028358E-3</v>
      </c>
      <c r="V85" s="130">
        <f>IFERROR(IF(OR(NOT(ISNUMBER('Price History'!V86)),NOT(ISNUMBER('Price History'!V85)),'Price History'!V85=0),"",'Price History'!V86/'Price History'!V85-1),"")</f>
        <v>-1.1376391711919398E-2</v>
      </c>
      <c r="W85" s="131">
        <f>IFERROR('Price History'!B3+(INDEX('Price History'!B:B,MATCH(9.99E+307,'Returns (Calc)'!$A:$A)+1)-'Price History'!B3)*(ROW()-3)/(MATCH(9.99E+307,'Returns (Calc)'!$A:$A)-3),"")</f>
        <v>377.76088607594937</v>
      </c>
      <c r="X85" s="131">
        <f>IFERROR('Price History'!C3+(INDEX('Price History'!C:C,MATCH(9.99E+307,'Returns (Calc)'!$A:$A)+1)-'Price History'!C3)*(ROW()-3)/(MATCH(9.99E+307,'Returns (Calc)'!$A:$A)-3),"")</f>
        <v>129.82518987341771</v>
      </c>
      <c r="Y85" s="131">
        <f>IFERROR('Price History'!D3+(INDEX('Price History'!D:D,MATCH(9.99E+307,'Returns (Calc)'!$A:$A)+1)-'Price History'!D3)*(ROW()-3)/(MATCH(9.99E+307,'Returns (Calc)'!$A:$A)-3),"")</f>
        <v>1249.0644303797467</v>
      </c>
      <c r="Z85" s="131">
        <f>IFERROR('Price History'!E3+(INDEX('Price History'!E:E,MATCH(9.99E+307,'Returns (Calc)'!$A:$A)+1)-'Price History'!E3)*(ROW()-3)/(MATCH(9.99E+307,'Returns (Calc)'!$A:$A)-3),"")</f>
        <v>223.75620253164556</v>
      </c>
      <c r="AA85" s="131">
        <f>IFERROR('Price History'!F3+(INDEX('Price History'!F:F,MATCH(9.99E+307,'Returns (Calc)'!$A:$A)+1)-'Price History'!F3)*(ROW()-3)/(MATCH(9.99E+307,'Returns (Calc)'!$A:$A)-3),"")</f>
        <v>160.04202531645569</v>
      </c>
      <c r="AB85" s="131">
        <f>IFERROR('Price History'!G3+(INDEX('Price History'!G:G,MATCH(9.99E+307,'Returns (Calc)'!$A:$A)+1)-'Price History'!G3)*(ROW()-3)/(MATCH(9.99E+307,'Returns (Calc)'!$A:$A)-3),"")</f>
        <v>128.70620253164557</v>
      </c>
      <c r="AC85" s="131">
        <f>IFERROR('Price History'!H3+(INDEX('Price History'!H:H,MATCH(9.99E+307,'Returns (Calc)'!$A:$A)+1)-'Price History'!H3)*(ROW()-3)/(MATCH(9.99E+307,'Returns (Calc)'!$A:$A)-3),"")</f>
        <v>591.09708860759497</v>
      </c>
      <c r="AD85" s="131">
        <f>IFERROR('Price History'!I3+(INDEX('Price History'!I:I,MATCH(9.99E+307,'Returns (Calc)'!$A:$A)+1)-'Price History'!I3)*(ROW()-3)/(MATCH(9.99E+307,'Returns (Calc)'!$A:$A)-3),"")</f>
        <v>142.47101265822783</v>
      </c>
      <c r="AE85" s="131">
        <f>IFERROR('Price History'!J3+(INDEX('Price History'!J:J,MATCH(9.99E+307,'Returns (Calc)'!$A:$A)+1)-'Price History'!J3)*(ROW()-3)/(MATCH(9.99E+307,'Returns (Calc)'!$A:$A)-3),"")</f>
        <v>120.69911392405064</v>
      </c>
      <c r="AF85" s="131">
        <f>IFERROR('Price History'!K3+(INDEX('Price History'!K:K,MATCH(9.99E+307,'Returns (Calc)'!$A:$A)+1)-'Price History'!K3)*(ROW()-3)/(MATCH(9.99E+307,'Returns (Calc)'!$A:$A)-3),"")</f>
        <v>105.33278481012657</v>
      </c>
      <c r="AG85" s="131">
        <f>IFERROR('Price History'!L3+(INDEX('Price History'!L:L,MATCH(9.99E+307,'Returns (Calc)'!$A:$A)+1)-'Price History'!L3)*(ROW()-3)/(MATCH(9.99E+307,'Returns (Calc)'!$A:$A)-3),"")</f>
        <v>286.61367088607597</v>
      </c>
      <c r="AH85" s="131">
        <f>IFERROR('Price History'!M3+(INDEX('Price History'!M:M,MATCH(9.99E+307,'Returns (Calc)'!$A:$A)+1)-'Price History'!M3)*(ROW()-3)/(MATCH(9.99E+307,'Returns (Calc)'!$A:$A)-3),"")</f>
        <v>149.16632911392404</v>
      </c>
      <c r="AI85" s="131">
        <f>IFERROR('Price History'!N3+(INDEX('Price History'!N:N,MATCH(9.99E+307,'Returns (Calc)'!$A:$A)+1)-'Price History'!N3)*(ROW()-3)/(MATCH(9.99E+307,'Returns (Calc)'!$A:$A)-3),"")</f>
        <v>429.77379746835442</v>
      </c>
      <c r="AJ85" s="131">
        <f>IFERROR('Price History'!O3+(INDEX('Price History'!O:O,MATCH(9.99E+307,'Returns (Calc)'!$A:$A)+1)-'Price History'!O3)*(ROW()-3)/(MATCH(9.99E+307,'Returns (Calc)'!$A:$A)-3),"")</f>
        <v>98.519113924050629</v>
      </c>
      <c r="AK85" s="131">
        <f>IFERROR('Price History'!Q3+(INDEX('Price History'!Q:Q,MATCH(9.99E+307,'Returns (Calc)'!$A:$A)+1)-'Price History'!Q3)*(ROW()-3)/(MATCH(9.99E+307,'Returns (Calc)'!$A:$A)-3),"")</f>
        <v>36.028101265822791</v>
      </c>
      <c r="AL85" s="131">
        <f>IFERROR('Price History'!R3+(INDEX('Price History'!R:R,MATCH(9.99E+307,'Returns (Calc)'!$A:$A)+1)-'Price History'!R3)*(ROW()-3)/(MATCH(9.99E+307,'Returns (Calc)'!$A:$A)-3),"")</f>
        <v>48.264303797468351</v>
      </c>
      <c r="AM85" s="131">
        <f>IFERROR('Price History'!S3+(INDEX('Price History'!S:S,MATCH(9.99E+307,'Returns (Calc)'!$A:$A)+1)-'Price History'!S3)*(ROW()-3)/(MATCH(9.99E+307,'Returns (Calc)'!$A:$A)-3),"")</f>
        <v>107.24518987341773</v>
      </c>
      <c r="AN85" s="131">
        <f>IFERROR('Price History'!T3+(INDEX('Price History'!T:T,MATCH(9.99E+307,'Returns (Calc)'!$A:$A)+1)-'Price History'!T3)*(ROW()-3)/(MATCH(9.99E+307,'Returns (Calc)'!$A:$A)-3),"")</f>
        <v>39.034683544303796</v>
      </c>
      <c r="AO85" s="132">
        <f>IFERROR('Price History'!V3+(INDEX('Price History'!V:V,MATCH(9.99E+307,'Returns (Calc)'!$A:$A)+1)-'Price History'!V3)*(ROW()-3)/(MATCH(9.99E+307,'Returns (Calc)'!$A:$A)-3),"")</f>
        <v>300.51898734177217</v>
      </c>
      <c r="AP85" s="130">
        <f>IFERROR(IF(OR(NOT(ISNUMBER('Price History'!W86)),NOT(ISNUMBER('Price History'!W85)),'Price History'!W85=0),"",'Price History'!W86/'Price History'!W85-1),"")</f>
        <v>-1.5430775825118204E-3</v>
      </c>
      <c r="AQ85" s="130" t="str">
        <f>IFERROR(IF(OR(NOT(ISNUMBER('Price History'!X86)),NOT(ISNUMBER('Price History'!X85)),'Price History'!X85=0),"",'Price History'!X86/'Price History'!X85-1),"")</f>
        <v/>
      </c>
      <c r="AR85" s="130">
        <f>IFERROR(IF(OR(NOT(ISNUMBER('Price History'!Y86)),NOT(ISNUMBER('Price History'!Y85)),'Price History'!Y85=0),"",'Price History'!Y86/'Price History'!Y85-1),"")</f>
        <v>-3.9865715484682651E-3</v>
      </c>
      <c r="AS85" s="130">
        <f>IFERROR(IF(OR(NOT(ISNUMBER('Price History'!Z86)),NOT(ISNUMBER('Price History'!Z85)),'Price History'!Z85=0),"",'Price History'!Z86/'Price History'!Z85-1),"")</f>
        <v>6.648567787690407E-4</v>
      </c>
      <c r="AT85" s="130">
        <f>IFERROR(IF(OR(NOT(ISNUMBER('Price History'!AA86)),NOT(ISNUMBER('Price History'!AA85)),'Price History'!AA85=0),"",'Price History'!AA86/'Price History'!AA85-1),"")</f>
        <v>5.9566590438854483E-2</v>
      </c>
    </row>
    <row r="86" spans="1:46" ht="15" customHeight="1" x14ac:dyDescent="0.2">
      <c r="A86" s="128">
        <f>IF('Price History'!A87="","",'Price History'!A87)</f>
        <v>45772</v>
      </c>
      <c r="B86" s="129">
        <f>IFERROR(IF(OR(NOT(ISNUMBER('Price History'!B87)),NOT(ISNUMBER('Price History'!B86)),'Price History'!B86=0),"",'Price History'!B87/'Price History'!B86-1),"")</f>
        <v>5.4243119266055073E-2</v>
      </c>
      <c r="C86" s="129">
        <f>IFERROR(IF(OR(NOT(ISNUMBER('Price History'!C87)),NOT(ISNUMBER('Price History'!C86)),'Price History'!C86=0),"",'Price History'!C87/'Price History'!C86-1),"")</f>
        <v>9.4241573033707837E-2</v>
      </c>
      <c r="D86" s="129">
        <f>IFERROR(IF(OR(NOT(ISNUMBER('Price History'!D87)),NOT(ISNUMBER('Price History'!D86)),'Price History'!D86=0),"",'Price History'!D87/'Price History'!D86-1),"")</f>
        <v>5.7969639468690604E-2</v>
      </c>
      <c r="E86" s="129">
        <f>IFERROR(IF(OR(NOT(ISNUMBER('Price History'!E87)),NOT(ISNUMBER('Price History'!E86)),'Price History'!E86=0),"",'Price History'!E87/'Price History'!E86-1),"")</f>
        <v>0.12470421202082349</v>
      </c>
      <c r="F86" s="129">
        <f>IFERROR(IF(OR(NOT(ISNUMBER('Price History'!F87)),NOT(ISNUMBER('Price History'!F86)),'Price History'!F86=0),"",'Price History'!F87/'Price History'!F86-1),"")</f>
        <v>0.13120340788072404</v>
      </c>
      <c r="G86" s="129">
        <f>IFERROR(IF(OR(NOT(ISNUMBER('Price History'!G87)),NOT(ISNUMBER('Price History'!G86)),'Price History'!G86=0),"",'Price History'!G87/'Price History'!G86-1),"")</f>
        <v>9.4889348829804154E-2</v>
      </c>
      <c r="H86" s="129">
        <f>IFERROR(IF(OR(NOT(ISNUMBER('Price History'!H87)),NOT(ISNUMBER('Price History'!H86)),'Price History'!H86=0),"",'Price History'!H87/'Price History'!H86-1),"")</f>
        <v>0.15955121666909511</v>
      </c>
      <c r="I86" s="129">
        <f>IFERROR(IF(OR(NOT(ISNUMBER('Price History'!I87)),NOT(ISNUMBER('Price History'!I86)),'Price History'!I86=0),"",'Price History'!I87/'Price History'!I86-1),"")</f>
        <v>9.3845697915637682E-2</v>
      </c>
      <c r="J86" s="129">
        <f>IFERROR(IF(OR(NOT(ISNUMBER('Price History'!J87)),NOT(ISNUMBER('Price History'!J86)),'Price History'!J86=0),"",'Price History'!J87/'Price History'!J86-1),"")</f>
        <v>1.3375861714166604E-3</v>
      </c>
      <c r="K86" s="129">
        <f>IFERROR(IF(OR(NOT(ISNUMBER('Price History'!K87)),NOT(ISNUMBER('Price History'!K86)),'Price History'!K86=0),"",'Price History'!K87/'Price History'!K86-1),"")</f>
        <v>0.20260183407976107</v>
      </c>
      <c r="L86" s="129">
        <f>IFERROR(IF(OR(NOT(ISNUMBER('Price History'!L87)),NOT(ISNUMBER('Price History'!L86)),'Price History'!L86=0),"",'Price History'!L87/'Price History'!L86-1),"")</f>
        <v>8.8043988466438572E-2</v>
      </c>
      <c r="M86" s="129">
        <f>IFERROR(IF(OR(NOT(ISNUMBER('Price History'!M87)),NOT(ISNUMBER('Price History'!M86)),'Price History'!M86=0),"",'Price History'!M87/'Price History'!M86-1),"")</f>
        <v>0.18757695991243661</v>
      </c>
      <c r="N86" s="129">
        <f>IFERROR(IF(OR(NOT(ISNUMBER('Price History'!N87)),NOT(ISNUMBER('Price History'!N86)),'Price History'!N86=0),"",'Price History'!N87/'Price History'!N86-1),"")</f>
        <v>9.6912696790021347E-3</v>
      </c>
      <c r="O86" s="129">
        <f>IFERROR(IF(OR(NOT(ISNUMBER('Price History'!O87)),NOT(ISNUMBER('Price History'!O86)),'Price History'!O86=0),"",'Price History'!O87/'Price History'!O86-1),"")</f>
        <v>2.8095601322146058E-2</v>
      </c>
      <c r="P86" s="129">
        <f>IFERROR(IF(OR(NOT(ISNUMBER('Price History'!P87)),NOT(ISNUMBER('Price History'!P86)),'Price History'!P86=0),"",'Price History'!P87/'Price History'!P86-1),"")</f>
        <v>1.4330009218134654E-2</v>
      </c>
      <c r="Q86" s="129">
        <f>IFERROR(IF(OR(NOT(ISNUMBER('Price History'!Q87)),NOT(ISNUMBER('Price History'!Q86)),'Price History'!Q86=0),"",'Price History'!Q87/'Price History'!Q86-1),"")</f>
        <v>1.7754569190600478E-2</v>
      </c>
      <c r="R86" s="129">
        <f>IFERROR(IF(OR(NOT(ISNUMBER('Price History'!R87)),NOT(ISNUMBER('Price History'!R86)),'Price History'!R86=0),"",'Price History'!R87/'Price History'!R86-1),"")</f>
        <v>4.8060502561600327E-2</v>
      </c>
      <c r="S86" s="129">
        <f>IFERROR(IF(OR(NOT(ISNUMBER('Price History'!S87)),NOT(ISNUMBER('Price History'!S86)),'Price History'!S86=0),"",'Price History'!S87/'Price History'!S86-1),"")</f>
        <v>6.5244811374842504E-2</v>
      </c>
      <c r="T86" s="129">
        <f>IFERROR(IF(OR(NOT(ISNUMBER('Price History'!T87)),NOT(ISNUMBER('Price History'!T86)),'Price History'!T86=0),"",'Price History'!T87/'Price History'!T86-1),"")</f>
        <v>3.303399615137903E-2</v>
      </c>
      <c r="U86" s="129">
        <f>IFERROR(IF(OR(NOT(ISNUMBER('Price History'!U87)),NOT(ISNUMBER('Price History'!U86)),'Price History'!U86=0),"",'Price History'!U87/'Price History'!U86-1),"")</f>
        <v>9.9626400996264408E-3</v>
      </c>
      <c r="V86" s="130">
        <f>IFERROR(IF(OR(NOT(ISNUMBER('Price History'!V87)),NOT(ISNUMBER('Price History'!V86)),'Price History'!V86=0),"",'Price History'!V87/'Price History'!V86-1),"")</f>
        <v>1.6877378176015645E-2</v>
      </c>
      <c r="W86" s="131">
        <f>IFERROR('Price History'!B3+(INDEX('Price History'!B:B,MATCH(9.99E+307,'Returns (Calc)'!$A:$A)+1)-'Price History'!B3)*(ROW()-3)/(MATCH(9.99E+307,'Returns (Calc)'!$A:$A)-3),"")</f>
        <v>375.9178481012658</v>
      </c>
      <c r="X86" s="131">
        <f>IFERROR('Price History'!C3+(INDEX('Price History'!C:C,MATCH(9.99E+307,'Returns (Calc)'!$A:$A)+1)-'Price History'!C3)*(ROW()-3)/(MATCH(9.99E+307,'Returns (Calc)'!$A:$A)-3),"")</f>
        <v>130.84525316455696</v>
      </c>
      <c r="Y86" s="131">
        <f>IFERROR('Price History'!D3+(INDEX('Price History'!D:D,MATCH(9.99E+307,'Returns (Calc)'!$A:$A)+1)-'Price History'!D3)*(ROW()-3)/(MATCH(9.99E+307,'Returns (Calc)'!$A:$A)-3),"")</f>
        <v>1257.199240506329</v>
      </c>
      <c r="Z86" s="131">
        <f>IFERROR('Price History'!E3+(INDEX('Price History'!E:E,MATCH(9.99E+307,'Returns (Calc)'!$A:$A)+1)-'Price History'!E3)*(ROW()-3)/(MATCH(9.99E+307,'Returns (Calc)'!$A:$A)-3),"")</f>
        <v>225.48493670886074</v>
      </c>
      <c r="AA86" s="131">
        <f>IFERROR('Price History'!F3+(INDEX('Price History'!F:F,MATCH(9.99E+307,'Returns (Calc)'!$A:$A)+1)-'Price History'!F3)*(ROW()-3)/(MATCH(9.99E+307,'Returns (Calc)'!$A:$A)-3),"")</f>
        <v>161.48936708860759</v>
      </c>
      <c r="AB86" s="131">
        <f>IFERROR('Price History'!G3+(INDEX('Price History'!G:G,MATCH(9.99E+307,'Returns (Calc)'!$A:$A)+1)-'Price History'!G3)*(ROW()-3)/(MATCH(9.99E+307,'Returns (Calc)'!$A:$A)-3),"")</f>
        <v>129.73493670886077</v>
      </c>
      <c r="AC86" s="131">
        <f>IFERROR('Price History'!H3+(INDEX('Price History'!H:H,MATCH(9.99E+307,'Returns (Calc)'!$A:$A)+1)-'Price History'!H3)*(ROW()-3)/(MATCH(9.99E+307,'Returns (Calc)'!$A:$A)-3),"")</f>
        <v>597.46278481012666</v>
      </c>
      <c r="AD86" s="131">
        <f>IFERROR('Price History'!I3+(INDEX('Price History'!I:I,MATCH(9.99E+307,'Returns (Calc)'!$A:$A)+1)-'Price History'!I3)*(ROW()-3)/(MATCH(9.99E+307,'Returns (Calc)'!$A:$A)-3),"")</f>
        <v>143.6746835443038</v>
      </c>
      <c r="AE86" s="131">
        <f>IFERROR('Price History'!J3+(INDEX('Price History'!J:J,MATCH(9.99E+307,'Returns (Calc)'!$A:$A)+1)-'Price History'!J3)*(ROW()-3)/(MATCH(9.99E+307,'Returns (Calc)'!$A:$A)-3),"")</f>
        <v>120.80715189873418</v>
      </c>
      <c r="AF86" s="131">
        <f>IFERROR('Price History'!K3+(INDEX('Price History'!K:K,MATCH(9.99E+307,'Returns (Calc)'!$A:$A)+1)-'Price History'!K3)*(ROW()-3)/(MATCH(9.99E+307,'Returns (Calc)'!$A:$A)-3),"")</f>
        <v>106.43037974683543</v>
      </c>
      <c r="AG86" s="131">
        <f>IFERROR('Price History'!L3+(INDEX('Price History'!L:L,MATCH(9.99E+307,'Returns (Calc)'!$A:$A)+1)-'Price History'!L3)*(ROW()-3)/(MATCH(9.99E+307,'Returns (Calc)'!$A:$A)-3),"")</f>
        <v>289.06322784810129</v>
      </c>
      <c r="AH86" s="131">
        <f>IFERROR('Price History'!M3+(INDEX('Price History'!M:M,MATCH(9.99E+307,'Returns (Calc)'!$A:$A)+1)-'Price History'!M3)*(ROW()-3)/(MATCH(9.99E+307,'Returns (Calc)'!$A:$A)-3),"")</f>
        <v>150.52177215189872</v>
      </c>
      <c r="AI86" s="131">
        <f>IFERROR('Price History'!N3+(INDEX('Price History'!N:N,MATCH(9.99E+307,'Returns (Calc)'!$A:$A)+1)-'Price History'!N3)*(ROW()-3)/(MATCH(9.99E+307,'Returns (Calc)'!$A:$A)-3),"")</f>
        <v>430.7600632911392</v>
      </c>
      <c r="AJ86" s="131">
        <f>IFERROR('Price History'!O3+(INDEX('Price History'!O:O,MATCH(9.99E+307,'Returns (Calc)'!$A:$A)+1)-'Price History'!O3)*(ROW()-3)/(MATCH(9.99E+307,'Returns (Calc)'!$A:$A)-3),"")</f>
        <v>98.802151898734181</v>
      </c>
      <c r="AK86" s="131">
        <f>IFERROR('Price History'!Q3+(INDEX('Price History'!Q:Q,MATCH(9.99E+307,'Returns (Calc)'!$A:$A)+1)-'Price History'!Q3)*(ROW()-3)/(MATCH(9.99E+307,'Returns (Calc)'!$A:$A)-3),"")</f>
        <v>36.46746835443038</v>
      </c>
      <c r="AL86" s="131">
        <f>IFERROR('Price History'!R3+(INDEX('Price History'!R:R,MATCH(9.99E+307,'Returns (Calc)'!$A:$A)+1)-'Price History'!R3)*(ROW()-3)/(MATCH(9.99E+307,'Returns (Calc)'!$A:$A)-3),"")</f>
        <v>48.432405063291135</v>
      </c>
      <c r="AM86" s="131">
        <f>IFERROR('Price History'!S3+(INDEX('Price History'!S:S,MATCH(9.99E+307,'Returns (Calc)'!$A:$A)+1)-'Price History'!S3)*(ROW()-3)/(MATCH(9.99E+307,'Returns (Calc)'!$A:$A)-3),"")</f>
        <v>107.85025316455696</v>
      </c>
      <c r="AN86" s="131">
        <f>IFERROR('Price History'!T3+(INDEX('Price History'!T:T,MATCH(9.99E+307,'Returns (Calc)'!$A:$A)+1)-'Price History'!T3)*(ROW()-3)/(MATCH(9.99E+307,'Returns (Calc)'!$A:$A)-3),"")</f>
        <v>39.202911392405063</v>
      </c>
      <c r="AO86" s="132">
        <f>IFERROR('Price History'!V3+(INDEX('Price History'!V:V,MATCH(9.99E+307,'Returns (Calc)'!$A:$A)+1)-'Price History'!V3)*(ROW()-3)/(MATCH(9.99E+307,'Returns (Calc)'!$A:$A)-3),"")</f>
        <v>301.31031645569624</v>
      </c>
      <c r="AP86" s="130">
        <f>IFERROR(IF(OR(NOT(ISNUMBER('Price History'!W87)),NOT(ISNUMBER('Price History'!W86)),'Price History'!W86=0),"",'Price History'!W87/'Price History'!W86-1),"")</f>
        <v>2.0434446638619264E-2</v>
      </c>
      <c r="AQ86" s="130" t="str">
        <f>IFERROR(IF(OR(NOT(ISNUMBER('Price History'!X87)),NOT(ISNUMBER('Price History'!X86)),'Price History'!X86=0),"",'Price History'!X87/'Price History'!X86-1),"")</f>
        <v/>
      </c>
      <c r="AR86" s="130">
        <f>IFERROR(IF(OR(NOT(ISNUMBER('Price History'!Y87)),NOT(ISNUMBER('Price History'!Y86)),'Price History'!Y86=0),"",'Price History'!Y87/'Price History'!Y86-1),"")</f>
        <v>2.2540551927533237E-2</v>
      </c>
      <c r="AS86" s="130">
        <f>IFERROR(IF(OR(NOT(ISNUMBER('Price History'!Z87)),NOT(ISNUMBER('Price History'!Z86)),'Price History'!Z86=0),"",'Price History'!Z87/'Price History'!Z86-1),"")</f>
        <v>9.1523171474447551E-2</v>
      </c>
      <c r="AT86" s="130">
        <f>IFERROR(IF(OR(NOT(ISNUMBER('Price History'!AA87)),NOT(ISNUMBER('Price History'!AA86)),'Price History'!AA86=0),"",'Price History'!AA87/'Price History'!AA86-1),"")</f>
        <v>0.13206577595066804</v>
      </c>
    </row>
    <row r="87" spans="1:46" ht="15" customHeight="1" x14ac:dyDescent="0.2">
      <c r="A87" s="128">
        <f>IF('Price History'!A88="","",'Price History'!A88)</f>
        <v>45779</v>
      </c>
      <c r="B87" s="129">
        <f>IFERROR(IF(OR(NOT(ISNUMBER('Price History'!B88)),NOT(ISNUMBER('Price History'!B87)),'Price History'!B87=0),"",'Price History'!B88/'Price History'!B87-1),"")</f>
        <v>3.5760905036440693E-2</v>
      </c>
      <c r="C87" s="129">
        <f>IFERROR(IF(OR(NOT(ISNUMBER('Price History'!C88)),NOT(ISNUMBER('Price History'!C87)),'Price History'!C87=0),"",'Price History'!C88/'Price History'!C87-1),"")</f>
        <v>0.16827108201771268</v>
      </c>
      <c r="D87" s="129">
        <f>IFERROR(IF(OR(NOT(ISNUMBER('Price History'!D88)),NOT(ISNUMBER('Price History'!D87)),'Price History'!D87=0),"",'Price History'!D88/'Price History'!D87-1),"")</f>
        <v>2.2449406630197677E-2</v>
      </c>
      <c r="E87" s="129">
        <f>IFERROR(IF(OR(NOT(ISNUMBER('Price History'!E88)),NOT(ISNUMBER('Price History'!E87)),'Price History'!E87=0),"",'Price History'!E88/'Price History'!E87-1),"")</f>
        <v>5.8910162002945521E-2</v>
      </c>
      <c r="F87" s="129">
        <f>IFERROR(IF(OR(NOT(ISNUMBER('Price History'!F88)),NOT(ISNUMBER('Price History'!F87)),'Price History'!F87=0),"",'Price History'!F88/'Price History'!F87-1),"")</f>
        <v>3.6904537751835775E-2</v>
      </c>
      <c r="G87" s="129">
        <f>IFERROR(IF(OR(NOT(ISNUMBER('Price History'!G88)),NOT(ISNUMBER('Price History'!G87)),'Price History'!G87=0),"",'Price History'!G88/'Price History'!G87-1),"")</f>
        <v>5.0894285298823672E-3</v>
      </c>
      <c r="H87" s="129">
        <f>IFERROR(IF(OR(NOT(ISNUMBER('Price History'!H88)),NOT(ISNUMBER('Price History'!H87)),'Price History'!H87=0),"",'Price History'!H88/'Price History'!H87-1),"")</f>
        <v>1.1686353355114365E-2</v>
      </c>
      <c r="I87" s="129">
        <f>IFERROR(IF(OR(NOT(ISNUMBER('Price History'!I88)),NOT(ISNUMBER('Price History'!I87)),'Price History'!I87=0),"",'Price History'!I88/'Price History'!I87-1),"")</f>
        <v>3.1427797344892872E-2</v>
      </c>
      <c r="J87" s="129">
        <f>IFERROR(IF(OR(NOT(ISNUMBER('Price History'!J88)),NOT(ISNUMBER('Price History'!J87)),'Price History'!J87=0),"",'Price History'!J88/'Price History'!J87-1),"")</f>
        <v>3.1031648170982473E-2</v>
      </c>
      <c r="K87" s="129">
        <f>IFERROR(IF(OR(NOT(ISNUMBER('Price History'!K88)),NOT(ISNUMBER('Price History'!K87)),'Price History'!K87=0),"",'Price History'!K88/'Price History'!K87-1),"")</f>
        <v>0.10196843411952483</v>
      </c>
      <c r="L87" s="129">
        <f>IFERROR(IF(OR(NOT(ISNUMBER('Price History'!L88)),NOT(ISNUMBER('Price History'!L87)),'Price History'!L87=0),"",'Price History'!L88/'Price History'!L87-1),"")</f>
        <v>8.5911500061629509E-2</v>
      </c>
      <c r="M87" s="129">
        <f>IFERROR(IF(OR(NOT(ISNUMBER('Price History'!M88)),NOT(ISNUMBER('Price History'!M87)),'Price History'!M87=0),"",'Price History'!M88/'Price History'!M87-1),"")</f>
        <v>9.2626728110599243E-2</v>
      </c>
      <c r="N87" s="129">
        <f>IFERROR(IF(OR(NOT(ISNUMBER('Price History'!N88)),NOT(ISNUMBER('Price History'!N87)),'Price History'!N87=0),"",'Price History'!N88/'Price History'!N87-1),"")</f>
        <v>1.4802365138506302E-2</v>
      </c>
      <c r="O87" s="129">
        <f>IFERROR(IF(OR(NOT(ISNUMBER('Price History'!O88)),NOT(ISNUMBER('Price History'!O87)),'Price History'!O87=0),"",'Price History'!O88/'Price History'!O87-1),"")</f>
        <v>3.3881538271299583E-2</v>
      </c>
      <c r="P87" s="129">
        <f>IFERROR(IF(OR(NOT(ISNUMBER('Price History'!P88)),NOT(ISNUMBER('Price History'!P87)),'Price History'!P87=0),"",'Price History'!P88/'Price History'!P87-1),"")</f>
        <v>1.6606080634500975E-2</v>
      </c>
      <c r="Q87" s="129">
        <f>IFERROR(IF(OR(NOT(ISNUMBER('Price History'!Q88)),NOT(ISNUMBER('Price History'!Q87)),'Price History'!Q87=0),"",'Price History'!Q88/'Price History'!Q87-1),"")</f>
        <v>1.641867624422777E-2</v>
      </c>
      <c r="R87" s="129">
        <f>IFERROR(IF(OR(NOT(ISNUMBER('Price History'!R88)),NOT(ISNUMBER('Price History'!R87)),'Price History'!R87=0),"",'Price History'!R88/'Price History'!R87-1),"")</f>
        <v>1.9785847299813808E-2</v>
      </c>
      <c r="S87" s="129">
        <f>IFERROR(IF(OR(NOT(ISNUMBER('Price History'!S88)),NOT(ISNUMBER('Price History'!S87)),'Price History'!S87=0),"",'Price History'!S88/'Price History'!S87-1),"")</f>
        <v>4.0258342303552075E-2</v>
      </c>
      <c r="T87" s="129">
        <f>IFERROR(IF(OR(NOT(ISNUMBER('Price History'!T88)),NOT(ISNUMBER('Price History'!T87)),'Price History'!T87=0),"",'Price History'!T88/'Price History'!T87-1),"")</f>
        <v>1.9248680533995532E-2</v>
      </c>
      <c r="U87" s="129">
        <f>IFERROR(IF(OR(NOT(ISNUMBER('Price History'!U88)),NOT(ISNUMBER('Price History'!U87)),'Price History'!U87=0),"",'Price History'!U88/'Price History'!U87-1),"")</f>
        <v>1.5207562679819153E-2</v>
      </c>
      <c r="V87" s="130">
        <f>IFERROR(IF(OR(NOT(ISNUMBER('Price History'!V88)),NOT(ISNUMBER('Price History'!V87)),'Price History'!V87=0),"",'Price History'!V88/'Price History'!V87-1),"")</f>
        <v>3.708733176413781E-2</v>
      </c>
      <c r="W87" s="131">
        <f>IFERROR('Price History'!B3+(INDEX('Price History'!B:B,MATCH(9.99E+307,'Returns (Calc)'!$A:$A)+1)-'Price History'!B3)*(ROW()-3)/(MATCH(9.99E+307,'Returns (Calc)'!$A:$A)-3),"")</f>
        <v>374.07481012658229</v>
      </c>
      <c r="X87" s="131">
        <f>IFERROR('Price History'!C3+(INDEX('Price History'!C:C,MATCH(9.99E+307,'Returns (Calc)'!$A:$A)+1)-'Price History'!C3)*(ROW()-3)/(MATCH(9.99E+307,'Returns (Calc)'!$A:$A)-3),"")</f>
        <v>131.86531645569619</v>
      </c>
      <c r="Y87" s="131">
        <f>IFERROR('Price History'!D3+(INDEX('Price History'!D:D,MATCH(9.99E+307,'Returns (Calc)'!$A:$A)+1)-'Price History'!D3)*(ROW()-3)/(MATCH(9.99E+307,'Returns (Calc)'!$A:$A)-3),"")</f>
        <v>1265.3340506329114</v>
      </c>
      <c r="Z87" s="131">
        <f>IFERROR('Price History'!E3+(INDEX('Price History'!E:E,MATCH(9.99E+307,'Returns (Calc)'!$A:$A)+1)-'Price History'!E3)*(ROW()-3)/(MATCH(9.99E+307,'Returns (Calc)'!$A:$A)-3),"")</f>
        <v>227.21367088607593</v>
      </c>
      <c r="AA87" s="131">
        <f>IFERROR('Price History'!F3+(INDEX('Price History'!F:F,MATCH(9.99E+307,'Returns (Calc)'!$A:$A)+1)-'Price History'!F3)*(ROW()-3)/(MATCH(9.99E+307,'Returns (Calc)'!$A:$A)-3),"")</f>
        <v>162.9367088607595</v>
      </c>
      <c r="AB87" s="131">
        <f>IFERROR('Price History'!G3+(INDEX('Price History'!G:G,MATCH(9.99E+307,'Returns (Calc)'!$A:$A)+1)-'Price History'!G3)*(ROW()-3)/(MATCH(9.99E+307,'Returns (Calc)'!$A:$A)-3),"")</f>
        <v>130.76367088607594</v>
      </c>
      <c r="AC87" s="131">
        <f>IFERROR('Price History'!H3+(INDEX('Price History'!H:H,MATCH(9.99E+307,'Returns (Calc)'!$A:$A)+1)-'Price History'!H3)*(ROW()-3)/(MATCH(9.99E+307,'Returns (Calc)'!$A:$A)-3),"")</f>
        <v>603.82848101265824</v>
      </c>
      <c r="AD87" s="131">
        <f>IFERROR('Price History'!I3+(INDEX('Price History'!I:I,MATCH(9.99E+307,'Returns (Calc)'!$A:$A)+1)-'Price History'!I3)*(ROW()-3)/(MATCH(9.99E+307,'Returns (Calc)'!$A:$A)-3),"")</f>
        <v>144.87835443037974</v>
      </c>
      <c r="AE87" s="131">
        <f>IFERROR('Price History'!J3+(INDEX('Price History'!J:J,MATCH(9.99E+307,'Returns (Calc)'!$A:$A)+1)-'Price History'!J3)*(ROW()-3)/(MATCH(9.99E+307,'Returns (Calc)'!$A:$A)-3),"")</f>
        <v>120.91518987341772</v>
      </c>
      <c r="AF87" s="131">
        <f>IFERROR('Price History'!K3+(INDEX('Price History'!K:K,MATCH(9.99E+307,'Returns (Calc)'!$A:$A)+1)-'Price History'!K3)*(ROW()-3)/(MATCH(9.99E+307,'Returns (Calc)'!$A:$A)-3),"")</f>
        <v>107.5279746835443</v>
      </c>
      <c r="AG87" s="131">
        <f>IFERROR('Price History'!L3+(INDEX('Price History'!L:L,MATCH(9.99E+307,'Returns (Calc)'!$A:$A)+1)-'Price History'!L3)*(ROW()-3)/(MATCH(9.99E+307,'Returns (Calc)'!$A:$A)-3),"")</f>
        <v>291.51278481012656</v>
      </c>
      <c r="AH87" s="131">
        <f>IFERROR('Price History'!M3+(INDEX('Price History'!M:M,MATCH(9.99E+307,'Returns (Calc)'!$A:$A)+1)-'Price History'!M3)*(ROW()-3)/(MATCH(9.99E+307,'Returns (Calc)'!$A:$A)-3),"")</f>
        <v>151.87721518987343</v>
      </c>
      <c r="AI87" s="131">
        <f>IFERROR('Price History'!N3+(INDEX('Price History'!N:N,MATCH(9.99E+307,'Returns (Calc)'!$A:$A)+1)-'Price History'!N3)*(ROW()-3)/(MATCH(9.99E+307,'Returns (Calc)'!$A:$A)-3),"")</f>
        <v>431.74632911392405</v>
      </c>
      <c r="AJ87" s="131">
        <f>IFERROR('Price History'!O3+(INDEX('Price History'!O:O,MATCH(9.99E+307,'Returns (Calc)'!$A:$A)+1)-'Price History'!O3)*(ROW()-3)/(MATCH(9.99E+307,'Returns (Calc)'!$A:$A)-3),"")</f>
        <v>99.085189873417733</v>
      </c>
      <c r="AK87" s="131">
        <f>IFERROR('Price History'!Q3+(INDEX('Price History'!Q:Q,MATCH(9.99E+307,'Returns (Calc)'!$A:$A)+1)-'Price History'!Q3)*(ROW()-3)/(MATCH(9.99E+307,'Returns (Calc)'!$A:$A)-3),"")</f>
        <v>36.90683544303797</v>
      </c>
      <c r="AL87" s="131">
        <f>IFERROR('Price History'!R3+(INDEX('Price History'!R:R,MATCH(9.99E+307,'Returns (Calc)'!$A:$A)+1)-'Price History'!R3)*(ROW()-3)/(MATCH(9.99E+307,'Returns (Calc)'!$A:$A)-3),"")</f>
        <v>48.600506329113919</v>
      </c>
      <c r="AM87" s="131">
        <f>IFERROR('Price History'!S3+(INDEX('Price History'!S:S,MATCH(9.99E+307,'Returns (Calc)'!$A:$A)+1)-'Price History'!S3)*(ROW()-3)/(MATCH(9.99E+307,'Returns (Calc)'!$A:$A)-3),"")</f>
        <v>108.45531645569621</v>
      </c>
      <c r="AN87" s="131">
        <f>IFERROR('Price History'!T3+(INDEX('Price History'!T:T,MATCH(9.99E+307,'Returns (Calc)'!$A:$A)+1)-'Price History'!T3)*(ROW()-3)/(MATCH(9.99E+307,'Returns (Calc)'!$A:$A)-3),"")</f>
        <v>39.371139240506331</v>
      </c>
      <c r="AO87" s="132">
        <f>IFERROR('Price History'!V3+(INDEX('Price History'!V:V,MATCH(9.99E+307,'Returns (Calc)'!$A:$A)+1)-'Price History'!V3)*(ROW()-3)/(MATCH(9.99E+307,'Returns (Calc)'!$A:$A)-3),"")</f>
        <v>302.10164556962025</v>
      </c>
      <c r="AP87" s="130">
        <f>IFERROR(IF(OR(NOT(ISNUMBER('Price History'!W88)),NOT(ISNUMBER('Price History'!W87)),'Price History'!W87=0),"",'Price History'!W88/'Price History'!W87-1),"")</f>
        <v>2.1034917963819844E-2</v>
      </c>
      <c r="AQ87" s="130" t="str">
        <f>IFERROR(IF(OR(NOT(ISNUMBER('Price History'!X88)),NOT(ISNUMBER('Price History'!X87)),'Price History'!X87=0),"",'Price History'!X88/'Price History'!X87-1),"")</f>
        <v/>
      </c>
      <c r="AR87" s="130">
        <f>IFERROR(IF(OR(NOT(ISNUMBER('Price History'!Y88)),NOT(ISNUMBER('Price History'!Y87)),'Price History'!Y87=0),"",'Price History'!Y88/'Price History'!Y87-1),"")</f>
        <v>2.1425628347754522E-2</v>
      </c>
      <c r="AS87" s="130">
        <f>IFERROR(IF(OR(NOT(ISNUMBER('Price History'!Z88)),NOT(ISNUMBER('Price History'!Z87)),'Price History'!Z87=0),"",'Price History'!Z88/'Price History'!Z87-1),"")</f>
        <v>4.6718068377802568E-2</v>
      </c>
      <c r="AT87" s="130">
        <f>IFERROR(IF(OR(NOT(ISNUMBER('Price History'!AA88)),NOT(ISNUMBER('Price History'!AA87)),'Price History'!AA87=0),"",'Price History'!AA88/'Price History'!AA87-1),"")</f>
        <v>4.9931911030413056E-2</v>
      </c>
    </row>
    <row r="88" spans="1:46" ht="15" customHeight="1" x14ac:dyDescent="0.2">
      <c r="A88" s="128">
        <f>IF('Price History'!A89="","",'Price History'!A89)</f>
        <v>45786</v>
      </c>
      <c r="B88" s="129">
        <f>IFERROR(IF(OR(NOT(ISNUMBER('Price History'!B89)),NOT(ISNUMBER('Price History'!B88)),'Price History'!B88=0),"",'Price History'!B89/'Price History'!B88-1),"")</f>
        <v>6.3276183474676451E-3</v>
      </c>
      <c r="C88" s="129">
        <f>IFERROR(IF(OR(NOT(ISNUMBER('Price History'!C89)),NOT(ISNUMBER('Price History'!C88)),'Price History'!C88=0),"",'Price History'!C89/'Price History'!C88-1),"")</f>
        <v>-4.9439683586025018E-2</v>
      </c>
      <c r="D88" s="129">
        <f>IFERROR(IF(OR(NOT(ISNUMBER('Price History'!D89)),NOT(ISNUMBER('Price History'!D88)),'Price History'!D88=0),"",'Price History'!D89/'Price History'!D88-1),"")</f>
        <v>2.2994386621447704E-2</v>
      </c>
      <c r="E88" s="129">
        <f>IFERROR(IF(OR(NOT(ISNUMBER('Price History'!E89)),NOT(ISNUMBER('Price History'!E88)),'Price History'!E88=0),"",'Price History'!E89/'Price History'!E88-1),"")</f>
        <v>2.2402145837472798E-2</v>
      </c>
      <c r="F88" s="129">
        <f>IFERROR(IF(OR(NOT(ISNUMBER('Price History'!F89)),NOT(ISNUMBER('Price History'!F88)),'Price History'!F88=0),"",'Price History'!F89/'Price History'!F88-1),"")</f>
        <v>-6.8095151625204298E-2</v>
      </c>
      <c r="G88" s="129">
        <f>IFERROR(IF(OR(NOT(ISNUMBER('Price History'!G89)),NOT(ISNUMBER('Price History'!G88)),'Price History'!G88=0),"",'Price History'!G89/'Price History'!G88-1),"")</f>
        <v>4.4849537037037202E-3</v>
      </c>
      <c r="H88" s="129">
        <f>IFERROR(IF(OR(NOT(ISNUMBER('Price History'!H89)),NOT(ISNUMBER('Price History'!H88)),'Price History'!H88=0),"",'Price History'!H89/'Price History'!H88-1),"")</f>
        <v>6.3718792696559445E-2</v>
      </c>
      <c r="I88" s="129">
        <f>IFERROR(IF(OR(NOT(ISNUMBER('Price History'!I89)),NOT(ISNUMBER('Price History'!I88)),'Price History'!I88=0),"",'Price History'!I89/'Price History'!I88-1),"")</f>
        <v>1.8824971543647706E-2</v>
      </c>
      <c r="J88" s="129">
        <f>IFERROR(IF(OR(NOT(ISNUMBER('Price History'!J89)),NOT(ISNUMBER('Price History'!J88)),'Price History'!J88=0),"",'Price History'!J89/'Price History'!J88-1),"")</f>
        <v>1.4251544747857281E-2</v>
      </c>
      <c r="K88" s="129">
        <f>IFERROR(IF(OR(NOT(ISNUMBER('Price History'!K89)),NOT(ISNUMBER('Price History'!K88)),'Price History'!K88=0),"",'Price History'!K89/'Price History'!K88-1),"")</f>
        <v>-5.6163501770196356E-2</v>
      </c>
      <c r="L88" s="129">
        <f>IFERROR(IF(OR(NOT(ISNUMBER('Price History'!L89)),NOT(ISNUMBER('Price History'!L88)),'Price History'!L88=0),"",'Price History'!L89/'Price History'!L88-1),"")</f>
        <v>-1.538024971623142E-2</v>
      </c>
      <c r="M88" s="129">
        <f>IFERROR(IF(OR(NOT(ISNUMBER('Price History'!M89)),NOT(ISNUMBER('Price History'!M88)),'Price History'!M88=0),"",'Price History'!M89/'Price History'!M88-1),"")</f>
        <v>-9.9114297764656412E-3</v>
      </c>
      <c r="N88" s="129">
        <f>IFERROR(IF(OR(NOT(ISNUMBER('Price History'!N89)),NOT(ISNUMBER('Price History'!N88)),'Price History'!N88=0),"",'Price History'!N89/'Price History'!N88-1),"")</f>
        <v>-0.15197046792377522</v>
      </c>
      <c r="O88" s="129">
        <f>IFERROR(IF(OR(NOT(ISNUMBER('Price History'!O89)),NOT(ISNUMBER('Price History'!O88)),'Price History'!O88=0),"",'Price History'!O89/'Price History'!O88-1),"")</f>
        <v>1.1601483076187025E-2</v>
      </c>
      <c r="P88" s="129">
        <f>IFERROR(IF(OR(NOT(ISNUMBER('Price History'!P89)),NOT(ISNUMBER('Price History'!P88)),'Price History'!P88=0),"",'Price History'!P89/'Price History'!P88-1),"")</f>
        <v>-1.2190166598943231E-3</v>
      </c>
      <c r="Q88" s="129">
        <f>IFERROR(IF(OR(NOT(ISNUMBER('Price History'!Q89)),NOT(ISNUMBER('Price History'!Q88)),'Price History'!Q88=0),"",'Price History'!Q89/'Price History'!Q88-1),"")</f>
        <v>-2.5239777889953796E-3</v>
      </c>
      <c r="R88" s="129">
        <f>IFERROR(IF(OR(NOT(ISNUMBER('Price History'!R89)),NOT(ISNUMBER('Price History'!R88)),'Price History'!R88=0),"",'Price History'!R89/'Price History'!R88-1),"")</f>
        <v>2.7391006619492675E-3</v>
      </c>
      <c r="S88" s="129">
        <f>IFERROR(IF(OR(NOT(ISNUMBER('Price History'!S89)),NOT(ISNUMBER('Price History'!S88)),'Price History'!S88=0),"",'Price History'!S89/'Price History'!S88-1),"")</f>
        <v>6.9329470198675747E-3</v>
      </c>
      <c r="T88" s="129">
        <f>IFERROR(IF(OR(NOT(ISNUMBER('Price History'!T89)),NOT(ISNUMBER('Price History'!T88)),'Price History'!T88=0),"",'Price History'!T89/'Price History'!T88-1),"")</f>
        <v>-1.5229972586048302E-3</v>
      </c>
      <c r="U88" s="129">
        <f>IFERROR(IF(OR(NOT(ISNUMBER('Price History'!U89)),NOT(ISNUMBER('Price History'!U88)),'Price History'!U88=0),"",'Price History'!U89/'Price History'!U88-1),"")</f>
        <v>-1.2955465587044523E-2</v>
      </c>
      <c r="V88" s="130">
        <f>IFERROR(IF(OR(NOT(ISNUMBER('Price History'!V89)),NOT(ISNUMBER('Price History'!V88)),'Price History'!V88=0),"",'Price History'!V89/'Price History'!V88-1),"")</f>
        <v>1.4199668286437594E-2</v>
      </c>
      <c r="W88" s="131">
        <f>IFERROR('Price History'!B3+(INDEX('Price History'!B:B,MATCH(9.99E+307,'Returns (Calc)'!$A:$A)+1)-'Price History'!B3)*(ROW()-3)/(MATCH(9.99E+307,'Returns (Calc)'!$A:$A)-3),"")</f>
        <v>372.23177215189872</v>
      </c>
      <c r="X88" s="131">
        <f>IFERROR('Price History'!C3+(INDEX('Price History'!C:C,MATCH(9.99E+307,'Returns (Calc)'!$A:$A)+1)-'Price History'!C3)*(ROW()-3)/(MATCH(9.99E+307,'Returns (Calc)'!$A:$A)-3),"")</f>
        <v>132.88537974683544</v>
      </c>
      <c r="Y88" s="131">
        <f>IFERROR('Price History'!D3+(INDEX('Price History'!D:D,MATCH(9.99E+307,'Returns (Calc)'!$A:$A)+1)-'Price History'!D3)*(ROW()-3)/(MATCH(9.99E+307,'Returns (Calc)'!$A:$A)-3),"")</f>
        <v>1273.4688607594935</v>
      </c>
      <c r="Z88" s="131">
        <f>IFERROR('Price History'!E3+(INDEX('Price History'!E:E,MATCH(9.99E+307,'Returns (Calc)'!$A:$A)+1)-'Price History'!E3)*(ROW()-3)/(MATCH(9.99E+307,'Returns (Calc)'!$A:$A)-3),"")</f>
        <v>228.94240506329112</v>
      </c>
      <c r="AA88" s="131">
        <f>IFERROR('Price History'!F3+(INDEX('Price History'!F:F,MATCH(9.99E+307,'Returns (Calc)'!$A:$A)+1)-'Price History'!F3)*(ROW()-3)/(MATCH(9.99E+307,'Returns (Calc)'!$A:$A)-3),"")</f>
        <v>164.3840506329114</v>
      </c>
      <c r="AB88" s="131">
        <f>IFERROR('Price History'!G3+(INDEX('Price History'!G:G,MATCH(9.99E+307,'Returns (Calc)'!$A:$A)+1)-'Price History'!G3)*(ROW()-3)/(MATCH(9.99E+307,'Returns (Calc)'!$A:$A)-3),"")</f>
        <v>131.79240506329114</v>
      </c>
      <c r="AC88" s="131">
        <f>IFERROR('Price History'!H3+(INDEX('Price History'!H:H,MATCH(9.99E+307,'Returns (Calc)'!$A:$A)+1)-'Price History'!H3)*(ROW()-3)/(MATCH(9.99E+307,'Returns (Calc)'!$A:$A)-3),"")</f>
        <v>610.19417721518994</v>
      </c>
      <c r="AD88" s="131">
        <f>IFERROR('Price History'!I3+(INDEX('Price History'!I:I,MATCH(9.99E+307,'Returns (Calc)'!$A:$A)+1)-'Price History'!I3)*(ROW()-3)/(MATCH(9.99E+307,'Returns (Calc)'!$A:$A)-3),"")</f>
        <v>146.08202531645568</v>
      </c>
      <c r="AE88" s="131">
        <f>IFERROR('Price History'!J3+(INDEX('Price History'!J:J,MATCH(9.99E+307,'Returns (Calc)'!$A:$A)+1)-'Price History'!J3)*(ROW()-3)/(MATCH(9.99E+307,'Returns (Calc)'!$A:$A)-3),"")</f>
        <v>121.02322784810127</v>
      </c>
      <c r="AF88" s="131">
        <f>IFERROR('Price History'!K3+(INDEX('Price History'!K:K,MATCH(9.99E+307,'Returns (Calc)'!$A:$A)+1)-'Price History'!K3)*(ROW()-3)/(MATCH(9.99E+307,'Returns (Calc)'!$A:$A)-3),"")</f>
        <v>108.62556962025316</v>
      </c>
      <c r="AG88" s="131">
        <f>IFERROR('Price History'!L3+(INDEX('Price History'!L:L,MATCH(9.99E+307,'Returns (Calc)'!$A:$A)+1)-'Price History'!L3)*(ROW()-3)/(MATCH(9.99E+307,'Returns (Calc)'!$A:$A)-3),"")</f>
        <v>293.96234177215183</v>
      </c>
      <c r="AH88" s="131">
        <f>IFERROR('Price History'!M3+(INDEX('Price History'!M:M,MATCH(9.99E+307,'Returns (Calc)'!$A:$A)+1)-'Price History'!M3)*(ROW()-3)/(MATCH(9.99E+307,'Returns (Calc)'!$A:$A)-3),"")</f>
        <v>153.23265822784811</v>
      </c>
      <c r="AI88" s="131">
        <f>IFERROR('Price History'!N3+(INDEX('Price History'!N:N,MATCH(9.99E+307,'Returns (Calc)'!$A:$A)+1)-'Price History'!N3)*(ROW()-3)/(MATCH(9.99E+307,'Returns (Calc)'!$A:$A)-3),"")</f>
        <v>432.73259493670884</v>
      </c>
      <c r="AJ88" s="131">
        <f>IFERROR('Price History'!O3+(INDEX('Price History'!O:O,MATCH(9.99E+307,'Returns (Calc)'!$A:$A)+1)-'Price History'!O3)*(ROW()-3)/(MATCH(9.99E+307,'Returns (Calc)'!$A:$A)-3),"")</f>
        <v>99.36822784810127</v>
      </c>
      <c r="AK88" s="131">
        <f>IFERROR('Price History'!Q3+(INDEX('Price History'!Q:Q,MATCH(9.99E+307,'Returns (Calc)'!$A:$A)+1)-'Price History'!Q3)*(ROW()-3)/(MATCH(9.99E+307,'Returns (Calc)'!$A:$A)-3),"")</f>
        <v>37.346202531645567</v>
      </c>
      <c r="AL88" s="131">
        <f>IFERROR('Price History'!R3+(INDEX('Price History'!R:R,MATCH(9.99E+307,'Returns (Calc)'!$A:$A)+1)-'Price History'!R3)*(ROW()-3)/(MATCH(9.99E+307,'Returns (Calc)'!$A:$A)-3),"")</f>
        <v>48.768607594936711</v>
      </c>
      <c r="AM88" s="131">
        <f>IFERROR('Price History'!S3+(INDEX('Price History'!S:S,MATCH(9.99E+307,'Returns (Calc)'!$A:$A)+1)-'Price History'!S3)*(ROW()-3)/(MATCH(9.99E+307,'Returns (Calc)'!$A:$A)-3),"")</f>
        <v>109.06037974683544</v>
      </c>
      <c r="AN88" s="131">
        <f>IFERROR('Price History'!T3+(INDEX('Price History'!T:T,MATCH(9.99E+307,'Returns (Calc)'!$A:$A)+1)-'Price History'!T3)*(ROW()-3)/(MATCH(9.99E+307,'Returns (Calc)'!$A:$A)-3),"")</f>
        <v>39.539367088607591</v>
      </c>
      <c r="AO88" s="132">
        <f>IFERROR('Price History'!V3+(INDEX('Price History'!V:V,MATCH(9.99E+307,'Returns (Calc)'!$A:$A)+1)-'Price History'!V3)*(ROW()-3)/(MATCH(9.99E+307,'Returns (Calc)'!$A:$A)-3),"")</f>
        <v>302.89297468354431</v>
      </c>
      <c r="AP88" s="130">
        <f>IFERROR(IF(OR(NOT(ISNUMBER('Price History'!W89)),NOT(ISNUMBER('Price History'!W88)),'Price History'!W88=0),"",'Price History'!W89/'Price History'!W88-1),"")</f>
        <v>-1.2360939431396156E-3</v>
      </c>
      <c r="AQ88" s="130" t="str">
        <f>IFERROR(IF(OR(NOT(ISNUMBER('Price History'!X89)),NOT(ISNUMBER('Price History'!X88)),'Price History'!X88=0),"",'Price History'!X89/'Price History'!X88-1),"")</f>
        <v/>
      </c>
      <c r="AR88" s="130">
        <f>IFERROR(IF(OR(NOT(ISNUMBER('Price History'!Y89)),NOT(ISNUMBER('Price History'!Y88)),'Price History'!Y88=0),"",'Price History'!Y89/'Price History'!Y88-1),"")</f>
        <v>-2.0169423154492438E-4</v>
      </c>
      <c r="AS88" s="130">
        <f>IFERROR(IF(OR(NOT(ISNUMBER('Price History'!Z89)),NOT(ISNUMBER('Price History'!Z88)),'Price History'!Z88=0),"",'Price History'!Z89/'Price History'!Z88-1),"")</f>
        <v>3.4940634843712237E-2</v>
      </c>
      <c r="AT88" s="130">
        <f>IFERROR(IF(OR(NOT(ISNUMBER('Price History'!AA89)),NOT(ISNUMBER('Price History'!AA88)),'Price History'!AA88=0),"",'Price History'!AA89/'Price History'!AA88-1),"")</f>
        <v>-1.4094249891915323E-2</v>
      </c>
    </row>
    <row r="89" spans="1:46" ht="15" customHeight="1" x14ac:dyDescent="0.2">
      <c r="A89" s="128">
        <f>IF('Price History'!A90="","",'Price History'!A90)</f>
        <v>45793</v>
      </c>
      <c r="B89" s="129">
        <f>IFERROR(IF(OR(NOT(ISNUMBER('Price History'!B90)),NOT(ISNUMBER('Price History'!B89)),'Price History'!B89=0),"",'Price History'!B90/'Price History'!B89-1),"")</f>
        <v>8.8316635357962969E-2</v>
      </c>
      <c r="C89" s="129">
        <f>IFERROR(IF(OR(NOT(ISNUMBER('Price History'!C90)),NOT(ISNUMBER('Price History'!C89)),'Price History'!C89=0),"",'Price History'!C90/'Price History'!C89-1),"")</f>
        <v>0.11442441054091557</v>
      </c>
      <c r="D89" s="129">
        <f>IFERROR(IF(OR(NOT(ISNUMBER('Price History'!D90)),NOT(ISNUMBER('Price History'!D89)),'Price History'!D89=0),"",'Price History'!D90/'Price History'!D89-1),"")</f>
        <v>5.9316100084308765E-2</v>
      </c>
      <c r="E89" s="129">
        <f>IFERROR(IF(OR(NOT(ISNUMBER('Price History'!E90)),NOT(ISNUMBER('Price History'!E89)),'Price History'!E89=0),"",'Price History'!E90/'Price History'!E89-1),"")</f>
        <v>9.7993489773113618E-2</v>
      </c>
      <c r="F89" s="129">
        <f>IFERROR(IF(OR(NOT(ISNUMBER('Price History'!F90)),NOT(ISNUMBER('Price History'!F89)),'Price History'!F89=0),"",'Price History'!F90/'Price History'!F89-1),"")</f>
        <v>6.9953234606391135E-2</v>
      </c>
      <c r="G89" s="129">
        <f>IFERROR(IF(OR(NOT(ISNUMBER('Price History'!G90)),NOT(ISNUMBER('Price History'!G89)),'Price History'!G89=0),"",'Price History'!G90/'Price History'!G89-1),"")</f>
        <v>0.12818666282586766</v>
      </c>
      <c r="H89" s="129">
        <f>IFERROR(IF(OR(NOT(ISNUMBER('Price History'!H90)),NOT(ISNUMBER('Price History'!H89)),'Price History'!H89=0),"",'Price History'!H90/'Price History'!H89-1),"")</f>
        <v>0.14140588510042029</v>
      </c>
      <c r="I89" s="129">
        <f>IFERROR(IF(OR(NOT(ISNUMBER('Price History'!I90)),NOT(ISNUMBER('Price History'!I89)),'Price History'!I89=0),"",'Price History'!I90/'Price History'!I89-1),"")</f>
        <v>0.16070814712959791</v>
      </c>
      <c r="J89" s="129">
        <f>IFERROR(IF(OR(NOT(ISNUMBER('Price History'!J90)),NOT(ISNUMBER('Price History'!J89)),'Price History'!J89=0),"",'Price History'!J90/'Price History'!J89-1),"")</f>
        <v>3.3998231305885973E-2</v>
      </c>
      <c r="K89" s="129">
        <f>IFERROR(IF(OR(NOT(ISNUMBER('Price History'!K90)),NOT(ISNUMBER('Price History'!K89)),'Price History'!K89=0),"",'Price History'!K90/'Price History'!K89-1),"")</f>
        <v>0.10417732310315442</v>
      </c>
      <c r="L89" s="129">
        <f>IFERROR(IF(OR(NOT(ISNUMBER('Price History'!L90)),NOT(ISNUMBER('Price History'!L89)),'Price History'!L89=0),"",'Price History'!L90/'Price History'!L89-1),"")</f>
        <v>0.10023632486022249</v>
      </c>
      <c r="M89" s="129">
        <f>IFERROR(IF(OR(NOT(ISNUMBER('Price History'!M90)),NOT(ISNUMBER('Price History'!M89)),'Price History'!M89=0),"",'Price History'!M90/'Price History'!M89-1),"")</f>
        <v>0.12736954206602769</v>
      </c>
      <c r="N89" s="129">
        <f>IFERROR(IF(OR(NOT(ISNUMBER('Price History'!N90)),NOT(ISNUMBER('Price History'!N89)),'Price History'!N89=0),"",'Price History'!N90/'Price History'!N89-1),"")</f>
        <v>3.2141932751358793E-2</v>
      </c>
      <c r="O89" s="129">
        <f>IFERROR(IF(OR(NOT(ISNUMBER('Price History'!O90)),NOT(ISNUMBER('Price History'!O89)),'Price History'!O89=0),"",'Price History'!O90/'Price History'!O89-1),"")</f>
        <v>4.8947741782927379E-2</v>
      </c>
      <c r="P89" s="129">
        <f>IFERROR(IF(OR(NOT(ISNUMBER('Price History'!P90)),NOT(ISNUMBER('Price History'!P89)),'Price History'!P89=0),"",'Price History'!P90/'Price History'!P89-1),"")</f>
        <v>3.2058584214808672E-2</v>
      </c>
      <c r="Q89" s="129">
        <f>IFERROR(IF(OR(NOT(ISNUMBER('Price History'!Q90)),NOT(ISNUMBER('Price History'!Q89)),'Price History'!Q89=0),"",'Price History'!Q90/'Price History'!Q89-1),"")</f>
        <v>2.9352226720647856E-2</v>
      </c>
      <c r="R89" s="129">
        <f>IFERROR(IF(OR(NOT(ISNUMBER('Price History'!R90)),NOT(ISNUMBER('Price History'!R89)),'Price History'!R89=0),"",'Price History'!R90/'Price History'!R89-1),"")</f>
        <v>1.7300250398361028E-2</v>
      </c>
      <c r="S89" s="129">
        <f>IFERROR(IF(OR(NOT(ISNUMBER('Price History'!S90)),NOT(ISNUMBER('Price History'!S89)),'Price History'!S89=0),"",'Price History'!S90/'Price History'!S89-1),"")</f>
        <v>6.8235535916144396E-2</v>
      </c>
      <c r="T89" s="129">
        <f>IFERROR(IF(OR(NOT(ISNUMBER('Price History'!T90)),NOT(ISNUMBER('Price History'!T89)),'Price History'!T89=0),"",'Price History'!T90/'Price History'!T89-1),"")</f>
        <v>4.3014032946918856E-2</v>
      </c>
      <c r="U89" s="129">
        <f>IFERROR(IF(OR(NOT(ISNUMBER('Price History'!U90)),NOT(ISNUMBER('Price History'!U89)),'Price History'!U89=0),"",'Price History'!U90/'Price History'!U89-1),"")</f>
        <v>3.4044298605414358E-2</v>
      </c>
      <c r="V89" s="130">
        <f>IFERROR(IF(OR(NOT(ISNUMBER('Price History'!V90)),NOT(ISNUMBER('Price History'!V89)),'Price History'!V89=0),"",'Price History'!V90/'Price History'!V89-1),"")</f>
        <v>3.7412135991966577E-2</v>
      </c>
      <c r="W89" s="131">
        <f>IFERROR('Price History'!B3+(INDEX('Price History'!B:B,MATCH(9.99E+307,'Returns (Calc)'!$A:$A)+1)-'Price History'!B3)*(ROW()-3)/(MATCH(9.99E+307,'Returns (Calc)'!$A:$A)-3),"")</f>
        <v>370.38873417721516</v>
      </c>
      <c r="X89" s="131">
        <f>IFERROR('Price History'!C3+(INDEX('Price History'!C:C,MATCH(9.99E+307,'Returns (Calc)'!$A:$A)+1)-'Price History'!C3)*(ROW()-3)/(MATCH(9.99E+307,'Returns (Calc)'!$A:$A)-3),"")</f>
        <v>133.90544303797466</v>
      </c>
      <c r="Y89" s="131">
        <f>IFERROR('Price History'!D3+(INDEX('Price History'!D:D,MATCH(9.99E+307,'Returns (Calc)'!$A:$A)+1)-'Price History'!D3)*(ROW()-3)/(MATCH(9.99E+307,'Returns (Calc)'!$A:$A)-3),"")</f>
        <v>1281.6036708860761</v>
      </c>
      <c r="Z89" s="131">
        <f>IFERROR('Price History'!E3+(INDEX('Price History'!E:E,MATCH(9.99E+307,'Returns (Calc)'!$A:$A)+1)-'Price History'!E3)*(ROW()-3)/(MATCH(9.99E+307,'Returns (Calc)'!$A:$A)-3),"")</f>
        <v>230.67113924050631</v>
      </c>
      <c r="AA89" s="131">
        <f>IFERROR('Price History'!F3+(INDEX('Price History'!F:F,MATCH(9.99E+307,'Returns (Calc)'!$A:$A)+1)-'Price History'!F3)*(ROW()-3)/(MATCH(9.99E+307,'Returns (Calc)'!$A:$A)-3),"")</f>
        <v>165.8313924050633</v>
      </c>
      <c r="AB89" s="131">
        <f>IFERROR('Price History'!G3+(INDEX('Price History'!G:G,MATCH(9.99E+307,'Returns (Calc)'!$A:$A)+1)-'Price History'!G3)*(ROW()-3)/(MATCH(9.99E+307,'Returns (Calc)'!$A:$A)-3),"")</f>
        <v>132.82113924050631</v>
      </c>
      <c r="AC89" s="131">
        <f>IFERROR('Price History'!H3+(INDEX('Price History'!H:H,MATCH(9.99E+307,'Returns (Calc)'!$A:$A)+1)-'Price History'!H3)*(ROW()-3)/(MATCH(9.99E+307,'Returns (Calc)'!$A:$A)-3),"")</f>
        <v>616.55987341772152</v>
      </c>
      <c r="AD89" s="131">
        <f>IFERROR('Price History'!I3+(INDEX('Price History'!I:I,MATCH(9.99E+307,'Returns (Calc)'!$A:$A)+1)-'Price History'!I3)*(ROW()-3)/(MATCH(9.99E+307,'Returns (Calc)'!$A:$A)-3),"")</f>
        <v>147.28569620253162</v>
      </c>
      <c r="AE89" s="131">
        <f>IFERROR('Price History'!J3+(INDEX('Price History'!J:J,MATCH(9.99E+307,'Returns (Calc)'!$A:$A)+1)-'Price History'!J3)*(ROW()-3)/(MATCH(9.99E+307,'Returns (Calc)'!$A:$A)-3),"")</f>
        <v>121.13126582278481</v>
      </c>
      <c r="AF89" s="131">
        <f>IFERROR('Price History'!K3+(INDEX('Price History'!K:K,MATCH(9.99E+307,'Returns (Calc)'!$A:$A)+1)-'Price History'!K3)*(ROW()-3)/(MATCH(9.99E+307,'Returns (Calc)'!$A:$A)-3),"")</f>
        <v>109.72316455696202</v>
      </c>
      <c r="AG89" s="131">
        <f>IFERROR('Price History'!L3+(INDEX('Price History'!L:L,MATCH(9.99E+307,'Returns (Calc)'!$A:$A)+1)-'Price History'!L3)*(ROW()-3)/(MATCH(9.99E+307,'Returns (Calc)'!$A:$A)-3),"")</f>
        <v>296.41189873417716</v>
      </c>
      <c r="AH89" s="131">
        <f>IFERROR('Price History'!M3+(INDEX('Price History'!M:M,MATCH(9.99E+307,'Returns (Calc)'!$A:$A)+1)-'Price History'!M3)*(ROW()-3)/(MATCH(9.99E+307,'Returns (Calc)'!$A:$A)-3),"")</f>
        <v>154.58810126582279</v>
      </c>
      <c r="AI89" s="131">
        <f>IFERROR('Price History'!N3+(INDEX('Price History'!N:N,MATCH(9.99E+307,'Returns (Calc)'!$A:$A)+1)-'Price History'!N3)*(ROW()-3)/(MATCH(9.99E+307,'Returns (Calc)'!$A:$A)-3),"")</f>
        <v>433.71886075949368</v>
      </c>
      <c r="AJ89" s="131">
        <f>IFERROR('Price History'!O3+(INDEX('Price History'!O:O,MATCH(9.99E+307,'Returns (Calc)'!$A:$A)+1)-'Price History'!O3)*(ROW()-3)/(MATCH(9.99E+307,'Returns (Calc)'!$A:$A)-3),"")</f>
        <v>99.651265822784808</v>
      </c>
      <c r="AK89" s="131">
        <f>IFERROR('Price History'!Q3+(INDEX('Price History'!Q:Q,MATCH(9.99E+307,'Returns (Calc)'!$A:$A)+1)-'Price History'!Q3)*(ROW()-3)/(MATCH(9.99E+307,'Returns (Calc)'!$A:$A)-3),"")</f>
        <v>37.785569620253163</v>
      </c>
      <c r="AL89" s="131">
        <f>IFERROR('Price History'!R3+(INDEX('Price History'!R:R,MATCH(9.99E+307,'Returns (Calc)'!$A:$A)+1)-'Price History'!R3)*(ROW()-3)/(MATCH(9.99E+307,'Returns (Calc)'!$A:$A)-3),"")</f>
        <v>48.936708860759495</v>
      </c>
      <c r="AM89" s="131">
        <f>IFERROR('Price History'!S3+(INDEX('Price History'!S:S,MATCH(9.99E+307,'Returns (Calc)'!$A:$A)+1)-'Price History'!S3)*(ROW()-3)/(MATCH(9.99E+307,'Returns (Calc)'!$A:$A)-3),"")</f>
        <v>109.66544303797468</v>
      </c>
      <c r="AN89" s="131">
        <f>IFERROR('Price History'!T3+(INDEX('Price History'!T:T,MATCH(9.99E+307,'Returns (Calc)'!$A:$A)+1)-'Price History'!T3)*(ROW()-3)/(MATCH(9.99E+307,'Returns (Calc)'!$A:$A)-3),"")</f>
        <v>39.707594936708858</v>
      </c>
      <c r="AO89" s="132">
        <f>IFERROR('Price History'!V3+(INDEX('Price History'!V:V,MATCH(9.99E+307,'Returns (Calc)'!$A:$A)+1)-'Price History'!V3)*(ROW()-3)/(MATCH(9.99E+307,'Returns (Calc)'!$A:$A)-3),"")</f>
        <v>303.68430379746837</v>
      </c>
      <c r="AP89" s="130">
        <f>IFERROR(IF(OR(NOT(ISNUMBER('Price History'!W90)),NOT(ISNUMBER('Price History'!W89)),'Price History'!W89=0),"",'Price History'!W90/'Price History'!W89-1),"")</f>
        <v>3.3498349834983454E-2</v>
      </c>
      <c r="AQ89" s="130" t="str">
        <f>IFERROR(IF(OR(NOT(ISNUMBER('Price History'!X90)),NOT(ISNUMBER('Price History'!X89)),'Price History'!X89=0),"",'Price History'!X90/'Price History'!X89-1),"")</f>
        <v/>
      </c>
      <c r="AR89" s="130">
        <f>IFERROR(IF(OR(NOT(ISNUMBER('Price History'!Y90)),NOT(ISNUMBER('Price History'!Y89)),'Price History'!Y89=0),"",'Price History'!Y90/'Price History'!Y89-1),"")</f>
        <v>1.0691950776679393E-2</v>
      </c>
      <c r="AS89" s="130">
        <f>IFERROR(IF(OR(NOT(ISNUMBER('Price History'!Z90)),NOT(ISNUMBER('Price History'!Z89)),'Price History'!Z89=0),"",'Price History'!Z90/'Price History'!Z89-1),"")</f>
        <v>7.82449896984454E-2</v>
      </c>
      <c r="AT89" s="130">
        <f>IFERROR(IF(OR(NOT(ISNUMBER('Price History'!AA90)),NOT(ISNUMBER('Price History'!AA89)),'Price History'!AA89=0),"",'Price History'!AA90/'Price History'!AA89-1),"")</f>
        <v>4.4992106647956609E-2</v>
      </c>
    </row>
    <row r="90" spans="1:46" ht="15" customHeight="1" x14ac:dyDescent="0.2">
      <c r="A90" s="128">
        <f>IF('Price History'!A91="","",'Price History'!A91)</f>
        <v>45800</v>
      </c>
      <c r="B90" s="129">
        <f>IFERROR(IF(OR(NOT(ISNUMBER('Price History'!B91)),NOT(ISNUMBER('Price History'!B90)),'Price History'!B90=0),"",'Price History'!B91/'Price History'!B90-1),"")</f>
        <v>-2.2630834512022635E-2</v>
      </c>
      <c r="C90" s="129">
        <f>IFERROR(IF(OR(NOT(ISNUMBER('Price History'!C91)),NOT(ISNUMBER('Price History'!C90)),'Price History'!C90=0),"",'Price History'!C91/'Price History'!C90-1),"")</f>
        <v>-5.4138145612943389E-2</v>
      </c>
      <c r="D90" s="129">
        <f>IFERROR(IF(OR(NOT(ISNUMBER('Price History'!D91)),NOT(ISNUMBER('Price History'!D90)),'Price History'!D90=0),"",'Price History'!D91/'Price History'!D90-1),"")</f>
        <v>-2.0854691631144506E-2</v>
      </c>
      <c r="E90" s="129">
        <f>IFERROR(IF(OR(NOT(ISNUMBER('Price History'!E91)),NOT(ISNUMBER('Price History'!E90)),'Price History'!E90=0),"",'Price History'!E91/'Price History'!E90-1),"")</f>
        <v>4.8672566371688042E-4</v>
      </c>
      <c r="F90" s="129">
        <f>IFERROR(IF(OR(NOT(ISNUMBER('Price History'!F91)),NOT(ISNUMBER('Price History'!F90)),'Price History'!F90=0),"",'Price History'!F91/'Price History'!F90-1),"")</f>
        <v>3.7151702786377916E-2</v>
      </c>
      <c r="G90" s="129">
        <f>IFERROR(IF(OR(NOT(ISNUMBER('Price History'!G91)),NOT(ISNUMBER('Price History'!G90)),'Price History'!G90=0),"",'Price History'!G91/'Price History'!G90-1),"")</f>
        <v>-4.0597472232860921E-2</v>
      </c>
      <c r="H90" s="129">
        <f>IFERROR(IF(OR(NOT(ISNUMBER('Price History'!H91)),NOT(ISNUMBER('Price History'!H90)),'Price History'!H90=0),"",'Price History'!H91/'Price History'!H90-1),"")</f>
        <v>-4.7263427109974443E-2</v>
      </c>
      <c r="I90" s="129">
        <f>IFERROR(IF(OR(NOT(ISNUMBER('Price History'!I91)),NOT(ISNUMBER('Price History'!I90)),'Price History'!I90=0),"",'Price History'!I91/'Price History'!I90-1),"")</f>
        <v>-3.0356878424403932E-2</v>
      </c>
      <c r="J90" s="129">
        <f>IFERROR(IF(OR(NOT(ISNUMBER('Price History'!J91)),NOT(ISNUMBER('Price History'!J90)),'Price History'!J90=0),"",'Price History'!J91/'Price History'!J90-1),"")</f>
        <v>-5.8823529411764719E-2</v>
      </c>
      <c r="K90" s="129">
        <f>IFERROR(IF(OR(NOT(ISNUMBER('Price History'!K91)),NOT(ISNUMBER('Price History'!K90)),'Price History'!K90=0),"",'Price History'!K91/'Price History'!K90-1),"")</f>
        <v>-4.7946263125386079E-2</v>
      </c>
      <c r="L90" s="129">
        <f>IFERROR(IF(OR(NOT(ISNUMBER('Price History'!L91)),NOT(ISNUMBER('Price History'!L90)),'Price History'!L90=0),"",'Price History'!L91/'Price History'!L90-1),"")</f>
        <v>-1.1525565800502902E-2</v>
      </c>
      <c r="M90" s="129">
        <f>IFERROR(IF(OR(NOT(ISNUMBER('Price History'!M91)),NOT(ISNUMBER('Price History'!M90)),'Price History'!M90=0),"",'Price History'!M91/'Price History'!M90-1),"")</f>
        <v>-1.7948233515964529E-2</v>
      </c>
      <c r="N90" s="129">
        <f>IFERROR(IF(OR(NOT(ISNUMBER('Price History'!N91)),NOT(ISNUMBER('Price History'!N90)),'Price History'!N90=0),"",'Price History'!N91/'Price History'!N90-1),"")</f>
        <v>-6.041262965918115E-3</v>
      </c>
      <c r="O90" s="129">
        <f>IFERROR(IF(OR(NOT(ISNUMBER('Price History'!O91)),NOT(ISNUMBER('Price History'!O90)),'Price History'!O90=0),"",'Price History'!O91/'Price History'!O90-1),"")</f>
        <v>-4.0013525698827768E-2</v>
      </c>
      <c r="P90" s="129">
        <f>IFERROR(IF(OR(NOT(ISNUMBER('Price History'!P91)),NOT(ISNUMBER('Price History'!P90)),'Price History'!P90=0),"",'Price History'!P91/'Price History'!P90-1),"")</f>
        <v>-2.5859350362661626E-2</v>
      </c>
      <c r="Q90" s="129">
        <f>IFERROR(IF(OR(NOT(ISNUMBER('Price History'!Q91)),NOT(ISNUMBER('Price History'!Q90)),'Price History'!Q90=0),"",'Price History'!Q91/'Price History'!Q90-1),"")</f>
        <v>-1.6551950180268893E-2</v>
      </c>
      <c r="R90" s="129">
        <f>IFERROR(IF(OR(NOT(ISNUMBER('Price History'!R91)),NOT(ISNUMBER('Price History'!R90)),'Price History'!R90=0),"",'Price History'!R91/'Price History'!R90-1),"")</f>
        <v>-9.1743119266054496E-3</v>
      </c>
      <c r="S90" s="129">
        <f>IFERROR(IF(OR(NOT(ISNUMBER('Price History'!S91)),NOT(ISNUMBER('Price History'!S90)),'Price History'!S90=0),"",'Price History'!S91/'Price History'!S90-1),"")</f>
        <v>-2.2318422318422404E-2</v>
      </c>
      <c r="T90" s="129">
        <f>IFERROR(IF(OR(NOT(ISNUMBER('Price History'!T91)),NOT(ISNUMBER('Price History'!T90)),'Price History'!T90=0),"",'Price History'!T91/'Price History'!T90-1),"")</f>
        <v>-3.4805498683825653E-2</v>
      </c>
      <c r="U90" s="129">
        <f>IFERROR(IF(OR(NOT(ISNUMBER('Price History'!U91)),NOT(ISNUMBER('Price History'!U90)),'Price History'!U90=0),"",'Price History'!U91/'Price History'!U90-1),"")</f>
        <v>-2.6973423244744166E-2</v>
      </c>
      <c r="V90" s="130">
        <f>IFERROR(IF(OR(NOT(ISNUMBER('Price History'!V91)),NOT(ISNUMBER('Price History'!V90)),'Price History'!V90=0),"",'Price History'!V91/'Price History'!V90-1),"")</f>
        <v>-3.1721009983683102E-2</v>
      </c>
      <c r="W90" s="131">
        <f>IFERROR('Price History'!B3+(INDEX('Price History'!B:B,MATCH(9.99E+307,'Returns (Calc)'!$A:$A)+1)-'Price History'!B3)*(ROW()-3)/(MATCH(9.99E+307,'Returns (Calc)'!$A:$A)-3),"")</f>
        <v>368.54569620253164</v>
      </c>
      <c r="X90" s="131">
        <f>IFERROR('Price History'!C3+(INDEX('Price History'!C:C,MATCH(9.99E+307,'Returns (Calc)'!$A:$A)+1)-'Price History'!C3)*(ROW()-3)/(MATCH(9.99E+307,'Returns (Calc)'!$A:$A)-3),"")</f>
        <v>134.92550632911392</v>
      </c>
      <c r="Y90" s="131">
        <f>IFERROR('Price History'!D3+(INDEX('Price History'!D:D,MATCH(9.99E+307,'Returns (Calc)'!$A:$A)+1)-'Price History'!D3)*(ROW()-3)/(MATCH(9.99E+307,'Returns (Calc)'!$A:$A)-3),"")</f>
        <v>1289.7384810126582</v>
      </c>
      <c r="Z90" s="131">
        <f>IFERROR('Price History'!E3+(INDEX('Price History'!E:E,MATCH(9.99E+307,'Returns (Calc)'!$A:$A)+1)-'Price History'!E3)*(ROW()-3)/(MATCH(9.99E+307,'Returns (Calc)'!$A:$A)-3),"")</f>
        <v>232.39987341772152</v>
      </c>
      <c r="AA90" s="131">
        <f>IFERROR('Price History'!F3+(INDEX('Price History'!F:F,MATCH(9.99E+307,'Returns (Calc)'!$A:$A)+1)-'Price History'!F3)*(ROW()-3)/(MATCH(9.99E+307,'Returns (Calc)'!$A:$A)-3),"")</f>
        <v>167.2787341772152</v>
      </c>
      <c r="AB90" s="131">
        <f>IFERROR('Price History'!G3+(INDEX('Price History'!G:G,MATCH(9.99E+307,'Returns (Calc)'!$A:$A)+1)-'Price History'!G3)*(ROW()-3)/(MATCH(9.99E+307,'Returns (Calc)'!$A:$A)-3),"")</f>
        <v>133.84987341772151</v>
      </c>
      <c r="AC90" s="131">
        <f>IFERROR('Price History'!H3+(INDEX('Price History'!H:H,MATCH(9.99E+307,'Returns (Calc)'!$A:$A)+1)-'Price History'!H3)*(ROW()-3)/(MATCH(9.99E+307,'Returns (Calc)'!$A:$A)-3),"")</f>
        <v>622.92556962025321</v>
      </c>
      <c r="AD90" s="131">
        <f>IFERROR('Price History'!I3+(INDEX('Price History'!I:I,MATCH(9.99E+307,'Returns (Calc)'!$A:$A)+1)-'Price History'!I3)*(ROW()-3)/(MATCH(9.99E+307,'Returns (Calc)'!$A:$A)-3),"")</f>
        <v>148.48936708860759</v>
      </c>
      <c r="AE90" s="131">
        <f>IFERROR('Price History'!J3+(INDEX('Price History'!J:J,MATCH(9.99E+307,'Returns (Calc)'!$A:$A)+1)-'Price History'!J3)*(ROW()-3)/(MATCH(9.99E+307,'Returns (Calc)'!$A:$A)-3),"")</f>
        <v>121.23930379746835</v>
      </c>
      <c r="AF90" s="131">
        <f>IFERROR('Price History'!K3+(INDEX('Price History'!K:K,MATCH(9.99E+307,'Returns (Calc)'!$A:$A)+1)-'Price History'!K3)*(ROW()-3)/(MATCH(9.99E+307,'Returns (Calc)'!$A:$A)-3),"")</f>
        <v>110.82075949367088</v>
      </c>
      <c r="AG90" s="131">
        <f>IFERROR('Price History'!L3+(INDEX('Price History'!L:L,MATCH(9.99E+307,'Returns (Calc)'!$A:$A)+1)-'Price History'!L3)*(ROW()-3)/(MATCH(9.99E+307,'Returns (Calc)'!$A:$A)-3),"")</f>
        <v>298.86145569620254</v>
      </c>
      <c r="AH90" s="131">
        <f>IFERROR('Price History'!M3+(INDEX('Price History'!M:M,MATCH(9.99E+307,'Returns (Calc)'!$A:$A)+1)-'Price History'!M3)*(ROW()-3)/(MATCH(9.99E+307,'Returns (Calc)'!$A:$A)-3),"")</f>
        <v>155.94354430379747</v>
      </c>
      <c r="AI90" s="131">
        <f>IFERROR('Price History'!N3+(INDEX('Price History'!N:N,MATCH(9.99E+307,'Returns (Calc)'!$A:$A)+1)-'Price History'!N3)*(ROW()-3)/(MATCH(9.99E+307,'Returns (Calc)'!$A:$A)-3),"")</f>
        <v>434.70512658227847</v>
      </c>
      <c r="AJ90" s="131">
        <f>IFERROR('Price History'!O3+(INDEX('Price History'!O:O,MATCH(9.99E+307,'Returns (Calc)'!$A:$A)+1)-'Price History'!O3)*(ROW()-3)/(MATCH(9.99E+307,'Returns (Calc)'!$A:$A)-3),"")</f>
        <v>99.93430379746836</v>
      </c>
      <c r="AK90" s="131">
        <f>IFERROR('Price History'!Q3+(INDEX('Price History'!Q:Q,MATCH(9.99E+307,'Returns (Calc)'!$A:$A)+1)-'Price History'!Q3)*(ROW()-3)/(MATCH(9.99E+307,'Returns (Calc)'!$A:$A)-3),"")</f>
        <v>38.22493670886076</v>
      </c>
      <c r="AL90" s="131">
        <f>IFERROR('Price History'!R3+(INDEX('Price History'!R:R,MATCH(9.99E+307,'Returns (Calc)'!$A:$A)+1)-'Price History'!R3)*(ROW()-3)/(MATCH(9.99E+307,'Returns (Calc)'!$A:$A)-3),"")</f>
        <v>49.104810126582279</v>
      </c>
      <c r="AM90" s="131">
        <f>IFERROR('Price History'!S3+(INDEX('Price History'!S:S,MATCH(9.99E+307,'Returns (Calc)'!$A:$A)+1)-'Price History'!S3)*(ROW()-3)/(MATCH(9.99E+307,'Returns (Calc)'!$A:$A)-3),"")</f>
        <v>110.27050632911391</v>
      </c>
      <c r="AN90" s="131">
        <f>IFERROR('Price History'!T3+(INDEX('Price History'!T:T,MATCH(9.99E+307,'Returns (Calc)'!$A:$A)+1)-'Price History'!T3)*(ROW()-3)/(MATCH(9.99E+307,'Returns (Calc)'!$A:$A)-3),"")</f>
        <v>39.875822784810126</v>
      </c>
      <c r="AO90" s="132">
        <f>IFERROR('Price History'!V3+(INDEX('Price History'!V:V,MATCH(9.99E+307,'Returns (Calc)'!$A:$A)+1)-'Price History'!V3)*(ROW()-3)/(MATCH(9.99E+307,'Returns (Calc)'!$A:$A)-3),"")</f>
        <v>304.47563291139238</v>
      </c>
      <c r="AP90" s="130">
        <f>IFERROR(IF(OR(NOT(ISNUMBER('Price History'!W91)),NOT(ISNUMBER('Price History'!W90)),'Price History'!W90=0),"",'Price History'!W91/'Price History'!W90-1),"")</f>
        <v>-2.2034168928628528E-2</v>
      </c>
      <c r="AQ90" s="130" t="str">
        <f>IFERROR(IF(OR(NOT(ISNUMBER('Price History'!X91)),NOT(ISNUMBER('Price History'!X90)),'Price History'!X90=0),"",'Price History'!X91/'Price History'!X90-1),"")</f>
        <v/>
      </c>
      <c r="AR90" s="130">
        <f>IFERROR(IF(OR(NOT(ISNUMBER('Price History'!Y91)),NOT(ISNUMBER('Price History'!Y90)),'Price History'!Y90=0),"",'Price History'!Y91/'Price History'!Y90-1),"")</f>
        <v>-1.2774451097804396E-2</v>
      </c>
      <c r="AS90" s="130">
        <f>IFERROR(IF(OR(NOT(ISNUMBER('Price History'!Z91)),NOT(ISNUMBER('Price History'!Z90)),'Price History'!Z90=0),"",'Price History'!Z91/'Price History'!Z90-1),"")</f>
        <v>4.3861553828115074E-3</v>
      </c>
      <c r="AT90" s="130">
        <f>IFERROR(IF(OR(NOT(ISNUMBER('Price History'!AA91)),NOT(ISNUMBER('Price History'!AA90)),'Price History'!AA90=0),"",'Price History'!AA91/'Price History'!AA90-1),"")</f>
        <v>-5.1195971464540468E-3</v>
      </c>
    </row>
    <row r="91" spans="1:46" ht="15" customHeight="1" x14ac:dyDescent="0.2">
      <c r="A91" s="128">
        <f>IF('Price History'!A92="","",'Price History'!A92)</f>
        <v>45807</v>
      </c>
      <c r="B91" s="129">
        <f>IFERROR(IF(OR(NOT(ISNUMBER('Price History'!B92)),NOT(ISNUMBER('Price History'!B91)),'Price History'!B91=0),"",'Price History'!B92/'Price History'!B91-1),"")</f>
        <v>1.8151046137997007E-2</v>
      </c>
      <c r="C91" s="129">
        <f>IFERROR(IF(OR(NOT(ISNUMBER('Price History'!C92)),NOT(ISNUMBER('Price History'!C91)),'Price History'!C91=0),"",'Price History'!C92/'Price History'!C91-1),"")</f>
        <v>-5.0000000000000044E-2</v>
      </c>
      <c r="D91" s="129">
        <f>IFERROR(IF(OR(NOT(ISNUMBER('Price History'!D92)),NOT(ISNUMBER('Price History'!D91)),'Price History'!D91=0),"",'Price History'!D92/'Price History'!D91-1),"")</f>
        <v>5.8413468161904181E-3</v>
      </c>
      <c r="E91" s="129">
        <f>IFERROR(IF(OR(NOT(ISNUMBER('Price History'!E92)),NOT(ISNUMBER('Price History'!E91)),'Price History'!E91=0),"",'Price History'!E92/'Price History'!E91-1),"")</f>
        <v>5.8378665251426209E-2</v>
      </c>
      <c r="F91" s="129">
        <f>IFERROR(IF(OR(NOT(ISNUMBER('Price History'!F92)),NOT(ISNUMBER('Price History'!F91)),'Price History'!F91=0),"",'Price History'!F92/'Price History'!F91-1),"")</f>
        <v>3.4591747146619722E-2</v>
      </c>
      <c r="G91" s="129">
        <f>IFERROR(IF(OR(NOT(ISNUMBER('Price History'!G92)),NOT(ISNUMBER('Price History'!G91)),'Price History'!G91=0),"",'Price History'!G92/'Price History'!G91-1),"")</f>
        <v>-3.9920159680639777E-4</v>
      </c>
      <c r="H91" s="129">
        <f>IFERROR(IF(OR(NOT(ISNUMBER('Price History'!H92)),NOT(ISNUMBER('Price History'!H91)),'Price History'!H91=0),"",'Price History'!H92/'Price History'!H91-1),"")</f>
        <v>1.1704069580156906E-2</v>
      </c>
      <c r="I91" s="129">
        <f>IFERROR(IF(OR(NOT(ISNUMBER('Price History'!I92)),NOT(ISNUMBER('Price History'!I91)),'Price History'!I91=0),"",'Price History'!I92/'Price History'!I91-1),"")</f>
        <v>2.9245571166768292E-2</v>
      </c>
      <c r="J91" s="129">
        <f>IFERROR(IF(OR(NOT(ISNUMBER('Price History'!J92)),NOT(ISNUMBER('Price History'!J91)),'Price History'!J91=0),"",'Price History'!J92/'Price History'!J91-1),"")</f>
        <v>4.3820678513731615E-2</v>
      </c>
      <c r="K91" s="129">
        <f>IFERROR(IF(OR(NOT(ISNUMBER('Price History'!K92)),NOT(ISNUMBER('Price History'!K91)),'Price History'!K91=0),"",'Price History'!K92/'Price History'!K91-1),"")</f>
        <v>6.8688670829616383E-2</v>
      </c>
      <c r="L91" s="129">
        <f>IFERROR(IF(OR(NOT(ISNUMBER('Price History'!L92)),NOT(ISNUMBER('Price History'!L91)),'Price History'!L91=0),"",'Price History'!L92/'Price History'!L91-1),"")</f>
        <v>6.9959720161119066E-3</v>
      </c>
      <c r="M91" s="129">
        <f>IFERROR(IF(OR(NOT(ISNUMBER('Price History'!M92)),NOT(ISNUMBER('Price History'!M91)),'Price History'!M91=0),"",'Price History'!M92/'Price History'!M91-1),"")</f>
        <v>3.6456329357445139E-2</v>
      </c>
      <c r="N91" s="129">
        <f>IFERROR(IF(OR(NOT(ISNUMBER('Price History'!N92)),NOT(ISNUMBER('Price History'!N91)),'Price History'!N91=0),"",'Price History'!N92/'Price History'!N91-1),"")</f>
        <v>1.3876146788990962E-2</v>
      </c>
      <c r="O91" s="129">
        <f>IFERROR(IF(OR(NOT(ISNUMBER('Price History'!O92)),NOT(ISNUMBER('Price History'!O91)),'Price History'!O91=0),"",'Price History'!O92/'Price History'!O91-1),"")</f>
        <v>1.1741223435481896E-2</v>
      </c>
      <c r="P91" s="129">
        <f>IFERROR(IF(OR(NOT(ISNUMBER('Price History'!P92)),NOT(ISNUMBER('Price History'!P91)),'Price History'!P91=0),"",'Price History'!P92/'Price History'!P91-1),"")</f>
        <v>6.4745872450631126E-3</v>
      </c>
      <c r="Q91" s="129">
        <f>IFERROR(IF(OR(NOT(ISNUMBER('Price History'!Q92)),NOT(ISNUMBER('Price History'!Q91)),'Price History'!Q91=0),"",'Price History'!Q92/'Price History'!Q91-1),"")</f>
        <v>1.0831528078653507E-2</v>
      </c>
      <c r="R91" s="129">
        <f>IFERROR(IF(OR(NOT(ISNUMBER('Price History'!R92)),NOT(ISNUMBER('Price History'!R91)),'Price History'!R91=0),"",'Price History'!R92/'Price History'!R91-1),"")</f>
        <v>1.129177958446248E-2</v>
      </c>
      <c r="S91" s="129">
        <f>IFERROR(IF(OR(NOT(ISNUMBER('Price History'!S92)),NOT(ISNUMBER('Price History'!S91)),'Price History'!S91=0),"",'Price History'!S92/'Price History'!S91-1),"")</f>
        <v>2.4303847289186331E-2</v>
      </c>
      <c r="T91" s="129">
        <f>IFERROR(IF(OR(NOT(ISNUMBER('Price History'!T92)),NOT(ISNUMBER('Price History'!T91)),'Price History'!T91=0),"",'Price History'!T92/'Price History'!T91-1),"")</f>
        <v>7.8787878787878185E-3</v>
      </c>
      <c r="U91" s="129">
        <f>IFERROR(IF(OR(NOT(ISNUMBER('Price History'!U92)),NOT(ISNUMBER('Price History'!U91)),'Price History'!U91=0),"",'Price History'!U92/'Price History'!U91-1),"")</f>
        <v>1.1006930289441552E-2</v>
      </c>
      <c r="V91" s="130">
        <f>IFERROR(IF(OR(NOT(ISNUMBER('Price History'!V92)),NOT(ISNUMBER('Price History'!V91)),'Price History'!V91=0),"",'Price History'!V92/'Price History'!V91-1),"")</f>
        <v>3.2960127956129348E-2</v>
      </c>
      <c r="W91" s="131">
        <f>IFERROR('Price History'!B3+(INDEX('Price History'!B:B,MATCH(9.99E+307,'Returns (Calc)'!$A:$A)+1)-'Price History'!B3)*(ROW()-3)/(MATCH(9.99E+307,'Returns (Calc)'!$A:$A)-3),"")</f>
        <v>366.70265822784813</v>
      </c>
      <c r="X91" s="131">
        <f>IFERROR('Price History'!C3+(INDEX('Price History'!C:C,MATCH(9.99E+307,'Returns (Calc)'!$A:$A)+1)-'Price History'!C3)*(ROW()-3)/(MATCH(9.99E+307,'Returns (Calc)'!$A:$A)-3),"")</f>
        <v>135.94556962025317</v>
      </c>
      <c r="Y91" s="131">
        <f>IFERROR('Price History'!D3+(INDEX('Price History'!D:D,MATCH(9.99E+307,'Returns (Calc)'!$A:$A)+1)-'Price History'!D3)*(ROW()-3)/(MATCH(9.99E+307,'Returns (Calc)'!$A:$A)-3),"")</f>
        <v>1297.8732911392403</v>
      </c>
      <c r="Z91" s="131">
        <f>IFERROR('Price History'!E3+(INDEX('Price History'!E:E,MATCH(9.99E+307,'Returns (Calc)'!$A:$A)+1)-'Price History'!E3)*(ROW()-3)/(MATCH(9.99E+307,'Returns (Calc)'!$A:$A)-3),"")</f>
        <v>234.12860759493671</v>
      </c>
      <c r="AA91" s="131">
        <f>IFERROR('Price History'!F3+(INDEX('Price History'!F:F,MATCH(9.99E+307,'Returns (Calc)'!$A:$A)+1)-'Price History'!F3)*(ROW()-3)/(MATCH(9.99E+307,'Returns (Calc)'!$A:$A)-3),"")</f>
        <v>168.7260759493671</v>
      </c>
      <c r="AB91" s="131">
        <f>IFERROR('Price History'!G3+(INDEX('Price History'!G:G,MATCH(9.99E+307,'Returns (Calc)'!$A:$A)+1)-'Price History'!G3)*(ROW()-3)/(MATCH(9.99E+307,'Returns (Calc)'!$A:$A)-3),"")</f>
        <v>134.87860759493671</v>
      </c>
      <c r="AC91" s="131">
        <f>IFERROR('Price History'!H3+(INDEX('Price History'!H:H,MATCH(9.99E+307,'Returns (Calc)'!$A:$A)+1)-'Price History'!H3)*(ROW()-3)/(MATCH(9.99E+307,'Returns (Calc)'!$A:$A)-3),"")</f>
        <v>629.29126582278491</v>
      </c>
      <c r="AD91" s="131">
        <f>IFERROR('Price History'!I3+(INDEX('Price History'!I:I,MATCH(9.99E+307,'Returns (Calc)'!$A:$A)+1)-'Price History'!I3)*(ROW()-3)/(MATCH(9.99E+307,'Returns (Calc)'!$A:$A)-3),"")</f>
        <v>149.69303797468353</v>
      </c>
      <c r="AE91" s="131">
        <f>IFERROR('Price History'!J3+(INDEX('Price History'!J:J,MATCH(9.99E+307,'Returns (Calc)'!$A:$A)+1)-'Price History'!J3)*(ROW()-3)/(MATCH(9.99E+307,'Returns (Calc)'!$A:$A)-3),"")</f>
        <v>121.34734177215189</v>
      </c>
      <c r="AF91" s="131">
        <f>IFERROR('Price History'!K3+(INDEX('Price History'!K:K,MATCH(9.99E+307,'Returns (Calc)'!$A:$A)+1)-'Price History'!K3)*(ROW()-3)/(MATCH(9.99E+307,'Returns (Calc)'!$A:$A)-3),"")</f>
        <v>111.91835443037974</v>
      </c>
      <c r="AG91" s="131">
        <f>IFERROR('Price History'!L3+(INDEX('Price History'!L:L,MATCH(9.99E+307,'Returns (Calc)'!$A:$A)+1)-'Price History'!L3)*(ROW()-3)/(MATCH(9.99E+307,'Returns (Calc)'!$A:$A)-3),"")</f>
        <v>301.31101265822781</v>
      </c>
      <c r="AH91" s="131">
        <f>IFERROR('Price History'!M3+(INDEX('Price History'!M:M,MATCH(9.99E+307,'Returns (Calc)'!$A:$A)+1)-'Price History'!M3)*(ROW()-3)/(MATCH(9.99E+307,'Returns (Calc)'!$A:$A)-3),"")</f>
        <v>157.29898734177215</v>
      </c>
      <c r="AI91" s="131">
        <f>IFERROR('Price History'!N3+(INDEX('Price History'!N:N,MATCH(9.99E+307,'Returns (Calc)'!$A:$A)+1)-'Price History'!N3)*(ROW()-3)/(MATCH(9.99E+307,'Returns (Calc)'!$A:$A)-3),"")</f>
        <v>435.69139240506331</v>
      </c>
      <c r="AJ91" s="131">
        <f>IFERROR('Price History'!O3+(INDEX('Price History'!O:O,MATCH(9.99E+307,'Returns (Calc)'!$A:$A)+1)-'Price History'!O3)*(ROW()-3)/(MATCH(9.99E+307,'Returns (Calc)'!$A:$A)-3),"")</f>
        <v>100.2173417721519</v>
      </c>
      <c r="AK91" s="131">
        <f>IFERROR('Price History'!Q3+(INDEX('Price History'!Q:Q,MATCH(9.99E+307,'Returns (Calc)'!$A:$A)+1)-'Price History'!Q3)*(ROW()-3)/(MATCH(9.99E+307,'Returns (Calc)'!$A:$A)-3),"")</f>
        <v>38.664303797468357</v>
      </c>
      <c r="AL91" s="131">
        <f>IFERROR('Price History'!R3+(INDEX('Price History'!R:R,MATCH(9.99E+307,'Returns (Calc)'!$A:$A)+1)-'Price History'!R3)*(ROW()-3)/(MATCH(9.99E+307,'Returns (Calc)'!$A:$A)-3),"")</f>
        <v>49.272911392405064</v>
      </c>
      <c r="AM91" s="131">
        <f>IFERROR('Price History'!S3+(INDEX('Price History'!S:S,MATCH(9.99E+307,'Returns (Calc)'!$A:$A)+1)-'Price History'!S3)*(ROW()-3)/(MATCH(9.99E+307,'Returns (Calc)'!$A:$A)-3),"")</f>
        <v>110.87556962025316</v>
      </c>
      <c r="AN91" s="131">
        <f>IFERROR('Price History'!T3+(INDEX('Price History'!T:T,MATCH(9.99E+307,'Returns (Calc)'!$A:$A)+1)-'Price History'!T3)*(ROW()-3)/(MATCH(9.99E+307,'Returns (Calc)'!$A:$A)-3),"")</f>
        <v>40.044050632911393</v>
      </c>
      <c r="AO91" s="132">
        <f>IFERROR('Price History'!V3+(INDEX('Price History'!V:V,MATCH(9.99E+307,'Returns (Calc)'!$A:$A)+1)-'Price History'!V3)*(ROW()-3)/(MATCH(9.99E+307,'Returns (Calc)'!$A:$A)-3),"")</f>
        <v>305.2669620253165</v>
      </c>
      <c r="AP91" s="130">
        <f>IFERROR(IF(OR(NOT(ISNUMBER('Price History'!W92)),NOT(ISNUMBER('Price History'!W91)),'Price History'!W91=0),"",'Price History'!W92/'Price History'!W91-1),"")</f>
        <v>1.518367346938776E-2</v>
      </c>
      <c r="AQ91" s="130" t="str">
        <f>IFERROR(IF(OR(NOT(ISNUMBER('Price History'!X92)),NOT(ISNUMBER('Price History'!X91)),'Price History'!X91=0),"",'Price History'!X92/'Price History'!X91-1),"")</f>
        <v/>
      </c>
      <c r="AR91" s="130">
        <f>IFERROR(IF(OR(NOT(ISNUMBER('Price History'!Y92)),NOT(ISNUMBER('Price History'!Y91)),'Price History'!Y91=0),"",'Price History'!Y92/'Price History'!Y91-1),"")</f>
        <v>1.0109179134654367E-2</v>
      </c>
      <c r="AS91" s="130">
        <f>IFERROR(IF(OR(NOT(ISNUMBER('Price History'!Z92)),NOT(ISNUMBER('Price History'!Z91)),'Price History'!Z91=0),"",'Price History'!Z92/'Price History'!Z91-1),"")</f>
        <v>5.6338637149775161E-2</v>
      </c>
      <c r="AT91" s="130">
        <f>IFERROR(IF(OR(NOT(ISNUMBER('Price History'!AA92)),NOT(ISNUMBER('Price History'!AA91)),'Price History'!AA91=0),"",'Price History'!AA92/'Price History'!AA91-1),"")</f>
        <v>1.8390416736966397E-2</v>
      </c>
    </row>
    <row r="92" spans="1:46" ht="15" customHeight="1" x14ac:dyDescent="0.2">
      <c r="A92" s="128">
        <f>IF('Price History'!A93="","",'Price History'!A93)</f>
        <v>45814</v>
      </c>
      <c r="B92" s="129">
        <f>IFERROR(IF(OR(NOT(ISNUMBER('Price History'!B93)),NOT(ISNUMBER('Price History'!B92)),'Price History'!B92=0),"",'Price History'!B93/'Price History'!B92-1),"")</f>
        <v>4.4086824544076197E-3</v>
      </c>
      <c r="C92" s="129">
        <f>IFERROR(IF(OR(NOT(ISNUMBER('Price History'!C93)),NOT(ISNUMBER('Price History'!C92)),'Price History'!C92=0),"",'Price History'!C93/'Price History'!C92-1),"")</f>
        <v>0.12246075715604809</v>
      </c>
      <c r="D92" s="129">
        <f>IFERROR(IF(OR(NOT(ISNUMBER('Price History'!D93)),NOT(ISNUMBER('Price History'!D92)),'Price History'!D92=0),"",'Price History'!D93/'Price History'!D92-1),"")</f>
        <v>2.205177372962619E-2</v>
      </c>
      <c r="E92" s="129">
        <f>IFERROR(IF(OR(NOT(ISNUMBER('Price History'!E93)),NOT(ISNUMBER('Price History'!E92)),'Price History'!E92=0),"",'Price History'!E93/'Price History'!E92-1),"")</f>
        <v>2.0057665789143808E-2</v>
      </c>
      <c r="F92" s="129">
        <f>IFERROR(IF(OR(NOT(ISNUMBER('Price History'!F93)),NOT(ISNUMBER('Price History'!F92)),'Price History'!F92=0),"",'Price History'!F93/'Price History'!F92-1),"")</f>
        <v>-6.2797012898846427E-3</v>
      </c>
      <c r="G92" s="129">
        <f>IFERROR(IF(OR(NOT(ISNUMBER('Price History'!G93)),NOT(ISNUMBER('Price History'!G92)),'Price History'!G92=0),"",'Price History'!G93/'Price History'!G92-1),"")</f>
        <v>6.7492012779552635E-2</v>
      </c>
      <c r="H92" s="129">
        <f>IFERROR(IF(OR(NOT(ISNUMBER('Price History'!H93)),NOT(ISNUMBER('Price History'!H92)),'Price History'!H92=0),"",'Price History'!H93/'Price History'!H92-1),"")</f>
        <v>0.14922521757588636</v>
      </c>
      <c r="I92" s="129">
        <f>IFERROR(IF(OR(NOT(ISNUMBER('Price History'!I93)),NOT(ISNUMBER('Price History'!I92)),'Price History'!I92=0),"",'Price History'!I93/'Price History'!I92-1),"")</f>
        <v>4.874248831515704E-2</v>
      </c>
      <c r="J92" s="129">
        <f>IFERROR(IF(OR(NOT(ISNUMBER('Price History'!J93)),NOT(ISNUMBER('Price History'!J92)),'Price History'!J92=0),"",'Price History'!J93/'Price History'!J92-1),"")</f>
        <v>1.7411491584446992E-3</v>
      </c>
      <c r="K92" s="129">
        <f>IFERROR(IF(OR(NOT(ISNUMBER('Price History'!K93)),NOT(ISNUMBER('Price History'!K92)),'Price History'!K92=0),"",'Price History'!K93/'Price History'!K92-1),"")</f>
        <v>-3.0808923964182777E-2</v>
      </c>
      <c r="L92" s="129">
        <f>IFERROR(IF(OR(NOT(ISNUMBER('Price History'!L93)),NOT(ISNUMBER('Price History'!L92)),'Price History'!L92=0),"",'Price History'!L93/'Price History'!L92-1),"")</f>
        <v>6.1368421052631517E-2</v>
      </c>
      <c r="M92" s="129">
        <f>IFERROR(IF(OR(NOT(ISNUMBER('Price History'!M93)),NOT(ISNUMBER('Price History'!M92)),'Price History'!M92=0),"",'Price History'!M93/'Price History'!M92-1),"")</f>
        <v>6.8863109048723947E-2</v>
      </c>
      <c r="N92" s="129">
        <f>IFERROR(IF(OR(NOT(ISNUMBER('Price History'!N93)),NOT(ISNUMBER('Price History'!N92)),'Price History'!N92=0),"",'Price History'!N93/'Price History'!N92-1),"")</f>
        <v>1.9115484673679406E-2</v>
      </c>
      <c r="O92" s="129">
        <f>IFERROR(IF(OR(NOT(ISNUMBER('Price History'!O93)),NOT(ISNUMBER('Price History'!O92)),'Price History'!O92=0),"",'Price History'!O93/'Price History'!O92-1),"")</f>
        <v>1.8451897412092411E-2</v>
      </c>
      <c r="P92" s="129">
        <f>IFERROR(IF(OR(NOT(ISNUMBER('Price History'!P93)),NOT(ISNUMBER('Price History'!P92)),'Price History'!P92=0),"",'Price History'!P93/'Price History'!P92-1),"")</f>
        <v>3.6989385654551121E-3</v>
      </c>
      <c r="Q92" s="129">
        <f>IFERROR(IF(OR(NOT(ISNUMBER('Price History'!Q93)),NOT(ISNUMBER('Price History'!Q92)),'Price History'!Q92=0),"",'Price History'!Q93/'Price History'!Q92-1),"")</f>
        <v>9.7263435542367382E-3</v>
      </c>
      <c r="R92" s="129">
        <f>IFERROR(IF(OR(NOT(ISNUMBER('Price History'!R93)),NOT(ISNUMBER('Price History'!R92)),'Price History'!R92=0),"",'Price History'!R93/'Price History'!R92-1),"")</f>
        <v>1.3175524787851556E-2</v>
      </c>
      <c r="S92" s="129">
        <f>IFERROR(IF(OR(NOT(ISNUMBER('Price History'!S93)),NOT(ISNUMBER('Price History'!S92)),'Price History'!S92=0),"",'Price History'!S93/'Price History'!S92-1),"")</f>
        <v>1.4889529298751203E-2</v>
      </c>
      <c r="T92" s="129">
        <f>IFERROR(IF(OR(NOT(ISNUMBER('Price History'!T93)),NOT(ISNUMBER('Price History'!T92)),'Price History'!T92=0),"",'Price History'!T93/'Price History'!T92-1),"")</f>
        <v>2.3451593505712687E-2</v>
      </c>
      <c r="U92" s="129">
        <f>IFERROR(IF(OR(NOT(ISNUMBER('Price History'!U93)),NOT(ISNUMBER('Price History'!U92)),'Price History'!U92=0),"",'Price History'!U93/'Price History'!U92-1),"")</f>
        <v>1.4112903225806273E-2</v>
      </c>
      <c r="V92" s="130">
        <f>IFERROR(IF(OR(NOT(ISNUMBER('Price History'!V93)),NOT(ISNUMBER('Price History'!V92)),'Price History'!V92=0),"",'Price History'!V93/'Price History'!V92-1),"")</f>
        <v>1.3769839075374657E-2</v>
      </c>
      <c r="W92" s="131">
        <f>IFERROR('Price History'!B3+(INDEX('Price History'!B:B,MATCH(9.99E+307,'Returns (Calc)'!$A:$A)+1)-'Price History'!B3)*(ROW()-3)/(MATCH(9.99E+307,'Returns (Calc)'!$A:$A)-3),"")</f>
        <v>364.85962025316451</v>
      </c>
      <c r="X92" s="131">
        <f>IFERROR('Price History'!C3+(INDEX('Price History'!C:C,MATCH(9.99E+307,'Returns (Calc)'!$A:$A)+1)-'Price History'!C3)*(ROW()-3)/(MATCH(9.99E+307,'Returns (Calc)'!$A:$A)-3),"")</f>
        <v>136.96563291139239</v>
      </c>
      <c r="Y92" s="131">
        <f>IFERROR('Price History'!D3+(INDEX('Price History'!D:D,MATCH(9.99E+307,'Returns (Calc)'!$A:$A)+1)-'Price History'!D3)*(ROW()-3)/(MATCH(9.99E+307,'Returns (Calc)'!$A:$A)-3),"")</f>
        <v>1306.0081012658229</v>
      </c>
      <c r="Z92" s="131">
        <f>IFERROR('Price History'!E3+(INDEX('Price History'!E:E,MATCH(9.99E+307,'Returns (Calc)'!$A:$A)+1)-'Price History'!E3)*(ROW()-3)/(MATCH(9.99E+307,'Returns (Calc)'!$A:$A)-3),"")</f>
        <v>235.8573417721519</v>
      </c>
      <c r="AA92" s="131">
        <f>IFERROR('Price History'!F3+(INDEX('Price History'!F:F,MATCH(9.99E+307,'Returns (Calc)'!$A:$A)+1)-'Price History'!F3)*(ROW()-3)/(MATCH(9.99E+307,'Returns (Calc)'!$A:$A)-3),"")</f>
        <v>170.173417721519</v>
      </c>
      <c r="AB92" s="131">
        <f>IFERROR('Price History'!G3+(INDEX('Price History'!G:G,MATCH(9.99E+307,'Returns (Calc)'!$A:$A)+1)-'Price History'!G3)*(ROW()-3)/(MATCH(9.99E+307,'Returns (Calc)'!$A:$A)-3),"")</f>
        <v>135.90734177215191</v>
      </c>
      <c r="AC92" s="131">
        <f>IFERROR('Price History'!H3+(INDEX('Price History'!H:H,MATCH(9.99E+307,'Returns (Calc)'!$A:$A)+1)-'Price History'!H3)*(ROW()-3)/(MATCH(9.99E+307,'Returns (Calc)'!$A:$A)-3),"")</f>
        <v>635.6569620253166</v>
      </c>
      <c r="AD92" s="131">
        <f>IFERROR('Price History'!I3+(INDEX('Price History'!I:I,MATCH(9.99E+307,'Returns (Calc)'!$A:$A)+1)-'Price History'!I3)*(ROW()-3)/(MATCH(9.99E+307,'Returns (Calc)'!$A:$A)-3),"")</f>
        <v>150.89670886075947</v>
      </c>
      <c r="AE92" s="131">
        <f>IFERROR('Price History'!J3+(INDEX('Price History'!J:J,MATCH(9.99E+307,'Returns (Calc)'!$A:$A)+1)-'Price History'!J3)*(ROW()-3)/(MATCH(9.99E+307,'Returns (Calc)'!$A:$A)-3),"")</f>
        <v>121.45537974683545</v>
      </c>
      <c r="AF92" s="131">
        <f>IFERROR('Price History'!K3+(INDEX('Price History'!K:K,MATCH(9.99E+307,'Returns (Calc)'!$A:$A)+1)-'Price History'!K3)*(ROW()-3)/(MATCH(9.99E+307,'Returns (Calc)'!$A:$A)-3),"")</f>
        <v>113.0159493670886</v>
      </c>
      <c r="AG92" s="131">
        <f>IFERROR('Price History'!L3+(INDEX('Price History'!L:L,MATCH(9.99E+307,'Returns (Calc)'!$A:$A)+1)-'Price History'!L3)*(ROW()-3)/(MATCH(9.99E+307,'Returns (Calc)'!$A:$A)-3),"")</f>
        <v>303.76056962025314</v>
      </c>
      <c r="AH92" s="131">
        <f>IFERROR('Price History'!M3+(INDEX('Price History'!M:M,MATCH(9.99E+307,'Returns (Calc)'!$A:$A)+1)-'Price History'!M3)*(ROW()-3)/(MATCH(9.99E+307,'Returns (Calc)'!$A:$A)-3),"")</f>
        <v>158.65443037974683</v>
      </c>
      <c r="AI92" s="131">
        <f>IFERROR('Price History'!N3+(INDEX('Price History'!N:N,MATCH(9.99E+307,'Returns (Calc)'!$A:$A)+1)-'Price History'!N3)*(ROW()-3)/(MATCH(9.99E+307,'Returns (Calc)'!$A:$A)-3),"")</f>
        <v>436.6776582278481</v>
      </c>
      <c r="AJ92" s="131">
        <f>IFERROR('Price History'!O3+(INDEX('Price History'!O:O,MATCH(9.99E+307,'Returns (Calc)'!$A:$A)+1)-'Price History'!O3)*(ROW()-3)/(MATCH(9.99E+307,'Returns (Calc)'!$A:$A)-3),"")</f>
        <v>100.50037974683545</v>
      </c>
      <c r="AK92" s="131">
        <f>IFERROR('Price History'!Q3+(INDEX('Price History'!Q:Q,MATCH(9.99E+307,'Returns (Calc)'!$A:$A)+1)-'Price History'!Q3)*(ROW()-3)/(MATCH(9.99E+307,'Returns (Calc)'!$A:$A)-3),"")</f>
        <v>39.103670886075953</v>
      </c>
      <c r="AL92" s="131">
        <f>IFERROR('Price History'!R3+(INDEX('Price History'!R:R,MATCH(9.99E+307,'Returns (Calc)'!$A:$A)+1)-'Price History'!R3)*(ROW()-3)/(MATCH(9.99E+307,'Returns (Calc)'!$A:$A)-3),"")</f>
        <v>49.441012658227848</v>
      </c>
      <c r="AM92" s="131">
        <f>IFERROR('Price History'!S3+(INDEX('Price History'!S:S,MATCH(9.99E+307,'Returns (Calc)'!$A:$A)+1)-'Price History'!S3)*(ROW()-3)/(MATCH(9.99E+307,'Returns (Calc)'!$A:$A)-3),"")</f>
        <v>111.48063291139241</v>
      </c>
      <c r="AN92" s="131">
        <f>IFERROR('Price History'!T3+(INDEX('Price History'!T:T,MATCH(9.99E+307,'Returns (Calc)'!$A:$A)+1)-'Price History'!T3)*(ROW()-3)/(MATCH(9.99E+307,'Returns (Calc)'!$A:$A)-3),"")</f>
        <v>40.21227848101266</v>
      </c>
      <c r="AO92" s="132">
        <f>IFERROR('Price History'!V3+(INDEX('Price History'!V:V,MATCH(9.99E+307,'Returns (Calc)'!$A:$A)+1)-'Price History'!V3)*(ROW()-3)/(MATCH(9.99E+307,'Returns (Calc)'!$A:$A)-3),"")</f>
        <v>306.05829113924051</v>
      </c>
      <c r="AP92" s="130">
        <f>IFERROR(IF(OR(NOT(ISNUMBER('Price History'!W93)),NOT(ISNUMBER('Price History'!W92)),'Price History'!W92=0),"",'Price History'!W93/'Price History'!W92-1),"")</f>
        <v>1.1016403988420853E-2</v>
      </c>
      <c r="AQ92" s="130" t="str">
        <f>IFERROR(IF(OR(NOT(ISNUMBER('Price History'!X93)),NOT(ISNUMBER('Price History'!X92)),'Price History'!X92=0),"",'Price History'!X93/'Price History'!X92-1),"")</f>
        <v/>
      </c>
      <c r="AR92" s="130">
        <f>IFERROR(IF(OR(NOT(ISNUMBER('Price History'!Y93)),NOT(ISNUMBER('Price History'!Y92)),'Price History'!Y92=0),"",'Price History'!Y93/'Price History'!Y92-1),"")</f>
        <v>8.8070456365092475E-3</v>
      </c>
      <c r="AS92" s="130">
        <f>IFERROR(IF(OR(NOT(ISNUMBER('Price History'!Z93)),NOT(ISNUMBER('Price History'!Z92)),'Price History'!Z92=0),"",'Price History'!Z93/'Price History'!Z92-1),"")</f>
        <v>3.9539928779010358E-2</v>
      </c>
      <c r="AT92" s="130">
        <f>IFERROR(IF(OR(NOT(ISNUMBER('Price History'!AA93)),NOT(ISNUMBER('Price History'!AA92)),'Price History'!AA92=0),"",'Price History'!AA93/'Price History'!AA92-1),"")</f>
        <v>2.8412856196156522E-2</v>
      </c>
    </row>
    <row r="93" spans="1:46" ht="15" customHeight="1" x14ac:dyDescent="0.2">
      <c r="A93" s="128">
        <f>IF('Price History'!A94="","",'Price History'!A94)</f>
        <v>45821</v>
      </c>
      <c r="B93" s="129">
        <f>IFERROR(IF(OR(NOT(ISNUMBER('Price History'!B94)),NOT(ISNUMBER('Price History'!B93)),'Price History'!B93=0),"",'Price History'!B94/'Price History'!B93-1),"")</f>
        <v>-6.0539192171159995E-2</v>
      </c>
      <c r="C93" s="129">
        <f>IFERROR(IF(OR(NOT(ISNUMBER('Price History'!C94)),NOT(ISNUMBER('Price History'!C93)),'Price History'!C93=0),"",'Price History'!C94/'Price History'!C93-1),"")</f>
        <v>-5.0385604113110549E-2</v>
      </c>
      <c r="D93" s="129">
        <f>IFERROR(IF(OR(NOT(ISNUMBER('Price History'!D94)),NOT(ISNUMBER('Price History'!D93)),'Price History'!D93=0),"",'Price History'!D94/'Price History'!D93-1),"")</f>
        <v>1.060037523452162E-2</v>
      </c>
      <c r="E93" s="129">
        <f>IFERROR(IF(OR(NOT(ISNUMBER('Price History'!E94)),NOT(ISNUMBER('Price History'!E93)),'Price History'!E93=0),"",'Price History'!E94/'Price History'!E93-1),"")</f>
        <v>7.1688992667240381E-3</v>
      </c>
      <c r="F93" s="129">
        <f>IFERROR(IF(OR(NOT(ISNUMBER('Price History'!F94)),NOT(ISNUMBER('Price History'!F93)),'Price History'!F93=0),"",'Price History'!F94/'Price History'!F93-1),"")</f>
        <v>2.6046114432109357E-2</v>
      </c>
      <c r="G93" s="129">
        <f>IFERROR(IF(OR(NOT(ISNUMBER('Price History'!G94)),NOT(ISNUMBER('Price History'!G93)),'Price History'!G93=0),"",'Price History'!G94/'Price History'!G93-1),"")</f>
        <v>7.3824666417259044E-2</v>
      </c>
      <c r="H93" s="129">
        <f>IFERROR(IF(OR(NOT(ISNUMBER('Price History'!H94)),NOT(ISNUMBER('Price History'!H93)),'Price History'!H93=0),"",'Price History'!H94/'Price History'!H93-1),"")</f>
        <v>6.4924270410048113E-2</v>
      </c>
      <c r="I93" s="129">
        <f>IFERROR(IF(OR(NOT(ISNUMBER('Price History'!I94)),NOT(ISNUMBER('Price History'!I93)),'Price History'!I93=0),"",'Price History'!I94/'Price History'!I93-1),"")</f>
        <v>1.8392756083758233E-3</v>
      </c>
      <c r="J93" s="129">
        <f>IFERROR(IF(OR(NOT(ISNUMBER('Price History'!J94)),NOT(ISNUMBER('Price History'!J93)),'Price History'!J93=0),"",'Price History'!J94/'Price History'!J93-1),"")</f>
        <v>-1.3904982618771711E-2</v>
      </c>
      <c r="K93" s="129">
        <f>IFERROR(IF(OR(NOT(ISNUMBER('Price History'!K94)),NOT(ISNUMBER('Price History'!K93)),'Price History'!K93=0),"",'Price History'!K94/'Price History'!K93-1),"")</f>
        <v>7.5790792358283898E-2</v>
      </c>
      <c r="L93" s="129">
        <f>IFERROR(IF(OR(NOT(ISNUMBER('Price History'!L94)),NOT(ISNUMBER('Price History'!L93)),'Price History'!L93=0),"",'Price History'!L94/'Price History'!L93-1),"")</f>
        <v>3.2579589407914389E-2</v>
      </c>
      <c r="M93" s="129">
        <f>IFERROR(IF(OR(NOT(ISNUMBER('Price History'!M94)),NOT(ISNUMBER('Price History'!M93)),'Price History'!M93=0),"",'Price History'!M94/'Price History'!M93-1),"")</f>
        <v>-3.8117565338195769E-2</v>
      </c>
      <c r="N93" s="129">
        <f>IFERROR(IF(OR(NOT(ISNUMBER('Price History'!N94)),NOT(ISNUMBER('Price History'!N93)),'Price History'!N93=0),"",'Price History'!N94/'Price History'!N93-1),"")</f>
        <v>1.0987791342952358E-2</v>
      </c>
      <c r="O93" s="129">
        <f>IFERROR(IF(OR(NOT(ISNUMBER('Price History'!O94)),NOT(ISNUMBER('Price History'!O93)),'Price History'!O93=0),"",'Price History'!O94/'Price History'!O93-1),"")</f>
        <v>-6.0391978122151802E-3</v>
      </c>
      <c r="P93" s="129">
        <f>IFERROR(IF(OR(NOT(ISNUMBER('Price History'!P94)),NOT(ISNUMBER('Price History'!P93)),'Price History'!P93=0),"",'Price History'!P94/'Price History'!P93-1),"")</f>
        <v>-3.5250761095978467E-3</v>
      </c>
      <c r="Q93" s="129">
        <f>IFERROR(IF(OR(NOT(ISNUMBER('Price History'!Q94)),NOT(ISNUMBER('Price History'!Q93)),'Price History'!Q93=0),"",'Price History'!Q94/'Price History'!Q93-1),"")</f>
        <v>-1.6326530612242873E-4</v>
      </c>
      <c r="R93" s="129">
        <f>IFERROR(IF(OR(NOT(ISNUMBER('Price History'!R94)),NOT(ISNUMBER('Price History'!R93)),'Price History'!R93=0),"",'Price History'!R94/'Price History'!R93-1),"")</f>
        <v>-1.9836896627726253E-3</v>
      </c>
      <c r="S93" s="129">
        <f>IFERROR(IF(OR(NOT(ISNUMBER('Price History'!S94)),NOT(ISNUMBER('Price History'!S93)),'Price History'!S93=0),"",'Price History'!S94/'Price History'!S93-1),"")</f>
        <v>-7.0989115002366709E-3</v>
      </c>
      <c r="T93" s="129">
        <f>IFERROR(IF(OR(NOT(ISNUMBER('Price History'!T94)),NOT(ISNUMBER('Price History'!T93)),'Price History'!T93=0),"",'Price History'!T94/'Price History'!T93-1),"")</f>
        <v>1.3219741480611225E-2</v>
      </c>
      <c r="U93" s="129">
        <f>IFERROR(IF(OR(NOT(ISNUMBER('Price History'!U94)),NOT(ISNUMBER('Price History'!U93)),'Price History'!U93=0),"",'Price History'!U94/'Price History'!U93-1),"")</f>
        <v>1.3518886679920517E-2</v>
      </c>
      <c r="V93" s="130">
        <f>IFERROR(IF(OR(NOT(ISNUMBER('Price History'!V94)),NOT(ISNUMBER('Price History'!V93)),'Price History'!V93=0),"",'Price History'!V94/'Price History'!V93-1),"")</f>
        <v>-4.691250272747105E-2</v>
      </c>
      <c r="W93" s="131">
        <f>IFERROR('Price History'!B3+(INDEX('Price History'!B:B,MATCH(9.99E+307,'Returns (Calc)'!$A:$A)+1)-'Price History'!B3)*(ROW()-3)/(MATCH(9.99E+307,'Returns (Calc)'!$A:$A)-3),"")</f>
        <v>363.016582278481</v>
      </c>
      <c r="X93" s="131">
        <f>IFERROR('Price History'!C3+(INDEX('Price History'!C:C,MATCH(9.99E+307,'Returns (Calc)'!$A:$A)+1)-'Price History'!C3)*(ROW()-3)/(MATCH(9.99E+307,'Returns (Calc)'!$A:$A)-3),"")</f>
        <v>137.98569620253164</v>
      </c>
      <c r="Y93" s="131">
        <f>IFERROR('Price History'!D3+(INDEX('Price History'!D:D,MATCH(9.99E+307,'Returns (Calc)'!$A:$A)+1)-'Price History'!D3)*(ROW()-3)/(MATCH(9.99E+307,'Returns (Calc)'!$A:$A)-3),"")</f>
        <v>1314.142911392405</v>
      </c>
      <c r="Z93" s="131">
        <f>IFERROR('Price History'!E3+(INDEX('Price History'!E:E,MATCH(9.99E+307,'Returns (Calc)'!$A:$A)+1)-'Price History'!E3)*(ROW()-3)/(MATCH(9.99E+307,'Returns (Calc)'!$A:$A)-3),"")</f>
        <v>237.58607594936709</v>
      </c>
      <c r="AA93" s="131">
        <f>IFERROR('Price History'!F3+(INDEX('Price History'!F:F,MATCH(9.99E+307,'Returns (Calc)'!$A:$A)+1)-'Price History'!F3)*(ROW()-3)/(MATCH(9.99E+307,'Returns (Calc)'!$A:$A)-3),"")</f>
        <v>171.6207594936709</v>
      </c>
      <c r="AB93" s="131">
        <f>IFERROR('Price History'!G3+(INDEX('Price History'!G:G,MATCH(9.99E+307,'Returns (Calc)'!$A:$A)+1)-'Price History'!G3)*(ROW()-3)/(MATCH(9.99E+307,'Returns (Calc)'!$A:$A)-3),"")</f>
        <v>136.93607594936708</v>
      </c>
      <c r="AC93" s="131">
        <f>IFERROR('Price History'!H3+(INDEX('Price History'!H:H,MATCH(9.99E+307,'Returns (Calc)'!$A:$A)+1)-'Price History'!H3)*(ROW()-3)/(MATCH(9.99E+307,'Returns (Calc)'!$A:$A)-3),"")</f>
        <v>642.02265822784818</v>
      </c>
      <c r="AD93" s="131">
        <f>IFERROR('Price History'!I3+(INDEX('Price History'!I:I,MATCH(9.99E+307,'Returns (Calc)'!$A:$A)+1)-'Price History'!I3)*(ROW()-3)/(MATCH(9.99E+307,'Returns (Calc)'!$A:$A)-3),"")</f>
        <v>152.10037974683542</v>
      </c>
      <c r="AE93" s="131">
        <f>IFERROR('Price History'!J3+(INDEX('Price History'!J:J,MATCH(9.99E+307,'Returns (Calc)'!$A:$A)+1)-'Price History'!J3)*(ROW()-3)/(MATCH(9.99E+307,'Returns (Calc)'!$A:$A)-3),"")</f>
        <v>121.56341772151899</v>
      </c>
      <c r="AF93" s="131">
        <f>IFERROR('Price History'!K3+(INDEX('Price History'!K:K,MATCH(9.99E+307,'Returns (Calc)'!$A:$A)+1)-'Price History'!K3)*(ROW()-3)/(MATCH(9.99E+307,'Returns (Calc)'!$A:$A)-3),"")</f>
        <v>114.11354430379747</v>
      </c>
      <c r="AG93" s="131">
        <f>IFERROR('Price History'!L3+(INDEX('Price History'!L:L,MATCH(9.99E+307,'Returns (Calc)'!$A:$A)+1)-'Price History'!L3)*(ROW()-3)/(MATCH(9.99E+307,'Returns (Calc)'!$A:$A)-3),"")</f>
        <v>306.21012658227846</v>
      </c>
      <c r="AH93" s="131">
        <f>IFERROR('Price History'!M3+(INDEX('Price History'!M:M,MATCH(9.99E+307,'Returns (Calc)'!$A:$A)+1)-'Price History'!M3)*(ROW()-3)/(MATCH(9.99E+307,'Returns (Calc)'!$A:$A)-3),"")</f>
        <v>160.00987341772154</v>
      </c>
      <c r="AI93" s="131">
        <f>IFERROR('Price History'!N3+(INDEX('Price History'!N:N,MATCH(9.99E+307,'Returns (Calc)'!$A:$A)+1)-'Price History'!N3)*(ROW()-3)/(MATCH(9.99E+307,'Returns (Calc)'!$A:$A)-3),"")</f>
        <v>437.66392405063289</v>
      </c>
      <c r="AJ93" s="131">
        <f>IFERROR('Price History'!O3+(INDEX('Price History'!O:O,MATCH(9.99E+307,'Returns (Calc)'!$A:$A)+1)-'Price History'!O3)*(ROW()-3)/(MATCH(9.99E+307,'Returns (Calc)'!$A:$A)-3),"")</f>
        <v>100.78341772151899</v>
      </c>
      <c r="AK93" s="131">
        <f>IFERROR('Price History'!Q3+(INDEX('Price History'!Q:Q,MATCH(9.99E+307,'Returns (Calc)'!$A:$A)+1)-'Price History'!Q3)*(ROW()-3)/(MATCH(9.99E+307,'Returns (Calc)'!$A:$A)-3),"")</f>
        <v>39.543037974683543</v>
      </c>
      <c r="AL93" s="131">
        <f>IFERROR('Price History'!R3+(INDEX('Price History'!R:R,MATCH(9.99E+307,'Returns (Calc)'!$A:$A)+1)-'Price History'!R3)*(ROW()-3)/(MATCH(9.99E+307,'Returns (Calc)'!$A:$A)-3),"")</f>
        <v>49.609113924050632</v>
      </c>
      <c r="AM93" s="131">
        <f>IFERROR('Price History'!S3+(INDEX('Price History'!S:S,MATCH(9.99E+307,'Returns (Calc)'!$A:$A)+1)-'Price History'!S3)*(ROW()-3)/(MATCH(9.99E+307,'Returns (Calc)'!$A:$A)-3),"")</f>
        <v>112.08569620253165</v>
      </c>
      <c r="AN93" s="131">
        <f>IFERROR('Price History'!T3+(INDEX('Price History'!T:T,MATCH(9.99E+307,'Returns (Calc)'!$A:$A)+1)-'Price History'!T3)*(ROW()-3)/(MATCH(9.99E+307,'Returns (Calc)'!$A:$A)-3),"")</f>
        <v>40.380506329113928</v>
      </c>
      <c r="AO93" s="132">
        <f>IFERROR('Price History'!V3+(INDEX('Price History'!V:V,MATCH(9.99E+307,'Returns (Calc)'!$A:$A)+1)-'Price History'!V3)*(ROW()-3)/(MATCH(9.99E+307,'Returns (Calc)'!$A:$A)-3),"")</f>
        <v>306.84962025316457</v>
      </c>
      <c r="AP93" s="130">
        <f>IFERROR(IF(OR(NOT(ISNUMBER('Price History'!W94)),NOT(ISNUMBER('Price History'!W93)),'Price History'!W93=0),"",'Price History'!W94/'Price History'!W93-1),"")</f>
        <v>7.158196134573469E-4</v>
      </c>
      <c r="AQ93" s="130" t="str">
        <f>IFERROR(IF(OR(NOT(ISNUMBER('Price History'!X94)),NOT(ISNUMBER('Price History'!X93)),'Price History'!X93=0),"",'Price History'!X94/'Price History'!X93-1),"")</f>
        <v/>
      </c>
      <c r="AR93" s="130">
        <f>IFERROR(IF(OR(NOT(ISNUMBER('Price History'!Y94)),NOT(ISNUMBER('Price History'!Y93)),'Price History'!Y93=0),"",'Price History'!Y94/'Price History'!Y93-1),"")</f>
        <v>0</v>
      </c>
      <c r="AS93" s="130">
        <f>IFERROR(IF(OR(NOT(ISNUMBER('Price History'!Z94)),NOT(ISNUMBER('Price History'!Z93)),'Price History'!Z93=0),"",'Price History'!Z94/'Price History'!Z93-1),"")</f>
        <v>-7.4457613103909859E-2</v>
      </c>
      <c r="AT93" s="130">
        <f>IFERROR(IF(OR(NOT(ISNUMBER('Price History'!AA94)),NOT(ISNUMBER('Price History'!AA93)),'Price History'!AA93=0),"",'Price History'!AA94/'Price History'!AA93-1),"")</f>
        <v>-2.3681031010874043E-2</v>
      </c>
    </row>
    <row r="94" spans="1:46" ht="15" customHeight="1" x14ac:dyDescent="0.2">
      <c r="A94" s="128">
        <f>IF('Price History'!A95="","",'Price History'!A95)</f>
        <v>45828</v>
      </c>
      <c r="B94" s="129">
        <f>IFERROR(IF(OR(NOT(ISNUMBER('Price History'!B95)),NOT(ISNUMBER('Price History'!B94)),'Price History'!B94=0),"",'Price History'!B95/'Price History'!B94-1),"")</f>
        <v>-3.7683823529411686E-2</v>
      </c>
      <c r="C94" s="129">
        <f>IFERROR(IF(OR(NOT(ISNUMBER('Price History'!C95)),NOT(ISNUMBER('Price History'!C94)),'Price History'!C94=0),"",'Price History'!C95/'Price History'!C94-1),"")</f>
        <v>-6.6053059014618221E-2</v>
      </c>
      <c r="D94" s="129">
        <f>IFERROR(IF(OR(NOT(ISNUMBER('Price History'!D95)),NOT(ISNUMBER('Price History'!D94)),'Price History'!D94=0),"",'Price History'!D95/'Price History'!D94-1),"")</f>
        <v>-5.8744745461538628E-3</v>
      </c>
      <c r="E94" s="129">
        <f>IFERROR(IF(OR(NOT(ISNUMBER('Price History'!E95)),NOT(ISNUMBER('Price History'!E94)),'Price History'!E94=0),"",'Price History'!E95/'Price History'!E94-1),"")</f>
        <v>7.5652810542583548E-3</v>
      </c>
      <c r="F94" s="129">
        <f>IFERROR(IF(OR(NOT(ISNUMBER('Price History'!F95)),NOT(ISNUMBER('Price History'!F94)),'Price History'!F94=0),"",'Price History'!F95/'Price History'!F94-1),"")</f>
        <v>-8.9887640449439754E-3</v>
      </c>
      <c r="G94" s="129">
        <f>IFERROR(IF(OR(NOT(ISNUMBER('Price History'!G95)),NOT(ISNUMBER('Price History'!G94)),'Price History'!G94=0),"",'Price History'!G95/'Price History'!G94-1),"")</f>
        <v>-2.0322842875391989E-2</v>
      </c>
      <c r="H94" s="129">
        <f>IFERROR(IF(OR(NOT(ISNUMBER('Price History'!H95)),NOT(ISNUMBER('Price History'!H94)),'Price History'!H94=0),"",'Price History'!H95/'Price History'!H94-1),"")</f>
        <v>6.9204752406556214E-2</v>
      </c>
      <c r="I94" s="129">
        <f>IFERROR(IF(OR(NOT(ISNUMBER('Price History'!I95)),NOT(ISNUMBER('Price History'!I94)),'Price History'!I94=0),"",'Price History'!I95/'Price History'!I94-1),"")</f>
        <v>1.3274961163677323E-2</v>
      </c>
      <c r="J94" s="129">
        <f>IFERROR(IF(OR(NOT(ISNUMBER('Price History'!J95)),NOT(ISNUMBER('Price History'!J94)),'Price History'!J94=0),"",'Price History'!J95/'Price History'!J94-1),"")</f>
        <v>-5.3858206032120215E-3</v>
      </c>
      <c r="K94" s="129">
        <f>IFERROR(IF(OR(NOT(ISNUMBER('Price History'!K95)),NOT(ISNUMBER('Price History'!K94)),'Price History'!K94=0),"",'Price History'!K95/'Price History'!K94-1),"")</f>
        <v>-7.2780203784561515E-4</v>
      </c>
      <c r="L94" s="129">
        <f>IFERROR(IF(OR(NOT(ISNUMBER('Price History'!L95)),NOT(ISNUMBER('Price History'!L94)),'Price History'!L94=0),"",'Price History'!L95/'Price History'!L94-1),"")</f>
        <v>-7.5397397108966091E-3</v>
      </c>
      <c r="M94" s="129">
        <f>IFERROR(IF(OR(NOT(ISNUMBER('Price History'!M95)),NOT(ISNUMBER('Price History'!M94)),'Price History'!M94=0),"",'Price History'!M95/'Price History'!M94-1),"")</f>
        <v>6.8604441234879854E-2</v>
      </c>
      <c r="N94" s="129">
        <f>IFERROR(IF(OR(NOT(ISNUMBER('Price History'!N95)),NOT(ISNUMBER('Price History'!N94)),'Price History'!N94=0),"",'Price History'!N95/'Price History'!N94-1),"")</f>
        <v>-3.2012295531891555E-2</v>
      </c>
      <c r="O94" s="129">
        <f>IFERROR(IF(OR(NOT(ISNUMBER('Price History'!O95)),NOT(ISNUMBER('Price History'!O94)),'Price History'!O94=0),"",'Price History'!O95/'Price History'!O94-1),"")</f>
        <v>1.7195918835262169E-3</v>
      </c>
      <c r="P94" s="129">
        <f>IFERROR(IF(OR(NOT(ISNUMBER('Price History'!P95)),NOT(ISNUMBER('Price History'!P94)),'Price History'!P94=0),"",'Price History'!P95/'Price History'!P94-1),"")</f>
        <v>2.9747547837273292E-3</v>
      </c>
      <c r="Q94" s="129">
        <f>IFERROR(IF(OR(NOT(ISNUMBER('Price History'!Q95)),NOT(ISNUMBER('Price History'!Q94)),'Price History'!Q94=0),"",'Price History'!Q95/'Price History'!Q94-1),"")</f>
        <v>8.1645983017630819E-4</v>
      </c>
      <c r="R94" s="129">
        <f>IFERROR(IF(OR(NOT(ISNUMBER('Price History'!R95)),NOT(ISNUMBER('Price History'!R94)),'Price History'!R94=0),"",'Price History'!R95/'Price History'!R94-1),"")</f>
        <v>3.0918727915194566E-3</v>
      </c>
      <c r="S94" s="129">
        <f>IFERROR(IF(OR(NOT(ISNUMBER('Price History'!S95)),NOT(ISNUMBER('Price History'!S94)),'Price History'!S94=0),"",'Price History'!S95/'Price History'!S94-1),"")</f>
        <v>7.0543374642515477E-3</v>
      </c>
      <c r="T94" s="129">
        <f>IFERROR(IF(OR(NOT(ISNUMBER('Price History'!T95)),NOT(ISNUMBER('Price History'!T94)),'Price History'!T94=0),"",'Price History'!T95/'Price History'!T94-1),"")</f>
        <v>-1.1597564511451885E-3</v>
      </c>
      <c r="U94" s="129">
        <f>IFERROR(IF(OR(NOT(ISNUMBER('Price History'!U95)),NOT(ISNUMBER('Price History'!U94)),'Price History'!U94=0),"",'Price History'!U95/'Price History'!U94-1),"")</f>
        <v>-7.4539034915652724E-3</v>
      </c>
      <c r="V94" s="130">
        <f>IFERROR(IF(OR(NOT(ISNUMBER('Price History'!V95)),NOT(ISNUMBER('Price History'!V94)),'Price History'!V94=0),"",'Price History'!V95/'Price History'!V94-1),"")</f>
        <v>-4.0493360805860745E-2</v>
      </c>
      <c r="W94" s="131">
        <f>IFERROR('Price History'!B3+(INDEX('Price History'!B:B,MATCH(9.99E+307,'Returns (Calc)'!$A:$A)+1)-'Price History'!B3)*(ROW()-3)/(MATCH(9.99E+307,'Returns (Calc)'!$A:$A)-3),"")</f>
        <v>361.17354430379748</v>
      </c>
      <c r="X94" s="131">
        <f>IFERROR('Price History'!C3+(INDEX('Price History'!C:C,MATCH(9.99E+307,'Returns (Calc)'!$A:$A)+1)-'Price History'!C3)*(ROW()-3)/(MATCH(9.99E+307,'Returns (Calc)'!$A:$A)-3),"")</f>
        <v>139.00575949367089</v>
      </c>
      <c r="Y94" s="131">
        <f>IFERROR('Price History'!D3+(INDEX('Price History'!D:D,MATCH(9.99E+307,'Returns (Calc)'!$A:$A)+1)-'Price History'!D3)*(ROW()-3)/(MATCH(9.99E+307,'Returns (Calc)'!$A:$A)-3),"")</f>
        <v>1322.2777215189874</v>
      </c>
      <c r="Z94" s="131">
        <f>IFERROR('Price History'!E3+(INDEX('Price History'!E:E,MATCH(9.99E+307,'Returns (Calc)'!$A:$A)+1)-'Price History'!E3)*(ROW()-3)/(MATCH(9.99E+307,'Returns (Calc)'!$A:$A)-3),"")</f>
        <v>239.31481012658227</v>
      </c>
      <c r="AA94" s="131">
        <f>IFERROR('Price History'!F3+(INDEX('Price History'!F:F,MATCH(9.99E+307,'Returns (Calc)'!$A:$A)+1)-'Price History'!F3)*(ROW()-3)/(MATCH(9.99E+307,'Returns (Calc)'!$A:$A)-3),"")</f>
        <v>173.0681012658228</v>
      </c>
      <c r="AB94" s="131">
        <f>IFERROR('Price History'!G3+(INDEX('Price History'!G:G,MATCH(9.99E+307,'Returns (Calc)'!$A:$A)+1)-'Price History'!G3)*(ROW()-3)/(MATCH(9.99E+307,'Returns (Calc)'!$A:$A)-3),"")</f>
        <v>137.96481012658228</v>
      </c>
      <c r="AC94" s="131">
        <f>IFERROR('Price History'!H3+(INDEX('Price History'!H:H,MATCH(9.99E+307,'Returns (Calc)'!$A:$A)+1)-'Price History'!H3)*(ROW()-3)/(MATCH(9.99E+307,'Returns (Calc)'!$A:$A)-3),"")</f>
        <v>648.38835443037988</v>
      </c>
      <c r="AD94" s="131">
        <f>IFERROR('Price History'!I3+(INDEX('Price History'!I:I,MATCH(9.99E+307,'Returns (Calc)'!$A:$A)+1)-'Price History'!I3)*(ROW()-3)/(MATCH(9.99E+307,'Returns (Calc)'!$A:$A)-3),"")</f>
        <v>153.30405063291138</v>
      </c>
      <c r="AE94" s="131">
        <f>IFERROR('Price History'!J3+(INDEX('Price History'!J:J,MATCH(9.99E+307,'Returns (Calc)'!$A:$A)+1)-'Price History'!J3)*(ROW()-3)/(MATCH(9.99E+307,'Returns (Calc)'!$A:$A)-3),"")</f>
        <v>121.67145569620253</v>
      </c>
      <c r="AF94" s="131">
        <f>IFERROR('Price History'!K3+(INDEX('Price History'!K:K,MATCH(9.99E+307,'Returns (Calc)'!$A:$A)+1)-'Price History'!K3)*(ROW()-3)/(MATCH(9.99E+307,'Returns (Calc)'!$A:$A)-3),"")</f>
        <v>115.21113924050633</v>
      </c>
      <c r="AG94" s="131">
        <f>IFERROR('Price History'!L3+(INDEX('Price History'!L:L,MATCH(9.99E+307,'Returns (Calc)'!$A:$A)+1)-'Price History'!L3)*(ROW()-3)/(MATCH(9.99E+307,'Returns (Calc)'!$A:$A)-3),"")</f>
        <v>308.65968354430379</v>
      </c>
      <c r="AH94" s="131">
        <f>IFERROR('Price History'!M3+(INDEX('Price History'!M:M,MATCH(9.99E+307,'Returns (Calc)'!$A:$A)+1)-'Price History'!M3)*(ROW()-3)/(MATCH(9.99E+307,'Returns (Calc)'!$A:$A)-3),"")</f>
        <v>161.36531645569622</v>
      </c>
      <c r="AI94" s="131">
        <f>IFERROR('Price History'!N3+(INDEX('Price History'!N:N,MATCH(9.99E+307,'Returns (Calc)'!$A:$A)+1)-'Price History'!N3)*(ROW()-3)/(MATCH(9.99E+307,'Returns (Calc)'!$A:$A)-3),"")</f>
        <v>438.65018987341773</v>
      </c>
      <c r="AJ94" s="131">
        <f>IFERROR('Price History'!O3+(INDEX('Price History'!O:O,MATCH(9.99E+307,'Returns (Calc)'!$A:$A)+1)-'Price History'!O3)*(ROW()-3)/(MATCH(9.99E+307,'Returns (Calc)'!$A:$A)-3),"")</f>
        <v>101.06645569620254</v>
      </c>
      <c r="AK94" s="131">
        <f>IFERROR('Price History'!Q3+(INDEX('Price History'!Q:Q,MATCH(9.99E+307,'Returns (Calc)'!$A:$A)+1)-'Price History'!Q3)*(ROW()-3)/(MATCH(9.99E+307,'Returns (Calc)'!$A:$A)-3),"")</f>
        <v>39.982405063291139</v>
      </c>
      <c r="AL94" s="131">
        <f>IFERROR('Price History'!R3+(INDEX('Price History'!R:R,MATCH(9.99E+307,'Returns (Calc)'!$A:$A)+1)-'Price History'!R3)*(ROW()-3)/(MATCH(9.99E+307,'Returns (Calc)'!$A:$A)-3),"")</f>
        <v>49.777215189873417</v>
      </c>
      <c r="AM94" s="131">
        <f>IFERROR('Price History'!S3+(INDEX('Price History'!S:S,MATCH(9.99E+307,'Returns (Calc)'!$A:$A)+1)-'Price History'!S3)*(ROW()-3)/(MATCH(9.99E+307,'Returns (Calc)'!$A:$A)-3),"")</f>
        <v>112.6907594936709</v>
      </c>
      <c r="AN94" s="131">
        <f>IFERROR('Price History'!T3+(INDEX('Price History'!T:T,MATCH(9.99E+307,'Returns (Calc)'!$A:$A)+1)-'Price History'!T3)*(ROW()-3)/(MATCH(9.99E+307,'Returns (Calc)'!$A:$A)-3),"")</f>
        <v>40.548734177215188</v>
      </c>
      <c r="AO94" s="132">
        <f>IFERROR('Price History'!V3+(INDEX('Price History'!V:V,MATCH(9.99E+307,'Returns (Calc)'!$A:$A)+1)-'Price History'!V3)*(ROW()-3)/(MATCH(9.99E+307,'Returns (Calc)'!$A:$A)-3),"")</f>
        <v>307.64094936708864</v>
      </c>
      <c r="AP94" s="130">
        <f>IFERROR(IF(OR(NOT(ISNUMBER('Price History'!W95)),NOT(ISNUMBER('Price History'!W94)),'Price History'!W94=0),"",'Price History'!W95/'Price History'!W94-1),"")</f>
        <v>-3.9739310125574967E-4</v>
      </c>
      <c r="AQ94" s="130" t="str">
        <f>IFERROR(IF(OR(NOT(ISNUMBER('Price History'!X95)),NOT(ISNUMBER('Price History'!X94)),'Price History'!X94=0),"",'Price History'!X95/'Price History'!X94-1),"")</f>
        <v/>
      </c>
      <c r="AR94" s="130">
        <f>IFERROR(IF(OR(NOT(ISNUMBER('Price History'!Y95)),NOT(ISNUMBER('Price History'!Y94)),'Price History'!Y94=0),"",'Price History'!Y95/'Price History'!Y94-1),"")</f>
        <v>-5.1587301587301404E-3</v>
      </c>
      <c r="AS94" s="130">
        <f>IFERROR(IF(OR(NOT(ISNUMBER('Price History'!Z95)),NOT(ISNUMBER('Price History'!Z94)),'Price History'!Z94=0),"",'Price History'!Z95/'Price History'!Z94-1),"")</f>
        <v>1.1699140644941819E-2</v>
      </c>
      <c r="AT94" s="130">
        <f>IFERROR(IF(OR(NOT(ISNUMBER('Price History'!AA95)),NOT(ISNUMBER('Price History'!AA94)),'Price History'!AA94=0),"",'Price History'!AA95/'Price History'!AA94-1),"")</f>
        <v>1.5922778648626457E-2</v>
      </c>
    </row>
    <row r="95" spans="1:46" ht="15" customHeight="1" x14ac:dyDescent="0.2">
      <c r="A95" s="128">
        <f>IF('Price History'!A96="","",'Price History'!A96)</f>
        <v>45835</v>
      </c>
      <c r="B95" s="129">
        <f>IFERROR(IF(OR(NOT(ISNUMBER('Price History'!B96)),NOT(ISNUMBER('Price History'!B95)),'Price History'!B95=0),"",'Price History'!B96/'Price History'!B95-1),"")</f>
        <v>2.3638968481375366E-2</v>
      </c>
      <c r="C95" s="129">
        <f>IFERROR(IF(OR(NOT(ISNUMBER('Price History'!C96)),NOT(ISNUMBER('Price History'!C95)),'Price History'!C95=0),"",'Price History'!C96/'Price History'!C95-1),"")</f>
        <v>0.15234782608695663</v>
      </c>
      <c r="D95" s="129">
        <f>IFERROR(IF(OR(NOT(ISNUMBER('Price History'!D96)),NOT(ISNUMBER('Price History'!D95)),'Price History'!D95=0),"",'Price History'!D96/'Price History'!D95-1),"")</f>
        <v>5.2102230284921669E-2</v>
      </c>
      <c r="E95" s="129">
        <f>IFERROR(IF(OR(NOT(ISNUMBER('Price History'!E96)),NOT(ISNUMBER('Price History'!E95)),'Price History'!E95=0),"",'Price History'!E96/'Price History'!E95-1),"")</f>
        <v>7.7426126271596951E-2</v>
      </c>
      <c r="F95" s="129">
        <f>IFERROR(IF(OR(NOT(ISNUMBER('Price History'!F96)),NOT(ISNUMBER('Price History'!F95)),'Price History'!F95=0),"",'Price History'!F96/'Price History'!F95-1),"")</f>
        <v>4.837490551776269E-2</v>
      </c>
      <c r="G95" s="129">
        <f>IFERROR(IF(OR(NOT(ISNUMBER('Price History'!G96)),NOT(ISNUMBER('Price History'!G95)),'Price History'!G95=0),"",'Price History'!G96/'Price History'!G95-1),"")</f>
        <v>4.6941678520625807E-2</v>
      </c>
      <c r="H95" s="129">
        <f>IFERROR(IF(OR(NOT(ISNUMBER('Price History'!H96)),NOT(ISNUMBER('Price History'!H95)),'Price History'!H95=0),"",'Price History'!H96/'Price History'!H95-1),"")</f>
        <v>9.3276015897476583E-3</v>
      </c>
      <c r="I95" s="129">
        <f>IFERROR(IF(OR(NOT(ISNUMBER('Price History'!I96)),NOT(ISNUMBER('Price History'!I95)),'Price History'!I95=0),"",'Price History'!I96/'Price History'!I95-1),"")</f>
        <v>9.6585365853658622E-2</v>
      </c>
      <c r="J95" s="129">
        <f>IFERROR(IF(OR(NOT(ISNUMBER('Price History'!J96)),NOT(ISNUMBER('Price History'!J95)),'Price History'!J95=0),"",'Price History'!J96/'Price History'!J95-1),"")</f>
        <v>-6.8917987594752095E-4</v>
      </c>
      <c r="K95" s="129">
        <f>IFERROR(IF(OR(NOT(ISNUMBER('Price History'!K96)),NOT(ISNUMBER('Price History'!K95)),'Price History'!K95=0),"",'Price History'!K96/'Price History'!K95-1),"")</f>
        <v>-4.7778587035688269E-2</v>
      </c>
      <c r="L95" s="129">
        <f>IFERROR(IF(OR(NOT(ISNUMBER('Price History'!L96)),NOT(ISNUMBER('Price History'!L95)),'Price History'!L95=0),"",'Price History'!L96/'Price History'!L95-1),"")</f>
        <v>9.0970676473434597E-2</v>
      </c>
      <c r="M95" s="129">
        <f>IFERROR(IF(OR(NOT(ISNUMBER('Price History'!M96)),NOT(ISNUMBER('Price History'!M95)),'Price History'!M95=0),"",'Price History'!M96/'Price History'!M95-1),"")</f>
        <v>7.2731880385200176E-2</v>
      </c>
      <c r="N95" s="129">
        <f>IFERROR(IF(OR(NOT(ISNUMBER('Price History'!N96)),NOT(ISNUMBER('Price History'!N95)),'Price History'!N95=0),"",'Price History'!N96/'Price History'!N95-1),"")</f>
        <v>9.7534420577494174E-4</v>
      </c>
      <c r="O95" s="129">
        <f>IFERROR(IF(OR(NOT(ISNUMBER('Price History'!O96)),NOT(ISNUMBER('Price History'!O95)),'Price History'!O95=0),"",'Price History'!O96/'Price History'!O95-1),"")</f>
        <v>2.5520714122224897E-2</v>
      </c>
      <c r="P95" s="129">
        <f>IFERROR(IF(OR(NOT(ISNUMBER('Price History'!P96)),NOT(ISNUMBER('Price History'!P95)),'Price History'!P95=0),"",'Price History'!P96/'Price History'!P95-1),"")</f>
        <v>1.3787575150300491E-2</v>
      </c>
      <c r="Q95" s="129">
        <f>IFERROR(IF(OR(NOT(ISNUMBER('Price History'!Q96)),NOT(ISNUMBER('Price History'!Q95)),'Price History'!Q95=0),"",'Price History'!Q96/'Price History'!Q95-1),"")</f>
        <v>1.2400065263501459E-2</v>
      </c>
      <c r="R95" s="129">
        <f>IFERROR(IF(OR(NOT(ISNUMBER('Price History'!R96)),NOT(ISNUMBER('Price History'!R95)),'Price History'!R95=0),"",'Price History'!R96/'Price History'!R95-1),"")</f>
        <v>2.8841919859092791E-2</v>
      </c>
      <c r="S95" s="129">
        <f>IFERROR(IF(OR(NOT(ISNUMBER('Price History'!S96)),NOT(ISNUMBER('Price History'!S95)),'Price History'!S95=0),"",'Price History'!S96/'Price History'!S95-1),"")</f>
        <v>4.8182506626277988E-2</v>
      </c>
      <c r="T95" s="129">
        <f>IFERROR(IF(OR(NOT(ISNUMBER('Price History'!T96)),NOT(ISNUMBER('Price History'!T95)),'Price History'!T95=0),"",'Price History'!T96/'Price History'!T95-1),"")</f>
        <v>8.7082728592162706E-3</v>
      </c>
      <c r="U95" s="129">
        <f>IFERROR(IF(OR(NOT(ISNUMBER('Price History'!U96)),NOT(ISNUMBER('Price History'!U95)),'Price History'!U95=0),"",'Price History'!U96/'Price History'!U95-1),"")</f>
        <v>-1.9762845849802257E-3</v>
      </c>
      <c r="V95" s="130">
        <f>IFERROR(IF(OR(NOT(ISNUMBER('Price History'!V96)),NOT(ISNUMBER('Price History'!V95)),'Price History'!V95=0),"",'Price History'!V96/'Price History'!V95-1),"")</f>
        <v>2.9675803036177673E-2</v>
      </c>
      <c r="W95" s="131">
        <f>IFERROR('Price History'!B3+(INDEX('Price History'!B:B,MATCH(9.99E+307,'Returns (Calc)'!$A:$A)+1)-'Price History'!B3)*(ROW()-3)/(MATCH(9.99E+307,'Returns (Calc)'!$A:$A)-3),"")</f>
        <v>359.33050632911392</v>
      </c>
      <c r="X95" s="131">
        <f>IFERROR('Price History'!C3+(INDEX('Price History'!C:C,MATCH(9.99E+307,'Returns (Calc)'!$A:$A)+1)-'Price History'!C3)*(ROW()-3)/(MATCH(9.99E+307,'Returns (Calc)'!$A:$A)-3),"")</f>
        <v>140.02582278481012</v>
      </c>
      <c r="Y95" s="131">
        <f>IFERROR('Price History'!D3+(INDEX('Price History'!D:D,MATCH(9.99E+307,'Returns (Calc)'!$A:$A)+1)-'Price History'!D3)*(ROW()-3)/(MATCH(9.99E+307,'Returns (Calc)'!$A:$A)-3),"")</f>
        <v>1330.4125316455695</v>
      </c>
      <c r="Z95" s="131">
        <f>IFERROR('Price History'!E3+(INDEX('Price History'!E:E,MATCH(9.99E+307,'Returns (Calc)'!$A:$A)+1)-'Price History'!E3)*(ROW()-3)/(MATCH(9.99E+307,'Returns (Calc)'!$A:$A)-3),"")</f>
        <v>241.04354430379746</v>
      </c>
      <c r="AA95" s="131">
        <f>IFERROR('Price History'!F3+(INDEX('Price History'!F:F,MATCH(9.99E+307,'Returns (Calc)'!$A:$A)+1)-'Price History'!F3)*(ROW()-3)/(MATCH(9.99E+307,'Returns (Calc)'!$A:$A)-3),"")</f>
        <v>174.51544303797471</v>
      </c>
      <c r="AB95" s="131">
        <f>IFERROR('Price History'!G3+(INDEX('Price History'!G:G,MATCH(9.99E+307,'Returns (Calc)'!$A:$A)+1)-'Price History'!G3)*(ROW()-3)/(MATCH(9.99E+307,'Returns (Calc)'!$A:$A)-3),"")</f>
        <v>138.99354430379745</v>
      </c>
      <c r="AC95" s="131">
        <f>IFERROR('Price History'!H3+(INDEX('Price History'!H:H,MATCH(9.99E+307,'Returns (Calc)'!$A:$A)+1)-'Price History'!H3)*(ROW()-3)/(MATCH(9.99E+307,'Returns (Calc)'!$A:$A)-3),"")</f>
        <v>654.75405063291146</v>
      </c>
      <c r="AD95" s="131">
        <f>IFERROR('Price History'!I3+(INDEX('Price History'!I:I,MATCH(9.99E+307,'Returns (Calc)'!$A:$A)+1)-'Price History'!I3)*(ROW()-3)/(MATCH(9.99E+307,'Returns (Calc)'!$A:$A)-3),"")</f>
        <v>154.50772151898732</v>
      </c>
      <c r="AE95" s="131">
        <f>IFERROR('Price History'!J3+(INDEX('Price History'!J:J,MATCH(9.99E+307,'Returns (Calc)'!$A:$A)+1)-'Price History'!J3)*(ROW()-3)/(MATCH(9.99E+307,'Returns (Calc)'!$A:$A)-3),"")</f>
        <v>121.77949367088607</v>
      </c>
      <c r="AF95" s="131">
        <f>IFERROR('Price History'!K3+(INDEX('Price History'!K:K,MATCH(9.99E+307,'Returns (Calc)'!$A:$A)+1)-'Price History'!K3)*(ROW()-3)/(MATCH(9.99E+307,'Returns (Calc)'!$A:$A)-3),"")</f>
        <v>116.30873417721519</v>
      </c>
      <c r="AG95" s="131">
        <f>IFERROR('Price History'!L3+(INDEX('Price History'!L:L,MATCH(9.99E+307,'Returns (Calc)'!$A:$A)+1)-'Price History'!L3)*(ROW()-3)/(MATCH(9.99E+307,'Returns (Calc)'!$A:$A)-3),"")</f>
        <v>311.10924050632912</v>
      </c>
      <c r="AH95" s="131">
        <f>IFERROR('Price History'!M3+(INDEX('Price History'!M:M,MATCH(9.99E+307,'Returns (Calc)'!$A:$A)+1)-'Price History'!M3)*(ROW()-3)/(MATCH(9.99E+307,'Returns (Calc)'!$A:$A)-3),"")</f>
        <v>162.7207594936709</v>
      </c>
      <c r="AI95" s="131">
        <f>IFERROR('Price History'!N3+(INDEX('Price History'!N:N,MATCH(9.99E+307,'Returns (Calc)'!$A:$A)+1)-'Price History'!N3)*(ROW()-3)/(MATCH(9.99E+307,'Returns (Calc)'!$A:$A)-3),"")</f>
        <v>439.63645569620252</v>
      </c>
      <c r="AJ95" s="131">
        <f>IFERROR('Price History'!O3+(INDEX('Price History'!O:O,MATCH(9.99E+307,'Returns (Calc)'!$A:$A)+1)-'Price History'!O3)*(ROW()-3)/(MATCH(9.99E+307,'Returns (Calc)'!$A:$A)-3),"")</f>
        <v>101.34949367088608</v>
      </c>
      <c r="AK95" s="131">
        <f>IFERROR('Price History'!Q3+(INDEX('Price History'!Q:Q,MATCH(9.99E+307,'Returns (Calc)'!$A:$A)+1)-'Price History'!Q3)*(ROW()-3)/(MATCH(9.99E+307,'Returns (Calc)'!$A:$A)-3),"")</f>
        <v>40.421772151898736</v>
      </c>
      <c r="AL95" s="131">
        <f>IFERROR('Price History'!R3+(INDEX('Price History'!R:R,MATCH(9.99E+307,'Returns (Calc)'!$A:$A)+1)-'Price History'!R3)*(ROW()-3)/(MATCH(9.99E+307,'Returns (Calc)'!$A:$A)-3),"")</f>
        <v>49.945316455696201</v>
      </c>
      <c r="AM95" s="131">
        <f>IFERROR('Price History'!S3+(INDEX('Price History'!S:S,MATCH(9.99E+307,'Returns (Calc)'!$A:$A)+1)-'Price History'!S3)*(ROW()-3)/(MATCH(9.99E+307,'Returns (Calc)'!$A:$A)-3),"")</f>
        <v>113.29582278481013</v>
      </c>
      <c r="AN95" s="131">
        <f>IFERROR('Price History'!T3+(INDEX('Price History'!T:T,MATCH(9.99E+307,'Returns (Calc)'!$A:$A)+1)-'Price History'!T3)*(ROW()-3)/(MATCH(9.99E+307,'Returns (Calc)'!$A:$A)-3),"")</f>
        <v>40.716962025316455</v>
      </c>
      <c r="AO95" s="132">
        <f>IFERROR('Price History'!V3+(INDEX('Price History'!V:V,MATCH(9.99E+307,'Returns (Calc)'!$A:$A)+1)-'Price History'!V3)*(ROW()-3)/(MATCH(9.99E+307,'Returns (Calc)'!$A:$A)-3),"")</f>
        <v>308.43227848101264</v>
      </c>
      <c r="AP95" s="130">
        <f>IFERROR(IF(OR(NOT(ISNUMBER('Price History'!W96)),NOT(ISNUMBER('Price History'!W95)),'Price History'!W95=0),"",'Price History'!W96/'Price History'!W95-1),"")</f>
        <v>2.2342370994672844E-2</v>
      </c>
      <c r="AQ95" s="130" t="str">
        <f>IFERROR(IF(OR(NOT(ISNUMBER('Price History'!X96)),NOT(ISNUMBER('Price History'!X95)),'Price History'!X95=0),"",'Price History'!X96/'Price History'!X95-1),"")</f>
        <v/>
      </c>
      <c r="AR95" s="130">
        <f>IFERROR(IF(OR(NOT(ISNUMBER('Price History'!Y96)),NOT(ISNUMBER('Price History'!Y95)),'Price History'!Y95=0),"",'Price History'!Y96/'Price History'!Y95-1),"")</f>
        <v>1.6354208216992516E-2</v>
      </c>
      <c r="AS95" s="130">
        <f>IFERROR(IF(OR(NOT(ISNUMBER('Price History'!Z96)),NOT(ISNUMBER('Price History'!Z95)),'Price History'!Z95=0),"",'Price History'!Z96/'Price History'!Z95-1),"")</f>
        <v>6.3243766031706006E-2</v>
      </c>
      <c r="AT95" s="130">
        <f>IFERROR(IF(OR(NOT(ISNUMBER('Price History'!AA96)),NOT(ISNUMBER('Price History'!AA95)),'Price History'!AA95=0),"",'Price History'!AA96/'Price History'!AA95-1),"")</f>
        <v>7.4468085106383031E-2</v>
      </c>
    </row>
    <row r="96" spans="1:46" ht="15" customHeight="1" x14ac:dyDescent="0.2">
      <c r="A96" s="128">
        <f>IF('Price History'!A97="","",'Price History'!A97)</f>
        <v>45842</v>
      </c>
      <c r="B96" s="129">
        <f>IFERROR(IF(OR(NOT(ISNUMBER('Price History'!B97)),NOT(ISNUMBER('Price History'!B96)),'Price History'!B96=0),"",'Price History'!B97/'Price History'!B96-1),"")</f>
        <v>-1.6898634113469591E-2</v>
      </c>
      <c r="C96" s="129">
        <f>IFERROR(IF(OR(NOT(ISNUMBER('Price History'!C97)),NOT(ISNUMBER('Price History'!C96)),'Price History'!C96=0),"",'Price History'!C97/'Price History'!C96-1),"")</f>
        <v>3.1492101821108731E-2</v>
      </c>
      <c r="D96" s="129">
        <f>IFERROR(IF(OR(NOT(ISNUMBER('Price History'!D97)),NOT(ISNUMBER('Price History'!D96)),'Price History'!D96=0),"",'Price History'!D97/'Price History'!D96-1),"")</f>
        <v>-1.8256966807820296E-3</v>
      </c>
      <c r="E96" s="129">
        <f>IFERROR(IF(OR(NOT(ISNUMBER('Price History'!E97)),NOT(ISNUMBER('Price History'!E96)),'Price History'!E96=0),"",'Price History'!E97/'Price History'!E96-1),"")</f>
        <v>2.165605095541423E-2</v>
      </c>
      <c r="F96" s="129">
        <f>IFERROR(IF(OR(NOT(ISNUMBER('Price History'!F97)),NOT(ISNUMBER('Price History'!F96)),'Price History'!F96=0),"",'Price History'!F97/'Price History'!F96-1),"")</f>
        <v>2.9560201874549552E-2</v>
      </c>
      <c r="G96" s="129">
        <f>IFERROR(IF(OR(NOT(ISNUMBER('Price History'!G97)),NOT(ISNUMBER('Price History'!G96)),'Price History'!G96=0),"",'Price History'!G97/'Price History'!G96-1),"")</f>
        <v>3.8949275362319069E-2</v>
      </c>
      <c r="H96" s="129">
        <f>IFERROR(IF(OR(NOT(ISNUMBER('Price History'!H97)),NOT(ISNUMBER('Price History'!H96)),'Price History'!H96=0),"",'Price History'!H97/'Price History'!H96-1),"")</f>
        <v>-1.9768563162970043E-2</v>
      </c>
      <c r="I96" s="129">
        <f>IFERROR(IF(OR(NOT(ISNUMBER('Price History'!I97)),NOT(ISNUMBER('Price History'!I96)),'Price History'!I96=0),"",'Price History'!I97/'Price History'!I96-1),"")</f>
        <v>1.0104219623792376E-2</v>
      </c>
      <c r="J96" s="129">
        <f>IFERROR(IF(OR(NOT(ISNUMBER('Price History'!J97)),NOT(ISNUMBER('Price History'!J96)),'Price History'!J96=0),"",'Price History'!J97/'Price History'!J96-1),"")</f>
        <v>2.2758620689655285E-2</v>
      </c>
      <c r="K96" s="129">
        <f>IFERROR(IF(OR(NOT(ISNUMBER('Price History'!K97)),NOT(ISNUMBER('Price History'!K96)),'Price History'!K96=0),"",'Price History'!K97/'Price History'!K96-1),"")</f>
        <v>2.7688542144714834E-2</v>
      </c>
      <c r="L96" s="129">
        <f>IFERROR(IF(OR(NOT(ISNUMBER('Price History'!L97)),NOT(ISNUMBER('Price History'!L96)),'Price History'!L96=0),"",'Price History'!L97/'Price History'!L96-1),"")</f>
        <v>2.7277565865341913E-2</v>
      </c>
      <c r="M96" s="129">
        <f>IFERROR(IF(OR(NOT(ISNUMBER('Price History'!M97)),NOT(ISNUMBER('Price History'!M96)),'Price History'!M96=0),"",'Price History'!M97/'Price History'!M96-1),"")</f>
        <v>5.3547523427042165E-3</v>
      </c>
      <c r="N96" s="129">
        <f>IFERROR(IF(OR(NOT(ISNUMBER('Price History'!N97)),NOT(ISNUMBER('Price History'!N96)),'Price History'!N96=0),"",'Price History'!N97/'Price History'!N96-1),"")</f>
        <v>4.15137094946747E-2</v>
      </c>
      <c r="O96" s="129">
        <f>IFERROR(IF(OR(NOT(ISNUMBER('Price History'!O97)),NOT(ISNUMBER('Price History'!O96)),'Price History'!O96=0),"",'Price History'!O97/'Price History'!O96-1),"")</f>
        <v>4.1624818658631879E-2</v>
      </c>
      <c r="P96" s="129">
        <f>IFERROR(IF(OR(NOT(ISNUMBER('Price History'!P97)),NOT(ISNUMBER('Price History'!P96)),'Price History'!P96=0),"",'Price History'!P97/'Price History'!P96-1),"")</f>
        <v>3.4158298410690291E-2</v>
      </c>
      <c r="Q96" s="129">
        <f>IFERROR(IF(OR(NOT(ISNUMBER('Price History'!Q97)),NOT(ISNUMBER('Price History'!Q96)),'Price History'!Q96=0),"",'Price History'!Q97/'Price History'!Q96-1),"")</f>
        <v>6.6075745366640515E-3</v>
      </c>
      <c r="R96" s="129">
        <f>IFERROR(IF(OR(NOT(ISNUMBER('Price History'!R97)),NOT(ISNUMBER('Price History'!R96)),'Price History'!R96=0),"",'Price History'!R97/'Price History'!R96-1),"")</f>
        <v>7.0618446394179468E-3</v>
      </c>
      <c r="S96" s="129">
        <f>IFERROR(IF(OR(NOT(ISNUMBER('Price History'!S97)),NOT(ISNUMBER('Price History'!S96)),'Price History'!S96=0),"",'Price History'!S97/'Price History'!S96-1),"")</f>
        <v>5.960444324031311E-3</v>
      </c>
      <c r="T96" s="129">
        <f>IFERROR(IF(OR(NOT(ISNUMBER('Price History'!T97)),NOT(ISNUMBER('Price History'!T96)),'Price History'!T96=0),"",'Price History'!T97/'Price History'!T96-1),"")</f>
        <v>1.2374100719424463E-2</v>
      </c>
      <c r="U96" s="129">
        <f>IFERROR(IF(OR(NOT(ISNUMBER('Price History'!U97)),NOT(ISNUMBER('Price History'!U96)),'Price History'!U96=0),"",'Price History'!U97/'Price History'!U96-1),"")</f>
        <v>3.6435643564356468E-2</v>
      </c>
      <c r="V96" s="130">
        <f>IFERROR(IF(OR(NOT(ISNUMBER('Price History'!V97)),NOT(ISNUMBER('Price History'!V96)),'Price History'!V96=0),"",'Price History'!V97/'Price History'!V96-1),"")</f>
        <v>2.9399837793998351E-2</v>
      </c>
      <c r="W96" s="131">
        <f>IFERROR('Price History'!B3+(INDEX('Price History'!B:B,MATCH(9.99E+307,'Returns (Calc)'!$A:$A)+1)-'Price History'!B3)*(ROW()-3)/(MATCH(9.99E+307,'Returns (Calc)'!$A:$A)-3),"")</f>
        <v>357.48746835443035</v>
      </c>
      <c r="X96" s="131">
        <f>IFERROR('Price History'!C3+(INDEX('Price History'!C:C,MATCH(9.99E+307,'Returns (Calc)'!$A:$A)+1)-'Price History'!C3)*(ROW()-3)/(MATCH(9.99E+307,'Returns (Calc)'!$A:$A)-3),"")</f>
        <v>141.04588607594937</v>
      </c>
      <c r="Y96" s="131">
        <f>IFERROR('Price History'!D3+(INDEX('Price History'!D:D,MATCH(9.99E+307,'Returns (Calc)'!$A:$A)+1)-'Price History'!D3)*(ROW()-3)/(MATCH(9.99E+307,'Returns (Calc)'!$A:$A)-3),"")</f>
        <v>1338.5473417721519</v>
      </c>
      <c r="Z96" s="131">
        <f>IFERROR('Price History'!E3+(INDEX('Price History'!E:E,MATCH(9.99E+307,'Returns (Calc)'!$A:$A)+1)-'Price History'!E3)*(ROW()-3)/(MATCH(9.99E+307,'Returns (Calc)'!$A:$A)-3),"")</f>
        <v>242.77227848101265</v>
      </c>
      <c r="AA96" s="131">
        <f>IFERROR('Price History'!F3+(INDEX('Price History'!F:F,MATCH(9.99E+307,'Returns (Calc)'!$A:$A)+1)-'Price History'!F3)*(ROW()-3)/(MATCH(9.99E+307,'Returns (Calc)'!$A:$A)-3),"")</f>
        <v>175.96278481012661</v>
      </c>
      <c r="AB96" s="131">
        <f>IFERROR('Price History'!G3+(INDEX('Price History'!G:G,MATCH(9.99E+307,'Returns (Calc)'!$A:$A)+1)-'Price History'!G3)*(ROW()-3)/(MATCH(9.99E+307,'Returns (Calc)'!$A:$A)-3),"")</f>
        <v>140.02227848101265</v>
      </c>
      <c r="AC96" s="131">
        <f>IFERROR('Price History'!H3+(INDEX('Price History'!H:H,MATCH(9.99E+307,'Returns (Calc)'!$A:$A)+1)-'Price History'!H3)*(ROW()-3)/(MATCH(9.99E+307,'Returns (Calc)'!$A:$A)-3),"")</f>
        <v>661.11974683544315</v>
      </c>
      <c r="AD96" s="131">
        <f>IFERROR('Price History'!I3+(INDEX('Price History'!I:I,MATCH(9.99E+307,'Returns (Calc)'!$A:$A)+1)-'Price History'!I3)*(ROW()-3)/(MATCH(9.99E+307,'Returns (Calc)'!$A:$A)-3),"")</f>
        <v>155.71139240506329</v>
      </c>
      <c r="AE96" s="131">
        <f>IFERROR('Price History'!J3+(INDEX('Price History'!J:J,MATCH(9.99E+307,'Returns (Calc)'!$A:$A)+1)-'Price History'!J3)*(ROW()-3)/(MATCH(9.99E+307,'Returns (Calc)'!$A:$A)-3),"")</f>
        <v>121.88753164556962</v>
      </c>
      <c r="AF96" s="131">
        <f>IFERROR('Price History'!K3+(INDEX('Price History'!K:K,MATCH(9.99E+307,'Returns (Calc)'!$A:$A)+1)-'Price History'!K3)*(ROW()-3)/(MATCH(9.99E+307,'Returns (Calc)'!$A:$A)-3),"")</f>
        <v>117.40632911392404</v>
      </c>
      <c r="AG96" s="131">
        <f>IFERROR('Price History'!L3+(INDEX('Price History'!L:L,MATCH(9.99E+307,'Returns (Calc)'!$A:$A)+1)-'Price History'!L3)*(ROW()-3)/(MATCH(9.99E+307,'Returns (Calc)'!$A:$A)-3),"")</f>
        <v>313.55879746835444</v>
      </c>
      <c r="AH96" s="131">
        <f>IFERROR('Price History'!M3+(INDEX('Price History'!M:M,MATCH(9.99E+307,'Returns (Calc)'!$A:$A)+1)-'Price History'!M3)*(ROW()-3)/(MATCH(9.99E+307,'Returns (Calc)'!$A:$A)-3),"")</f>
        <v>164.07620253164558</v>
      </c>
      <c r="AI96" s="131">
        <f>IFERROR('Price History'!N3+(INDEX('Price History'!N:N,MATCH(9.99E+307,'Returns (Calc)'!$A:$A)+1)-'Price History'!N3)*(ROW()-3)/(MATCH(9.99E+307,'Returns (Calc)'!$A:$A)-3),"")</f>
        <v>440.62272151898736</v>
      </c>
      <c r="AJ96" s="131">
        <f>IFERROR('Price History'!O3+(INDEX('Price History'!O:O,MATCH(9.99E+307,'Returns (Calc)'!$A:$A)+1)-'Price History'!O3)*(ROW()-3)/(MATCH(9.99E+307,'Returns (Calc)'!$A:$A)-3),"")</f>
        <v>101.63253164556963</v>
      </c>
      <c r="AK96" s="131">
        <f>IFERROR('Price History'!Q3+(INDEX('Price History'!Q:Q,MATCH(9.99E+307,'Returns (Calc)'!$A:$A)+1)-'Price History'!Q3)*(ROW()-3)/(MATCH(9.99E+307,'Returns (Calc)'!$A:$A)-3),"")</f>
        <v>40.861139240506333</v>
      </c>
      <c r="AL96" s="131">
        <f>IFERROR('Price History'!R3+(INDEX('Price History'!R:R,MATCH(9.99E+307,'Returns (Calc)'!$A:$A)+1)-'Price History'!R3)*(ROW()-3)/(MATCH(9.99E+307,'Returns (Calc)'!$A:$A)-3),"")</f>
        <v>50.113417721518985</v>
      </c>
      <c r="AM96" s="131">
        <f>IFERROR('Price History'!S3+(INDEX('Price History'!S:S,MATCH(9.99E+307,'Returns (Calc)'!$A:$A)+1)-'Price History'!S3)*(ROW()-3)/(MATCH(9.99E+307,'Returns (Calc)'!$A:$A)-3),"")</f>
        <v>113.90088607594936</v>
      </c>
      <c r="AN96" s="131">
        <f>IFERROR('Price History'!T3+(INDEX('Price History'!T:T,MATCH(9.99E+307,'Returns (Calc)'!$A:$A)+1)-'Price History'!T3)*(ROW()-3)/(MATCH(9.99E+307,'Returns (Calc)'!$A:$A)-3),"")</f>
        <v>40.885189873417723</v>
      </c>
      <c r="AO96" s="132">
        <f>IFERROR('Price History'!V3+(INDEX('Price History'!V:V,MATCH(9.99E+307,'Returns (Calc)'!$A:$A)+1)-'Price History'!V3)*(ROW()-3)/(MATCH(9.99E+307,'Returns (Calc)'!$A:$A)-3),"")</f>
        <v>309.22360759493671</v>
      </c>
      <c r="AP96" s="130">
        <f>IFERROR(IF(OR(NOT(ISNUMBER('Price History'!W97)),NOT(ISNUMBER('Price History'!W96)),'Price History'!W96=0),"",'Price History'!W97/'Price History'!W96-1),"")</f>
        <v>2.4887229740239381E-2</v>
      </c>
      <c r="AQ96" s="130" t="str">
        <f>IFERROR(IF(OR(NOT(ISNUMBER('Price History'!X97)),NOT(ISNUMBER('Price History'!X96)),'Price History'!X96=0),"",'Price History'!X97/'Price History'!X96-1),"")</f>
        <v/>
      </c>
      <c r="AR96" s="130">
        <f>IFERROR(IF(OR(NOT(ISNUMBER('Price History'!Y97)),NOT(ISNUMBER('Price History'!Y96)),'Price History'!Y96=0),"",'Price History'!Y97/'Price History'!Y96-1),"")</f>
        <v>1.2362637362637319E-2</v>
      </c>
      <c r="AS96" s="130">
        <f>IFERROR(IF(OR(NOT(ISNUMBER('Price History'!Z97)),NOT(ISNUMBER('Price History'!Z96)),'Price History'!Z96=0),"",'Price History'!Z97/'Price History'!Z96-1),"")</f>
        <v>-2.9978247973106553E-2</v>
      </c>
      <c r="AT96" s="130">
        <f>IFERROR(IF(OR(NOT(ISNUMBER('Price History'!AA97)),NOT(ISNUMBER('Price History'!AA96)),'Price History'!AA96=0),"",'Price History'!AA97/'Price History'!AA96-1),"")</f>
        <v>-1.9575239966744817E-2</v>
      </c>
    </row>
    <row r="97" spans="1:46" ht="15" customHeight="1" x14ac:dyDescent="0.2">
      <c r="A97" s="128">
        <f>IF('Price History'!A98="","",'Price History'!A98)</f>
        <v>45849</v>
      </c>
      <c r="B97" s="129">
        <f>IFERROR(IF(OR(NOT(ISNUMBER('Price History'!B98)),NOT(ISNUMBER('Price History'!B97)),'Price History'!B97=0),"",'Price History'!B98/'Price History'!B97-1),"")</f>
        <v>-4.207640188763806E-2</v>
      </c>
      <c r="C97" s="129">
        <f>IFERROR(IF(OR(NOT(ISNUMBER('Price History'!C98)),NOT(ISNUMBER('Price History'!C97)),'Price History'!C97=0),"",'Price History'!C98/'Price History'!C97-1),"")</f>
        <v>5.9012875536480713E-2</v>
      </c>
      <c r="D97" s="129">
        <f>IFERROR(IF(OR(NOT(ISNUMBER('Price History'!D98)),NOT(ISNUMBER('Price History'!D97)),'Price History'!D97=0),"",'Price History'!D98/'Price History'!D97-1),"")</f>
        <v>9.3611075828781143E-3</v>
      </c>
      <c r="E97" s="129">
        <f>IFERROR(IF(OR(NOT(ISNUMBER('Price History'!E98)),NOT(ISNUMBER('Price History'!E97)),'Price History'!E97=0),"",'Price History'!E98/'Price History'!E97-1),"")</f>
        <v>-2.8971688425994957E-3</v>
      </c>
      <c r="F97" s="129">
        <f>IFERROR(IF(OR(NOT(ISNUMBER('Price History'!F98)),NOT(ISNUMBER('Price History'!F97)),'Price History'!F97=0),"",'Price History'!F98/'Price History'!F97-1),"")</f>
        <v>-6.9327731092437062E-2</v>
      </c>
      <c r="G97" s="129">
        <f>IFERROR(IF(OR(NOT(ISNUMBER('Price History'!G98)),NOT(ISNUMBER('Price History'!G97)),'Price History'!G97=0),"",'Price History'!G98/'Price History'!G97-1),"")</f>
        <v>0</v>
      </c>
      <c r="H97" s="129">
        <f>IFERROR(IF(OR(NOT(ISNUMBER('Price History'!H98)),NOT(ISNUMBER('Price History'!H97)),'Price History'!H97=0),"",'Price History'!H98/'Price History'!H97-1),"")</f>
        <v>1.9265453353008555E-2</v>
      </c>
      <c r="I97" s="129">
        <f>IFERROR(IF(OR(NOT(ISNUMBER('Price History'!I98)),NOT(ISNUMBER('Price History'!I97)),'Price History'!I97=0),"",'Price History'!I98/'Price History'!I97-1),"")</f>
        <v>3.5042466184334931E-2</v>
      </c>
      <c r="J97" s="129">
        <f>IFERROR(IF(OR(NOT(ISNUMBER('Price History'!J98)),NOT(ISNUMBER('Price History'!J97)),'Price History'!J97=0),"",'Price History'!J98/'Price History'!J97-1),"")</f>
        <v>1.0596281668432628E-2</v>
      </c>
      <c r="K97" s="129">
        <f>IFERROR(IF(OR(NOT(ISNUMBER('Price History'!K98)),NOT(ISNUMBER('Price History'!K97)),'Price History'!K97=0),"",'Price History'!K98/'Price History'!K97-1),"")</f>
        <v>5.760643048526326E-2</v>
      </c>
      <c r="L97" s="129">
        <f>IFERROR(IF(OR(NOT(ISNUMBER('Price History'!L98)),NOT(ISNUMBER('Price History'!L97)),'Price History'!L97=0),"",'Price History'!L98/'Price History'!L97-1),"")</f>
        <v>-1.8738396442295246E-2</v>
      </c>
      <c r="M97" s="129">
        <f>IFERROR(IF(OR(NOT(ISNUMBER('Price History'!M98)),NOT(ISNUMBER('Price History'!M97)),'Price History'!M97=0),"",'Price History'!M98/'Price History'!M97-1),"")</f>
        <v>-3.5560429231612845E-2</v>
      </c>
      <c r="N97" s="129">
        <f>IFERROR(IF(OR(NOT(ISNUMBER('Price History'!N98)),NOT(ISNUMBER('Price History'!N97)),'Price History'!N97=0),"",'Price History'!N98/'Price History'!N97-1),"")</f>
        <v>2.0081806709890904E-2</v>
      </c>
      <c r="O97" s="129">
        <f>IFERROR(IF(OR(NOT(ISNUMBER('Price History'!O98)),NOT(ISNUMBER('Price History'!O97)),'Price History'!O97=0),"",'Price History'!O98/'Price History'!O97-1),"")</f>
        <v>-1.2856224555389817E-3</v>
      </c>
      <c r="P97" s="129">
        <f>IFERROR(IF(OR(NOT(ISNUMBER('Price History'!P98)),NOT(ISNUMBER('Price History'!P97)),'Price History'!P97=0),"",'Price History'!P98/'Price History'!P97-1),"")</f>
        <v>-3.364171572750152E-3</v>
      </c>
      <c r="Q97" s="129">
        <f>IFERROR(IF(OR(NOT(ISNUMBER('Price History'!Q98)),NOT(ISNUMBER('Price History'!Q97)),'Price History'!Q97=0),"",'Price History'!Q98/'Price History'!Q97-1),"")</f>
        <v>1.6010246557798258E-3</v>
      </c>
      <c r="R97" s="129">
        <f>IFERROR(IF(OR(NOT(ISNUMBER('Price History'!R98)),NOT(ISNUMBER('Price History'!R97)),'Price History'!R97=0),"",'Price History'!R98/'Price History'!R97-1),"")</f>
        <v>3.612409689757623E-3</v>
      </c>
      <c r="S97" s="129">
        <f>IFERROR(IF(OR(NOT(ISNUMBER('Price History'!S98)),NOT(ISNUMBER('Price History'!S97)),'Price History'!S97=0),"",'Price History'!S98/'Price History'!S97-1),"")</f>
        <v>-3.0523386300386202E-3</v>
      </c>
      <c r="T97" s="129">
        <f>IFERROR(IF(OR(NOT(ISNUMBER('Price History'!T98)),NOT(ISNUMBER('Price History'!T97)),'Price History'!T97=0),"",'Price History'!T98/'Price History'!T97-1),"")</f>
        <v>2.5582717453098702E-3</v>
      </c>
      <c r="U97" s="129">
        <f>IFERROR(IF(OR(NOT(ISNUMBER('Price History'!U98)),NOT(ISNUMBER('Price History'!U97)),'Price History'!U97=0),"",'Price History'!U98/'Price History'!U97-1),"")</f>
        <v>-7.6423385555990375E-4</v>
      </c>
      <c r="V97" s="130">
        <f>IFERROR(IF(OR(NOT(ISNUMBER('Price History'!V98)),NOT(ISNUMBER('Price History'!V97)),'Price History'!V97=0),"",'Price History'!V98/'Price History'!V97-1),"")</f>
        <v>-3.0473564253355456E-2</v>
      </c>
      <c r="W97" s="131">
        <f>IFERROR('Price History'!B3+(INDEX('Price History'!B:B,MATCH(9.99E+307,'Returns (Calc)'!$A:$A)+1)-'Price History'!B3)*(ROW()-3)/(MATCH(9.99E+307,'Returns (Calc)'!$A:$A)-3),"")</f>
        <v>355.64443037974684</v>
      </c>
      <c r="X97" s="131">
        <f>IFERROR('Price History'!C3+(INDEX('Price History'!C:C,MATCH(9.99E+307,'Returns (Calc)'!$A:$A)+1)-'Price History'!C3)*(ROW()-3)/(MATCH(9.99E+307,'Returns (Calc)'!$A:$A)-3),"")</f>
        <v>142.06594936708859</v>
      </c>
      <c r="Y97" s="131">
        <f>IFERROR('Price History'!D3+(INDEX('Price History'!D:D,MATCH(9.99E+307,'Returns (Calc)'!$A:$A)+1)-'Price History'!D3)*(ROW()-3)/(MATCH(9.99E+307,'Returns (Calc)'!$A:$A)-3),"")</f>
        <v>1346.682151898734</v>
      </c>
      <c r="Z97" s="131">
        <f>IFERROR('Price History'!E3+(INDEX('Price History'!E:E,MATCH(9.99E+307,'Returns (Calc)'!$A:$A)+1)-'Price History'!E3)*(ROW()-3)/(MATCH(9.99E+307,'Returns (Calc)'!$A:$A)-3),"")</f>
        <v>244.50101265822784</v>
      </c>
      <c r="AA97" s="131">
        <f>IFERROR('Price History'!F3+(INDEX('Price History'!F:F,MATCH(9.99E+307,'Returns (Calc)'!$A:$A)+1)-'Price History'!F3)*(ROW()-3)/(MATCH(9.99E+307,'Returns (Calc)'!$A:$A)-3),"")</f>
        <v>177.41012658227851</v>
      </c>
      <c r="AB97" s="131">
        <f>IFERROR('Price History'!G3+(INDEX('Price History'!G:G,MATCH(9.99E+307,'Returns (Calc)'!$A:$A)+1)-'Price History'!G3)*(ROW()-3)/(MATCH(9.99E+307,'Returns (Calc)'!$A:$A)-3),"")</f>
        <v>141.05101265822785</v>
      </c>
      <c r="AC97" s="131">
        <f>IFERROR('Price History'!H3+(INDEX('Price History'!H:H,MATCH(9.99E+307,'Returns (Calc)'!$A:$A)+1)-'Price History'!H3)*(ROW()-3)/(MATCH(9.99E+307,'Returns (Calc)'!$A:$A)-3),"")</f>
        <v>667.48544303797473</v>
      </c>
      <c r="AD97" s="131">
        <f>IFERROR('Price History'!I3+(INDEX('Price History'!I:I,MATCH(9.99E+307,'Returns (Calc)'!$A:$A)+1)-'Price History'!I3)*(ROW()-3)/(MATCH(9.99E+307,'Returns (Calc)'!$A:$A)-3),"")</f>
        <v>156.91506329113923</v>
      </c>
      <c r="AE97" s="131">
        <f>IFERROR('Price History'!J3+(INDEX('Price History'!J:J,MATCH(9.99E+307,'Returns (Calc)'!$A:$A)+1)-'Price History'!J3)*(ROW()-3)/(MATCH(9.99E+307,'Returns (Calc)'!$A:$A)-3),"")</f>
        <v>121.99556962025316</v>
      </c>
      <c r="AF97" s="131">
        <f>IFERROR('Price History'!K3+(INDEX('Price History'!K:K,MATCH(9.99E+307,'Returns (Calc)'!$A:$A)+1)-'Price History'!K3)*(ROW()-3)/(MATCH(9.99E+307,'Returns (Calc)'!$A:$A)-3),"")</f>
        <v>118.5039240506329</v>
      </c>
      <c r="AG97" s="131">
        <f>IFERROR('Price History'!L3+(INDEX('Price History'!L:L,MATCH(9.99E+307,'Returns (Calc)'!$A:$A)+1)-'Price History'!L3)*(ROW()-3)/(MATCH(9.99E+307,'Returns (Calc)'!$A:$A)-3),"")</f>
        <v>316.00835443037977</v>
      </c>
      <c r="AH97" s="131">
        <f>IFERROR('Price History'!M3+(INDEX('Price History'!M:M,MATCH(9.99E+307,'Returns (Calc)'!$A:$A)+1)-'Price History'!M3)*(ROW()-3)/(MATCH(9.99E+307,'Returns (Calc)'!$A:$A)-3),"")</f>
        <v>165.43164556962026</v>
      </c>
      <c r="AI97" s="131">
        <f>IFERROR('Price History'!N3+(INDEX('Price History'!N:N,MATCH(9.99E+307,'Returns (Calc)'!$A:$A)+1)-'Price History'!N3)*(ROW()-3)/(MATCH(9.99E+307,'Returns (Calc)'!$A:$A)-3),"")</f>
        <v>441.60898734177215</v>
      </c>
      <c r="AJ97" s="131">
        <f>IFERROR('Price History'!O3+(INDEX('Price History'!O:O,MATCH(9.99E+307,'Returns (Calc)'!$A:$A)+1)-'Price History'!O3)*(ROW()-3)/(MATCH(9.99E+307,'Returns (Calc)'!$A:$A)-3),"")</f>
        <v>101.91556962025317</v>
      </c>
      <c r="AK97" s="131">
        <f>IFERROR('Price History'!Q3+(INDEX('Price History'!Q:Q,MATCH(9.99E+307,'Returns (Calc)'!$A:$A)+1)-'Price History'!Q3)*(ROW()-3)/(MATCH(9.99E+307,'Returns (Calc)'!$A:$A)-3),"")</f>
        <v>41.300506329113929</v>
      </c>
      <c r="AL97" s="131">
        <f>IFERROR('Price History'!R3+(INDEX('Price History'!R:R,MATCH(9.99E+307,'Returns (Calc)'!$A:$A)+1)-'Price History'!R3)*(ROW()-3)/(MATCH(9.99E+307,'Returns (Calc)'!$A:$A)-3),"")</f>
        <v>50.281518987341769</v>
      </c>
      <c r="AM97" s="131">
        <f>IFERROR('Price History'!S3+(INDEX('Price History'!S:S,MATCH(9.99E+307,'Returns (Calc)'!$A:$A)+1)-'Price History'!S3)*(ROW()-3)/(MATCH(9.99E+307,'Returns (Calc)'!$A:$A)-3),"")</f>
        <v>114.50594936708862</v>
      </c>
      <c r="AN97" s="131">
        <f>IFERROR('Price History'!T3+(INDEX('Price History'!T:T,MATCH(9.99E+307,'Returns (Calc)'!$A:$A)+1)-'Price History'!T3)*(ROW()-3)/(MATCH(9.99E+307,'Returns (Calc)'!$A:$A)-3),"")</f>
        <v>41.053417721518983</v>
      </c>
      <c r="AO97" s="132">
        <f>IFERROR('Price History'!V3+(INDEX('Price History'!V:V,MATCH(9.99E+307,'Returns (Calc)'!$A:$A)+1)-'Price History'!V3)*(ROW()-3)/(MATCH(9.99E+307,'Returns (Calc)'!$A:$A)-3),"")</f>
        <v>310.01493670886077</v>
      </c>
      <c r="AP97" s="130">
        <f>IFERROR(IF(OR(NOT(ISNUMBER('Price History'!W98)),NOT(ISNUMBER('Price History'!W97)),'Price History'!W97=0),"",'Price History'!W98/'Price History'!W97-1),"")</f>
        <v>-6.7536803763850184E-3</v>
      </c>
      <c r="AQ97" s="130" t="str">
        <f>IFERROR(IF(OR(NOT(ISNUMBER('Price History'!X98)),NOT(ISNUMBER('Price History'!X97)),'Price History'!X97=0),"",'Price History'!X98/'Price History'!X97-1),"")</f>
        <v/>
      </c>
      <c r="AR97" s="130">
        <f>IFERROR(IF(OR(NOT(ISNUMBER('Price History'!Y98)),NOT(ISNUMBER('Price History'!Y97)),'Price History'!Y97=0),"",'Price History'!Y98/'Price History'!Y97-1),"")</f>
        <v>-3.4890482651678267E-3</v>
      </c>
      <c r="AS97" s="130">
        <f>IFERROR(IF(OR(NOT(ISNUMBER('Price History'!Z98)),NOT(ISNUMBER('Price History'!Z97)),'Price History'!Z97=0),"",'Price History'!Z98/'Price History'!Z97-1),"")</f>
        <v>3.6123455783422243E-2</v>
      </c>
      <c r="AT97" s="130">
        <f>IFERROR(IF(OR(NOT(ISNUMBER('Price History'!AA98)),NOT(ISNUMBER('Price History'!AA97)),'Price History'!AA97=0),"",'Price History'!AA98/'Price History'!AA97-1),"")</f>
        <v>-4.0163428923835953E-2</v>
      </c>
    </row>
    <row r="98" spans="1:46" ht="15" customHeight="1" x14ac:dyDescent="0.2">
      <c r="A98" s="128">
        <f>IF('Price History'!A99="","",'Price History'!A99)</f>
        <v>45856</v>
      </c>
      <c r="B98" s="129">
        <f>IFERROR(IF(OR(NOT(ISNUMBER('Price History'!B99)),NOT(ISNUMBER('Price History'!B98)),'Price History'!B98=0),"",'Price History'!B99/'Price History'!B98-1),"")</f>
        <v>6.7152882895280541E-3</v>
      </c>
      <c r="C98" s="129">
        <f>IFERROR(IF(OR(NOT(ISNUMBER('Price History'!C99)),NOT(ISNUMBER('Price History'!C98)),'Price History'!C98=0),"",'Price History'!C99/'Price History'!C98-1),"")</f>
        <v>2.9566178502348883E-2</v>
      </c>
      <c r="D98" s="129">
        <f>IFERROR(IF(OR(NOT(ISNUMBER('Price History'!D99)),NOT(ISNUMBER('Price History'!D98)),'Price History'!D98=0),"",'Price History'!D99/'Price History'!D98-1),"")</f>
        <v>-8.3984547044685276E-2</v>
      </c>
      <c r="E98" s="129">
        <f>IFERROR(IF(OR(NOT(ISNUMBER('Price History'!E99)),NOT(ISNUMBER('Price History'!E98)),'Price History'!E98=0),"",'Price History'!E99/'Price History'!E98-1),"")</f>
        <v>3.2660267019750666E-2</v>
      </c>
      <c r="F98" s="129">
        <f>IFERROR(IF(OR(NOT(ISNUMBER('Price History'!F99)),NOT(ISNUMBER('Price History'!F98)),'Price History'!F98=0),"",'Price History'!F99/'Price History'!F98-1),"")</f>
        <v>-5.1835130841902943E-3</v>
      </c>
      <c r="G98" s="129">
        <f>IFERROR(IF(OR(NOT(ISNUMBER('Price History'!G99)),NOT(ISNUMBER('Price History'!G98)),'Price History'!G98=0),"",'Price History'!G99/'Price History'!G98-1),"")</f>
        <v>7.0836965998255508E-3</v>
      </c>
      <c r="H98" s="129">
        <f>IFERROR(IF(OR(NOT(ISNUMBER('Price History'!H99)),NOT(ISNUMBER('Price History'!H98)),'Price History'!H98=0),"",'Price History'!H99/'Price History'!H98-1),"")</f>
        <v>-8.1396284082683179E-2</v>
      </c>
      <c r="I98" s="129">
        <f>IFERROR(IF(OR(NOT(ISNUMBER('Price History'!I99)),NOT(ISNUMBER('Price History'!I98)),'Price History'!I98=0),"",'Price History'!I99/'Price History'!I98-1),"")</f>
        <v>4.5404814004376348E-2</v>
      </c>
      <c r="J98" s="129">
        <f>IFERROR(IF(OR(NOT(ISNUMBER('Price History'!J99)),NOT(ISNUMBER('Price History'!J98)),'Price History'!J98=0),"",'Price History'!J99/'Price History'!J98-1),"")</f>
        <v>-2.1923553522066541E-2</v>
      </c>
      <c r="K98" s="129">
        <f>IFERROR(IF(OR(NOT(ISNUMBER('Price History'!K99)),NOT(ISNUMBER('Price History'!K98)),'Price History'!K98=0),"",'Price History'!K99/'Price History'!K98-1),"")</f>
        <v>8.0365939479239978E-2</v>
      </c>
      <c r="L98" s="129">
        <f>IFERROR(IF(OR(NOT(ISNUMBER('Price History'!L99)),NOT(ISNUMBER('Price History'!L98)),'Price History'!L98=0),"",'Price History'!L99/'Price History'!L98-1),"")</f>
        <v>4.3384520614247357E-2</v>
      </c>
      <c r="M98" s="129">
        <f>IFERROR(IF(OR(NOT(ISNUMBER('Price History'!M99)),NOT(ISNUMBER('Price History'!M98)),'Price History'!M98=0),"",'Price History'!M99/'Price History'!M98-1),"")</f>
        <v>4.6779826199951247E-2</v>
      </c>
      <c r="N98" s="129">
        <f>IFERROR(IF(OR(NOT(ISNUMBER('Price History'!N99)),NOT(ISNUMBER('Price History'!N98)),'Price History'!N98=0),"",'Price History'!N99/'Price History'!N98-1),"")</f>
        <v>-1.9281220006398647E-2</v>
      </c>
      <c r="O98" s="129">
        <f>IFERROR(IF(OR(NOT(ISNUMBER('Price History'!O99)),NOT(ISNUMBER('Price History'!O98)),'Price History'!O98=0),"",'Price History'!O99/'Price History'!O98-1),"")</f>
        <v>-1.1800042909246855E-2</v>
      </c>
      <c r="P98" s="129">
        <f>IFERROR(IF(OR(NOT(ISNUMBER('Price History'!P99)),NOT(ISNUMBER('Price History'!P98)),'Price History'!P98=0),"",'Price History'!P99/'Price History'!P98-1),"")</f>
        <v>-4.2194092827002594E-3</v>
      </c>
      <c r="Q98" s="129">
        <f>IFERROR(IF(OR(NOT(ISNUMBER('Price History'!Q99)),NOT(ISNUMBER('Price History'!Q98)),'Price History'!Q98=0),"",'Price History'!Q99/'Price History'!Q98-1),"")</f>
        <v>3.5166240409207905E-3</v>
      </c>
      <c r="R98" s="129">
        <f>IFERROR(IF(OR(NOT(ISNUMBER('Price History'!R99)),NOT(ISNUMBER('Price History'!R98)),'Price History'!R98=0),"",'Price History'!R99/'Price History'!R98-1),"")</f>
        <v>6.1401651492696274E-3</v>
      </c>
      <c r="S98" s="129">
        <f>IFERROR(IF(OR(NOT(ISNUMBER('Price History'!S99)),NOT(ISNUMBER('Price History'!S98)),'Price History'!S98=0),"",'Price History'!S99/'Price History'!S98-1),"")</f>
        <v>1.4858171994597047E-2</v>
      </c>
      <c r="T98" s="129">
        <f>IFERROR(IF(OR(NOT(ISNUMBER('Price History'!T99)),NOT(ISNUMBER('Price History'!T98)),'Price History'!T98=0),"",'Price History'!T99/'Price History'!T98-1),"")</f>
        <v>-2.1264530762687861E-2</v>
      </c>
      <c r="U98" s="129">
        <f>IFERROR(IF(OR(NOT(ISNUMBER('Price History'!U99)),NOT(ISNUMBER('Price History'!U98)),'Price History'!U98=0),"",'Price History'!U99/'Price History'!U98-1),"")</f>
        <v>-1.1089866156787753E-2</v>
      </c>
      <c r="V98" s="130">
        <f>IFERROR(IF(OR(NOT(ISNUMBER('Price History'!V99)),NOT(ISNUMBER('Price History'!V98)),'Price History'!V98=0),"",'Price History'!V99/'Price History'!V98-1),"")</f>
        <v>3.2214998839099618E-3</v>
      </c>
      <c r="W98" s="131">
        <f>IFERROR('Price History'!B3+(INDEX('Price History'!B:B,MATCH(9.99E+307,'Returns (Calc)'!$A:$A)+1)-'Price History'!B3)*(ROW()-3)/(MATCH(9.99E+307,'Returns (Calc)'!$A:$A)-3),"")</f>
        <v>353.80139240506327</v>
      </c>
      <c r="X98" s="131">
        <f>IFERROR('Price History'!C3+(INDEX('Price History'!C:C,MATCH(9.99E+307,'Returns (Calc)'!$A:$A)+1)-'Price History'!C3)*(ROW()-3)/(MATCH(9.99E+307,'Returns (Calc)'!$A:$A)-3),"")</f>
        <v>143.08601265822784</v>
      </c>
      <c r="Y98" s="131">
        <f>IFERROR('Price History'!D3+(INDEX('Price History'!D:D,MATCH(9.99E+307,'Returns (Calc)'!$A:$A)+1)-'Price History'!D3)*(ROW()-3)/(MATCH(9.99E+307,'Returns (Calc)'!$A:$A)-3),"")</f>
        <v>1354.8169620253166</v>
      </c>
      <c r="Z98" s="131">
        <f>IFERROR('Price History'!E3+(INDEX('Price History'!E:E,MATCH(9.99E+307,'Returns (Calc)'!$A:$A)+1)-'Price History'!E3)*(ROW()-3)/(MATCH(9.99E+307,'Returns (Calc)'!$A:$A)-3),"")</f>
        <v>246.22974683544302</v>
      </c>
      <c r="AA98" s="131">
        <f>IFERROR('Price History'!F3+(INDEX('Price History'!F:F,MATCH(9.99E+307,'Returns (Calc)'!$A:$A)+1)-'Price History'!F3)*(ROW()-3)/(MATCH(9.99E+307,'Returns (Calc)'!$A:$A)-3),"")</f>
        <v>178.85746835443041</v>
      </c>
      <c r="AB98" s="131">
        <f>IFERROR('Price History'!G3+(INDEX('Price History'!G:G,MATCH(9.99E+307,'Returns (Calc)'!$A:$A)+1)-'Price History'!G3)*(ROW()-3)/(MATCH(9.99E+307,'Returns (Calc)'!$A:$A)-3),"")</f>
        <v>142.07974683544305</v>
      </c>
      <c r="AC98" s="131">
        <f>IFERROR('Price History'!H3+(INDEX('Price History'!H:H,MATCH(9.99E+307,'Returns (Calc)'!$A:$A)+1)-'Price History'!H3)*(ROW()-3)/(MATCH(9.99E+307,'Returns (Calc)'!$A:$A)-3),"")</f>
        <v>673.85113924050643</v>
      </c>
      <c r="AD98" s="131">
        <f>IFERROR('Price History'!I3+(INDEX('Price History'!I:I,MATCH(9.99E+307,'Returns (Calc)'!$A:$A)+1)-'Price History'!I3)*(ROW()-3)/(MATCH(9.99E+307,'Returns (Calc)'!$A:$A)-3),"")</f>
        <v>158.11873417721517</v>
      </c>
      <c r="AE98" s="131">
        <f>IFERROR('Price History'!J3+(INDEX('Price History'!J:J,MATCH(9.99E+307,'Returns (Calc)'!$A:$A)+1)-'Price History'!J3)*(ROW()-3)/(MATCH(9.99E+307,'Returns (Calc)'!$A:$A)-3),"")</f>
        <v>122.1036075949367</v>
      </c>
      <c r="AF98" s="131">
        <f>IFERROR('Price History'!K3+(INDEX('Price History'!K:K,MATCH(9.99E+307,'Returns (Calc)'!$A:$A)+1)-'Price History'!K3)*(ROW()-3)/(MATCH(9.99E+307,'Returns (Calc)'!$A:$A)-3),"")</f>
        <v>119.60151898734176</v>
      </c>
      <c r="AG98" s="131">
        <f>IFERROR('Price History'!L3+(INDEX('Price History'!L:L,MATCH(9.99E+307,'Returns (Calc)'!$A:$A)+1)-'Price History'!L3)*(ROW()-3)/(MATCH(9.99E+307,'Returns (Calc)'!$A:$A)-3),"")</f>
        <v>318.45791139240509</v>
      </c>
      <c r="AH98" s="131">
        <f>IFERROR('Price History'!M3+(INDEX('Price History'!M:M,MATCH(9.99E+307,'Returns (Calc)'!$A:$A)+1)-'Price History'!M3)*(ROW()-3)/(MATCH(9.99E+307,'Returns (Calc)'!$A:$A)-3),"")</f>
        <v>166.78708860759494</v>
      </c>
      <c r="AI98" s="131">
        <f>IFERROR('Price History'!N3+(INDEX('Price History'!N:N,MATCH(9.99E+307,'Returns (Calc)'!$A:$A)+1)-'Price History'!N3)*(ROW()-3)/(MATCH(9.99E+307,'Returns (Calc)'!$A:$A)-3),"")</f>
        <v>442.59525316455699</v>
      </c>
      <c r="AJ98" s="131">
        <f>IFERROR('Price History'!O3+(INDEX('Price History'!O:O,MATCH(9.99E+307,'Returns (Calc)'!$A:$A)+1)-'Price History'!O3)*(ROW()-3)/(MATCH(9.99E+307,'Returns (Calc)'!$A:$A)-3),"")</f>
        <v>102.1986075949367</v>
      </c>
      <c r="AK98" s="131">
        <f>IFERROR('Price History'!Q3+(INDEX('Price History'!Q:Q,MATCH(9.99E+307,'Returns (Calc)'!$A:$A)+1)-'Price History'!Q3)*(ROW()-3)/(MATCH(9.99E+307,'Returns (Calc)'!$A:$A)-3),"")</f>
        <v>41.739873417721519</v>
      </c>
      <c r="AL98" s="131">
        <f>IFERROR('Price History'!R3+(INDEX('Price History'!R:R,MATCH(9.99E+307,'Returns (Calc)'!$A:$A)+1)-'Price History'!R3)*(ROW()-3)/(MATCH(9.99E+307,'Returns (Calc)'!$A:$A)-3),"")</f>
        <v>50.449620253164554</v>
      </c>
      <c r="AM98" s="131">
        <f>IFERROR('Price History'!S3+(INDEX('Price History'!S:S,MATCH(9.99E+307,'Returns (Calc)'!$A:$A)+1)-'Price History'!S3)*(ROW()-3)/(MATCH(9.99E+307,'Returns (Calc)'!$A:$A)-3),"")</f>
        <v>115.11101265822785</v>
      </c>
      <c r="AN98" s="131">
        <f>IFERROR('Price History'!T3+(INDEX('Price History'!T:T,MATCH(9.99E+307,'Returns (Calc)'!$A:$A)+1)-'Price History'!T3)*(ROW()-3)/(MATCH(9.99E+307,'Returns (Calc)'!$A:$A)-3),"")</f>
        <v>41.22164556962025</v>
      </c>
      <c r="AO98" s="132">
        <f>IFERROR('Price History'!V3+(INDEX('Price History'!V:V,MATCH(9.99E+307,'Returns (Calc)'!$A:$A)+1)-'Price History'!V3)*(ROW()-3)/(MATCH(9.99E+307,'Returns (Calc)'!$A:$A)-3),"")</f>
        <v>310.80626582278484</v>
      </c>
      <c r="AP98" s="130">
        <f>IFERROR(IF(OR(NOT(ISNUMBER('Price History'!W99)),NOT(ISNUMBER('Price History'!W98)),'Price History'!W98=0),"",'Price History'!W99/'Price History'!W98-1),"")</f>
        <v>-1.5280006112001754E-3</v>
      </c>
      <c r="AQ98" s="130" t="str">
        <f>IFERROR(IF(OR(NOT(ISNUMBER('Price History'!X99)),NOT(ISNUMBER('Price History'!X98)),'Price History'!X98=0),"",'Price History'!X99/'Price History'!X98-1),"")</f>
        <v/>
      </c>
      <c r="AR98" s="130">
        <f>IFERROR(IF(OR(NOT(ISNUMBER('Price History'!Y99)),NOT(ISNUMBER('Price History'!Y98)),'Price History'!Y98=0),"",'Price History'!Y99/'Price History'!Y98-1),"")</f>
        <v>3.6957790313170147E-3</v>
      </c>
      <c r="AS98" s="130">
        <f>IFERROR(IF(OR(NOT(ISNUMBER('Price History'!Z99)),NOT(ISNUMBER('Price History'!Z98)),'Price History'!Z98=0),"",'Price History'!Z99/'Price History'!Z98-1),"")</f>
        <v>3.0732302364931297E-2</v>
      </c>
      <c r="AT98" s="130">
        <f>IFERROR(IF(OR(NOT(ISNUMBER('Price History'!AA99)),NOT(ISNUMBER('Price History'!AA98)),'Price History'!AA98=0),"",'Price History'!AA99/'Price History'!AA98-1),"")</f>
        <v>-2.8833025459802486E-2</v>
      </c>
    </row>
    <row r="99" spans="1:46" ht="15" customHeight="1" x14ac:dyDescent="0.2">
      <c r="A99" s="128">
        <f>IF('Price History'!A100="","",'Price History'!A100)</f>
        <v>45863</v>
      </c>
      <c r="B99" s="129">
        <f>IFERROR(IF(OR(NOT(ISNUMBER('Price History'!B100)),NOT(ISNUMBER('Price History'!B99)),'Price History'!B99=0),"",'Price History'!B100/'Price History'!B99-1),"")</f>
        <v>1.3532354629705479E-2</v>
      </c>
      <c r="C99" s="129">
        <f>IFERROR(IF(OR(NOT(ISNUMBER('Price History'!C100)),NOT(ISNUMBER('Price History'!C99)),'Price History'!C99=0),"",'Price History'!C100/'Price History'!C99-1),"")</f>
        <v>2.2365360529611689E-2</v>
      </c>
      <c r="D99" s="129">
        <f>IFERROR(IF(OR(NOT(ISNUMBER('Price History'!D100)),NOT(ISNUMBER('Price History'!D99)),'Price History'!D99=0),"",'Price History'!D100/'Price History'!D99-1),"")</f>
        <v>-3.1761295728984895E-2</v>
      </c>
      <c r="E99" s="129">
        <f>IFERROR(IF(OR(NOT(ISNUMBER('Price History'!E100)),NOT(ISNUMBER('Price History'!E99)),'Price History'!E99=0),"",'Price History'!E100/'Price History'!E99-1),"")</f>
        <v>2.4147879046906739E-2</v>
      </c>
      <c r="F99" s="129">
        <f>IFERROR(IF(OR(NOT(ISNUMBER('Price History'!F100)),NOT(ISNUMBER('Price History'!F99)),'Price History'!F99=0),"",'Price History'!F100/'Price History'!F99-1),"")</f>
        <v>-1.6892175813093435E-2</v>
      </c>
      <c r="G99" s="129">
        <f>IFERROR(IF(OR(NOT(ISNUMBER('Price History'!G100)),NOT(ISNUMBER('Price History'!G99)),'Price History'!G99=0),"",'Price History'!G100/'Price History'!G99-1),"")</f>
        <v>-3.1165458283735514E-2</v>
      </c>
      <c r="H99" s="129">
        <f>IFERROR(IF(OR(NOT(ISNUMBER('Price History'!H100)),NOT(ISNUMBER('Price History'!H99)),'Price History'!H99=0),"",'Price History'!H100/'Price History'!H99-1),"")</f>
        <v>-2.7405656247263765E-2</v>
      </c>
      <c r="I99" s="129">
        <f>IFERROR(IF(OR(NOT(ISNUMBER('Price History'!I100)),NOT(ISNUMBER('Price History'!I99)),'Price History'!I99=0),"",'Price History'!I100/'Price History'!I99-1),"")</f>
        <v>6.3375777661491828E-3</v>
      </c>
      <c r="J99" s="129">
        <f>IFERROR(IF(OR(NOT(ISNUMBER('Price History'!J100)),NOT(ISNUMBER('Price History'!J99)),'Price History'!J99=0),"",'Price History'!J100/'Price History'!J99-1),"")</f>
        <v>3.2940259233992686E-2</v>
      </c>
      <c r="K99" s="129">
        <f>IFERROR(IF(OR(NOT(ISNUMBER('Price History'!K100)),NOT(ISNUMBER('Price History'!K99)),'Price History'!K99=0),"",'Price History'!K100/'Price History'!K99-1),"")</f>
        <v>3.4392912975508061E-2</v>
      </c>
      <c r="L99" s="129">
        <f>IFERROR(IF(OR(NOT(ISNUMBER('Price History'!L100)),NOT(ISNUMBER('Price History'!L99)),'Price History'!L99=0),"",'Price History'!L100/'Price History'!L99-1),"")</f>
        <v>2.1633703032092111E-2</v>
      </c>
      <c r="M99" s="129">
        <f>IFERROR(IF(OR(NOT(ISNUMBER('Price History'!M100)),NOT(ISNUMBER('Price History'!M99)),'Price History'!M99=0),"",'Price History'!M100/'Price History'!M99-1),"")</f>
        <v>6.5171851966793426E-2</v>
      </c>
      <c r="N99" s="129">
        <f>IFERROR(IF(OR(NOT(ISNUMBER('Price History'!N100)),NOT(ISNUMBER('Price History'!N99)),'Price History'!N99=0),"",'Price History'!N100/'Price History'!N99-1),"")</f>
        <v>2.1400143537548155E-2</v>
      </c>
      <c r="O99" s="129">
        <f>IFERROR(IF(OR(NOT(ISNUMBER('Price History'!O100)),NOT(ISNUMBER('Price History'!O99)),'Price History'!O99=0),"",'Price History'!O100/'Price History'!O99-1),"")</f>
        <v>1.4763352149370412E-2</v>
      </c>
      <c r="P99" s="129">
        <f>IFERROR(IF(OR(NOT(ISNUMBER('Price History'!P100)),NOT(ISNUMBER('Price History'!P99)),'Price History'!P99=0),"",'Price History'!P100/'Price History'!P99-1),"")</f>
        <v>1.8181818181818077E-2</v>
      </c>
      <c r="Q99" s="129">
        <f>IFERROR(IF(OR(NOT(ISNUMBER('Price History'!Q100)),NOT(ISNUMBER('Price History'!Q99)),'Price History'!Q99=0),"",'Price History'!Q100/'Price History'!Q99-1),"")</f>
        <v>2.2300095571838874E-3</v>
      </c>
      <c r="R99" s="129">
        <f>IFERROR(IF(OR(NOT(ISNUMBER('Price History'!R100)),NOT(ISNUMBER('Price History'!R99)),'Price History'!R99=0),"",'Price History'!R100/'Price History'!R99-1),"")</f>
        <v>7.1548821548821362E-3</v>
      </c>
      <c r="S99" s="129">
        <f>IFERROR(IF(OR(NOT(ISNUMBER('Price History'!S100)),NOT(ISNUMBER('Price History'!S99)),'Price History'!S99=0),"",'Price History'!S100/'Price History'!S99-1),"")</f>
        <v>1.055900621118E-2</v>
      </c>
      <c r="T99" s="129">
        <f>IFERROR(IF(OR(NOT(ISNUMBER('Price History'!T100)),NOT(ISNUMBER('Price History'!T99)),'Price History'!T99=0),"",'Price History'!T100/'Price History'!T99-1),"")</f>
        <v>2.2016222479721792E-2</v>
      </c>
      <c r="U99" s="129">
        <f>IFERROR(IF(OR(NOT(ISNUMBER('Price History'!U100)),NOT(ISNUMBER('Price History'!U99)),'Price History'!U99=0),"",'Price History'!U100/'Price History'!U99-1),"")</f>
        <v>1.0827532869296164E-2</v>
      </c>
      <c r="V99" s="130">
        <f>IFERROR(IF(OR(NOT(ISNUMBER('Price History'!V100)),NOT(ISNUMBER('Price History'!V99)),'Price History'!V99=0),"",'Price History'!V100/'Price History'!V99-1),"")</f>
        <v>2.2912025920675649E-2</v>
      </c>
      <c r="W99" s="131">
        <f>IFERROR('Price History'!B3+(INDEX('Price History'!B:B,MATCH(9.99E+307,'Returns (Calc)'!$A:$A)+1)-'Price History'!B3)*(ROW()-3)/(MATCH(9.99E+307,'Returns (Calc)'!$A:$A)-3),"")</f>
        <v>351.95835443037976</v>
      </c>
      <c r="X99" s="131">
        <f>IFERROR('Price History'!C3+(INDEX('Price History'!C:C,MATCH(9.99E+307,'Returns (Calc)'!$A:$A)+1)-'Price History'!C3)*(ROW()-3)/(MATCH(9.99E+307,'Returns (Calc)'!$A:$A)-3),"")</f>
        <v>144.1060759493671</v>
      </c>
      <c r="Y99" s="131">
        <f>IFERROR('Price History'!D3+(INDEX('Price History'!D:D,MATCH(9.99E+307,'Returns (Calc)'!$A:$A)+1)-'Price History'!D3)*(ROW()-3)/(MATCH(9.99E+307,'Returns (Calc)'!$A:$A)-3),"")</f>
        <v>1362.9517721518987</v>
      </c>
      <c r="Z99" s="131">
        <f>IFERROR('Price History'!E3+(INDEX('Price History'!E:E,MATCH(9.99E+307,'Returns (Calc)'!$A:$A)+1)-'Price History'!E3)*(ROW()-3)/(MATCH(9.99E+307,'Returns (Calc)'!$A:$A)-3),"")</f>
        <v>247.95848101265821</v>
      </c>
      <c r="AA99" s="131">
        <f>IFERROR('Price History'!F3+(INDEX('Price History'!F:F,MATCH(9.99E+307,'Returns (Calc)'!$A:$A)+1)-'Price History'!F3)*(ROW()-3)/(MATCH(9.99E+307,'Returns (Calc)'!$A:$A)-3),"")</f>
        <v>180.30481012658225</v>
      </c>
      <c r="AB99" s="131">
        <f>IFERROR('Price History'!G3+(INDEX('Price History'!G:G,MATCH(9.99E+307,'Returns (Calc)'!$A:$A)+1)-'Price History'!G3)*(ROW()-3)/(MATCH(9.99E+307,'Returns (Calc)'!$A:$A)-3),"")</f>
        <v>143.10848101265822</v>
      </c>
      <c r="AC99" s="131">
        <f>IFERROR('Price History'!H3+(INDEX('Price History'!H:H,MATCH(9.99E+307,'Returns (Calc)'!$A:$A)+1)-'Price History'!H3)*(ROW()-3)/(MATCH(9.99E+307,'Returns (Calc)'!$A:$A)-3),"")</f>
        <v>680.21683544303801</v>
      </c>
      <c r="AD99" s="131">
        <f>IFERROR('Price History'!I3+(INDEX('Price History'!I:I,MATCH(9.99E+307,'Returns (Calc)'!$A:$A)+1)-'Price History'!I3)*(ROW()-3)/(MATCH(9.99E+307,'Returns (Calc)'!$A:$A)-3),"")</f>
        <v>159.32240506329114</v>
      </c>
      <c r="AE99" s="131">
        <f>IFERROR('Price History'!J3+(INDEX('Price History'!J:J,MATCH(9.99E+307,'Returns (Calc)'!$A:$A)+1)-'Price History'!J3)*(ROW()-3)/(MATCH(9.99E+307,'Returns (Calc)'!$A:$A)-3),"")</f>
        <v>122.21164556962026</v>
      </c>
      <c r="AF99" s="131">
        <f>IFERROR('Price History'!K3+(INDEX('Price History'!K:K,MATCH(9.99E+307,'Returns (Calc)'!$A:$A)+1)-'Price History'!K3)*(ROW()-3)/(MATCH(9.99E+307,'Returns (Calc)'!$A:$A)-3),"")</f>
        <v>120.69911392405064</v>
      </c>
      <c r="AG99" s="131">
        <f>IFERROR('Price History'!L3+(INDEX('Price History'!L:L,MATCH(9.99E+307,'Returns (Calc)'!$A:$A)+1)-'Price History'!L3)*(ROW()-3)/(MATCH(9.99E+307,'Returns (Calc)'!$A:$A)-3),"")</f>
        <v>320.90746835443036</v>
      </c>
      <c r="AH99" s="131">
        <f>IFERROR('Price History'!M3+(INDEX('Price History'!M:M,MATCH(9.99E+307,'Returns (Calc)'!$A:$A)+1)-'Price History'!M3)*(ROW()-3)/(MATCH(9.99E+307,'Returns (Calc)'!$A:$A)-3),"")</f>
        <v>168.14253164556965</v>
      </c>
      <c r="AI99" s="131">
        <f>IFERROR('Price History'!N3+(INDEX('Price History'!N:N,MATCH(9.99E+307,'Returns (Calc)'!$A:$A)+1)-'Price History'!N3)*(ROW()-3)/(MATCH(9.99E+307,'Returns (Calc)'!$A:$A)-3),"")</f>
        <v>443.58151898734178</v>
      </c>
      <c r="AJ99" s="131">
        <f>IFERROR('Price History'!O3+(INDEX('Price History'!O:O,MATCH(9.99E+307,'Returns (Calc)'!$A:$A)+1)-'Price History'!O3)*(ROW()-3)/(MATCH(9.99E+307,'Returns (Calc)'!$A:$A)-3),"")</f>
        <v>102.48164556962026</v>
      </c>
      <c r="AK99" s="131">
        <f>IFERROR('Price History'!Q3+(INDEX('Price History'!Q:Q,MATCH(9.99E+307,'Returns (Calc)'!$A:$A)+1)-'Price History'!Q3)*(ROW()-3)/(MATCH(9.99E+307,'Returns (Calc)'!$A:$A)-3),"")</f>
        <v>42.179240506329116</v>
      </c>
      <c r="AL99" s="131">
        <f>IFERROR('Price History'!R3+(INDEX('Price History'!R:R,MATCH(9.99E+307,'Returns (Calc)'!$A:$A)+1)-'Price History'!R3)*(ROW()-3)/(MATCH(9.99E+307,'Returns (Calc)'!$A:$A)-3),"")</f>
        <v>50.617721518987338</v>
      </c>
      <c r="AM99" s="131">
        <f>IFERROR('Price History'!S3+(INDEX('Price History'!S:S,MATCH(9.99E+307,'Returns (Calc)'!$A:$A)+1)-'Price History'!S3)*(ROW()-3)/(MATCH(9.99E+307,'Returns (Calc)'!$A:$A)-3),"")</f>
        <v>115.71607594936708</v>
      </c>
      <c r="AN99" s="131">
        <f>IFERROR('Price History'!T3+(INDEX('Price History'!T:T,MATCH(9.99E+307,'Returns (Calc)'!$A:$A)+1)-'Price History'!T3)*(ROW()-3)/(MATCH(9.99E+307,'Returns (Calc)'!$A:$A)-3),"")</f>
        <v>41.389873417721518</v>
      </c>
      <c r="AO99" s="132">
        <f>IFERROR('Price History'!V3+(INDEX('Price History'!V:V,MATCH(9.99E+307,'Returns (Calc)'!$A:$A)+1)-'Price History'!V3)*(ROW()-3)/(MATCH(9.99E+307,'Returns (Calc)'!$A:$A)-3),"")</f>
        <v>311.5975949367089</v>
      </c>
      <c r="AP99" s="130">
        <f>IFERROR(IF(OR(NOT(ISNUMBER('Price History'!W100)),NOT(ISNUMBER('Price History'!W99)),'Price History'!W99=0),"",'Price History'!W100/'Price History'!W99-1),"")</f>
        <v>1.4155635473257266E-2</v>
      </c>
      <c r="AQ99" s="130" t="str">
        <f>IFERROR(IF(OR(NOT(ISNUMBER('Price History'!X100)),NOT(ISNUMBER('Price History'!X99)),'Price History'!X99=0),"",'Price History'!X100/'Price History'!X99-1),"")</f>
        <v/>
      </c>
      <c r="AR99" s="130">
        <f>IFERROR(IF(OR(NOT(ISNUMBER('Price History'!Y100)),NOT(ISNUMBER('Price History'!Y99)),'Price History'!Y99=0),"",'Price History'!Y100/'Price History'!Y99-1),"")</f>
        <v>6.2015503875969546E-3</v>
      </c>
      <c r="AS99" s="130">
        <f>IFERROR(IF(OR(NOT(ISNUMBER('Price History'!Z100)),NOT(ISNUMBER('Price History'!Z99)),'Price History'!Z99=0),"",'Price History'!Z100/'Price History'!Z99-1),"")</f>
        <v>3.161029243338187E-2</v>
      </c>
      <c r="AT99" s="130">
        <f>IFERROR(IF(OR(NOT(ISNUMBER('Price History'!AA100)),NOT(ISNUMBER('Price History'!AA99)),'Price History'!AA99=0),"",'Price History'!AA100/'Price History'!AA99-1),"")</f>
        <v>-2.3734700628514793E-2</v>
      </c>
    </row>
    <row r="100" spans="1:46" ht="15" customHeight="1" x14ac:dyDescent="0.2">
      <c r="A100" s="128">
        <f>IF('Price History'!A101="","",'Price History'!A101)</f>
        <v>45870</v>
      </c>
      <c r="B100" s="129">
        <f>IFERROR(IF(OR(NOT(ISNUMBER('Price History'!B101)),NOT(ISNUMBER('Price History'!B100)),'Price History'!B100=0),"",'Price History'!B101/'Price History'!B100-1),"")</f>
        <v>-6.187624750498999E-2</v>
      </c>
      <c r="C100" s="129">
        <f>IFERROR(IF(OR(NOT(ISNUMBER('Price History'!C101)),NOT(ISNUMBER('Price History'!C100)),'Price History'!C100=0),"",'Price History'!C101/'Price History'!C100-1),"")</f>
        <v>2.878893944697225E-2</v>
      </c>
      <c r="D100" s="129">
        <f>IFERROR(IF(OR(NOT(ISNUMBER('Price History'!D101)),NOT(ISNUMBER('Price History'!D100)),'Price History'!D100=0),"",'Price History'!D101/'Price History'!D100-1),"")</f>
        <v>-2.766703083100408E-2</v>
      </c>
      <c r="E100" s="129">
        <f>IFERROR(IF(OR(NOT(ISNUMBER('Price History'!E101)),NOT(ISNUMBER('Price History'!E100)),'Price History'!E100=0),"",'Price History'!E101/'Price History'!E100-1),"")</f>
        <v>-5.3208137715180515E-3</v>
      </c>
      <c r="F100" s="129">
        <f>IFERROR(IF(OR(NOT(ISNUMBER('Price History'!F101)),NOT(ISNUMBER('Price History'!F100)),'Price History'!F100=0),"",'Price History'!F101/'Price History'!F100-1),"")</f>
        <v>-4.5392374764917087E-2</v>
      </c>
      <c r="G100" s="129">
        <f>IFERROR(IF(OR(NOT(ISNUMBER('Price History'!G101)),NOT(ISNUMBER('Price History'!G100)),'Price History'!G100=0),"",'Price History'!G101/'Price History'!G100-1),"")</f>
        <v>-1.7089243828884215E-2</v>
      </c>
      <c r="H100" s="129">
        <f>IFERROR(IF(OR(NOT(ISNUMBER('Price History'!H101)),NOT(ISNUMBER('Price History'!H100)),'Price History'!H100=0),"",'Price History'!H101/'Price History'!H100-1),"")</f>
        <v>-5.7346056895930864E-2</v>
      </c>
      <c r="I100" s="129">
        <f>IFERROR(IF(OR(NOT(ISNUMBER('Price History'!I101)),NOT(ISNUMBER('Price History'!I100)),'Price History'!I100=0),"",'Price History'!I101/'Price History'!I100-1),"")</f>
        <v>1.2710885139819439E-3</v>
      </c>
      <c r="J100" s="129">
        <f>IFERROR(IF(OR(NOT(ISNUMBER('Price History'!J101)),NOT(ISNUMBER('Price History'!J100)),'Price History'!J100=0),"",'Price History'!J101/'Price History'!J100-1),"")</f>
        <v>-4.8778186621379449E-2</v>
      </c>
      <c r="K100" s="129">
        <f>IFERROR(IF(OR(NOT(ISNUMBER('Price History'!K101)),NOT(ISNUMBER('Price History'!K100)),'Price History'!K100=0),"",'Price History'!K101/'Price History'!K100-1),"")</f>
        <v>-2.8526448362720447E-2</v>
      </c>
      <c r="L100" s="129">
        <f>IFERROR(IF(OR(NOT(ISNUMBER('Price History'!L101)),NOT(ISNUMBER('Price History'!L100)),'Price History'!L100=0),"",'Price History'!L101/'Price History'!L100-1),"")</f>
        <v>-4.230991496739045E-2</v>
      </c>
      <c r="M100" s="129">
        <f>IFERROR(IF(OR(NOT(ISNUMBER('Price History'!M101)),NOT(ISNUMBER('Price History'!M100)),'Price History'!M100=0),"",'Price History'!M101/'Price History'!M100-1),"")</f>
        <v>2.9936630490203342E-2</v>
      </c>
      <c r="N100" s="129">
        <f>IFERROR(IF(OR(NOT(ISNUMBER('Price History'!N101)),NOT(ISNUMBER('Price History'!N100)),'Price History'!N100=0),"",'Price History'!N101/'Price History'!N100-1),"")</f>
        <v>-1.6011923773022407E-2</v>
      </c>
      <c r="O100" s="129">
        <f>IFERROR(IF(OR(NOT(ISNUMBER('Price History'!O101)),NOT(ISNUMBER('Price History'!O100)),'Price History'!O100=0),"",'Price History'!O101/'Price History'!O100-1),"")</f>
        <v>-5.0278134360291049E-2</v>
      </c>
      <c r="P100" s="129">
        <f>IFERROR(IF(OR(NOT(ISNUMBER('Price History'!P101)),NOT(ISNUMBER('Price History'!P100)),'Price History'!P100=0),"",'Price History'!P101/'Price History'!P100-1),"")</f>
        <v>-3.0039346246973353E-2</v>
      </c>
      <c r="Q100" s="129">
        <f>IFERROR(IF(OR(NOT(ISNUMBER('Price History'!Q101)),NOT(ISNUMBER('Price History'!Q100)),'Price History'!Q100=0),"",'Price History'!Q101/'Price History'!Q100-1),"")</f>
        <v>-1.0489510489510523E-2</v>
      </c>
      <c r="R100" s="129">
        <f>IFERROR(IF(OR(NOT(ISNUMBER('Price History'!R101)),NOT(ISNUMBER('Price History'!R100)),'Price History'!R100=0),"",'Price History'!R101/'Price History'!R100-1),"")</f>
        <v>-1.5252820727120753E-2</v>
      </c>
      <c r="S100" s="129">
        <f>IFERROR(IF(OR(NOT(ISNUMBER('Price History'!S101)),NOT(ISNUMBER('Price History'!S100)),'Price History'!S100=0),"",'Price History'!S101/'Price History'!S100-1),"")</f>
        <v>-1.5716919834928511E-2</v>
      </c>
      <c r="T100" s="129">
        <f>IFERROR(IF(OR(NOT(ISNUMBER('Price History'!T101)),NOT(ISNUMBER('Price History'!T100)),'Price History'!T100=0),"",'Price History'!T101/'Price History'!T100-1),"")</f>
        <v>-4.1950113378684928E-2</v>
      </c>
      <c r="U100" s="129">
        <f>IFERROR(IF(OR(NOT(ISNUMBER('Price History'!U101)),NOT(ISNUMBER('Price History'!U100)),'Price History'!U100=0),"",'Price History'!U101/'Price History'!U100-1),"")</f>
        <v>-3.4429992348890659E-2</v>
      </c>
      <c r="V100" s="130">
        <f>IFERROR(IF(OR(NOT(ISNUMBER('Price History'!V101)),NOT(ISNUMBER('Price History'!V100)),'Price History'!V100=0),"",'Price History'!V101/'Price History'!V100-1),"")</f>
        <v>-4.9548912582369375E-2</v>
      </c>
      <c r="W100" s="131">
        <f>IFERROR('Price History'!B3+(INDEX('Price History'!B:B,MATCH(9.99E+307,'Returns (Calc)'!$A:$A)+1)-'Price History'!B3)*(ROW()-3)/(MATCH(9.99E+307,'Returns (Calc)'!$A:$A)-3),"")</f>
        <v>350.11531645569619</v>
      </c>
      <c r="X100" s="131">
        <f>IFERROR('Price History'!C3+(INDEX('Price History'!C:C,MATCH(9.99E+307,'Returns (Calc)'!$A:$A)+1)-'Price History'!C3)*(ROW()-3)/(MATCH(9.99E+307,'Returns (Calc)'!$A:$A)-3),"")</f>
        <v>145.12613924050632</v>
      </c>
      <c r="Y100" s="131">
        <f>IFERROR('Price History'!D3+(INDEX('Price History'!D:D,MATCH(9.99E+307,'Returns (Calc)'!$A:$A)+1)-'Price History'!D3)*(ROW()-3)/(MATCH(9.99E+307,'Returns (Calc)'!$A:$A)-3),"")</f>
        <v>1371.0865822784808</v>
      </c>
      <c r="Z100" s="131">
        <f>IFERROR('Price History'!E3+(INDEX('Price History'!E:E,MATCH(9.99E+307,'Returns (Calc)'!$A:$A)+1)-'Price History'!E3)*(ROW()-3)/(MATCH(9.99E+307,'Returns (Calc)'!$A:$A)-3),"")</f>
        <v>249.6872151898734</v>
      </c>
      <c r="AA100" s="131">
        <f>IFERROR('Price History'!F3+(INDEX('Price History'!F:F,MATCH(9.99E+307,'Returns (Calc)'!$A:$A)+1)-'Price History'!F3)*(ROW()-3)/(MATCH(9.99E+307,'Returns (Calc)'!$A:$A)-3),"")</f>
        <v>181.75215189873416</v>
      </c>
      <c r="AB100" s="131">
        <f>IFERROR('Price History'!G3+(INDEX('Price History'!G:G,MATCH(9.99E+307,'Returns (Calc)'!$A:$A)+1)-'Price History'!G3)*(ROW()-3)/(MATCH(9.99E+307,'Returns (Calc)'!$A:$A)-3),"")</f>
        <v>144.13721518987342</v>
      </c>
      <c r="AC100" s="131">
        <f>IFERROR('Price History'!H3+(INDEX('Price History'!H:H,MATCH(9.99E+307,'Returns (Calc)'!$A:$A)+1)-'Price History'!H3)*(ROW()-3)/(MATCH(9.99E+307,'Returns (Calc)'!$A:$A)-3),"")</f>
        <v>686.5825316455697</v>
      </c>
      <c r="AD100" s="131">
        <f>IFERROR('Price History'!I3+(INDEX('Price History'!I:I,MATCH(9.99E+307,'Returns (Calc)'!$A:$A)+1)-'Price History'!I3)*(ROW()-3)/(MATCH(9.99E+307,'Returns (Calc)'!$A:$A)-3),"")</f>
        <v>160.52607594936708</v>
      </c>
      <c r="AE100" s="131">
        <f>IFERROR('Price History'!J3+(INDEX('Price History'!J:J,MATCH(9.99E+307,'Returns (Calc)'!$A:$A)+1)-'Price History'!J3)*(ROW()-3)/(MATCH(9.99E+307,'Returns (Calc)'!$A:$A)-3),"")</f>
        <v>122.3196835443038</v>
      </c>
      <c r="AF100" s="131">
        <f>IFERROR('Price History'!K3+(INDEX('Price History'!K:K,MATCH(9.99E+307,'Returns (Calc)'!$A:$A)+1)-'Price History'!K3)*(ROW()-3)/(MATCH(9.99E+307,'Returns (Calc)'!$A:$A)-3),"")</f>
        <v>121.79670886075948</v>
      </c>
      <c r="AG100" s="131">
        <f>IFERROR('Price History'!L3+(INDEX('Price History'!L:L,MATCH(9.99E+307,'Returns (Calc)'!$A:$A)+1)-'Price History'!L3)*(ROW()-3)/(MATCH(9.99E+307,'Returns (Calc)'!$A:$A)-3),"")</f>
        <v>323.35702531645563</v>
      </c>
      <c r="AH100" s="131">
        <f>IFERROR('Price History'!M3+(INDEX('Price History'!M:M,MATCH(9.99E+307,'Returns (Calc)'!$A:$A)+1)-'Price History'!M3)*(ROW()-3)/(MATCH(9.99E+307,'Returns (Calc)'!$A:$A)-3),"")</f>
        <v>169.49797468354433</v>
      </c>
      <c r="AI100" s="131">
        <f>IFERROR('Price History'!N3+(INDEX('Price History'!N:N,MATCH(9.99E+307,'Returns (Calc)'!$A:$A)+1)-'Price History'!N3)*(ROW()-3)/(MATCH(9.99E+307,'Returns (Calc)'!$A:$A)-3),"")</f>
        <v>444.56778481012657</v>
      </c>
      <c r="AJ100" s="131">
        <f>IFERROR('Price History'!O3+(INDEX('Price History'!O:O,MATCH(9.99E+307,'Returns (Calc)'!$A:$A)+1)-'Price History'!O3)*(ROW()-3)/(MATCH(9.99E+307,'Returns (Calc)'!$A:$A)-3),"")</f>
        <v>102.76468354430381</v>
      </c>
      <c r="AK100" s="131">
        <f>IFERROR('Price History'!Q3+(INDEX('Price History'!Q:Q,MATCH(9.99E+307,'Returns (Calc)'!$A:$A)+1)-'Price History'!Q3)*(ROW()-3)/(MATCH(9.99E+307,'Returns (Calc)'!$A:$A)-3),"")</f>
        <v>42.618607594936705</v>
      </c>
      <c r="AL100" s="131">
        <f>IFERROR('Price History'!R3+(INDEX('Price History'!R:R,MATCH(9.99E+307,'Returns (Calc)'!$A:$A)+1)-'Price History'!R3)*(ROW()-3)/(MATCH(9.99E+307,'Returns (Calc)'!$A:$A)-3),"")</f>
        <v>50.785822784810122</v>
      </c>
      <c r="AM100" s="131">
        <f>IFERROR('Price History'!S3+(INDEX('Price History'!S:S,MATCH(9.99E+307,'Returns (Calc)'!$A:$A)+1)-'Price History'!S3)*(ROW()-3)/(MATCH(9.99E+307,'Returns (Calc)'!$A:$A)-3),"")</f>
        <v>116.32113924050633</v>
      </c>
      <c r="AN100" s="131">
        <f>IFERROR('Price History'!T3+(INDEX('Price History'!T:T,MATCH(9.99E+307,'Returns (Calc)'!$A:$A)+1)-'Price History'!T3)*(ROW()-3)/(MATCH(9.99E+307,'Returns (Calc)'!$A:$A)-3),"")</f>
        <v>41.558101265822785</v>
      </c>
      <c r="AO100" s="132">
        <f>IFERROR('Price History'!V3+(INDEX('Price History'!V:V,MATCH(9.99E+307,'Returns (Calc)'!$A:$A)+1)-'Price History'!V3)*(ROW()-3)/(MATCH(9.99E+307,'Returns (Calc)'!$A:$A)-3),"")</f>
        <v>312.38892405063291</v>
      </c>
      <c r="AP100" s="130">
        <f>IFERROR(IF(OR(NOT(ISNUMBER('Price History'!W101)),NOT(ISNUMBER('Price History'!W100)),'Price History'!W100=0),"",'Price History'!W101/'Price History'!W100-1),"")</f>
        <v>-2.7086162667873892E-2</v>
      </c>
      <c r="AQ100" s="130" t="str">
        <f>IFERROR(IF(OR(NOT(ISNUMBER('Price History'!X101)),NOT(ISNUMBER('Price History'!X100)),'Price History'!X100=0),"",'Price History'!X101/'Price History'!X100-1),"")</f>
        <v/>
      </c>
      <c r="AR100" s="130">
        <f>IFERROR(IF(OR(NOT(ISNUMBER('Price History'!Y101)),NOT(ISNUMBER('Price History'!Y100)),'Price History'!Y100=0),"",'Price History'!Y101/'Price History'!Y100-1),"")</f>
        <v>-2.3690292758089426E-2</v>
      </c>
      <c r="AS100" s="130">
        <f>IFERROR(IF(OR(NOT(ISNUMBER('Price History'!Z101)),NOT(ISNUMBER('Price History'!Z100)),'Price History'!Z100=0),"",'Price History'!Z101/'Price History'!Z100-1),"")</f>
        <v>-8.1415143216639896E-3</v>
      </c>
      <c r="AT100" s="130">
        <f>IFERROR(IF(OR(NOT(ISNUMBER('Price History'!AA101)),NOT(ISNUMBER('Price History'!AA100)),'Price History'!AA100=0),"",'Price History'!AA101/'Price History'!AA100-1),"")</f>
        <v>-1.8551461245235101E-2</v>
      </c>
    </row>
    <row r="101" spans="1:46" ht="15" customHeight="1" x14ac:dyDescent="0.2">
      <c r="A101" s="128">
        <f>IF('Price History'!A102="","",'Price History'!A102)</f>
        <v>45877</v>
      </c>
      <c r="B101" s="129">
        <f>IFERROR(IF(OR(NOT(ISNUMBER('Price History'!B102)),NOT(ISNUMBER('Price History'!B101)),'Price History'!B101=0),"",'Price History'!B102/'Price History'!B101-1),"")</f>
        <v>-1.9407705577918377E-2</v>
      </c>
      <c r="C101" s="129">
        <f>IFERROR(IF(OR(NOT(ISNUMBER('Price History'!C102)),NOT(ISNUMBER('Price History'!C101)),'Price History'!C101=0),"",'Price History'!C102/'Price History'!C101-1),"")</f>
        <v>0.18380539253210859</v>
      </c>
      <c r="D101" s="129">
        <f>IFERROR(IF(OR(NOT(ISNUMBER('Price History'!D102)),NOT(ISNUMBER('Price History'!D101)),'Price History'!D101=0),"",'Price History'!D102/'Price History'!D101-1),"")</f>
        <v>4.7102771008740607E-2</v>
      </c>
      <c r="E101" s="129">
        <f>IFERROR(IF(OR(NOT(ISNUMBER('Price History'!E102)),NOT(ISNUMBER('Price History'!E101)),'Price History'!E101=0),"",'Price History'!E102/'Price History'!E101-1),"")</f>
        <v>5.6569470666387067E-2</v>
      </c>
      <c r="F101" s="129">
        <f>IFERROR(IF(OR(NOT(ISNUMBER('Price History'!F102)),NOT(ISNUMBER('Price History'!F101)),'Price History'!F101=0),"",'Price History'!F102/'Price History'!F101-1),"")</f>
        <v>-4.970000895495652E-2</v>
      </c>
      <c r="G101" s="129">
        <f>IFERROR(IF(OR(NOT(ISNUMBER('Price History'!G102)),NOT(ISNUMBER('Price History'!G101)),'Price History'!G101=0),"",'Price History'!G102/'Price History'!G101-1),"")</f>
        <v>3.1704545454545485E-2</v>
      </c>
      <c r="H101" s="129">
        <f>IFERROR(IF(OR(NOT(ISNUMBER('Price History'!H102)),NOT(ISNUMBER('Price History'!H101)),'Price History'!H101=0),"",'Price History'!H102/'Price History'!H101-1),"")</f>
        <v>0.13360710533855413</v>
      </c>
      <c r="I101" s="129">
        <f>IFERROR(IF(OR(NOT(ISNUMBER('Price History'!I102)),NOT(ISNUMBER('Price History'!I101)),'Price History'!I101=0),"",'Price History'!I102/'Price History'!I101-1),"")</f>
        <v>5.1644547028274701E-2</v>
      </c>
      <c r="J101" s="129">
        <f>IFERROR(IF(OR(NOT(ISNUMBER('Price History'!J102)),NOT(ISNUMBER('Price History'!J101)),'Price History'!J101=0),"",'Price History'!J102/'Price History'!J101-1),"")</f>
        <v>7.3398135290618782E-3</v>
      </c>
      <c r="K101" s="129">
        <f>IFERROR(IF(OR(NOT(ISNUMBER('Price History'!K102)),NOT(ISNUMBER('Price History'!K101)),'Price History'!K101=0),"",'Price History'!K102/'Price History'!K101-1),"")</f>
        <v>0.21190121216049773</v>
      </c>
      <c r="L101" s="129">
        <f>IFERROR(IF(OR(NOT(ISNUMBER('Price History'!L102)),NOT(ISNUMBER('Price History'!L101)),'Price History'!L101=0),"",'Price History'!L102/'Price History'!L101-1),"")</f>
        <v>2.8145338562993061E-2</v>
      </c>
      <c r="M101" s="129">
        <f>IFERROR(IF(OR(NOT(ISNUMBER('Price History'!M102)),NOT(ISNUMBER('Price History'!M101)),'Price History'!M101=0),"",'Price History'!M102/'Price History'!M101-1),"")</f>
        <v>-1.1739745403111734E-2</v>
      </c>
      <c r="N101" s="129">
        <f>IFERROR(IF(OR(NOT(ISNUMBER('Price History'!N102)),NOT(ISNUMBER('Price History'!N101)),'Price History'!N101=0),"",'Price History'!N102/'Price History'!N101-1),"")</f>
        <v>-0.20684655832774324</v>
      </c>
      <c r="O101" s="129">
        <f>IFERROR(IF(OR(NOT(ISNUMBER('Price History'!O102)),NOT(ISNUMBER('Price History'!O101)),'Price History'!O101=0),"",'Price History'!O102/'Price History'!O101-1),"")</f>
        <v>2.3316062176165664E-2</v>
      </c>
      <c r="P101" s="129">
        <f>IFERROR(IF(OR(NOT(ISNUMBER('Price History'!P102)),NOT(ISNUMBER('Price History'!P101)),'Price History'!P101=0),"",'Price History'!P102/'Price History'!P101-1),"")</f>
        <v>1.6147905452843281E-2</v>
      </c>
      <c r="Q101" s="129">
        <f>IFERROR(IF(OR(NOT(ISNUMBER('Price History'!Q102)),NOT(ISNUMBER('Price History'!Q101)),'Price History'!Q101=0),"",'Price History'!Q102/'Price History'!Q101-1),"")</f>
        <v>1.1564407324124559E-2</v>
      </c>
      <c r="R101" s="129">
        <f>IFERROR(IF(OR(NOT(ISNUMBER('Price History'!R102)),NOT(ISNUMBER('Price History'!R101)),'Price History'!R101=0),"",'Price History'!R102/'Price History'!R101-1),"")</f>
        <v>2.8219817525992008E-2</v>
      </c>
      <c r="S101" s="129">
        <f>IFERROR(IF(OR(NOT(ISNUMBER('Price History'!S102)),NOT(ISNUMBER('Price History'!S101)),'Price History'!S101=0),"",'Price History'!S102/'Price History'!S101-1),"")</f>
        <v>3.4968777876895674E-2</v>
      </c>
      <c r="T101" s="129">
        <f>IFERROR(IF(OR(NOT(ISNUMBER('Price History'!T102)),NOT(ISNUMBER('Price History'!T101)),'Price History'!T101=0),"",'Price History'!T102/'Price History'!T101-1),"")</f>
        <v>1.0059171597633254E-2</v>
      </c>
      <c r="U101" s="129">
        <f>IFERROR(IF(OR(NOT(ISNUMBER('Price History'!U102)),NOT(ISNUMBER('Price History'!U101)),'Price History'!U101=0),"",'Price History'!U102/'Price History'!U101-1),"")</f>
        <v>1.9017432646592836E-2</v>
      </c>
      <c r="V101" s="130">
        <f>IFERROR(IF(OR(NOT(ISNUMBER('Price History'!V102)),NOT(ISNUMBER('Price History'!V101)),'Price History'!V101=0),"",'Price History'!V102/'Price History'!V101-1),"")</f>
        <v>-7.5877049424227794E-3</v>
      </c>
      <c r="W101" s="131">
        <f>IFERROR('Price History'!B3+(INDEX('Price History'!B:B,MATCH(9.99E+307,'Returns (Calc)'!$A:$A)+1)-'Price History'!B3)*(ROW()-3)/(MATCH(9.99E+307,'Returns (Calc)'!$A:$A)-3),"")</f>
        <v>348.27227848101268</v>
      </c>
      <c r="X101" s="131">
        <f>IFERROR('Price History'!C3+(INDEX('Price History'!C:C,MATCH(9.99E+307,'Returns (Calc)'!$A:$A)+1)-'Price History'!C3)*(ROW()-3)/(MATCH(9.99E+307,'Returns (Calc)'!$A:$A)-3),"")</f>
        <v>146.14620253164557</v>
      </c>
      <c r="Y101" s="131">
        <f>IFERROR('Price History'!D3+(INDEX('Price History'!D:D,MATCH(9.99E+307,'Returns (Calc)'!$A:$A)+1)-'Price History'!D3)*(ROW()-3)/(MATCH(9.99E+307,'Returns (Calc)'!$A:$A)-3),"")</f>
        <v>1379.2213924050634</v>
      </c>
      <c r="Z101" s="131">
        <f>IFERROR('Price History'!E3+(INDEX('Price History'!E:E,MATCH(9.99E+307,'Returns (Calc)'!$A:$A)+1)-'Price History'!E3)*(ROW()-3)/(MATCH(9.99E+307,'Returns (Calc)'!$A:$A)-3),"")</f>
        <v>251.41594936708859</v>
      </c>
      <c r="AA101" s="131">
        <f>IFERROR('Price History'!F3+(INDEX('Price History'!F:F,MATCH(9.99E+307,'Returns (Calc)'!$A:$A)+1)-'Price History'!F3)*(ROW()-3)/(MATCH(9.99E+307,'Returns (Calc)'!$A:$A)-3),"")</f>
        <v>183.19949367088606</v>
      </c>
      <c r="AB101" s="131">
        <f>IFERROR('Price History'!G3+(INDEX('Price History'!G:G,MATCH(9.99E+307,'Returns (Calc)'!$A:$A)+1)-'Price History'!G3)*(ROW()-3)/(MATCH(9.99E+307,'Returns (Calc)'!$A:$A)-3),"")</f>
        <v>145.16594936708861</v>
      </c>
      <c r="AC101" s="131">
        <f>IFERROR('Price History'!H3+(INDEX('Price History'!H:H,MATCH(9.99E+307,'Returns (Calc)'!$A:$A)+1)-'Price History'!H3)*(ROW()-3)/(MATCH(9.99E+307,'Returns (Calc)'!$A:$A)-3),"")</f>
        <v>692.94822784810128</v>
      </c>
      <c r="AD101" s="131">
        <f>IFERROR('Price History'!I3+(INDEX('Price History'!I:I,MATCH(9.99E+307,'Returns (Calc)'!$A:$A)+1)-'Price History'!I3)*(ROW()-3)/(MATCH(9.99E+307,'Returns (Calc)'!$A:$A)-3),"")</f>
        <v>161.72974683544302</v>
      </c>
      <c r="AE101" s="131">
        <f>IFERROR('Price History'!J3+(INDEX('Price History'!J:J,MATCH(9.99E+307,'Returns (Calc)'!$A:$A)+1)-'Price History'!J3)*(ROW()-3)/(MATCH(9.99E+307,'Returns (Calc)'!$A:$A)-3),"")</f>
        <v>122.42772151898734</v>
      </c>
      <c r="AF101" s="131">
        <f>IFERROR('Price History'!K3+(INDEX('Price History'!K:K,MATCH(9.99E+307,'Returns (Calc)'!$A:$A)+1)-'Price History'!K3)*(ROW()-3)/(MATCH(9.99E+307,'Returns (Calc)'!$A:$A)-3),"")</f>
        <v>122.89430379746835</v>
      </c>
      <c r="AG101" s="131">
        <f>IFERROR('Price History'!L3+(INDEX('Price History'!L:L,MATCH(9.99E+307,'Returns (Calc)'!$A:$A)+1)-'Price History'!L3)*(ROW()-3)/(MATCH(9.99E+307,'Returns (Calc)'!$A:$A)-3),"")</f>
        <v>325.80658227848096</v>
      </c>
      <c r="AH101" s="131">
        <f>IFERROR('Price History'!M3+(INDEX('Price History'!M:M,MATCH(9.99E+307,'Returns (Calc)'!$A:$A)+1)-'Price History'!M3)*(ROW()-3)/(MATCH(9.99E+307,'Returns (Calc)'!$A:$A)-3),"")</f>
        <v>170.85341772151901</v>
      </c>
      <c r="AI101" s="131">
        <f>IFERROR('Price History'!N3+(INDEX('Price History'!N:N,MATCH(9.99E+307,'Returns (Calc)'!$A:$A)+1)-'Price History'!N3)*(ROW()-3)/(MATCH(9.99E+307,'Returns (Calc)'!$A:$A)-3),"")</f>
        <v>445.55405063291141</v>
      </c>
      <c r="AJ101" s="131">
        <f>IFERROR('Price History'!O3+(INDEX('Price History'!O:O,MATCH(9.99E+307,'Returns (Calc)'!$A:$A)+1)-'Price History'!O3)*(ROW()-3)/(MATCH(9.99E+307,'Returns (Calc)'!$A:$A)-3),"")</f>
        <v>103.04772151898734</v>
      </c>
      <c r="AK101" s="131">
        <f>IFERROR('Price History'!Q3+(INDEX('Price History'!Q:Q,MATCH(9.99E+307,'Returns (Calc)'!$A:$A)+1)-'Price History'!Q3)*(ROW()-3)/(MATCH(9.99E+307,'Returns (Calc)'!$A:$A)-3),"")</f>
        <v>43.057974683544302</v>
      </c>
      <c r="AL101" s="131">
        <f>IFERROR('Price History'!R3+(INDEX('Price History'!R:R,MATCH(9.99E+307,'Returns (Calc)'!$A:$A)+1)-'Price History'!R3)*(ROW()-3)/(MATCH(9.99E+307,'Returns (Calc)'!$A:$A)-3),"")</f>
        <v>50.953924050632907</v>
      </c>
      <c r="AM101" s="131">
        <f>IFERROR('Price History'!S3+(INDEX('Price History'!S:S,MATCH(9.99E+307,'Returns (Calc)'!$A:$A)+1)-'Price History'!S3)*(ROW()-3)/(MATCH(9.99E+307,'Returns (Calc)'!$A:$A)-3),"")</f>
        <v>116.92620253164557</v>
      </c>
      <c r="AN101" s="131">
        <f>IFERROR('Price History'!T3+(INDEX('Price History'!T:T,MATCH(9.99E+307,'Returns (Calc)'!$A:$A)+1)-'Price History'!T3)*(ROW()-3)/(MATCH(9.99E+307,'Returns (Calc)'!$A:$A)-3),"")</f>
        <v>41.726329113924052</v>
      </c>
      <c r="AO101" s="132">
        <f>IFERROR('Price History'!V3+(INDEX('Price History'!V:V,MATCH(9.99E+307,'Returns (Calc)'!$A:$A)+1)-'Price History'!V3)*(ROW()-3)/(MATCH(9.99E+307,'Returns (Calc)'!$A:$A)-3),"")</f>
        <v>313.18025316455697</v>
      </c>
      <c r="AP101" s="130">
        <f>IFERROR(IF(OR(NOT(ISNUMBER('Price History'!W102)),NOT(ISNUMBER('Price History'!W101)),'Price History'!W101=0),"",'Price History'!W102/'Price History'!W101-1),"")</f>
        <v>1.8379216750678662E-2</v>
      </c>
      <c r="AQ101" s="130" t="str">
        <f>IFERROR(IF(OR(NOT(ISNUMBER('Price History'!X102)),NOT(ISNUMBER('Price History'!X101)),'Price History'!X101=0),"",'Price History'!X102/'Price History'!X101-1),"")</f>
        <v/>
      </c>
      <c r="AR101" s="130">
        <f>IFERROR(IF(OR(NOT(ISNUMBER('Price History'!Y102)),NOT(ISNUMBER('Price History'!Y101)),'Price History'!Y101=0),"",'Price History'!Y102/'Price History'!Y101-1),"")</f>
        <v>8.0883803511542229E-3</v>
      </c>
      <c r="AS101" s="130">
        <f>IFERROR(IF(OR(NOT(ISNUMBER('Price History'!Z102)),NOT(ISNUMBER('Price History'!Z101)),'Price History'!Z101=0),"",'Price History'!Z102/'Price History'!Z101-1),"")</f>
        <v>2.0893963137079474E-2</v>
      </c>
      <c r="AT101" s="130">
        <f>IFERROR(IF(OR(NOT(ISNUMBER('Price History'!AA102)),NOT(ISNUMBER('Price History'!AA101)),'Price History'!AA101=0),"",'Price History'!AA102/'Price History'!AA101-1),"")</f>
        <v>4.5744864491627846E-2</v>
      </c>
    </row>
    <row r="102" spans="1:46" ht="15" customHeight="1" x14ac:dyDescent="0.2">
      <c r="A102" s="128">
        <f>IF('Price History'!A103="","",'Price History'!A103)</f>
        <v>45884</v>
      </c>
      <c r="B102" s="129">
        <f>IFERROR(IF(OR(NOT(ISNUMBER('Price History'!B103)),NOT(ISNUMBER('Price History'!B102)),'Price History'!B102=0),"",'Price History'!B103/'Price History'!B102-1),"")</f>
        <v>4.0463275179592362E-2</v>
      </c>
      <c r="C102" s="129">
        <f>IFERROR(IF(OR(NOT(ISNUMBER('Price History'!C103)),NOT(ISNUMBER('Price History'!C102)),'Price History'!C102=0),"",'Price History'!C103/'Price History'!C102-1),"")</f>
        <v>-1.35076878861905E-2</v>
      </c>
      <c r="D102" s="129">
        <f>IFERROR(IF(OR(NOT(ISNUMBER('Price History'!D103)),NOT(ISNUMBER('Price History'!D102)),'Price History'!D102=0),"",'Price History'!D103/'Price History'!D102-1),"")</f>
        <v>2.746693794506605E-2</v>
      </c>
      <c r="E102" s="129">
        <f>IFERROR(IF(OR(NOT(ISNUMBER('Price History'!E103)),NOT(ISNUMBER('Price History'!E102)),'Price History'!E102=0),"",'Price History'!E103/'Price History'!E102-1),"")</f>
        <v>4.5003309066844466E-3</v>
      </c>
      <c r="F102" s="129">
        <f>IFERROR(IF(OR(NOT(ISNUMBER('Price History'!F103)),NOT(ISNUMBER('Price History'!F102)),'Price History'!F102=0),"",'Price History'!F103/'Price History'!F102-1),"")</f>
        <v>8.0098002261590473E-3</v>
      </c>
      <c r="G102" s="129">
        <f>IFERROR(IF(OR(NOT(ISNUMBER('Price History'!G103)),NOT(ISNUMBER('Price History'!G102)),'Price History'!G102=0),"",'Price History'!G103/'Price History'!G102-1),"")</f>
        <v>-4.3506994162352708E-2</v>
      </c>
      <c r="H102" s="129">
        <f>IFERROR(IF(OR(NOT(ISNUMBER('Price History'!H103)),NOT(ISNUMBER('Price History'!H102)),'Price History'!H102=0),"",'Price History'!H103/'Price History'!H102-1),"")</f>
        <v>1.6680707666385963E-2</v>
      </c>
      <c r="I102" s="129">
        <f>IFERROR(IF(OR(NOT(ISNUMBER('Price History'!I103)),NOT(ISNUMBER('Price History'!I102)),'Price History'!I102=0),"",'Price History'!I103/'Price History'!I102-1),"")</f>
        <v>-1.229080932784643E-2</v>
      </c>
      <c r="J102" s="129">
        <f>IFERROR(IF(OR(NOT(ISNUMBER('Price History'!J103)),NOT(ISNUMBER('Price History'!J102)),'Price History'!J102=0),"",'Price History'!J103/'Price History'!J102-1),"")</f>
        <v>8.5663647105160834E-3</v>
      </c>
      <c r="K102" s="129">
        <f>IFERROR(IF(OR(NOT(ISNUMBER('Price History'!K103)),NOT(ISNUMBER('Price History'!K102)),'Price History'!K102=0),"",'Price History'!K103/'Price History'!K102-1),"")</f>
        <v>-5.2364142062473418E-2</v>
      </c>
      <c r="L102" s="129">
        <f>IFERROR(IF(OR(NOT(ISNUMBER('Price History'!L103)),NOT(ISNUMBER('Price History'!L102)),'Price History'!L102=0),"",'Price History'!L103/'Price History'!L102-1),"")</f>
        <v>-1.2199211872222726E-2</v>
      </c>
      <c r="M102" s="129">
        <f>IFERROR(IF(OR(NOT(ISNUMBER('Price History'!M103)),NOT(ISNUMBER('Price History'!M102)),'Price History'!M102=0),"",'Price History'!M103/'Price History'!M102-1),"")</f>
        <v>-4.9019607843137414E-2</v>
      </c>
      <c r="N102" s="129">
        <f>IFERROR(IF(OR(NOT(ISNUMBER('Price History'!N103)),NOT(ISNUMBER('Price History'!N102)),'Price History'!N102=0),"",'Price History'!N103/'Price History'!N102-1),"")</f>
        <v>7.1615649042396479E-2</v>
      </c>
      <c r="O102" s="129">
        <f>IFERROR(IF(OR(NOT(ISNUMBER('Price History'!O103)),NOT(ISNUMBER('Price History'!O102)),'Price History'!O102=0),"",'Price History'!O103/'Price History'!O102-1),"")</f>
        <v>2.9829389102916881E-2</v>
      </c>
      <c r="P102" s="129">
        <f>IFERROR(IF(OR(NOT(ISNUMBER('Price History'!P103)),NOT(ISNUMBER('Price History'!P102)),'Price History'!P102=0),"",'Price History'!P103/'Price History'!P102-1),"")</f>
        <v>1.535390756947641E-2</v>
      </c>
      <c r="Q102" s="129">
        <f>IFERROR(IF(OR(NOT(ISNUMBER('Price History'!Q103)),NOT(ISNUMBER('Price History'!Q102)),'Price History'!Q102=0),"",'Price History'!Q103/'Price History'!Q102-1),"")</f>
        <v>7.3039060019053359E-3</v>
      </c>
      <c r="R102" s="129">
        <f>IFERROR(IF(OR(NOT(ISNUMBER('Price History'!R103)),NOT(ISNUMBER('Price History'!R102)),'Price History'!R102=0),"",'Price History'!R103/'Price History'!R102-1),"")</f>
        <v>8.6669418076765758E-3</v>
      </c>
      <c r="S102" s="129">
        <f>IFERROR(IF(OR(NOT(ISNUMBER('Price History'!S103)),NOT(ISNUMBER('Price History'!S102)),'Price History'!S102=0),"",'Price History'!S103/'Price History'!S102-1),"")</f>
        <v>1.0343044302707494E-3</v>
      </c>
      <c r="T102" s="129">
        <f>IFERROR(IF(OR(NOT(ISNUMBER('Price History'!T103)),NOT(ISNUMBER('Price History'!T102)),'Price History'!T102=0),"",'Price History'!T103/'Price History'!T102-1),"")</f>
        <v>3.9543057996485054E-2</v>
      </c>
      <c r="U102" s="129">
        <f>IFERROR(IF(OR(NOT(ISNUMBER('Price History'!U103)),NOT(ISNUMBER('Price History'!U102)),'Price History'!U102=0),"",'Price History'!U103/'Price History'!U102-1),"")</f>
        <v>1.6718506998444793E-2</v>
      </c>
      <c r="V102" s="130">
        <f>IFERROR(IF(OR(NOT(ISNUMBER('Price History'!V103)),NOT(ISNUMBER('Price History'!V102)),'Price History'!V102=0),"",'Price History'!V103/'Price History'!V102-1),"")</f>
        <v>2.4646198129047781E-2</v>
      </c>
      <c r="W102" s="131">
        <f>IFERROR('Price History'!B3+(INDEX('Price History'!B:B,MATCH(9.99E+307,'Returns (Calc)'!$A:$A)+1)-'Price History'!B3)*(ROW()-3)/(MATCH(9.99E+307,'Returns (Calc)'!$A:$A)-3),"")</f>
        <v>346.42924050632911</v>
      </c>
      <c r="X102" s="131">
        <f>IFERROR('Price History'!C3+(INDEX('Price History'!C:C,MATCH(9.99E+307,'Returns (Calc)'!$A:$A)+1)-'Price History'!C3)*(ROW()-3)/(MATCH(9.99E+307,'Returns (Calc)'!$A:$A)-3),"")</f>
        <v>147.16626582278479</v>
      </c>
      <c r="Y102" s="131">
        <f>IFERROR('Price History'!D3+(INDEX('Price History'!D:D,MATCH(9.99E+307,'Returns (Calc)'!$A:$A)+1)-'Price History'!D3)*(ROW()-3)/(MATCH(9.99E+307,'Returns (Calc)'!$A:$A)-3),"")</f>
        <v>1387.3562025316455</v>
      </c>
      <c r="Z102" s="131">
        <f>IFERROR('Price History'!E3+(INDEX('Price History'!E:E,MATCH(9.99E+307,'Returns (Calc)'!$A:$A)+1)-'Price History'!E3)*(ROW()-3)/(MATCH(9.99E+307,'Returns (Calc)'!$A:$A)-3),"")</f>
        <v>253.14468354430377</v>
      </c>
      <c r="AA102" s="131">
        <f>IFERROR('Price History'!F3+(INDEX('Price History'!F:F,MATCH(9.99E+307,'Returns (Calc)'!$A:$A)+1)-'Price History'!F3)*(ROW()-3)/(MATCH(9.99E+307,'Returns (Calc)'!$A:$A)-3),"")</f>
        <v>184.64683544303796</v>
      </c>
      <c r="AB102" s="131">
        <f>IFERROR('Price History'!G3+(INDEX('Price History'!G:G,MATCH(9.99E+307,'Returns (Calc)'!$A:$A)+1)-'Price History'!G3)*(ROW()-3)/(MATCH(9.99E+307,'Returns (Calc)'!$A:$A)-3),"")</f>
        <v>146.19468354430379</v>
      </c>
      <c r="AC102" s="131">
        <f>IFERROR('Price History'!H3+(INDEX('Price History'!H:H,MATCH(9.99E+307,'Returns (Calc)'!$A:$A)+1)-'Price History'!H3)*(ROW()-3)/(MATCH(9.99E+307,'Returns (Calc)'!$A:$A)-3),"")</f>
        <v>699.31392405063298</v>
      </c>
      <c r="AD102" s="131">
        <f>IFERROR('Price History'!I3+(INDEX('Price History'!I:I,MATCH(9.99E+307,'Returns (Calc)'!$A:$A)+1)-'Price History'!I3)*(ROW()-3)/(MATCH(9.99E+307,'Returns (Calc)'!$A:$A)-3),"")</f>
        <v>162.93341772151896</v>
      </c>
      <c r="AE102" s="131">
        <f>IFERROR('Price History'!J3+(INDEX('Price History'!J:J,MATCH(9.99E+307,'Returns (Calc)'!$A:$A)+1)-'Price History'!J3)*(ROW()-3)/(MATCH(9.99E+307,'Returns (Calc)'!$A:$A)-3),"")</f>
        <v>122.53575949367088</v>
      </c>
      <c r="AF102" s="131">
        <f>IFERROR('Price History'!K3+(INDEX('Price History'!K:K,MATCH(9.99E+307,'Returns (Calc)'!$A:$A)+1)-'Price History'!K3)*(ROW()-3)/(MATCH(9.99E+307,'Returns (Calc)'!$A:$A)-3),"")</f>
        <v>123.9918987341772</v>
      </c>
      <c r="AG102" s="131">
        <f>IFERROR('Price History'!L3+(INDEX('Price History'!L:L,MATCH(9.99E+307,'Returns (Calc)'!$A:$A)+1)-'Price History'!L3)*(ROW()-3)/(MATCH(9.99E+307,'Returns (Calc)'!$A:$A)-3),"")</f>
        <v>328.25613924050629</v>
      </c>
      <c r="AH102" s="131">
        <f>IFERROR('Price History'!M3+(INDEX('Price History'!M:M,MATCH(9.99E+307,'Returns (Calc)'!$A:$A)+1)-'Price History'!M3)*(ROW()-3)/(MATCH(9.99E+307,'Returns (Calc)'!$A:$A)-3),"")</f>
        <v>172.20886075949369</v>
      </c>
      <c r="AI102" s="131">
        <f>IFERROR('Price History'!N3+(INDEX('Price History'!N:N,MATCH(9.99E+307,'Returns (Calc)'!$A:$A)+1)-'Price History'!N3)*(ROW()-3)/(MATCH(9.99E+307,'Returns (Calc)'!$A:$A)-3),"")</f>
        <v>446.5403164556962</v>
      </c>
      <c r="AJ102" s="131">
        <f>IFERROR('Price History'!O3+(INDEX('Price History'!O:O,MATCH(9.99E+307,'Returns (Calc)'!$A:$A)+1)-'Price History'!O3)*(ROW()-3)/(MATCH(9.99E+307,'Returns (Calc)'!$A:$A)-3),"")</f>
        <v>103.33075949367088</v>
      </c>
      <c r="AK102" s="131">
        <f>IFERROR('Price History'!Q3+(INDEX('Price History'!Q:Q,MATCH(9.99E+307,'Returns (Calc)'!$A:$A)+1)-'Price History'!Q3)*(ROW()-3)/(MATCH(9.99E+307,'Returns (Calc)'!$A:$A)-3),"")</f>
        <v>43.497341772151898</v>
      </c>
      <c r="AL102" s="131">
        <f>IFERROR('Price History'!R3+(INDEX('Price History'!R:R,MATCH(9.99E+307,'Returns (Calc)'!$A:$A)+1)-'Price History'!R3)*(ROW()-3)/(MATCH(9.99E+307,'Returns (Calc)'!$A:$A)-3),"")</f>
        <v>51.122025316455691</v>
      </c>
      <c r="AM102" s="131">
        <f>IFERROR('Price History'!S3+(INDEX('Price History'!S:S,MATCH(9.99E+307,'Returns (Calc)'!$A:$A)+1)-'Price History'!S3)*(ROW()-3)/(MATCH(9.99E+307,'Returns (Calc)'!$A:$A)-3),"")</f>
        <v>117.5312658227848</v>
      </c>
      <c r="AN102" s="131">
        <f>IFERROR('Price History'!T3+(INDEX('Price History'!T:T,MATCH(9.99E+307,'Returns (Calc)'!$A:$A)+1)-'Price History'!T3)*(ROW()-3)/(MATCH(9.99E+307,'Returns (Calc)'!$A:$A)-3),"")</f>
        <v>41.89455696202532</v>
      </c>
      <c r="AO102" s="132">
        <f>IFERROR('Price History'!V3+(INDEX('Price History'!V:V,MATCH(9.99E+307,'Returns (Calc)'!$A:$A)+1)-'Price History'!V3)*(ROW()-3)/(MATCH(9.99E+307,'Returns (Calc)'!$A:$A)-3),"")</f>
        <v>313.97158227848104</v>
      </c>
      <c r="AP102" s="130">
        <f>IFERROR(IF(OR(NOT(ISNUMBER('Price History'!W103)),NOT(ISNUMBER('Price History'!W102)),'Price History'!W102=0),"",'Price History'!W103/'Price History'!W102-1),"")</f>
        <v>1.2183978068839529E-2</v>
      </c>
      <c r="AQ102" s="130" t="str">
        <f>IFERROR(IF(OR(NOT(ISNUMBER('Price History'!X103)),NOT(ISNUMBER('Price History'!X102)),'Price History'!X102=0),"",'Price History'!X103/'Price History'!X102-1),"")</f>
        <v/>
      </c>
      <c r="AR102" s="130">
        <f>IFERROR(IF(OR(NOT(ISNUMBER('Price History'!Y103)),NOT(ISNUMBER('Price History'!Y102)),'Price History'!Y102=0),"",'Price History'!Y103/'Price History'!Y102-1),"")</f>
        <v>1.1350293542074397E-2</v>
      </c>
      <c r="AS102" s="130">
        <f>IFERROR(IF(OR(NOT(ISNUMBER('Price History'!Z103)),NOT(ISNUMBER('Price History'!Z102)),'Price History'!Z102=0),"",'Price History'!Z103/'Price History'!Z102-1),"")</f>
        <v>-2.6021489657188868E-2</v>
      </c>
      <c r="AT102" s="130">
        <f>IFERROR(IF(OR(NOT(ISNUMBER('Price History'!AA103)),NOT(ISNUMBER('Price History'!AA102)),'Price History'!AA102=0),"",'Price History'!AA103/'Price History'!AA102-1),"")</f>
        <v>2.2532188841201783E-2</v>
      </c>
    </row>
    <row r="103" spans="1:46" ht="15" customHeight="1" x14ac:dyDescent="0.2">
      <c r="A103" s="128">
        <f>IF('Price History'!A104="","",'Price History'!A104)</f>
        <v>45891</v>
      </c>
      <c r="B103" s="129">
        <f>IFERROR(IF(OR(NOT(ISNUMBER('Price History'!B104)),NOT(ISNUMBER('Price History'!B103)),'Price History'!B103=0),"",'Price History'!B104/'Price History'!B103-1),"")</f>
        <v>2.0402987177680521E-2</v>
      </c>
      <c r="C103" s="129">
        <f>IFERROR(IF(OR(NOT(ISNUMBER('Price History'!C104)),NOT(ISNUMBER('Price History'!C103)),'Price History'!C103=0),"",'Price History'!C104/'Price History'!C103-1),"")</f>
        <v>-2.949745083758204E-2</v>
      </c>
      <c r="D103" s="129">
        <f>IFERROR(IF(OR(NOT(ISNUMBER('Price History'!D104)),NOT(ISNUMBER('Price History'!D103)),'Price History'!D103=0),"",'Price History'!D104/'Price History'!D103-1),"")</f>
        <v>1.7157195171572104E-2</v>
      </c>
      <c r="E103" s="129">
        <f>IFERROR(IF(OR(NOT(ISNUMBER('Price History'!E104)),NOT(ISNUMBER('Price History'!E103)),'Price History'!E103=0),"",'Price History'!E104/'Price History'!E103-1),"")</f>
        <v>-4.0288575569903839E-2</v>
      </c>
      <c r="F103" s="129">
        <f>IFERROR(IF(OR(NOT(ISNUMBER('Price History'!F104)),NOT(ISNUMBER('Price History'!F103)),'Price History'!F103=0),"",'Price History'!F104/'Price History'!F103-1),"")</f>
        <v>-1.7107600261755618E-2</v>
      </c>
      <c r="G103" s="129">
        <f>IFERROR(IF(OR(NOT(ISNUMBER('Price History'!G104)),NOT(ISNUMBER('Price History'!G103)),'Price History'!G103=0),"",'Price History'!G104/'Price History'!G103-1),"")</f>
        <v>-3.2243205895901017E-3</v>
      </c>
      <c r="H103" s="129">
        <f>IFERROR(IF(OR(NOT(ISNUMBER('Price History'!H104)),NOT(ISNUMBER('Price History'!H103)),'Price History'!H103=0),"",'Price History'!H104/'Price History'!H103-1),"")</f>
        <v>-2.6433543254889114E-2</v>
      </c>
      <c r="I103" s="129">
        <f>IFERROR(IF(OR(NOT(ISNUMBER('Price History'!I104)),NOT(ISNUMBER('Price History'!I103)),'Price History'!I103=0),"",'Price History'!I104/'Price History'!I103-1),"")</f>
        <v>-1.3665907449586068E-2</v>
      </c>
      <c r="J103" s="129">
        <f>IFERROR(IF(OR(NOT(ISNUMBER('Price History'!J104)),NOT(ISNUMBER('Price History'!J103)),'Price History'!J103=0),"",'Price History'!J104/'Price History'!J103-1),"")</f>
        <v>5.3402323538025875E-2</v>
      </c>
      <c r="K103" s="129">
        <f>IFERROR(IF(OR(NOT(ISNUMBER('Price History'!K104)),NOT(ISNUMBER('Price History'!K103)),'Price History'!K103=0),"",'Price History'!K104/'Price History'!K103-1),"")</f>
        <v>-0.10402438336061404</v>
      </c>
      <c r="L103" s="129">
        <f>IFERROR(IF(OR(NOT(ISNUMBER('Price History'!L104)),NOT(ISNUMBER('Price History'!L103)),'Price History'!L103=0),"",'Price History'!L104/'Price History'!L103-1),"")</f>
        <v>-2.4657301701820677E-2</v>
      </c>
      <c r="M103" s="129">
        <f>IFERROR(IF(OR(NOT(ISNUMBER('Price History'!M104)),NOT(ISNUMBER('Price History'!M103)),'Price History'!M103=0),"",'Price History'!M104/'Price History'!M103-1),"")</f>
        <v>-5.3352396719090867E-2</v>
      </c>
      <c r="N103" s="129">
        <f>IFERROR(IF(OR(NOT(ISNUMBER('Price History'!N104)),NOT(ISNUMBER('Price History'!N103)),'Price History'!N103=0),"",'Price History'!N104/'Price History'!N103-1),"")</f>
        <v>5.9319229104610738E-3</v>
      </c>
      <c r="O103" s="129">
        <f>IFERROR(IF(OR(NOT(ISNUMBER('Price History'!O104)),NOT(ISNUMBER('Price History'!O103)),'Price History'!O103=0),"",'Price History'!O104/'Price History'!O103-1),"")</f>
        <v>3.9760581445061893E-2</v>
      </c>
      <c r="P103" s="129">
        <f>IFERROR(IF(OR(NOT(ISNUMBER('Price History'!P104)),NOT(ISNUMBER('Price History'!P103)),'Price History'!P103=0),"",'Price History'!P104/'Price History'!P103-1),"")</f>
        <v>2.888250415847593E-2</v>
      </c>
      <c r="Q103" s="129">
        <f>IFERROR(IF(OR(NOT(ISNUMBER('Price History'!Q104)),NOT(ISNUMBER('Price History'!Q103)),'Price History'!Q103=0),"",'Price History'!Q104/'Price History'!Q103-1),"")</f>
        <v>3.6254728877680442E-3</v>
      </c>
      <c r="R103" s="129">
        <f>IFERROR(IF(OR(NOT(ISNUMBER('Price History'!R104)),NOT(ISNUMBER('Price History'!R103)),'Price History'!R103=0),"",'Price History'!R104/'Price History'!R103-1),"")</f>
        <v>-2.4549918166940632E-3</v>
      </c>
      <c r="S103" s="129">
        <f>IFERROR(IF(OR(NOT(ISNUMBER('Price History'!S104)),NOT(ISNUMBER('Price History'!S103)),'Price History'!S103=0),"",'Price History'!S104/'Price History'!S103-1),"")</f>
        <v>-6.8021353538832985E-3</v>
      </c>
      <c r="T103" s="129">
        <f>IFERROR(IF(OR(NOT(ISNUMBER('Price History'!T104)),NOT(ISNUMBER('Price History'!T103)),'Price History'!T103=0),"",'Price History'!T104/'Price History'!T103-1),"")</f>
        <v>2.5922795153564326E-2</v>
      </c>
      <c r="U103" s="129">
        <f>IFERROR(IF(OR(NOT(ISNUMBER('Price History'!U104)),NOT(ISNUMBER('Price History'!U103)),'Price History'!U103=0),"",'Price History'!U104/'Price History'!U103-1),"")</f>
        <v>2.2944550669216079E-2</v>
      </c>
      <c r="V103" s="130">
        <f>IFERROR(IF(OR(NOT(ISNUMBER('Price History'!V104)),NOT(ISNUMBER('Price History'!V103)),'Price History'!V103=0),"",'Price History'!V104/'Price History'!V103-1),"")</f>
        <v>1.6152630654883815E-2</v>
      </c>
      <c r="W103" s="131">
        <f>IFERROR('Price History'!B3+(INDEX('Price History'!B:B,MATCH(9.99E+307,'Returns (Calc)'!$A:$A)+1)-'Price History'!B3)*(ROW()-3)/(MATCH(9.99E+307,'Returns (Calc)'!$A:$A)-3),"")</f>
        <v>344.58620253164554</v>
      </c>
      <c r="X103" s="131">
        <f>IFERROR('Price History'!C3+(INDEX('Price History'!C:C,MATCH(9.99E+307,'Returns (Calc)'!$A:$A)+1)-'Price History'!C3)*(ROW()-3)/(MATCH(9.99E+307,'Returns (Calc)'!$A:$A)-3),"")</f>
        <v>148.18632911392405</v>
      </c>
      <c r="Y103" s="131">
        <f>IFERROR('Price History'!D3+(INDEX('Price History'!D:D,MATCH(9.99E+307,'Returns (Calc)'!$A:$A)+1)-'Price History'!D3)*(ROW()-3)/(MATCH(9.99E+307,'Returns (Calc)'!$A:$A)-3),"")</f>
        <v>1395.4910126582279</v>
      </c>
      <c r="Z103" s="131">
        <f>IFERROR('Price History'!E3+(INDEX('Price History'!E:E,MATCH(9.99E+307,'Returns (Calc)'!$A:$A)+1)-'Price History'!E3)*(ROW()-3)/(MATCH(9.99E+307,'Returns (Calc)'!$A:$A)-3),"")</f>
        <v>254.87341772151899</v>
      </c>
      <c r="AA103" s="131">
        <f>IFERROR('Price History'!F3+(INDEX('Price History'!F:F,MATCH(9.99E+307,'Returns (Calc)'!$A:$A)+1)-'Price History'!F3)*(ROW()-3)/(MATCH(9.99E+307,'Returns (Calc)'!$A:$A)-3),"")</f>
        <v>186.09417721518986</v>
      </c>
      <c r="AB103" s="131">
        <f>IFERROR('Price History'!G3+(INDEX('Price History'!G:G,MATCH(9.99E+307,'Returns (Calc)'!$A:$A)+1)-'Price History'!G3)*(ROW()-3)/(MATCH(9.99E+307,'Returns (Calc)'!$A:$A)-3),"")</f>
        <v>147.22341772151898</v>
      </c>
      <c r="AC103" s="131">
        <f>IFERROR('Price History'!H3+(INDEX('Price History'!H:H,MATCH(9.99E+307,'Returns (Calc)'!$A:$A)+1)-'Price History'!H3)*(ROW()-3)/(MATCH(9.99E+307,'Returns (Calc)'!$A:$A)-3),"")</f>
        <v>705.67962025316467</v>
      </c>
      <c r="AD103" s="131">
        <f>IFERROR('Price History'!I3+(INDEX('Price History'!I:I,MATCH(9.99E+307,'Returns (Calc)'!$A:$A)+1)-'Price History'!I3)*(ROW()-3)/(MATCH(9.99E+307,'Returns (Calc)'!$A:$A)-3),"")</f>
        <v>164.1370886075949</v>
      </c>
      <c r="AE103" s="131">
        <f>IFERROR('Price History'!J3+(INDEX('Price History'!J:J,MATCH(9.99E+307,'Returns (Calc)'!$A:$A)+1)-'Price History'!J3)*(ROW()-3)/(MATCH(9.99E+307,'Returns (Calc)'!$A:$A)-3),"")</f>
        <v>122.64379746835444</v>
      </c>
      <c r="AF103" s="131">
        <f>IFERROR('Price History'!K3+(INDEX('Price History'!K:K,MATCH(9.99E+307,'Returns (Calc)'!$A:$A)+1)-'Price History'!K3)*(ROW()-3)/(MATCH(9.99E+307,'Returns (Calc)'!$A:$A)-3),"")</f>
        <v>125.08949367088607</v>
      </c>
      <c r="AG103" s="131">
        <f>IFERROR('Price History'!L3+(INDEX('Price History'!L:L,MATCH(9.99E+307,'Returns (Calc)'!$A:$A)+1)-'Price History'!L3)*(ROW()-3)/(MATCH(9.99E+307,'Returns (Calc)'!$A:$A)-3),"")</f>
        <v>330.70569620253161</v>
      </c>
      <c r="AH103" s="131">
        <f>IFERROR('Price History'!M3+(INDEX('Price History'!M:M,MATCH(9.99E+307,'Returns (Calc)'!$A:$A)+1)-'Price History'!M3)*(ROW()-3)/(MATCH(9.99E+307,'Returns (Calc)'!$A:$A)-3),"")</f>
        <v>173.56430379746837</v>
      </c>
      <c r="AI103" s="131">
        <f>IFERROR('Price History'!N3+(INDEX('Price History'!N:N,MATCH(9.99E+307,'Returns (Calc)'!$A:$A)+1)-'Price History'!N3)*(ROW()-3)/(MATCH(9.99E+307,'Returns (Calc)'!$A:$A)-3),"")</f>
        <v>447.52658227848099</v>
      </c>
      <c r="AJ103" s="131">
        <f>IFERROR('Price History'!O3+(INDEX('Price History'!O:O,MATCH(9.99E+307,'Returns (Calc)'!$A:$A)+1)-'Price History'!O3)*(ROW()-3)/(MATCH(9.99E+307,'Returns (Calc)'!$A:$A)-3),"")</f>
        <v>103.61379746835443</v>
      </c>
      <c r="AK103" s="131">
        <f>IFERROR('Price History'!Q3+(INDEX('Price History'!Q:Q,MATCH(9.99E+307,'Returns (Calc)'!$A:$A)+1)-'Price History'!Q3)*(ROW()-3)/(MATCH(9.99E+307,'Returns (Calc)'!$A:$A)-3),"")</f>
        <v>43.936708860759495</v>
      </c>
      <c r="AL103" s="131">
        <f>IFERROR('Price History'!R3+(INDEX('Price History'!R:R,MATCH(9.99E+307,'Returns (Calc)'!$A:$A)+1)-'Price History'!R3)*(ROW()-3)/(MATCH(9.99E+307,'Returns (Calc)'!$A:$A)-3),"")</f>
        <v>51.290126582278475</v>
      </c>
      <c r="AM103" s="131">
        <f>IFERROR('Price History'!S3+(INDEX('Price History'!S:S,MATCH(9.99E+307,'Returns (Calc)'!$A:$A)+1)-'Price History'!S3)*(ROW()-3)/(MATCH(9.99E+307,'Returns (Calc)'!$A:$A)-3),"")</f>
        <v>118.13632911392406</v>
      </c>
      <c r="AN103" s="131">
        <f>IFERROR('Price History'!T3+(INDEX('Price History'!T:T,MATCH(9.99E+307,'Returns (Calc)'!$A:$A)+1)-'Price History'!T3)*(ROW()-3)/(MATCH(9.99E+307,'Returns (Calc)'!$A:$A)-3),"")</f>
        <v>42.06278481012658</v>
      </c>
      <c r="AO103" s="132">
        <f>IFERROR('Price History'!V3+(INDEX('Price History'!V:V,MATCH(9.99E+307,'Returns (Calc)'!$A:$A)+1)-'Price History'!V3)*(ROW()-3)/(MATCH(9.99E+307,'Returns (Calc)'!$A:$A)-3),"")</f>
        <v>314.7629113924051</v>
      </c>
      <c r="AP103" s="130">
        <f>IFERROR(IF(OR(NOT(ISNUMBER('Price History'!W104)),NOT(ISNUMBER('Price History'!W103)),'Price History'!W103=0),"",'Price History'!W104/'Price History'!W103-1),"")</f>
        <v>1.5874210051158633E-2</v>
      </c>
      <c r="AQ103" s="130" t="str">
        <f>IFERROR(IF(OR(NOT(ISNUMBER('Price History'!X104)),NOT(ISNUMBER('Price History'!X103)),'Price History'!X103=0),"",'Price History'!X104/'Price History'!X103-1),"")</f>
        <v/>
      </c>
      <c r="AR103" s="130">
        <f>IFERROR(IF(OR(NOT(ISNUMBER('Price History'!Y104)),NOT(ISNUMBER('Price History'!Y103)),'Price History'!Y103=0),"",'Price History'!Y104/'Price History'!Y103-1),"")</f>
        <v>1.1996904024767829E-2</v>
      </c>
      <c r="AS103" s="130">
        <f>IFERROR(IF(OR(NOT(ISNUMBER('Price History'!Z104)),NOT(ISNUMBER('Price History'!Z103)),'Price History'!Z103=0),"",'Price History'!Z104/'Price History'!Z103-1),"")</f>
        <v>-4.953095684802955E-3</v>
      </c>
      <c r="AT103" s="130">
        <f>IFERROR(IF(OR(NOT(ISNUMBER('Price History'!AA104)),NOT(ISNUMBER('Price History'!AA103)),'Price History'!AA103=0),"",'Price History'!AA104/'Price History'!AA103-1),"")</f>
        <v>-2.7685850351118035E-2</v>
      </c>
    </row>
    <row r="104" spans="1:46" ht="15" customHeight="1" x14ac:dyDescent="0.2">
      <c r="A104" s="128">
        <f>IF('Price History'!A105="","",'Price History'!A105)</f>
        <v>45898</v>
      </c>
      <c r="B104" s="129">
        <f>IFERROR(IF(OR(NOT(ISNUMBER('Price History'!B105)),NOT(ISNUMBER('Price History'!B104)),'Price History'!B104=0),"",'Price History'!B105/'Price History'!B104-1),"")</f>
        <v>-1.4885801872462578E-2</v>
      </c>
      <c r="C104" s="129">
        <f>IFERROR(IF(OR(NOT(ISNUMBER('Price History'!C105)),NOT(ISNUMBER('Price History'!C104)),'Price History'!C104=0),"",'Price History'!C105/'Price History'!C104-1),"")</f>
        <v>2.4765478424014997E-2</v>
      </c>
      <c r="D104" s="129">
        <f>IFERROR(IF(OR(NOT(ISNUMBER('Price History'!D105)),NOT(ISNUMBER('Price History'!D104)),'Price History'!D104=0),"",'Price History'!D105/'Price History'!D104-1),"")</f>
        <v>-1.6254416961130835E-2</v>
      </c>
      <c r="E104" s="129">
        <f>IFERROR(IF(OR(NOT(ISNUMBER('Price History'!E105)),NOT(ISNUMBER('Price History'!E104)),'Price History'!E104=0),"",'Price History'!E105/'Price History'!E104-1),"")</f>
        <v>1.1533312738132073E-2</v>
      </c>
      <c r="F104" s="129">
        <f>IFERROR(IF(OR(NOT(ISNUMBER('Price History'!F105)),NOT(ISNUMBER('Price History'!F104)),'Price History'!F104=0),"",'Price History'!F105/'Price History'!F104-1),"")</f>
        <v>7.5137911356286669E-3</v>
      </c>
      <c r="G104" s="129">
        <f>IFERROR(IF(OR(NOT(ISNUMBER('Price History'!G105)),NOT(ISNUMBER('Price History'!G104)),'Price History'!G104=0),"",'Price History'!G105/'Price History'!G104-1),"")</f>
        <v>1.9639556377080147E-3</v>
      </c>
      <c r="H104" s="129">
        <f>IFERROR(IF(OR(NOT(ISNUMBER('Price History'!H105)),NOT(ISNUMBER('Price History'!H104)),'Price History'!H104=0),"",'Price History'!H105/'Price History'!H104-1),"")</f>
        <v>1.132011234998731E-2</v>
      </c>
      <c r="I104" s="129">
        <f>IFERROR(IF(OR(NOT(ISNUMBER('Price History'!I105)),NOT(ISNUMBER('Price History'!I104)),'Price History'!I104=0),"",'Price History'!I105/'Price History'!I104-1),"")</f>
        <v>-2.1402421852999232E-2</v>
      </c>
      <c r="J104" s="129">
        <f>IFERROR(IF(OR(NOT(ISNUMBER('Price History'!J105)),NOT(ISNUMBER('Price History'!J104)),'Price History'!J104=0),"",'Price History'!J105/'Price History'!J104-1),"")</f>
        <v>1.3345690454124259E-2</v>
      </c>
      <c r="K104" s="129">
        <f>IFERROR(IF(OR(NOT(ISNUMBER('Price History'!K105)),NOT(ISNUMBER('Price History'!K104)),'Price History'!K104=0),"",'Price History'!K105/'Price History'!K104-1),"")</f>
        <v>-1.2788207131157914E-2</v>
      </c>
      <c r="L104" s="129">
        <f>IFERROR(IF(OR(NOT(ISNUMBER('Price History'!L105)),NOT(ISNUMBER('Price History'!L104)),'Price History'!L104=0),"",'Price History'!L105/'Price History'!L104-1),"")</f>
        <v>-9.0940736228353192E-3</v>
      </c>
      <c r="M104" s="129">
        <f>IFERROR(IF(OR(NOT(ISNUMBER('Price History'!M105)),NOT(ISNUMBER('Price History'!M104)),'Price History'!M104=0),"",'Price History'!M105/'Price History'!M104-1),"")</f>
        <v>1.2559618441971399E-2</v>
      </c>
      <c r="N104" s="129">
        <f>IFERROR(IF(OR(NOT(ISNUMBER('Price History'!N105)),NOT(ISNUMBER('Price History'!N104)),'Price History'!N104=0),"",'Price History'!N105/'Price History'!N104-1),"")</f>
        <v>-1.0376594452318311E-2</v>
      </c>
      <c r="O104" s="129">
        <f>IFERROR(IF(OR(NOT(ISNUMBER('Price History'!O105)),NOT(ISNUMBER('Price History'!O104)),'Price History'!O104=0),"",'Price History'!O105/'Price History'!O104-1),"")</f>
        <v>8.4292763157893802E-3</v>
      </c>
      <c r="P104" s="129">
        <f>IFERROR(IF(OR(NOT(ISNUMBER('Price History'!P105)),NOT(ISNUMBER('Price History'!P104)),'Price History'!P104=0),"",'Price History'!P105/'Price History'!P104-1),"")</f>
        <v>-2.2045855379189128E-3</v>
      </c>
      <c r="Q104" s="129">
        <f>IFERROR(IF(OR(NOT(ISNUMBER('Price History'!Q105)),NOT(ISNUMBER('Price History'!Q104)),'Price History'!Q104=0),"",'Price History'!Q105/'Price History'!Q104-1),"")</f>
        <v>1.5705983979885652E-4</v>
      </c>
      <c r="R104" s="129">
        <f>IFERROR(IF(OR(NOT(ISNUMBER('Price History'!R105)),NOT(ISNUMBER('Price History'!R104)),'Price History'!R104=0),"",'Price History'!R105/'Price History'!R104-1),"")</f>
        <v>2.0508613617731264E-4</v>
      </c>
      <c r="S104" s="129">
        <f>IFERROR(IF(OR(NOT(ISNUMBER('Price History'!S105)),NOT(ISNUMBER('Price History'!S104)),'Price History'!S104=0),"",'Price History'!S105/'Price History'!S104-1),"")</f>
        <v>-2.6007802340699548E-4</v>
      </c>
      <c r="T104" s="129">
        <f>IFERROR(IF(OR(NOT(ISNUMBER('Price History'!T105)),NOT(ISNUMBER('Price History'!T104)),'Price History'!T104=0),"",'Price History'!T105/'Price History'!T104-1),"")</f>
        <v>9.0634441087615869E-3</v>
      </c>
      <c r="U104" s="129">
        <f>IFERROR(IF(OR(NOT(ISNUMBER('Price History'!U105)),NOT(ISNUMBER('Price History'!U104)),'Price History'!U104=0),"",'Price History'!U105/'Price History'!U104-1),"")</f>
        <v>-1.1214953271028172E-3</v>
      </c>
      <c r="V104" s="130">
        <f>IFERROR(IF(OR(NOT(ISNUMBER('Price History'!V105)),NOT(ISNUMBER('Price History'!V104)),'Price History'!V104=0),"",'Price History'!V105/'Price History'!V104-1),"")</f>
        <v>4.9818579738525326E-3</v>
      </c>
      <c r="W104" s="131">
        <f>IFERROR('Price History'!B3+(INDEX('Price History'!B:B,MATCH(9.99E+307,'Returns (Calc)'!$A:$A)+1)-'Price History'!B3)*(ROW()-3)/(MATCH(9.99E+307,'Returns (Calc)'!$A:$A)-3),"")</f>
        <v>342.74316455696203</v>
      </c>
      <c r="X104" s="131">
        <f>IFERROR('Price History'!C3+(INDEX('Price History'!C:C,MATCH(9.99E+307,'Returns (Calc)'!$A:$A)+1)-'Price History'!C3)*(ROW()-3)/(MATCH(9.99E+307,'Returns (Calc)'!$A:$A)-3),"")</f>
        <v>149.20639240506327</v>
      </c>
      <c r="Y104" s="131">
        <f>IFERROR('Price History'!D3+(INDEX('Price History'!D:D,MATCH(9.99E+307,'Returns (Calc)'!$A:$A)+1)-'Price History'!D3)*(ROW()-3)/(MATCH(9.99E+307,'Returns (Calc)'!$A:$A)-3),"")</f>
        <v>1403.62582278481</v>
      </c>
      <c r="Z104" s="131">
        <f>IFERROR('Price History'!E3+(INDEX('Price History'!E:E,MATCH(9.99E+307,'Returns (Calc)'!$A:$A)+1)-'Price History'!E3)*(ROW()-3)/(MATCH(9.99E+307,'Returns (Calc)'!$A:$A)-3),"")</f>
        <v>256.60215189873418</v>
      </c>
      <c r="AA104" s="131">
        <f>IFERROR('Price History'!F3+(INDEX('Price History'!F:F,MATCH(9.99E+307,'Returns (Calc)'!$A:$A)+1)-'Price History'!F3)*(ROW()-3)/(MATCH(9.99E+307,'Returns (Calc)'!$A:$A)-3),"")</f>
        <v>187.54151898734176</v>
      </c>
      <c r="AB104" s="131">
        <f>IFERROR('Price History'!G3+(INDEX('Price History'!G:G,MATCH(9.99E+307,'Returns (Calc)'!$A:$A)+1)-'Price History'!G3)*(ROW()-3)/(MATCH(9.99E+307,'Returns (Calc)'!$A:$A)-3),"")</f>
        <v>148.25215189873418</v>
      </c>
      <c r="AC104" s="131">
        <f>IFERROR('Price History'!H3+(INDEX('Price History'!H:H,MATCH(9.99E+307,'Returns (Calc)'!$A:$A)+1)-'Price History'!H3)*(ROW()-3)/(MATCH(9.99E+307,'Returns (Calc)'!$A:$A)-3),"")</f>
        <v>712.04531645569625</v>
      </c>
      <c r="AD104" s="131">
        <f>IFERROR('Price History'!I3+(INDEX('Price History'!I:I,MATCH(9.99E+307,'Returns (Calc)'!$A:$A)+1)-'Price History'!I3)*(ROW()-3)/(MATCH(9.99E+307,'Returns (Calc)'!$A:$A)-3),"")</f>
        <v>165.34075949367087</v>
      </c>
      <c r="AE104" s="131">
        <f>IFERROR('Price History'!J3+(INDEX('Price History'!J:J,MATCH(9.99E+307,'Returns (Calc)'!$A:$A)+1)-'Price History'!J3)*(ROW()-3)/(MATCH(9.99E+307,'Returns (Calc)'!$A:$A)-3),"")</f>
        <v>122.75183544303798</v>
      </c>
      <c r="AF104" s="131">
        <f>IFERROR('Price History'!K3+(INDEX('Price History'!K:K,MATCH(9.99E+307,'Returns (Calc)'!$A:$A)+1)-'Price History'!K3)*(ROW()-3)/(MATCH(9.99E+307,'Returns (Calc)'!$A:$A)-3),"")</f>
        <v>126.18708860759493</v>
      </c>
      <c r="AG104" s="131">
        <f>IFERROR('Price History'!L3+(INDEX('Price History'!L:L,MATCH(9.99E+307,'Returns (Calc)'!$A:$A)+1)-'Price History'!L3)*(ROW()-3)/(MATCH(9.99E+307,'Returns (Calc)'!$A:$A)-3),"")</f>
        <v>333.15525316455694</v>
      </c>
      <c r="AH104" s="131">
        <f>IFERROR('Price History'!M3+(INDEX('Price History'!M:M,MATCH(9.99E+307,'Returns (Calc)'!$A:$A)+1)-'Price History'!M3)*(ROW()-3)/(MATCH(9.99E+307,'Returns (Calc)'!$A:$A)-3),"")</f>
        <v>174.91974683544305</v>
      </c>
      <c r="AI104" s="131">
        <f>IFERROR('Price History'!N3+(INDEX('Price History'!N:N,MATCH(9.99E+307,'Returns (Calc)'!$A:$A)+1)-'Price History'!N3)*(ROW()-3)/(MATCH(9.99E+307,'Returns (Calc)'!$A:$A)-3),"")</f>
        <v>448.51284810126583</v>
      </c>
      <c r="AJ104" s="131">
        <f>IFERROR('Price History'!O3+(INDEX('Price History'!O:O,MATCH(9.99E+307,'Returns (Calc)'!$A:$A)+1)-'Price History'!O3)*(ROW()-3)/(MATCH(9.99E+307,'Returns (Calc)'!$A:$A)-3),"")</f>
        <v>103.89683544303799</v>
      </c>
      <c r="AK104" s="131">
        <f>IFERROR('Price History'!Q3+(INDEX('Price History'!Q:Q,MATCH(9.99E+307,'Returns (Calc)'!$A:$A)+1)-'Price History'!Q3)*(ROW()-3)/(MATCH(9.99E+307,'Returns (Calc)'!$A:$A)-3),"")</f>
        <v>44.376075949367092</v>
      </c>
      <c r="AL104" s="131">
        <f>IFERROR('Price History'!R3+(INDEX('Price History'!R:R,MATCH(9.99E+307,'Returns (Calc)'!$A:$A)+1)-'Price History'!R3)*(ROW()-3)/(MATCH(9.99E+307,'Returns (Calc)'!$A:$A)-3),"")</f>
        <v>51.458227848101266</v>
      </c>
      <c r="AM104" s="131">
        <f>IFERROR('Price History'!S3+(INDEX('Price History'!S:S,MATCH(9.99E+307,'Returns (Calc)'!$A:$A)+1)-'Price History'!S3)*(ROW()-3)/(MATCH(9.99E+307,'Returns (Calc)'!$A:$A)-3),"")</f>
        <v>118.74139240506329</v>
      </c>
      <c r="AN104" s="131">
        <f>IFERROR('Price History'!T3+(INDEX('Price History'!T:T,MATCH(9.99E+307,'Returns (Calc)'!$A:$A)+1)-'Price History'!T3)*(ROW()-3)/(MATCH(9.99E+307,'Returns (Calc)'!$A:$A)-3),"")</f>
        <v>42.231012658227854</v>
      </c>
      <c r="AO104" s="132">
        <f>IFERROR('Price History'!V3+(INDEX('Price History'!V:V,MATCH(9.99E+307,'Returns (Calc)'!$A:$A)+1)-'Price History'!V3)*(ROW()-3)/(MATCH(9.99E+307,'Returns (Calc)'!$A:$A)-3),"")</f>
        <v>315.55424050632911</v>
      </c>
      <c r="AP104" s="130">
        <f>IFERROR(IF(OR(NOT(ISNUMBER('Price History'!W105)),NOT(ISNUMBER('Price History'!W104)),'Price History'!W104=0),"",'Price History'!W105/'Price History'!W104-1),"")</f>
        <v>1.4811523365176882E-4</v>
      </c>
      <c r="AQ104" s="130" t="str">
        <f>IFERROR(IF(OR(NOT(ISNUMBER('Price History'!X105)),NOT(ISNUMBER('Price History'!X104)),'Price History'!X104=0),"",'Price History'!X105/'Price History'!X104-1),"")</f>
        <v/>
      </c>
      <c r="AR104" s="130">
        <f>IFERROR(IF(OR(NOT(ISNUMBER('Price History'!Y105)),NOT(ISNUMBER('Price History'!Y104)),'Price History'!Y104=0),"",'Price History'!Y105/'Price History'!Y104-1),"")</f>
        <v>-3.8240917782026429E-3</v>
      </c>
      <c r="AS104" s="130">
        <f>IFERROR(IF(OR(NOT(ISNUMBER('Price History'!Z105)),NOT(ISNUMBER('Price History'!Z104)),'Price History'!Z104=0),"",'Price History'!Z105/'Price History'!Z104-1),"")</f>
        <v>3.2543932423259703E-2</v>
      </c>
      <c r="AT104" s="130">
        <f>IFERROR(IF(OR(NOT(ISNUMBER('Price History'!AA105)),NOT(ISNUMBER('Price History'!AA104)),'Price History'!AA104=0),"",'Price History'!AA105/'Price History'!AA104-1),"")</f>
        <v>2.9885439149925919E-3</v>
      </c>
    </row>
    <row r="105" spans="1:46" ht="15" customHeight="1" x14ac:dyDescent="0.2">
      <c r="A105" s="128">
        <f>IF('Price History'!A106="","",'Price History'!A106)</f>
        <v>45905</v>
      </c>
      <c r="B105" s="129">
        <f>IFERROR(IF(OR(NOT(ISNUMBER('Price History'!B106)),NOT(ISNUMBER('Price History'!B105)),'Price History'!B105=0),"",'Price History'!B106/'Price History'!B105-1),"")</f>
        <v>-2.1670871881132481E-2</v>
      </c>
      <c r="C105" s="129">
        <f>IFERROR(IF(OR(NOT(ISNUMBER('Price History'!C106)),NOT(ISNUMBER('Price History'!C105)),'Price History'!C105=0),"",'Price History'!C106/'Price History'!C105-1),"")</f>
        <v>4.6136946173562565E-2</v>
      </c>
      <c r="D105" s="129">
        <f>IFERROR(IF(OR(NOT(ISNUMBER('Price History'!D106)),NOT(ISNUMBER('Price History'!D105)),'Price History'!D105=0),"",'Price History'!D106/'Price History'!D105-1),"")</f>
        <v>5.2618737800910864E-2</v>
      </c>
      <c r="E105" s="129">
        <f>IFERROR(IF(OR(NOT(ISNUMBER('Price History'!E106)),NOT(ISNUMBER('Price History'!E105)),'Price History'!E105=0),"",'Price History'!E106/'Price History'!E105-1),"")</f>
        <v>0.12609861210085183</v>
      </c>
      <c r="F105" s="129">
        <f>IFERROR(IF(OR(NOT(ISNUMBER('Price History'!F106)),NOT(ISNUMBER('Price History'!F105)),'Price History'!F105=0),"",'Price History'!F106/'Price History'!F105-1),"")</f>
        <v>-1.43490984612481E-2</v>
      </c>
      <c r="G105" s="129">
        <f>IFERROR(IF(OR(NOT(ISNUMBER('Price History'!G106)),NOT(ISNUMBER('Price History'!G105)),'Price History'!G105=0),"",'Price History'!G106/'Price History'!G105-1),"")</f>
        <v>3.7933817594834496E-2</v>
      </c>
      <c r="H105" s="129">
        <f>IFERROR(IF(OR(NOT(ISNUMBER('Price History'!H106)),NOT(ISNUMBER('Price History'!H105)),'Price History'!H105=0),"",'Price History'!H106/'Price History'!H105-1),"")</f>
        <v>0.10385456993772091</v>
      </c>
      <c r="I105" s="129">
        <f>IFERROR(IF(OR(NOT(ISNUMBER('Price History'!I106)),NOT(ISNUMBER('Price History'!I105)),'Price History'!I105=0),"",'Price History'!I106/'Price History'!I105-1),"")</f>
        <v>-4.1093525179855983E-2</v>
      </c>
      <c r="J105" s="129">
        <f>IFERROR(IF(OR(NOT(ISNUMBER('Price History'!J106)),NOT(ISNUMBER('Price History'!J105)),'Price History'!J105=0),"",'Price History'!J106/'Price History'!J105-1),"")</f>
        <v>-1.097494055240622E-3</v>
      </c>
      <c r="K105" s="129">
        <f>IFERROR(IF(OR(NOT(ISNUMBER('Price History'!K106)),NOT(ISNUMBER('Price History'!K105)),'Price History'!K105=0),"",'Price History'!K106/'Price History'!K105-1),"")</f>
        <v>-2.2972369344649302E-2</v>
      </c>
      <c r="L105" s="129">
        <f>IFERROR(IF(OR(NOT(ISNUMBER('Price History'!L106)),NOT(ISNUMBER('Price History'!L105)),'Price History'!L105=0),"",'Price History'!L106/'Price History'!L105-1),"")</f>
        <v>5.4318710753963106E-2</v>
      </c>
      <c r="M105" s="129">
        <f>IFERROR(IF(OR(NOT(ISNUMBER('Price History'!M106)),NOT(ISNUMBER('Price History'!M105)),'Price History'!M105=0),"",'Price History'!M106/'Price History'!M105-1),"")</f>
        <v>-2.7869367247605581E-2</v>
      </c>
      <c r="N105" s="129">
        <f>IFERROR(IF(OR(NOT(ISNUMBER('Price History'!N106)),NOT(ISNUMBER('Price History'!N105)),'Price History'!N105=0),"",'Price History'!N106/'Price History'!N105-1),"")</f>
        <v>1.3042811109406305E-2</v>
      </c>
      <c r="O105" s="129">
        <f>IFERROR(IF(OR(NOT(ISNUMBER('Price History'!O106)),NOT(ISNUMBER('Price History'!O105)),'Price History'!O105=0),"",'Price History'!O106/'Price History'!O105-1),"")</f>
        <v>1.0907237512742141E-2</v>
      </c>
      <c r="P105" s="129">
        <f>IFERROR(IF(OR(NOT(ISNUMBER('Price History'!P106)),NOT(ISNUMBER('Price History'!P105)),'Price History'!P105=0),"",'Price History'!P106/'Price History'!P105-1),"")</f>
        <v>-8.8378258948307309E-4</v>
      </c>
      <c r="Q105" s="129">
        <f>IFERROR(IF(OR(NOT(ISNUMBER('Price History'!Q106)),NOT(ISNUMBER('Price History'!Q105)),'Price History'!Q105=0),"",'Price History'!Q106/'Price History'!Q105-1),"")</f>
        <v>2.1984924623115187E-3</v>
      </c>
      <c r="R105" s="129">
        <f>IFERROR(IF(OR(NOT(ISNUMBER('Price History'!R106)),NOT(ISNUMBER('Price History'!R105)),'Price History'!R105=0),"",'Price History'!R106/'Price History'!R105-1),"")</f>
        <v>9.8421160549517772E-3</v>
      </c>
      <c r="S105" s="129">
        <f>IFERROR(IF(OR(NOT(ISNUMBER('Price History'!S106)),NOT(ISNUMBER('Price History'!S105)),'Price History'!S105=0),"",'Price History'!S106/'Price History'!S105-1),"")</f>
        <v>4.9427679500519961E-3</v>
      </c>
      <c r="T105" s="129">
        <f>IFERROR(IF(OR(NOT(ISNUMBER('Price History'!T106)),NOT(ISNUMBER('Price History'!T105)),'Price History'!T105=0),"",'Price History'!T106/'Price History'!T105-1),"")</f>
        <v>7.6211213935766242E-3</v>
      </c>
      <c r="U105" s="129">
        <f>IFERROR(IF(OR(NOT(ISNUMBER('Price History'!U106)),NOT(ISNUMBER('Price History'!U105)),'Price History'!U105=0),"",'Price History'!U106/'Price History'!U105-1),"")</f>
        <v>-1.010479041916168E-2</v>
      </c>
      <c r="V105" s="130">
        <f>IFERROR(IF(OR(NOT(ISNUMBER('Price History'!V106)),NOT(ISNUMBER('Price History'!V105)),'Price History'!V105=0),"",'Price History'!V106/'Price History'!V105-1),"")</f>
        <v>-2.432734462305508E-2</v>
      </c>
      <c r="W105" s="131">
        <f>IFERROR('Price History'!B3+(INDEX('Price History'!B:B,MATCH(9.99E+307,'Returns (Calc)'!$A:$A)+1)-'Price History'!B3)*(ROW()-3)/(MATCH(9.99E+307,'Returns (Calc)'!$A:$A)-3),"")</f>
        <v>340.90012658227852</v>
      </c>
      <c r="X105" s="131">
        <f>IFERROR('Price History'!C3+(INDEX('Price History'!C:C,MATCH(9.99E+307,'Returns (Calc)'!$A:$A)+1)-'Price History'!C3)*(ROW()-3)/(MATCH(9.99E+307,'Returns (Calc)'!$A:$A)-3),"")</f>
        <v>150.22645569620252</v>
      </c>
      <c r="Y105" s="131">
        <f>IFERROR('Price History'!D3+(INDEX('Price History'!D:D,MATCH(9.99E+307,'Returns (Calc)'!$A:$A)+1)-'Price History'!D3)*(ROW()-3)/(MATCH(9.99E+307,'Returns (Calc)'!$A:$A)-3),"")</f>
        <v>1411.7606329113923</v>
      </c>
      <c r="Z105" s="131">
        <f>IFERROR('Price History'!E3+(INDEX('Price History'!E:E,MATCH(9.99E+307,'Returns (Calc)'!$A:$A)+1)-'Price History'!E3)*(ROW()-3)/(MATCH(9.99E+307,'Returns (Calc)'!$A:$A)-3),"")</f>
        <v>258.33088607594937</v>
      </c>
      <c r="AA105" s="131">
        <f>IFERROR('Price History'!F3+(INDEX('Price History'!F:F,MATCH(9.99E+307,'Returns (Calc)'!$A:$A)+1)-'Price History'!F3)*(ROW()-3)/(MATCH(9.99E+307,'Returns (Calc)'!$A:$A)-3),"")</f>
        <v>188.98886075949366</v>
      </c>
      <c r="AB105" s="131">
        <f>IFERROR('Price History'!G3+(INDEX('Price History'!G:G,MATCH(9.99E+307,'Returns (Calc)'!$A:$A)+1)-'Price History'!G3)*(ROW()-3)/(MATCH(9.99E+307,'Returns (Calc)'!$A:$A)-3),"")</f>
        <v>149.28088607594935</v>
      </c>
      <c r="AC105" s="131">
        <f>IFERROR('Price History'!H3+(INDEX('Price History'!H:H,MATCH(9.99E+307,'Returns (Calc)'!$A:$A)+1)-'Price History'!H3)*(ROW()-3)/(MATCH(9.99E+307,'Returns (Calc)'!$A:$A)-3),"")</f>
        <v>718.41101265822795</v>
      </c>
      <c r="AD105" s="131">
        <f>IFERROR('Price History'!I3+(INDEX('Price History'!I:I,MATCH(9.99E+307,'Returns (Calc)'!$A:$A)+1)-'Price History'!I3)*(ROW()-3)/(MATCH(9.99E+307,'Returns (Calc)'!$A:$A)-3),"")</f>
        <v>166.54443037974681</v>
      </c>
      <c r="AE105" s="131">
        <f>IFERROR('Price History'!J3+(INDEX('Price History'!J:J,MATCH(9.99E+307,'Returns (Calc)'!$A:$A)+1)-'Price History'!J3)*(ROW()-3)/(MATCH(9.99E+307,'Returns (Calc)'!$A:$A)-3),"")</f>
        <v>122.85987341772152</v>
      </c>
      <c r="AF105" s="131">
        <f>IFERROR('Price History'!K3+(INDEX('Price History'!K:K,MATCH(9.99E+307,'Returns (Calc)'!$A:$A)+1)-'Price History'!K3)*(ROW()-3)/(MATCH(9.99E+307,'Returns (Calc)'!$A:$A)-3),"")</f>
        <v>127.2846835443038</v>
      </c>
      <c r="AG105" s="131">
        <f>IFERROR('Price History'!L3+(INDEX('Price History'!L:L,MATCH(9.99E+307,'Returns (Calc)'!$A:$A)+1)-'Price History'!L3)*(ROW()-3)/(MATCH(9.99E+307,'Returns (Calc)'!$A:$A)-3),"")</f>
        <v>335.60481012658227</v>
      </c>
      <c r="AH105" s="131">
        <f>IFERROR('Price History'!M3+(INDEX('Price History'!M:M,MATCH(9.99E+307,'Returns (Calc)'!$A:$A)+1)-'Price History'!M3)*(ROW()-3)/(MATCH(9.99E+307,'Returns (Calc)'!$A:$A)-3),"")</f>
        <v>176.27518987341773</v>
      </c>
      <c r="AI105" s="131">
        <f>IFERROR('Price History'!N3+(INDEX('Price History'!N:N,MATCH(9.99E+307,'Returns (Calc)'!$A:$A)+1)-'Price History'!N3)*(ROW()-3)/(MATCH(9.99E+307,'Returns (Calc)'!$A:$A)-3),"")</f>
        <v>449.49911392405062</v>
      </c>
      <c r="AJ105" s="131">
        <f>IFERROR('Price History'!O3+(INDEX('Price History'!O:O,MATCH(9.99E+307,'Returns (Calc)'!$A:$A)+1)-'Price History'!O3)*(ROW()-3)/(MATCH(9.99E+307,'Returns (Calc)'!$A:$A)-3),"")</f>
        <v>104.17987341772152</v>
      </c>
      <c r="AK105" s="131">
        <f>IFERROR('Price History'!Q3+(INDEX('Price History'!Q:Q,MATCH(9.99E+307,'Returns (Calc)'!$A:$A)+1)-'Price History'!Q3)*(ROW()-3)/(MATCH(9.99E+307,'Returns (Calc)'!$A:$A)-3),"")</f>
        <v>44.815443037974681</v>
      </c>
      <c r="AL105" s="131">
        <f>IFERROR('Price History'!R3+(INDEX('Price History'!R:R,MATCH(9.99E+307,'Returns (Calc)'!$A:$A)+1)-'Price History'!R3)*(ROW()-3)/(MATCH(9.99E+307,'Returns (Calc)'!$A:$A)-3),"")</f>
        <v>51.626329113924051</v>
      </c>
      <c r="AM105" s="131">
        <f>IFERROR('Price History'!S3+(INDEX('Price History'!S:S,MATCH(9.99E+307,'Returns (Calc)'!$A:$A)+1)-'Price History'!S3)*(ROW()-3)/(MATCH(9.99E+307,'Returns (Calc)'!$A:$A)-3),"")</f>
        <v>119.34645569620253</v>
      </c>
      <c r="AN105" s="131">
        <f>IFERROR('Price History'!T3+(INDEX('Price History'!T:T,MATCH(9.99E+307,'Returns (Calc)'!$A:$A)+1)-'Price History'!T3)*(ROW()-3)/(MATCH(9.99E+307,'Returns (Calc)'!$A:$A)-3),"")</f>
        <v>42.399240506329114</v>
      </c>
      <c r="AO105" s="132">
        <f>IFERROR('Price History'!V3+(INDEX('Price History'!V:V,MATCH(9.99E+307,'Returns (Calc)'!$A:$A)+1)-'Price History'!V3)*(ROW()-3)/(MATCH(9.99E+307,'Returns (Calc)'!$A:$A)-3),"")</f>
        <v>316.34556962025317</v>
      </c>
      <c r="AP105" s="130">
        <f>IFERROR(IF(OR(NOT(ISNUMBER('Price History'!W106)),NOT(ISNUMBER('Price History'!W105)),'Price History'!W105=0),"",'Price History'!W106/'Price History'!W105-1),"")</f>
        <v>2.5916327286190644E-3</v>
      </c>
      <c r="AQ105" s="130" t="str">
        <f>IFERROR(IF(OR(NOT(ISNUMBER('Price History'!X106)),NOT(ISNUMBER('Price History'!X105)),'Price History'!X105=0),"",'Price History'!X106/'Price History'!X105-1),"")</f>
        <v/>
      </c>
      <c r="AR105" s="130">
        <f>IFERROR(IF(OR(NOT(ISNUMBER('Price History'!Y106)),NOT(ISNUMBER('Price History'!Y105)),'Price History'!Y105=0),"",'Price History'!Y106/'Price History'!Y105-1),"")</f>
        <v>0</v>
      </c>
      <c r="AS105" s="130">
        <f>IFERROR(IF(OR(NOT(ISNUMBER('Price History'!Z106)),NOT(ISNUMBER('Price History'!Z105)),'Price History'!Z105=0),"",'Price History'!Z106/'Price History'!Z105-1),"")</f>
        <v>1.4645191921405232E-2</v>
      </c>
      <c r="AT105" s="130">
        <f>IFERROR(IF(OR(NOT(ISNUMBER('Price History'!AA106)),NOT(ISNUMBER('Price History'!AA105)),'Price History'!AA105=0),"",'Price History'!AA106/'Price History'!AA105-1),"")</f>
        <v>2.9465320311206744E-2</v>
      </c>
    </row>
    <row r="106" spans="1:46" ht="15" customHeight="1" x14ac:dyDescent="0.2">
      <c r="A106" s="128">
        <f>IF('Price History'!A107="","",'Price History'!A107)</f>
        <v>45912</v>
      </c>
      <c r="B106" s="129">
        <f>IFERROR(IF(OR(NOT(ISNUMBER('Price History'!B107)),NOT(ISNUMBER('Price History'!B106)),'Price History'!B106=0),"",'Price History'!B107/'Price History'!B106-1),"")</f>
        <v>1.1175745766112133E-3</v>
      </c>
      <c r="C106" s="129">
        <f>IFERROR(IF(OR(NOT(ISNUMBER('Price History'!C107)),NOT(ISNUMBER('Price History'!C106)),'Price History'!C106=0),"",'Price History'!C107/'Price History'!C106-1),"")</f>
        <v>-2.4221211060553083E-2</v>
      </c>
      <c r="D106" s="129">
        <f>IFERROR(IF(OR(NOT(ISNUMBER('Price History'!D107)),NOT(ISNUMBER('Price History'!D106)),'Price History'!D106=0),"",'Price History'!D107/'Price History'!D106-1),"")</f>
        <v>4.1154806974168734E-2</v>
      </c>
      <c r="E106" s="129">
        <f>IFERROR(IF(OR(NOT(ISNUMBER('Price History'!E107)),NOT(ISNUMBER('Price History'!E106)),'Price History'!E106=0),"",'Price History'!E107/'Price History'!E106-1),"")</f>
        <v>7.4581889407864921E-2</v>
      </c>
      <c r="F106" s="129">
        <f>IFERROR(IF(OR(NOT(ISNUMBER('Price History'!F107)),NOT(ISNUMBER('Price History'!F106)),'Price History'!F106=0),"",'Price History'!F107/'Price History'!F106-1),"")</f>
        <v>4.4248635188200325E-2</v>
      </c>
      <c r="G106" s="129">
        <f>IFERROR(IF(OR(NOT(ISNUMBER('Price History'!G107)),NOT(ISNUMBER('Price History'!G106)),'Price History'!G106=0),"",'Price History'!G107/'Price History'!G106-1),"")</f>
        <v>6.5096645189957725E-2</v>
      </c>
      <c r="H106" s="129">
        <f>IFERROR(IF(OR(NOT(ISNUMBER('Price History'!H107)),NOT(ISNUMBER('Price History'!H106)),'Price History'!H106=0),"",'Price History'!H107/'Price History'!H106-1),"")</f>
        <v>0.19685879841415055</v>
      </c>
      <c r="I106" s="129">
        <f>IFERROR(IF(OR(NOT(ISNUMBER('Price History'!I107)),NOT(ISNUMBER('Price History'!I106)),'Price History'!I106=0),"",'Price History'!I107/'Price History'!I106-1),"")</f>
        <v>6.4762019086489264E-2</v>
      </c>
      <c r="J106" s="129">
        <f>IFERROR(IF(OR(NOT(ISNUMBER('Price History'!J107)),NOT(ISNUMBER('Price History'!J106)),'Price History'!J106=0),"",'Price History'!J107/'Price History'!J106-1),"")</f>
        <v>1.4924006592199168E-2</v>
      </c>
      <c r="K106" s="129">
        <f>IFERROR(IF(OR(NOT(ISNUMBER('Price History'!K107)),NOT(ISNUMBER('Price History'!K106)),'Price History'!K106=0),"",'Price History'!K107/'Price History'!K106-1),"")</f>
        <v>0.1196525373914179</v>
      </c>
      <c r="L106" s="129">
        <f>IFERROR(IF(OR(NOT(ISNUMBER('Price History'!L107)),NOT(ISNUMBER('Price History'!L106)),'Price History'!L106=0),"",'Price History'!L107/'Price History'!L106-1),"")</f>
        <v>6.5431070387338641E-2</v>
      </c>
      <c r="M106" s="129">
        <f>IFERROR(IF(OR(NOT(ISNUMBER('Price History'!M107)),NOT(ISNUMBER('Price History'!M106)),'Price History'!M106=0),"",'Price History'!M107/'Price History'!M106-1),"")</f>
        <v>8.7458612614067732E-2</v>
      </c>
      <c r="N106" s="129">
        <f>IFERROR(IF(OR(NOT(ISNUMBER('Price History'!N107)),NOT(ISNUMBER('Price History'!N106)),'Price History'!N106=0),"",'Price History'!N107/'Price History'!N106-1),"")</f>
        <v>-4.0139351711603322E-3</v>
      </c>
      <c r="O106" s="129">
        <f>IFERROR(IF(OR(NOT(ISNUMBER('Price History'!O107)),NOT(ISNUMBER('Price History'!O106)),'Price History'!O106=0),"",'Price History'!O107/'Price History'!O106-1),"")</f>
        <v>-7.9661187859232374E-3</v>
      </c>
      <c r="P106" s="129">
        <f>IFERROR(IF(OR(NOT(ISNUMBER('Price History'!P107)),NOT(ISNUMBER('Price History'!P106)),'Price History'!P106=0),"",'Price History'!P107/'Price History'!P106-1),"")</f>
        <v>1.3268465280849018E-3</v>
      </c>
      <c r="Q106" s="129">
        <f>IFERROR(IF(OR(NOT(ISNUMBER('Price History'!Q107)),NOT(ISNUMBER('Price History'!Q106)),'Price History'!Q106=0),"",'Price History'!Q107/'Price History'!Q106-1),"")</f>
        <v>8.4612973989344198E-3</v>
      </c>
      <c r="R106" s="129">
        <f>IFERROR(IF(OR(NOT(ISNUMBER('Price History'!R107)),NOT(ISNUMBER('Price History'!R106)),'Price History'!R106=0),"",'Price History'!R107/'Price History'!R106-1),"")</f>
        <v>1.3604060913705585E-2</v>
      </c>
      <c r="S106" s="129">
        <f>IFERROR(IF(OR(NOT(ISNUMBER('Price History'!S107)),NOT(ISNUMBER('Price History'!S106)),'Price History'!S106=0),"",'Price History'!S107/'Price History'!S106-1),"")</f>
        <v>2.9251876779704977E-2</v>
      </c>
      <c r="T106" s="129">
        <f>IFERROR(IF(OR(NOT(ISNUMBER('Price History'!T107)),NOT(ISNUMBER('Price History'!T106)),'Price History'!T106=0),"",'Price History'!T107/'Price History'!T106-1),"")</f>
        <v>8.103727714747766E-4</v>
      </c>
      <c r="U106" s="129">
        <f>IFERROR(IF(OR(NOT(ISNUMBER('Price History'!U107)),NOT(ISNUMBER('Price History'!U106)),'Price History'!U106=0),"",'Price History'!U107/'Price History'!U106-1),"")</f>
        <v>-5.671077504725841E-3</v>
      </c>
      <c r="V106" s="130">
        <f>IFERROR(IF(OR(NOT(ISNUMBER('Price History'!V107)),NOT(ISNUMBER('Price History'!V106)),'Price History'!V106=0),"",'Price History'!V107/'Price History'!V106-1),"")</f>
        <v>-1.104258443465489E-2</v>
      </c>
      <c r="W106" s="131">
        <f>IFERROR('Price History'!B3+(INDEX('Price History'!B:B,MATCH(9.99E+307,'Returns (Calc)'!$A:$A)+1)-'Price History'!B3)*(ROW()-3)/(MATCH(9.99E+307,'Returns (Calc)'!$A:$A)-3),"")</f>
        <v>339.05708860759489</v>
      </c>
      <c r="X106" s="131">
        <f>IFERROR('Price History'!C3+(INDEX('Price History'!C:C,MATCH(9.99E+307,'Returns (Calc)'!$A:$A)+1)-'Price History'!C3)*(ROW()-3)/(MATCH(9.99E+307,'Returns (Calc)'!$A:$A)-3),"")</f>
        <v>151.24651898734177</v>
      </c>
      <c r="Y106" s="131">
        <f>IFERROR('Price History'!D3+(INDEX('Price History'!D:D,MATCH(9.99E+307,'Returns (Calc)'!$A:$A)+1)-'Price History'!D3)*(ROW()-3)/(MATCH(9.99E+307,'Returns (Calc)'!$A:$A)-3),"")</f>
        <v>1419.8954430379745</v>
      </c>
      <c r="Z106" s="131">
        <f>IFERROR('Price History'!E3+(INDEX('Price History'!E:E,MATCH(9.99E+307,'Returns (Calc)'!$A:$A)+1)-'Price History'!E3)*(ROW()-3)/(MATCH(9.99E+307,'Returns (Calc)'!$A:$A)-3),"")</f>
        <v>260.05962025316455</v>
      </c>
      <c r="AA106" s="131">
        <f>IFERROR('Price History'!F3+(INDEX('Price History'!F:F,MATCH(9.99E+307,'Returns (Calc)'!$A:$A)+1)-'Price History'!F3)*(ROW()-3)/(MATCH(9.99E+307,'Returns (Calc)'!$A:$A)-3),"")</f>
        <v>190.43620253164556</v>
      </c>
      <c r="AB106" s="131">
        <f>IFERROR('Price History'!G3+(INDEX('Price History'!G:G,MATCH(9.99E+307,'Returns (Calc)'!$A:$A)+1)-'Price History'!G3)*(ROW()-3)/(MATCH(9.99E+307,'Returns (Calc)'!$A:$A)-3),"")</f>
        <v>150.30962025316455</v>
      </c>
      <c r="AC106" s="131">
        <f>IFERROR('Price History'!H3+(INDEX('Price History'!H:H,MATCH(9.99E+307,'Returns (Calc)'!$A:$A)+1)-'Price History'!H3)*(ROW()-3)/(MATCH(9.99E+307,'Returns (Calc)'!$A:$A)-3),"")</f>
        <v>724.77670886075953</v>
      </c>
      <c r="AD106" s="131">
        <f>IFERROR('Price History'!I3+(INDEX('Price History'!I:I,MATCH(9.99E+307,'Returns (Calc)'!$A:$A)+1)-'Price History'!I3)*(ROW()-3)/(MATCH(9.99E+307,'Returns (Calc)'!$A:$A)-3),"")</f>
        <v>167.74810126582278</v>
      </c>
      <c r="AE106" s="131">
        <f>IFERROR('Price History'!J3+(INDEX('Price History'!J:J,MATCH(9.99E+307,'Returns (Calc)'!$A:$A)+1)-'Price History'!J3)*(ROW()-3)/(MATCH(9.99E+307,'Returns (Calc)'!$A:$A)-3),"")</f>
        <v>122.96791139240506</v>
      </c>
      <c r="AF106" s="131">
        <f>IFERROR('Price History'!K3+(INDEX('Price History'!K:K,MATCH(9.99E+307,'Returns (Calc)'!$A:$A)+1)-'Price History'!K3)*(ROW()-3)/(MATCH(9.99E+307,'Returns (Calc)'!$A:$A)-3),"")</f>
        <v>128.38227848101266</v>
      </c>
      <c r="AG106" s="131">
        <f>IFERROR('Price History'!L3+(INDEX('Price History'!L:L,MATCH(9.99E+307,'Returns (Calc)'!$A:$A)+1)-'Price History'!L3)*(ROW()-3)/(MATCH(9.99E+307,'Returns (Calc)'!$A:$A)-3),"")</f>
        <v>338.05436708860759</v>
      </c>
      <c r="AH106" s="131">
        <f>IFERROR('Price History'!M3+(INDEX('Price History'!M:M,MATCH(9.99E+307,'Returns (Calc)'!$A:$A)+1)-'Price History'!M3)*(ROW()-3)/(MATCH(9.99E+307,'Returns (Calc)'!$A:$A)-3),"")</f>
        <v>177.63063291139241</v>
      </c>
      <c r="AI106" s="131">
        <f>IFERROR('Price History'!N3+(INDEX('Price History'!N:N,MATCH(9.99E+307,'Returns (Calc)'!$A:$A)+1)-'Price History'!N3)*(ROW()-3)/(MATCH(9.99E+307,'Returns (Calc)'!$A:$A)-3),"")</f>
        <v>450.48537974683546</v>
      </c>
      <c r="AJ106" s="131">
        <f>IFERROR('Price History'!O3+(INDEX('Price History'!O:O,MATCH(9.99E+307,'Returns (Calc)'!$A:$A)+1)-'Price History'!O3)*(ROW()-3)/(MATCH(9.99E+307,'Returns (Calc)'!$A:$A)-3),"")</f>
        <v>104.46291139240506</v>
      </c>
      <c r="AK106" s="131">
        <f>IFERROR('Price History'!Q3+(INDEX('Price History'!Q:Q,MATCH(9.99E+307,'Returns (Calc)'!$A:$A)+1)-'Price History'!Q3)*(ROW()-3)/(MATCH(9.99E+307,'Returns (Calc)'!$A:$A)-3),"")</f>
        <v>45.254810126582278</v>
      </c>
      <c r="AL106" s="131">
        <f>IFERROR('Price History'!R3+(INDEX('Price History'!R:R,MATCH(9.99E+307,'Returns (Calc)'!$A:$A)+1)-'Price History'!R3)*(ROW()-3)/(MATCH(9.99E+307,'Returns (Calc)'!$A:$A)-3),"")</f>
        <v>51.794430379746835</v>
      </c>
      <c r="AM106" s="131">
        <f>IFERROR('Price History'!S3+(INDEX('Price History'!S:S,MATCH(9.99E+307,'Returns (Calc)'!$A:$A)+1)-'Price History'!S3)*(ROW()-3)/(MATCH(9.99E+307,'Returns (Calc)'!$A:$A)-3),"")</f>
        <v>119.95151898734177</v>
      </c>
      <c r="AN106" s="131">
        <f>IFERROR('Price History'!T3+(INDEX('Price History'!T:T,MATCH(9.99E+307,'Returns (Calc)'!$A:$A)+1)-'Price History'!T3)*(ROW()-3)/(MATCH(9.99E+307,'Returns (Calc)'!$A:$A)-3),"")</f>
        <v>42.567468354430375</v>
      </c>
      <c r="AO106" s="132">
        <f>IFERROR('Price History'!V3+(INDEX('Price History'!V:V,MATCH(9.99E+307,'Returns (Calc)'!$A:$A)+1)-'Price History'!V3)*(ROW()-3)/(MATCH(9.99E+307,'Returns (Calc)'!$A:$A)-3),"")</f>
        <v>317.13689873417724</v>
      </c>
      <c r="AP106" s="130">
        <f>IFERROR(IF(OR(NOT(ISNUMBER('Price History'!W107)),NOT(ISNUMBER('Price History'!W106)),'Price History'!W106=0),"",'Price History'!W107/'Price History'!W106-1),"")</f>
        <v>1.314623338257026E-2</v>
      </c>
      <c r="AQ106" s="130" t="str">
        <f>IFERROR(IF(OR(NOT(ISNUMBER('Price History'!X107)),NOT(ISNUMBER('Price History'!X106)),'Price History'!X106=0),"",'Price History'!X107/'Price History'!X106-1),"")</f>
        <v/>
      </c>
      <c r="AR106" s="130">
        <f>IFERROR(IF(OR(NOT(ISNUMBER('Price History'!Y107)),NOT(ISNUMBER('Price History'!Y106)),'Price History'!Y106=0),"",'Price History'!Y107/'Price History'!Y106-1),"")</f>
        <v>2.1113243761996525E-3</v>
      </c>
      <c r="AS106" s="130">
        <f>IFERROR(IF(OR(NOT(ISNUMBER('Price History'!Z107)),NOT(ISNUMBER('Price History'!Z106)),'Price History'!Z106=0),"",'Price History'!Z107/'Price History'!Z106-1),"")</f>
        <v>8.8186595637462784E-3</v>
      </c>
      <c r="AT106" s="130">
        <f>IFERROR(IF(OR(NOT(ISNUMBER('Price History'!AA107)),NOT(ISNUMBER('Price History'!AA106)),'Price History'!AA106=0),"",'Price History'!AA107/'Price History'!AA106-1),"")</f>
        <v>-4.4540922977970632E-2</v>
      </c>
    </row>
    <row r="107" spans="1:46" ht="15" customHeight="1" x14ac:dyDescent="0.2">
      <c r="A107" s="128">
        <f>IF('Price History'!A108="","",'Price History'!A108)</f>
        <v>45919</v>
      </c>
      <c r="B107" s="129">
        <f>IFERROR(IF(OR(NOT(ISNUMBER('Price History'!B108)),NOT(ISNUMBER('Price History'!B107)),'Price History'!B107=0),"",'Price History'!B108/'Price History'!B107-1),"")</f>
        <v>4.734371422028838E-2</v>
      </c>
      <c r="C107" s="129">
        <f>IFERROR(IF(OR(NOT(ISNUMBER('Price History'!C108)),NOT(ISNUMBER('Price History'!C107)),'Price History'!C107=0),"",'Price History'!C108/'Price History'!C107-1),"")</f>
        <v>7.3319463376139149E-2</v>
      </c>
      <c r="D107" s="129">
        <f>IFERROR(IF(OR(NOT(ISNUMBER('Price History'!D108)),NOT(ISNUMBER('Price History'!D107)),'Price History'!D107=0),"",'Price History'!D108/'Price History'!D107-1),"")</f>
        <v>0.14533603779652204</v>
      </c>
      <c r="E107" s="129">
        <f>IFERROR(IF(OR(NOT(ISNUMBER('Price History'!E108)),NOT(ISNUMBER('Price History'!E107)),'Price History'!E107=0),"",'Price History'!E108/'Price History'!E107-1),"")</f>
        <v>-4.1475042063937262E-2</v>
      </c>
      <c r="F107" s="129">
        <f>IFERROR(IF(OR(NOT(ISNUMBER('Price History'!F108)),NOT(ISNUMBER('Price History'!F107)),'Price History'!F107=0),"",'Price History'!F108/'Price History'!F107-1),"")</f>
        <v>0.15234339172704758</v>
      </c>
      <c r="G107" s="129">
        <f>IFERROR(IF(OR(NOT(ISNUMBER('Price History'!G108)),NOT(ISNUMBER('Price History'!G107)),'Price History'!G107=0),"",'Price History'!G108/'Price History'!G107-1),"")</f>
        <v>8.3854818523154018E-2</v>
      </c>
      <c r="H107" s="129">
        <f>IFERROR(IF(OR(NOT(ISNUMBER('Price History'!H108)),NOT(ISNUMBER('Price History'!H107)),'Price History'!H107=0),"",'Price History'!H108/'Price History'!H107-1),"")</f>
        <v>3.4972607975538361E-2</v>
      </c>
      <c r="I107" s="129">
        <f>IFERROR(IF(OR(NOT(ISNUMBER('Price History'!I108)),NOT(ISNUMBER('Price History'!I107)),'Price History'!I107=0),"",'Price History'!I108/'Price History'!I107-1),"")</f>
        <v>-6.4825253664035909E-3</v>
      </c>
      <c r="J107" s="129">
        <f>IFERROR(IF(OR(NOT(ISNUMBER('Price History'!J108)),NOT(ISNUMBER('Price History'!J107)),'Price History'!J107=0),"",'Price History'!J108/'Price History'!J107-1),"")</f>
        <v>-7.2169598556607317E-3</v>
      </c>
      <c r="K107" s="129">
        <f>IFERROR(IF(OR(NOT(ISNUMBER('Price History'!K108)),NOT(ISNUMBER('Price History'!K107)),'Price History'!K107=0),"",'Price History'!K108/'Price History'!K107-1),"")</f>
        <v>6.3932800559995284E-2</v>
      </c>
      <c r="L107" s="129">
        <f>IFERROR(IF(OR(NOT(ISNUMBER('Price History'!L108)),NOT(ISNUMBER('Price History'!L107)),'Price History'!L107=0),"",'Price History'!L108/'Price History'!L107-1),"")</f>
        <v>2.4588561823228217E-2</v>
      </c>
      <c r="M107" s="129">
        <f>IFERROR(IF(OR(NOT(ISNUMBER('Price History'!M108)),NOT(ISNUMBER('Price History'!M107)),'Price History'!M107=0),"",'Price History'!M108/'Price History'!M107-1),"")</f>
        <v>6.5275508688548811E-2</v>
      </c>
      <c r="N107" s="129">
        <f>IFERROR(IF(OR(NOT(ISNUMBER('Price History'!N108)),NOT(ISNUMBER('Price History'!N107)),'Price History'!N107=0),"",'Price History'!N108/'Price History'!N107-1),"")</f>
        <v>-2.8920487668871786E-2</v>
      </c>
      <c r="O107" s="129">
        <f>IFERROR(IF(OR(NOT(ISNUMBER('Price History'!O108)),NOT(ISNUMBER('Price History'!O107)),'Price History'!O107=0),"",'Price History'!O108/'Price History'!O107-1),"")</f>
        <v>5.6922138646067211E-3</v>
      </c>
      <c r="P107" s="129">
        <f>IFERROR(IF(OR(NOT(ISNUMBER('Price History'!P108)),NOT(ISNUMBER('Price History'!P107)),'Price History'!P107=0),"",'Price History'!P108/'Price History'!P107-1),"")</f>
        <v>-2.7974087161366512E-3</v>
      </c>
      <c r="Q107" s="129">
        <f>IFERROR(IF(OR(NOT(ISNUMBER('Price History'!Q108)),NOT(ISNUMBER('Price History'!Q107)),'Price History'!Q107=0),"",'Price History'!Q108/'Price History'!Q107-1),"")</f>
        <v>2.0198881292727844E-3</v>
      </c>
      <c r="R107" s="129">
        <f>IFERROR(IF(OR(NOT(ISNUMBER('Price History'!R108)),NOT(ISNUMBER('Price History'!R107)),'Price History'!R107=0),"",'Price History'!R108/'Price History'!R107-1),"")</f>
        <v>1.1017628205128194E-2</v>
      </c>
      <c r="S107" s="129">
        <f>IFERROR(IF(OR(NOT(ISNUMBER('Price History'!S108)),NOT(ISNUMBER('Price History'!S107)),'Price History'!S107=0),"",'Price History'!S108/'Price History'!S107-1),"")</f>
        <v>1.2072434607645954E-2</v>
      </c>
      <c r="T107" s="129">
        <f>IFERROR(IF(OR(NOT(ISNUMBER('Price History'!T108)),NOT(ISNUMBER('Price History'!T107)),'Price History'!T107=0),"",'Price History'!T108/'Price History'!T107-1),"")</f>
        <v>-1.3495276653170407E-3</v>
      </c>
      <c r="U107" s="129">
        <f>IFERROR(IF(OR(NOT(ISNUMBER('Price History'!U108)),NOT(ISNUMBER('Price History'!U107)),'Price History'!U107=0),"",'Price History'!U108/'Price History'!U107-1),"")</f>
        <v>-5.7034220532320434E-3</v>
      </c>
      <c r="V107" s="130">
        <f>IFERROR(IF(OR(NOT(ISNUMBER('Price History'!V108)),NOT(ISNUMBER('Price History'!V107)),'Price History'!V107=0),"",'Price History'!V108/'Price History'!V107-1),"")</f>
        <v>6.4144443784521776E-3</v>
      </c>
      <c r="W107" s="131">
        <f>IFERROR('Price History'!B3+(INDEX('Price History'!B:B,MATCH(9.99E+307,'Returns (Calc)'!$A:$A)+1)-'Price History'!B3)*(ROW()-3)/(MATCH(9.99E+307,'Returns (Calc)'!$A:$A)-3),"")</f>
        <v>337.21405063291138</v>
      </c>
      <c r="X107" s="131">
        <f>IFERROR('Price History'!C3+(INDEX('Price History'!C:C,MATCH(9.99E+307,'Returns (Calc)'!$A:$A)+1)-'Price History'!C3)*(ROW()-3)/(MATCH(9.99E+307,'Returns (Calc)'!$A:$A)-3),"")</f>
        <v>152.26658227848102</v>
      </c>
      <c r="Y107" s="131">
        <f>IFERROR('Price History'!D3+(INDEX('Price History'!D:D,MATCH(9.99E+307,'Returns (Calc)'!$A:$A)+1)-'Price History'!D3)*(ROW()-3)/(MATCH(9.99E+307,'Returns (Calc)'!$A:$A)-3),"")</f>
        <v>1428.0302531645568</v>
      </c>
      <c r="Z107" s="131">
        <f>IFERROR('Price History'!E3+(INDEX('Price History'!E:E,MATCH(9.99E+307,'Returns (Calc)'!$A:$A)+1)-'Price History'!E3)*(ROW()-3)/(MATCH(9.99E+307,'Returns (Calc)'!$A:$A)-3),"")</f>
        <v>261.78835443037974</v>
      </c>
      <c r="AA107" s="131">
        <f>IFERROR('Price History'!F3+(INDEX('Price History'!F:F,MATCH(9.99E+307,'Returns (Calc)'!$A:$A)+1)-'Price History'!F3)*(ROW()-3)/(MATCH(9.99E+307,'Returns (Calc)'!$A:$A)-3),"")</f>
        <v>191.88354430379746</v>
      </c>
      <c r="AB107" s="131">
        <f>IFERROR('Price History'!G3+(INDEX('Price History'!G:G,MATCH(9.99E+307,'Returns (Calc)'!$A:$A)+1)-'Price History'!G3)*(ROW()-3)/(MATCH(9.99E+307,'Returns (Calc)'!$A:$A)-3),"")</f>
        <v>151.33835443037975</v>
      </c>
      <c r="AC107" s="131">
        <f>IFERROR('Price History'!H3+(INDEX('Price History'!H:H,MATCH(9.99E+307,'Returns (Calc)'!$A:$A)+1)-'Price History'!H3)*(ROW()-3)/(MATCH(9.99E+307,'Returns (Calc)'!$A:$A)-3),"")</f>
        <v>731.14240506329122</v>
      </c>
      <c r="AD107" s="131">
        <f>IFERROR('Price History'!I3+(INDEX('Price History'!I:I,MATCH(9.99E+307,'Returns (Calc)'!$A:$A)+1)-'Price History'!I3)*(ROW()-3)/(MATCH(9.99E+307,'Returns (Calc)'!$A:$A)-3),"")</f>
        <v>168.95177215189872</v>
      </c>
      <c r="AE107" s="131">
        <f>IFERROR('Price History'!J3+(INDEX('Price History'!J:J,MATCH(9.99E+307,'Returns (Calc)'!$A:$A)+1)-'Price History'!J3)*(ROW()-3)/(MATCH(9.99E+307,'Returns (Calc)'!$A:$A)-3),"")</f>
        <v>123.07594936708861</v>
      </c>
      <c r="AF107" s="131">
        <f>IFERROR('Price History'!K3+(INDEX('Price History'!K:K,MATCH(9.99E+307,'Returns (Calc)'!$A:$A)+1)-'Price History'!K3)*(ROW()-3)/(MATCH(9.99E+307,'Returns (Calc)'!$A:$A)-3),"")</f>
        <v>129.47987341772154</v>
      </c>
      <c r="AG107" s="131">
        <f>IFERROR('Price History'!L3+(INDEX('Price History'!L:L,MATCH(9.99E+307,'Returns (Calc)'!$A:$A)+1)-'Price History'!L3)*(ROW()-3)/(MATCH(9.99E+307,'Returns (Calc)'!$A:$A)-3),"")</f>
        <v>340.50392405063292</v>
      </c>
      <c r="AH107" s="131">
        <f>IFERROR('Price History'!M3+(INDEX('Price History'!M:M,MATCH(9.99E+307,'Returns (Calc)'!$A:$A)+1)-'Price History'!M3)*(ROW()-3)/(MATCH(9.99E+307,'Returns (Calc)'!$A:$A)-3),"")</f>
        <v>178.98607594936709</v>
      </c>
      <c r="AI107" s="131">
        <f>IFERROR('Price History'!N3+(INDEX('Price History'!N:N,MATCH(9.99E+307,'Returns (Calc)'!$A:$A)+1)-'Price History'!N3)*(ROW()-3)/(MATCH(9.99E+307,'Returns (Calc)'!$A:$A)-3),"")</f>
        <v>451.47164556962025</v>
      </c>
      <c r="AJ107" s="131">
        <f>IFERROR('Price History'!O3+(INDEX('Price History'!O:O,MATCH(9.99E+307,'Returns (Calc)'!$A:$A)+1)-'Price History'!O3)*(ROW()-3)/(MATCH(9.99E+307,'Returns (Calc)'!$A:$A)-3),"")</f>
        <v>104.74594936708861</v>
      </c>
      <c r="AK107" s="131">
        <f>IFERROR('Price History'!Q3+(INDEX('Price History'!Q:Q,MATCH(9.99E+307,'Returns (Calc)'!$A:$A)+1)-'Price History'!Q3)*(ROW()-3)/(MATCH(9.99E+307,'Returns (Calc)'!$A:$A)-3),"")</f>
        <v>45.694177215189875</v>
      </c>
      <c r="AL107" s="131">
        <f>IFERROR('Price History'!R3+(INDEX('Price History'!R:R,MATCH(9.99E+307,'Returns (Calc)'!$A:$A)+1)-'Price History'!R3)*(ROW()-3)/(MATCH(9.99E+307,'Returns (Calc)'!$A:$A)-3),"")</f>
        <v>51.962531645569619</v>
      </c>
      <c r="AM107" s="131">
        <f>IFERROR('Price History'!S3+(INDEX('Price History'!S:S,MATCH(9.99E+307,'Returns (Calc)'!$A:$A)+1)-'Price History'!S3)*(ROW()-3)/(MATCH(9.99E+307,'Returns (Calc)'!$A:$A)-3),"")</f>
        <v>120.55658227848102</v>
      </c>
      <c r="AN107" s="131">
        <f>IFERROR('Price History'!T3+(INDEX('Price History'!T:T,MATCH(9.99E+307,'Returns (Calc)'!$A:$A)+1)-'Price History'!T3)*(ROW()-3)/(MATCH(9.99E+307,'Returns (Calc)'!$A:$A)-3),"")</f>
        <v>42.735696202531642</v>
      </c>
      <c r="AO107" s="132">
        <f>IFERROR('Price History'!V3+(INDEX('Price History'!V:V,MATCH(9.99E+307,'Returns (Calc)'!$A:$A)+1)-'Price History'!V3)*(ROW()-3)/(MATCH(9.99E+307,'Returns (Calc)'!$A:$A)-3),"")</f>
        <v>317.9282278481013</v>
      </c>
      <c r="AP107" s="130">
        <f>IFERROR(IF(OR(NOT(ISNUMBER('Price History'!W108)),NOT(ISNUMBER('Price History'!W107)),'Price History'!W107=0),"",'Price History'!W108/'Price History'!W107-1),"")</f>
        <v>-5.8317538999863583E-4</v>
      </c>
      <c r="AQ107" s="130" t="str">
        <f>IFERROR(IF(OR(NOT(ISNUMBER('Price History'!X108)),NOT(ISNUMBER('Price History'!X107)),'Price History'!X107=0),"",'Price History'!X108/'Price History'!X107-1),"")</f>
        <v/>
      </c>
      <c r="AR107" s="130">
        <f>IFERROR(IF(OR(NOT(ISNUMBER('Price History'!Y108)),NOT(ISNUMBER('Price History'!Y107)),'Price History'!Y107=0),"",'Price History'!Y108/'Price History'!Y107-1),"")</f>
        <v>-7.6613675541081783E-4</v>
      </c>
      <c r="AS107" s="130">
        <f>IFERROR(IF(OR(NOT(ISNUMBER('Price History'!Z108)),NOT(ISNUMBER('Price History'!Z107)),'Price History'!Z107=0),"",'Price History'!Z108/'Price History'!Z107-1),"")</f>
        <v>6.9040568023691629E-2</v>
      </c>
      <c r="AT107" s="130">
        <f>IFERROR(IF(OR(NOT(ISNUMBER('Price History'!AA108)),NOT(ISNUMBER('Price History'!AA107)),'Price History'!AA107=0),"",'Price History'!AA108/'Price History'!AA107-1),"")</f>
        <v>3.2480646247054823E-2</v>
      </c>
    </row>
    <row r="108" spans="1:46" ht="15" customHeight="1" x14ac:dyDescent="0.2">
      <c r="A108" s="128">
        <f>IF('Price History'!A109="","",'Price History'!A109)</f>
        <v>45926</v>
      </c>
      <c r="B108" s="129">
        <f>IFERROR(IF(OR(NOT(ISNUMBER('Price History'!B109)),NOT(ISNUMBER('Price History'!B108)),'Price History'!B108=0),"",'Price History'!B109/'Price History'!B108-1),"")</f>
        <v>-1.5113418966930747E-2</v>
      </c>
      <c r="C108" s="129">
        <f>IFERROR(IF(OR(NOT(ISNUMBER('Price History'!C109)),NOT(ISNUMBER('Price History'!C108)),'Price History'!C108=0),"",'Price History'!C109/'Price History'!C108-1),"")</f>
        <v>-4.752356125927415E-2</v>
      </c>
      <c r="D108" s="129">
        <f>IFERROR(IF(OR(NOT(ISNUMBER('Price History'!D109)),NOT(ISNUMBER('Price History'!D108)),'Price History'!D108=0),"",'Price History'!D109/'Price History'!D108-1),"")</f>
        <v>2.0776415960261252E-2</v>
      </c>
      <c r="E108" s="129">
        <f>IFERROR(IF(OR(NOT(ISNUMBER('Price History'!E109)),NOT(ISNUMBER('Price History'!E108)),'Price History'!E108=0),"",'Price History'!E109/'Price History'!E108-1),"")</f>
        <v>-2.8524618940346969E-2</v>
      </c>
      <c r="F108" s="129">
        <f>IFERROR(IF(OR(NOT(ISNUMBER('Price History'!F109)),NOT(ISNUMBER('Price History'!F108)),'Price History'!F108=0),"",'Price History'!F109/'Price History'!F108-1),"")</f>
        <v>-4.2024832855778405E-2</v>
      </c>
      <c r="G108" s="129">
        <f>IFERROR(IF(OR(NOT(ISNUMBER('Price History'!G109)),NOT(ISNUMBER('Price History'!G108)),'Price History'!G108=0),"",'Price History'!G109/'Price History'!G108-1),"")</f>
        <v>1.8668206312548064E-2</v>
      </c>
      <c r="H108" s="129">
        <f>IFERROR(IF(OR(NOT(ISNUMBER('Price History'!H109)),NOT(ISNUMBER('Price History'!H108)),'Price History'!H108=0),"",'Price History'!H109/'Price History'!H108-1),"")</f>
        <v>-3.3544654397734908E-2</v>
      </c>
      <c r="I108" s="129">
        <f>IFERROR(IF(OR(NOT(ISNUMBER('Price History'!I109)),NOT(ISNUMBER('Price History'!I108)),'Price History'!I108=0),"",'Price History'!I109/'Price History'!I108-1),"")</f>
        <v>8.5673758865247862E-3</v>
      </c>
      <c r="J108" s="129">
        <f>IFERROR(IF(OR(NOT(ISNUMBER('Price History'!J109)),NOT(ISNUMBER('Price History'!J108)),'Price History'!J108=0),"",'Price History'!J109/'Price History'!J108-1),"")</f>
        <v>5.9972739663789465E-3</v>
      </c>
      <c r="K108" s="129">
        <f>IFERROR(IF(OR(NOT(ISNUMBER('Price History'!K109)),NOT(ISNUMBER('Price History'!K108)),'Price History'!K108=0),"",'Price History'!K109/'Price History'!K108-1),"")</f>
        <v>-2.6426887439004343E-2</v>
      </c>
      <c r="L108" s="129">
        <f>IFERROR(IF(OR(NOT(ISNUMBER('Price History'!L109)),NOT(ISNUMBER('Price History'!L108)),'Price History'!L108=0),"",'Price History'!L109/'Price History'!L108-1),"")</f>
        <v>3.2048836322014385E-2</v>
      </c>
      <c r="M108" s="129">
        <f>IFERROR(IF(OR(NOT(ISNUMBER('Price History'!M109)),NOT(ISNUMBER('Price History'!M108)),'Price History'!M108=0),"",'Price History'!M109/'Price History'!M108-1),"")</f>
        <v>-3.4715928895085346E-2</v>
      </c>
      <c r="N108" s="129">
        <f>IFERROR(IF(OR(NOT(ISNUMBER('Price History'!N109)),NOT(ISNUMBER('Price History'!N108)),'Price History'!N108=0),"",'Price History'!N109/'Price History'!N108-1),"")</f>
        <v>6.8385884318229451E-3</v>
      </c>
      <c r="O108" s="129">
        <f>IFERROR(IF(OR(NOT(ISNUMBER('Price History'!O109)),NOT(ISNUMBER('Price History'!O108)),'Price History'!O108=0),"",'Price History'!O109/'Price History'!O108-1),"")</f>
        <v>3.0321406913280669E-3</v>
      </c>
      <c r="P108" s="129">
        <f>IFERROR(IF(OR(NOT(ISNUMBER('Price History'!P109)),NOT(ISNUMBER('Price History'!P108)),'Price History'!P108=0),"",'Price History'!P109/'Price History'!P108-1),"")</f>
        <v>7.6775431861804133E-3</v>
      </c>
      <c r="Q108" s="129">
        <f>IFERROR(IF(OR(NOT(ISNUMBER('Price History'!Q109)),NOT(ISNUMBER('Price History'!Q108)),'Price History'!Q108=0),"",'Price History'!Q109/'Price History'!Q108-1),"")</f>
        <v>3.1012560086840502E-4</v>
      </c>
      <c r="R108" s="129">
        <f>IFERROR(IF(OR(NOT(ISNUMBER('Price History'!R109)),NOT(ISNUMBER('Price History'!R108)),'Price History'!R108=0),"",'Price History'!R109/'Price History'!R108-1),"")</f>
        <v>1.5851000594411246E-3</v>
      </c>
      <c r="S108" s="129">
        <f>IFERROR(IF(OR(NOT(ISNUMBER('Price History'!S109)),NOT(ISNUMBER('Price History'!S108)),'Price History'!S108=0),"",'Price History'!S109/'Price History'!S108-1),"")</f>
        <v>-9.52617627567931E-3</v>
      </c>
      <c r="T108" s="129">
        <f>IFERROR(IF(OR(NOT(ISNUMBER('Price History'!T109)),NOT(ISNUMBER('Price History'!T108)),'Price History'!T108=0),"",'Price History'!T109/'Price History'!T108-1),"")</f>
        <v>7.8378378378378688E-3</v>
      </c>
      <c r="U108" s="129">
        <f>IFERROR(IF(OR(NOT(ISNUMBER('Price History'!U109)),NOT(ISNUMBER('Price History'!U108)),'Price History'!U108=0),"",'Price History'!U109/'Price History'!U108-1),"")</f>
        <v>5.3537284894837889E-3</v>
      </c>
      <c r="V108" s="130">
        <f>IFERROR(IF(OR(NOT(ISNUMBER('Price History'!V109)),NOT(ISNUMBER('Price History'!V108)),'Price History'!V108=0),"",'Price History'!V109/'Price History'!V108-1),"")</f>
        <v>-1.2422543523163077E-2</v>
      </c>
      <c r="W108" s="131">
        <f>IFERROR('Price History'!B3+(INDEX('Price History'!B:B,MATCH(9.99E+307,'Returns (Calc)'!$A:$A)+1)-'Price History'!B3)*(ROW()-3)/(MATCH(9.99E+307,'Returns (Calc)'!$A:$A)-3),"")</f>
        <v>335.37101265822787</v>
      </c>
      <c r="X108" s="131">
        <f>IFERROR('Price History'!C3+(INDEX('Price History'!C:C,MATCH(9.99E+307,'Returns (Calc)'!$A:$A)+1)-'Price History'!C3)*(ROW()-3)/(MATCH(9.99E+307,'Returns (Calc)'!$A:$A)-3),"")</f>
        <v>153.28664556962025</v>
      </c>
      <c r="Y108" s="131">
        <f>IFERROR('Price History'!D3+(INDEX('Price History'!D:D,MATCH(9.99E+307,'Returns (Calc)'!$A:$A)+1)-'Price History'!D3)*(ROW()-3)/(MATCH(9.99E+307,'Returns (Calc)'!$A:$A)-3),"")</f>
        <v>1436.1650632911392</v>
      </c>
      <c r="Z108" s="131">
        <f>IFERROR('Price History'!E3+(INDEX('Price History'!E:E,MATCH(9.99E+307,'Returns (Calc)'!$A:$A)+1)-'Price History'!E3)*(ROW()-3)/(MATCH(9.99E+307,'Returns (Calc)'!$A:$A)-3),"")</f>
        <v>263.51708860759493</v>
      </c>
      <c r="AA108" s="131">
        <f>IFERROR('Price History'!F3+(INDEX('Price History'!F:F,MATCH(9.99E+307,'Returns (Calc)'!$A:$A)+1)-'Price History'!F3)*(ROW()-3)/(MATCH(9.99E+307,'Returns (Calc)'!$A:$A)-3),"")</f>
        <v>193.33088607594937</v>
      </c>
      <c r="AB108" s="131">
        <f>IFERROR('Price History'!G3+(INDEX('Price History'!G:G,MATCH(9.99E+307,'Returns (Calc)'!$A:$A)+1)-'Price History'!G3)*(ROW()-3)/(MATCH(9.99E+307,'Returns (Calc)'!$A:$A)-3),"")</f>
        <v>152.36708860759495</v>
      </c>
      <c r="AC108" s="131">
        <f>IFERROR('Price History'!H3+(INDEX('Price History'!H:H,MATCH(9.99E+307,'Returns (Calc)'!$A:$A)+1)-'Price History'!H3)*(ROW()-3)/(MATCH(9.99E+307,'Returns (Calc)'!$A:$A)-3),"")</f>
        <v>737.5081012658228</v>
      </c>
      <c r="AD108" s="131">
        <f>IFERROR('Price History'!I3+(INDEX('Price History'!I:I,MATCH(9.99E+307,'Returns (Calc)'!$A:$A)+1)-'Price History'!I3)*(ROW()-3)/(MATCH(9.99E+307,'Returns (Calc)'!$A:$A)-3),"")</f>
        <v>170.15544303797466</v>
      </c>
      <c r="AE108" s="131">
        <f>IFERROR('Price History'!J3+(INDEX('Price History'!J:J,MATCH(9.99E+307,'Returns (Calc)'!$A:$A)+1)-'Price History'!J3)*(ROW()-3)/(MATCH(9.99E+307,'Returns (Calc)'!$A:$A)-3),"")</f>
        <v>123.18398734177215</v>
      </c>
      <c r="AF108" s="131">
        <f>IFERROR('Price History'!K3+(INDEX('Price History'!K:K,MATCH(9.99E+307,'Returns (Calc)'!$A:$A)+1)-'Price History'!K3)*(ROW()-3)/(MATCH(9.99E+307,'Returns (Calc)'!$A:$A)-3),"")</f>
        <v>130.57746835443038</v>
      </c>
      <c r="AG108" s="131">
        <f>IFERROR('Price History'!L3+(INDEX('Price History'!L:L,MATCH(9.99E+307,'Returns (Calc)'!$A:$A)+1)-'Price History'!L3)*(ROW()-3)/(MATCH(9.99E+307,'Returns (Calc)'!$A:$A)-3),"")</f>
        <v>342.95348101265819</v>
      </c>
      <c r="AH108" s="131">
        <f>IFERROR('Price History'!M3+(INDEX('Price History'!M:M,MATCH(9.99E+307,'Returns (Calc)'!$A:$A)+1)-'Price History'!M3)*(ROW()-3)/(MATCH(9.99E+307,'Returns (Calc)'!$A:$A)-3),"")</f>
        <v>180.34151898734177</v>
      </c>
      <c r="AI108" s="131">
        <f>IFERROR('Price History'!N3+(INDEX('Price History'!N:N,MATCH(9.99E+307,'Returns (Calc)'!$A:$A)+1)-'Price History'!N3)*(ROW()-3)/(MATCH(9.99E+307,'Returns (Calc)'!$A:$A)-3),"")</f>
        <v>452.45791139240509</v>
      </c>
      <c r="AJ108" s="131">
        <f>IFERROR('Price History'!O3+(INDEX('Price History'!O:O,MATCH(9.99E+307,'Returns (Calc)'!$A:$A)+1)-'Price History'!O3)*(ROW()-3)/(MATCH(9.99E+307,'Returns (Calc)'!$A:$A)-3),"")</f>
        <v>105.02898734177215</v>
      </c>
      <c r="AK108" s="131">
        <f>IFERROR('Price History'!Q3+(INDEX('Price History'!Q:Q,MATCH(9.99E+307,'Returns (Calc)'!$A:$A)+1)-'Price History'!Q3)*(ROW()-3)/(MATCH(9.99E+307,'Returns (Calc)'!$A:$A)-3),"")</f>
        <v>46.133544303797471</v>
      </c>
      <c r="AL108" s="131">
        <f>IFERROR('Price History'!R3+(INDEX('Price History'!R:R,MATCH(9.99E+307,'Returns (Calc)'!$A:$A)+1)-'Price History'!R3)*(ROW()-3)/(MATCH(9.99E+307,'Returns (Calc)'!$A:$A)-3),"")</f>
        <v>52.130632911392404</v>
      </c>
      <c r="AM108" s="131">
        <f>IFERROR('Price History'!S3+(INDEX('Price History'!S:S,MATCH(9.99E+307,'Returns (Calc)'!$A:$A)+1)-'Price History'!S3)*(ROW()-3)/(MATCH(9.99E+307,'Returns (Calc)'!$A:$A)-3),"")</f>
        <v>121.16164556962025</v>
      </c>
      <c r="AN108" s="131">
        <f>IFERROR('Price History'!T3+(INDEX('Price History'!T:T,MATCH(9.99E+307,'Returns (Calc)'!$A:$A)+1)-'Price History'!T3)*(ROW()-3)/(MATCH(9.99E+307,'Returns (Calc)'!$A:$A)-3),"")</f>
        <v>42.903924050632909</v>
      </c>
      <c r="AO108" s="132">
        <f>IFERROR('Price History'!V3+(INDEX('Price History'!V:V,MATCH(9.99E+307,'Returns (Calc)'!$A:$A)+1)-'Price History'!V3)*(ROW()-3)/(MATCH(9.99E+307,'Returns (Calc)'!$A:$A)-3),"")</f>
        <v>318.71955696202531</v>
      </c>
      <c r="AP108" s="130">
        <f>IFERROR(IF(OR(NOT(ISNUMBER('Price History'!W109)),NOT(ISNUMBER('Price History'!W108)),'Price History'!W108=0),"",'Price History'!W109/'Price History'!W108-1),"")</f>
        <v>2.3340627279357928E-3</v>
      </c>
      <c r="AQ108" s="130" t="str">
        <f>IFERROR(IF(OR(NOT(ISNUMBER('Price History'!X109)),NOT(ISNUMBER('Price History'!X108)),'Price History'!X108=0),"",'Price History'!X109/'Price History'!X108-1),"")</f>
        <v/>
      </c>
      <c r="AR108" s="130">
        <f>IFERROR(IF(OR(NOT(ISNUMBER('Price History'!Y109)),NOT(ISNUMBER('Price History'!Y108)),'Price History'!Y108=0),"",'Price History'!Y109/'Price History'!Y108-1),"")</f>
        <v>1.3417672992142027E-3</v>
      </c>
      <c r="AS108" s="130">
        <f>IFERROR(IF(OR(NOT(ISNUMBER('Price History'!Z109)),NOT(ISNUMBER('Price History'!Z108)),'Price History'!Z108=0),"",'Price History'!Z109/'Price History'!Z108-1),"")</f>
        <v>-2.0459248381282991E-2</v>
      </c>
      <c r="AT108" s="130">
        <f>IFERROR(IF(OR(NOT(ISNUMBER('Price History'!AA109)),NOT(ISNUMBER('Price History'!AA108)),'Price History'!AA108=0),"",'Price History'!AA109/'Price History'!AA108-1),"")</f>
        <v>-1.3365933170334188E-2</v>
      </c>
    </row>
    <row r="109" spans="1:46" ht="15" customHeight="1" x14ac:dyDescent="0.2">
      <c r="A109" s="128">
        <f>IF('Price History'!A110="","",'Price History'!A110)</f>
        <v>45933</v>
      </c>
      <c r="B109" s="129">
        <f>IFERROR(IF(OR(NOT(ISNUMBER('Price History'!B110)),NOT(ISNUMBER('Price History'!B109)),'Price History'!B109=0),"",'Price History'!B110/'Price History'!B109-1),"")</f>
        <v>-3.782223825512665E-2</v>
      </c>
      <c r="C109" s="129">
        <f>IFERROR(IF(OR(NOT(ISNUMBER('Price History'!C110)),NOT(ISNUMBER('Price History'!C109)),'Price History'!C109=0),"",'Price History'!C110/'Price History'!C109-1),"")</f>
        <v>2.1052631578947434E-2</v>
      </c>
      <c r="D109" s="129">
        <f>IFERROR(IF(OR(NOT(ISNUMBER('Price History'!D110)),NOT(ISNUMBER('Price History'!D109)),'Price History'!D109=0),"",'Price History'!D110/'Price History'!D109-1),"")</f>
        <v>8.482053126553768E-2</v>
      </c>
      <c r="E109" s="129">
        <f>IFERROR(IF(OR(NOT(ISNUMBER('Price History'!E110)),NOT(ISNUMBER('Price History'!E109)),'Price History'!E109=0),"",'Price History'!E110/'Price History'!E109-1),"")</f>
        <v>1.1473830030717336E-2</v>
      </c>
      <c r="F109" s="129">
        <f>IFERROR(IF(OR(NOT(ISNUMBER('Price History'!F110)),NOT(ISNUMBER('Price History'!F109)),'Price History'!F109=0),"",'Price History'!F110/'Price History'!F109-1),"")</f>
        <v>1.7530741110003412E-2</v>
      </c>
      <c r="G109" s="129">
        <f>IFERROR(IF(OR(NOT(ISNUMBER('Price History'!G110)),NOT(ISNUMBER('Price History'!G109)),'Price History'!G109=0),"",'Price History'!G110/'Price History'!G109-1),"")</f>
        <v>3.4951823162667761E-2</v>
      </c>
      <c r="H109" s="129">
        <f>IFERROR(IF(OR(NOT(ISNUMBER('Price History'!H110)),NOT(ISNUMBER('Price History'!H109)),'Price History'!H109=0),"",'Price History'!H110/'Price History'!H109-1),"")</f>
        <v>0.19507069163163915</v>
      </c>
      <c r="I109" s="129">
        <f>IFERROR(IF(OR(NOT(ISNUMBER('Price History'!I110)),NOT(ISNUMBER('Price History'!I109)),'Price History'!I109=0),"",'Price History'!I110/'Price History'!I109-1),"")</f>
        <v>5.2936543654365398E-2</v>
      </c>
      <c r="J109" s="129">
        <f>IFERROR(IF(OR(NOT(ISNUMBER('Price History'!J110)),NOT(ISNUMBER('Price History'!J109)),'Price History'!J109=0),"",'Price History'!J110/'Price History'!J109-1),"")</f>
        <v>2.520097552163314E-2</v>
      </c>
      <c r="K109" s="129">
        <f>IFERROR(IF(OR(NOT(ISNUMBER('Price History'!K110)),NOT(ISNUMBER('Price History'!K109)),'Price History'!K109=0),"",'Price History'!K110/'Price History'!K109-1),"")</f>
        <v>-2.5342118601115016E-2</v>
      </c>
      <c r="L109" s="129">
        <f>IFERROR(IF(OR(NOT(ISNUMBER('Price History'!L110)),NOT(ISNUMBER('Price History'!L109)),'Price History'!L109=0),"",'Price History'!L110/'Price History'!L109-1),"")</f>
        <v>6.8872458410351278E-2</v>
      </c>
      <c r="M109" s="129">
        <f>IFERROR(IF(OR(NOT(ISNUMBER('Price History'!M110)),NOT(ISNUMBER('Price History'!M109)),'Price History'!M109=0),"",'Price History'!M110/'Price History'!M109-1),"")</f>
        <v>0.15570159601357703</v>
      </c>
      <c r="N109" s="129">
        <f>IFERROR(IF(OR(NOT(ISNUMBER('Price History'!N110)),NOT(ISNUMBER('Price History'!N109)),'Price History'!N109=0),"",'Price History'!N110/'Price History'!N109-1),"")</f>
        <v>4.552289106652152E-2</v>
      </c>
      <c r="O109" s="129">
        <f>IFERROR(IF(OR(NOT(ISNUMBER('Price History'!O110)),NOT(ISNUMBER('Price History'!O109)),'Price History'!O109=0),"",'Price History'!O110/'Price History'!O109-1),"")</f>
        <v>1.108424022571608E-3</v>
      </c>
      <c r="P109" s="129">
        <f>IFERROR(IF(OR(NOT(ISNUMBER('Price History'!P110)),NOT(ISNUMBER('Price History'!P109)),'Price History'!P109=0),"",'Price History'!P110/'Price History'!P109-1),"")</f>
        <v>1.2380952380952381E-2</v>
      </c>
      <c r="Q109" s="129">
        <f>IFERROR(IF(OR(NOT(ISNUMBER('Price History'!Q110)),NOT(ISNUMBER('Price History'!Q109)),'Price History'!Q109=0),"",'Price History'!Q110/'Price History'!Q109-1),"")</f>
        <v>3.2553092543790019E-3</v>
      </c>
      <c r="R109" s="129">
        <f>IFERROR(IF(OR(NOT(ISNUMBER('Price History'!R110)),NOT(ISNUMBER('Price History'!R109)),'Price History'!R109=0),"",'Price History'!R110/'Price History'!R109-1),"")</f>
        <v>8.3086053412462224E-3</v>
      </c>
      <c r="S109" s="129">
        <f>IFERROR(IF(OR(NOT(ISNUMBER('Price History'!S110)),NOT(ISNUMBER('Price History'!S109)),'Price History'!S109=0),"",'Price History'!S110/'Price History'!S109-1),"")</f>
        <v>-4.0980178974658887E-3</v>
      </c>
      <c r="T109" s="129">
        <f>IFERROR(IF(OR(NOT(ISNUMBER('Price History'!T110)),NOT(ISNUMBER('Price History'!T109)),'Price History'!T109=0),"",'Price History'!T110/'Price History'!T109-1),"")</f>
        <v>3.4861893268973709E-3</v>
      </c>
      <c r="U109" s="129">
        <f>IFERROR(IF(OR(NOT(ISNUMBER('Price History'!U110)),NOT(ISNUMBER('Price History'!U109)),'Price History'!U109=0),"",'Price History'!U110/'Price History'!U109-1),"")</f>
        <v>7.2270825408902173E-3</v>
      </c>
      <c r="V109" s="130">
        <f>IFERROR(IF(OR(NOT(ISNUMBER('Price History'!V110)),NOT(ISNUMBER('Price History'!V109)),'Price History'!V109=0),"",'Price History'!V110/'Price History'!V109-1),"")</f>
        <v>3.6959574531656214E-2</v>
      </c>
      <c r="W109" s="131">
        <f>IFERROR('Price History'!B3+(INDEX('Price History'!B:B,MATCH(9.99E+307,'Returns (Calc)'!$A:$A)+1)-'Price History'!B3)*(ROW()-3)/(MATCH(9.99E+307,'Returns (Calc)'!$A:$A)-3),"")</f>
        <v>333.5279746835443</v>
      </c>
      <c r="X109" s="131">
        <f>IFERROR('Price History'!C3+(INDEX('Price History'!C:C,MATCH(9.99E+307,'Returns (Calc)'!$A:$A)+1)-'Price History'!C3)*(ROW()-3)/(MATCH(9.99E+307,'Returns (Calc)'!$A:$A)-3),"")</f>
        <v>154.3067088607595</v>
      </c>
      <c r="Y109" s="131">
        <f>IFERROR('Price History'!D3+(INDEX('Price History'!D:D,MATCH(9.99E+307,'Returns (Calc)'!$A:$A)+1)-'Price History'!D3)*(ROW()-3)/(MATCH(9.99E+307,'Returns (Calc)'!$A:$A)-3),"")</f>
        <v>1444.2998734177213</v>
      </c>
      <c r="Z109" s="131">
        <f>IFERROR('Price History'!E3+(INDEX('Price History'!E:E,MATCH(9.99E+307,'Returns (Calc)'!$A:$A)+1)-'Price History'!E3)*(ROW()-3)/(MATCH(9.99E+307,'Returns (Calc)'!$A:$A)-3),"")</f>
        <v>265.24582278481012</v>
      </c>
      <c r="AA109" s="131">
        <f>IFERROR('Price History'!F3+(INDEX('Price History'!F:F,MATCH(9.99E+307,'Returns (Calc)'!$A:$A)+1)-'Price History'!F3)*(ROW()-3)/(MATCH(9.99E+307,'Returns (Calc)'!$A:$A)-3),"")</f>
        <v>194.77822784810127</v>
      </c>
      <c r="AB109" s="131">
        <f>IFERROR('Price History'!G3+(INDEX('Price History'!G:G,MATCH(9.99E+307,'Returns (Calc)'!$A:$A)+1)-'Price History'!G3)*(ROW()-3)/(MATCH(9.99E+307,'Returns (Calc)'!$A:$A)-3),"")</f>
        <v>153.39582278481012</v>
      </c>
      <c r="AC109" s="131">
        <f>IFERROR('Price History'!H3+(INDEX('Price History'!H:H,MATCH(9.99E+307,'Returns (Calc)'!$A:$A)+1)-'Price History'!H3)*(ROW()-3)/(MATCH(9.99E+307,'Returns (Calc)'!$A:$A)-3),"")</f>
        <v>743.8737974683545</v>
      </c>
      <c r="AD109" s="131">
        <f>IFERROR('Price History'!I3+(INDEX('Price History'!I:I,MATCH(9.99E+307,'Returns (Calc)'!$A:$A)+1)-'Price History'!I3)*(ROW()-3)/(MATCH(9.99E+307,'Returns (Calc)'!$A:$A)-3),"")</f>
        <v>171.35911392405063</v>
      </c>
      <c r="AE109" s="131">
        <f>IFERROR('Price History'!J3+(INDEX('Price History'!J:J,MATCH(9.99E+307,'Returns (Calc)'!$A:$A)+1)-'Price History'!J3)*(ROW()-3)/(MATCH(9.99E+307,'Returns (Calc)'!$A:$A)-3),"")</f>
        <v>123.29202531645569</v>
      </c>
      <c r="AF109" s="131">
        <f>IFERROR('Price History'!K3+(INDEX('Price History'!K:K,MATCH(9.99E+307,'Returns (Calc)'!$A:$A)+1)-'Price History'!K3)*(ROW()-3)/(MATCH(9.99E+307,'Returns (Calc)'!$A:$A)-3),"")</f>
        <v>131.67506329113925</v>
      </c>
      <c r="AG109" s="131">
        <f>IFERROR('Price History'!L3+(INDEX('Price History'!L:L,MATCH(9.99E+307,'Returns (Calc)'!$A:$A)+1)-'Price History'!L3)*(ROW()-3)/(MATCH(9.99E+307,'Returns (Calc)'!$A:$A)-3),"")</f>
        <v>345.40303797468357</v>
      </c>
      <c r="AH109" s="131">
        <f>IFERROR('Price History'!M3+(INDEX('Price History'!M:M,MATCH(9.99E+307,'Returns (Calc)'!$A:$A)+1)-'Price History'!M3)*(ROW()-3)/(MATCH(9.99E+307,'Returns (Calc)'!$A:$A)-3),"")</f>
        <v>181.69696202531645</v>
      </c>
      <c r="AI109" s="131">
        <f>IFERROR('Price History'!N3+(INDEX('Price History'!N:N,MATCH(9.99E+307,'Returns (Calc)'!$A:$A)+1)-'Price History'!N3)*(ROW()-3)/(MATCH(9.99E+307,'Returns (Calc)'!$A:$A)-3),"")</f>
        <v>453.44417721518988</v>
      </c>
      <c r="AJ109" s="131">
        <f>IFERROR('Price History'!O3+(INDEX('Price History'!O:O,MATCH(9.99E+307,'Returns (Calc)'!$A:$A)+1)-'Price History'!O3)*(ROW()-3)/(MATCH(9.99E+307,'Returns (Calc)'!$A:$A)-3),"")</f>
        <v>105.3120253164557</v>
      </c>
      <c r="AK109" s="131">
        <f>IFERROR('Price History'!Q3+(INDEX('Price History'!Q:Q,MATCH(9.99E+307,'Returns (Calc)'!$A:$A)+1)-'Price History'!Q3)*(ROW()-3)/(MATCH(9.99E+307,'Returns (Calc)'!$A:$A)-3),"")</f>
        <v>46.572911392405068</v>
      </c>
      <c r="AL109" s="131">
        <f>IFERROR('Price History'!R3+(INDEX('Price History'!R:R,MATCH(9.99E+307,'Returns (Calc)'!$A:$A)+1)-'Price History'!R3)*(ROW()-3)/(MATCH(9.99E+307,'Returns (Calc)'!$A:$A)-3),"")</f>
        <v>52.298734177215188</v>
      </c>
      <c r="AM109" s="131">
        <f>IFERROR('Price History'!S3+(INDEX('Price History'!S:S,MATCH(9.99E+307,'Returns (Calc)'!$A:$A)+1)-'Price History'!S3)*(ROW()-3)/(MATCH(9.99E+307,'Returns (Calc)'!$A:$A)-3),"")</f>
        <v>121.76670886075948</v>
      </c>
      <c r="AN109" s="131">
        <f>IFERROR('Price History'!T3+(INDEX('Price History'!T:T,MATCH(9.99E+307,'Returns (Calc)'!$A:$A)+1)-'Price History'!T3)*(ROW()-3)/(MATCH(9.99E+307,'Returns (Calc)'!$A:$A)-3),"")</f>
        <v>43.072151898734177</v>
      </c>
      <c r="AO109" s="132">
        <f>IFERROR('Price History'!V3+(INDEX('Price History'!V:V,MATCH(9.99E+307,'Returns (Calc)'!$A:$A)+1)-'Price History'!V3)*(ROW()-3)/(MATCH(9.99E+307,'Returns (Calc)'!$A:$A)-3),"")</f>
        <v>319.51088607594937</v>
      </c>
      <c r="AP109" s="130">
        <f>IFERROR(IF(OR(NOT(ISNUMBER('Price History'!W110)),NOT(ISNUMBER('Price History'!W109)),'Price History'!W109=0),"",'Price History'!W110/'Price History'!W109-1),"")</f>
        <v>5.4577208557706758E-3</v>
      </c>
      <c r="AQ109" s="130" t="str">
        <f>IFERROR(IF(OR(NOT(ISNUMBER('Price History'!X110)),NOT(ISNUMBER('Price History'!X109)),'Price History'!X109=0),"",'Price History'!X110/'Price History'!X109-1),"")</f>
        <v/>
      </c>
      <c r="AR109" s="130">
        <f>IFERROR(IF(OR(NOT(ISNUMBER('Price History'!Y110)),NOT(ISNUMBER('Price History'!Y109)),'Price History'!Y109=0),"",'Price History'!Y110/'Price History'!Y109-1),"")</f>
        <v>8.0398162327717237E-3</v>
      </c>
      <c r="AS109" s="130">
        <f>IFERROR(IF(OR(NOT(ISNUMBER('Price History'!Z110)),NOT(ISNUMBER('Price History'!Z109)),'Price History'!Z109=0),"",'Price History'!Z110/'Price History'!Z109-1),"")</f>
        <v>8.0752325462536412E-3</v>
      </c>
      <c r="AT109" s="130">
        <f>IFERROR(IF(OR(NOT(ISNUMBER('Price History'!AA110)),NOT(ISNUMBER('Price History'!AA109)),'Price History'!AA109=0),"",'Price History'!AA110/'Price History'!AA109-1),"")</f>
        <v>-4.73319015364283E-2</v>
      </c>
    </row>
    <row r="110" spans="1:46" ht="15" customHeight="1" x14ac:dyDescent="0.2">
      <c r="A110" s="128">
        <f>IF('Price History'!A111="","",'Price History'!A111)</f>
        <v>45940</v>
      </c>
      <c r="B110" s="129">
        <f>IFERROR(IF(OR(NOT(ISNUMBER('Price History'!B111)),NOT(ISNUMBER('Price History'!B110)),'Price History'!B110=0),"",'Price History'!B111/'Price History'!B110-1),"")</f>
        <v>-2.6619368979639013E-2</v>
      </c>
      <c r="C110" s="129">
        <f>IFERROR(IF(OR(NOT(ISNUMBER('Price History'!C111)),NOT(ISNUMBER('Price History'!C110)),'Price History'!C110=0),"",'Price History'!C111/'Price History'!C110-1),"")</f>
        <v>5.9106529209622005E-2</v>
      </c>
      <c r="D110" s="129">
        <f>IFERROR(IF(OR(NOT(ISNUMBER('Price History'!D111)),NOT(ISNUMBER('Price History'!D110)),'Price History'!D110=0),"",'Price History'!D111/'Price History'!D110-1),"")</f>
        <v>-9.304026446409952E-2</v>
      </c>
      <c r="E110" s="129">
        <f>IFERROR(IF(OR(NOT(ISNUMBER('Price History'!E111)),NOT(ISNUMBER('Price History'!E110)),'Price History'!E110=0),"",'Price History'!E111/'Price History'!E110-1),"")</f>
        <v>-4.0610950665435963E-2</v>
      </c>
      <c r="F110" s="129">
        <f>IFERROR(IF(OR(NOT(ISNUMBER('Price History'!F111)),NOT(ISNUMBER('Price History'!F110)),'Price History'!F110=0),"",'Price History'!F111/'Price History'!F110-1),"")</f>
        <v>7.7570017147057246E-3</v>
      </c>
      <c r="G110" s="129">
        <f>IFERROR(IF(OR(NOT(ISNUMBER('Price History'!G111)),NOT(ISNUMBER('Price History'!G110)),'Price History'!G110=0),"",'Price History'!G111/'Price History'!G110-1),"")</f>
        <v>-0.10779481562614091</v>
      </c>
      <c r="H110" s="129">
        <f>IFERROR(IF(OR(NOT(ISNUMBER('Price History'!H111)),NOT(ISNUMBER('Price History'!H110)),'Price History'!H110=0),"",'Price History'!H111/'Price History'!H110-1),"")</f>
        <v>-3.3200106581401601E-2</v>
      </c>
      <c r="I110" s="129">
        <f>IFERROR(IF(OR(NOT(ISNUMBER('Price History'!I111)),NOT(ISNUMBER('Price History'!I110)),'Price History'!I110=0),"",'Price History'!I111/'Price History'!I110-1),"")</f>
        <v>-2.3775177645990242E-2</v>
      </c>
      <c r="J110" s="129">
        <f>IFERROR(IF(OR(NOT(ISNUMBER('Price History'!J111)),NOT(ISNUMBER('Price History'!J110)),'Price History'!J110=0),"",'Price History'!J111/'Price History'!J110-1),"")</f>
        <v>-4.9867841409691582E-2</v>
      </c>
      <c r="K110" s="129">
        <f>IFERROR(IF(OR(NOT(ISNUMBER('Price History'!K111)),NOT(ISNUMBER('Price History'!K110)),'Price History'!K110=0),"",'Price History'!K111/'Price History'!K110-1),"")</f>
        <v>1.3693881088576942E-2</v>
      </c>
      <c r="L110" s="129">
        <f>IFERROR(IF(OR(NOT(ISNUMBER('Price History'!L111)),NOT(ISNUMBER('Price History'!L110)),'Price History'!L110=0),"",'Price History'!L111/'Price History'!L110-1),"")</f>
        <v>-3.9463217237920567E-2</v>
      </c>
      <c r="M110" s="129">
        <f>IFERROR(IF(OR(NOT(ISNUMBER('Price History'!M111)),NOT(ISNUMBER('Price History'!M110)),'Price History'!M110=0),"",'Price History'!M111/'Price History'!M110-1),"")</f>
        <v>5.4989689433231348E-2</v>
      </c>
      <c r="N110" s="129">
        <f>IFERROR(IF(OR(NOT(ISNUMBER('Price History'!N111)),NOT(ISNUMBER('Price History'!N110)),'Price History'!N110=0),"",'Price History'!N111/'Price History'!N110-1),"")</f>
        <v>1.1133151500124061E-2</v>
      </c>
      <c r="O110" s="129">
        <f>IFERROR(IF(OR(NOT(ISNUMBER('Price History'!O111)),NOT(ISNUMBER('Price History'!O110)),'Price History'!O110=0),"",'Price History'!O111/'Price History'!O110-1),"")</f>
        <v>-5.4353296426774E-2</v>
      </c>
      <c r="P110" s="129">
        <f>IFERROR(IF(OR(NOT(ISNUMBER('Price History'!P111)),NOT(ISNUMBER('Price History'!P110)),'Price History'!P110=0),"",'Price History'!P111/'Price History'!P110-1),"")</f>
        <v>-3.459005716766772E-2</v>
      </c>
      <c r="Q110" s="129">
        <f>IFERROR(IF(OR(NOT(ISNUMBER('Price History'!Q111)),NOT(ISNUMBER('Price History'!Q110)),'Price History'!Q110=0),"",'Price History'!Q111/'Price History'!Q110-1),"")</f>
        <v>-1.2669962917181699E-2</v>
      </c>
      <c r="R110" s="129">
        <f>IFERROR(IF(OR(NOT(ISNUMBER('Price History'!R111)),NOT(ISNUMBER('Price History'!R110)),'Price History'!R110=0),"",'Price History'!R111/'Price History'!R110-1),"")</f>
        <v>-1.6676476358642334E-2</v>
      </c>
      <c r="S110" s="129">
        <f>IFERROR(IF(OR(NOT(ISNUMBER('Price History'!S111)),NOT(ISNUMBER('Price History'!S110)),'Price History'!S110=0),"",'Price History'!S111/'Price History'!S110-1),"")</f>
        <v>-1.3184413839435583E-2</v>
      </c>
      <c r="T110" s="129">
        <f>IFERROR(IF(OR(NOT(ISNUMBER('Price History'!T111)),NOT(ISNUMBER('Price History'!T110)),'Price History'!T110=0),"",'Price History'!T111/'Price History'!T110-1),"")</f>
        <v>-3.3137359700694868E-2</v>
      </c>
      <c r="U110" s="129">
        <f>IFERROR(IF(OR(NOT(ISNUMBER('Price History'!U111)),NOT(ISNUMBER('Price History'!U110)),'Price History'!U110=0),"",'Price History'!U111/'Price History'!U110-1),"")</f>
        <v>-3.1722054380664666E-2</v>
      </c>
      <c r="V110" s="130">
        <f>IFERROR(IF(OR(NOT(ISNUMBER('Price History'!V111)),NOT(ISNUMBER('Price History'!V110)),'Price History'!V110=0),"",'Price History'!V111/'Price History'!V110-1),"")</f>
        <v>-1.7691465452659427E-2</v>
      </c>
      <c r="W110" s="131">
        <f>IFERROR('Price History'!B3+(INDEX('Price History'!B:B,MATCH(9.99E+307,'Returns (Calc)'!$A:$A)+1)-'Price History'!B3)*(ROW()-3)/(MATCH(9.99E+307,'Returns (Calc)'!$A:$A)-3),"")</f>
        <v>331.68493670886073</v>
      </c>
      <c r="X110" s="131">
        <f>IFERROR('Price History'!C3+(INDEX('Price History'!C:C,MATCH(9.99E+307,'Returns (Calc)'!$A:$A)+1)-'Price History'!C3)*(ROW()-3)/(MATCH(9.99E+307,'Returns (Calc)'!$A:$A)-3),"")</f>
        <v>155.32677215189872</v>
      </c>
      <c r="Y110" s="131">
        <f>IFERROR('Price History'!D3+(INDEX('Price History'!D:D,MATCH(9.99E+307,'Returns (Calc)'!$A:$A)+1)-'Price History'!D3)*(ROW()-3)/(MATCH(9.99E+307,'Returns (Calc)'!$A:$A)-3),"")</f>
        <v>1452.4346835443039</v>
      </c>
      <c r="Z110" s="131">
        <f>IFERROR('Price History'!E3+(INDEX('Price History'!E:E,MATCH(9.99E+307,'Returns (Calc)'!$A:$A)+1)-'Price History'!E3)*(ROW()-3)/(MATCH(9.99E+307,'Returns (Calc)'!$A:$A)-3),"")</f>
        <v>266.9745569620253</v>
      </c>
      <c r="AA110" s="131">
        <f>IFERROR('Price History'!F3+(INDEX('Price History'!F:F,MATCH(9.99E+307,'Returns (Calc)'!$A:$A)+1)-'Price History'!F3)*(ROW()-3)/(MATCH(9.99E+307,'Returns (Calc)'!$A:$A)-3),"")</f>
        <v>196.22556962025317</v>
      </c>
      <c r="AB110" s="131">
        <f>IFERROR('Price History'!G3+(INDEX('Price History'!G:G,MATCH(9.99E+307,'Returns (Calc)'!$A:$A)+1)-'Price History'!G3)*(ROW()-3)/(MATCH(9.99E+307,'Returns (Calc)'!$A:$A)-3),"")</f>
        <v>154.42455696202532</v>
      </c>
      <c r="AC110" s="131">
        <f>IFERROR('Price History'!H3+(INDEX('Price History'!H:H,MATCH(9.99E+307,'Returns (Calc)'!$A:$A)+1)-'Price History'!H3)*(ROW()-3)/(MATCH(9.99E+307,'Returns (Calc)'!$A:$A)-3),"")</f>
        <v>750.23949367088608</v>
      </c>
      <c r="AD110" s="131">
        <f>IFERROR('Price History'!I3+(INDEX('Price History'!I:I,MATCH(9.99E+307,'Returns (Calc)'!$A:$A)+1)-'Price History'!I3)*(ROW()-3)/(MATCH(9.99E+307,'Returns (Calc)'!$A:$A)-3),"")</f>
        <v>172.56278481012657</v>
      </c>
      <c r="AE110" s="131">
        <f>IFERROR('Price History'!J3+(INDEX('Price History'!J:J,MATCH(9.99E+307,'Returns (Calc)'!$A:$A)+1)-'Price History'!J3)*(ROW()-3)/(MATCH(9.99E+307,'Returns (Calc)'!$A:$A)-3),"")</f>
        <v>123.40006329113925</v>
      </c>
      <c r="AF110" s="131">
        <f>IFERROR('Price History'!K3+(INDEX('Price History'!K:K,MATCH(9.99E+307,'Returns (Calc)'!$A:$A)+1)-'Price History'!K3)*(ROW()-3)/(MATCH(9.99E+307,'Returns (Calc)'!$A:$A)-3),"")</f>
        <v>132.7726582278481</v>
      </c>
      <c r="AG110" s="131">
        <f>IFERROR('Price History'!L3+(INDEX('Price History'!L:L,MATCH(9.99E+307,'Returns (Calc)'!$A:$A)+1)-'Price History'!L3)*(ROW()-3)/(MATCH(9.99E+307,'Returns (Calc)'!$A:$A)-3),"")</f>
        <v>347.85259493670884</v>
      </c>
      <c r="AH110" s="131">
        <f>IFERROR('Price History'!M3+(INDEX('Price History'!M:M,MATCH(9.99E+307,'Returns (Calc)'!$A:$A)+1)-'Price History'!M3)*(ROW()-3)/(MATCH(9.99E+307,'Returns (Calc)'!$A:$A)-3),"")</f>
        <v>183.05240506329113</v>
      </c>
      <c r="AI110" s="131">
        <f>IFERROR('Price History'!N3+(INDEX('Price History'!N:N,MATCH(9.99E+307,'Returns (Calc)'!$A:$A)+1)-'Price History'!N3)*(ROW()-3)/(MATCH(9.99E+307,'Returns (Calc)'!$A:$A)-3),"")</f>
        <v>454.43044303797467</v>
      </c>
      <c r="AJ110" s="131">
        <f>IFERROR('Price History'!O3+(INDEX('Price History'!O:O,MATCH(9.99E+307,'Returns (Calc)'!$A:$A)+1)-'Price History'!O3)*(ROW()-3)/(MATCH(9.99E+307,'Returns (Calc)'!$A:$A)-3),"")</f>
        <v>105.59506329113924</v>
      </c>
      <c r="AK110" s="131">
        <f>IFERROR('Price History'!Q3+(INDEX('Price History'!Q:Q,MATCH(9.99E+307,'Returns (Calc)'!$A:$A)+1)-'Price History'!Q3)*(ROW()-3)/(MATCH(9.99E+307,'Returns (Calc)'!$A:$A)-3),"")</f>
        <v>47.012278481012665</v>
      </c>
      <c r="AL110" s="131">
        <f>IFERROR('Price History'!R3+(INDEX('Price History'!R:R,MATCH(9.99E+307,'Returns (Calc)'!$A:$A)+1)-'Price History'!R3)*(ROW()-3)/(MATCH(9.99E+307,'Returns (Calc)'!$A:$A)-3),"")</f>
        <v>52.466835443037972</v>
      </c>
      <c r="AM110" s="131">
        <f>IFERROR('Price History'!S3+(INDEX('Price History'!S:S,MATCH(9.99E+307,'Returns (Calc)'!$A:$A)+1)-'Price History'!S3)*(ROW()-3)/(MATCH(9.99E+307,'Returns (Calc)'!$A:$A)-3),"")</f>
        <v>122.37177215189874</v>
      </c>
      <c r="AN110" s="131">
        <f>IFERROR('Price History'!T3+(INDEX('Price History'!T:T,MATCH(9.99E+307,'Returns (Calc)'!$A:$A)+1)-'Price History'!T3)*(ROW()-3)/(MATCH(9.99E+307,'Returns (Calc)'!$A:$A)-3),"")</f>
        <v>43.240379746835444</v>
      </c>
      <c r="AO110" s="132">
        <f>IFERROR('Price History'!V3+(INDEX('Price History'!V:V,MATCH(9.99E+307,'Returns (Calc)'!$A:$A)+1)-'Price History'!V3)*(ROW()-3)/(MATCH(9.99E+307,'Returns (Calc)'!$A:$A)-3),"")</f>
        <v>320.30221518987344</v>
      </c>
      <c r="AP110" s="130">
        <f>IFERROR(IF(OR(NOT(ISNUMBER('Price History'!W111)),NOT(ISNUMBER('Price History'!W110)),'Price History'!W110=0),"",'Price History'!W111/'Price History'!W110-1),"")</f>
        <v>-2.8805095172613426E-2</v>
      </c>
      <c r="AQ110" s="130" t="str">
        <f>IFERROR(IF(OR(NOT(ISNUMBER('Price History'!X111)),NOT(ISNUMBER('Price History'!X110)),'Price History'!X110=0),"",'Price History'!X111/'Price History'!X110-1),"")</f>
        <v/>
      </c>
      <c r="AR110" s="130">
        <f>IFERROR(IF(OR(NOT(ISNUMBER('Price History'!Y111)),NOT(ISNUMBER('Price History'!Y110)),'Price History'!Y110=0),"",'Price History'!Y111/'Price History'!Y110-1),"")</f>
        <v>-1.8040258260539233E-2</v>
      </c>
      <c r="AS110" s="130">
        <f>IFERROR(IF(OR(NOT(ISNUMBER('Price History'!Z111)),NOT(ISNUMBER('Price History'!Z110)),'Price History'!Z110=0),"",'Price History'!Z111/'Price History'!Z110-1),"")</f>
        <v>-1.855607381869806E-2</v>
      </c>
      <c r="AT110" s="130">
        <f>IFERROR(IF(OR(NOT(ISNUMBER('Price History'!AA111)),NOT(ISNUMBER('Price History'!AA110)),'Price History'!AA110=0),"",'Price History'!AA111/'Price History'!AA110-1),"")</f>
        <v>5.7920749154599882E-2</v>
      </c>
    </row>
    <row r="111" spans="1:46" ht="15" customHeight="1" x14ac:dyDescent="0.2">
      <c r="A111" s="128">
        <f>IF('Price History'!A112="","",'Price History'!A112)</f>
        <v>45947</v>
      </c>
      <c r="B111" s="129">
        <f>IFERROR(IF(OR(NOT(ISNUMBER('Price History'!B112)),NOT(ISNUMBER('Price History'!B111)),'Price History'!B111=0),"",'Price History'!B112/'Price History'!B111-1),"")</f>
        <v>-1.2592219489792944E-2</v>
      </c>
      <c r="C111" s="129">
        <f>IFERROR(IF(OR(NOT(ISNUMBER('Price History'!C112)),NOT(ISNUMBER('Price History'!C111)),'Price History'!C111=0),"",'Price History'!C112/'Price History'!C111-1),"")</f>
        <v>-7.138221933809219E-2</v>
      </c>
      <c r="D111" s="129">
        <f>IFERROR(IF(OR(NOT(ISNUMBER('Price History'!D112)),NOT(ISNUMBER('Price History'!D111)),'Price History'!D111=0),"",'Price History'!D112/'Price History'!D111-1),"")</f>
        <v>9.9423693095069154E-2</v>
      </c>
      <c r="E111" s="129">
        <f>IFERROR(IF(OR(NOT(ISNUMBER('Price History'!E112)),NOT(ISNUMBER('Price History'!E111)),'Price History'!E111=0),"",'Price History'!E112/'Price History'!E111-1),"")</f>
        <v>7.6094714955156295E-2</v>
      </c>
      <c r="F111" s="129">
        <f>IFERROR(IF(OR(NOT(ISNUMBER('Price History'!F112)),NOT(ISNUMBER('Price History'!F111)),'Price History'!F111=0),"",'Price History'!F112/'Price History'!F111-1),"")</f>
        <v>-1.83114568141306E-2</v>
      </c>
      <c r="G111" s="129">
        <f>IFERROR(IF(OR(NOT(ISNUMBER('Price History'!G112)),NOT(ISNUMBER('Price History'!G111)),'Price History'!G111=0),"",'Price History'!G112/'Price History'!G111-1),"")</f>
        <v>0.12603580562659844</v>
      </c>
      <c r="H111" s="129">
        <f>IFERROR(IF(OR(NOT(ISNUMBER('Price History'!H112)),NOT(ISNUMBER('Price History'!H111)),'Price History'!H111=0),"",'Price History'!H112/'Price History'!H111-1),"")</f>
        <v>0.11443060302061525</v>
      </c>
      <c r="I111" s="129">
        <f>IFERROR(IF(OR(NOT(ISNUMBER('Price History'!I112)),NOT(ISNUMBER('Price History'!I111)),'Price History'!I111=0),"",'Price History'!I112/'Price History'!I111-1),"")</f>
        <v>3.2837127845875003E-4</v>
      </c>
      <c r="J111" s="129">
        <f>IFERROR(IF(OR(NOT(ISNUMBER('Price History'!J112)),NOT(ISNUMBER('Price History'!J111)),'Price History'!J111=0),"",'Price History'!J112/'Price History'!J111-1),"")</f>
        <v>0.11554154302670616</v>
      </c>
      <c r="K111" s="129">
        <f>IFERROR(IF(OR(NOT(ISNUMBER('Price History'!K112)),NOT(ISNUMBER('Price History'!K111)),'Price History'!K111=0),"",'Price History'!K112/'Price History'!K111-1),"")</f>
        <v>1.5446876424988654E-2</v>
      </c>
      <c r="L111" s="129">
        <f>IFERROR(IF(OR(NOT(ISNUMBER('Price History'!L112)),NOT(ISNUMBER('Price History'!L111)),'Price History'!L111=0),"",'Price History'!L112/'Price History'!L111-1),"")</f>
        <v>5.1382687599020427E-2</v>
      </c>
      <c r="M111" s="129">
        <f>IFERROR(IF(OR(NOT(ISNUMBER('Price History'!M112)),NOT(ISNUMBER('Price History'!M111)),'Price History'!M111=0),"",'Price History'!M112/'Price History'!M111-1),"")</f>
        <v>2.9497127287804181E-2</v>
      </c>
      <c r="N111" s="129">
        <f>IFERROR(IF(OR(NOT(ISNUMBER('Price History'!N112)),NOT(ISNUMBER('Price History'!N111)),'Price History'!N111=0),"",'Price History'!N112/'Price History'!N111-1),"")</f>
        <v>2.2119228034036986E-2</v>
      </c>
      <c r="O111" s="129">
        <f>IFERROR(IF(OR(NOT(ISNUMBER('Price History'!O112)),NOT(ISNUMBER('Price History'!O111)),'Price History'!O111=0),"",'Price History'!O112/'Price History'!O111-1),"")</f>
        <v>1.9584885577434763E-2</v>
      </c>
      <c r="P111" s="129">
        <f>IFERROR(IF(OR(NOT(ISNUMBER('Price History'!P112)),NOT(ISNUMBER('Price History'!P111)),'Price History'!P111=0),"",'Price History'!P112/'Price History'!P111-1),"")</f>
        <v>1.4691552357394499E-2</v>
      </c>
      <c r="Q111" s="129">
        <f>IFERROR(IF(OR(NOT(ISNUMBER('Price History'!Q112)),NOT(ISNUMBER('Price History'!Q111)),'Price History'!Q111=0),"",'Price History'!Q112/'Price History'!Q111-1),"")</f>
        <v>9.8591549295774517E-3</v>
      </c>
      <c r="R111" s="129">
        <f>IFERROR(IF(OR(NOT(ISNUMBER('Price History'!R112)),NOT(ISNUMBER('Price History'!R111)),'Price History'!R111=0),"",'Price History'!R112/'Price History'!R111-1),"")</f>
        <v>2.0550678371907383E-2</v>
      </c>
      <c r="S111" s="129">
        <f>IFERROR(IF(OR(NOT(ISNUMBER('Price History'!S112)),NOT(ISNUMBER('Price History'!S111)),'Price History'!S111=0),"",'Price History'!S112/'Price History'!S111-1),"")</f>
        <v>1.6168836694749222E-2</v>
      </c>
      <c r="T111" s="129">
        <f>IFERROR(IF(OR(NOT(ISNUMBER('Price History'!T112)),NOT(ISNUMBER('Price History'!T111)),'Price History'!T111=0),"",'Price History'!T112/'Price History'!T111-1),"")</f>
        <v>1.4096185737976663E-2</v>
      </c>
      <c r="U111" s="129">
        <f>IFERROR(IF(OR(NOT(ISNUMBER('Price History'!U112)),NOT(ISNUMBER('Price History'!U111)),'Price History'!U111=0),"",'Price History'!U112/'Price History'!U111-1),"")</f>
        <v>9.3603744149766133E-3</v>
      </c>
      <c r="V111" s="130">
        <f>IFERROR(IF(OR(NOT(ISNUMBER('Price History'!V112)),NOT(ISNUMBER('Price History'!V111)),'Price History'!V111=0),"",'Price History'!V112/'Price History'!V111-1),"")</f>
        <v>-5.1038366772263588E-3</v>
      </c>
      <c r="W111" s="131">
        <f>IFERROR('Price History'!B3+(INDEX('Price History'!B:B,MATCH(9.99E+307,'Returns (Calc)'!$A:$A)+1)-'Price History'!B3)*(ROW()-3)/(MATCH(9.99E+307,'Returns (Calc)'!$A:$A)-3),"")</f>
        <v>329.84189873417722</v>
      </c>
      <c r="X111" s="131">
        <f>IFERROR('Price History'!C3+(INDEX('Price History'!C:C,MATCH(9.99E+307,'Returns (Calc)'!$A:$A)+1)-'Price History'!C3)*(ROW()-3)/(MATCH(9.99E+307,'Returns (Calc)'!$A:$A)-3),"")</f>
        <v>156.34683544303795</v>
      </c>
      <c r="Y111" s="131">
        <f>IFERROR('Price History'!D3+(INDEX('Price History'!D:D,MATCH(9.99E+307,'Returns (Calc)'!$A:$A)+1)-'Price History'!D3)*(ROW()-3)/(MATCH(9.99E+307,'Returns (Calc)'!$A:$A)-3),"")</f>
        <v>1460.569493670886</v>
      </c>
      <c r="Z111" s="131">
        <f>IFERROR('Price History'!E3+(INDEX('Price History'!E:E,MATCH(9.99E+307,'Returns (Calc)'!$A:$A)+1)-'Price History'!E3)*(ROW()-3)/(MATCH(9.99E+307,'Returns (Calc)'!$A:$A)-3),"")</f>
        <v>268.70329113924049</v>
      </c>
      <c r="AA111" s="131">
        <f>IFERROR('Price History'!F3+(INDEX('Price History'!F:F,MATCH(9.99E+307,'Returns (Calc)'!$A:$A)+1)-'Price History'!F3)*(ROW()-3)/(MATCH(9.99E+307,'Returns (Calc)'!$A:$A)-3),"")</f>
        <v>197.67291139240507</v>
      </c>
      <c r="AB111" s="131">
        <f>IFERROR('Price History'!G3+(INDEX('Price History'!G:G,MATCH(9.99E+307,'Returns (Calc)'!$A:$A)+1)-'Price History'!G3)*(ROW()-3)/(MATCH(9.99E+307,'Returns (Calc)'!$A:$A)-3),"")</f>
        <v>155.45329113924052</v>
      </c>
      <c r="AC111" s="131">
        <f>IFERROR('Price History'!H3+(INDEX('Price History'!H:H,MATCH(9.99E+307,'Returns (Calc)'!$A:$A)+1)-'Price History'!H3)*(ROW()-3)/(MATCH(9.99E+307,'Returns (Calc)'!$A:$A)-3),"")</f>
        <v>756.60518987341777</v>
      </c>
      <c r="AD111" s="131">
        <f>IFERROR('Price History'!I3+(INDEX('Price History'!I:I,MATCH(9.99E+307,'Returns (Calc)'!$A:$A)+1)-'Price History'!I3)*(ROW()-3)/(MATCH(9.99E+307,'Returns (Calc)'!$A:$A)-3),"")</f>
        <v>173.76645569620254</v>
      </c>
      <c r="AE111" s="131">
        <f>IFERROR('Price History'!J3+(INDEX('Price History'!J:J,MATCH(9.99E+307,'Returns (Calc)'!$A:$A)+1)-'Price History'!J3)*(ROW()-3)/(MATCH(9.99E+307,'Returns (Calc)'!$A:$A)-3),"")</f>
        <v>123.50810126582279</v>
      </c>
      <c r="AF111" s="131">
        <f>IFERROR('Price History'!K3+(INDEX('Price History'!K:K,MATCH(9.99E+307,'Returns (Calc)'!$A:$A)+1)-'Price History'!K3)*(ROW()-3)/(MATCH(9.99E+307,'Returns (Calc)'!$A:$A)-3),"")</f>
        <v>133.87025316455694</v>
      </c>
      <c r="AG111" s="131">
        <f>IFERROR('Price History'!L3+(INDEX('Price History'!L:L,MATCH(9.99E+307,'Returns (Calc)'!$A:$A)+1)-'Price History'!L3)*(ROW()-3)/(MATCH(9.99E+307,'Returns (Calc)'!$A:$A)-3),"")</f>
        <v>350.30215189873417</v>
      </c>
      <c r="AH111" s="131">
        <f>IFERROR('Price History'!M3+(INDEX('Price History'!M:M,MATCH(9.99E+307,'Returns (Calc)'!$A:$A)+1)-'Price History'!M3)*(ROW()-3)/(MATCH(9.99E+307,'Returns (Calc)'!$A:$A)-3),"")</f>
        <v>184.40784810126581</v>
      </c>
      <c r="AI111" s="131">
        <f>IFERROR('Price History'!N3+(INDEX('Price History'!N:N,MATCH(9.99E+307,'Returns (Calc)'!$A:$A)+1)-'Price History'!N3)*(ROW()-3)/(MATCH(9.99E+307,'Returns (Calc)'!$A:$A)-3),"")</f>
        <v>455.41670886075951</v>
      </c>
      <c r="AJ111" s="131">
        <f>IFERROR('Price History'!O3+(INDEX('Price History'!O:O,MATCH(9.99E+307,'Returns (Calc)'!$A:$A)+1)-'Price History'!O3)*(ROW()-3)/(MATCH(9.99E+307,'Returns (Calc)'!$A:$A)-3),"")</f>
        <v>105.87810126582279</v>
      </c>
      <c r="AK111" s="131">
        <f>IFERROR('Price History'!Q3+(INDEX('Price History'!Q:Q,MATCH(9.99E+307,'Returns (Calc)'!$A:$A)+1)-'Price History'!Q3)*(ROW()-3)/(MATCH(9.99E+307,'Returns (Calc)'!$A:$A)-3),"")</f>
        <v>47.451645569620254</v>
      </c>
      <c r="AL111" s="131">
        <f>IFERROR('Price History'!R3+(INDEX('Price History'!R:R,MATCH(9.99E+307,'Returns (Calc)'!$A:$A)+1)-'Price History'!R3)*(ROW()-3)/(MATCH(9.99E+307,'Returns (Calc)'!$A:$A)-3),"")</f>
        <v>52.634936708860764</v>
      </c>
      <c r="AM111" s="131">
        <f>IFERROR('Price History'!S3+(INDEX('Price History'!S:S,MATCH(9.99E+307,'Returns (Calc)'!$A:$A)+1)-'Price History'!S3)*(ROW()-3)/(MATCH(9.99E+307,'Returns (Calc)'!$A:$A)-3),"")</f>
        <v>122.97683544303797</v>
      </c>
      <c r="AN111" s="131">
        <f>IFERROR('Price History'!T3+(INDEX('Price History'!T:T,MATCH(9.99E+307,'Returns (Calc)'!$A:$A)+1)-'Price History'!T3)*(ROW()-3)/(MATCH(9.99E+307,'Returns (Calc)'!$A:$A)-3),"")</f>
        <v>43.408607594936711</v>
      </c>
      <c r="AO111" s="132">
        <f>IFERROR('Price History'!V3+(INDEX('Price History'!V:V,MATCH(9.99E+307,'Returns (Calc)'!$A:$A)+1)-'Price History'!V3)*(ROW()-3)/(MATCH(9.99E+307,'Returns (Calc)'!$A:$A)-3),"")</f>
        <v>321.0935443037975</v>
      </c>
      <c r="AP111" s="130">
        <f>IFERROR(IF(OR(NOT(ISNUMBER('Price History'!W112)),NOT(ISNUMBER('Price History'!W111)),'Price History'!W111=0),"",'Price History'!W112/'Price History'!W111-1),"")</f>
        <v>1.9151948729413393E-2</v>
      </c>
      <c r="AQ111" s="130" t="str">
        <f>IFERROR(IF(OR(NOT(ISNUMBER('Price History'!X112)),NOT(ISNUMBER('Price History'!X111)),'Price History'!X111=0),"",'Price History'!X112/'Price History'!X111-1),"")</f>
        <v/>
      </c>
      <c r="AR111" s="130">
        <f>IFERROR(IF(OR(NOT(ISNUMBER('Price History'!Y112)),NOT(ISNUMBER('Price History'!Y111)),'Price History'!Y111=0),"",'Price History'!Y112/'Price History'!Y111-1),"")</f>
        <v>1.527750918584414E-2</v>
      </c>
      <c r="AS111" s="130">
        <f>IFERROR(IF(OR(NOT(ISNUMBER('Price History'!Z112)),NOT(ISNUMBER('Price History'!Z111)),'Price History'!Z111=0),"",'Price History'!Z112/'Price History'!Z111-1),"")</f>
        <v>2.9686262354926551E-2</v>
      </c>
      <c r="AT111" s="130">
        <f>IFERROR(IF(OR(NOT(ISNUMBER('Price History'!AA112)),NOT(ISNUMBER('Price History'!AA111)),'Price History'!AA111=0),"",'Price History'!AA112/'Price History'!AA111-1),"")</f>
        <v>-1.6965822473567815E-2</v>
      </c>
    </row>
    <row r="112" spans="1:46" ht="15" customHeight="1" x14ac:dyDescent="0.2">
      <c r="A112" s="128">
        <f>IF('Price History'!A113="","",'Price History'!A113)</f>
        <v>45954</v>
      </c>
      <c r="B112" s="129">
        <f>IFERROR(IF(OR(NOT(ISNUMBER('Price History'!B113)),NOT(ISNUMBER('Price History'!B112)),'Price History'!B112=0),"",'Price History'!B113/'Price History'!B112-1),"")</f>
        <v>6.0793374542399192E-2</v>
      </c>
      <c r="C112" s="129">
        <f>IFERROR(IF(OR(NOT(ISNUMBER('Price History'!C113)),NOT(ISNUMBER('Price History'!C112)),'Price History'!C112=0),"",'Price History'!C113/'Price History'!C112-1),"")</f>
        <v>7.4912648497554191E-2</v>
      </c>
      <c r="D112" s="129">
        <f>IFERROR(IF(OR(NOT(ISNUMBER('Price History'!D113)),NOT(ISNUMBER('Price History'!D112)),'Price History'!D112=0),"",'Price History'!D113/'Price History'!D112-1),"")</f>
        <v>3.72605204737253E-3</v>
      </c>
      <c r="E112" s="129">
        <f>IFERROR(IF(OR(NOT(ISNUMBER('Price History'!E113)),NOT(ISNUMBER('Price History'!E112)),'Price History'!E112=0),"",'Price History'!E113/'Price History'!E112-1),"")</f>
        <v>1.3756308579668364E-2</v>
      </c>
      <c r="F112" s="129">
        <f>IFERROR(IF(OR(NOT(ISNUMBER('Price History'!F113)),NOT(ISNUMBER('Price History'!F112)),'Price History'!F112=0),"",'Price History'!F113/'Price History'!F112-1),"")</f>
        <v>8.8065368108286801E-2</v>
      </c>
      <c r="G112" s="129">
        <f>IFERROR(IF(OR(NOT(ISNUMBER('Price History'!G113)),NOT(ISNUMBER('Price History'!G112)),'Price History'!G112=0),"",'Price History'!G113/'Price History'!G112-1),"")</f>
        <v>6.8865267557009391E-2</v>
      </c>
      <c r="H112" s="129">
        <f>IFERROR(IF(OR(NOT(ISNUMBER('Price History'!H113)),NOT(ISNUMBER('Price History'!H112)),'Price History'!H112=0),"",'Price History'!H113/'Price History'!H112-1),"")</f>
        <v>8.2253437530912965E-2</v>
      </c>
      <c r="I112" s="129">
        <f>IFERROR(IF(OR(NOT(ISNUMBER('Price History'!I113)),NOT(ISNUMBER('Price History'!I112)),'Price History'!I112=0),"",'Price History'!I113/'Price History'!I112-1),"")</f>
        <v>1.657730605099017E-2</v>
      </c>
      <c r="J112" s="129">
        <f>IFERROR(IF(OR(NOT(ISNUMBER('Price History'!J113)),NOT(ISNUMBER('Price History'!J112)),'Price History'!J112=0),"",'Price History'!J113/'Price History'!J112-1),"")</f>
        <v>1.8952618453865311E-2</v>
      </c>
      <c r="K112" s="129">
        <f>IFERROR(IF(OR(NOT(ISNUMBER('Price History'!K113)),NOT(ISNUMBER('Price History'!K112)),'Price History'!K112=0),"",'Price History'!K113/'Price History'!K112-1),"")</f>
        <v>3.6373842267751755E-2</v>
      </c>
      <c r="L112" s="129">
        <f>IFERROR(IF(OR(NOT(ISNUMBER('Price History'!L113)),NOT(ISNUMBER('Price History'!L112)),'Price History'!L112=0),"",'Price History'!L113/'Price History'!L112-1),"")</f>
        <v>-4.1097297852665804E-4</v>
      </c>
      <c r="M112" s="129">
        <f>IFERROR(IF(OR(NOT(ISNUMBER('Price History'!M113)),NOT(ISNUMBER('Price History'!M112)),'Price History'!M112=0),"",'Price History'!M113/'Price History'!M112-1),"")</f>
        <v>6.9328577181980489E-2</v>
      </c>
      <c r="N112" s="129">
        <f>IFERROR(IF(OR(NOT(ISNUMBER('Price History'!N113)),NOT(ISNUMBER('Price History'!N112)),'Price History'!N112=0),"",'Price History'!N113/'Price History'!N112-1),"")</f>
        <v>1.0988220052301934E-2</v>
      </c>
      <c r="O112" s="129">
        <f>IFERROR(IF(OR(NOT(ISNUMBER('Price History'!O113)),NOT(ISNUMBER('Price History'!O112)),'Price History'!O112=0),"",'Price History'!O113/'Price History'!O112-1),"")</f>
        <v>2.9439398684622642E-2</v>
      </c>
      <c r="P112" s="129">
        <f>IFERROR(IF(OR(NOT(ISNUMBER('Price History'!P113)),NOT(ISNUMBER('Price History'!P112)),'Price History'!P112=0),"",'Price History'!P113/'Price History'!P112-1),"")</f>
        <v>1.6990470562162852E-2</v>
      </c>
      <c r="Q112" s="129">
        <f>IFERROR(IF(OR(NOT(ISNUMBER('Price History'!Q113)),NOT(ISNUMBER('Price History'!Q112)),'Price History'!Q112=0),"",'Price History'!Q113/'Price History'!Q112-1),"")</f>
        <v>1.0072834340616899E-2</v>
      </c>
      <c r="R112" s="129">
        <f>IFERROR(IF(OR(NOT(ISNUMBER('Price History'!R113)),NOT(ISNUMBER('Price History'!R112)),'Price History'!R112=0),"",'Price History'!R113/'Price History'!R112-1),"")</f>
        <v>1.8572825024437911E-2</v>
      </c>
      <c r="S112" s="129">
        <f>IFERROR(IF(OR(NOT(ISNUMBER('Price History'!S113)),NOT(ISNUMBER('Price History'!S112)),'Price History'!S112=0),"",'Price History'!S113/'Price History'!S112-1),"")</f>
        <v>1.0719370236998538E-2</v>
      </c>
      <c r="T112" s="129">
        <f>IFERROR(IF(OR(NOT(ISNUMBER('Price History'!T113)),NOT(ISNUMBER('Price History'!T112)),'Price History'!T112=0),"",'Price History'!T113/'Price History'!T112-1),"")</f>
        <v>2.5892613791223873E-2</v>
      </c>
      <c r="U112" s="129">
        <f>IFERROR(IF(OR(NOT(ISNUMBER('Price History'!U113)),NOT(ISNUMBER('Price History'!U112)),'Price History'!U112=0),"",'Price History'!U113/'Price History'!U112-1),"")</f>
        <v>8.8871715610510105E-3</v>
      </c>
      <c r="V112" s="130">
        <f>IFERROR(IF(OR(NOT(ISNUMBER('Price History'!V113)),NOT(ISNUMBER('Price History'!V112)),'Price History'!V112=0),"",'Price History'!V113/'Price History'!V112-1),"")</f>
        <v>1.6038681526033383E-2</v>
      </c>
      <c r="W112" s="131">
        <f>IFERROR('Price History'!B3+(INDEX('Price History'!B:B,MATCH(9.99E+307,'Returns (Calc)'!$A:$A)+1)-'Price History'!B3)*(ROW()-3)/(MATCH(9.99E+307,'Returns (Calc)'!$A:$A)-3),"")</f>
        <v>327.99886075949365</v>
      </c>
      <c r="X112" s="131">
        <f>IFERROR('Price History'!C3+(INDEX('Price History'!C:C,MATCH(9.99E+307,'Returns (Calc)'!$A:$A)+1)-'Price History'!C3)*(ROW()-3)/(MATCH(9.99E+307,'Returns (Calc)'!$A:$A)-3),"")</f>
        <v>157.3668987341772</v>
      </c>
      <c r="Y112" s="131">
        <f>IFERROR('Price History'!D3+(INDEX('Price History'!D:D,MATCH(9.99E+307,'Returns (Calc)'!$A:$A)+1)-'Price History'!D3)*(ROW()-3)/(MATCH(9.99E+307,'Returns (Calc)'!$A:$A)-3),"")</f>
        <v>1468.7043037974681</v>
      </c>
      <c r="Z112" s="131">
        <f>IFERROR('Price History'!E3+(INDEX('Price History'!E:E,MATCH(9.99E+307,'Returns (Calc)'!$A:$A)+1)-'Price History'!E3)*(ROW()-3)/(MATCH(9.99E+307,'Returns (Calc)'!$A:$A)-3),"")</f>
        <v>270.43202531645568</v>
      </c>
      <c r="AA112" s="131">
        <f>IFERROR('Price History'!F3+(INDEX('Price History'!F:F,MATCH(9.99E+307,'Returns (Calc)'!$A:$A)+1)-'Price History'!F3)*(ROW()-3)/(MATCH(9.99E+307,'Returns (Calc)'!$A:$A)-3),"")</f>
        <v>199.12025316455697</v>
      </c>
      <c r="AB112" s="131">
        <f>IFERROR('Price History'!G3+(INDEX('Price History'!G:G,MATCH(9.99E+307,'Returns (Calc)'!$A:$A)+1)-'Price History'!G3)*(ROW()-3)/(MATCH(9.99E+307,'Returns (Calc)'!$A:$A)-3),"")</f>
        <v>156.48202531645569</v>
      </c>
      <c r="AC112" s="131">
        <f>IFERROR('Price History'!H3+(INDEX('Price History'!H:H,MATCH(9.99E+307,'Returns (Calc)'!$A:$A)+1)-'Price History'!H3)*(ROW()-3)/(MATCH(9.99E+307,'Returns (Calc)'!$A:$A)-3),"")</f>
        <v>762.97088607594935</v>
      </c>
      <c r="AD112" s="131">
        <f>IFERROR('Price History'!I3+(INDEX('Price History'!I:I,MATCH(9.99E+307,'Returns (Calc)'!$A:$A)+1)-'Price History'!I3)*(ROW()-3)/(MATCH(9.99E+307,'Returns (Calc)'!$A:$A)-3),"")</f>
        <v>174.97012658227848</v>
      </c>
      <c r="AE112" s="131">
        <f>IFERROR('Price History'!J3+(INDEX('Price History'!J:J,MATCH(9.99E+307,'Returns (Calc)'!$A:$A)+1)-'Price History'!J3)*(ROW()-3)/(MATCH(9.99E+307,'Returns (Calc)'!$A:$A)-3),"")</f>
        <v>123.61613924050633</v>
      </c>
      <c r="AF112" s="131">
        <f>IFERROR('Price History'!K3+(INDEX('Price History'!K:K,MATCH(9.99E+307,'Returns (Calc)'!$A:$A)+1)-'Price History'!K3)*(ROW()-3)/(MATCH(9.99E+307,'Returns (Calc)'!$A:$A)-3),"")</f>
        <v>134.96784810126582</v>
      </c>
      <c r="AG112" s="131">
        <f>IFERROR('Price History'!L3+(INDEX('Price History'!L:L,MATCH(9.99E+307,'Returns (Calc)'!$A:$A)+1)-'Price History'!L3)*(ROW()-3)/(MATCH(9.99E+307,'Returns (Calc)'!$A:$A)-3),"")</f>
        <v>352.75170886075949</v>
      </c>
      <c r="AH112" s="131">
        <f>IFERROR('Price History'!M3+(INDEX('Price History'!M:M,MATCH(9.99E+307,'Returns (Calc)'!$A:$A)+1)-'Price History'!M3)*(ROW()-3)/(MATCH(9.99E+307,'Returns (Calc)'!$A:$A)-3),"")</f>
        <v>185.76329113924052</v>
      </c>
      <c r="AI112" s="131">
        <f>IFERROR('Price History'!N3+(INDEX('Price History'!N:N,MATCH(9.99E+307,'Returns (Calc)'!$A:$A)+1)-'Price History'!N3)*(ROW()-3)/(MATCH(9.99E+307,'Returns (Calc)'!$A:$A)-3),"")</f>
        <v>456.4029746835443</v>
      </c>
      <c r="AJ112" s="131">
        <f>IFERROR('Price History'!O3+(INDEX('Price History'!O:O,MATCH(9.99E+307,'Returns (Calc)'!$A:$A)+1)-'Price History'!O3)*(ROW()-3)/(MATCH(9.99E+307,'Returns (Calc)'!$A:$A)-3),"")</f>
        <v>106.16113924050633</v>
      </c>
      <c r="AK112" s="131">
        <f>IFERROR('Price History'!Q3+(INDEX('Price History'!Q:Q,MATCH(9.99E+307,'Returns (Calc)'!$A:$A)+1)-'Price History'!Q3)*(ROW()-3)/(MATCH(9.99E+307,'Returns (Calc)'!$A:$A)-3),"")</f>
        <v>47.891012658227844</v>
      </c>
      <c r="AL112" s="131">
        <f>IFERROR('Price History'!R3+(INDEX('Price History'!R:R,MATCH(9.99E+307,'Returns (Calc)'!$A:$A)+1)-'Price History'!R3)*(ROW()-3)/(MATCH(9.99E+307,'Returns (Calc)'!$A:$A)-3),"")</f>
        <v>52.803037974683548</v>
      </c>
      <c r="AM112" s="131">
        <f>IFERROR('Price History'!S3+(INDEX('Price History'!S:S,MATCH(9.99E+307,'Returns (Calc)'!$A:$A)+1)-'Price History'!S3)*(ROW()-3)/(MATCH(9.99E+307,'Returns (Calc)'!$A:$A)-3),"")</f>
        <v>123.5818987341772</v>
      </c>
      <c r="AN112" s="131">
        <f>IFERROR('Price History'!T3+(INDEX('Price History'!T:T,MATCH(9.99E+307,'Returns (Calc)'!$A:$A)+1)-'Price History'!T3)*(ROW()-3)/(MATCH(9.99E+307,'Returns (Calc)'!$A:$A)-3),"")</f>
        <v>43.576835443037979</v>
      </c>
      <c r="AO112" s="132">
        <f>IFERROR('Price History'!V3+(INDEX('Price History'!V:V,MATCH(9.99E+307,'Returns (Calc)'!$A:$A)+1)-'Price History'!V3)*(ROW()-3)/(MATCH(9.99E+307,'Returns (Calc)'!$A:$A)-3),"")</f>
        <v>321.88487341772156</v>
      </c>
      <c r="AP112" s="130">
        <f>IFERROR(IF(OR(NOT(ISNUMBER('Price History'!W113)),NOT(ISNUMBER('Price History'!W112)),'Price History'!W112=0),"",'Price History'!W113/'Price History'!W112-1),"")</f>
        <v>1.0821877742029917E-2</v>
      </c>
      <c r="AQ112" s="130" t="str">
        <f>IFERROR(IF(OR(NOT(ISNUMBER('Price History'!X113)),NOT(ISNUMBER('Price History'!X112)),'Price History'!X112=0),"",'Price History'!X113/'Price History'!X112-1),"")</f>
        <v/>
      </c>
      <c r="AR112" s="130">
        <f>IFERROR(IF(OR(NOT(ISNUMBER('Price History'!Y113)),NOT(ISNUMBER('Price History'!Y112)),'Price History'!Y112=0),"",'Price History'!Y113/'Price History'!Y112-1),"")</f>
        <v>1.0476190476190528E-2</v>
      </c>
      <c r="AS112" s="130">
        <f>IFERROR(IF(OR(NOT(ISNUMBER('Price History'!Z113)),NOT(ISNUMBER('Price History'!Z112)),'Price History'!Z112=0),"",'Price History'!Z113/'Price History'!Z112-1),"")</f>
        <v>1.2408441753904764E-2</v>
      </c>
      <c r="AT112" s="130">
        <f>IFERROR(IF(OR(NOT(ISNUMBER('Price History'!AA113)),NOT(ISNUMBER('Price History'!AA112)),'Price History'!AA112=0),"",'Price History'!AA113/'Price History'!AA112-1),"")</f>
        <v>-8.7293646823411675E-2</v>
      </c>
    </row>
    <row r="113" spans="1:46" ht="15" customHeight="1" x14ac:dyDescent="0.2">
      <c r="A113" s="128">
        <f>IF('Price History'!A114="","",'Price History'!A114)</f>
        <v>45961</v>
      </c>
      <c r="B113" s="129">
        <f>IFERROR(IF(OR(NOT(ISNUMBER('Price History'!B114)),NOT(ISNUMBER('Price History'!B113)),'Price History'!B113=0),"",'Price History'!B114/'Price History'!B113-1),"")</f>
        <v>-3.7367051369088022E-2</v>
      </c>
      <c r="C113" s="129">
        <f>IFERROR(IF(OR(NOT(ISNUMBER('Price History'!C114)),NOT(ISNUMBER('Price History'!C113)),'Price History'!C113=0),"",'Price History'!C114/'Price History'!C113-1),"")</f>
        <v>2.5159277077103193E-2</v>
      </c>
      <c r="D113" s="129">
        <f>IFERROR(IF(OR(NOT(ISNUMBER('Price History'!D114)),NOT(ISNUMBER('Price History'!D113)),'Price History'!D113=0),"",'Price History'!D114/'Price History'!D113-1),"")</f>
        <v>2.711577060233461E-2</v>
      </c>
      <c r="E113" s="129">
        <f>IFERROR(IF(OR(NOT(ISNUMBER('Price History'!E114)),NOT(ISNUMBER('Price History'!E113)),'Price History'!E113=0),"",'Price History'!E114/'Price History'!E113-1),"")</f>
        <v>4.3752844788347733E-2</v>
      </c>
      <c r="F113" s="129">
        <f>IFERROR(IF(OR(NOT(ISNUMBER('Price History'!F114)),NOT(ISNUMBER('Price History'!F113)),'Price History'!F113=0),"",'Price History'!F114/'Price History'!F113-1),"")</f>
        <v>2.9735265114162024E-2</v>
      </c>
      <c r="G113" s="129">
        <f>IFERROR(IF(OR(NOT(ISNUMBER('Price History'!G114)),NOT(ISNUMBER('Price History'!G113)),'Price History'!G113=0),"",'Price History'!G114/'Price History'!G113-1),"")</f>
        <v>2.1929451763705865E-2</v>
      </c>
      <c r="H113" s="129">
        <f>IFERROR(IF(OR(NOT(ISNUMBER('Price History'!H114)),NOT(ISNUMBER('Price History'!H113)),'Price History'!H113=0),"",'Price History'!H114/'Price History'!H113-1),"")</f>
        <v>2.1662629678716794E-2</v>
      </c>
      <c r="I113" s="129">
        <f>IFERROR(IF(OR(NOT(ISNUMBER('Price History'!I114)),NOT(ISNUMBER('Price History'!I113)),'Price History'!I113=0),"",'Price History'!I114/'Price History'!I113-1),"")</f>
        <v>8.7185834992734357E-2</v>
      </c>
      <c r="J113" s="129">
        <f>IFERROR(IF(OR(NOT(ISNUMBER('Price History'!J114)),NOT(ISNUMBER('Price History'!J113)),'Price History'!J113=0),"",'Price History'!J114/'Price History'!J113-1),"")</f>
        <v>-1.851851851851849E-2</v>
      </c>
      <c r="K113" s="129">
        <f>IFERROR(IF(OR(NOT(ISNUMBER('Price History'!K114)),NOT(ISNUMBER('Price History'!K113)),'Price History'!K113=0),"",'Price History'!K114/'Price History'!K113-1),"")</f>
        <v>8.5793208037697077E-2</v>
      </c>
      <c r="L113" s="129">
        <f>IFERROR(IF(OR(NOT(ISNUMBER('Price History'!L114)),NOT(ISNUMBER('Price History'!L113)),'Price History'!L113=0),"",'Price History'!L114/'Price History'!L113-1),"")</f>
        <v>1.8535649432966705E-2</v>
      </c>
      <c r="M113" s="129">
        <f>IFERROR(IF(OR(NOT(ISNUMBER('Price History'!M114)),NOT(ISNUMBER('Price History'!M113)),'Price History'!M113=0),"",'Price History'!M114/'Price History'!M113-1),"")</f>
        <v>3.6532874206391952E-2</v>
      </c>
      <c r="N113" s="129">
        <f>IFERROR(IF(OR(NOT(ISNUMBER('Price History'!N114)),NOT(ISNUMBER('Price History'!N113)),'Price History'!N113=0),"",'Price History'!N114/'Price History'!N113-1),"")</f>
        <v>9.919551958992967E-3</v>
      </c>
      <c r="O113" s="129">
        <f>IFERROR(IF(OR(NOT(ISNUMBER('Price History'!O114)),NOT(ISNUMBER('Price History'!O113)),'Price History'!O113=0),"",'Price History'!O114/'Price History'!O113-1),"")</f>
        <v>-2.1194605009633993E-2</v>
      </c>
      <c r="P113" s="129">
        <f>IFERROR(IF(OR(NOT(ISNUMBER('Price History'!P114)),NOT(ISNUMBER('Price History'!P113)),'Price History'!P113=0),"",'Price History'!P114/'Price History'!P113-1),"")</f>
        <v>-2.3825088980896303E-2</v>
      </c>
      <c r="Q113" s="129">
        <f>IFERROR(IF(OR(NOT(ISNUMBER('Price History'!Q114)),NOT(ISNUMBER('Price History'!Q113)),'Price History'!Q113=0),"",'Price History'!Q114/'Price History'!Q113-1),"")</f>
        <v>6.1368517950288748E-4</v>
      </c>
      <c r="R113" s="129">
        <f>IFERROR(IF(OR(NOT(ISNUMBER('Price History'!R114)),NOT(ISNUMBER('Price History'!R113)),'Price History'!R113=0),"",'Price History'!R114/'Price History'!R113-1),"")</f>
        <v>9.4049904030710785E-3</v>
      </c>
      <c r="S113" s="129">
        <f>IFERROR(IF(OR(NOT(ISNUMBER('Price History'!S114)),NOT(ISNUMBER('Price History'!S113)),'Price History'!S113=0),"",'Price History'!S114/'Price History'!S113-1),"")</f>
        <v>-8.2856906123085494E-5</v>
      </c>
      <c r="T113" s="129">
        <f>IFERROR(IF(OR(NOT(ISNUMBER('Price History'!T114)),NOT(ISNUMBER('Price History'!T113)),'Price History'!T113=0),"",'Price History'!T114/'Price History'!T113-1),"")</f>
        <v>-6.1105207226356262E-3</v>
      </c>
      <c r="U113" s="129">
        <f>IFERROR(IF(OR(NOT(ISNUMBER('Price History'!U114)),NOT(ISNUMBER('Price History'!U113)),'Price History'!U113=0),"",'Price History'!U114/'Price History'!U113-1),"")</f>
        <v>-1.0340865568747581E-2</v>
      </c>
      <c r="V113" s="130">
        <f>IFERROR(IF(OR(NOT(ISNUMBER('Price History'!V114)),NOT(ISNUMBER('Price History'!V113)),'Price History'!V113=0),"",'Price History'!V114/'Price History'!V113-1),"")</f>
        <v>-1.9093494283558665E-2</v>
      </c>
      <c r="W113" s="131">
        <f>IFERROR('Price History'!B3+(INDEX('Price History'!B:B,MATCH(9.99E+307,'Returns (Calc)'!$A:$A)+1)-'Price History'!B3)*(ROW()-3)/(MATCH(9.99E+307,'Returns (Calc)'!$A:$A)-3),"")</f>
        <v>326.15582278481008</v>
      </c>
      <c r="X113" s="131">
        <f>IFERROR('Price History'!C3+(INDEX('Price History'!C:C,MATCH(9.99E+307,'Returns (Calc)'!$A:$A)+1)-'Price History'!C3)*(ROW()-3)/(MATCH(9.99E+307,'Returns (Calc)'!$A:$A)-3),"")</f>
        <v>158.38696202531645</v>
      </c>
      <c r="Y113" s="131">
        <f>IFERROR('Price History'!D3+(INDEX('Price History'!D:D,MATCH(9.99E+307,'Returns (Calc)'!$A:$A)+1)-'Price History'!D3)*(ROW()-3)/(MATCH(9.99E+307,'Returns (Calc)'!$A:$A)-3),"")</f>
        <v>1476.8391139240507</v>
      </c>
      <c r="Z113" s="131">
        <f>IFERROR('Price History'!E3+(INDEX('Price History'!E:E,MATCH(9.99E+307,'Returns (Calc)'!$A:$A)+1)-'Price History'!E3)*(ROW()-3)/(MATCH(9.99E+307,'Returns (Calc)'!$A:$A)-3),"")</f>
        <v>272.16075949367087</v>
      </c>
      <c r="AA113" s="131">
        <f>IFERROR('Price History'!F3+(INDEX('Price History'!F:F,MATCH(9.99E+307,'Returns (Calc)'!$A:$A)+1)-'Price History'!F3)*(ROW()-3)/(MATCH(9.99E+307,'Returns (Calc)'!$A:$A)-3),"")</f>
        <v>200.56759493670887</v>
      </c>
      <c r="AB113" s="131">
        <f>IFERROR('Price History'!G3+(INDEX('Price History'!G:G,MATCH(9.99E+307,'Returns (Calc)'!$A:$A)+1)-'Price History'!G3)*(ROW()-3)/(MATCH(9.99E+307,'Returns (Calc)'!$A:$A)-3),"")</f>
        <v>157.51075949367086</v>
      </c>
      <c r="AC113" s="131">
        <f>IFERROR('Price History'!H3+(INDEX('Price History'!H:H,MATCH(9.99E+307,'Returns (Calc)'!$A:$A)+1)-'Price History'!H3)*(ROW()-3)/(MATCH(9.99E+307,'Returns (Calc)'!$A:$A)-3),"")</f>
        <v>769.33658227848105</v>
      </c>
      <c r="AD113" s="131">
        <f>IFERROR('Price History'!I3+(INDEX('Price History'!I:I,MATCH(9.99E+307,'Returns (Calc)'!$A:$A)+1)-'Price History'!I3)*(ROW()-3)/(MATCH(9.99E+307,'Returns (Calc)'!$A:$A)-3),"")</f>
        <v>176.17379746835442</v>
      </c>
      <c r="AE113" s="131">
        <f>IFERROR('Price History'!J3+(INDEX('Price History'!J:J,MATCH(9.99E+307,'Returns (Calc)'!$A:$A)+1)-'Price History'!J3)*(ROW()-3)/(MATCH(9.99E+307,'Returns (Calc)'!$A:$A)-3),"")</f>
        <v>123.72417721518987</v>
      </c>
      <c r="AF113" s="131">
        <f>IFERROR('Price History'!K3+(INDEX('Price History'!K:K,MATCH(9.99E+307,'Returns (Calc)'!$A:$A)+1)-'Price History'!K3)*(ROW()-3)/(MATCH(9.99E+307,'Returns (Calc)'!$A:$A)-3),"")</f>
        <v>136.06544303797466</v>
      </c>
      <c r="AG113" s="131">
        <f>IFERROR('Price History'!L3+(INDEX('Price History'!L:L,MATCH(9.99E+307,'Returns (Calc)'!$A:$A)+1)-'Price History'!L3)*(ROW()-3)/(MATCH(9.99E+307,'Returns (Calc)'!$A:$A)-3),"")</f>
        <v>355.20126582278476</v>
      </c>
      <c r="AH113" s="131">
        <f>IFERROR('Price History'!M3+(INDEX('Price History'!M:M,MATCH(9.99E+307,'Returns (Calc)'!$A:$A)+1)-'Price History'!M3)*(ROW()-3)/(MATCH(9.99E+307,'Returns (Calc)'!$A:$A)-3),"")</f>
        <v>187.1187341772152</v>
      </c>
      <c r="AI113" s="131">
        <f>IFERROR('Price History'!N3+(INDEX('Price History'!N:N,MATCH(9.99E+307,'Returns (Calc)'!$A:$A)+1)-'Price History'!N3)*(ROW()-3)/(MATCH(9.99E+307,'Returns (Calc)'!$A:$A)-3),"")</f>
        <v>457.38924050632909</v>
      </c>
      <c r="AJ113" s="131">
        <f>IFERROR('Price History'!O3+(INDEX('Price History'!O:O,MATCH(9.99E+307,'Returns (Calc)'!$A:$A)+1)-'Price History'!O3)*(ROW()-3)/(MATCH(9.99E+307,'Returns (Calc)'!$A:$A)-3),"")</f>
        <v>106.44417721518988</v>
      </c>
      <c r="AK113" s="131">
        <f>IFERROR('Price History'!Q3+(INDEX('Price History'!Q:Q,MATCH(9.99E+307,'Returns (Calc)'!$A:$A)+1)-'Price History'!Q3)*(ROW()-3)/(MATCH(9.99E+307,'Returns (Calc)'!$A:$A)-3),"")</f>
        <v>48.33037974683544</v>
      </c>
      <c r="AL113" s="131">
        <f>IFERROR('Price History'!R3+(INDEX('Price History'!R:R,MATCH(9.99E+307,'Returns (Calc)'!$A:$A)+1)-'Price History'!R3)*(ROW()-3)/(MATCH(9.99E+307,'Returns (Calc)'!$A:$A)-3),"")</f>
        <v>52.971139240506332</v>
      </c>
      <c r="AM113" s="131">
        <f>IFERROR('Price History'!S3+(INDEX('Price History'!S:S,MATCH(9.99E+307,'Returns (Calc)'!$A:$A)+1)-'Price History'!S3)*(ROW()-3)/(MATCH(9.99E+307,'Returns (Calc)'!$A:$A)-3),"")</f>
        <v>124.18696202531646</v>
      </c>
      <c r="AN113" s="131">
        <f>IFERROR('Price History'!T3+(INDEX('Price History'!T:T,MATCH(9.99E+307,'Returns (Calc)'!$A:$A)+1)-'Price History'!T3)*(ROW()-3)/(MATCH(9.99E+307,'Returns (Calc)'!$A:$A)-3),"")</f>
        <v>43.745063291139239</v>
      </c>
      <c r="AO113" s="132">
        <f>IFERROR('Price History'!V3+(INDEX('Price History'!V:V,MATCH(9.99E+307,'Returns (Calc)'!$A:$A)+1)-'Price History'!V3)*(ROW()-3)/(MATCH(9.99E+307,'Returns (Calc)'!$A:$A)-3),"")</f>
        <v>322.67620253164557</v>
      </c>
      <c r="AP113" s="130">
        <f>IFERROR(IF(OR(NOT(ISNUMBER('Price History'!W114)),NOT(ISNUMBER('Price History'!W113)),'Price History'!W113=0),"",'Price History'!W114/'Price History'!W113-1),"")</f>
        <v>-7.3784722222223209E-3</v>
      </c>
      <c r="AQ113" s="130" t="str">
        <f>IFERROR(IF(OR(NOT(ISNUMBER('Price History'!X114)),NOT(ISNUMBER('Price History'!X113)),'Price History'!X113=0),"",'Price History'!X114/'Price History'!X113-1),"")</f>
        <v/>
      </c>
      <c r="AR113" s="130">
        <f>IFERROR(IF(OR(NOT(ISNUMBER('Price History'!Y114)),NOT(ISNUMBER('Price History'!Y113)),'Price History'!Y113=0),"",'Price History'!Y114/'Price History'!Y113-1),"")</f>
        <v>-9.9905749293118795E-3</v>
      </c>
      <c r="AS113" s="130">
        <f>IFERROR(IF(OR(NOT(ISNUMBER('Price History'!Z114)),NOT(ISNUMBER('Price History'!Z113)),'Price History'!Z113=0),"",'Price History'!Z114/'Price History'!Z113-1),"")</f>
        <v>1.6716220680541793E-2</v>
      </c>
      <c r="AT113" s="130">
        <f>IFERROR(IF(OR(NOT(ISNUMBER('Price History'!AA114)),NOT(ISNUMBER('Price History'!AA113)),'Price History'!AA113=0),"",'Price History'!AA114/'Price History'!AA113-1),"")</f>
        <v>2.2106513199963373E-2</v>
      </c>
    </row>
    <row r="114" spans="1:46" ht="15" customHeight="1" x14ac:dyDescent="0.2">
      <c r="A114" s="128">
        <f>IF('Price History'!A115="","",'Price History'!A115)</f>
        <v>45968</v>
      </c>
      <c r="B114" s="129">
        <f>IFERROR(IF(OR(NOT(ISNUMBER('Price History'!B115)),NOT(ISNUMBER('Price History'!B114)),'Price History'!B114=0),"",'Price History'!B115/'Price History'!B114-1),"")</f>
        <v>-3.9258323293467789E-2</v>
      </c>
      <c r="C114" s="129">
        <f>IFERROR(IF(OR(NOT(ISNUMBER('Price History'!C115)),NOT(ISNUMBER('Price History'!C114)),'Price History'!C114=0),"",'Price History'!C115/'Price History'!C114-1),"")</f>
        <v>-0.14610945526032082</v>
      </c>
      <c r="D114" s="129">
        <f>IFERROR(IF(OR(NOT(ISNUMBER('Price History'!D115)),NOT(ISNUMBER('Price History'!D114)),'Price History'!D114=0),"",'Price History'!D115/'Price History'!D114-1),"")</f>
        <v>-3.9908174203401758E-2</v>
      </c>
      <c r="E114" s="129">
        <f>IFERROR(IF(OR(NOT(ISNUMBER('Price History'!E115)),NOT(ISNUMBER('Price History'!E114)),'Price History'!E114=0),"",'Price History'!E115/'Price History'!E114-1),"")</f>
        <v>-5.4647042790951117E-2</v>
      </c>
      <c r="F114" s="129">
        <f>IFERROR(IF(OR(NOT(ISNUMBER('Price History'!F115)),NOT(ISNUMBER('Price History'!F114)),'Price History'!F114=0),"",'Price History'!F115/'Price History'!F114-1),"")</f>
        <v>-5.8931860036832706E-3</v>
      </c>
      <c r="G114" s="129">
        <f>IFERROR(IF(OR(NOT(ISNUMBER('Price History'!G115)),NOT(ISNUMBER('Price History'!G114)),'Price History'!G114=0),"",'Price History'!G115/'Price History'!G114-1),"")</f>
        <v>-1.2725609248939507E-2</v>
      </c>
      <c r="H114" s="129">
        <f>IFERROR(IF(OR(NOT(ISNUMBER('Price History'!H115)),NOT(ISNUMBER('Price History'!H114)),'Price History'!H114=0),"",'Price History'!H115/'Price History'!H114-1),"")</f>
        <v>6.3252068888391744E-2</v>
      </c>
      <c r="I114" s="129">
        <f>IFERROR(IF(OR(NOT(ISNUMBER('Price History'!I115)),NOT(ISNUMBER('Price History'!I114)),'Price History'!I114=0),"",'Price History'!I115/'Price History'!I114-1),"")</f>
        <v>-7.0838077322904813E-2</v>
      </c>
      <c r="J114" s="129">
        <f>IFERROR(IF(OR(NOT(ISNUMBER('Price History'!J115)),NOT(ISNUMBER('Price History'!J114)),'Price History'!J114=0),"",'Price History'!J115/'Price History'!J114-1),"")</f>
        <v>1.2218435707755049E-2</v>
      </c>
      <c r="K114" s="129">
        <f>IFERROR(IF(OR(NOT(ISNUMBER('Price History'!K115)),NOT(ISNUMBER('Price History'!K114)),'Price History'!K114=0),"",'Price History'!K115/'Price History'!K114-1),"")</f>
        <v>-0.1124357759265725</v>
      </c>
      <c r="L114" s="129">
        <f>IFERROR(IF(OR(NOT(ISNUMBER('Price History'!L115)),NOT(ISNUMBER('Price History'!L114)),'Price History'!L114=0),"",'Price History'!L115/'Price History'!L114-1),"")</f>
        <v>-4.6353606027986993E-2</v>
      </c>
      <c r="M114" s="129">
        <f>IFERROR(IF(OR(NOT(ISNUMBER('Price History'!M115)),NOT(ISNUMBER('Price History'!M114)),'Price History'!M114=0),"",'Price History'!M115/'Price History'!M114-1),"")</f>
        <v>-6.7687516221126343E-2</v>
      </c>
      <c r="N114" s="129">
        <f>IFERROR(IF(OR(NOT(ISNUMBER('Price History'!N115)),NOT(ISNUMBER('Price History'!N114)),'Price History'!N114=0),"",'Price History'!N115/'Price History'!N114-1),"")</f>
        <v>-3.7831614070540587E-2</v>
      </c>
      <c r="O114" s="129">
        <f>IFERROR(IF(OR(NOT(ISNUMBER('Price History'!O115)),NOT(ISNUMBER('Price History'!O114)),'Price History'!O114=0),"",'Price History'!O115/'Price History'!O114-1),"")</f>
        <v>-6.2163282221305849E-4</v>
      </c>
      <c r="P114" s="129">
        <f>IFERROR(IF(OR(NOT(ISNUMBER('Price History'!P115)),NOT(ISNUMBER('Price History'!P114)),'Price History'!P114=0),"",'Price History'!P115/'Price History'!P114-1),"")</f>
        <v>7.441029838529678E-3</v>
      </c>
      <c r="Q114" s="129">
        <f>IFERROR(IF(OR(NOT(ISNUMBER('Price History'!Q115)),NOT(ISNUMBER('Price History'!Q114)),'Price History'!Q114=0),"",'Price History'!Q115/'Price History'!Q114-1),"")</f>
        <v>-5.0597976080956064E-3</v>
      </c>
      <c r="R114" s="129">
        <f>IFERROR(IF(OR(NOT(ISNUMBER('Price History'!R115)),NOT(ISNUMBER('Price History'!R114)),'Price History'!R114=0),"",'Price History'!R115/'Price History'!R114-1),"")</f>
        <v>-1.5592317931165667E-2</v>
      </c>
      <c r="S114" s="129">
        <f>IFERROR(IF(OR(NOT(ISNUMBER('Price History'!S115)),NOT(ISNUMBER('Price History'!S114)),'Price History'!S114=0),"",'Price History'!S115/'Price History'!S114-1),"")</f>
        <v>-2.601922439509452E-2</v>
      </c>
      <c r="T114" s="129">
        <f>IFERROR(IF(OR(NOT(ISNUMBER('Price History'!T115)),NOT(ISNUMBER('Price History'!T114)),'Price History'!T114=0),"",'Price History'!T115/'Price History'!T114-1),"")</f>
        <v>2.1384656508955935E-3</v>
      </c>
      <c r="U114" s="129">
        <f>IFERROR(IF(OR(NOT(ISNUMBER('Price History'!U115)),NOT(ISNUMBER('Price History'!U114)),'Price History'!U114=0),"",'Price History'!U115/'Price History'!U114-1),"")</f>
        <v>-1.1609907120743168E-3</v>
      </c>
      <c r="V114" s="130">
        <f>IFERROR(IF(OR(NOT(ISNUMBER('Price History'!V115)),NOT(ISNUMBER('Price History'!V114)),'Price History'!V114=0),"",'Price History'!V115/'Price History'!V114-1),"")</f>
        <v>-1.3874097739912439E-2</v>
      </c>
      <c r="W114" s="131">
        <f>IFERROR('Price History'!B3+(INDEX('Price History'!B:B,MATCH(9.99E+307,'Returns (Calc)'!$A:$A)+1)-'Price History'!B3)*(ROW()-3)/(MATCH(9.99E+307,'Returns (Calc)'!$A:$A)-3),"")</f>
        <v>324.31278481012657</v>
      </c>
      <c r="X114" s="131">
        <f>IFERROR('Price History'!C3+(INDEX('Price History'!C:C,MATCH(9.99E+307,'Returns (Calc)'!$A:$A)+1)-'Price History'!C3)*(ROW()-3)/(MATCH(9.99E+307,'Returns (Calc)'!$A:$A)-3),"")</f>
        <v>159.4070253164557</v>
      </c>
      <c r="Y114" s="131">
        <f>IFERROR('Price History'!D3+(INDEX('Price History'!D:D,MATCH(9.99E+307,'Returns (Calc)'!$A:$A)+1)-'Price History'!D3)*(ROW()-3)/(MATCH(9.99E+307,'Returns (Calc)'!$A:$A)-3),"")</f>
        <v>1484.9739240506328</v>
      </c>
      <c r="Z114" s="131">
        <f>IFERROR('Price History'!E3+(INDEX('Price History'!E:E,MATCH(9.99E+307,'Returns (Calc)'!$A:$A)+1)-'Price History'!E3)*(ROW()-3)/(MATCH(9.99E+307,'Returns (Calc)'!$A:$A)-3),"")</f>
        <v>273.88949367088605</v>
      </c>
      <c r="AA114" s="131">
        <f>IFERROR('Price History'!F3+(INDEX('Price History'!F:F,MATCH(9.99E+307,'Returns (Calc)'!$A:$A)+1)-'Price History'!F3)*(ROW()-3)/(MATCH(9.99E+307,'Returns (Calc)'!$A:$A)-3),"")</f>
        <v>202.01493670886077</v>
      </c>
      <c r="AB114" s="131">
        <f>IFERROR('Price History'!G3+(INDEX('Price History'!G:G,MATCH(9.99E+307,'Returns (Calc)'!$A:$A)+1)-'Price History'!G3)*(ROW()-3)/(MATCH(9.99E+307,'Returns (Calc)'!$A:$A)-3),"")</f>
        <v>158.53949367088606</v>
      </c>
      <c r="AC114" s="131">
        <f>IFERROR('Price History'!H3+(INDEX('Price History'!H:H,MATCH(9.99E+307,'Returns (Calc)'!$A:$A)+1)-'Price History'!H3)*(ROW()-3)/(MATCH(9.99E+307,'Returns (Calc)'!$A:$A)-3),"")</f>
        <v>775.70227848101274</v>
      </c>
      <c r="AD114" s="131">
        <f>IFERROR('Price History'!I3+(INDEX('Price History'!I:I,MATCH(9.99E+307,'Returns (Calc)'!$A:$A)+1)-'Price History'!I3)*(ROW()-3)/(MATCH(9.99E+307,'Returns (Calc)'!$A:$A)-3),"")</f>
        <v>177.37746835443036</v>
      </c>
      <c r="AE114" s="131">
        <f>IFERROR('Price History'!J3+(INDEX('Price History'!J:J,MATCH(9.99E+307,'Returns (Calc)'!$A:$A)+1)-'Price History'!J3)*(ROW()-3)/(MATCH(9.99E+307,'Returns (Calc)'!$A:$A)-3),"")</f>
        <v>123.83221518987341</v>
      </c>
      <c r="AF114" s="131">
        <f>IFERROR('Price History'!K3+(INDEX('Price History'!K:K,MATCH(9.99E+307,'Returns (Calc)'!$A:$A)+1)-'Price History'!K3)*(ROW()-3)/(MATCH(9.99E+307,'Returns (Calc)'!$A:$A)-3),"")</f>
        <v>137.16303797468353</v>
      </c>
      <c r="AG114" s="131">
        <f>IFERROR('Price History'!L3+(INDEX('Price History'!L:L,MATCH(9.99E+307,'Returns (Calc)'!$A:$A)+1)-'Price History'!L3)*(ROW()-3)/(MATCH(9.99E+307,'Returns (Calc)'!$A:$A)-3),"")</f>
        <v>357.65082278481009</v>
      </c>
      <c r="AH114" s="131">
        <f>IFERROR('Price History'!M3+(INDEX('Price History'!M:M,MATCH(9.99E+307,'Returns (Calc)'!$A:$A)+1)-'Price History'!M3)*(ROW()-3)/(MATCH(9.99E+307,'Returns (Calc)'!$A:$A)-3),"")</f>
        <v>188.47417721518988</v>
      </c>
      <c r="AI114" s="131">
        <f>IFERROR('Price History'!N3+(INDEX('Price History'!N:N,MATCH(9.99E+307,'Returns (Calc)'!$A:$A)+1)-'Price History'!N3)*(ROW()-3)/(MATCH(9.99E+307,'Returns (Calc)'!$A:$A)-3),"")</f>
        <v>458.37550632911393</v>
      </c>
      <c r="AJ114" s="131">
        <f>IFERROR('Price History'!O3+(INDEX('Price History'!O:O,MATCH(9.99E+307,'Returns (Calc)'!$A:$A)+1)-'Price History'!O3)*(ROW()-3)/(MATCH(9.99E+307,'Returns (Calc)'!$A:$A)-3),"")</f>
        <v>106.72721518987342</v>
      </c>
      <c r="AK114" s="131">
        <f>IFERROR('Price History'!Q3+(INDEX('Price History'!Q:Q,MATCH(9.99E+307,'Returns (Calc)'!$A:$A)+1)-'Price History'!Q3)*(ROW()-3)/(MATCH(9.99E+307,'Returns (Calc)'!$A:$A)-3),"")</f>
        <v>48.769746835443037</v>
      </c>
      <c r="AL114" s="131">
        <f>IFERROR('Price History'!R3+(INDEX('Price History'!R:R,MATCH(9.99E+307,'Returns (Calc)'!$A:$A)+1)-'Price History'!R3)*(ROW()-3)/(MATCH(9.99E+307,'Returns (Calc)'!$A:$A)-3),"")</f>
        <v>53.139240506329116</v>
      </c>
      <c r="AM114" s="131">
        <f>IFERROR('Price History'!S3+(INDEX('Price History'!S:S,MATCH(9.99E+307,'Returns (Calc)'!$A:$A)+1)-'Price History'!S3)*(ROW()-3)/(MATCH(9.99E+307,'Returns (Calc)'!$A:$A)-3),"")</f>
        <v>124.79202531645569</v>
      </c>
      <c r="AN114" s="131">
        <f>IFERROR('Price History'!T3+(INDEX('Price History'!T:T,MATCH(9.99E+307,'Returns (Calc)'!$A:$A)+1)-'Price History'!T3)*(ROW()-3)/(MATCH(9.99E+307,'Returns (Calc)'!$A:$A)-3),"")</f>
        <v>43.913291139240506</v>
      </c>
      <c r="AO114" s="132">
        <f>IFERROR('Price History'!V3+(INDEX('Price History'!V:V,MATCH(9.99E+307,'Returns (Calc)'!$A:$A)+1)-'Price History'!V3)*(ROW()-3)/(MATCH(9.99E+307,'Returns (Calc)'!$A:$A)-3),"")</f>
        <v>323.46753164556964</v>
      </c>
      <c r="AP114" s="130">
        <f>IFERROR(IF(OR(NOT(ISNUMBER('Price History'!W115)),NOT(ISNUMBER('Price History'!W114)),'Price History'!W114=0),"",'Price History'!W115/'Price History'!W114-1),"")</f>
        <v>-2.1862702229996644E-3</v>
      </c>
      <c r="AQ114" s="130" t="str">
        <f>IFERROR(IF(OR(NOT(ISNUMBER('Price History'!X115)),NOT(ISNUMBER('Price History'!X114)),'Price History'!X114=0),"",'Price History'!X115/'Price History'!X114-1),"")</f>
        <v/>
      </c>
      <c r="AR114" s="130">
        <f>IFERROR(IF(OR(NOT(ISNUMBER('Price History'!Y115)),NOT(ISNUMBER('Price History'!Y114)),'Price History'!Y114=0),"",'Price History'!Y115/'Price History'!Y114-1),"")</f>
        <v>-1.5232292460016783E-3</v>
      </c>
      <c r="AS114" s="130">
        <f>IFERROR(IF(OR(NOT(ISNUMBER('Price History'!Z115)),NOT(ISNUMBER('Price History'!Z114)),'Price History'!Z114=0),"",'Price History'!Z115/'Price History'!Z114-1),"")</f>
        <v>-5.4263062126332917E-3</v>
      </c>
      <c r="AT114" s="130">
        <f>IFERROR(IF(OR(NOT(ISNUMBER('Price History'!AA115)),NOT(ISNUMBER('Price History'!AA114)),'Price History'!AA114=0),"",'Price History'!AA115/'Price History'!AA114-1),"")</f>
        <v>-1.3584770756993492E-2</v>
      </c>
    </row>
    <row r="115" spans="1:46" ht="15" customHeight="1" x14ac:dyDescent="0.2">
      <c r="A115" s="128">
        <f>IF('Price History'!A116="","",'Price History'!A116)</f>
        <v>45975</v>
      </c>
      <c r="B115" s="129">
        <f>IFERROR(IF(OR(NOT(ISNUMBER('Price History'!B116)),NOT(ISNUMBER('Price History'!B115)),'Price History'!B115=0),"",'Price History'!B116/'Price History'!B115-1),"")</f>
        <v>1.2723658051689846E-2</v>
      </c>
      <c r="C115" s="129">
        <f>IFERROR(IF(OR(NOT(ISNUMBER('Price History'!C116)),NOT(ISNUMBER('Price History'!C115)),'Price History'!C115=0),"",'Price History'!C116/'Price History'!C115-1),"")</f>
        <v>-2.4359450427033025E-2</v>
      </c>
      <c r="D115" s="129">
        <f>IFERROR(IF(OR(NOT(ISNUMBER('Price History'!D116)),NOT(ISNUMBER('Price History'!D115)),'Price History'!D115=0),"",'Price History'!D116/'Price History'!D115-1),"")</f>
        <v>-9.8112834700129214E-3</v>
      </c>
      <c r="E115" s="129">
        <f>IFERROR(IF(OR(NOT(ISNUMBER('Price History'!E116)),NOT(ISNUMBER('Price History'!E115)),'Price History'!E115=0),"",'Price History'!E116/'Price History'!E115-1),"")</f>
        <v>-1.9950987458555614E-2</v>
      </c>
      <c r="F115" s="129">
        <f>IFERROR(IF(OR(NOT(ISNUMBER('Price History'!F116)),NOT(ISNUMBER('Price History'!F115)),'Price History'!F115=0),"",'Price History'!F116/'Price History'!F115-1),"")</f>
        <v>-4.1496850685439624E-3</v>
      </c>
      <c r="G115" s="129">
        <f>IFERROR(IF(OR(NOT(ISNUMBER('Price History'!G116)),NOT(ISNUMBER('Price History'!G115)),'Price History'!G115=0),"",'Price History'!G116/'Price History'!G115-1),"")</f>
        <v>-4.9536647009267187E-2</v>
      </c>
      <c r="H115" s="129">
        <f>IFERROR(IF(OR(NOT(ISNUMBER('Price History'!H116)),NOT(ISNUMBER('Price History'!H115)),'Price History'!H115=0),"",'Price History'!H116/'Price History'!H115-1),"")</f>
        <v>3.7443729227144562E-2</v>
      </c>
      <c r="I115" s="129">
        <f>IFERROR(IF(OR(NOT(ISNUMBER('Price History'!I116)),NOT(ISNUMBER('Price History'!I115)),'Price History'!I115=0),"",'Price History'!I116/'Price History'!I115-1),"")</f>
        <v>1.0761854022376172E-2</v>
      </c>
      <c r="J115" s="129">
        <f>IFERROR(IF(OR(NOT(ISNUMBER('Price History'!J116)),NOT(ISNUMBER('Price History'!J115)),'Price History'!J115=0),"",'Price History'!J116/'Price History'!J115-1),"")</f>
        <v>-2.2089012974215727E-2</v>
      </c>
      <c r="K115" s="129">
        <f>IFERROR(IF(OR(NOT(ISNUMBER('Price History'!K116)),NOT(ISNUMBER('Price History'!K115)),'Price History'!K115=0),"",'Price History'!K116/'Price History'!K115-1),"")</f>
        <v>-2.2031135839937099E-2</v>
      </c>
      <c r="L115" s="129">
        <f>IFERROR(IF(OR(NOT(ISNUMBER('Price History'!L116)),NOT(ISNUMBER('Price History'!L115)),'Price History'!L115=0),"",'Price History'!L116/'Price History'!L115-1),"")</f>
        <v>-5.855379188712595E-3</v>
      </c>
      <c r="M115" s="129">
        <f>IFERROR(IF(OR(NOT(ISNUMBER('Price History'!M116)),NOT(ISNUMBER('Price History'!M115)),'Price History'!M115=0),"",'Price History'!M116/'Price History'!M115-1),"")</f>
        <v>-4.9106397193920293E-2</v>
      </c>
      <c r="N115" s="129">
        <f>IFERROR(IF(OR(NOT(ISNUMBER('Price History'!N116)),NOT(ISNUMBER('Price History'!N115)),'Price History'!N115=0),"",'Price History'!N116/'Price History'!N115-1),"")</f>
        <v>6.7599579944806587E-2</v>
      </c>
      <c r="O115" s="129">
        <f>IFERROR(IF(OR(NOT(ISNUMBER('Price History'!O116)),NOT(ISNUMBER('Price History'!O115)),'Price History'!O115=0),"",'Price History'!O116/'Price History'!O115-1),"")</f>
        <v>-1.4513788098693414E-3</v>
      </c>
      <c r="P115" s="129">
        <f>IFERROR(IF(OR(NOT(ISNUMBER('Price History'!P116)),NOT(ISNUMBER('Price History'!P115)),'Price History'!P115=0),"",'Price History'!P116/'Price History'!P115-1),"")</f>
        <v>3.1021493463330163E-3</v>
      </c>
      <c r="Q115" s="129">
        <f>IFERROR(IF(OR(NOT(ISNUMBER('Price History'!Q116)),NOT(ISNUMBER('Price History'!Q115)),'Price History'!Q115=0),"",'Price History'!Q116/'Price History'!Q115-1),"")</f>
        <v>1.5410695022344267E-3</v>
      </c>
      <c r="R115" s="129">
        <f>IFERROR(IF(OR(NOT(ISNUMBER('Price History'!R116)),NOT(ISNUMBER('Price History'!R115)),'Price History'!R115=0),"",'Price History'!R116/'Price History'!R115-1),"")</f>
        <v>1.9316206297081973E-3</v>
      </c>
      <c r="S115" s="129">
        <f>IFERROR(IF(OR(NOT(ISNUMBER('Price History'!S116)),NOT(ISNUMBER('Price History'!S115)),'Price History'!S115=0),"",'Price History'!S116/'Price History'!S115-1),"")</f>
        <v>-5.9554194316828735E-3</v>
      </c>
      <c r="T115" s="129">
        <f>IFERROR(IF(OR(NOT(ISNUMBER('Price History'!T116)),NOT(ISNUMBER('Price History'!T115)),'Price History'!T115=0),"",'Price History'!T116/'Price History'!T115-1),"")</f>
        <v>1.1202987463323488E-2</v>
      </c>
      <c r="U115" s="129">
        <f>IFERROR(IF(OR(NOT(ISNUMBER('Price History'!U116)),NOT(ISNUMBER('Price History'!U115)),'Price History'!U115=0),"",'Price History'!U116/'Price History'!U115-1),"")</f>
        <v>1.97597830298335E-2</v>
      </c>
      <c r="V115" s="130">
        <f>IFERROR(IF(OR(NOT(ISNUMBER('Price History'!V116)),NOT(ISNUMBER('Price History'!V115)),'Price History'!V115=0),"",'Price History'!V116/'Price History'!V115-1),"")</f>
        <v>-1.5899205039748066E-2</v>
      </c>
      <c r="W115" s="131">
        <f>IFERROR('Price History'!B3+(INDEX('Price History'!B:B,MATCH(9.99E+307,'Returns (Calc)'!$A:$A)+1)-'Price History'!B3)*(ROW()-3)/(MATCH(9.99E+307,'Returns (Calc)'!$A:$A)-3),"")</f>
        <v>322.46974683544306</v>
      </c>
      <c r="X115" s="131">
        <f>IFERROR('Price History'!C3+(INDEX('Price History'!C:C,MATCH(9.99E+307,'Returns (Calc)'!$A:$A)+1)-'Price History'!C3)*(ROW()-3)/(MATCH(9.99E+307,'Returns (Calc)'!$A:$A)-3),"")</f>
        <v>160.42708860759492</v>
      </c>
      <c r="Y115" s="131">
        <f>IFERROR('Price History'!D3+(INDEX('Price History'!D:D,MATCH(9.99E+307,'Returns (Calc)'!$A:$A)+1)-'Price History'!D3)*(ROW()-3)/(MATCH(9.99E+307,'Returns (Calc)'!$A:$A)-3),"")</f>
        <v>1493.1087341772152</v>
      </c>
      <c r="Z115" s="131">
        <f>IFERROR('Price History'!E3+(INDEX('Price History'!E:E,MATCH(9.99E+307,'Returns (Calc)'!$A:$A)+1)-'Price History'!E3)*(ROW()-3)/(MATCH(9.99E+307,'Returns (Calc)'!$A:$A)-3),"")</f>
        <v>275.61822784810124</v>
      </c>
      <c r="AA115" s="131">
        <f>IFERROR('Price History'!F3+(INDEX('Price History'!F:F,MATCH(9.99E+307,'Returns (Calc)'!$A:$A)+1)-'Price History'!F3)*(ROW()-3)/(MATCH(9.99E+307,'Returns (Calc)'!$A:$A)-3),"")</f>
        <v>203.46227848101267</v>
      </c>
      <c r="AB115" s="131">
        <f>IFERROR('Price History'!G3+(INDEX('Price History'!G:G,MATCH(9.99E+307,'Returns (Calc)'!$A:$A)+1)-'Price History'!G3)*(ROW()-3)/(MATCH(9.99E+307,'Returns (Calc)'!$A:$A)-3),"")</f>
        <v>159.56822784810126</v>
      </c>
      <c r="AC115" s="131">
        <f>IFERROR('Price History'!H3+(INDEX('Price History'!H:H,MATCH(9.99E+307,'Returns (Calc)'!$A:$A)+1)-'Price History'!H3)*(ROW()-3)/(MATCH(9.99E+307,'Returns (Calc)'!$A:$A)-3),"")</f>
        <v>782.06797468354443</v>
      </c>
      <c r="AD115" s="131">
        <f>IFERROR('Price History'!I3+(INDEX('Price History'!I:I,MATCH(9.99E+307,'Returns (Calc)'!$A:$A)+1)-'Price History'!I3)*(ROW()-3)/(MATCH(9.99E+307,'Returns (Calc)'!$A:$A)-3),"")</f>
        <v>178.5811392405063</v>
      </c>
      <c r="AE115" s="131">
        <f>IFERROR('Price History'!J3+(INDEX('Price History'!J:J,MATCH(9.99E+307,'Returns (Calc)'!$A:$A)+1)-'Price History'!J3)*(ROW()-3)/(MATCH(9.99E+307,'Returns (Calc)'!$A:$A)-3),"")</f>
        <v>123.94025316455696</v>
      </c>
      <c r="AF115" s="131">
        <f>IFERROR('Price History'!K3+(INDEX('Price History'!K:K,MATCH(9.99E+307,'Returns (Calc)'!$A:$A)+1)-'Price History'!K3)*(ROW()-3)/(MATCH(9.99E+307,'Returns (Calc)'!$A:$A)-3),"")</f>
        <v>138.26063291139241</v>
      </c>
      <c r="AG115" s="131">
        <f>IFERROR('Price History'!L3+(INDEX('Price History'!L:L,MATCH(9.99E+307,'Returns (Calc)'!$A:$A)+1)-'Price History'!L3)*(ROW()-3)/(MATCH(9.99E+307,'Returns (Calc)'!$A:$A)-3),"")</f>
        <v>360.10037974683547</v>
      </c>
      <c r="AH115" s="131">
        <f>IFERROR('Price History'!M3+(INDEX('Price History'!M:M,MATCH(9.99E+307,'Returns (Calc)'!$A:$A)+1)-'Price History'!M3)*(ROW()-3)/(MATCH(9.99E+307,'Returns (Calc)'!$A:$A)-3),"")</f>
        <v>189.82962025316456</v>
      </c>
      <c r="AI115" s="131">
        <f>IFERROR('Price History'!N3+(INDEX('Price History'!N:N,MATCH(9.99E+307,'Returns (Calc)'!$A:$A)+1)-'Price History'!N3)*(ROW()-3)/(MATCH(9.99E+307,'Returns (Calc)'!$A:$A)-3),"")</f>
        <v>459.36177215189878</v>
      </c>
      <c r="AJ115" s="131">
        <f>IFERROR('Price History'!O3+(INDEX('Price History'!O:O,MATCH(9.99E+307,'Returns (Calc)'!$A:$A)+1)-'Price History'!O3)*(ROW()-3)/(MATCH(9.99E+307,'Returns (Calc)'!$A:$A)-3),"")</f>
        <v>107.01025316455696</v>
      </c>
      <c r="AK115" s="131">
        <f>IFERROR('Price History'!Q3+(INDEX('Price History'!Q:Q,MATCH(9.99E+307,'Returns (Calc)'!$A:$A)+1)-'Price History'!Q3)*(ROW()-3)/(MATCH(9.99E+307,'Returns (Calc)'!$A:$A)-3),"")</f>
        <v>49.209113924050634</v>
      </c>
      <c r="AL115" s="131">
        <f>IFERROR('Price History'!R3+(INDEX('Price History'!R:R,MATCH(9.99E+307,'Returns (Calc)'!$A:$A)+1)-'Price History'!R3)*(ROW()-3)/(MATCH(9.99E+307,'Returns (Calc)'!$A:$A)-3),"")</f>
        <v>53.307341772151901</v>
      </c>
      <c r="AM115" s="131">
        <f>IFERROR('Price History'!S3+(INDEX('Price History'!S:S,MATCH(9.99E+307,'Returns (Calc)'!$A:$A)+1)-'Price History'!S3)*(ROW()-3)/(MATCH(9.99E+307,'Returns (Calc)'!$A:$A)-3),"")</f>
        <v>125.39708860759492</v>
      </c>
      <c r="AN115" s="131">
        <f>IFERROR('Price History'!T3+(INDEX('Price History'!T:T,MATCH(9.99E+307,'Returns (Calc)'!$A:$A)+1)-'Price History'!T3)*(ROW()-3)/(MATCH(9.99E+307,'Returns (Calc)'!$A:$A)-3),"")</f>
        <v>44.081518987341767</v>
      </c>
      <c r="AO115" s="132">
        <f>IFERROR('Price History'!V3+(INDEX('Price History'!V:V,MATCH(9.99E+307,'Returns (Calc)'!$A:$A)+1)-'Price History'!V3)*(ROW()-3)/(MATCH(9.99E+307,'Returns (Calc)'!$A:$A)-3),"")</f>
        <v>324.2588607594937</v>
      </c>
      <c r="AP115" s="130">
        <f>IFERROR(IF(OR(NOT(ISNUMBER('Price History'!W116)),NOT(ISNUMBER('Price History'!W115)),'Price History'!W115=0),"",'Price History'!W116/'Price History'!W115-1),"")</f>
        <v>5.2585451358457824E-3</v>
      </c>
      <c r="AQ115" s="130" t="str">
        <f>IFERROR(IF(OR(NOT(ISNUMBER('Price History'!X116)),NOT(ISNUMBER('Price History'!X115)),'Price History'!X115=0),"",'Price History'!X116/'Price History'!X115-1),"")</f>
        <v/>
      </c>
      <c r="AR115" s="130">
        <f>IFERROR(IF(OR(NOT(ISNUMBER('Price History'!Y116)),NOT(ISNUMBER('Price History'!Y115)),'Price History'!Y115=0),"",'Price History'!Y116/'Price History'!Y115-1),"")</f>
        <v>5.1487414187643132E-3</v>
      </c>
      <c r="AS115" s="130">
        <f>IFERROR(IF(OR(NOT(ISNUMBER('Price History'!Z116)),NOT(ISNUMBER('Price History'!Z115)),'Price History'!Z115=0),"",'Price History'!Z116/'Price History'!Z115-1),"")</f>
        <v>-7.9715116469012415E-3</v>
      </c>
      <c r="AT115" s="130">
        <f>IFERROR(IF(OR(NOT(ISNUMBER('Price History'!AA116)),NOT(ISNUMBER('Price History'!AA115)),'Price History'!AA115=0),"",'Price History'!AA116/'Price History'!AA115-1),"")</f>
        <v>7.7013681253963462E-3</v>
      </c>
    </row>
    <row r="116" spans="1:46" ht="15" customHeight="1" x14ac:dyDescent="0.2">
      <c r="A116" s="128">
        <f>IF('Price History'!A117="","",'Price History'!A117)</f>
        <v>45982</v>
      </c>
      <c r="B116" s="129">
        <f>IFERROR(IF(OR(NOT(ISNUMBER('Price History'!B117)),NOT(ISNUMBER('Price History'!B116)),'Price History'!B116=0),"",'Price History'!B117/'Price History'!B116-1),"")</f>
        <v>-2.08993989912718E-2</v>
      </c>
      <c r="C116" s="129">
        <f>IFERROR(IF(OR(NOT(ISNUMBER('Price History'!C117)),NOT(ISNUMBER('Price History'!C116)),'Price History'!C116=0),"",'Price History'!C117/'Price History'!C116-1),"")</f>
        <v>-0.10611250666057692</v>
      </c>
      <c r="D116" s="129">
        <f>IFERROR(IF(OR(NOT(ISNUMBER('Price History'!D117)),NOT(ISNUMBER('Price History'!D116)),'Price History'!D116=0),"",'Price History'!D117/'Price History'!D116-1),"")</f>
        <v>-4.013291158186727E-2</v>
      </c>
      <c r="E116" s="129">
        <f>IFERROR(IF(OR(NOT(ISNUMBER('Price History'!E117)),NOT(ISNUMBER('Price History'!E116)),'Price History'!E116=0),"",'Price History'!E117/'Price History'!E116-1),"")</f>
        <v>-6.5895919748183429E-3</v>
      </c>
      <c r="F116" s="129">
        <f>IFERROR(IF(OR(NOT(ISNUMBER('Price History'!F117)),NOT(ISNUMBER('Price History'!F116)),'Price History'!F116=0),"",'Price History'!F117/'Price History'!F116-1),"")</f>
        <v>-8.7208869707567471E-2</v>
      </c>
      <c r="G116" s="129">
        <f>IFERROR(IF(OR(NOT(ISNUMBER('Price History'!G117)),NOT(ISNUMBER('Price History'!G116)),'Price History'!G116=0),"",'Price History'!G117/'Price History'!G116-1),"")</f>
        <v>-3.1111505052295652E-2</v>
      </c>
      <c r="H116" s="129">
        <f>IFERROR(IF(OR(NOT(ISNUMBER('Price History'!H117)),NOT(ISNUMBER('Price History'!H116)),'Price History'!H116=0),"",'Price History'!H117/'Price History'!H116-1),"")</f>
        <v>-0.15986049718155648</v>
      </c>
      <c r="I116" s="129">
        <f>IFERROR(IF(OR(NOT(ISNUMBER('Price History'!I117)),NOT(ISNUMBER('Price History'!I116)),'Price History'!I116=0),"",'Price History'!I117/'Price History'!I116-1),"")</f>
        <v>-5.9403331224963107E-2</v>
      </c>
      <c r="J116" s="129">
        <f>IFERROR(IF(OR(NOT(ISNUMBER('Price History'!J117)),NOT(ISNUMBER('Price History'!J116)),'Price History'!J116=0),"",'Price History'!J117/'Price History'!J116-1),"")</f>
        <v>2.4099420606264133E-2</v>
      </c>
      <c r="K116" s="129">
        <f>IFERROR(IF(OR(NOT(ISNUMBER('Price History'!K117)),NOT(ISNUMBER('Price History'!K116)),'Price History'!K116=0),"",'Price History'!K117/'Price History'!K116-1),"")</f>
        <v>-0.11010861444744557</v>
      </c>
      <c r="L116" s="129">
        <f>IFERROR(IF(OR(NOT(ISNUMBER('Price History'!L117)),NOT(ISNUMBER('Price History'!L116)),'Price History'!L116=0),"",'Price History'!L117/'Price History'!L116-1),"")</f>
        <v>-3.4274765824581221E-2</v>
      </c>
      <c r="M116" s="129">
        <f>IFERROR(IF(OR(NOT(ISNUMBER('Price History'!M117)),NOT(ISNUMBER('Price History'!M116)),'Price History'!M116=0),"",'Price History'!M117/'Price History'!M116-1),"")</f>
        <v>-6.5167749868259239E-2</v>
      </c>
      <c r="N116" s="129">
        <f>IFERROR(IF(OR(NOT(ISNUMBER('Price History'!N117)),NOT(ISNUMBER('Price History'!N116)),'Price History'!N116=0),"",'Price History'!N117/'Price History'!N116-1),"")</f>
        <v>-2.3767585496969001E-2</v>
      </c>
      <c r="O116" s="129">
        <f>IFERROR(IF(OR(NOT(ISNUMBER('Price History'!O117)),NOT(ISNUMBER('Price History'!O116)),'Price History'!O116=0),"",'Price History'!O117/'Price History'!O116-1),"")</f>
        <v>-7.7865448504983448E-3</v>
      </c>
      <c r="P116" s="129">
        <f>IFERROR(IF(OR(NOT(ISNUMBER('Price History'!P117)),NOT(ISNUMBER('Price History'!P116)),'Price History'!P116=0),"",'Price History'!P117/'Price History'!P116-1),"")</f>
        <v>-4.9333627862455653E-3</v>
      </c>
      <c r="Q116" s="129">
        <f>IFERROR(IF(OR(NOT(ISNUMBER('Price History'!Q117)),NOT(ISNUMBER('Price History'!Q116)),'Price History'!Q116=0),"",'Price History'!Q117/'Price History'!Q116-1),"")</f>
        <v>-8.9244499153715573E-3</v>
      </c>
      <c r="R116" s="129">
        <f>IFERROR(IF(OR(NOT(ISNUMBER('Price History'!R117)),NOT(ISNUMBER('Price History'!R116)),'Price History'!R116=0),"",'Price History'!R117/'Price History'!R116-1),"")</f>
        <v>-2.7376132639290396E-2</v>
      </c>
      <c r="S116" s="129">
        <f>IFERROR(IF(OR(NOT(ISNUMBER('Price History'!S117)),NOT(ISNUMBER('Price History'!S116)),'Price History'!S116=0),"",'Price History'!S117/'Price History'!S116-1),"")</f>
        <v>-2.9955494693598039E-2</v>
      </c>
      <c r="T116" s="129">
        <f>IFERROR(IF(OR(NOT(ISNUMBER('Price History'!T117)),NOT(ISNUMBER('Price History'!T116)),'Price History'!T116=0),"",'Price History'!T117/'Price History'!T116-1),"")</f>
        <v>-2.0047480875758361E-2</v>
      </c>
      <c r="U116" s="129">
        <f>IFERROR(IF(OR(NOT(ISNUMBER('Price History'!U117)),NOT(ISNUMBER('Price History'!U116)),'Price History'!U116=0),"",'Price History'!U117/'Price History'!U116-1),"")</f>
        <v>-5.3191489361702482E-3</v>
      </c>
      <c r="V116" s="130">
        <f>IFERROR(IF(OR(NOT(ISNUMBER('Price History'!V117)),NOT(ISNUMBER('Price History'!V116)),'Price History'!V116=0),"",'Price History'!V117/'Price History'!V116-1),"")</f>
        <v>-6.1880810852005252E-3</v>
      </c>
      <c r="W116" s="131">
        <f>IFERROR('Price History'!B3+(INDEX('Price History'!B:B,MATCH(9.99E+307,'Returns (Calc)'!$A:$A)+1)-'Price History'!B3)*(ROW()-3)/(MATCH(9.99E+307,'Returns (Calc)'!$A:$A)-3),"")</f>
        <v>320.62670886075949</v>
      </c>
      <c r="X116" s="131">
        <f>IFERROR('Price History'!C3+(INDEX('Price History'!C:C,MATCH(9.99E+307,'Returns (Calc)'!$A:$A)+1)-'Price History'!C3)*(ROW()-3)/(MATCH(9.99E+307,'Returns (Calc)'!$A:$A)-3),"")</f>
        <v>161.44715189873418</v>
      </c>
      <c r="Y116" s="131">
        <f>IFERROR('Price History'!D3+(INDEX('Price History'!D:D,MATCH(9.99E+307,'Returns (Calc)'!$A:$A)+1)-'Price History'!D3)*(ROW()-3)/(MATCH(9.99E+307,'Returns (Calc)'!$A:$A)-3),"")</f>
        <v>1501.2435443037975</v>
      </c>
      <c r="Z116" s="131">
        <f>IFERROR('Price History'!E3+(INDEX('Price History'!E:E,MATCH(9.99E+307,'Returns (Calc)'!$A:$A)+1)-'Price History'!E3)*(ROW()-3)/(MATCH(9.99E+307,'Returns (Calc)'!$A:$A)-3),"")</f>
        <v>277.34696202531643</v>
      </c>
      <c r="AA116" s="131">
        <f>IFERROR('Price History'!F3+(INDEX('Price History'!F:F,MATCH(9.99E+307,'Returns (Calc)'!$A:$A)+1)-'Price History'!F3)*(ROW()-3)/(MATCH(9.99E+307,'Returns (Calc)'!$A:$A)-3),"")</f>
        <v>204.90962025316458</v>
      </c>
      <c r="AB116" s="131">
        <f>IFERROR('Price History'!G3+(INDEX('Price History'!G:G,MATCH(9.99E+307,'Returns (Calc)'!$A:$A)+1)-'Price History'!G3)*(ROW()-3)/(MATCH(9.99E+307,'Returns (Calc)'!$A:$A)-3),"")</f>
        <v>160.59696202531646</v>
      </c>
      <c r="AC116" s="131">
        <f>IFERROR('Price History'!H3+(INDEX('Price History'!H:H,MATCH(9.99E+307,'Returns (Calc)'!$A:$A)+1)-'Price History'!H3)*(ROW()-3)/(MATCH(9.99E+307,'Returns (Calc)'!$A:$A)-3),"")</f>
        <v>788.43367088607602</v>
      </c>
      <c r="AD116" s="131">
        <f>IFERROR('Price History'!I3+(INDEX('Price History'!I:I,MATCH(9.99E+307,'Returns (Calc)'!$A:$A)+1)-'Price History'!I3)*(ROW()-3)/(MATCH(9.99E+307,'Returns (Calc)'!$A:$A)-3),"")</f>
        <v>179.78481012658227</v>
      </c>
      <c r="AE116" s="131">
        <f>IFERROR('Price History'!J3+(INDEX('Price History'!J:J,MATCH(9.99E+307,'Returns (Calc)'!$A:$A)+1)-'Price History'!J3)*(ROW()-3)/(MATCH(9.99E+307,'Returns (Calc)'!$A:$A)-3),"")</f>
        <v>124.0482911392405</v>
      </c>
      <c r="AF116" s="131">
        <f>IFERROR('Price History'!K3+(INDEX('Price History'!K:K,MATCH(9.99E+307,'Returns (Calc)'!$A:$A)+1)-'Price History'!K3)*(ROW()-3)/(MATCH(9.99E+307,'Returns (Calc)'!$A:$A)-3),"")</f>
        <v>139.35822784810128</v>
      </c>
      <c r="AG116" s="131">
        <f>IFERROR('Price History'!L3+(INDEX('Price History'!L:L,MATCH(9.99E+307,'Returns (Calc)'!$A:$A)+1)-'Price History'!L3)*(ROW()-3)/(MATCH(9.99E+307,'Returns (Calc)'!$A:$A)-3),"")</f>
        <v>362.54993670886074</v>
      </c>
      <c r="AH116" s="131">
        <f>IFERROR('Price History'!M3+(INDEX('Price History'!M:M,MATCH(9.99E+307,'Returns (Calc)'!$A:$A)+1)-'Price History'!M3)*(ROW()-3)/(MATCH(9.99E+307,'Returns (Calc)'!$A:$A)-3),"")</f>
        <v>191.18506329113924</v>
      </c>
      <c r="AI116" s="131">
        <f>IFERROR('Price History'!N3+(INDEX('Price History'!N:N,MATCH(9.99E+307,'Returns (Calc)'!$A:$A)+1)-'Price History'!N3)*(ROW()-3)/(MATCH(9.99E+307,'Returns (Calc)'!$A:$A)-3),"")</f>
        <v>460.34803797468356</v>
      </c>
      <c r="AJ116" s="131">
        <f>IFERROR('Price History'!O3+(INDEX('Price History'!O:O,MATCH(9.99E+307,'Returns (Calc)'!$A:$A)+1)-'Price History'!O3)*(ROW()-3)/(MATCH(9.99E+307,'Returns (Calc)'!$A:$A)-3),"")</f>
        <v>107.29329113924051</v>
      </c>
      <c r="AK116" s="131">
        <f>IFERROR('Price History'!Q3+(INDEX('Price History'!Q:Q,MATCH(9.99E+307,'Returns (Calc)'!$A:$A)+1)-'Price History'!Q3)*(ROW()-3)/(MATCH(9.99E+307,'Returns (Calc)'!$A:$A)-3),"")</f>
        <v>49.64848101265823</v>
      </c>
      <c r="AL116" s="131">
        <f>IFERROR('Price History'!R3+(INDEX('Price History'!R:R,MATCH(9.99E+307,'Returns (Calc)'!$A:$A)+1)-'Price History'!R3)*(ROW()-3)/(MATCH(9.99E+307,'Returns (Calc)'!$A:$A)-3),"")</f>
        <v>53.475443037974685</v>
      </c>
      <c r="AM116" s="131">
        <f>IFERROR('Price History'!S3+(INDEX('Price History'!S:S,MATCH(9.99E+307,'Returns (Calc)'!$A:$A)+1)-'Price History'!S3)*(ROW()-3)/(MATCH(9.99E+307,'Returns (Calc)'!$A:$A)-3),"")</f>
        <v>126.00215189873418</v>
      </c>
      <c r="AN116" s="131">
        <f>IFERROR('Price History'!T3+(INDEX('Price History'!T:T,MATCH(9.99E+307,'Returns (Calc)'!$A:$A)+1)-'Price History'!T3)*(ROW()-3)/(MATCH(9.99E+307,'Returns (Calc)'!$A:$A)-3),"")</f>
        <v>44.249746835443034</v>
      </c>
      <c r="AO116" s="132">
        <f>IFERROR('Price History'!V3+(INDEX('Price History'!V:V,MATCH(9.99E+307,'Returns (Calc)'!$A:$A)+1)-'Price History'!V3)*(ROW()-3)/(MATCH(9.99E+307,'Returns (Calc)'!$A:$A)-3),"")</f>
        <v>325.05018987341771</v>
      </c>
      <c r="AP116" s="130">
        <f>IFERROR(IF(OR(NOT(ISNUMBER('Price History'!W117)),NOT(ISNUMBER('Price History'!W116)),'Price History'!W116=0),"",'Price History'!W117/'Price History'!W116-1),"")</f>
        <v>-6.4661435629176367E-3</v>
      </c>
      <c r="AQ116" s="130" t="str">
        <f>IFERROR(IF(OR(NOT(ISNUMBER('Price History'!X117)),NOT(ISNUMBER('Price History'!X116)),'Price History'!X116=0),"",'Price History'!X117/'Price History'!X116-1),"")</f>
        <v/>
      </c>
      <c r="AR116" s="130">
        <f>IFERROR(IF(OR(NOT(ISNUMBER('Price History'!Y117)),NOT(ISNUMBER('Price History'!Y116)),'Price History'!Y116=0),"",'Price History'!Y117/'Price History'!Y116-1),"")</f>
        <v>-2.6560424966799445E-3</v>
      </c>
      <c r="AS116" s="130">
        <f>IFERROR(IF(OR(NOT(ISNUMBER('Price History'!Z117)),NOT(ISNUMBER('Price History'!Z116)),'Price History'!Z116=0),"",'Price History'!Z117/'Price History'!Z116-1),"")</f>
        <v>-5.7006421867281443E-2</v>
      </c>
      <c r="AT116" s="130">
        <f>IFERROR(IF(OR(NOT(ISNUMBER('Price History'!AA117)),NOT(ISNUMBER('Price History'!AA116)),'Price History'!AA116=0),"",'Price History'!AA117/'Price History'!AA116-1),"")</f>
        <v>-6.2129113468800568E-2</v>
      </c>
    </row>
    <row r="117" spans="1:46" ht="15" customHeight="1" x14ac:dyDescent="0.2">
      <c r="A117" s="128">
        <f>IF('Price History'!A118="","",'Price History'!A118)</f>
        <v>45989</v>
      </c>
      <c r="B117" s="129">
        <f>IFERROR(IF(OR(NOT(ISNUMBER('Price History'!B118)),NOT(ISNUMBER('Price History'!B117)),'Price History'!B117=0),"",'Price History'!B118/'Price History'!B117-1),"")</f>
        <v>-1.2523520157932122E-2</v>
      </c>
      <c r="C117" s="129">
        <f>IFERROR(IF(OR(NOT(ISNUMBER('Price History'!C118)),NOT(ISNUMBER('Price History'!C117)),'Price History'!C117=0),"",'Price History'!C118/'Price History'!C117-1),"")</f>
        <v>0.11283317721195596</v>
      </c>
      <c r="D117" s="129">
        <f>IFERROR(IF(OR(NOT(ISNUMBER('Price History'!D118)),NOT(ISNUMBER('Price History'!D117)),'Price History'!D117=0),"",'Price History'!D118/'Price History'!D117-1),"")</f>
        <v>9.6657830448568127E-2</v>
      </c>
      <c r="E117" s="129">
        <f>IFERROR(IF(OR(NOT(ISNUMBER('Price History'!E118)),NOT(ISNUMBER('Price History'!E117)),'Price History'!E117=0),"",'Price History'!E118/'Price History'!E117-1),"")</f>
        <v>0.18448873226924101</v>
      </c>
      <c r="F117" s="129">
        <f>IFERROR(IF(OR(NOT(ISNUMBER('Price History'!F118)),NOT(ISNUMBER('Price History'!F117)),'Price History'!F117=0),"",'Price History'!F118/'Price History'!F117-1),"")</f>
        <v>3.7662020053802925E-2</v>
      </c>
      <c r="G117" s="129">
        <f>IFERROR(IF(OR(NOT(ISNUMBER('Price History'!G118)),NOT(ISNUMBER('Price History'!G117)),'Price History'!G117=0),"",'Price History'!G118/'Price History'!G117-1),"")</f>
        <v>7.1356691976946163E-2</v>
      </c>
      <c r="H117" s="129">
        <f>IFERROR(IF(OR(NOT(ISNUMBER('Price History'!H118)),NOT(ISNUMBER('Price History'!H117)),'Price History'!H117=0),"",'Price History'!H118/'Price History'!H117-1),"")</f>
        <v>0.14036781387266495</v>
      </c>
      <c r="I117" s="129">
        <f>IFERROR(IF(OR(NOT(ISNUMBER('Price History'!I118)),NOT(ISNUMBER('Price History'!I117)),'Price History'!I117=0),"",'Price History'!I118/'Price History'!I117-1),"")</f>
        <v>-1.0479125805547662E-2</v>
      </c>
      <c r="J117" s="129">
        <f>IFERROR(IF(OR(NOT(ISNUMBER('Price History'!J118)),NOT(ISNUMBER('Price History'!J117)),'Price History'!J117=0),"",'Price History'!J118/'Price History'!J117-1),"")</f>
        <v>2.1810429649065322E-2</v>
      </c>
      <c r="K117" s="129">
        <f>IFERROR(IF(OR(NOT(ISNUMBER('Price History'!K118)),NOT(ISNUMBER('Price History'!K117)),'Price History'!K117=0),"",'Price History'!K118/'Price History'!K117-1),"")</f>
        <v>8.782692928640623E-2</v>
      </c>
      <c r="L117" s="129">
        <f>IFERROR(IF(OR(NOT(ISNUMBER('Price History'!L118)),NOT(ISNUMBER('Price History'!L117)),'Price History'!L117=0),"",'Price History'!L118/'Price History'!L117-1),"")</f>
        <v>5.9813358806672046E-2</v>
      </c>
      <c r="M117" s="129">
        <f>IFERROR(IF(OR(NOT(ISNUMBER('Price History'!M118)),NOT(ISNUMBER('Price History'!M117)),'Price History'!M117=0),"",'Price History'!M118/'Price History'!M117-1),"")</f>
        <v>0.12495302517850448</v>
      </c>
      <c r="N117" s="129">
        <f>IFERROR(IF(OR(NOT(ISNUMBER('Price History'!N118)),NOT(ISNUMBER('Price History'!N117)),'Price History'!N117=0),"",'Price History'!N118/'Price History'!N117-1),"")</f>
        <v>1.6051176305183379E-2</v>
      </c>
      <c r="O117" s="129">
        <f>IFERROR(IF(OR(NOT(ISNUMBER('Price History'!O118)),NOT(ISNUMBER('Price History'!O117)),'Price History'!O117=0),"",'Price History'!O118/'Price History'!O117-1),"")</f>
        <v>4.436538662760281E-2</v>
      </c>
      <c r="P117" s="129">
        <f>IFERROR(IF(OR(NOT(ISNUMBER('Price History'!P118)),NOT(ISNUMBER('Price History'!P117)),'Price History'!P117=0),"",'Price History'!P118/'Price History'!P117-1),"")</f>
        <v>2.5751072961373467E-2</v>
      </c>
      <c r="Q117" s="129">
        <f>IFERROR(IF(OR(NOT(ISNUMBER('Price History'!Q118)),NOT(ISNUMBER('Price History'!Q117)),'Price History'!Q117=0),"",'Price History'!Q118/'Price History'!Q117-1),"")</f>
        <v>2.1735755317497274E-2</v>
      </c>
      <c r="R117" s="129">
        <f>IFERROR(IF(OR(NOT(ISNUMBER('Price History'!R118)),NOT(ISNUMBER('Price History'!R117)),'Price History'!R117=0),"",'Price History'!R118/'Price History'!R117-1),"")</f>
        <v>4.5787908820614343E-2</v>
      </c>
      <c r="S117" s="129">
        <f>IFERROR(IF(OR(NOT(ISNUMBER('Price History'!S118)),NOT(ISNUMBER('Price History'!S117)),'Price History'!S117=0),"",'Price History'!S118/'Price History'!S117-1),"")</f>
        <v>5.090877007234873E-2</v>
      </c>
      <c r="T117" s="129">
        <f>IFERROR(IF(OR(NOT(ISNUMBER('Price History'!T118)),NOT(ISNUMBER('Price History'!T117)),'Price History'!T117=0),"",'Price History'!T118/'Price History'!T117-1),"")</f>
        <v>3.4185733512786198E-2</v>
      </c>
      <c r="U117" s="129">
        <f>IFERROR(IF(OR(NOT(ISNUMBER('Price History'!U118)),NOT(ISNUMBER('Price History'!U117)),'Price History'!U117=0),"",'Price History'!U118/'Price History'!U117-1),"")</f>
        <v>1.8334606569900602E-2</v>
      </c>
      <c r="V117" s="130">
        <f>IFERROR(IF(OR(NOT(ISNUMBER('Price History'!V118)),NOT(ISNUMBER('Price History'!V117)),'Price History'!V117=0),"",'Price History'!V118/'Price History'!V117-1),"")</f>
        <v>1.9692043432918194E-2</v>
      </c>
      <c r="W117" s="131">
        <f>IFERROR('Price History'!B3+(INDEX('Price History'!B:B,MATCH(9.99E+307,'Returns (Calc)'!$A:$A)+1)-'Price History'!B3)*(ROW()-3)/(MATCH(9.99E+307,'Returns (Calc)'!$A:$A)-3),"")</f>
        <v>318.78367088607592</v>
      </c>
      <c r="X117" s="131">
        <f>IFERROR('Price History'!C3+(INDEX('Price History'!C:C,MATCH(9.99E+307,'Returns (Calc)'!$A:$A)+1)-'Price History'!C3)*(ROW()-3)/(MATCH(9.99E+307,'Returns (Calc)'!$A:$A)-3),"")</f>
        <v>162.4672151898734</v>
      </c>
      <c r="Y117" s="131">
        <f>IFERROR('Price History'!D3+(INDEX('Price History'!D:D,MATCH(9.99E+307,'Returns (Calc)'!$A:$A)+1)-'Price History'!D3)*(ROW()-3)/(MATCH(9.99E+307,'Returns (Calc)'!$A:$A)-3),"")</f>
        <v>1509.3783544303797</v>
      </c>
      <c r="Z117" s="131">
        <f>IFERROR('Price History'!E3+(INDEX('Price History'!E:E,MATCH(9.99E+307,'Returns (Calc)'!$A:$A)+1)-'Price History'!E3)*(ROW()-3)/(MATCH(9.99E+307,'Returns (Calc)'!$A:$A)-3),"")</f>
        <v>279.07569620253162</v>
      </c>
      <c r="AA117" s="131">
        <f>IFERROR('Price History'!F3+(INDEX('Price History'!F:F,MATCH(9.99E+307,'Returns (Calc)'!$A:$A)+1)-'Price History'!F3)*(ROW()-3)/(MATCH(9.99E+307,'Returns (Calc)'!$A:$A)-3),"")</f>
        <v>206.35696202531648</v>
      </c>
      <c r="AB117" s="131">
        <f>IFERROR('Price History'!G3+(INDEX('Price History'!G:G,MATCH(9.99E+307,'Returns (Calc)'!$A:$A)+1)-'Price History'!G3)*(ROW()-3)/(MATCH(9.99E+307,'Returns (Calc)'!$A:$A)-3),"")</f>
        <v>161.62569620253163</v>
      </c>
      <c r="AC117" s="131">
        <f>IFERROR('Price History'!H3+(INDEX('Price History'!H:H,MATCH(9.99E+307,'Returns (Calc)'!$A:$A)+1)-'Price History'!H3)*(ROW()-3)/(MATCH(9.99E+307,'Returns (Calc)'!$A:$A)-3),"")</f>
        <v>794.79936708860771</v>
      </c>
      <c r="AD117" s="131">
        <f>IFERROR('Price History'!I3+(INDEX('Price History'!I:I,MATCH(9.99E+307,'Returns (Calc)'!$A:$A)+1)-'Price History'!I3)*(ROW()-3)/(MATCH(9.99E+307,'Returns (Calc)'!$A:$A)-3),"")</f>
        <v>180.98848101265821</v>
      </c>
      <c r="AE117" s="131">
        <f>IFERROR('Price History'!J3+(INDEX('Price History'!J:J,MATCH(9.99E+307,'Returns (Calc)'!$A:$A)+1)-'Price History'!J3)*(ROW()-3)/(MATCH(9.99E+307,'Returns (Calc)'!$A:$A)-3),"")</f>
        <v>124.15632911392404</v>
      </c>
      <c r="AF117" s="131">
        <f>IFERROR('Price History'!K3+(INDEX('Price History'!K:K,MATCH(9.99E+307,'Returns (Calc)'!$A:$A)+1)-'Price History'!K3)*(ROW()-3)/(MATCH(9.99E+307,'Returns (Calc)'!$A:$A)-3),"")</f>
        <v>140.45582278481012</v>
      </c>
      <c r="AG117" s="131">
        <f>IFERROR('Price History'!L3+(INDEX('Price History'!L:L,MATCH(9.99E+307,'Returns (Calc)'!$A:$A)+1)-'Price History'!L3)*(ROW()-3)/(MATCH(9.99E+307,'Returns (Calc)'!$A:$A)-3),"")</f>
        <v>364.99949367088607</v>
      </c>
      <c r="AH117" s="131">
        <f>IFERROR('Price History'!M3+(INDEX('Price History'!M:M,MATCH(9.99E+307,'Returns (Calc)'!$A:$A)+1)-'Price History'!M3)*(ROW()-3)/(MATCH(9.99E+307,'Returns (Calc)'!$A:$A)-3),"")</f>
        <v>192.54050632911392</v>
      </c>
      <c r="AI117" s="131">
        <f>IFERROR('Price History'!N3+(INDEX('Price History'!N:N,MATCH(9.99E+307,'Returns (Calc)'!$A:$A)+1)-'Price History'!N3)*(ROW()-3)/(MATCH(9.99E+307,'Returns (Calc)'!$A:$A)-3),"")</f>
        <v>461.33430379746835</v>
      </c>
      <c r="AJ117" s="131">
        <f>IFERROR('Price History'!O3+(INDEX('Price History'!O:O,MATCH(9.99E+307,'Returns (Calc)'!$A:$A)+1)-'Price History'!O3)*(ROW()-3)/(MATCH(9.99E+307,'Returns (Calc)'!$A:$A)-3),"")</f>
        <v>107.57632911392406</v>
      </c>
      <c r="AK117" s="131">
        <f>IFERROR('Price History'!Q3+(INDEX('Price History'!Q:Q,MATCH(9.99E+307,'Returns (Calc)'!$A:$A)+1)-'Price History'!Q3)*(ROW()-3)/(MATCH(9.99E+307,'Returns (Calc)'!$A:$A)-3),"")</f>
        <v>50.087848101265827</v>
      </c>
      <c r="AL117" s="131">
        <f>IFERROR('Price History'!R3+(INDEX('Price History'!R:R,MATCH(9.99E+307,'Returns (Calc)'!$A:$A)+1)-'Price History'!R3)*(ROW()-3)/(MATCH(9.99E+307,'Returns (Calc)'!$A:$A)-3),"")</f>
        <v>53.643544303797469</v>
      </c>
      <c r="AM117" s="131">
        <f>IFERROR('Price History'!S3+(INDEX('Price History'!S:S,MATCH(9.99E+307,'Returns (Calc)'!$A:$A)+1)-'Price History'!S3)*(ROW()-3)/(MATCH(9.99E+307,'Returns (Calc)'!$A:$A)-3),"")</f>
        <v>126.60721518987341</v>
      </c>
      <c r="AN117" s="131">
        <f>IFERROR('Price History'!T3+(INDEX('Price History'!T:T,MATCH(9.99E+307,'Returns (Calc)'!$A:$A)+1)-'Price History'!T3)*(ROW()-3)/(MATCH(9.99E+307,'Returns (Calc)'!$A:$A)-3),"")</f>
        <v>44.417974683544301</v>
      </c>
      <c r="AO117" s="132">
        <f>IFERROR('Price History'!V3+(INDEX('Price History'!V:V,MATCH(9.99E+307,'Returns (Calc)'!$A:$A)+1)-'Price History'!V3)*(ROW()-3)/(MATCH(9.99E+307,'Returns (Calc)'!$A:$A)-3),"")</f>
        <v>325.84151898734177</v>
      </c>
      <c r="AP117" s="130">
        <f>IFERROR(IF(OR(NOT(ISNUMBER('Price History'!W118)),NOT(ISNUMBER('Price History'!W117)),'Price History'!W117=0),"",'Price History'!W118/'Price History'!W117-1),"")</f>
        <v>3.8098720292504717E-2</v>
      </c>
      <c r="AQ117" s="130" t="str">
        <f>IFERROR(IF(OR(NOT(ISNUMBER('Price History'!X118)),NOT(ISNUMBER('Price History'!X117)),'Price History'!X117=0),"",'Price History'!X118/'Price History'!X117-1),"")</f>
        <v/>
      </c>
      <c r="AR117" s="130">
        <f>IFERROR(IF(OR(NOT(ISNUMBER('Price History'!Y118)),NOT(ISNUMBER('Price History'!Y117)),'Price History'!Y117=0),"",'Price History'!Y118/'Price History'!Y117-1),"")</f>
        <v>2.3397374928666448E-2</v>
      </c>
      <c r="AS117" s="130">
        <f>IFERROR(IF(OR(NOT(ISNUMBER('Price History'!Z118)),NOT(ISNUMBER('Price History'!Z117)),'Price History'!Z117=0),"",'Price History'!Z118/'Price History'!Z117-1),"")</f>
        <v>3.8276175176363836E-2</v>
      </c>
      <c r="AT117" s="130">
        <f>IFERROR(IF(OR(NOT(ISNUMBER('Price History'!AA118)),NOT(ISNUMBER('Price History'!AA117)),'Price History'!AA117=0),"",'Price History'!AA118/'Price History'!AA117-1),"")</f>
        <v>3.1348863963186702E-2</v>
      </c>
    </row>
    <row r="118" spans="1:46" ht="15" customHeight="1" x14ac:dyDescent="0.2">
      <c r="A118" s="128">
        <f>IF('Price History'!A119="","",'Price History'!A119)</f>
        <v>45996</v>
      </c>
      <c r="B118" s="129">
        <f>IFERROR(IF(OR(NOT(ISNUMBER('Price History'!B119)),NOT(ISNUMBER('Price History'!B118)),'Price History'!B118=0),"",'Price History'!B119/'Price History'!B118-1),"")</f>
        <v>8.1623090619435734E-2</v>
      </c>
      <c r="C118" s="129">
        <f>IFERROR(IF(OR(NOT(ISNUMBER('Price History'!C119)),NOT(ISNUMBER('Price History'!C118)),'Price History'!C118=0),"",'Price History'!C119/'Price History'!C118-1),"")</f>
        <v>-1.5993265993266004E-2</v>
      </c>
      <c r="D118" s="129">
        <f>IFERROR(IF(OR(NOT(ISNUMBER('Price History'!D119)),NOT(ISNUMBER('Price History'!D118)),'Price History'!D118=0),"",'Price History'!D119/'Price History'!D118-1),"")</f>
        <v>3.7234698036836544E-2</v>
      </c>
      <c r="E118" s="129">
        <f>IFERROR(IF(OR(NOT(ISNUMBER('Price History'!E119)),NOT(ISNUMBER('Price History'!E118)),'Price History'!E118=0),"",'Price History'!E119/'Price History'!E118-1),"")</f>
        <v>-3.1575789394734821E-2</v>
      </c>
      <c r="F118" s="129">
        <f>IFERROR(IF(OR(NOT(ISNUMBER('Price History'!F119)),NOT(ISNUMBER('Price History'!F118)),'Price History'!F118=0),"",'Price History'!F119/'Price History'!F118-1),"")</f>
        <v>5.6563752062219752E-3</v>
      </c>
      <c r="G118" s="129">
        <f>IFERROR(IF(OR(NOT(ISNUMBER('Price History'!G119)),NOT(ISNUMBER('Price History'!G118)),'Price History'!G118=0),"",'Price History'!G119/'Price History'!G118-1),"")</f>
        <v>3.321663393390839E-2</v>
      </c>
      <c r="H118" s="129">
        <f>IFERROR(IF(OR(NOT(ISNUMBER('Price History'!H119)),NOT(ISNUMBER('Price History'!H118)),'Price History'!H118=0),"",'Price History'!H119/'Price History'!H118-1),"")</f>
        <v>3.1322751322750975E-3</v>
      </c>
      <c r="I118" s="129">
        <f>IFERROR(IF(OR(NOT(ISNUMBER('Price History'!I119)),NOT(ISNUMBER('Price History'!I118)),'Price History'!I118=0),"",'Price History'!I119/'Price History'!I118-1),"")</f>
        <v>3.0581039755351647E-2</v>
      </c>
      <c r="J118" s="129">
        <f>IFERROR(IF(OR(NOT(ISNUMBER('Price History'!J119)),NOT(ISNUMBER('Price History'!J118)),'Price History'!J118=0),"",'Price History'!J119/'Price History'!J118-1),"")</f>
        <v>-4.3331728454502061E-3</v>
      </c>
      <c r="K118" s="129">
        <f>IFERROR(IF(OR(NOT(ISNUMBER('Price History'!K119)),NOT(ISNUMBER('Price History'!K118)),'Price History'!K118=0),"",'Price History'!K119/'Price History'!K118-1),"")</f>
        <v>7.9014544375185514E-2</v>
      </c>
      <c r="L118" s="129">
        <f>IFERROR(IF(OR(NOT(ISNUMBER('Price History'!L119)),NOT(ISNUMBER('Price History'!L118)),'Price History'!L118=0),"",'Price History'!L119/'Price History'!L118-1),"")</f>
        <v>1.0989391943423854E-2</v>
      </c>
      <c r="M118" s="129">
        <f>IFERROR(IF(OR(NOT(ISNUMBER('Price History'!M119)),NOT(ISNUMBER('Price History'!M118)),'Price History'!M118=0),"",'Price History'!M119/'Price History'!M118-1),"")</f>
        <v>5.166750180947588E-2</v>
      </c>
      <c r="N118" s="129">
        <f>IFERROR(IF(OR(NOT(ISNUMBER('Price History'!N119)),NOT(ISNUMBER('Price History'!N118)),'Price History'!N118=0),"",'Price History'!N119/'Price History'!N118-1),"")</f>
        <v>5.0437028666313166E-2</v>
      </c>
      <c r="O118" s="129">
        <f>IFERROR(IF(OR(NOT(ISNUMBER('Price History'!O119)),NOT(ISNUMBER('Price History'!O118)),'Price History'!O118=0),"",'Price History'!O119/'Price History'!O118-1),"")</f>
        <v>1.7533313295261088E-2</v>
      </c>
      <c r="P118" s="129">
        <f>IFERROR(IF(OR(NOT(ISNUMBER('Price History'!P119)),NOT(ISNUMBER('Price History'!P118)),'Price History'!P118=0),"",'Price History'!P119/'Price History'!P118-1),"")</f>
        <v>-1.1903044293752774E-2</v>
      </c>
      <c r="Q118" s="129">
        <f>IFERROR(IF(OR(NOT(ISNUMBER('Price History'!Q119)),NOT(ISNUMBER('Price History'!Q118)),'Price History'!Q118=0),"",'Price History'!Q119/'Price History'!Q118-1),"")</f>
        <v>2.2792888618750062E-3</v>
      </c>
      <c r="R118" s="129">
        <f>IFERROR(IF(OR(NOT(ISNUMBER('Price History'!R119)),NOT(ISNUMBER('Price History'!R118)),'Price History'!R118=0),"",'Price History'!R119/'Price History'!R118-1),"")</f>
        <v>9.6664139499622603E-3</v>
      </c>
      <c r="S118" s="129">
        <f>IFERROR(IF(OR(NOT(ISNUMBER('Price History'!S119)),NOT(ISNUMBER('Price History'!S118)),'Price History'!S118=0),"",'Price History'!S119/'Price History'!S118-1),"")</f>
        <v>6.1287885148182397E-3</v>
      </c>
      <c r="T118" s="129">
        <f>IFERROR(IF(OR(NOT(ISNUMBER('Price History'!T119)),NOT(ISNUMBER('Price History'!T118)),'Price History'!T118=0),"",'Price History'!T119/'Price History'!T118-1),"")</f>
        <v>1.5616866215512726E-2</v>
      </c>
      <c r="U118" s="129">
        <f>IFERROR(IF(OR(NOT(ISNUMBER('Price History'!U119)),NOT(ISNUMBER('Price History'!U118)),'Price History'!U118=0),"",'Price History'!U119/'Price History'!U118-1),"")</f>
        <v>4.1260315078770482E-3</v>
      </c>
      <c r="V118" s="130">
        <f>IFERROR(IF(OR(NOT(ISNUMBER('Price History'!V119)),NOT(ISNUMBER('Price History'!V118)),'Price History'!V118=0),"",'Price History'!V119/'Price History'!V118-1),"")</f>
        <v>-9.5656359042233241E-3</v>
      </c>
      <c r="W118" s="131">
        <f>IFERROR('Price History'!B3+(INDEX('Price History'!B:B,MATCH(9.99E+307,'Returns (Calc)'!$A:$A)+1)-'Price History'!B3)*(ROW()-3)/(MATCH(9.99E+307,'Returns (Calc)'!$A:$A)-3),"")</f>
        <v>316.94063291139241</v>
      </c>
      <c r="X118" s="131">
        <f>IFERROR('Price History'!C3+(INDEX('Price History'!C:C,MATCH(9.99E+307,'Returns (Calc)'!$A:$A)+1)-'Price History'!C3)*(ROW()-3)/(MATCH(9.99E+307,'Returns (Calc)'!$A:$A)-3),"")</f>
        <v>163.48727848101265</v>
      </c>
      <c r="Y118" s="131">
        <f>IFERROR('Price History'!D3+(INDEX('Price History'!D:D,MATCH(9.99E+307,'Returns (Calc)'!$A:$A)+1)-'Price History'!D3)*(ROW()-3)/(MATCH(9.99E+307,'Returns (Calc)'!$A:$A)-3),"")</f>
        <v>1517.513164556962</v>
      </c>
      <c r="Z118" s="131">
        <f>IFERROR('Price History'!E3+(INDEX('Price History'!E:E,MATCH(9.99E+307,'Returns (Calc)'!$A:$A)+1)-'Price History'!E3)*(ROW()-3)/(MATCH(9.99E+307,'Returns (Calc)'!$A:$A)-3),"")</f>
        <v>280.8044303797468</v>
      </c>
      <c r="AA118" s="131">
        <f>IFERROR('Price History'!F3+(INDEX('Price History'!F:F,MATCH(9.99E+307,'Returns (Calc)'!$A:$A)+1)-'Price History'!F3)*(ROW()-3)/(MATCH(9.99E+307,'Returns (Calc)'!$A:$A)-3),"")</f>
        <v>207.80430379746838</v>
      </c>
      <c r="AB118" s="131">
        <f>IFERROR('Price History'!G3+(INDEX('Price History'!G:G,MATCH(9.99E+307,'Returns (Calc)'!$A:$A)+1)-'Price History'!G3)*(ROW()-3)/(MATCH(9.99E+307,'Returns (Calc)'!$A:$A)-3),"")</f>
        <v>162.65443037974683</v>
      </c>
      <c r="AC118" s="131">
        <f>IFERROR('Price History'!H3+(INDEX('Price History'!H:H,MATCH(9.99E+307,'Returns (Calc)'!$A:$A)+1)-'Price History'!H3)*(ROW()-3)/(MATCH(9.99E+307,'Returns (Calc)'!$A:$A)-3),"")</f>
        <v>801.16506329113929</v>
      </c>
      <c r="AD118" s="131">
        <f>IFERROR('Price History'!I3+(INDEX('Price History'!I:I,MATCH(9.99E+307,'Returns (Calc)'!$A:$A)+1)-'Price History'!I3)*(ROW()-3)/(MATCH(9.99E+307,'Returns (Calc)'!$A:$A)-3),"")</f>
        <v>182.19215189873418</v>
      </c>
      <c r="AE118" s="131">
        <f>IFERROR('Price History'!J3+(INDEX('Price History'!J:J,MATCH(9.99E+307,'Returns (Calc)'!$A:$A)+1)-'Price History'!J3)*(ROW()-3)/(MATCH(9.99E+307,'Returns (Calc)'!$A:$A)-3),"")</f>
        <v>124.2643670886076</v>
      </c>
      <c r="AF118" s="131">
        <f>IFERROR('Price History'!K3+(INDEX('Price History'!K:K,MATCH(9.99E+307,'Returns (Calc)'!$A:$A)+1)-'Price History'!K3)*(ROW()-3)/(MATCH(9.99E+307,'Returns (Calc)'!$A:$A)-3),"")</f>
        <v>141.553417721519</v>
      </c>
      <c r="AG118" s="131">
        <f>IFERROR('Price History'!L3+(INDEX('Price History'!L:L,MATCH(9.99E+307,'Returns (Calc)'!$A:$A)+1)-'Price History'!L3)*(ROW()-3)/(MATCH(9.99E+307,'Returns (Calc)'!$A:$A)-3),"")</f>
        <v>367.44905063291139</v>
      </c>
      <c r="AH118" s="131">
        <f>IFERROR('Price History'!M3+(INDEX('Price History'!M:M,MATCH(9.99E+307,'Returns (Calc)'!$A:$A)+1)-'Price History'!M3)*(ROW()-3)/(MATCH(9.99E+307,'Returns (Calc)'!$A:$A)-3),"")</f>
        <v>193.8959493670886</v>
      </c>
      <c r="AI118" s="131">
        <f>IFERROR('Price History'!N3+(INDEX('Price History'!N:N,MATCH(9.99E+307,'Returns (Calc)'!$A:$A)+1)-'Price History'!N3)*(ROW()-3)/(MATCH(9.99E+307,'Returns (Calc)'!$A:$A)-3),"")</f>
        <v>462.3205696202532</v>
      </c>
      <c r="AJ118" s="131">
        <f>IFERROR('Price History'!O3+(INDEX('Price History'!O:O,MATCH(9.99E+307,'Returns (Calc)'!$A:$A)+1)-'Price History'!O3)*(ROW()-3)/(MATCH(9.99E+307,'Returns (Calc)'!$A:$A)-3),"")</f>
        <v>107.8593670886076</v>
      </c>
      <c r="AK118" s="131">
        <f>IFERROR('Price History'!Q3+(INDEX('Price History'!Q:Q,MATCH(9.99E+307,'Returns (Calc)'!$A:$A)+1)-'Price History'!Q3)*(ROW()-3)/(MATCH(9.99E+307,'Returns (Calc)'!$A:$A)-3),"")</f>
        <v>50.527215189873417</v>
      </c>
      <c r="AL118" s="131">
        <f>IFERROR('Price History'!R3+(INDEX('Price History'!R:R,MATCH(9.99E+307,'Returns (Calc)'!$A:$A)+1)-'Price History'!R3)*(ROW()-3)/(MATCH(9.99E+307,'Returns (Calc)'!$A:$A)-3),"")</f>
        <v>53.811645569620254</v>
      </c>
      <c r="AM118" s="131">
        <f>IFERROR('Price History'!S3+(INDEX('Price History'!S:S,MATCH(9.99E+307,'Returns (Calc)'!$A:$A)+1)-'Price History'!S3)*(ROW()-3)/(MATCH(9.99E+307,'Returns (Calc)'!$A:$A)-3),"")</f>
        <v>127.21227848101267</v>
      </c>
      <c r="AN118" s="131">
        <f>IFERROR('Price History'!T3+(INDEX('Price History'!T:T,MATCH(9.99E+307,'Returns (Calc)'!$A:$A)+1)-'Price History'!T3)*(ROW()-3)/(MATCH(9.99E+307,'Returns (Calc)'!$A:$A)-3),"")</f>
        <v>44.586202531645569</v>
      </c>
      <c r="AO118" s="132">
        <f>IFERROR('Price History'!V3+(INDEX('Price History'!V:V,MATCH(9.99E+307,'Returns (Calc)'!$A:$A)+1)-'Price History'!V3)*(ROW()-3)/(MATCH(9.99E+307,'Returns (Calc)'!$A:$A)-3),"")</f>
        <v>326.63284810126584</v>
      </c>
      <c r="AP118" s="130">
        <f>IFERROR(IF(OR(NOT(ISNUMBER('Price History'!W119)),NOT(ISNUMBER('Price History'!W118)),'Price History'!W118=0),"",'Price History'!W119/'Price History'!W118-1),"")</f>
        <v>-1.5497323189630485E-3</v>
      </c>
      <c r="AQ118" s="130" t="str">
        <f>IFERROR(IF(OR(NOT(ISNUMBER('Price History'!X119)),NOT(ISNUMBER('Price History'!X118)),'Price History'!X118=0),"",'Price History'!X119/'Price History'!X118-1),"")</f>
        <v/>
      </c>
      <c r="AR118" s="130">
        <f>IFERROR(IF(OR(NOT(ISNUMBER('Price History'!Y119)),NOT(ISNUMBER('Price History'!Y118)),'Price History'!Y118=0),"",'Price History'!Y119/'Price History'!Y118-1),"")</f>
        <v>-1.8587360594793934E-3</v>
      </c>
      <c r="AS118" s="130">
        <f>IFERROR(IF(OR(NOT(ISNUMBER('Price History'!Z119)),NOT(ISNUMBER('Price History'!Z118)),'Price History'!Z118=0),"",'Price History'!Z119/'Price History'!Z118-1),"")</f>
        <v>-4.8604103599058202E-2</v>
      </c>
      <c r="AT118" s="130">
        <f>IFERROR(IF(OR(NOT(ISNUMBER('Price History'!AA119)),NOT(ISNUMBER('Price History'!AA118)),'Price History'!AA118=0),"",'Price History'!AA119/'Price History'!AA118-1),"")</f>
        <v>-6.822829522216034E-2</v>
      </c>
    </row>
    <row r="119" spans="1:46" ht="15" customHeight="1" x14ac:dyDescent="0.2">
      <c r="A119" s="128">
        <f>IF('Price History'!A120="","",'Price History'!A120)</f>
        <v>46003</v>
      </c>
      <c r="B119" s="129">
        <f>IFERROR(IF(OR(NOT(ISNUMBER('Price History'!B120)),NOT(ISNUMBER('Price History'!B119)),'Price History'!B119=0),"",'Price History'!B120/'Price History'!B119-1),"")</f>
        <v>2.9370992895512149E-2</v>
      </c>
      <c r="C119" s="129">
        <f>IFERROR(IF(OR(NOT(ISNUMBER('Price History'!C120)),NOT(ISNUMBER('Price History'!C119)),'Price History'!C119=0),"",'Price History'!C120/'Price History'!C119-1),"")</f>
        <v>-2.9784586670814184E-2</v>
      </c>
      <c r="D119" s="129">
        <f>IFERROR(IF(OR(NOT(ISNUMBER('Price History'!D120)),NOT(ISNUMBER('Price History'!D119)),'Price History'!D119=0),"",'Price History'!D120/'Price History'!D119-1),"")</f>
        <v>-1.6934592080130817E-2</v>
      </c>
      <c r="E119" s="129">
        <f>IFERROR(IF(OR(NOT(ISNUMBER('Price History'!E120)),NOT(ISNUMBER('Price History'!E119)),'Price History'!E119=0),"",'Price History'!E120/'Price History'!E119-1),"")</f>
        <v>-7.7679677819083137E-2</v>
      </c>
      <c r="F119" s="129">
        <f>IFERROR(IF(OR(NOT(ISNUMBER('Price History'!F120)),NOT(ISNUMBER('Price History'!F119)),'Price History'!F119=0),"",'Price History'!F120/'Price History'!F119-1),"")</f>
        <v>-1.4217639246933755E-2</v>
      </c>
      <c r="G119" s="129">
        <f>IFERROR(IF(OR(NOT(ISNUMBER('Price History'!G120)),NOT(ISNUMBER('Price History'!G119)),'Price History'!G119=0),"",'Price History'!G120/'Price History'!G119-1),"")</f>
        <v>-1.6942148760330511E-2</v>
      </c>
      <c r="H119" s="129">
        <f>IFERROR(IF(OR(NOT(ISNUMBER('Price History'!H120)),NOT(ISNUMBER('Price History'!H119)),'Price History'!H119=0),"",'Price History'!H120/'Price History'!H119-1),"")</f>
        <v>1.649858643824631E-2</v>
      </c>
      <c r="I119" s="129">
        <f>IFERROR(IF(OR(NOT(ISNUMBER('Price History'!I120)),NOT(ISNUMBER('Price History'!I119)),'Price History'!I119=0),"",'Price History'!I120/'Price History'!I119-1),"")</f>
        <v>-4.0498955929222813E-2</v>
      </c>
      <c r="J119" s="129">
        <f>IFERROR(IF(OR(NOT(ISNUMBER('Price History'!J120)),NOT(ISNUMBER('Price History'!J119)),'Price History'!J119=0),"",'Price History'!J120/'Price History'!J119-1),"")</f>
        <v>1.7246937459703515E-2</v>
      </c>
      <c r="K119" s="129">
        <f>IFERROR(IF(OR(NOT(ISNUMBER('Price History'!K120)),NOT(ISNUMBER('Price History'!K119)),'Price History'!K119=0),"",'Price History'!K120/'Price History'!K119-1),"")</f>
        <v>9.9581866197182567E-3</v>
      </c>
      <c r="L119" s="129">
        <f>IFERROR(IF(OR(NOT(ISNUMBER('Price History'!L120)),NOT(ISNUMBER('Price History'!L119)),'Price History'!L119=0),"",'Price History'!L120/'Price History'!L119-1),"")</f>
        <v>-6.412234680931328E-3</v>
      </c>
      <c r="M119" s="129">
        <f>IFERROR(IF(OR(NOT(ISNUMBER('Price History'!M120)),NOT(ISNUMBER('Price History'!M119)),'Price History'!M119=0),"",'Price History'!M120/'Price History'!M119-1),"")</f>
        <v>-0.14680501879400709</v>
      </c>
      <c r="N119" s="129">
        <f>IFERROR(IF(OR(NOT(ISNUMBER('Price History'!N120)),NOT(ISNUMBER('Price History'!N119)),'Price History'!N119=0),"",'Price History'!N120/'Price History'!N119-1),"")</f>
        <v>-7.5524721173267917E-3</v>
      </c>
      <c r="O119" s="129">
        <f>IFERROR(IF(OR(NOT(ISNUMBER('Price History'!O120)),NOT(ISNUMBER('Price History'!O119)),'Price History'!O119=0),"",'Price History'!O120/'Price History'!O119-1),"")</f>
        <v>2.146514375738473E-2</v>
      </c>
      <c r="P119" s="129">
        <f>IFERROR(IF(OR(NOT(ISNUMBER('Price History'!P120)),NOT(ISNUMBER('Price History'!P119)),'Price History'!P119=0),"",'Price History'!P120/'Price History'!P119-1),"")</f>
        <v>1.6207928743520394E-2</v>
      </c>
      <c r="Q119" s="129">
        <f>IFERROR(IF(OR(NOT(ISNUMBER('Price History'!Q120)),NOT(ISNUMBER('Price History'!Q119)),'Price History'!Q119=0),"",'Price History'!Q120/'Price History'!Q119-1),"")</f>
        <v>-1.2128562765312267E-3</v>
      </c>
      <c r="R119" s="129">
        <f>IFERROR(IF(OR(NOT(ISNUMBER('Price History'!R120)),NOT(ISNUMBER('Price History'!R119)),'Price History'!R119=0),"",'Price History'!R120/'Price History'!R119-1),"")</f>
        <v>-1.0887929416181774E-2</v>
      </c>
      <c r="S119" s="129">
        <f>IFERROR(IF(OR(NOT(ISNUMBER('Price History'!S120)),NOT(ISNUMBER('Price History'!S119)),'Price History'!S119=0),"",'Price History'!S120/'Price History'!S119-1),"")</f>
        <v>-1.4519359145527488E-2</v>
      </c>
      <c r="T119" s="129">
        <f>IFERROR(IF(OR(NOT(ISNUMBER('Price History'!T120)),NOT(ISNUMBER('Price History'!T119)),'Price History'!T119=0),"",'Price History'!T120/'Price History'!T119-1),"")</f>
        <v>1.0763710917478075E-2</v>
      </c>
      <c r="U119" s="129">
        <f>IFERROR(IF(OR(NOT(ISNUMBER('Price History'!U120)),NOT(ISNUMBER('Price History'!U119)),'Price History'!U119=0),"",'Price History'!U120/'Price History'!U119-1),"")</f>
        <v>9.3388121031003912E-3</v>
      </c>
      <c r="V119" s="130">
        <f>IFERROR(IF(OR(NOT(ISNUMBER('Price History'!V120)),NOT(ISNUMBER('Price History'!V119)),'Price History'!V119=0),"",'Price History'!V120/'Price History'!V119-1),"")</f>
        <v>5.0082002065237274E-2</v>
      </c>
      <c r="W119" s="131">
        <f>IFERROR('Price History'!B3+(INDEX('Price History'!B:B,MATCH(9.99E+307,'Returns (Calc)'!$A:$A)+1)-'Price History'!B3)*(ROW()-3)/(MATCH(9.99E+307,'Returns (Calc)'!$A:$A)-3),"")</f>
        <v>315.0975949367089</v>
      </c>
      <c r="X119" s="131">
        <f>IFERROR('Price History'!C3+(INDEX('Price History'!C:C,MATCH(9.99E+307,'Returns (Calc)'!$A:$A)+1)-'Price History'!C3)*(ROW()-3)/(MATCH(9.99E+307,'Returns (Calc)'!$A:$A)-3),"")</f>
        <v>164.50734177215188</v>
      </c>
      <c r="Y119" s="131">
        <f>IFERROR('Price History'!D3+(INDEX('Price History'!D:D,MATCH(9.99E+307,'Returns (Calc)'!$A:$A)+1)-'Price History'!D3)*(ROW()-3)/(MATCH(9.99E+307,'Returns (Calc)'!$A:$A)-3),"")</f>
        <v>1525.6479746835444</v>
      </c>
      <c r="Z119" s="131">
        <f>IFERROR('Price History'!E3+(INDEX('Price History'!E:E,MATCH(9.99E+307,'Returns (Calc)'!$A:$A)+1)-'Price History'!E3)*(ROW()-3)/(MATCH(9.99E+307,'Returns (Calc)'!$A:$A)-3),"")</f>
        <v>282.53316455696199</v>
      </c>
      <c r="AA119" s="131">
        <f>IFERROR('Price History'!F3+(INDEX('Price History'!F:F,MATCH(9.99E+307,'Returns (Calc)'!$A:$A)+1)-'Price History'!F3)*(ROW()-3)/(MATCH(9.99E+307,'Returns (Calc)'!$A:$A)-3),"")</f>
        <v>209.25164556962028</v>
      </c>
      <c r="AB119" s="131">
        <f>IFERROR('Price History'!G3+(INDEX('Price History'!G:G,MATCH(9.99E+307,'Returns (Calc)'!$A:$A)+1)-'Price History'!G3)*(ROW()-3)/(MATCH(9.99E+307,'Returns (Calc)'!$A:$A)-3),"")</f>
        <v>163.68316455696203</v>
      </c>
      <c r="AC119" s="131">
        <f>IFERROR('Price History'!H3+(INDEX('Price History'!H:H,MATCH(9.99E+307,'Returns (Calc)'!$A:$A)+1)-'Price History'!H3)*(ROW()-3)/(MATCH(9.99E+307,'Returns (Calc)'!$A:$A)-3),"")</f>
        <v>807.53075949367098</v>
      </c>
      <c r="AD119" s="131">
        <f>IFERROR('Price History'!I3+(INDEX('Price History'!I:I,MATCH(9.99E+307,'Returns (Calc)'!$A:$A)+1)-'Price History'!I3)*(ROW()-3)/(MATCH(9.99E+307,'Returns (Calc)'!$A:$A)-3),"")</f>
        <v>183.39582278481012</v>
      </c>
      <c r="AE119" s="131">
        <f>IFERROR('Price History'!J3+(INDEX('Price History'!J:J,MATCH(9.99E+307,'Returns (Calc)'!$A:$A)+1)-'Price History'!J3)*(ROW()-3)/(MATCH(9.99E+307,'Returns (Calc)'!$A:$A)-3),"")</f>
        <v>124.37240506329114</v>
      </c>
      <c r="AF119" s="131">
        <f>IFERROR('Price History'!K3+(INDEX('Price History'!K:K,MATCH(9.99E+307,'Returns (Calc)'!$A:$A)+1)-'Price History'!K3)*(ROW()-3)/(MATCH(9.99E+307,'Returns (Calc)'!$A:$A)-3),"")</f>
        <v>142.65101265822784</v>
      </c>
      <c r="AG119" s="131">
        <f>IFERROR('Price History'!L3+(INDEX('Price History'!L:L,MATCH(9.99E+307,'Returns (Calc)'!$A:$A)+1)-'Price History'!L3)*(ROW()-3)/(MATCH(9.99E+307,'Returns (Calc)'!$A:$A)-3),"")</f>
        <v>369.89860759493666</v>
      </c>
      <c r="AH119" s="131">
        <f>IFERROR('Price History'!M3+(INDEX('Price History'!M:M,MATCH(9.99E+307,'Returns (Calc)'!$A:$A)+1)-'Price History'!M3)*(ROW()-3)/(MATCH(9.99E+307,'Returns (Calc)'!$A:$A)-3),"")</f>
        <v>195.25139240506331</v>
      </c>
      <c r="AI119" s="131">
        <f>IFERROR('Price History'!N3+(INDEX('Price History'!N:N,MATCH(9.99E+307,'Returns (Calc)'!$A:$A)+1)-'Price History'!N3)*(ROW()-3)/(MATCH(9.99E+307,'Returns (Calc)'!$A:$A)-3),"")</f>
        <v>463.30683544303798</v>
      </c>
      <c r="AJ119" s="131">
        <f>IFERROR('Price History'!O3+(INDEX('Price History'!O:O,MATCH(9.99E+307,'Returns (Calc)'!$A:$A)+1)-'Price History'!O3)*(ROW()-3)/(MATCH(9.99E+307,'Returns (Calc)'!$A:$A)-3),"")</f>
        <v>108.14240506329114</v>
      </c>
      <c r="AK119" s="131">
        <f>IFERROR('Price History'!Q3+(INDEX('Price History'!Q:Q,MATCH(9.99E+307,'Returns (Calc)'!$A:$A)+1)-'Price History'!Q3)*(ROW()-3)/(MATCH(9.99E+307,'Returns (Calc)'!$A:$A)-3),"")</f>
        <v>50.966582278481013</v>
      </c>
      <c r="AL119" s="131">
        <f>IFERROR('Price History'!R3+(INDEX('Price History'!R:R,MATCH(9.99E+307,'Returns (Calc)'!$A:$A)+1)-'Price History'!R3)*(ROW()-3)/(MATCH(9.99E+307,'Returns (Calc)'!$A:$A)-3),"")</f>
        <v>53.979746835443038</v>
      </c>
      <c r="AM119" s="131">
        <f>IFERROR('Price History'!S3+(INDEX('Price History'!S:S,MATCH(9.99E+307,'Returns (Calc)'!$A:$A)+1)-'Price History'!S3)*(ROW()-3)/(MATCH(9.99E+307,'Returns (Calc)'!$A:$A)-3),"")</f>
        <v>127.81734177215191</v>
      </c>
      <c r="AN119" s="131">
        <f>IFERROR('Price History'!T3+(INDEX('Price History'!T:T,MATCH(9.99E+307,'Returns (Calc)'!$A:$A)+1)-'Price History'!T3)*(ROW()-3)/(MATCH(9.99E+307,'Returns (Calc)'!$A:$A)-3),"")</f>
        <v>44.754430379746836</v>
      </c>
      <c r="AO119" s="132">
        <f>IFERROR('Price History'!V3+(INDEX('Price History'!V:V,MATCH(9.99E+307,'Returns (Calc)'!$A:$A)+1)-'Price History'!V3)*(ROW()-3)/(MATCH(9.99E+307,'Returns (Calc)'!$A:$A)-3),"")</f>
        <v>327.4241772151899</v>
      </c>
      <c r="AP119" s="130">
        <f>IFERROR(IF(OR(NOT(ISNUMBER('Price History'!W120)),NOT(ISNUMBER('Price History'!W119)),'Price History'!W119=0),"",'Price History'!W120/'Price History'!W119-1),"")</f>
        <v>5.5030337237194082E-3</v>
      </c>
      <c r="AQ119" s="130" t="str">
        <f>IFERROR(IF(OR(NOT(ISNUMBER('Price History'!X120)),NOT(ISNUMBER('Price History'!X119)),'Price History'!X119=0),"",'Price History'!X120/'Price History'!X119-1),"")</f>
        <v/>
      </c>
      <c r="AR119" s="130">
        <f>IFERROR(IF(OR(NOT(ISNUMBER('Price History'!Y120)),NOT(ISNUMBER('Price History'!Y119)),'Price History'!Y119=0),"",'Price History'!Y120/'Price History'!Y119-1),"")</f>
        <v>5.2141527001861032E-3</v>
      </c>
      <c r="AS119" s="130">
        <f>IFERROR(IF(OR(NOT(ISNUMBER('Price History'!Z120)),NOT(ISNUMBER('Price History'!Z119)),'Price History'!Z119=0),"",'Price History'!Z120/'Price History'!Z119-1),"")</f>
        <v>5.5895350892699369E-2</v>
      </c>
      <c r="AT119" s="130">
        <f>IFERROR(IF(OR(NOT(ISNUMBER('Price History'!AA120)),NOT(ISNUMBER('Price History'!AA119)),'Price History'!AA119=0),"",'Price History'!AA120/'Price History'!AA119-1),"")</f>
        <v>-5.0379090183559461E-2</v>
      </c>
    </row>
    <row r="120" spans="1:46" ht="15" customHeight="1" x14ac:dyDescent="0.2">
      <c r="A120" s="128">
        <f>IF('Price History'!A121="","",'Price History'!A121)</f>
        <v>46010</v>
      </c>
      <c r="B120" s="129">
        <f>IFERROR(IF(OR(NOT(ISNUMBER('Price History'!B121)),NOT(ISNUMBER('Price History'!B120)),'Price History'!B120=0),"",'Price History'!B121/'Price History'!B120-1),"")</f>
        <v>-1.599191987206483E-3</v>
      </c>
      <c r="C120" s="129">
        <f>IFERROR(IF(OR(NOT(ISNUMBER('Price History'!C121)),NOT(ISNUMBER('Price History'!C120)),'Price History'!C120=0),"",'Price History'!C121/'Price History'!C120-1),"")</f>
        <v>5.0977877524847726E-2</v>
      </c>
      <c r="D120" s="129">
        <f>IFERROR(IF(OR(NOT(ISNUMBER('Price History'!D121)),NOT(ISNUMBER('Price History'!D120)),'Price History'!D120=0),"",'Price History'!D121/'Price History'!D120-1),"")</f>
        <v>-2.2971515692399302E-2</v>
      </c>
      <c r="E120" s="129">
        <f>IFERROR(IF(OR(NOT(ISNUMBER('Price History'!E121)),NOT(ISNUMBER('Price History'!E120)),'Price History'!E120=0),"",'Price History'!E121/'Price History'!E120-1),"")</f>
        <v>-5.4356649032944127E-2</v>
      </c>
      <c r="F120" s="129">
        <f>IFERROR(IF(OR(NOT(ISNUMBER('Price History'!F121)),NOT(ISNUMBER('Price History'!F120)),'Price History'!F120=0),"",'Price History'!F121/'Price History'!F120-1),"")</f>
        <v>-4.6517156668515747E-2</v>
      </c>
      <c r="G120" s="129">
        <f>IFERROR(IF(OR(NOT(ISNUMBER('Price History'!G121)),NOT(ISNUMBER('Price History'!G120)),'Price History'!G120=0),"",'Price History'!G121/'Price History'!G120-1),"")</f>
        <v>4.3379571248423732E-2</v>
      </c>
      <c r="H120" s="129">
        <f>IFERROR(IF(OR(NOT(ISNUMBER('Price History'!H121)),NOT(ISNUMBER('Price History'!H120)),'Price History'!H120=0),"",'Price History'!H121/'Price History'!H120-1),"")</f>
        <v>0.1027812370278125</v>
      </c>
      <c r="I120" s="129">
        <f>IFERROR(IF(OR(NOT(ISNUMBER('Price History'!I121)),NOT(ISNUMBER('Price History'!I120)),'Price History'!I120=0),"",'Price History'!I121/'Price History'!I120-1),"")</f>
        <v>3.4133211156291088E-2</v>
      </c>
      <c r="J120" s="129">
        <f>IFERROR(IF(OR(NOT(ISNUMBER('Price History'!J121)),NOT(ISNUMBER('Price History'!J120)),'Price History'!J120=0),"",'Price History'!J121/'Price History'!J120-1),"")</f>
        <v>-1.5053081920456401E-2</v>
      </c>
      <c r="K120" s="129">
        <f>IFERROR(IF(OR(NOT(ISNUMBER('Price History'!K121)),NOT(ISNUMBER('Price History'!K120)),'Price History'!K120=0),"",'Price History'!K121/'Price History'!K120-1),"")</f>
        <v>5.3440104592253679E-2</v>
      </c>
      <c r="L120" s="129">
        <f>IFERROR(IF(OR(NOT(ISNUMBER('Price History'!L121)),NOT(ISNUMBER('Price History'!L120)),'Price History'!L120=0),"",'Price History'!L121/'Price History'!L120-1),"")</f>
        <v>-1.0560463832136935E-2</v>
      </c>
      <c r="M120" s="129">
        <f>IFERROR(IF(OR(NOT(ISNUMBER('Price History'!M121)),NOT(ISNUMBER('Price History'!M120)),'Price History'!M120=0),"",'Price History'!M121/'Price History'!M120-1),"")</f>
        <v>-8.997269793993512E-3</v>
      </c>
      <c r="N120" s="129">
        <f>IFERROR(IF(OR(NOT(ISNUMBER('Price History'!N121)),NOT(ISNUMBER('Price History'!N120)),'Price History'!N120=0),"",'Price History'!N121/'Price History'!N120-1),"")</f>
        <v>9.2027254225288679E-3</v>
      </c>
      <c r="O120" s="129">
        <f>IFERROR(IF(OR(NOT(ISNUMBER('Price History'!O121)),NOT(ISNUMBER('Price History'!O120)),'Price History'!O120=0),"",'Price History'!O121/'Price History'!O120-1),"")</f>
        <v>-9.0611143242721459E-3</v>
      </c>
      <c r="P120" s="129">
        <f>IFERROR(IF(OR(NOT(ISNUMBER('Price History'!P121)),NOT(ISNUMBER('Price History'!P120)),'Price History'!P120=0),"",'Price History'!P121/'Price History'!P120-1),"")</f>
        <v>-4.5980314677777079E-3</v>
      </c>
      <c r="Q120" s="129">
        <f>IFERROR(IF(OR(NOT(ISNUMBER('Price History'!Q121)),NOT(ISNUMBER('Price History'!Q120)),'Price History'!Q120=0),"",'Price History'!Q121/'Price History'!Q120-1),"")</f>
        <v>2.2768670309654127E-3</v>
      </c>
      <c r="R120" s="129">
        <f>IFERROR(IF(OR(NOT(ISNUMBER('Price History'!R121)),NOT(ISNUMBER('Price History'!R120)),'Price History'!R120=0),"",'Price History'!R121/'Price History'!R120-1),"")</f>
        <v>7.4017840197380114E-3</v>
      </c>
      <c r="S120" s="129">
        <f>IFERROR(IF(OR(NOT(ISNUMBER('Price History'!S121)),NOT(ISNUMBER('Price History'!S120)),'Price History'!S120=0),"",'Price History'!S121/'Price History'!S120-1),"")</f>
        <v>3.640982218459099E-3</v>
      </c>
      <c r="T120" s="129">
        <f>IFERROR(IF(OR(NOT(ISNUMBER('Price History'!T121)),NOT(ISNUMBER('Price History'!T120)),'Price History'!T120=0),"",'Price History'!T121/'Price History'!T120-1),"")</f>
        <v>-4.3103448275860767E-3</v>
      </c>
      <c r="U120" s="129">
        <f>IFERROR(IF(OR(NOT(ISNUMBER('Price History'!U121)),NOT(ISNUMBER('Price History'!U120)),'Price History'!U120=0),"",'Price History'!U121/'Price History'!U120-1),"")</f>
        <v>-8.1421169504071189E-3</v>
      </c>
      <c r="V120" s="130">
        <f>IFERROR(IF(OR(NOT(ISNUMBER('Price History'!V121)),NOT(ISNUMBER('Price History'!V120)),'Price History'!V120=0),"",'Price History'!V121/'Price History'!V120-1),"")</f>
        <v>4.1070137382501759E-3</v>
      </c>
      <c r="W120" s="131">
        <f>IFERROR('Price History'!B3+(INDEX('Price History'!B:B,MATCH(9.99E+307,'Returns (Calc)'!$A:$A)+1)-'Price History'!B3)*(ROW()-3)/(MATCH(9.99E+307,'Returns (Calc)'!$A:$A)-3),"")</f>
        <v>313.25455696202528</v>
      </c>
      <c r="X120" s="131">
        <f>IFERROR('Price History'!C3+(INDEX('Price History'!C:C,MATCH(9.99E+307,'Returns (Calc)'!$A:$A)+1)-'Price History'!C3)*(ROW()-3)/(MATCH(9.99E+307,'Returns (Calc)'!$A:$A)-3),"")</f>
        <v>165.52740506329113</v>
      </c>
      <c r="Y120" s="131">
        <f>IFERROR('Price History'!D3+(INDEX('Price History'!D:D,MATCH(9.99E+307,'Returns (Calc)'!$A:$A)+1)-'Price History'!D3)*(ROW()-3)/(MATCH(9.99E+307,'Returns (Calc)'!$A:$A)-3),"")</f>
        <v>1533.7827848101265</v>
      </c>
      <c r="Z120" s="131">
        <f>IFERROR('Price History'!E3+(INDEX('Price History'!E:E,MATCH(9.99E+307,'Returns (Calc)'!$A:$A)+1)-'Price History'!E3)*(ROW()-3)/(MATCH(9.99E+307,'Returns (Calc)'!$A:$A)-3),"")</f>
        <v>284.26189873417718</v>
      </c>
      <c r="AA120" s="131">
        <f>IFERROR('Price History'!F3+(INDEX('Price History'!F:F,MATCH(9.99E+307,'Returns (Calc)'!$A:$A)+1)-'Price History'!F3)*(ROW()-3)/(MATCH(9.99E+307,'Returns (Calc)'!$A:$A)-3),"")</f>
        <v>210.69898734177218</v>
      </c>
      <c r="AB120" s="131">
        <f>IFERROR('Price History'!G3+(INDEX('Price History'!G:G,MATCH(9.99E+307,'Returns (Calc)'!$A:$A)+1)-'Price History'!G3)*(ROW()-3)/(MATCH(9.99E+307,'Returns (Calc)'!$A:$A)-3),"")</f>
        <v>164.71189873417723</v>
      </c>
      <c r="AC120" s="131">
        <f>IFERROR('Price History'!H3+(INDEX('Price History'!H:H,MATCH(9.99E+307,'Returns (Calc)'!$A:$A)+1)-'Price History'!H3)*(ROW()-3)/(MATCH(9.99E+307,'Returns (Calc)'!$A:$A)-3),"")</f>
        <v>813.89645569620257</v>
      </c>
      <c r="AD120" s="131">
        <f>IFERROR('Price History'!I3+(INDEX('Price History'!I:I,MATCH(9.99E+307,'Returns (Calc)'!$A:$A)+1)-'Price History'!I3)*(ROW()-3)/(MATCH(9.99E+307,'Returns (Calc)'!$A:$A)-3),"")</f>
        <v>184.59949367088606</v>
      </c>
      <c r="AE120" s="131">
        <f>IFERROR('Price History'!J3+(INDEX('Price History'!J:J,MATCH(9.99E+307,'Returns (Calc)'!$A:$A)+1)-'Price History'!J3)*(ROW()-3)/(MATCH(9.99E+307,'Returns (Calc)'!$A:$A)-3),"")</f>
        <v>124.48044303797468</v>
      </c>
      <c r="AF120" s="131">
        <f>IFERROR('Price History'!K3+(INDEX('Price History'!K:K,MATCH(9.99E+307,'Returns (Calc)'!$A:$A)+1)-'Price History'!K3)*(ROW()-3)/(MATCH(9.99E+307,'Returns (Calc)'!$A:$A)-3),"")</f>
        <v>143.74860759493671</v>
      </c>
      <c r="AG120" s="131">
        <f>IFERROR('Price History'!L3+(INDEX('Price History'!L:L,MATCH(9.99E+307,'Returns (Calc)'!$A:$A)+1)-'Price History'!L3)*(ROW()-3)/(MATCH(9.99E+307,'Returns (Calc)'!$A:$A)-3),"")</f>
        <v>372.34816455696199</v>
      </c>
      <c r="AH120" s="131">
        <f>IFERROR('Price History'!M3+(INDEX('Price History'!M:M,MATCH(9.99E+307,'Returns (Calc)'!$A:$A)+1)-'Price History'!M3)*(ROW()-3)/(MATCH(9.99E+307,'Returns (Calc)'!$A:$A)-3),"")</f>
        <v>196.60683544303799</v>
      </c>
      <c r="AI120" s="131">
        <f>IFERROR('Price History'!N3+(INDEX('Price History'!N:N,MATCH(9.99E+307,'Returns (Calc)'!$A:$A)+1)-'Price History'!N3)*(ROW()-3)/(MATCH(9.99E+307,'Returns (Calc)'!$A:$A)-3),"")</f>
        <v>464.29310126582277</v>
      </c>
      <c r="AJ120" s="131">
        <f>IFERROR('Price History'!O3+(INDEX('Price History'!O:O,MATCH(9.99E+307,'Returns (Calc)'!$A:$A)+1)-'Price History'!O3)*(ROW()-3)/(MATCH(9.99E+307,'Returns (Calc)'!$A:$A)-3),"")</f>
        <v>108.42544303797469</v>
      </c>
      <c r="AK120" s="131">
        <f>IFERROR('Price History'!Q3+(INDEX('Price History'!Q:Q,MATCH(9.99E+307,'Returns (Calc)'!$A:$A)+1)-'Price History'!Q3)*(ROW()-3)/(MATCH(9.99E+307,'Returns (Calc)'!$A:$A)-3),"")</f>
        <v>51.40594936708861</v>
      </c>
      <c r="AL120" s="131">
        <f>IFERROR('Price History'!R3+(INDEX('Price History'!R:R,MATCH(9.99E+307,'Returns (Calc)'!$A:$A)+1)-'Price History'!R3)*(ROW()-3)/(MATCH(9.99E+307,'Returns (Calc)'!$A:$A)-3),"")</f>
        <v>54.147848101265822</v>
      </c>
      <c r="AM120" s="131">
        <f>IFERROR('Price History'!S3+(INDEX('Price History'!S:S,MATCH(9.99E+307,'Returns (Calc)'!$A:$A)+1)-'Price History'!S3)*(ROW()-3)/(MATCH(9.99E+307,'Returns (Calc)'!$A:$A)-3),"")</f>
        <v>128.42240506329114</v>
      </c>
      <c r="AN120" s="131">
        <f>IFERROR('Price History'!T3+(INDEX('Price History'!T:T,MATCH(9.99E+307,'Returns (Calc)'!$A:$A)+1)-'Price History'!T3)*(ROW()-3)/(MATCH(9.99E+307,'Returns (Calc)'!$A:$A)-3),"")</f>
        <v>44.922658227848103</v>
      </c>
      <c r="AO120" s="132">
        <f>IFERROR('Price History'!V3+(INDEX('Price History'!V:V,MATCH(9.99E+307,'Returns (Calc)'!$A:$A)+1)-'Price History'!V3)*(ROW()-3)/(MATCH(9.99E+307,'Returns (Calc)'!$A:$A)-3),"")</f>
        <v>328.21550632911396</v>
      </c>
      <c r="AP120" s="130">
        <f>IFERROR(IF(OR(NOT(ISNUMBER('Price History'!W121)),NOT(ISNUMBER('Price History'!W120)),'Price History'!W120=0),"",'Price History'!W121/'Price History'!W120-1),"")</f>
        <v>-1.1857984844232394E-2</v>
      </c>
      <c r="AQ120" s="130" t="str">
        <f>IFERROR(IF(OR(NOT(ISNUMBER('Price History'!X121)),NOT(ISNUMBER('Price History'!X120)),'Price History'!X120=0),"",'Price History'!X121/'Price History'!X120-1),"")</f>
        <v/>
      </c>
      <c r="AR120" s="130">
        <f>IFERROR(IF(OR(NOT(ISNUMBER('Price History'!Y121)),NOT(ISNUMBER('Price History'!Y120)),'Price History'!Y120=0),"",'Price History'!Y121/'Price History'!Y120-1),"")</f>
        <v>-3.3345683586513131E-3</v>
      </c>
      <c r="AS120" s="130">
        <f>IFERROR(IF(OR(NOT(ISNUMBER('Price History'!Z121)),NOT(ISNUMBER('Price History'!Z120)),'Price History'!Z120=0),"",'Price History'!Z121/'Price History'!Z120-1),"")</f>
        <v>2.4676890109154082E-2</v>
      </c>
      <c r="AT120" s="130">
        <f>IFERROR(IF(OR(NOT(ISNUMBER('Price History'!AA121)),NOT(ISNUMBER('Price History'!AA120)),'Price History'!AA120=0),"",'Price History'!AA121/'Price History'!AA120-1),"")</f>
        <v>-8.4042441432923276E-3</v>
      </c>
    </row>
    <row r="121" spans="1:46" ht="15" customHeight="1" x14ac:dyDescent="0.2">
      <c r="A121" s="128">
        <f>IF('Price History'!A122="","",'Price History'!A122)</f>
        <v>46017</v>
      </c>
      <c r="B121" s="129">
        <f>IFERROR(IF(OR(NOT(ISNUMBER('Price History'!B122)),NOT(ISNUMBER('Price History'!B121)),'Price History'!B121=0),"",'Price History'!B122/'Price History'!B121-1),"")</f>
        <v>-5.788793345697707E-3</v>
      </c>
      <c r="C121" s="129">
        <f>IFERROR(IF(OR(NOT(ISNUMBER('Price History'!C122)),NOT(ISNUMBER('Price History'!C121)),'Price History'!C121=0),"",'Price History'!C122/'Price History'!C121-1),"")</f>
        <v>5.4911531421597548E-3</v>
      </c>
      <c r="D121" s="129">
        <f>IFERROR(IF(OR(NOT(ISNUMBER('Price History'!D122)),NOT(ISNUMBER('Price History'!D121)),'Price History'!D121=0),"",'Price History'!D122/'Price History'!D121-1),"")</f>
        <v>1.5842507397927585E-2</v>
      </c>
      <c r="E121" s="129">
        <f>IFERROR(IF(OR(NOT(ISNUMBER('Price History'!E122)),NOT(ISNUMBER('Price History'!E121)),'Price History'!E121=0),"",'Price History'!E122/'Price History'!E121-1),"")</f>
        <v>3.6554684031374851E-2</v>
      </c>
      <c r="F121" s="129">
        <f>IFERROR(IF(OR(NOT(ISNUMBER('Price History'!F122)),NOT(ISNUMBER('Price History'!F121)),'Price History'!F121=0),"",'Price History'!F122/'Price History'!F121-1),"")</f>
        <v>-1.6622340425531679E-4</v>
      </c>
      <c r="G121" s="129">
        <f>IFERROR(IF(OR(NOT(ISNUMBER('Price History'!G122)),NOT(ISNUMBER('Price History'!G121)),'Price History'!G121=0),"",'Price History'!G122/'Price History'!G121-1),"")</f>
        <v>2.7233905406494285E-2</v>
      </c>
      <c r="H121" s="129">
        <f>IFERROR(IF(OR(NOT(ISNUMBER('Price History'!H122)),NOT(ISNUMBER('Price History'!H121)),'Price History'!H121=0),"",'Price History'!H122/'Price History'!H121-1),"")</f>
        <v>7.0955356470676634E-2</v>
      </c>
      <c r="I121" s="129">
        <f>IFERROR(IF(OR(NOT(ISNUMBER('Price History'!I122)),NOT(ISNUMBER('Price History'!I121)),'Price History'!I121=0),"",'Price History'!I122/'Price History'!I121-1),"")</f>
        <v>5.2721936091266519E-2</v>
      </c>
      <c r="J121" s="129">
        <f>IFERROR(IF(OR(NOT(ISNUMBER('Price History'!J122)),NOT(ISNUMBER('Price History'!J121)),'Price History'!J121=0),"",'Price History'!J122/'Price History'!J121-1),"")</f>
        <v>1.1583011583011782E-2</v>
      </c>
      <c r="K121" s="129">
        <f>IFERROR(IF(OR(NOT(ISNUMBER('Price History'!K122)),NOT(ISNUMBER('Price History'!K121)),'Price History'!K121=0),"",'Price History'!K122/'Price History'!K121-1),"")</f>
        <v>-2.4149343261971157E-2</v>
      </c>
      <c r="L121" s="129">
        <f>IFERROR(IF(OR(NOT(ISNUMBER('Price History'!L122)),NOT(ISNUMBER('Price History'!L121)),'Price History'!L121=0),"",'Price History'!L122/'Price History'!L121-1),"")</f>
        <v>4.8064178583885786E-2</v>
      </c>
      <c r="M121" s="129">
        <f>IFERROR(IF(OR(NOT(ISNUMBER('Price History'!M122)),NOT(ISNUMBER('Price History'!M121)),'Price History'!M121=0),"",'Price History'!M122/'Price History'!M121-1),"")</f>
        <v>4.8525452382443213E-2</v>
      </c>
      <c r="N121" s="129">
        <f>IFERROR(IF(OR(NOT(ISNUMBER('Price History'!N122)),NOT(ISNUMBER('Price History'!N121)),'Price History'!N121=0),"",'Price History'!N122/'Price History'!N121-1),"")</f>
        <v>1.4686540990793473E-2</v>
      </c>
      <c r="O121" s="129">
        <f>IFERROR(IF(OR(NOT(ISNUMBER('Price History'!O122)),NOT(ISNUMBER('Price History'!O121)),'Price History'!O121=0),"",'Price History'!O122/'Price History'!O121-1),"")</f>
        <v>-8.7548638132295409E-4</v>
      </c>
      <c r="P121" s="129">
        <f>IFERROR(IF(OR(NOT(ISNUMBER('Price History'!P122)),NOT(ISNUMBER('Price History'!P121)),'Price History'!P121=0),"",'Price History'!P122/'Price History'!P121-1),"")</f>
        <v>5.2688560086611158E-3</v>
      </c>
      <c r="Q121" s="129">
        <f>IFERROR(IF(OR(NOT(ISNUMBER('Price History'!Q122)),NOT(ISNUMBER('Price History'!Q121)),'Price History'!Q121=0),"",'Price History'!Q122/'Price History'!Q121-1),"")</f>
        <v>1.0601241859760746E-2</v>
      </c>
      <c r="R121" s="129">
        <f>IFERROR(IF(OR(NOT(ISNUMBER('Price History'!R122)),NOT(ISNUMBER('Price History'!R121)),'Price History'!R121=0),"",'Price History'!R122/'Price History'!R121-1),"")</f>
        <v>1.2434061793519247E-2</v>
      </c>
      <c r="S121" s="129">
        <f>IFERROR(IF(OR(NOT(ISNUMBER('Price History'!S122)),NOT(ISNUMBER('Price History'!S121)),'Price History'!S121=0),"",'Price History'!S122/'Price History'!S121-1),"")</f>
        <v>1.7970134143254768E-2</v>
      </c>
      <c r="T121" s="129">
        <f>IFERROR(IF(OR(NOT(ISNUMBER('Price History'!T122)),NOT(ISNUMBER('Price History'!T121)),'Price History'!T121=0),"",'Price History'!T122/'Price History'!T121-1),"")</f>
        <v>6.620830150241952E-3</v>
      </c>
      <c r="U121" s="129">
        <f>IFERROR(IF(OR(NOT(ISNUMBER('Price History'!U122)),NOT(ISNUMBER('Price History'!U121)),'Price History'!U121=0),"",'Price History'!U122/'Price History'!U121-1),"")</f>
        <v>6.7164179104477473E-3</v>
      </c>
      <c r="V121" s="130">
        <f>IFERROR(IF(OR(NOT(ISNUMBER('Price History'!V122)),NOT(ISNUMBER('Price History'!V121)),'Price History'!V121=0),"",'Price History'!V122/'Price History'!V121-1),"")</f>
        <v>1.6447273669959905E-2</v>
      </c>
      <c r="W121" s="131">
        <f>IFERROR('Price History'!B3+(INDEX('Price History'!B:B,MATCH(9.99E+307,'Returns (Calc)'!$A:$A)+1)-'Price History'!B3)*(ROW()-3)/(MATCH(9.99E+307,'Returns (Calc)'!$A:$A)-3),"")</f>
        <v>311.41151898734176</v>
      </c>
      <c r="X121" s="131">
        <f>IFERROR('Price History'!C3+(INDEX('Price History'!C:C,MATCH(9.99E+307,'Returns (Calc)'!$A:$A)+1)-'Price History'!C3)*(ROW()-3)/(MATCH(9.99E+307,'Returns (Calc)'!$A:$A)-3),"")</f>
        <v>166.54746835443038</v>
      </c>
      <c r="Y121" s="131">
        <f>IFERROR('Price History'!D3+(INDEX('Price History'!D:D,MATCH(9.99E+307,'Returns (Calc)'!$A:$A)+1)-'Price History'!D3)*(ROW()-3)/(MATCH(9.99E+307,'Returns (Calc)'!$A:$A)-3),"")</f>
        <v>1541.9175949367088</v>
      </c>
      <c r="Z121" s="131">
        <f>IFERROR('Price History'!E3+(INDEX('Price History'!E:E,MATCH(9.99E+307,'Returns (Calc)'!$A:$A)+1)-'Price History'!E3)*(ROW()-3)/(MATCH(9.99E+307,'Returns (Calc)'!$A:$A)-3),"")</f>
        <v>285.99063291139237</v>
      </c>
      <c r="AA121" s="131">
        <f>IFERROR('Price History'!F3+(INDEX('Price History'!F:F,MATCH(9.99E+307,'Returns (Calc)'!$A:$A)+1)-'Price History'!F3)*(ROW()-3)/(MATCH(9.99E+307,'Returns (Calc)'!$A:$A)-3),"")</f>
        <v>212.14632911392408</v>
      </c>
      <c r="AB121" s="131">
        <f>IFERROR('Price History'!G3+(INDEX('Price History'!G:G,MATCH(9.99E+307,'Returns (Calc)'!$A:$A)+1)-'Price History'!G3)*(ROW()-3)/(MATCH(9.99E+307,'Returns (Calc)'!$A:$A)-3),"")</f>
        <v>165.7406329113924</v>
      </c>
      <c r="AC121" s="131">
        <f>IFERROR('Price History'!H3+(INDEX('Price History'!H:H,MATCH(9.99E+307,'Returns (Calc)'!$A:$A)+1)-'Price History'!H3)*(ROW()-3)/(MATCH(9.99E+307,'Returns (Calc)'!$A:$A)-3),"")</f>
        <v>820.26215189873426</v>
      </c>
      <c r="AD121" s="131">
        <f>IFERROR('Price History'!I3+(INDEX('Price History'!I:I,MATCH(9.99E+307,'Returns (Calc)'!$A:$A)+1)-'Price History'!I3)*(ROW()-3)/(MATCH(9.99E+307,'Returns (Calc)'!$A:$A)-3),"")</f>
        <v>185.80316455696203</v>
      </c>
      <c r="AE121" s="131">
        <f>IFERROR('Price History'!J3+(INDEX('Price History'!J:J,MATCH(9.99E+307,'Returns (Calc)'!$A:$A)+1)-'Price History'!J3)*(ROW()-3)/(MATCH(9.99E+307,'Returns (Calc)'!$A:$A)-3),"")</f>
        <v>124.58848101265822</v>
      </c>
      <c r="AF121" s="131">
        <f>IFERROR('Price History'!K3+(INDEX('Price History'!K:K,MATCH(9.99E+307,'Returns (Calc)'!$A:$A)+1)-'Price History'!K3)*(ROW()-3)/(MATCH(9.99E+307,'Returns (Calc)'!$A:$A)-3),"")</f>
        <v>144.84620253164556</v>
      </c>
      <c r="AG121" s="131">
        <f>IFERROR('Price History'!L3+(INDEX('Price History'!L:L,MATCH(9.99E+307,'Returns (Calc)'!$A:$A)+1)-'Price History'!L3)*(ROW()-3)/(MATCH(9.99E+307,'Returns (Calc)'!$A:$A)-3),"")</f>
        <v>374.79772151898732</v>
      </c>
      <c r="AH121" s="131">
        <f>IFERROR('Price History'!M3+(INDEX('Price History'!M:M,MATCH(9.99E+307,'Returns (Calc)'!$A:$A)+1)-'Price History'!M3)*(ROW()-3)/(MATCH(9.99E+307,'Returns (Calc)'!$A:$A)-3),"")</f>
        <v>197.96227848101267</v>
      </c>
      <c r="AI121" s="131">
        <f>IFERROR('Price History'!N3+(INDEX('Price History'!N:N,MATCH(9.99E+307,'Returns (Calc)'!$A:$A)+1)-'Price History'!N3)*(ROW()-3)/(MATCH(9.99E+307,'Returns (Calc)'!$A:$A)-3),"")</f>
        <v>465.27936708860761</v>
      </c>
      <c r="AJ121" s="131">
        <f>IFERROR('Price History'!O3+(INDEX('Price History'!O:O,MATCH(9.99E+307,'Returns (Calc)'!$A:$A)+1)-'Price History'!O3)*(ROW()-3)/(MATCH(9.99E+307,'Returns (Calc)'!$A:$A)-3),"")</f>
        <v>108.70848101265824</v>
      </c>
      <c r="AK121" s="131">
        <f>IFERROR('Price History'!Q3+(INDEX('Price History'!Q:Q,MATCH(9.99E+307,'Returns (Calc)'!$A:$A)+1)-'Price History'!Q3)*(ROW()-3)/(MATCH(9.99E+307,'Returns (Calc)'!$A:$A)-3),"")</f>
        <v>51.845316455696207</v>
      </c>
      <c r="AL121" s="131">
        <f>IFERROR('Price History'!R3+(INDEX('Price History'!R:R,MATCH(9.99E+307,'Returns (Calc)'!$A:$A)+1)-'Price History'!R3)*(ROW()-3)/(MATCH(9.99E+307,'Returns (Calc)'!$A:$A)-3),"")</f>
        <v>54.315949367088606</v>
      </c>
      <c r="AM121" s="131">
        <f>IFERROR('Price History'!S3+(INDEX('Price History'!S:S,MATCH(9.99E+307,'Returns (Calc)'!$A:$A)+1)-'Price History'!S3)*(ROW()-3)/(MATCH(9.99E+307,'Returns (Calc)'!$A:$A)-3),"")</f>
        <v>129.02746835443037</v>
      </c>
      <c r="AN121" s="131">
        <f>IFERROR('Price History'!T3+(INDEX('Price History'!T:T,MATCH(9.99E+307,'Returns (Calc)'!$A:$A)+1)-'Price History'!T3)*(ROW()-3)/(MATCH(9.99E+307,'Returns (Calc)'!$A:$A)-3),"")</f>
        <v>45.090886075949371</v>
      </c>
      <c r="AO121" s="132">
        <f>IFERROR('Price History'!V3+(INDEX('Price History'!V:V,MATCH(9.99E+307,'Returns (Calc)'!$A:$A)+1)-'Price History'!V3)*(ROW()-3)/(MATCH(9.99E+307,'Returns (Calc)'!$A:$A)-3),"")</f>
        <v>329.00683544303797</v>
      </c>
      <c r="AP121" s="130">
        <f>IFERROR(IF(OR(NOT(ISNUMBER('Price History'!W122)),NOT(ISNUMBER('Price History'!W121)),'Price History'!W121=0),"",'Price History'!W122/'Price History'!W121-1),"")</f>
        <v>1.2284314421643128E-2</v>
      </c>
      <c r="AQ121" s="130">
        <f>IFERROR(IF(OR(NOT(ISNUMBER('Price History'!X122)),NOT(ISNUMBER('Price History'!X121)),'Price History'!X121=0),"",'Price History'!X122/'Price History'!X121-1),"")</f>
        <v>1.5855039637599155E-2</v>
      </c>
      <c r="AR121" s="130">
        <f>IFERROR(IF(OR(NOT(ISNUMBER('Price History'!Y122)),NOT(ISNUMBER('Price History'!Y121)),'Price History'!Y121=0),"",'Price History'!Y122/'Price History'!Y121-1),"")</f>
        <v>8.3643122676579917E-3</v>
      </c>
      <c r="AS121" s="130">
        <f>IFERROR(IF(OR(NOT(ISNUMBER('Price History'!Z122)),NOT(ISNUMBER('Price History'!Z121)),'Price History'!Z121=0),"",'Price History'!Z122/'Price History'!Z121-1),"")</f>
        <v>2.5814462634382362E-2</v>
      </c>
      <c r="AT121" s="130">
        <f>IFERROR(IF(OR(NOT(ISNUMBER('Price History'!AA122)),NOT(ISNUMBER('Price History'!AA121)),'Price History'!AA121=0),"",'Price History'!AA122/'Price History'!AA121-1),"")</f>
        <v>8.4754740968318032E-4</v>
      </c>
    </row>
    <row r="122" spans="1:46" ht="15" customHeight="1" x14ac:dyDescent="0.2">
      <c r="A122" s="128">
        <f>IF('Price History'!A123="","",'Price History'!A123)</f>
        <v>46024</v>
      </c>
      <c r="B122" s="129">
        <f>IFERROR(IF(OR(NOT(ISNUMBER('Price History'!B123)),NOT(ISNUMBER('Price History'!B122)),'Price History'!B122=0),"",'Price History'!B123/'Price History'!B122-1),"")</f>
        <v>-5.7942340305257245E-2</v>
      </c>
      <c r="C122" s="129">
        <f>IFERROR(IF(OR(NOT(ISNUMBER('Price History'!C123)),NOT(ISNUMBER('Price History'!C122)),'Price History'!C122=0),"",'Price History'!C123/'Price History'!C122-1),"")</f>
        <v>1.3349514563106624E-2</v>
      </c>
      <c r="D122" s="129">
        <f>IFERROR(IF(OR(NOT(ISNUMBER('Price History'!D123)),NOT(ISNUMBER('Price History'!D122)),'Price History'!D122=0),"",'Price History'!D123/'Price History'!D122-1),"")</f>
        <v>8.4861654895936889E-2</v>
      </c>
      <c r="E122" s="129">
        <f>IFERROR(IF(OR(NOT(ISNUMBER('Price History'!E123)),NOT(ISNUMBER('Price History'!E122)),'Price History'!E122=0),"",'Price History'!E123/'Price History'!E122-1),"")</f>
        <v>-1.282124500285553E-2</v>
      </c>
      <c r="F122" s="129">
        <f>IFERROR(IF(OR(NOT(ISNUMBER('Price History'!F123)),NOT(ISNUMBER('Price History'!F122)),'Price History'!F122=0),"",'Price History'!F123/'Price History'!F122-1),"")</f>
        <v>-5.7439733998337461E-2</v>
      </c>
      <c r="G122" s="129">
        <f>IFERROR(IF(OR(NOT(ISNUMBER('Price History'!G123)),NOT(ISNUMBER('Price History'!G122)),'Price History'!G122=0),"",'Price History'!G123/'Price History'!G122-1),"")</f>
        <v>-4.0003137500980168E-3</v>
      </c>
      <c r="H122" s="129">
        <f>IFERROR(IF(OR(NOT(ISNUMBER('Price History'!H123)),NOT(ISNUMBER('Price History'!H122)),'Price History'!H122=0),"",'Price History'!H123/'Price History'!H122-1),"")</f>
        <v>0.10801026325963936</v>
      </c>
      <c r="I122" s="129">
        <f>IFERROR(IF(OR(NOT(ISNUMBER('Price History'!I123)),NOT(ISNUMBER('Price History'!I122)),'Price History'!I122=0),"",'Price History'!I123/'Price History'!I122-1),"")</f>
        <v>-8.8379188805303155E-3</v>
      </c>
      <c r="J122" s="129">
        <f>IFERROR(IF(OR(NOT(ISNUMBER('Price History'!J123)),NOT(ISNUMBER('Price History'!J122)),'Price History'!J122=0),"",'Price History'!J123/'Price History'!J122-1),"")</f>
        <v>2.703562340966803E-3</v>
      </c>
      <c r="K122" s="129">
        <f>IFERROR(IF(OR(NOT(ISNUMBER('Price History'!K123)),NOT(ISNUMBER('Price History'!K122)),'Price History'!K122=0),"",'Price History'!K123/'Price History'!K122-1),"")</f>
        <v>-0.1104869906205288</v>
      </c>
      <c r="L122" s="129">
        <f>IFERROR(IF(OR(NOT(ISNUMBER('Price History'!L123)),NOT(ISNUMBER('Price History'!L122)),'Price History'!L122=0),"",'Price History'!L123/'Price History'!L122-1),"")</f>
        <v>5.5378061767838105E-2</v>
      </c>
      <c r="M122" s="129">
        <f>IFERROR(IF(OR(NOT(ISNUMBER('Price History'!M123)),NOT(ISNUMBER('Price History'!M122)),'Price History'!M122=0),"",'Price History'!M123/'Price History'!M122-1),"")</f>
        <v>4.7951749671563348E-2</v>
      </c>
      <c r="N122" s="129">
        <f>IFERROR(IF(OR(NOT(ISNUMBER('Price History'!N123)),NOT(ISNUMBER('Price History'!N122)),'Price History'!N122=0),"",'Price History'!N123/'Price History'!N122-1),"")</f>
        <v>-2.326636422553463E-2</v>
      </c>
      <c r="O122" s="129">
        <f>IFERROR(IF(OR(NOT(ISNUMBER('Price History'!O123)),NOT(ISNUMBER('Price History'!O122)),'Price History'!O122=0),"",'Price History'!O123/'Price History'!O122-1),"")</f>
        <v>-5.5496056859116738E-3</v>
      </c>
      <c r="P122" s="129">
        <f>IFERROR(IF(OR(NOT(ISNUMBER('Price History'!P123)),NOT(ISNUMBER('Price History'!P122)),'Price History'!P122=0),"",'Price History'!P123/'Price History'!P122-1),"")</f>
        <v>7.179781734634183E-5</v>
      </c>
      <c r="Q122" s="129">
        <f>IFERROR(IF(OR(NOT(ISNUMBER('Price History'!Q123)),NOT(ISNUMBER('Price History'!Q122)),'Price History'!Q122=0),"",'Price History'!Q123/'Price History'!Q122-1),"")</f>
        <v>-8.242169938558308E-3</v>
      </c>
      <c r="R122" s="129">
        <f>IFERROR(IF(OR(NOT(ISNUMBER('Price History'!R123)),NOT(ISNUMBER('Price History'!R122)),'Price History'!R122=0),"",'Price History'!R123/'Price History'!R122-1),"")</f>
        <v>-1.1537030145143401E-2</v>
      </c>
      <c r="S122" s="129">
        <f>IFERROR(IF(OR(NOT(ISNUMBER('Price History'!S123)),NOT(ISNUMBER('Price History'!S122)),'Price History'!S122=0),"",'Price History'!S123/'Price History'!S122-1),"")</f>
        <v>-1.4089176197579989E-2</v>
      </c>
      <c r="T122" s="129">
        <f>IFERROR(IF(OR(NOT(ISNUMBER('Price History'!T123)),NOT(ISNUMBER('Price History'!T122)),'Price History'!T122=0),"",'Price History'!T123/'Price History'!T122-1),"")</f>
        <v>-9.3599797622060388E-3</v>
      </c>
      <c r="U122" s="129">
        <f>IFERROR(IF(OR(NOT(ISNUMBER('Price History'!U123)),NOT(ISNUMBER('Price History'!U122)),'Price History'!U122=0),"",'Price History'!U123/'Price History'!U122-1),"")</f>
        <v>2.9651593773165619E-3</v>
      </c>
      <c r="V122" s="130">
        <f>IFERROR(IF(OR(NOT(ISNUMBER('Price History'!V123)),NOT(ISNUMBER('Price History'!V122)),'Price History'!V122=0),"",'Price History'!V123/'Price History'!V122-1),"")</f>
        <v>-2.4002493765585942E-2</v>
      </c>
      <c r="W122" s="131">
        <f>IFERROR('Price History'!B3+(INDEX('Price History'!B:B,MATCH(9.99E+307,'Returns (Calc)'!$A:$A)+1)-'Price History'!B3)*(ROW()-3)/(MATCH(9.99E+307,'Returns (Calc)'!$A:$A)-3),"")</f>
        <v>309.56848101265825</v>
      </c>
      <c r="X122" s="131">
        <f>IFERROR('Price History'!C3+(INDEX('Price History'!C:C,MATCH(9.99E+307,'Returns (Calc)'!$A:$A)+1)-'Price History'!C3)*(ROW()-3)/(MATCH(9.99E+307,'Returns (Calc)'!$A:$A)-3),"")</f>
        <v>167.56753164556963</v>
      </c>
      <c r="Y122" s="131">
        <f>IFERROR('Price History'!D3+(INDEX('Price History'!D:D,MATCH(9.99E+307,'Returns (Calc)'!$A:$A)+1)-'Price History'!D3)*(ROW()-3)/(MATCH(9.99E+307,'Returns (Calc)'!$A:$A)-3),"")</f>
        <v>1550.0524050632912</v>
      </c>
      <c r="Z122" s="131">
        <f>IFERROR('Price History'!E3+(INDEX('Price History'!E:E,MATCH(9.99E+307,'Returns (Calc)'!$A:$A)+1)-'Price History'!E3)*(ROW()-3)/(MATCH(9.99E+307,'Returns (Calc)'!$A:$A)-3),"")</f>
        <v>287.71936708860756</v>
      </c>
      <c r="AA122" s="131">
        <f>IFERROR('Price History'!F3+(INDEX('Price History'!F:F,MATCH(9.99E+307,'Returns (Calc)'!$A:$A)+1)-'Price History'!F3)*(ROW()-3)/(MATCH(9.99E+307,'Returns (Calc)'!$A:$A)-3),"")</f>
        <v>213.59367088607598</v>
      </c>
      <c r="AB122" s="131">
        <f>IFERROR('Price History'!G3+(INDEX('Price History'!G:G,MATCH(9.99E+307,'Returns (Calc)'!$A:$A)+1)-'Price History'!G3)*(ROW()-3)/(MATCH(9.99E+307,'Returns (Calc)'!$A:$A)-3),"")</f>
        <v>166.76936708860759</v>
      </c>
      <c r="AC122" s="131">
        <f>IFERROR('Price History'!H3+(INDEX('Price History'!H:H,MATCH(9.99E+307,'Returns (Calc)'!$A:$A)+1)-'Price History'!H3)*(ROW()-3)/(MATCH(9.99E+307,'Returns (Calc)'!$A:$A)-3),"")</f>
        <v>826.62784810126584</v>
      </c>
      <c r="AD122" s="131">
        <f>IFERROR('Price History'!I3+(INDEX('Price History'!I:I,MATCH(9.99E+307,'Returns (Calc)'!$A:$A)+1)-'Price History'!I3)*(ROW()-3)/(MATCH(9.99E+307,'Returns (Calc)'!$A:$A)-3),"")</f>
        <v>187.00683544303797</v>
      </c>
      <c r="AE122" s="131">
        <f>IFERROR('Price History'!J3+(INDEX('Price History'!J:J,MATCH(9.99E+307,'Returns (Calc)'!$A:$A)+1)-'Price History'!J3)*(ROW()-3)/(MATCH(9.99E+307,'Returns (Calc)'!$A:$A)-3),"")</f>
        <v>124.69651898734178</v>
      </c>
      <c r="AF122" s="131">
        <f>IFERROR('Price History'!K3+(INDEX('Price History'!K:K,MATCH(9.99E+307,'Returns (Calc)'!$A:$A)+1)-'Price History'!K3)*(ROW()-3)/(MATCH(9.99E+307,'Returns (Calc)'!$A:$A)-3),"")</f>
        <v>145.94379746835443</v>
      </c>
      <c r="AG122" s="131">
        <f>IFERROR('Price History'!L3+(INDEX('Price History'!L:L,MATCH(9.99E+307,'Returns (Calc)'!$A:$A)+1)-'Price History'!L3)*(ROW()-3)/(MATCH(9.99E+307,'Returns (Calc)'!$A:$A)-3),"")</f>
        <v>377.24727848101264</v>
      </c>
      <c r="AH122" s="131">
        <f>IFERROR('Price History'!M3+(INDEX('Price History'!M:M,MATCH(9.99E+307,'Returns (Calc)'!$A:$A)+1)-'Price History'!M3)*(ROW()-3)/(MATCH(9.99E+307,'Returns (Calc)'!$A:$A)-3),"")</f>
        <v>199.31772151898736</v>
      </c>
      <c r="AI122" s="131">
        <f>IFERROR('Price History'!N3+(INDEX('Price History'!N:N,MATCH(9.99E+307,'Returns (Calc)'!$A:$A)+1)-'Price History'!N3)*(ROW()-3)/(MATCH(9.99E+307,'Returns (Calc)'!$A:$A)-3),"")</f>
        <v>466.2656329113924</v>
      </c>
      <c r="AJ122" s="131">
        <f>IFERROR('Price History'!O3+(INDEX('Price History'!O:O,MATCH(9.99E+307,'Returns (Calc)'!$A:$A)+1)-'Price History'!O3)*(ROW()-3)/(MATCH(9.99E+307,'Returns (Calc)'!$A:$A)-3),"")</f>
        <v>108.99151898734178</v>
      </c>
      <c r="AK122" s="131">
        <f>IFERROR('Price History'!Q3+(INDEX('Price History'!Q:Q,MATCH(9.99E+307,'Returns (Calc)'!$A:$A)+1)-'Price History'!Q3)*(ROW()-3)/(MATCH(9.99E+307,'Returns (Calc)'!$A:$A)-3),"")</f>
        <v>52.284683544303796</v>
      </c>
      <c r="AL122" s="131">
        <f>IFERROR('Price History'!R3+(INDEX('Price History'!R:R,MATCH(9.99E+307,'Returns (Calc)'!$A:$A)+1)-'Price History'!R3)*(ROW()-3)/(MATCH(9.99E+307,'Returns (Calc)'!$A:$A)-3),"")</f>
        <v>54.484050632911391</v>
      </c>
      <c r="AM122" s="131">
        <f>IFERROR('Price History'!S3+(INDEX('Price History'!S:S,MATCH(9.99E+307,'Returns (Calc)'!$A:$A)+1)-'Price History'!S3)*(ROW()-3)/(MATCH(9.99E+307,'Returns (Calc)'!$A:$A)-3),"")</f>
        <v>129.63253164556963</v>
      </c>
      <c r="AN122" s="131">
        <f>IFERROR('Price History'!T3+(INDEX('Price History'!T:T,MATCH(9.99E+307,'Returns (Calc)'!$A:$A)+1)-'Price History'!T3)*(ROW()-3)/(MATCH(9.99E+307,'Returns (Calc)'!$A:$A)-3),"")</f>
        <v>45.259113924050638</v>
      </c>
      <c r="AO122" s="132">
        <f>IFERROR('Price History'!V3+(INDEX('Price History'!V:V,MATCH(9.99E+307,'Returns (Calc)'!$A:$A)+1)-'Price History'!V3)*(ROW()-3)/(MATCH(9.99E+307,'Returns (Calc)'!$A:$A)-3),"")</f>
        <v>329.79816455696204</v>
      </c>
      <c r="AP122" s="130">
        <f>IFERROR(IF(OR(NOT(ISNUMBER('Price History'!W123)),NOT(ISNUMBER('Price History'!W122)),'Price History'!W122=0),"",'Price History'!W123/'Price History'!W122-1),"")</f>
        <v>-2.2446689113355678E-3</v>
      </c>
      <c r="AQ122" s="130">
        <f>IFERROR(IF(OR(NOT(ISNUMBER('Price History'!X123)),NOT(ISNUMBER('Price History'!X122)),'Price History'!X122=0),"",'Price History'!X123/'Price History'!X122-1),"")</f>
        <v>1.025641025641022E-2</v>
      </c>
      <c r="AR122" s="130">
        <f>IFERROR(IF(OR(NOT(ISNUMBER('Price History'!Y123)),NOT(ISNUMBER('Price History'!Y122)),'Price History'!Y122=0),"",'Price History'!Y123/'Price History'!Y122-1),"")</f>
        <v>-4.7926267281105384E-3</v>
      </c>
      <c r="AS122" s="130">
        <f>IFERROR(IF(OR(NOT(ISNUMBER('Price History'!Z123)),NOT(ISNUMBER('Price History'!Z122)),'Price History'!Z122=0),"",'Price History'!Z123/'Price History'!Z122-1),"")</f>
        <v>1.8953269837224784E-2</v>
      </c>
      <c r="AT122" s="130">
        <f>IFERROR(IF(OR(NOT(ISNUMBER('Price History'!AA123)),NOT(ISNUMBER('Price History'!AA122)),'Price History'!AA122=0),"",'Price History'!AA123/'Price History'!AA122-1),"")</f>
        <v>-3.683709114004452E-2</v>
      </c>
    </row>
    <row r="123" spans="1:46" ht="15" customHeight="1" x14ac:dyDescent="0.2">
      <c r="A123" s="128">
        <f>IF('Price History'!A124="","",'Price History'!A124)</f>
        <v>46031</v>
      </c>
      <c r="B123" s="129">
        <f>IFERROR(IF(OR(NOT(ISNUMBER('Price History'!B124)),NOT(ISNUMBER('Price History'!B123)),'Price History'!B123=0),"",'Price History'!B124/'Price History'!B123-1),"")</f>
        <v>1.950195019501777E-3</v>
      </c>
      <c r="C123" s="129">
        <f>IFERROR(IF(OR(NOT(ISNUMBER('Price History'!C124)),NOT(ISNUMBER('Price History'!C123)),'Price History'!C123=0),"",'Price History'!C124/'Price History'!C123-1),"")</f>
        <v>-8.0164670658682602E-2</v>
      </c>
      <c r="D123" s="129">
        <f>IFERROR(IF(OR(NOT(ISNUMBER('Price History'!D124)),NOT(ISNUMBER('Price History'!D123)),'Price History'!D123=0),"",'Price History'!D124/'Price History'!D123-1),"")</f>
        <v>9.4602061784462288E-2</v>
      </c>
      <c r="E123" s="129">
        <f>IFERROR(IF(OR(NOT(ISNUMBER('Price History'!E124)),NOT(ISNUMBER('Price History'!E123)),'Price History'!E123=0),"",'Price History'!E124/'Price History'!E123-1),"")</f>
        <v>-7.6075323247808413E-3</v>
      </c>
      <c r="F123" s="129">
        <f>IFERROR(IF(OR(NOT(ISNUMBER('Price History'!F124)),NOT(ISNUMBER('Price History'!F123)),'Price History'!F123=0),"",'Price History'!F124/'Price History'!F123-1),"")</f>
        <v>3.7569450568833318E-2</v>
      </c>
      <c r="G123" s="129">
        <f>IFERROR(IF(OR(NOT(ISNUMBER('Price History'!G124)),NOT(ISNUMBER('Price History'!G123)),'Price History'!G123=0),"",'Price History'!G124/'Price History'!G123-1),"")</f>
        <v>9.8440699322727809E-2</v>
      </c>
      <c r="H123" s="129">
        <f>IFERROR(IF(OR(NOT(ISNUMBER('Price History'!H124)),NOT(ISNUMBER('Price History'!H123)),'Price History'!H123=0),"",'Price History'!H124/'Price History'!H123-1),"")</f>
        <v>9.4055322928562335E-2</v>
      </c>
      <c r="I123" s="129">
        <f>IFERROR(IF(OR(NOT(ISNUMBER('Price History'!I124)),NOT(ISNUMBER('Price History'!I123)),'Price History'!I123=0),"",'Price History'!I124/'Price History'!I123-1),"")</f>
        <v>-2.1124144153707336E-2</v>
      </c>
      <c r="J123" s="129">
        <f>IFERROR(IF(OR(NOT(ISNUMBER('Price History'!J124)),NOT(ISNUMBER('Price History'!J123)),'Price History'!J123=0),"",'Price History'!J124/'Price History'!J123-1),"")</f>
        <v>2.6962727993655733E-3</v>
      </c>
      <c r="K123" s="129">
        <f>IFERROR(IF(OR(NOT(ISNUMBER('Price History'!K124)),NOT(ISNUMBER('Price History'!K123)),'Price History'!K123=0),"",'Price History'!K124/'Price History'!K123-1),"")</f>
        <v>5.7369236268318913E-2</v>
      </c>
      <c r="L123" s="129">
        <f>IFERROR(IF(OR(NOT(ISNUMBER('Price History'!L124)),NOT(ISNUMBER('Price History'!L123)),'Price History'!L123=0),"",'Price History'!L124/'Price History'!L123-1),"")</f>
        <v>1.2581987891019164E-2</v>
      </c>
      <c r="M123" s="129">
        <f>IFERROR(IF(OR(NOT(ISNUMBER('Price History'!M124)),NOT(ISNUMBER('Price History'!M123)),'Price History'!M123=0),"",'Price History'!M124/'Price History'!M123-1),"")</f>
        <v>-6.8493931278135523E-2</v>
      </c>
      <c r="N123" s="129">
        <f>IFERROR(IF(OR(NOT(ISNUMBER('Price History'!N124)),NOT(ISNUMBER('Price History'!N123)),'Price History'!N123=0),"",'Price History'!N124/'Price History'!N123-1),"")</f>
        <v>2.5943865702342306E-2</v>
      </c>
      <c r="O123" s="129">
        <f>IFERROR(IF(OR(NOT(ISNUMBER('Price History'!O124)),NOT(ISNUMBER('Price History'!O123)),'Price History'!O123=0),"",'Price History'!O124/'Price History'!O123-1),"")</f>
        <v>4.082631682005089E-2</v>
      </c>
      <c r="P123" s="129">
        <f>IFERROR(IF(OR(NOT(ISNUMBER('Price History'!P124)),NOT(ISNUMBER('Price History'!P123)),'Price History'!P123=0),"",'Price History'!P124/'Price History'!P123-1),"")</f>
        <v>2.0963457534640018E-2</v>
      </c>
      <c r="Q123" s="129">
        <f>IFERROR(IF(OR(NOT(ISNUMBER('Price History'!Q124)),NOT(ISNUMBER('Price History'!Q123)),'Price History'!Q123=0),"",'Price History'!Q124/'Price History'!Q123-1),"")</f>
        <v>9.0661831368992196E-3</v>
      </c>
      <c r="R123" s="129">
        <f>IFERROR(IF(OR(NOT(ISNUMBER('Price History'!R124)),NOT(ISNUMBER('Price History'!R123)),'Price History'!R123=0),"",'Price History'!R124/'Price History'!R123-1),"")</f>
        <v>1.8448795180723065E-2</v>
      </c>
      <c r="S123" s="129">
        <f>IFERROR(IF(OR(NOT(ISNUMBER('Price History'!S124)),NOT(ISNUMBER('Price History'!S123)),'Price History'!S123=0),"",'Price History'!S124/'Price History'!S123-1),"")</f>
        <v>2.9421654337593584E-3</v>
      </c>
      <c r="T123" s="129">
        <f>IFERROR(IF(OR(NOT(ISNUMBER('Price History'!T124)),NOT(ISNUMBER('Price History'!T123)),'Price History'!T123=0),"",'Price History'!T124/'Price History'!T123-1),"")</f>
        <v>2.5791624106231037E-2</v>
      </c>
      <c r="U123" s="129">
        <f>IFERROR(IF(OR(NOT(ISNUMBER('Price History'!U124)),NOT(ISNUMBER('Price History'!U123)),'Price History'!U123=0),"",'Price History'!U124/'Price History'!U123-1),"")</f>
        <v>2.9563932002956372E-2</v>
      </c>
      <c r="V123" s="130">
        <f>IFERROR(IF(OR(NOT(ISNUMBER('Price History'!V124)),NOT(ISNUMBER('Price History'!V123)),'Price History'!V123=0),"",'Price History'!V124/'Price History'!V123-1),"")</f>
        <v>9.4944978368805E-3</v>
      </c>
      <c r="W123" s="131">
        <f>IFERROR('Price History'!B3+(INDEX('Price History'!B:B,MATCH(9.99E+307,'Returns (Calc)'!$A:$A)+1)-'Price History'!B3)*(ROW()-3)/(MATCH(9.99E+307,'Returns (Calc)'!$A:$A)-3),"")</f>
        <v>307.72544303797463</v>
      </c>
      <c r="X123" s="131">
        <f>IFERROR('Price History'!C3+(INDEX('Price History'!C:C,MATCH(9.99E+307,'Returns (Calc)'!$A:$A)+1)-'Price History'!C3)*(ROW()-3)/(MATCH(9.99E+307,'Returns (Calc)'!$A:$A)-3),"")</f>
        <v>168.58759493670885</v>
      </c>
      <c r="Y123" s="131">
        <f>IFERROR('Price History'!D3+(INDEX('Price History'!D:D,MATCH(9.99E+307,'Returns (Calc)'!$A:$A)+1)-'Price History'!D3)*(ROW()-3)/(MATCH(9.99E+307,'Returns (Calc)'!$A:$A)-3),"")</f>
        <v>1558.1872151898733</v>
      </c>
      <c r="Z123" s="131">
        <f>IFERROR('Price History'!E3+(INDEX('Price History'!E:E,MATCH(9.99E+307,'Returns (Calc)'!$A:$A)+1)-'Price History'!E3)*(ROW()-3)/(MATCH(9.99E+307,'Returns (Calc)'!$A:$A)-3),"")</f>
        <v>289.44810126582274</v>
      </c>
      <c r="AA123" s="131">
        <f>IFERROR('Price History'!F3+(INDEX('Price History'!F:F,MATCH(9.99E+307,'Returns (Calc)'!$A:$A)+1)-'Price History'!F3)*(ROW()-3)/(MATCH(9.99E+307,'Returns (Calc)'!$A:$A)-3),"")</f>
        <v>215.04101265822788</v>
      </c>
      <c r="AB123" s="131">
        <f>IFERROR('Price History'!G3+(INDEX('Price History'!G:G,MATCH(9.99E+307,'Returns (Calc)'!$A:$A)+1)-'Price History'!G3)*(ROW()-3)/(MATCH(9.99E+307,'Returns (Calc)'!$A:$A)-3),"")</f>
        <v>167.79810126582279</v>
      </c>
      <c r="AC123" s="131">
        <f>IFERROR('Price History'!H3+(INDEX('Price History'!H:H,MATCH(9.99E+307,'Returns (Calc)'!$A:$A)+1)-'Price History'!H3)*(ROW()-3)/(MATCH(9.99E+307,'Returns (Calc)'!$A:$A)-3),"")</f>
        <v>832.99354430379753</v>
      </c>
      <c r="AD123" s="131">
        <f>IFERROR('Price History'!I3+(INDEX('Price History'!I:I,MATCH(9.99E+307,'Returns (Calc)'!$A:$A)+1)-'Price History'!I3)*(ROW()-3)/(MATCH(9.99E+307,'Returns (Calc)'!$A:$A)-3),"")</f>
        <v>188.21050632911391</v>
      </c>
      <c r="AE123" s="131">
        <f>IFERROR('Price History'!J3+(INDEX('Price History'!J:J,MATCH(9.99E+307,'Returns (Calc)'!$A:$A)+1)-'Price History'!J3)*(ROW()-3)/(MATCH(9.99E+307,'Returns (Calc)'!$A:$A)-3),"")</f>
        <v>124.80455696202532</v>
      </c>
      <c r="AF123" s="131">
        <f>IFERROR('Price History'!K3+(INDEX('Price History'!K:K,MATCH(9.99E+307,'Returns (Calc)'!$A:$A)+1)-'Price History'!K3)*(ROW()-3)/(MATCH(9.99E+307,'Returns (Calc)'!$A:$A)-3),"")</f>
        <v>147.04139240506328</v>
      </c>
      <c r="AG123" s="131">
        <f>IFERROR('Price History'!L3+(INDEX('Price History'!L:L,MATCH(9.99E+307,'Returns (Calc)'!$A:$A)+1)-'Price History'!L3)*(ROW()-3)/(MATCH(9.99E+307,'Returns (Calc)'!$A:$A)-3),"")</f>
        <v>379.69683544303797</v>
      </c>
      <c r="AH123" s="131">
        <f>IFERROR('Price History'!M3+(INDEX('Price History'!M:M,MATCH(9.99E+307,'Returns (Calc)'!$A:$A)+1)-'Price History'!M3)*(ROW()-3)/(MATCH(9.99E+307,'Returns (Calc)'!$A:$A)-3),"")</f>
        <v>200.67316455696204</v>
      </c>
      <c r="AI123" s="131">
        <f>IFERROR('Price History'!N3+(INDEX('Price History'!N:N,MATCH(9.99E+307,'Returns (Calc)'!$A:$A)+1)-'Price History'!N3)*(ROW()-3)/(MATCH(9.99E+307,'Returns (Calc)'!$A:$A)-3),"")</f>
        <v>467.25189873417725</v>
      </c>
      <c r="AJ123" s="131">
        <f>IFERROR('Price History'!O3+(INDEX('Price History'!O:O,MATCH(9.99E+307,'Returns (Calc)'!$A:$A)+1)-'Price History'!O3)*(ROW()-3)/(MATCH(9.99E+307,'Returns (Calc)'!$A:$A)-3),"")</f>
        <v>109.27455696202531</v>
      </c>
      <c r="AK123" s="131">
        <f>IFERROR('Price History'!Q3+(INDEX('Price History'!Q:Q,MATCH(9.99E+307,'Returns (Calc)'!$A:$A)+1)-'Price History'!Q3)*(ROW()-3)/(MATCH(9.99E+307,'Returns (Calc)'!$A:$A)-3),"")</f>
        <v>52.724050632911393</v>
      </c>
      <c r="AL123" s="131">
        <f>IFERROR('Price History'!R3+(INDEX('Price History'!R:R,MATCH(9.99E+307,'Returns (Calc)'!$A:$A)+1)-'Price History'!R3)*(ROW()-3)/(MATCH(9.99E+307,'Returns (Calc)'!$A:$A)-3),"")</f>
        <v>54.652151898734175</v>
      </c>
      <c r="AM123" s="131">
        <f>IFERROR('Price History'!S3+(INDEX('Price History'!S:S,MATCH(9.99E+307,'Returns (Calc)'!$A:$A)+1)-'Price History'!S3)*(ROW()-3)/(MATCH(9.99E+307,'Returns (Calc)'!$A:$A)-3),"")</f>
        <v>130.23759493670886</v>
      </c>
      <c r="AN123" s="131">
        <f>IFERROR('Price History'!T3+(INDEX('Price History'!T:T,MATCH(9.99E+307,'Returns (Calc)'!$A:$A)+1)-'Price History'!T3)*(ROW()-3)/(MATCH(9.99E+307,'Returns (Calc)'!$A:$A)-3),"")</f>
        <v>45.427341772151898</v>
      </c>
      <c r="AO123" s="132">
        <f>IFERROR('Price History'!V3+(INDEX('Price History'!V:V,MATCH(9.99E+307,'Returns (Calc)'!$A:$A)+1)-'Price History'!V3)*(ROW()-3)/(MATCH(9.99E+307,'Returns (Calc)'!$A:$A)-3),"")</f>
        <v>330.5894936708861</v>
      </c>
      <c r="AP123" s="130">
        <f>IFERROR(IF(OR(NOT(ISNUMBER('Price History'!W124)),NOT(ISNUMBER('Price History'!W123)),'Price History'!W123=0),"",'Price History'!W124/'Price History'!W123-1),"")</f>
        <v>1.7224409448818756E-2</v>
      </c>
      <c r="AQ123" s="130">
        <f>IFERROR(IF(OR(NOT(ISNUMBER('Price History'!X124)),NOT(ISNUMBER('Price History'!X123)),'Price History'!X123=0),"",'Price History'!X124/'Price History'!X123-1),"")</f>
        <v>-2.0083866696093633E-2</v>
      </c>
      <c r="AR123" s="130">
        <f>IFERROR(IF(OR(NOT(ISNUMBER('Price History'!Y124)),NOT(ISNUMBER('Price History'!Y123)),'Price History'!Y123=0),"",'Price History'!Y124/'Price History'!Y123-1),"")</f>
        <v>1.6299314687905131E-2</v>
      </c>
      <c r="AS123" s="130">
        <f>IFERROR(IF(OR(NOT(ISNUMBER('Price History'!Z124)),NOT(ISNUMBER('Price History'!Z123)),'Price History'!Z123=0),"",'Price History'!Z124/'Price History'!Z123-1),"")</f>
        <v>2.6259847442791084E-3</v>
      </c>
      <c r="AT123" s="130">
        <f>IFERROR(IF(OR(NOT(ISNUMBER('Price History'!AA124)),NOT(ISNUMBER('Price History'!AA123)),'Price History'!AA123=0),"",'Price History'!AA124/'Price History'!AA123-1),"")</f>
        <v>-1.6815034619188984E-2</v>
      </c>
    </row>
    <row r="124" spans="1:46" ht="15" customHeight="1" x14ac:dyDescent="0.2">
      <c r="A124" s="128">
        <f>IF('Price History'!A125="","",'Price History'!A125)</f>
        <v>46038</v>
      </c>
      <c r="B124" s="129">
        <f>IFERROR(IF(OR(NOT(ISNUMBER('Price History'!B125)),NOT(ISNUMBER('Price History'!B124)),'Price History'!B124=0),"",'Price History'!B125/'Price History'!B124-1),"")</f>
        <v>-0.11328043120227571</v>
      </c>
      <c r="C124" s="129">
        <f>IFERROR(IF(OR(NOT(ISNUMBER('Price History'!C125)),NOT(ISNUMBER('Price History'!C124)),'Price History'!C124=0),"",'Price History'!C125/'Price History'!C124-1),"")</f>
        <v>5.6473268776955132E-2</v>
      </c>
      <c r="D124" s="129">
        <f>IFERROR(IF(OR(NOT(ISNUMBER('Price History'!D125)),NOT(ISNUMBER('Price History'!D124)),'Price History'!D124=0),"",'Price History'!D125/'Price History'!D124-1),"")</f>
        <v>6.647788671625432E-2</v>
      </c>
      <c r="E124" s="129">
        <f>IFERROR(IF(OR(NOT(ISNUMBER('Price History'!E125)),NOT(ISNUMBER('Price History'!E124)),'Price History'!E124=0),"",'Price History'!E125/'Price History'!E124-1),"")</f>
        <v>1.9528972834324421E-2</v>
      </c>
      <c r="F124" s="129">
        <f>IFERROR(IF(OR(NOT(ISNUMBER('Price History'!F125)),NOT(ISNUMBER('Price History'!F124)),'Price History'!F124=0),"",'Price History'!F125/'Price History'!F124-1),"")</f>
        <v>-3.5529111772205746E-2</v>
      </c>
      <c r="G124" s="129">
        <f>IFERROR(IF(OR(NOT(ISNUMBER('Price History'!G125)),NOT(ISNUMBER('Price History'!G124)),'Price History'!G124=0),"",'Price History'!G125/'Price History'!G124-1),"")</f>
        <v>0.11987381703470024</v>
      </c>
      <c r="H124" s="129">
        <f>IFERROR(IF(OR(NOT(ISNUMBER('Price History'!H125)),NOT(ISNUMBER('Price History'!H124)),'Price History'!H124=0),"",'Price History'!H125/'Price History'!H124-1),"")</f>
        <v>5.1175737191568427E-2</v>
      </c>
      <c r="I124" s="129">
        <f>IFERROR(IF(OR(NOT(ISNUMBER('Price History'!I125)),NOT(ISNUMBER('Price History'!I124)),'Price History'!I124=0),"",'Price History'!I125/'Price History'!I124-1),"")</f>
        <v>7.4282925771296249E-3</v>
      </c>
      <c r="J124" s="129">
        <f>IFERROR(IF(OR(NOT(ISNUMBER('Price History'!J125)),NOT(ISNUMBER('Price History'!J124)),'Price History'!J124=0),"",'Price History'!J125/'Price History'!J124-1),"")</f>
        <v>2.9421069281872825E-2</v>
      </c>
      <c r="K124" s="129">
        <f>IFERROR(IF(OR(NOT(ISNUMBER('Price History'!K125)),NOT(ISNUMBER('Price History'!K124)),'Price History'!K124=0),"",'Price History'!K125/'Price History'!K124-1),"")</f>
        <v>-3.6790805115781144E-2</v>
      </c>
      <c r="L124" s="129">
        <f>IFERROR(IF(OR(NOT(ISNUMBER('Price History'!L125)),NOT(ISNUMBER('Price History'!L124)),'Price History'!L124=0),"",'Price History'!L125/'Price History'!L124-1),"")</f>
        <v>5.7986359814393929E-2</v>
      </c>
      <c r="M124" s="129">
        <f>IFERROR(IF(OR(NOT(ISNUMBER('Price History'!M125)),NOT(ISNUMBER('Price History'!M124)),'Price History'!M124=0),"",'Price History'!M125/'Price History'!M124-1),"")</f>
        <v>8.1605187496176734E-2</v>
      </c>
      <c r="N124" s="129">
        <f>IFERROR(IF(OR(NOT(ISNUMBER('Price History'!N125)),NOT(ISNUMBER('Price History'!N124)),'Price History'!N124=0),"",'Price History'!N125/'Price History'!N124-1),"")</f>
        <v>-4.8506014745828496E-2</v>
      </c>
      <c r="O124" s="129">
        <f>IFERROR(IF(OR(NOT(ISNUMBER('Price History'!O125)),NOT(ISNUMBER('Price History'!O124)),'Price History'!O124=0),"",'Price History'!O125/'Price History'!O124-1),"")</f>
        <v>1.1005549807167725E-2</v>
      </c>
      <c r="P124" s="129">
        <f>IFERROR(IF(OR(NOT(ISNUMBER('Price History'!P125)),NOT(ISNUMBER('Price History'!P124)),'Price History'!P124=0),"",'Price History'!P125/'Price History'!P124-1),"")</f>
        <v>1.3008930454960987E-2</v>
      </c>
      <c r="Q124" s="129">
        <f>IFERROR(IF(OR(NOT(ISNUMBER('Price History'!Q125)),NOT(ISNUMBER('Price History'!Q124)),'Price History'!Q124=0),"",'Price History'!Q125/'Price History'!Q124-1),"")</f>
        <v>-4.4923629829289879E-3</v>
      </c>
      <c r="R124" s="129">
        <f>IFERROR(IF(OR(NOT(ISNUMBER('Price History'!R125)),NOT(ISNUMBER('Price History'!R124)),'Price History'!R124=0),"",'Price History'!R125/'Price History'!R124-1),"")</f>
        <v>-4.0665434380776633E-3</v>
      </c>
      <c r="S124" s="129">
        <f>IFERROR(IF(OR(NOT(ISNUMBER('Price History'!S125)),NOT(ISNUMBER('Price History'!S124)),'Price History'!S124=0),"",'Price History'!S125/'Price History'!S124-1),"")</f>
        <v>-2.5144581342717576E-4</v>
      </c>
      <c r="T124" s="129">
        <f>IFERROR(IF(OR(NOT(ISNUMBER('Price History'!T125)),NOT(ISNUMBER('Price History'!T124)),'Price History'!T124=0),"",'Price History'!T125/'Price History'!T124-1),"")</f>
        <v>-2.0413243714214602E-2</v>
      </c>
      <c r="U124" s="129">
        <f>IFERROR(IF(OR(NOT(ISNUMBER('Price History'!U125)),NOT(ISNUMBER('Price History'!U124)),'Price History'!U124=0),"",'Price History'!U125/'Price History'!U124-1),"")</f>
        <v>1.2562814070351758E-2</v>
      </c>
      <c r="V124" s="130">
        <f>IFERROR(IF(OR(NOT(ISNUMBER('Price History'!V125)),NOT(ISNUMBER('Price History'!V124)),'Price History'!V124=0),"",'Price History'!V125/'Price History'!V124-1),"")</f>
        <v>-6.1378278877128434E-2</v>
      </c>
      <c r="W124" s="131">
        <f>IFERROR('Price History'!B3+(INDEX('Price History'!B:B,MATCH(9.99E+307,'Returns (Calc)'!$A:$A)+1)-'Price History'!B3)*(ROW()-3)/(MATCH(9.99E+307,'Returns (Calc)'!$A:$A)-3),"")</f>
        <v>305.88240506329112</v>
      </c>
      <c r="X124" s="131">
        <f>IFERROR('Price History'!C3+(INDEX('Price History'!C:C,MATCH(9.99E+307,'Returns (Calc)'!$A:$A)+1)-'Price History'!C3)*(ROW()-3)/(MATCH(9.99E+307,'Returns (Calc)'!$A:$A)-3),"")</f>
        <v>169.60765822784811</v>
      </c>
      <c r="Y124" s="131">
        <f>IFERROR('Price History'!D3+(INDEX('Price History'!D:D,MATCH(9.99E+307,'Returns (Calc)'!$A:$A)+1)-'Price History'!D3)*(ROW()-3)/(MATCH(9.99E+307,'Returns (Calc)'!$A:$A)-3),"")</f>
        <v>1566.3220253164557</v>
      </c>
      <c r="Z124" s="131">
        <f>IFERROR('Price History'!E3+(INDEX('Price History'!E:E,MATCH(9.99E+307,'Returns (Calc)'!$A:$A)+1)-'Price History'!E3)*(ROW()-3)/(MATCH(9.99E+307,'Returns (Calc)'!$A:$A)-3),"")</f>
        <v>291.17683544303793</v>
      </c>
      <c r="AA124" s="131">
        <f>IFERROR('Price History'!F3+(INDEX('Price History'!F:F,MATCH(9.99E+307,'Returns (Calc)'!$A:$A)+1)-'Price History'!F3)*(ROW()-3)/(MATCH(9.99E+307,'Returns (Calc)'!$A:$A)-3),"")</f>
        <v>216.48835443037979</v>
      </c>
      <c r="AB124" s="131">
        <f>IFERROR('Price History'!G3+(INDEX('Price History'!G:G,MATCH(9.99E+307,'Returns (Calc)'!$A:$A)+1)-'Price History'!G3)*(ROW()-3)/(MATCH(9.99E+307,'Returns (Calc)'!$A:$A)-3),"")</f>
        <v>168.82683544303796</v>
      </c>
      <c r="AC124" s="131">
        <f>IFERROR('Price History'!H3+(INDEX('Price History'!H:H,MATCH(9.99E+307,'Returns (Calc)'!$A:$A)+1)-'Price History'!H3)*(ROW()-3)/(MATCH(9.99E+307,'Returns (Calc)'!$A:$A)-3),"")</f>
        <v>839.35924050632912</v>
      </c>
      <c r="AD124" s="131">
        <f>IFERROR('Price History'!I3+(INDEX('Price History'!I:I,MATCH(9.99E+307,'Returns (Calc)'!$A:$A)+1)-'Price History'!I3)*(ROW()-3)/(MATCH(9.99E+307,'Returns (Calc)'!$A:$A)-3),"")</f>
        <v>189.41417721518988</v>
      </c>
      <c r="AE124" s="131">
        <f>IFERROR('Price History'!J3+(INDEX('Price History'!J:J,MATCH(9.99E+307,'Returns (Calc)'!$A:$A)+1)-'Price History'!J3)*(ROW()-3)/(MATCH(9.99E+307,'Returns (Calc)'!$A:$A)-3),"")</f>
        <v>124.91259493670886</v>
      </c>
      <c r="AF124" s="131">
        <f>IFERROR('Price History'!K3+(INDEX('Price History'!K:K,MATCH(9.99E+307,'Returns (Calc)'!$A:$A)+1)-'Price History'!K3)*(ROW()-3)/(MATCH(9.99E+307,'Returns (Calc)'!$A:$A)-3),"")</f>
        <v>148.13898734177215</v>
      </c>
      <c r="AG124" s="131">
        <f>IFERROR('Price History'!L3+(INDEX('Price History'!L:L,MATCH(9.99E+307,'Returns (Calc)'!$A:$A)+1)-'Price History'!L3)*(ROW()-3)/(MATCH(9.99E+307,'Returns (Calc)'!$A:$A)-3),"")</f>
        <v>382.1463924050633</v>
      </c>
      <c r="AH124" s="131">
        <f>IFERROR('Price History'!M3+(INDEX('Price History'!M:M,MATCH(9.99E+307,'Returns (Calc)'!$A:$A)+1)-'Price History'!M3)*(ROW()-3)/(MATCH(9.99E+307,'Returns (Calc)'!$A:$A)-3),"")</f>
        <v>202.02860759493672</v>
      </c>
      <c r="AI124" s="131">
        <f>IFERROR('Price History'!N3+(INDEX('Price History'!N:N,MATCH(9.99E+307,'Returns (Calc)'!$A:$A)+1)-'Price History'!N3)*(ROW()-3)/(MATCH(9.99E+307,'Returns (Calc)'!$A:$A)-3),"")</f>
        <v>468.23816455696203</v>
      </c>
      <c r="AJ124" s="131">
        <f>IFERROR('Price History'!O3+(INDEX('Price History'!O:O,MATCH(9.99E+307,'Returns (Calc)'!$A:$A)+1)-'Price History'!O3)*(ROW()-3)/(MATCH(9.99E+307,'Returns (Calc)'!$A:$A)-3),"")</f>
        <v>109.55759493670885</v>
      </c>
      <c r="AK124" s="131">
        <f>IFERROR('Price History'!Q3+(INDEX('Price History'!Q:Q,MATCH(9.99E+307,'Returns (Calc)'!$A:$A)+1)-'Price History'!Q3)*(ROW()-3)/(MATCH(9.99E+307,'Returns (Calc)'!$A:$A)-3),"")</f>
        <v>53.163417721518982</v>
      </c>
      <c r="AL124" s="131">
        <f>IFERROR('Price History'!R3+(INDEX('Price History'!R:R,MATCH(9.99E+307,'Returns (Calc)'!$A:$A)+1)-'Price History'!R3)*(ROW()-3)/(MATCH(9.99E+307,'Returns (Calc)'!$A:$A)-3),"")</f>
        <v>54.820253164556959</v>
      </c>
      <c r="AM124" s="131">
        <f>IFERROR('Price History'!S3+(INDEX('Price History'!S:S,MATCH(9.99E+307,'Returns (Calc)'!$A:$A)+1)-'Price History'!S3)*(ROW()-3)/(MATCH(9.99E+307,'Returns (Calc)'!$A:$A)-3),"")</f>
        <v>130.84265822784809</v>
      </c>
      <c r="AN124" s="131">
        <f>IFERROR('Price History'!T3+(INDEX('Price History'!T:T,MATCH(9.99E+307,'Returns (Calc)'!$A:$A)+1)-'Price History'!T3)*(ROW()-3)/(MATCH(9.99E+307,'Returns (Calc)'!$A:$A)-3),"")</f>
        <v>45.595569620253166</v>
      </c>
      <c r="AO124" s="132">
        <f>IFERROR('Price History'!V3+(INDEX('Price History'!V:V,MATCH(9.99E+307,'Returns (Calc)'!$A:$A)+1)-'Price History'!V3)*(ROW()-3)/(MATCH(9.99E+307,'Returns (Calc)'!$A:$A)-3),"")</f>
        <v>331.38082278481011</v>
      </c>
      <c r="AP124" s="130">
        <f>IFERROR(IF(OR(NOT(ISNUMBER('Price History'!W125)),NOT(ISNUMBER('Price History'!W124)),'Price History'!W124=0),"",'Price History'!W125/'Price History'!W124-1),"")</f>
        <v>1.098901098901095E-2</v>
      </c>
      <c r="AQ124" s="130">
        <f>IFERROR(IF(OR(NOT(ISNUMBER('Price History'!X125)),NOT(ISNUMBER('Price History'!X124)),'Price History'!X124=0),"",'Price History'!X125/'Price History'!X124-1),"")</f>
        <v>2.9054054054054035E-2</v>
      </c>
      <c r="AR124" s="130">
        <f>IFERROR(IF(OR(NOT(ISNUMBER('Price History'!Y125)),NOT(ISNUMBER('Price History'!Y124)),'Price History'!Y124=0),"",'Price History'!Y125/'Price History'!Y124-1),"")</f>
        <v>2.7337342810280774E-3</v>
      </c>
      <c r="AS124" s="130">
        <f>IFERROR(IF(OR(NOT(ISNUMBER('Price History'!Z125)),NOT(ISNUMBER('Price History'!Z124)),'Price History'!Z124=0),"",'Price History'!Z125/'Price History'!Z124-1),"")</f>
        <v>1.0975305562484383E-2</v>
      </c>
      <c r="AT124" s="130">
        <f>IFERROR(IF(OR(NOT(ISNUMBER('Price History'!AA125)),NOT(ISNUMBER('Price History'!AA124)),'Price History'!AA124=0),"",'Price History'!AA125/'Price History'!AA124-1),"")</f>
        <v>-1.6320143080706395E-2</v>
      </c>
    </row>
    <row r="125" spans="1:46" ht="15" customHeight="1" x14ac:dyDescent="0.2">
      <c r="A125" s="128">
        <f>IF('Price History'!A126="","",'Price History'!A126)</f>
        <v>46045</v>
      </c>
      <c r="B125" s="129">
        <f>IFERROR(IF(OR(NOT(ISNUMBER('Price History'!B126)),NOT(ISNUMBER('Price History'!B125)),'Price History'!B125=0),"",'Price History'!B126/'Price History'!B125-1),"")</f>
        <v>1.6716196136701278E-2</v>
      </c>
      <c r="C125" s="129">
        <f>IFERROR(IF(OR(NOT(ISNUMBER('Price History'!C126)),NOT(ISNUMBER('Price History'!C125)),'Price History'!C125=0),"",'Price History'!C126/'Price History'!C125-1),"")</f>
        <v>5.0142494030655405E-2</v>
      </c>
      <c r="D125" s="129">
        <f>IFERROR(IF(OR(NOT(ISNUMBER('Price History'!D126)),NOT(ISNUMBER('Price History'!D125)),'Price History'!D125=0),"",'Price History'!D126/'Price History'!D125-1),"")</f>
        <v>2.2432270518538466E-2</v>
      </c>
      <c r="E125" s="129">
        <f>IFERROR(IF(OR(NOT(ISNUMBER('Price History'!E126)),NOT(ISNUMBER('Price History'!E125)),'Price History'!E125=0),"",'Price History'!E126/'Price History'!E125-1),"")</f>
        <v>-8.9999428212018895E-2</v>
      </c>
      <c r="F125" s="129">
        <f>IFERROR(IF(OR(NOT(ISNUMBER('Price History'!F126)),NOT(ISNUMBER('Price History'!F125)),'Price History'!F125=0),"",'Price History'!F126/'Price History'!F125-1),"")</f>
        <v>-3.0845157310301907E-3</v>
      </c>
      <c r="G125" s="129">
        <f>IFERROR(IF(OR(NOT(ISNUMBER('Price History'!G126)),NOT(ISNUMBER('Price History'!G125)),'Price History'!G125=0),"",'Price History'!G126/'Price History'!G125-1),"")</f>
        <v>-3.5083226632522391E-2</v>
      </c>
      <c r="H125" s="129">
        <f>IFERROR(IF(OR(NOT(ISNUMBER('Price History'!H126)),NOT(ISNUMBER('Price History'!H125)),'Price History'!H125=0),"",'Price History'!H126/'Price History'!H125-1),"")</f>
        <v>0.1017267060186462</v>
      </c>
      <c r="I125" s="129">
        <f>IFERROR(IF(OR(NOT(ISNUMBER('Price History'!I126)),NOT(ISNUMBER('Price History'!I125)),'Price History'!I125=0),"",'Price History'!I126/'Price History'!I125-1),"")</f>
        <v>7.6964477933261222E-3</v>
      </c>
      <c r="J125" s="129">
        <f>IFERROR(IF(OR(NOT(ISNUMBER('Price History'!J126)),NOT(ISNUMBER('Price History'!J125)),'Price History'!J125=0),"",'Price History'!J126/'Price History'!J125-1),"")</f>
        <v>-4.5482483097725845E-2</v>
      </c>
      <c r="K125" s="129">
        <f>IFERROR(IF(OR(NOT(ISNUMBER('Price History'!K126)),NOT(ISNUMBER('Price History'!K125)),'Price History'!K125=0),"",'Price History'!K126/'Price History'!K125-1),"")</f>
        <v>-7.9550772110436041E-3</v>
      </c>
      <c r="L125" s="129">
        <f>IFERROR(IF(OR(NOT(ISNUMBER('Price History'!L126)),NOT(ISNUMBER('Price History'!L125)),'Price History'!L125=0),"",'Price History'!L126/'Price History'!L125-1),"")</f>
        <v>-2.1988049333294124E-2</v>
      </c>
      <c r="M125" s="129">
        <f>IFERROR(IF(OR(NOT(ISNUMBER('Price History'!M126)),NOT(ISNUMBER('Price History'!M125)),'Price History'!M125=0),"",'Price History'!M126/'Price History'!M125-1),"")</f>
        <v>3.138962728352479E-2</v>
      </c>
      <c r="N125" s="129">
        <f>IFERROR(IF(OR(NOT(ISNUMBER('Price History'!N126)),NOT(ISNUMBER('Price History'!N125)),'Price History'!N125=0),"",'Price History'!N126/'Price History'!N125-1),"")</f>
        <v>6.1287837592894689E-2</v>
      </c>
      <c r="O125" s="129">
        <f>IFERROR(IF(OR(NOT(ISNUMBER('Price History'!O126)),NOT(ISNUMBER('Price History'!O125)),'Price History'!O125=0),"",'Price History'!O126/'Price History'!O125-1),"")</f>
        <v>-1.8608113137341675E-4</v>
      </c>
      <c r="P125" s="129">
        <f>IFERROR(IF(OR(NOT(ISNUMBER('Price History'!P126)),NOT(ISNUMBER('Price History'!P125)),'Price History'!P125=0),"",'Price History'!P126/'Price History'!P125-1),"")</f>
        <v>2.4989587671802038E-3</v>
      </c>
      <c r="Q125" s="129">
        <f>IFERROR(IF(OR(NOT(ISNUMBER('Price History'!Q126)),NOT(ISNUMBER('Price History'!Q125)),'Price History'!Q125=0),"",'Price History'!Q126/'Price History'!Q125-1),"")</f>
        <v>-3.0084235860428077E-4</v>
      </c>
      <c r="R125" s="129">
        <f>IFERROR(IF(OR(NOT(ISNUMBER('Price History'!R126)),NOT(ISNUMBER('Price History'!R125)),'Price History'!R125=0),"",'Price History'!R126/'Price History'!R125-1),"")</f>
        <v>5.1967334818112665E-3</v>
      </c>
      <c r="S125" s="129">
        <f>IFERROR(IF(OR(NOT(ISNUMBER('Price History'!S126)),NOT(ISNUMBER('Price History'!S125)),'Price History'!S125=0),"",'Price History'!S126/'Price History'!S125-1),"")</f>
        <v>-1.7270288397049027E-2</v>
      </c>
      <c r="T125" s="129">
        <f>IFERROR(IF(OR(NOT(ISNUMBER('Price History'!T126)),NOT(ISNUMBER('Price History'!T125)),'Price History'!T125=0),"",'Price History'!T126/'Price History'!T125-1),"")</f>
        <v>6.3532401524777349E-3</v>
      </c>
      <c r="U125" s="129">
        <f>IFERROR(IF(OR(NOT(ISNUMBER('Price History'!U126)),NOT(ISNUMBER('Price History'!U125)),'Price History'!U125=0),"",'Price History'!U126/'Price History'!U125-1),"")</f>
        <v>8.1531371853953427E-3</v>
      </c>
      <c r="V125" s="130">
        <f>IFERROR(IF(OR(NOT(ISNUMBER('Price History'!V126)),NOT(ISNUMBER('Price History'!V125)),'Price History'!V125=0),"",'Price History'!V126/'Price History'!V125-1),"")</f>
        <v>-6.4656493227920331E-3</v>
      </c>
      <c r="W125" s="131">
        <f>IFERROR('Price History'!B3+(INDEX('Price History'!B:B,MATCH(9.99E+307,'Returns (Calc)'!$A:$A)+1)-'Price History'!B3)*(ROW()-3)/(MATCH(9.99E+307,'Returns (Calc)'!$A:$A)-3),"")</f>
        <v>304.03936708860761</v>
      </c>
      <c r="X125" s="131">
        <f>IFERROR('Price History'!C3+(INDEX('Price History'!C:C,MATCH(9.99E+307,'Returns (Calc)'!$A:$A)+1)-'Price History'!C3)*(ROW()-3)/(MATCH(9.99E+307,'Returns (Calc)'!$A:$A)-3),"")</f>
        <v>170.62772151898733</v>
      </c>
      <c r="Y125" s="131">
        <f>IFERROR('Price History'!D3+(INDEX('Price History'!D:D,MATCH(9.99E+307,'Returns (Calc)'!$A:$A)+1)-'Price History'!D3)*(ROW()-3)/(MATCH(9.99E+307,'Returns (Calc)'!$A:$A)-3),"")</f>
        <v>1574.456835443038</v>
      </c>
      <c r="Z125" s="131">
        <f>IFERROR('Price History'!E3+(INDEX('Price History'!E:E,MATCH(9.99E+307,'Returns (Calc)'!$A:$A)+1)-'Price History'!E3)*(ROW()-3)/(MATCH(9.99E+307,'Returns (Calc)'!$A:$A)-3),"")</f>
        <v>292.90556962025317</v>
      </c>
      <c r="AA125" s="131">
        <f>IFERROR('Price History'!F3+(INDEX('Price History'!F:F,MATCH(9.99E+307,'Returns (Calc)'!$A:$A)+1)-'Price History'!F3)*(ROW()-3)/(MATCH(9.99E+307,'Returns (Calc)'!$A:$A)-3),"")</f>
        <v>217.93569620253163</v>
      </c>
      <c r="AB125" s="131">
        <f>IFERROR('Price History'!G3+(INDEX('Price History'!G:G,MATCH(9.99E+307,'Returns (Calc)'!$A:$A)+1)-'Price History'!G3)*(ROW()-3)/(MATCH(9.99E+307,'Returns (Calc)'!$A:$A)-3),"")</f>
        <v>169.85556962025316</v>
      </c>
      <c r="AC125" s="131">
        <f>IFERROR('Price History'!H3+(INDEX('Price History'!H:H,MATCH(9.99E+307,'Returns (Calc)'!$A:$A)+1)-'Price History'!H3)*(ROW()-3)/(MATCH(9.99E+307,'Returns (Calc)'!$A:$A)-3),"")</f>
        <v>845.72493670886081</v>
      </c>
      <c r="AD125" s="131">
        <f>IFERROR('Price History'!I3+(INDEX('Price History'!I:I,MATCH(9.99E+307,'Returns (Calc)'!$A:$A)+1)-'Price History'!I3)*(ROW()-3)/(MATCH(9.99E+307,'Returns (Calc)'!$A:$A)-3),"")</f>
        <v>190.61784810126582</v>
      </c>
      <c r="AE125" s="131">
        <f>IFERROR('Price History'!J3+(INDEX('Price History'!J:J,MATCH(9.99E+307,'Returns (Calc)'!$A:$A)+1)-'Price History'!J3)*(ROW()-3)/(MATCH(9.99E+307,'Returns (Calc)'!$A:$A)-3),"")</f>
        <v>125.0206329113924</v>
      </c>
      <c r="AF125" s="131">
        <f>IFERROR('Price History'!K3+(INDEX('Price History'!K:K,MATCH(9.99E+307,'Returns (Calc)'!$A:$A)+1)-'Price History'!K3)*(ROW()-3)/(MATCH(9.99E+307,'Returns (Calc)'!$A:$A)-3),"")</f>
        <v>149.23658227848102</v>
      </c>
      <c r="AG125" s="131">
        <f>IFERROR('Price History'!L3+(INDEX('Price History'!L:L,MATCH(9.99E+307,'Returns (Calc)'!$A:$A)+1)-'Price History'!L3)*(ROW()-3)/(MATCH(9.99E+307,'Returns (Calc)'!$A:$A)-3),"")</f>
        <v>384.59594936708856</v>
      </c>
      <c r="AH125" s="131">
        <f>IFERROR('Price History'!M3+(INDEX('Price History'!M:M,MATCH(9.99E+307,'Returns (Calc)'!$A:$A)+1)-'Price History'!M3)*(ROW()-3)/(MATCH(9.99E+307,'Returns (Calc)'!$A:$A)-3),"")</f>
        <v>203.3840506329114</v>
      </c>
      <c r="AI125" s="131">
        <f>IFERROR('Price History'!N3+(INDEX('Price History'!N:N,MATCH(9.99E+307,'Returns (Calc)'!$A:$A)+1)-'Price History'!N3)*(ROW()-3)/(MATCH(9.99E+307,'Returns (Calc)'!$A:$A)-3),"")</f>
        <v>469.22443037974688</v>
      </c>
      <c r="AJ125" s="131">
        <f>IFERROR('Price History'!O3+(INDEX('Price History'!O:O,MATCH(9.99E+307,'Returns (Calc)'!$A:$A)+1)-'Price History'!O3)*(ROW()-3)/(MATCH(9.99E+307,'Returns (Calc)'!$A:$A)-3),"")</f>
        <v>109.84063291139242</v>
      </c>
      <c r="AK125" s="131">
        <f>IFERROR('Price History'!Q3+(INDEX('Price History'!Q:Q,MATCH(9.99E+307,'Returns (Calc)'!$A:$A)+1)-'Price History'!Q3)*(ROW()-3)/(MATCH(9.99E+307,'Returns (Calc)'!$A:$A)-3),"")</f>
        <v>53.602784810126579</v>
      </c>
      <c r="AL125" s="131">
        <f>IFERROR('Price History'!R3+(INDEX('Price History'!R:R,MATCH(9.99E+307,'Returns (Calc)'!$A:$A)+1)-'Price History'!R3)*(ROW()-3)/(MATCH(9.99E+307,'Returns (Calc)'!$A:$A)-3),"")</f>
        <v>54.988354430379744</v>
      </c>
      <c r="AM125" s="131">
        <f>IFERROR('Price History'!S3+(INDEX('Price History'!S:S,MATCH(9.99E+307,'Returns (Calc)'!$A:$A)+1)-'Price History'!S3)*(ROW()-3)/(MATCH(9.99E+307,'Returns (Calc)'!$A:$A)-3),"")</f>
        <v>131.44772151898735</v>
      </c>
      <c r="AN125" s="131">
        <f>IFERROR('Price History'!T3+(INDEX('Price History'!T:T,MATCH(9.99E+307,'Returns (Calc)'!$A:$A)+1)-'Price History'!T3)*(ROW()-3)/(MATCH(9.99E+307,'Returns (Calc)'!$A:$A)-3),"")</f>
        <v>45.763797468354426</v>
      </c>
      <c r="AO125" s="132">
        <f>IFERROR('Price History'!V3+(INDEX('Price History'!V:V,MATCH(9.99E+307,'Returns (Calc)'!$A:$A)+1)-'Price History'!V3)*(ROW()-3)/(MATCH(9.99E+307,'Returns (Calc)'!$A:$A)-3),"")</f>
        <v>332.17215189873423</v>
      </c>
      <c r="AP125" s="130">
        <f>IFERROR(IF(OR(NOT(ISNUMBER('Price History'!W126)),NOT(ISNUMBER('Price History'!W125)),'Price History'!W125=0),"",'Price History'!W126/'Price History'!W125-1),"")</f>
        <v>-7.9299972655181294E-3</v>
      </c>
      <c r="AQ125" s="130">
        <f>IFERROR(IF(OR(NOT(ISNUMBER('Price History'!X126)),NOT(ISNUMBER('Price History'!X125)),'Price History'!X125=0),"",'Price History'!X126/'Price History'!X125-1),"")</f>
        <v>2.3199824906981803E-2</v>
      </c>
      <c r="AR125" s="130">
        <f>IFERROR(IF(OR(NOT(ISNUMBER('Price History'!Y126)),NOT(ISNUMBER('Price History'!Y125)),'Price History'!Y125=0),"",'Price History'!Y126/'Price History'!Y125-1),"")</f>
        <v>-5.4525627044710312E-4</v>
      </c>
      <c r="AS125" s="130">
        <f>IFERROR(IF(OR(NOT(ISNUMBER('Price History'!Z126)),NOT(ISNUMBER('Price History'!Z125)),'Price History'!Z125=0),"",'Price History'!Z126/'Price History'!Z125-1),"")</f>
        <v>-9.6101653096471784E-2</v>
      </c>
      <c r="AT125" s="130">
        <f>IFERROR(IF(OR(NOT(ISNUMBER('Price History'!AA126)),NOT(ISNUMBER('Price History'!AA125)),'Price History'!AA125=0),"",'Price History'!AA126/'Price History'!AA125-1),"")</f>
        <v>-2.1363636363636362E-2</v>
      </c>
    </row>
    <row r="126" spans="1:46" ht="15" customHeight="1" x14ac:dyDescent="0.2">
      <c r="A126" s="128">
        <f>IF('Price History'!A127="","",'Price History'!A127)</f>
        <v>46052</v>
      </c>
      <c r="B126" s="129">
        <f>IFERROR(IF(OR(NOT(ISNUMBER('Price History'!B127)),NOT(ISNUMBER('Price History'!B126)),'Price History'!B126=0),"",'Price History'!B127/'Price History'!B126-1),"")</f>
        <v>-2.5974025974025983E-2</v>
      </c>
      <c r="C126" s="129">
        <f>IFERROR(IF(OR(NOT(ISNUMBER('Price History'!C127)),NOT(ISNUMBER('Price History'!C126)),'Price History'!C126=0),"",'Price History'!C127/'Price History'!C126-1),"")</f>
        <v>3.9606865189966367E-2</v>
      </c>
      <c r="D126" s="129">
        <f>IFERROR(IF(OR(NOT(ISNUMBER('Price History'!D127)),NOT(ISNUMBER('Price History'!D126)),'Price History'!D126=0),"",'Price History'!D127/'Price History'!D126-1),"")</f>
        <v>2.4450231481481399E-2</v>
      </c>
      <c r="E126" s="129">
        <f>IFERROR(IF(OR(NOT(ISNUMBER('Price History'!E127)),NOT(ISNUMBER('Price History'!E126)),'Price History'!E126=0),"",'Price History'!E127/'Price History'!E126-1),"")</f>
        <v>3.5124096764059143E-2</v>
      </c>
      <c r="F126" s="129">
        <f>IFERROR(IF(OR(NOT(ISNUMBER('Price History'!F127)),NOT(ISNUMBER('Price History'!F126)),'Price History'!F126=0),"",'Price History'!F127/'Price History'!F126-1),"")</f>
        <v>-2.4487270155587049E-2</v>
      </c>
      <c r="G126" s="129">
        <f>IFERROR(IF(OR(NOT(ISNUMBER('Price History'!G127)),NOT(ISNUMBER('Price History'!G126)),'Price History'!G126=0),"",'Price History'!G127/'Price History'!G126-1),"")</f>
        <v>-5.6064225053078509E-2</v>
      </c>
      <c r="H126" s="129">
        <f>IFERROR(IF(OR(NOT(ISNUMBER('Price History'!H127)),NOT(ISNUMBER('Price History'!H126)),'Price History'!H126=0),"",'Price History'!H127/'Price History'!H126-1),"")</f>
        <v>3.8105252616293495E-2</v>
      </c>
      <c r="I126" s="129">
        <f>IFERROR(IF(OR(NOT(ISNUMBER('Price History'!I127)),NOT(ISNUMBER('Price History'!I126)),'Price History'!I126=0),"",'Price History'!I127/'Price History'!I126-1),"")</f>
        <v>1.8426534209261325E-2</v>
      </c>
      <c r="J126" s="129">
        <f>IFERROR(IF(OR(NOT(ISNUMBER('Price History'!J127)),NOT(ISNUMBER('Price History'!J126)),'Price History'!J126=0),"",'Price History'!J127/'Price History'!J126-1),"")</f>
        <v>2.6802962009014886E-2</v>
      </c>
      <c r="K126" s="129">
        <f>IFERROR(IF(OR(NOT(ISNUMBER('Price History'!K127)),NOT(ISNUMBER('Price History'!K126)),'Price History'!K126=0),"",'Price History'!K127/'Price History'!K126-1),"")</f>
        <v>-0.13567216981132069</v>
      </c>
      <c r="L126" s="129">
        <f>IFERROR(IF(OR(NOT(ISNUMBER('Price History'!L127)),NOT(ISNUMBER('Price History'!L126)),'Price History'!L126=0),"",'Price History'!L127/'Price History'!L126-1),"")</f>
        <v>-1.2881478360320164E-2</v>
      </c>
      <c r="M126" s="129">
        <f>IFERROR(IF(OR(NOT(ISNUMBER('Price History'!M127)),NOT(ISNUMBER('Price History'!M126)),'Price History'!M126=0),"",'Price History'!M127/'Price History'!M126-1),"")</f>
        <v>2.02347005922352E-2</v>
      </c>
      <c r="N126" s="129">
        <f>IFERROR(IF(OR(NOT(ISNUMBER('Price History'!N127)),NOT(ISNUMBER('Price History'!N126)),'Price History'!N126=0),"",'Price History'!N127/'Price History'!N126-1),"")</f>
        <v>3.1809739330928011E-3</v>
      </c>
      <c r="O126" s="129">
        <f>IFERROR(IF(OR(NOT(ISNUMBER('Price History'!O127)),NOT(ISNUMBER('Price History'!O126)),'Price History'!O126=0),"",'Price History'!O127/'Price History'!O126-1),"")</f>
        <v>7.2585147962032082E-3</v>
      </c>
      <c r="P126" s="129">
        <f>IFERROR(IF(OR(NOT(ISNUMBER('Price History'!P127)),NOT(ISNUMBER('Price History'!P126)),'Price History'!P126=0),"",'Price History'!P127/'Price History'!P126-1),"")</f>
        <v>1.7379864284725155E-2</v>
      </c>
      <c r="Q126" s="129">
        <f>IFERROR(IF(OR(NOT(ISNUMBER('Price History'!Q127)),NOT(ISNUMBER('Price History'!Q126)),'Price History'!Q126=0),"",'Price History'!Q127/'Price History'!Q126-1),"")</f>
        <v>3.6111947035812886E-3</v>
      </c>
      <c r="R126" s="129">
        <f>IFERROR(IF(OR(NOT(ISNUMBER('Price History'!R127)),NOT(ISNUMBER('Price History'!R126)),'Price History'!R126=0),"",'Price History'!R127/'Price History'!R126-1),"")</f>
        <v>3.5081240768095601E-3</v>
      </c>
      <c r="S126" s="129">
        <f>IFERROR(IF(OR(NOT(ISNUMBER('Price History'!S127)),NOT(ISNUMBER('Price History'!S126)),'Price History'!S126=0),"",'Price History'!S127/'Price History'!S126-1),"")</f>
        <v>1.6464767104589662E-2</v>
      </c>
      <c r="T126" s="129">
        <f>IFERROR(IF(OR(NOT(ISNUMBER('Price History'!T127)),NOT(ISNUMBER('Price History'!T126)),'Price History'!T126=0),"",'Price History'!T127/'Price History'!T126-1),"")</f>
        <v>-9.8484848484848841E-3</v>
      </c>
      <c r="U126" s="129">
        <f>IFERROR(IF(OR(NOT(ISNUMBER('Price History'!U127)),NOT(ISNUMBER('Price History'!U126)),'Price History'!U126=0),"",'Price History'!U127/'Price History'!U126-1),"")</f>
        <v>2.320675105485237E-2</v>
      </c>
      <c r="V126" s="130">
        <f>IFERROR(IF(OR(NOT(ISNUMBER('Price History'!V127)),NOT(ISNUMBER('Price History'!V126)),'Price History'!V126=0),"",'Price History'!V127/'Price History'!V126-1),"")</f>
        <v>-1.3323875026986953E-2</v>
      </c>
      <c r="W126" s="131">
        <f>IFERROR('Price History'!B3+(INDEX('Price History'!B:B,MATCH(9.99E+307,'Returns (Calc)'!$A:$A)+1)-'Price History'!B3)*(ROW()-3)/(MATCH(9.99E+307,'Returns (Calc)'!$A:$A)-3),"")</f>
        <v>302.19632911392404</v>
      </c>
      <c r="X126" s="131">
        <f>IFERROR('Price History'!C3+(INDEX('Price History'!C:C,MATCH(9.99E+307,'Returns (Calc)'!$A:$A)+1)-'Price History'!C3)*(ROW()-3)/(MATCH(9.99E+307,'Returns (Calc)'!$A:$A)-3),"")</f>
        <v>171.64778481012658</v>
      </c>
      <c r="Y126" s="131">
        <f>IFERROR('Price History'!D3+(INDEX('Price History'!D:D,MATCH(9.99E+307,'Returns (Calc)'!$A:$A)+1)-'Price History'!D3)*(ROW()-3)/(MATCH(9.99E+307,'Returns (Calc)'!$A:$A)-3),"")</f>
        <v>1582.5916455696201</v>
      </c>
      <c r="Z126" s="131">
        <f>IFERROR('Price History'!E3+(INDEX('Price History'!E:E,MATCH(9.99E+307,'Returns (Calc)'!$A:$A)+1)-'Price History'!E3)*(ROW()-3)/(MATCH(9.99E+307,'Returns (Calc)'!$A:$A)-3),"")</f>
        <v>294.63430379746836</v>
      </c>
      <c r="AA126" s="131">
        <f>IFERROR('Price History'!F3+(INDEX('Price History'!F:F,MATCH(9.99E+307,'Returns (Calc)'!$A:$A)+1)-'Price History'!F3)*(ROW()-3)/(MATCH(9.99E+307,'Returns (Calc)'!$A:$A)-3),"")</f>
        <v>219.38303797468353</v>
      </c>
      <c r="AB126" s="131">
        <f>IFERROR('Price History'!G3+(INDEX('Price History'!G:G,MATCH(9.99E+307,'Returns (Calc)'!$A:$A)+1)-'Price History'!G3)*(ROW()-3)/(MATCH(9.99E+307,'Returns (Calc)'!$A:$A)-3),"")</f>
        <v>170.88430379746833</v>
      </c>
      <c r="AC126" s="131">
        <f>IFERROR('Price History'!H3+(INDEX('Price History'!H:H,MATCH(9.99E+307,'Returns (Calc)'!$A:$A)+1)-'Price History'!H3)*(ROW()-3)/(MATCH(9.99E+307,'Returns (Calc)'!$A:$A)-3),"")</f>
        <v>852.0906329113925</v>
      </c>
      <c r="AD126" s="131">
        <f>IFERROR('Price History'!I3+(INDEX('Price History'!I:I,MATCH(9.99E+307,'Returns (Calc)'!$A:$A)+1)-'Price History'!I3)*(ROW()-3)/(MATCH(9.99E+307,'Returns (Calc)'!$A:$A)-3),"")</f>
        <v>191.82151898734176</v>
      </c>
      <c r="AE126" s="131">
        <f>IFERROR('Price History'!J3+(INDEX('Price History'!J:J,MATCH(9.99E+307,'Returns (Calc)'!$A:$A)+1)-'Price History'!J3)*(ROW()-3)/(MATCH(9.99E+307,'Returns (Calc)'!$A:$A)-3),"")</f>
        <v>125.12867088607595</v>
      </c>
      <c r="AF126" s="131">
        <f>IFERROR('Price History'!K3+(INDEX('Price History'!K:K,MATCH(9.99E+307,'Returns (Calc)'!$A:$A)+1)-'Price History'!K3)*(ROW()-3)/(MATCH(9.99E+307,'Returns (Calc)'!$A:$A)-3),"")</f>
        <v>150.3341772151899</v>
      </c>
      <c r="AG126" s="131">
        <f>IFERROR('Price History'!L3+(INDEX('Price History'!L:L,MATCH(9.99E+307,'Returns (Calc)'!$A:$A)+1)-'Price History'!L3)*(ROW()-3)/(MATCH(9.99E+307,'Returns (Calc)'!$A:$A)-3),"")</f>
        <v>387.04550632911389</v>
      </c>
      <c r="AH126" s="131">
        <f>IFERROR('Price History'!M3+(INDEX('Price History'!M:M,MATCH(9.99E+307,'Returns (Calc)'!$A:$A)+1)-'Price History'!M3)*(ROW()-3)/(MATCH(9.99E+307,'Returns (Calc)'!$A:$A)-3),"")</f>
        <v>204.73949367088608</v>
      </c>
      <c r="AI126" s="131">
        <f>IFERROR('Price History'!N3+(INDEX('Price History'!N:N,MATCH(9.99E+307,'Returns (Calc)'!$A:$A)+1)-'Price History'!N3)*(ROW()-3)/(MATCH(9.99E+307,'Returns (Calc)'!$A:$A)-3),"")</f>
        <v>470.21069620253166</v>
      </c>
      <c r="AJ126" s="131">
        <f>IFERROR('Price History'!O3+(INDEX('Price History'!O:O,MATCH(9.99E+307,'Returns (Calc)'!$A:$A)+1)-'Price History'!O3)*(ROW()-3)/(MATCH(9.99E+307,'Returns (Calc)'!$A:$A)-3),"")</f>
        <v>110.12367088607596</v>
      </c>
      <c r="AK126" s="131">
        <f>IFERROR('Price History'!Q3+(INDEX('Price History'!Q:Q,MATCH(9.99E+307,'Returns (Calc)'!$A:$A)+1)-'Price History'!Q3)*(ROW()-3)/(MATCH(9.99E+307,'Returns (Calc)'!$A:$A)-3),"")</f>
        <v>54.042151898734176</v>
      </c>
      <c r="AL126" s="131">
        <f>IFERROR('Price History'!R3+(INDEX('Price History'!R:R,MATCH(9.99E+307,'Returns (Calc)'!$A:$A)+1)-'Price History'!R3)*(ROW()-3)/(MATCH(9.99E+307,'Returns (Calc)'!$A:$A)-3),"")</f>
        <v>55.156455696202528</v>
      </c>
      <c r="AM126" s="131">
        <f>IFERROR('Price History'!S3+(INDEX('Price History'!S:S,MATCH(9.99E+307,'Returns (Calc)'!$A:$A)+1)-'Price History'!S3)*(ROW()-3)/(MATCH(9.99E+307,'Returns (Calc)'!$A:$A)-3),"")</f>
        <v>132.05278481012658</v>
      </c>
      <c r="AN126" s="131">
        <f>IFERROR('Price History'!T3+(INDEX('Price History'!T:T,MATCH(9.99E+307,'Returns (Calc)'!$A:$A)+1)-'Price History'!T3)*(ROW()-3)/(MATCH(9.99E+307,'Returns (Calc)'!$A:$A)-3),"")</f>
        <v>45.932025316455693</v>
      </c>
      <c r="AO126" s="132">
        <f>IFERROR('Price History'!V3+(INDEX('Price History'!V:V,MATCH(9.99E+307,'Returns (Calc)'!$A:$A)+1)-'Price History'!V3)*(ROW()-3)/(MATCH(9.99E+307,'Returns (Calc)'!$A:$A)-3),"")</f>
        <v>332.96348101265824</v>
      </c>
      <c r="AP126" s="130">
        <f>IFERROR(IF(OR(NOT(ISNUMBER('Price History'!W127)),NOT(ISNUMBER('Price History'!W126)),'Price History'!W126=0),"",'Price History'!W127/'Price History'!W126-1),"")</f>
        <v>1.5366593164277687E-2</v>
      </c>
      <c r="AQ126" s="130">
        <f>IFERROR(IF(OR(NOT(ISNUMBER('Price History'!X127)),NOT(ISNUMBER('Price History'!X126)),'Price History'!X126=0),"",'Price History'!X127/'Price History'!X126-1),"")</f>
        <v>1.8395721925133612E-2</v>
      </c>
      <c r="AR126" s="130">
        <f>IFERROR(IF(OR(NOT(ISNUMBER('Price History'!Y127)),NOT(ISNUMBER('Price History'!Y126)),'Price History'!Y126=0),"",'Price History'!Y127/'Price History'!Y126-1),"")</f>
        <v>3.0914711765774872E-3</v>
      </c>
      <c r="AS126" s="130">
        <f>IFERROR(IF(OR(NOT(ISNUMBER('Price History'!Z127)),NOT(ISNUMBER('Price History'!Z126)),'Price History'!Z126=0),"",'Price History'!Z127/'Price History'!Z126-1),"")</f>
        <v>4.3947045175378729E-2</v>
      </c>
      <c r="AT126" s="130">
        <f>IFERROR(IF(OR(NOT(ISNUMBER('Price History'!AA127)),NOT(ISNUMBER('Price History'!AA126)),'Price History'!AA126=0),"",'Price History'!AA127/'Price History'!AA126-1),"")</f>
        <v>-3.0538783093358224E-2</v>
      </c>
    </row>
    <row r="127" spans="1:46" ht="15" customHeight="1" x14ac:dyDescent="0.2">
      <c r="A127" s="128">
        <f>IF('Price History'!A128="","",'Price History'!A128)</f>
        <v>46059</v>
      </c>
      <c r="B127" s="129">
        <f>IFERROR(IF(OR(NOT(ISNUMBER('Price History'!B128)),NOT(ISNUMBER('Price History'!B127)),'Price History'!B127=0),"",'Price History'!B128/'Price History'!B127-1),"")</f>
        <v>-8.4808184143222554E-2</v>
      </c>
      <c r="C127" s="129">
        <f>IFERROR(IF(OR(NOT(ISNUMBER('Price History'!C128)),NOT(ISNUMBER('Price History'!C127)),'Price History'!C127=0),"",'Price History'!C128/'Price History'!C127-1),"")</f>
        <v>-2.998447862283049E-2</v>
      </c>
      <c r="D127" s="129">
        <f>IFERROR(IF(OR(NOT(ISNUMBER('Price History'!D128)),NOT(ISNUMBER('Price History'!D127)),'Price History'!D127=0),"",'Price History'!D128/'Price History'!D127-1),"")</f>
        <v>-7.0258438073719232E-3</v>
      </c>
      <c r="E127" s="129">
        <f>IFERROR(IF(OR(NOT(ISNUMBER('Price History'!E128)),NOT(ISNUMBER('Price History'!E127)),'Price History'!E127=0),"",'Price History'!E128/'Price History'!E127-1),"")</f>
        <v>4.916838654850153E-3</v>
      </c>
      <c r="F127" s="129">
        <f>IFERROR(IF(OR(NOT(ISNUMBER('Price History'!F128)),NOT(ISNUMBER('Price History'!F127)),'Price History'!F127=0),"",'Price History'!F128/'Price History'!F127-1),"")</f>
        <v>-0.10394200271862253</v>
      </c>
      <c r="G127" s="129">
        <f>IFERROR(IF(OR(NOT(ISNUMBER('Price History'!G128)),NOT(ISNUMBER('Price History'!G127)),'Price History'!G127=0),"",'Price History'!G128/'Price History'!G127-1),"")</f>
        <v>1.0473044211710025E-2</v>
      </c>
      <c r="H127" s="129">
        <f>IFERROR(IF(OR(NOT(ISNUMBER('Price History'!H128)),NOT(ISNUMBER('Price History'!H127)),'Price History'!H127=0),"",'Price History'!H128/'Price History'!H127-1),"")</f>
        <v>-4.8668724676828146E-2</v>
      </c>
      <c r="I127" s="129">
        <f>IFERROR(IF(OR(NOT(ISNUMBER('Price History'!I128)),NOT(ISNUMBER('Price History'!I127)),'Price History'!I127=0),"",'Price History'!I128/'Price History'!I127-1),"")</f>
        <v>-2.9893014474512314E-2</v>
      </c>
      <c r="J127" s="129">
        <f>IFERROR(IF(OR(NOT(ISNUMBER('Price History'!J128)),NOT(ISNUMBER('Price History'!J127)),'Price History'!J127=0),"",'Price History'!J128/'Price History'!J127-1),"")</f>
        <v>4.8992709884769114E-2</v>
      </c>
      <c r="K127" s="129">
        <f>IFERROR(IF(OR(NOT(ISNUMBER('Price History'!K128)),NOT(ISNUMBER('Price History'!K127)),'Price History'!K127=0),"",'Price History'!K128/'Price History'!K127-1),"")</f>
        <v>-7.2924483252609251E-2</v>
      </c>
      <c r="L127" s="129">
        <f>IFERROR(IF(OR(NOT(ISNUMBER('Price History'!L128)),NOT(ISNUMBER('Price History'!L127)),'Price History'!L127=0),"",'Price History'!L128/'Price History'!L127-1),"")</f>
        <v>5.5338740167083289E-2</v>
      </c>
      <c r="M127" s="129">
        <f>IFERROR(IF(OR(NOT(ISNUMBER('Price History'!M128)),NOT(ISNUMBER('Price History'!M127)),'Price History'!M127=0),"",'Price History'!M128/'Price History'!M127-1),"")</f>
        <v>5.0470303681805939E-2</v>
      </c>
      <c r="N127" s="129">
        <f>IFERROR(IF(OR(NOT(ISNUMBER('Price History'!N128)),NOT(ISNUMBER('Price History'!N127)),'Price History'!N127=0),"",'Price History'!N128/'Price History'!N127-1),"")</f>
        <v>1.706746116194946E-2</v>
      </c>
      <c r="O127" s="129">
        <f>IFERROR(IF(OR(NOT(ISNUMBER('Price History'!O128)),NOT(ISNUMBER('Price History'!O127)),'Price History'!O127=0),"",'Price History'!O128/'Price History'!O127-1),"")</f>
        <v>5.413895048041395E-2</v>
      </c>
      <c r="P127" s="129">
        <f>IFERROR(IF(OR(NOT(ISNUMBER('Price History'!P128)),NOT(ISNUMBER('Price History'!P127)),'Price History'!P127=0),"",'Price History'!P128/'Price History'!P127-1),"")</f>
        <v>3.307697543047694E-2</v>
      </c>
      <c r="Q127" s="129">
        <f>IFERROR(IF(OR(NOT(ISNUMBER('Price History'!Q128)),NOT(ISNUMBER('Price History'!Q127)),'Price History'!Q127=0),"",'Price History'!Q128/'Price History'!Q127-1),"")</f>
        <v>2.8485757121439192E-3</v>
      </c>
      <c r="R127" s="129">
        <f>IFERROR(IF(OR(NOT(ISNUMBER('Price History'!R128)),NOT(ISNUMBER('Price History'!R127)),'Price History'!R127=0),"",'Price History'!R128/'Price History'!R127-1),"")</f>
        <v>-1.5455381784728717E-2</v>
      </c>
      <c r="S127" s="129">
        <f>IFERROR(IF(OR(NOT(ISNUMBER('Price History'!S128)),NOT(ISNUMBER('Price History'!S127)),'Price History'!S127=0),"",'Price History'!S128/'Price History'!S127-1),"")</f>
        <v>-2.5178346621901326E-4</v>
      </c>
      <c r="T127" s="129">
        <f>IFERROR(IF(OR(NOT(ISNUMBER('Price History'!T128)),NOT(ISNUMBER('Price History'!T127)),'Price History'!T127=0),"",'Price History'!T128/'Price History'!T127-1),"")</f>
        <v>2.4483550114766661E-2</v>
      </c>
      <c r="U127" s="129">
        <f>IFERROR(IF(OR(NOT(ISNUMBER('Price History'!U128)),NOT(ISNUMBER('Price History'!U127)),'Price History'!U127=0),"",'Price History'!U128/'Price History'!U127-1),"")</f>
        <v>5.5326460481099682E-2</v>
      </c>
      <c r="V127" s="130">
        <f>IFERROR(IF(OR(NOT(ISNUMBER('Price History'!V128)),NOT(ISNUMBER('Price History'!V127)),'Price History'!V127=0),"",'Price History'!V128/'Price History'!V127-1),"")</f>
        <v>3.0289768997530553E-2</v>
      </c>
      <c r="W127" s="131">
        <f>IFERROR('Price History'!B3+(INDEX('Price History'!B:B,MATCH(9.99E+307,'Returns (Calc)'!$A:$A)+1)-'Price History'!B3)*(ROW()-3)/(MATCH(9.99E+307,'Returns (Calc)'!$A:$A)-3),"")</f>
        <v>300.35329113924053</v>
      </c>
      <c r="X127" s="131">
        <f>IFERROR('Price History'!C3+(INDEX('Price History'!C:C,MATCH(9.99E+307,'Returns (Calc)'!$A:$A)+1)-'Price History'!C3)*(ROW()-3)/(MATCH(9.99E+307,'Returns (Calc)'!$A:$A)-3),"")</f>
        <v>172.6678481012658</v>
      </c>
      <c r="Y127" s="131">
        <f>IFERROR('Price History'!D3+(INDEX('Price History'!D:D,MATCH(9.99E+307,'Returns (Calc)'!$A:$A)+1)-'Price History'!D3)*(ROW()-3)/(MATCH(9.99E+307,'Returns (Calc)'!$A:$A)-3),"")</f>
        <v>1590.7264556962023</v>
      </c>
      <c r="Z127" s="131">
        <f>IFERROR('Price History'!E3+(INDEX('Price History'!E:E,MATCH(9.99E+307,'Returns (Calc)'!$A:$A)+1)-'Price History'!E3)*(ROW()-3)/(MATCH(9.99E+307,'Returns (Calc)'!$A:$A)-3),"")</f>
        <v>296.36303797468355</v>
      </c>
      <c r="AA127" s="131">
        <f>IFERROR('Price History'!F3+(INDEX('Price History'!F:F,MATCH(9.99E+307,'Returns (Calc)'!$A:$A)+1)-'Price History'!F3)*(ROW()-3)/(MATCH(9.99E+307,'Returns (Calc)'!$A:$A)-3),"")</f>
        <v>220.83037974683543</v>
      </c>
      <c r="AB127" s="131">
        <f>IFERROR('Price History'!G3+(INDEX('Price History'!G:G,MATCH(9.99E+307,'Returns (Calc)'!$A:$A)+1)-'Price History'!G3)*(ROW()-3)/(MATCH(9.99E+307,'Returns (Calc)'!$A:$A)-3),"")</f>
        <v>171.91303797468353</v>
      </c>
      <c r="AC127" s="131">
        <f>IFERROR('Price History'!H3+(INDEX('Price History'!H:H,MATCH(9.99E+307,'Returns (Calc)'!$A:$A)+1)-'Price History'!H3)*(ROW()-3)/(MATCH(9.99E+307,'Returns (Calc)'!$A:$A)-3),"")</f>
        <v>858.4563291139242</v>
      </c>
      <c r="AD127" s="131">
        <f>IFERROR('Price History'!I3+(INDEX('Price History'!I:I,MATCH(9.99E+307,'Returns (Calc)'!$A:$A)+1)-'Price History'!I3)*(ROW()-3)/(MATCH(9.99E+307,'Returns (Calc)'!$A:$A)-3),"")</f>
        <v>193.0251898734177</v>
      </c>
      <c r="AE127" s="131">
        <f>IFERROR('Price History'!J3+(INDEX('Price History'!J:J,MATCH(9.99E+307,'Returns (Calc)'!$A:$A)+1)-'Price History'!J3)*(ROW()-3)/(MATCH(9.99E+307,'Returns (Calc)'!$A:$A)-3),"")</f>
        <v>125.23670886075949</v>
      </c>
      <c r="AF127" s="131">
        <f>IFERROR('Price History'!K3+(INDEX('Price History'!K:K,MATCH(9.99E+307,'Returns (Calc)'!$A:$A)+1)-'Price History'!K3)*(ROW()-3)/(MATCH(9.99E+307,'Returns (Calc)'!$A:$A)-3),"")</f>
        <v>151.43177215189874</v>
      </c>
      <c r="AG127" s="131">
        <f>IFERROR('Price History'!L3+(INDEX('Price History'!L:L,MATCH(9.99E+307,'Returns (Calc)'!$A:$A)+1)-'Price History'!L3)*(ROW()-3)/(MATCH(9.99E+307,'Returns (Calc)'!$A:$A)-3),"")</f>
        <v>389.49506329113922</v>
      </c>
      <c r="AH127" s="131">
        <f>IFERROR('Price History'!M3+(INDEX('Price History'!M:M,MATCH(9.99E+307,'Returns (Calc)'!$A:$A)+1)-'Price History'!M3)*(ROW()-3)/(MATCH(9.99E+307,'Returns (Calc)'!$A:$A)-3),"")</f>
        <v>206.09493670886076</v>
      </c>
      <c r="AI127" s="131">
        <f>IFERROR('Price History'!N3+(INDEX('Price History'!N:N,MATCH(9.99E+307,'Returns (Calc)'!$A:$A)+1)-'Price History'!N3)*(ROW()-3)/(MATCH(9.99E+307,'Returns (Calc)'!$A:$A)-3),"")</f>
        <v>471.19696202531645</v>
      </c>
      <c r="AJ127" s="131">
        <f>IFERROR('Price History'!O3+(INDEX('Price History'!O:O,MATCH(9.99E+307,'Returns (Calc)'!$A:$A)+1)-'Price History'!O3)*(ROW()-3)/(MATCH(9.99E+307,'Returns (Calc)'!$A:$A)-3),"")</f>
        <v>110.40670886075949</v>
      </c>
      <c r="AK127" s="131">
        <f>IFERROR('Price History'!Q3+(INDEX('Price History'!Q:Q,MATCH(9.99E+307,'Returns (Calc)'!$A:$A)+1)-'Price History'!Q3)*(ROW()-3)/(MATCH(9.99E+307,'Returns (Calc)'!$A:$A)-3),"")</f>
        <v>54.481518987341772</v>
      </c>
      <c r="AL127" s="131">
        <f>IFERROR('Price History'!R3+(INDEX('Price History'!R:R,MATCH(9.99E+307,'Returns (Calc)'!$A:$A)+1)-'Price History'!R3)*(ROW()-3)/(MATCH(9.99E+307,'Returns (Calc)'!$A:$A)-3),"")</f>
        <v>55.324556962025312</v>
      </c>
      <c r="AM127" s="131">
        <f>IFERROR('Price History'!S3+(INDEX('Price History'!S:S,MATCH(9.99E+307,'Returns (Calc)'!$A:$A)+1)-'Price History'!S3)*(ROW()-3)/(MATCH(9.99E+307,'Returns (Calc)'!$A:$A)-3),"")</f>
        <v>132.65784810126581</v>
      </c>
      <c r="AN127" s="131">
        <f>IFERROR('Price History'!T3+(INDEX('Price History'!T:T,MATCH(9.99E+307,'Returns (Calc)'!$A:$A)+1)-'Price History'!T3)*(ROW()-3)/(MATCH(9.99E+307,'Returns (Calc)'!$A:$A)-3),"")</f>
        <v>46.10025316455696</v>
      </c>
      <c r="AO127" s="132">
        <f>IFERROR('Price History'!V3+(INDEX('Price History'!V:V,MATCH(9.99E+307,'Returns (Calc)'!$A:$A)+1)-'Price History'!V3)*(ROW()-3)/(MATCH(9.99E+307,'Returns (Calc)'!$A:$A)-3),"")</f>
        <v>333.7548101265823</v>
      </c>
      <c r="AP127" s="130">
        <f>IFERROR(IF(OR(NOT(ISNUMBER('Price History'!W128)),NOT(ISNUMBER('Price History'!W127)),'Price History'!W127=0),"",'Price History'!W128/'Price History'!W127-1),"")</f>
        <v>3.6715303698676705E-2</v>
      </c>
      <c r="AQ127" s="130">
        <f>IFERROR(IF(OR(NOT(ISNUMBER('Price History'!X128)),NOT(ISNUMBER('Price History'!X127)),'Price History'!X127=0),"",'Price History'!X128/'Price History'!X127-1),"")</f>
        <v>1.9323671497584627E-2</v>
      </c>
      <c r="AR127" s="130">
        <f>IFERROR(IF(OR(NOT(ISNUMBER('Price History'!Y128)),NOT(ISNUMBER('Price History'!Y127)),'Price History'!Y127=0),"",'Price History'!Y128/'Price History'!Y127-1),"")</f>
        <v>1.5409717186366967E-2</v>
      </c>
      <c r="AS127" s="130">
        <f>IFERROR(IF(OR(NOT(ISNUMBER('Price History'!Z128)),NOT(ISNUMBER('Price History'!Z127)),'Price History'!Z127=0),"",'Price History'!Z128/'Price History'!Z127-1),"")</f>
        <v>4.6313243561249884E-2</v>
      </c>
      <c r="AT127" s="130">
        <f>IFERROR(IF(OR(NOT(ISNUMBER('Price History'!AA128)),NOT(ISNUMBER('Price History'!AA127)),'Price History'!AA127=0),"",'Price History'!AA128/'Price History'!AA127-1),"")</f>
        <v>-1.5450952209845381E-2</v>
      </c>
    </row>
    <row r="128" spans="1:46" ht="15" customHeight="1" x14ac:dyDescent="0.2">
      <c r="A128" s="128">
        <f>IF('Price History'!A129="","",'Price History'!A129)</f>
        <v>46066</v>
      </c>
      <c r="B128" s="129">
        <f>IFERROR(IF(OR(NOT(ISNUMBER('Price History'!B129)),NOT(ISNUMBER('Price History'!B128)),'Price History'!B128=0),"",'Price History'!B129/'Price History'!B128-1),"")</f>
        <v>-1.6431924882629012E-2</v>
      </c>
      <c r="C128" s="129">
        <f>IFERROR(IF(OR(NOT(ISNUMBER('Price History'!C129)),NOT(ISNUMBER('Price History'!C128)),'Price History'!C128=0),"",'Price History'!C129/'Price History'!C128-1),"")</f>
        <v>2.9820350570950671E-2</v>
      </c>
      <c r="D128" s="129">
        <f>IFERROR(IF(OR(NOT(ISNUMBER('Price History'!D129)),NOT(ISNUMBER('Price History'!D128)),'Price History'!D128=0),"",'Price History'!D129/'Price History'!D128-1),"")</f>
        <v>-3.2142222222222294E-3</v>
      </c>
      <c r="E128" s="129">
        <f>IFERROR(IF(OR(NOT(ISNUMBER('Price History'!E129)),NOT(ISNUMBER('Price History'!E128)),'Price History'!E128=0),"",'Price History'!E129/'Price History'!E128-1),"")</f>
        <v>-2.3286016309272184E-2</v>
      </c>
      <c r="F128" s="129">
        <f>IFERROR(IF(OR(NOT(ISNUMBER('Price History'!F129)),NOT(ISNUMBER('Price History'!F128)),'Price History'!F128=0),"",'Price History'!F129/'Price History'!F128-1),"")</f>
        <v>8.6266181229773586E-2</v>
      </c>
      <c r="G128" s="129">
        <f>IFERROR(IF(OR(NOT(ISNUMBER('Price History'!G129)),NOT(ISNUMBER('Price History'!G128)),'Price History'!G128=0),"",'Price History'!G129/'Price History'!G128-1),"")</f>
        <v>1.4677239844184786E-2</v>
      </c>
      <c r="H128" s="129">
        <f>IFERROR(IF(OR(NOT(ISNUMBER('Price History'!H129)),NOT(ISNUMBER('Price History'!H128)),'Price History'!H128=0),"",'Price History'!H129/'Price History'!H128-1),"")</f>
        <v>4.2995487501901408E-2</v>
      </c>
      <c r="I128" s="129">
        <f>IFERROR(IF(OR(NOT(ISNUMBER('Price History'!I129)),NOT(ISNUMBER('Price History'!I128)),'Price History'!I128=0),"",'Price History'!I129/'Price History'!I128-1),"")</f>
        <v>-1.4055573575521674E-2</v>
      </c>
      <c r="J128" s="129">
        <f>IFERROR(IF(OR(NOT(ISNUMBER('Price History'!J129)),NOT(ISNUMBER('Price History'!J128)),'Price History'!J128=0),"",'Price History'!J129/'Price History'!J128-1),"")</f>
        <v>1.4721267374084634E-2</v>
      </c>
      <c r="K128" s="129">
        <f>IFERROR(IF(OR(NOT(ISNUMBER('Price History'!K129)),NOT(ISNUMBER('Price History'!K128)),'Price History'!K128=0),"",'Price History'!K129/'Price History'!K128-1),"")</f>
        <v>-3.303899926416487E-2</v>
      </c>
      <c r="L128" s="129">
        <f>IFERROR(IF(OR(NOT(ISNUMBER('Price History'!L129)),NOT(ISNUMBER('Price History'!L128)),'Price History'!L128=0),"",'Price History'!L129/'Price History'!L128-1),"")</f>
        <v>5.018345708259897E-2</v>
      </c>
      <c r="M128" s="129">
        <f>IFERROR(IF(OR(NOT(ISNUMBER('Price History'!M129)),NOT(ISNUMBER('Price History'!M128)),'Price History'!M128=0),"",'Price History'!M129/'Price History'!M128-1),"")</f>
        <v>0.19919156774457636</v>
      </c>
      <c r="N128" s="129">
        <f>IFERROR(IF(OR(NOT(ISNUMBER('Price History'!N129)),NOT(ISNUMBER('Price History'!N128)),'Price History'!N128=0),"",'Price History'!N129/'Price History'!N128-1),"")</f>
        <v>2.8352025443588946E-2</v>
      </c>
      <c r="O128" s="129">
        <f>IFERROR(IF(OR(NOT(ISNUMBER('Price History'!O129)),NOT(ISNUMBER('Price History'!O128)),'Price History'!O128=0),"",'Price History'!O129/'Price History'!O128-1),"")</f>
        <v>-2.5416301489920023E-3</v>
      </c>
      <c r="P128" s="129">
        <f>IFERROR(IF(OR(NOT(ISNUMBER('Price History'!P129)),NOT(ISNUMBER('Price History'!P128)),'Price History'!P128=0),"",'Price History'!P129/'Price History'!P128-1),"")</f>
        <v>1.6074840239804988E-2</v>
      </c>
      <c r="Q128" s="129">
        <f>IFERROR(IF(OR(NOT(ISNUMBER('Price History'!Q129)),NOT(ISNUMBER('Price History'!Q128)),'Price History'!Q128=0),"",'Price History'!Q129/'Price History'!Q128-1),"")</f>
        <v>-8.6709523097622254E-3</v>
      </c>
      <c r="R128" s="129">
        <f>IFERROR(IF(OR(NOT(ISNUMBER('Price History'!R129)),NOT(ISNUMBER('Price History'!R128)),'Price History'!R128=0),"",'Price History'!R129/'Price History'!R128-1),"")</f>
        <v>-9.3440478415249828E-3</v>
      </c>
      <c r="S128" s="129">
        <f>IFERROR(IF(OR(NOT(ISNUMBER('Price History'!S129)),NOT(ISNUMBER('Price History'!S128)),'Price History'!S128=0),"",'Price History'!S129/'Price History'!S128-1),"")</f>
        <v>-1.32639355271994E-2</v>
      </c>
      <c r="T128" s="129">
        <f>IFERROR(IF(OR(NOT(ISNUMBER('Price History'!T129)),NOT(ISNUMBER('Price History'!T128)),'Price History'!T128=0),"",'Price History'!T129/'Price History'!T128-1),"")</f>
        <v>-4.2320139407518997E-3</v>
      </c>
      <c r="U128" s="129">
        <f>IFERROR(IF(OR(NOT(ISNUMBER('Price History'!U129)),NOT(ISNUMBER('Price History'!U128)),'Price History'!U128=0),"",'Price History'!U129/'Price History'!U128-1),"")</f>
        <v>4.5587756431129112E-3</v>
      </c>
      <c r="V128" s="130">
        <f>IFERROR(IF(OR(NOT(ISNUMBER('Price History'!V129)),NOT(ISNUMBER('Price History'!V128)),'Price History'!V128=0),"",'Price History'!V129/'Price History'!V128-1),"")</f>
        <v>-5.0819174757281593E-2</v>
      </c>
      <c r="W128" s="131">
        <f>IFERROR('Price History'!B3+(INDEX('Price History'!B:B,MATCH(9.99E+307,'Returns (Calc)'!$A:$A)+1)-'Price History'!B3)*(ROW()-3)/(MATCH(9.99E+307,'Returns (Calc)'!$A:$A)-3),"")</f>
        <v>298.51025316455696</v>
      </c>
      <c r="X128" s="131">
        <f>IFERROR('Price History'!C3+(INDEX('Price History'!C:C,MATCH(9.99E+307,'Returns (Calc)'!$A:$A)+1)-'Price History'!C3)*(ROW()-3)/(MATCH(9.99E+307,'Returns (Calc)'!$A:$A)-3),"")</f>
        <v>173.68791139240506</v>
      </c>
      <c r="Y128" s="131">
        <f>IFERROR('Price History'!D3+(INDEX('Price History'!D:D,MATCH(9.99E+307,'Returns (Calc)'!$A:$A)+1)-'Price History'!D3)*(ROW()-3)/(MATCH(9.99E+307,'Returns (Calc)'!$A:$A)-3),"")</f>
        <v>1598.8612658227848</v>
      </c>
      <c r="Z128" s="131">
        <f>IFERROR('Price History'!E3+(INDEX('Price History'!E:E,MATCH(9.99E+307,'Returns (Calc)'!$A:$A)+1)-'Price History'!E3)*(ROW()-3)/(MATCH(9.99E+307,'Returns (Calc)'!$A:$A)-3),"")</f>
        <v>298.09177215189874</v>
      </c>
      <c r="AA128" s="131">
        <f>IFERROR('Price History'!F3+(INDEX('Price History'!F:F,MATCH(9.99E+307,'Returns (Calc)'!$A:$A)+1)-'Price History'!F3)*(ROW()-3)/(MATCH(9.99E+307,'Returns (Calc)'!$A:$A)-3),"")</f>
        <v>222.27772151898733</v>
      </c>
      <c r="AB128" s="131">
        <f>IFERROR('Price History'!G3+(INDEX('Price History'!G:G,MATCH(9.99E+307,'Returns (Calc)'!$A:$A)+1)-'Price History'!G3)*(ROW()-3)/(MATCH(9.99E+307,'Returns (Calc)'!$A:$A)-3),"")</f>
        <v>172.94177215189873</v>
      </c>
      <c r="AC128" s="131">
        <f>IFERROR('Price History'!H3+(INDEX('Price History'!H:H,MATCH(9.99E+307,'Returns (Calc)'!$A:$A)+1)-'Price History'!H3)*(ROW()-3)/(MATCH(9.99E+307,'Returns (Calc)'!$A:$A)-3),"")</f>
        <v>864.82202531645578</v>
      </c>
      <c r="AD128" s="131">
        <f>IFERROR('Price History'!I3+(INDEX('Price History'!I:I,MATCH(9.99E+307,'Returns (Calc)'!$A:$A)+1)-'Price History'!I3)*(ROW()-3)/(MATCH(9.99E+307,'Returns (Calc)'!$A:$A)-3),"")</f>
        <v>194.22886075949367</v>
      </c>
      <c r="AE128" s="131">
        <f>IFERROR('Price History'!J3+(INDEX('Price History'!J:J,MATCH(9.99E+307,'Returns (Calc)'!$A:$A)+1)-'Price History'!J3)*(ROW()-3)/(MATCH(9.99E+307,'Returns (Calc)'!$A:$A)-3),"")</f>
        <v>125.34474683544303</v>
      </c>
      <c r="AF128" s="131">
        <f>IFERROR('Price History'!K3+(INDEX('Price History'!K:K,MATCH(9.99E+307,'Returns (Calc)'!$A:$A)+1)-'Price History'!K3)*(ROW()-3)/(MATCH(9.99E+307,'Returns (Calc)'!$A:$A)-3),"")</f>
        <v>152.52936708860761</v>
      </c>
      <c r="AG128" s="131">
        <f>IFERROR('Price History'!L3+(INDEX('Price History'!L:L,MATCH(9.99E+307,'Returns (Calc)'!$A:$A)+1)-'Price History'!L3)*(ROW()-3)/(MATCH(9.99E+307,'Returns (Calc)'!$A:$A)-3),"")</f>
        <v>391.94462025316454</v>
      </c>
      <c r="AH128" s="131">
        <f>IFERROR('Price History'!M3+(INDEX('Price History'!M:M,MATCH(9.99E+307,'Returns (Calc)'!$A:$A)+1)-'Price History'!M3)*(ROW()-3)/(MATCH(9.99E+307,'Returns (Calc)'!$A:$A)-3),"")</f>
        <v>207.45037974683547</v>
      </c>
      <c r="AI128" s="131">
        <f>IFERROR('Price History'!N3+(INDEX('Price History'!N:N,MATCH(9.99E+307,'Returns (Calc)'!$A:$A)+1)-'Price History'!N3)*(ROW()-3)/(MATCH(9.99E+307,'Returns (Calc)'!$A:$A)-3),"")</f>
        <v>472.1832278481013</v>
      </c>
      <c r="AJ128" s="131">
        <f>IFERROR('Price History'!O3+(INDEX('Price History'!O:O,MATCH(9.99E+307,'Returns (Calc)'!$A:$A)+1)-'Price History'!O3)*(ROW()-3)/(MATCH(9.99E+307,'Returns (Calc)'!$A:$A)-3),"")</f>
        <v>110.68974683544303</v>
      </c>
      <c r="AK128" s="131">
        <f>IFERROR('Price History'!Q3+(INDEX('Price History'!Q:Q,MATCH(9.99E+307,'Returns (Calc)'!$A:$A)+1)-'Price History'!Q3)*(ROW()-3)/(MATCH(9.99E+307,'Returns (Calc)'!$A:$A)-3),"")</f>
        <v>54.920886075949369</v>
      </c>
      <c r="AL128" s="131">
        <f>IFERROR('Price History'!R3+(INDEX('Price History'!R:R,MATCH(9.99E+307,'Returns (Calc)'!$A:$A)+1)-'Price History'!R3)*(ROW()-3)/(MATCH(9.99E+307,'Returns (Calc)'!$A:$A)-3),"")</f>
        <v>55.492658227848096</v>
      </c>
      <c r="AM128" s="131">
        <f>IFERROR('Price History'!S3+(INDEX('Price History'!S:S,MATCH(9.99E+307,'Returns (Calc)'!$A:$A)+1)-'Price History'!S3)*(ROW()-3)/(MATCH(9.99E+307,'Returns (Calc)'!$A:$A)-3),"")</f>
        <v>133.26291139240507</v>
      </c>
      <c r="AN128" s="131">
        <f>IFERROR('Price History'!T3+(INDEX('Price History'!T:T,MATCH(9.99E+307,'Returns (Calc)'!$A:$A)+1)-'Price History'!T3)*(ROW()-3)/(MATCH(9.99E+307,'Returns (Calc)'!$A:$A)-3),"")</f>
        <v>46.268481012658228</v>
      </c>
      <c r="AO128" s="132">
        <f>IFERROR('Price History'!V3+(INDEX('Price History'!V:V,MATCH(9.99E+307,'Returns (Calc)'!$A:$A)+1)-'Price History'!V3)*(ROW()-3)/(MATCH(9.99E+307,'Returns (Calc)'!$A:$A)-3),"")</f>
        <v>334.54613924050636</v>
      </c>
      <c r="AP128" s="130">
        <f>IFERROR(IF(OR(NOT(ISNUMBER('Price History'!W129)),NOT(ISNUMBER('Price History'!W128)),'Price History'!W128=0),"",'Price History'!W129/'Price History'!W128-1),"")</f>
        <v>-6.5462162869855955E-4</v>
      </c>
      <c r="AQ128" s="130">
        <f>IFERROR(IF(OR(NOT(ISNUMBER('Price History'!X129)),NOT(ISNUMBER('Price History'!X128)),'Price History'!X128=0),"",'Price History'!X129/'Price History'!X128-1),"")</f>
        <v>3.8944982485060731E-2</v>
      </c>
      <c r="AR128" s="130">
        <f>IFERROR(IF(OR(NOT(ISNUMBER('Price History'!Y129)),NOT(ISNUMBER('Price History'!Y128)),'Price History'!Y128=0),"",'Price History'!Y129/'Price History'!Y128-1),"")</f>
        <v>3.2137118371720064E-3</v>
      </c>
      <c r="AS128" s="130">
        <f>IFERROR(IF(OR(NOT(ISNUMBER('Price History'!Z129)),NOT(ISNUMBER('Price History'!Z128)),'Price History'!Z128=0),"",'Price History'!Z129/'Price History'!Z128-1),"")</f>
        <v>-1.7399181582482104E-2</v>
      </c>
      <c r="AT128" s="130">
        <f>IFERROR(IF(OR(NOT(ISNUMBER('Price History'!AA129)),NOT(ISNUMBER('Price History'!AA128)),'Price History'!AA128=0),"",'Price History'!AA129/'Price History'!AA128-1),"")</f>
        <v>-6.4841849148418507E-2</v>
      </c>
    </row>
    <row r="129" spans="1:46" ht="15" customHeight="1" x14ac:dyDescent="0.2">
      <c r="A129" s="128">
        <f>IF('Price History'!A130="","",'Price History'!A130)</f>
        <v>46073</v>
      </c>
      <c r="B129" s="129">
        <f>IFERROR(IF(OR(NOT(ISNUMBER('Price History'!B130)),NOT(ISNUMBER('Price History'!B129)),'Price History'!B129=0),"",'Price History'!B130/'Price History'!B129-1),"")</f>
        <v>-2.0305337727772099E-2</v>
      </c>
      <c r="C129" s="129">
        <f>IFERROR(IF(OR(NOT(ISNUMBER('Price History'!C130)),NOT(ISNUMBER('Price History'!C129)),'Price History'!C129=0),"",'Price History'!C130/'Price History'!C129-1),"")</f>
        <v>-6.2151281870188702E-2</v>
      </c>
      <c r="D129" s="129">
        <f>IFERROR(IF(OR(NOT(ISNUMBER('Price History'!D130)),NOT(ISNUMBER('Price History'!D129)),'Price History'!D129=0),"",'Price History'!D130/'Price History'!D129-1),"")</f>
        <v>4.4773244490736497E-2</v>
      </c>
      <c r="E129" s="129">
        <f>IFERROR(IF(OR(NOT(ISNUMBER('Price History'!E130)),NOT(ISNUMBER('Price History'!E129)),'Price History'!E129=0),"",'Price History'!E130/'Price History'!E129-1),"")</f>
        <v>2.3006277250378737E-2</v>
      </c>
      <c r="F129" s="129">
        <f>IFERROR(IF(OR(NOT(ISNUMBER('Price History'!F130)),NOT(ISNUMBER('Price History'!F129)),'Price History'!F129=0),"",'Price History'!F130/'Price History'!F129-1),"")</f>
        <v>-9.5521832231635684E-2</v>
      </c>
      <c r="G129" s="129">
        <f>IFERROR(IF(OR(NOT(ISNUMBER('Price History'!G130)),NOT(ISNUMBER('Price History'!G129)),'Price History'!G129=0),"",'Price History'!G130/'Price History'!G129-1),"")</f>
        <v>2.3102762733941296E-2</v>
      </c>
      <c r="H129" s="129">
        <f>IFERROR(IF(OR(NOT(ISNUMBER('Price History'!H130)),NOT(ISNUMBER('Price History'!H129)),'Price History'!H129=0),"",'Price History'!H130/'Price History'!H129-1),"")</f>
        <v>4.0105002187545535E-2</v>
      </c>
      <c r="I129" s="129">
        <f>IFERROR(IF(OR(NOT(ISNUMBER('Price History'!I130)),NOT(ISNUMBER('Price History'!I129)),'Price History'!I129=0),"",'Price History'!I130/'Price History'!I129-1),"")</f>
        <v>3.8381401469459453E-2</v>
      </c>
      <c r="J129" s="129">
        <f>IFERROR(IF(OR(NOT(ISNUMBER('Price History'!J130)),NOT(ISNUMBER('Price History'!J129)),'Price History'!J129=0),"",'Price History'!J130/'Price History'!J129-1),"")</f>
        <v>1.8263495102732286E-2</v>
      </c>
      <c r="K129" s="129">
        <f>IFERROR(IF(OR(NOT(ISNUMBER('Price History'!K130)),NOT(ISNUMBER('Price History'!K129)),'Price History'!K129=0),"",'Price History'!K130/'Price History'!K129-1),"")</f>
        <v>2.9145422722776093E-2</v>
      </c>
      <c r="L129" s="129">
        <f>IFERROR(IF(OR(NOT(ISNUMBER('Price History'!L130)),NOT(ISNUMBER('Price History'!L129)),'Price History'!L129=0),"",'Price History'!L130/'Price History'!L129-1),"")</f>
        <v>1.1416781292984846E-2</v>
      </c>
      <c r="M129" s="129">
        <f>IFERROR(IF(OR(NOT(ISNUMBER('Price History'!M130)),NOT(ISNUMBER('Price History'!M129)),'Price History'!M129=0),"",'Price History'!M130/'Price History'!M129-1),"")</f>
        <v>3.9296838332551154E-2</v>
      </c>
      <c r="N129" s="129">
        <f>IFERROR(IF(OR(NOT(ISNUMBER('Price History'!N130)),NOT(ISNUMBER('Price History'!N129)),'Price History'!N129=0),"",'Price History'!N130/'Price History'!N129-1),"")</f>
        <v>-2.9645756607727947E-2</v>
      </c>
      <c r="O129" s="129">
        <f>IFERROR(IF(OR(NOT(ISNUMBER('Price History'!O130)),NOT(ISNUMBER('Price History'!O129)),'Price History'!O129=0),"",'Price History'!O130/'Price History'!O129-1),"")</f>
        <v>5.6234074334418072E-3</v>
      </c>
      <c r="P129" s="129">
        <f>IFERROR(IF(OR(NOT(ISNUMBER('Price History'!P130)),NOT(ISNUMBER('Price History'!P129)),'Price History'!P129=0),"",'Price History'!P130/'Price History'!P129-1),"")</f>
        <v>-7.1322051481552684E-3</v>
      </c>
      <c r="Q129" s="129">
        <f>IFERROR(IF(OR(NOT(ISNUMBER('Price History'!Q130)),NOT(ISNUMBER('Price History'!Q129)),'Price History'!Q129=0),"",'Price History'!Q130/'Price History'!Q129-1),"")</f>
        <v>6.7863067410647293E-3</v>
      </c>
      <c r="R129" s="129">
        <f>IFERROR(IF(OR(NOT(ISNUMBER('Price History'!R130)),NOT(ISNUMBER('Price History'!R129)),'Price History'!R129=0),"",'Price History'!R130/'Price History'!R129-1),"")</f>
        <v>1.1129975476325216E-2</v>
      </c>
      <c r="S129" s="129">
        <f>IFERROR(IF(OR(NOT(ISNUMBER('Price History'!S130)),NOT(ISNUMBER('Price History'!S129)),'Price History'!S129=0),"",'Price History'!S130/'Price History'!S129-1),"")</f>
        <v>1.4463161476943931E-2</v>
      </c>
      <c r="T129" s="129">
        <f>IFERROR(IF(OR(NOT(ISNUMBER('Price History'!T130)),NOT(ISNUMBER('Price History'!T129)),'Price History'!T129=0),"",'Price History'!T130/'Price History'!T129-1),"")</f>
        <v>2.0000000000000018E-3</v>
      </c>
      <c r="U129" s="129">
        <f>IFERROR(IF(OR(NOT(ISNUMBER('Price History'!U130)),NOT(ISNUMBER('Price History'!U129)),'Price History'!U129=0),"",'Price History'!U130/'Price History'!U129-1),"")</f>
        <v>0</v>
      </c>
      <c r="V129" s="130">
        <f>IFERROR(IF(OR(NOT(ISNUMBER('Price History'!V130)),NOT(ISNUMBER('Price History'!V129)),'Price History'!V129=0),"",'Price History'!V130/'Price History'!V129-1),"")</f>
        <v>2.1863512865590407E-2</v>
      </c>
      <c r="W129" s="131">
        <f>IFERROR('Price History'!B3+(INDEX('Price History'!B:B,MATCH(9.99E+307,'Returns (Calc)'!$A:$A)+1)-'Price History'!B3)*(ROW()-3)/(MATCH(9.99E+307,'Returns (Calc)'!$A:$A)-3),"")</f>
        <v>296.66721518987345</v>
      </c>
      <c r="X129" s="131">
        <f>IFERROR('Price History'!C3+(INDEX('Price History'!C:C,MATCH(9.99E+307,'Returns (Calc)'!$A:$A)+1)-'Price History'!C3)*(ROW()-3)/(MATCH(9.99E+307,'Returns (Calc)'!$A:$A)-3),"")</f>
        <v>174.70797468354431</v>
      </c>
      <c r="Y129" s="131">
        <f>IFERROR('Price History'!D3+(INDEX('Price History'!D:D,MATCH(9.99E+307,'Returns (Calc)'!$A:$A)+1)-'Price History'!D3)*(ROW()-3)/(MATCH(9.99E+307,'Returns (Calc)'!$A:$A)-3),"")</f>
        <v>1606.996075949367</v>
      </c>
      <c r="Z129" s="131">
        <f>IFERROR('Price History'!E3+(INDEX('Price History'!E:E,MATCH(9.99E+307,'Returns (Calc)'!$A:$A)+1)-'Price History'!E3)*(ROW()-3)/(MATCH(9.99E+307,'Returns (Calc)'!$A:$A)-3),"")</f>
        <v>299.82050632911393</v>
      </c>
      <c r="AA129" s="131">
        <f>IFERROR('Price History'!F3+(INDEX('Price History'!F:F,MATCH(9.99E+307,'Returns (Calc)'!$A:$A)+1)-'Price History'!F3)*(ROW()-3)/(MATCH(9.99E+307,'Returns (Calc)'!$A:$A)-3),"")</f>
        <v>223.72506329113924</v>
      </c>
      <c r="AB129" s="131">
        <f>IFERROR('Price History'!G3+(INDEX('Price History'!G:G,MATCH(9.99E+307,'Returns (Calc)'!$A:$A)+1)-'Price History'!G3)*(ROW()-3)/(MATCH(9.99E+307,'Returns (Calc)'!$A:$A)-3),"")</f>
        <v>173.9705063291139</v>
      </c>
      <c r="AC129" s="131">
        <f>IFERROR('Price History'!H3+(INDEX('Price History'!H:H,MATCH(9.99E+307,'Returns (Calc)'!$A:$A)+1)-'Price History'!H3)*(ROW()-3)/(MATCH(9.99E+307,'Returns (Calc)'!$A:$A)-3),"")</f>
        <v>871.18772151898747</v>
      </c>
      <c r="AD129" s="131">
        <f>IFERROR('Price History'!I3+(INDEX('Price History'!I:I,MATCH(9.99E+307,'Returns (Calc)'!$A:$A)+1)-'Price History'!I3)*(ROW()-3)/(MATCH(9.99E+307,'Returns (Calc)'!$A:$A)-3),"")</f>
        <v>195.43253164556961</v>
      </c>
      <c r="AE129" s="131">
        <f>IFERROR('Price History'!J3+(INDEX('Price History'!J:J,MATCH(9.99E+307,'Returns (Calc)'!$A:$A)+1)-'Price History'!J3)*(ROW()-3)/(MATCH(9.99E+307,'Returns (Calc)'!$A:$A)-3),"")</f>
        <v>125.45278481012659</v>
      </c>
      <c r="AF129" s="131">
        <f>IFERROR('Price History'!K3+(INDEX('Price History'!K:K,MATCH(9.99E+307,'Returns (Calc)'!$A:$A)+1)-'Price History'!K3)*(ROW()-3)/(MATCH(9.99E+307,'Returns (Calc)'!$A:$A)-3),"")</f>
        <v>153.62696202531646</v>
      </c>
      <c r="AG129" s="131">
        <f>IFERROR('Price History'!L3+(INDEX('Price History'!L:L,MATCH(9.99E+307,'Returns (Calc)'!$A:$A)+1)-'Price History'!L3)*(ROW()-3)/(MATCH(9.99E+307,'Returns (Calc)'!$A:$A)-3),"")</f>
        <v>394.39417721518987</v>
      </c>
      <c r="AH129" s="131">
        <f>IFERROR('Price History'!M3+(INDEX('Price History'!M:M,MATCH(9.99E+307,'Returns (Calc)'!$A:$A)+1)-'Price History'!M3)*(ROW()-3)/(MATCH(9.99E+307,'Returns (Calc)'!$A:$A)-3),"")</f>
        <v>208.80582278481015</v>
      </c>
      <c r="AI129" s="131">
        <f>IFERROR('Price History'!N3+(INDEX('Price History'!N:N,MATCH(9.99E+307,'Returns (Calc)'!$A:$A)+1)-'Price History'!N3)*(ROW()-3)/(MATCH(9.99E+307,'Returns (Calc)'!$A:$A)-3),"")</f>
        <v>473.16949367088608</v>
      </c>
      <c r="AJ129" s="131">
        <f>IFERROR('Price History'!O3+(INDEX('Price History'!O:O,MATCH(9.99E+307,'Returns (Calc)'!$A:$A)+1)-'Price History'!O3)*(ROW()-3)/(MATCH(9.99E+307,'Returns (Calc)'!$A:$A)-3),"")</f>
        <v>110.97278481012658</v>
      </c>
      <c r="AK129" s="131">
        <f>IFERROR('Price History'!Q3+(INDEX('Price History'!Q:Q,MATCH(9.99E+307,'Returns (Calc)'!$A:$A)+1)-'Price History'!Q3)*(ROW()-3)/(MATCH(9.99E+307,'Returns (Calc)'!$A:$A)-3),"")</f>
        <v>55.360253164556966</v>
      </c>
      <c r="AL129" s="131">
        <f>IFERROR('Price History'!R3+(INDEX('Price History'!R:R,MATCH(9.99E+307,'Returns (Calc)'!$A:$A)+1)-'Price History'!R3)*(ROW()-3)/(MATCH(9.99E+307,'Returns (Calc)'!$A:$A)-3),"")</f>
        <v>55.660759493670881</v>
      </c>
      <c r="AM129" s="131">
        <f>IFERROR('Price History'!S3+(INDEX('Price History'!S:S,MATCH(9.99E+307,'Returns (Calc)'!$A:$A)+1)-'Price History'!S3)*(ROW()-3)/(MATCH(9.99E+307,'Returns (Calc)'!$A:$A)-3),"")</f>
        <v>133.8679746835443</v>
      </c>
      <c r="AN129" s="131">
        <f>IFERROR('Price History'!T3+(INDEX('Price History'!T:T,MATCH(9.99E+307,'Returns (Calc)'!$A:$A)+1)-'Price History'!T3)*(ROW()-3)/(MATCH(9.99E+307,'Returns (Calc)'!$A:$A)-3),"")</f>
        <v>46.436708860759495</v>
      </c>
      <c r="AO129" s="132">
        <f>IFERROR('Price History'!V3+(INDEX('Price History'!V:V,MATCH(9.99E+307,'Returns (Calc)'!$A:$A)+1)-'Price History'!V3)*(ROW()-3)/(MATCH(9.99E+307,'Returns (Calc)'!$A:$A)-3),"")</f>
        <v>335.33746835443037</v>
      </c>
      <c r="AP129" s="130">
        <f>IFERROR(IF(OR(NOT(ISNUMBER('Price History'!W130)),NOT(ISNUMBER('Price History'!W129)),'Price History'!W129=0),"",'Price History'!W130/'Price History'!W129-1),"")</f>
        <v>1.2445958338791474E-3</v>
      </c>
      <c r="AQ129" s="130">
        <f>IFERROR(IF(OR(NOT(ISNUMBER('Price History'!X130)),NOT(ISNUMBER('Price History'!X129)),'Price History'!X129=0),"",'Price History'!X130/'Price History'!X129-1),"")</f>
        <v>2.9750099166996335E-3</v>
      </c>
      <c r="AR129" s="130">
        <f>IFERROR(IF(OR(NOT(ISNUMBER('Price History'!Y130)),NOT(ISNUMBER('Price History'!Y129)),'Price History'!Y129=0),"",'Price History'!Y130/'Price History'!Y129-1),"")</f>
        <v>3.2034169781098853E-3</v>
      </c>
      <c r="AS129" s="130">
        <f>IFERROR(IF(OR(NOT(ISNUMBER('Price History'!Z130)),NOT(ISNUMBER('Price History'!Z129)),'Price History'!Z129=0),"",'Price History'!Z130/'Price History'!Z129-1),"")</f>
        <v>8.8154883011190233E-2</v>
      </c>
      <c r="AT129" s="130">
        <f>IFERROR(IF(OR(NOT(ISNUMBER('Price History'!AA130)),NOT(ISNUMBER('Price History'!AA129)),'Price History'!AA129=0),"",'Price History'!AA130/'Price History'!AA129-1),"")</f>
        <v>2.3416157148432371E-2</v>
      </c>
    </row>
    <row r="130" spans="1:46" ht="15" customHeight="1" x14ac:dyDescent="0.2">
      <c r="A130" s="128">
        <f>IF('Price History'!A131="","",'Price History'!A131)</f>
        <v>46080</v>
      </c>
      <c r="B130" s="129">
        <f>IFERROR(IF(OR(NOT(ISNUMBER('Price History'!B131)),NOT(ISNUMBER('Price History'!B130)),'Price History'!B130=0),"",'Price History'!B131/'Price History'!B130-1),"")</f>
        <v>1.4693940682881657E-2</v>
      </c>
      <c r="C130" s="129">
        <f>IFERROR(IF(OR(NOT(ISNUMBER('Price History'!C131)),NOT(ISNUMBER('Price History'!C130)),'Price History'!C130=0),"",'Price History'!C131/'Price History'!C130-1),"")</f>
        <v>5.3467881617592639E-3</v>
      </c>
      <c r="D130" s="129">
        <f>IFERROR(IF(OR(NOT(ISNUMBER('Price History'!D131)),NOT(ISNUMBER('Price History'!D130)),'Price History'!D130=0),"",'Price History'!D131/'Price History'!D130-1),"")</f>
        <v>-1.2946486490177489E-2</v>
      </c>
      <c r="E130" s="129">
        <f>IFERROR(IF(OR(NOT(ISNUMBER('Price History'!E131)),NOT(ISNUMBER('Price History'!E130)),'Price History'!E130=0),"",'Price History'!E131/'Price History'!E130-1),"")</f>
        <v>-3.93857872623401E-2</v>
      </c>
      <c r="F130" s="129">
        <f>IFERROR(IF(OR(NOT(ISNUMBER('Price History'!F131)),NOT(ISNUMBER('Price History'!F130)),'Price History'!F130=0),"",'Price History'!F131/'Price History'!F130-1),"")</f>
        <v>-4.2717447246526041E-2</v>
      </c>
      <c r="G130" s="129">
        <f>IFERROR(IF(OR(NOT(ISNUMBER('Price History'!G131)),NOT(ISNUMBER('Price History'!G130)),'Price History'!G130=0),"",'Price History'!G131/'Price History'!G130-1),"")</f>
        <v>1.9096756901634926E-2</v>
      </c>
      <c r="H130" s="129">
        <f>IFERROR(IF(OR(NOT(ISNUMBER('Price History'!H131)),NOT(ISNUMBER('Price History'!H130)),'Price History'!H130=0),"",'Price History'!H131/'Price History'!H130-1),"")</f>
        <v>-3.6899420452421006E-2</v>
      </c>
      <c r="I130" s="129">
        <f>IFERROR(IF(OR(NOT(ISNUMBER('Price History'!I131)),NOT(ISNUMBER('Price History'!I130)),'Price History'!I130=0),"",'Price History'!I131/'Price History'!I130-1),"")</f>
        <v>-6.6532896821206E-2</v>
      </c>
      <c r="J130" s="129">
        <f>IFERROR(IF(OR(NOT(ISNUMBER('Price History'!J131)),NOT(ISNUMBER('Price History'!J130)),'Price History'!J130=0),"",'Price History'!J131/'Price History'!J130-1),"")</f>
        <v>7.5215158747377053E-3</v>
      </c>
      <c r="K130" s="129">
        <f>IFERROR(IF(OR(NOT(ISNUMBER('Price History'!K131)),NOT(ISNUMBER('Price History'!K130)),'Price History'!K130=0),"",'Price History'!K131/'Price History'!K130-1),"")</f>
        <v>1.4418811002661958E-2</v>
      </c>
      <c r="L130" s="129">
        <f>IFERROR(IF(OR(NOT(ISNUMBER('Price History'!L131)),NOT(ISNUMBER('Price History'!L130)),'Price History'!L130=0),"",'Price History'!L131/'Price History'!L130-1),"")</f>
        <v>1.0907112743098191E-2</v>
      </c>
      <c r="M130" s="129">
        <f>IFERROR(IF(OR(NOT(ISNUMBER('Price History'!M131)),NOT(ISNUMBER('Price History'!M130)),'Price History'!M130=0),"",'Price History'!M131/'Price History'!M130-1),"")</f>
        <v>4.569340668363564E-2</v>
      </c>
      <c r="N130" s="129">
        <f>IFERROR(IF(OR(NOT(ISNUMBER('Price History'!N131)),NOT(ISNUMBER('Price History'!N130)),'Price History'!N130=0),"",'Price History'!N131/'Price History'!N130-1),"")</f>
        <v>4.1790731809603798E-2</v>
      </c>
      <c r="O130" s="129">
        <f>IFERROR(IF(OR(NOT(ISNUMBER('Price History'!O131)),NOT(ISNUMBER('Price History'!O130)),'Price History'!O130=0),"",'Price History'!O131/'Price History'!O130-1),"")</f>
        <v>-2.2193097422455232E-2</v>
      </c>
      <c r="P130" s="129">
        <f>IFERROR(IF(OR(NOT(ISNUMBER('Price History'!P131)),NOT(ISNUMBER('Price History'!P130)),'Price History'!P130=0),"",'Price History'!P131/'Price History'!P130-1),"")</f>
        <v>-3.3305034937634037E-3</v>
      </c>
      <c r="Q130" s="129">
        <f>IFERROR(IF(OR(NOT(ISNUMBER('Price History'!Q131)),NOT(ISNUMBER('Price History'!Q130)),'Price History'!Q130=0),"",'Price History'!Q131/'Price History'!Q130-1),"")</f>
        <v>-5.6920311563811721E-3</v>
      </c>
      <c r="R130" s="129">
        <f>IFERROR(IF(OR(NOT(ISNUMBER('Price History'!R131)),NOT(ISNUMBER('Price History'!R130)),'Price History'!R130=0),"",'Price History'!R131/'Price History'!R130-1),"")</f>
        <v>-1.8656716417910779E-3</v>
      </c>
      <c r="S130" s="129">
        <f>IFERROR(IF(OR(NOT(ISNUMBER('Price History'!S131)),NOT(ISNUMBER('Price History'!S130)),'Price History'!S130=0),"",'Price History'!S131/'Price History'!S130-1),"")</f>
        <v>-4.0254948004024849E-3</v>
      </c>
      <c r="T130" s="129">
        <f>IFERROR(IF(OR(NOT(ISNUMBER('Price History'!T131)),NOT(ISNUMBER('Price History'!T130)),'Price History'!T130=0),"",'Price History'!T131/'Price History'!T130-1),"")</f>
        <v>3.493013972055925E-3</v>
      </c>
      <c r="U130" s="129">
        <f>IFERROR(IF(OR(NOT(ISNUMBER('Price History'!U131)),NOT(ISNUMBER('Price History'!U130)),'Price History'!U130=0),"",'Price History'!U131/'Price History'!U130-1),"")</f>
        <v>5.1863857374392364E-3</v>
      </c>
      <c r="V130" s="130">
        <f>IFERROR(IF(OR(NOT(ISNUMBER('Price History'!V131)),NOT(ISNUMBER('Price History'!V130)),'Price History'!V130=0),"",'Price History'!V131/'Price History'!V130-1),"")</f>
        <v>-2.5024242234664706E-3</v>
      </c>
      <c r="W130" s="131">
        <f>IFERROR('Price History'!B3+(INDEX('Price History'!B:B,MATCH(9.99E+307,'Returns (Calc)'!$A:$A)+1)-'Price History'!B3)*(ROW()-3)/(MATCH(9.99E+307,'Returns (Calc)'!$A:$A)-3),"")</f>
        <v>294.82417721518982</v>
      </c>
      <c r="X130" s="131">
        <f>IFERROR('Price History'!C3+(INDEX('Price History'!C:C,MATCH(9.99E+307,'Returns (Calc)'!$A:$A)+1)-'Price History'!C3)*(ROW()-3)/(MATCH(9.99E+307,'Returns (Calc)'!$A:$A)-3),"")</f>
        <v>175.72803797468356</v>
      </c>
      <c r="Y130" s="131">
        <f>IFERROR('Price History'!D3+(INDEX('Price History'!D:D,MATCH(9.99E+307,'Returns (Calc)'!$A:$A)+1)-'Price History'!D3)*(ROW()-3)/(MATCH(9.99E+307,'Returns (Calc)'!$A:$A)-3),"")</f>
        <v>1615.1308860759493</v>
      </c>
      <c r="Z130" s="131">
        <f>IFERROR('Price History'!E3+(INDEX('Price History'!E:E,MATCH(9.99E+307,'Returns (Calc)'!$A:$A)+1)-'Price History'!E3)*(ROW()-3)/(MATCH(9.99E+307,'Returns (Calc)'!$A:$A)-3),"")</f>
        <v>301.54924050632911</v>
      </c>
      <c r="AA130" s="131">
        <f>IFERROR('Price History'!F3+(INDEX('Price History'!F:F,MATCH(9.99E+307,'Returns (Calc)'!$A:$A)+1)-'Price History'!F3)*(ROW()-3)/(MATCH(9.99E+307,'Returns (Calc)'!$A:$A)-3),"")</f>
        <v>225.17240506329114</v>
      </c>
      <c r="AB130" s="131">
        <f>IFERROR('Price History'!G3+(INDEX('Price History'!G:G,MATCH(9.99E+307,'Returns (Calc)'!$A:$A)+1)-'Price History'!G3)*(ROW()-3)/(MATCH(9.99E+307,'Returns (Calc)'!$A:$A)-3),"")</f>
        <v>174.9992405063291</v>
      </c>
      <c r="AC130" s="131">
        <f>IFERROR('Price History'!H3+(INDEX('Price History'!H:H,MATCH(9.99E+307,'Returns (Calc)'!$A:$A)+1)-'Price History'!H3)*(ROW()-3)/(MATCH(9.99E+307,'Returns (Calc)'!$A:$A)-3),"")</f>
        <v>877.55341772151905</v>
      </c>
      <c r="AD130" s="131">
        <f>IFERROR('Price History'!I3+(INDEX('Price History'!I:I,MATCH(9.99E+307,'Returns (Calc)'!$A:$A)+1)-'Price History'!I3)*(ROW()-3)/(MATCH(9.99E+307,'Returns (Calc)'!$A:$A)-3),"")</f>
        <v>196.63620253164555</v>
      </c>
      <c r="AE130" s="131">
        <f>IFERROR('Price History'!J3+(INDEX('Price History'!J:J,MATCH(9.99E+307,'Returns (Calc)'!$A:$A)+1)-'Price History'!J3)*(ROW()-3)/(MATCH(9.99E+307,'Returns (Calc)'!$A:$A)-3),"")</f>
        <v>125.56082278481013</v>
      </c>
      <c r="AF130" s="131">
        <f>IFERROR('Price History'!K3+(INDEX('Price History'!K:K,MATCH(9.99E+307,'Returns (Calc)'!$A:$A)+1)-'Price History'!K3)*(ROW()-3)/(MATCH(9.99E+307,'Returns (Calc)'!$A:$A)-3),"")</f>
        <v>154.72455696202533</v>
      </c>
      <c r="AG130" s="131">
        <f>IFERROR('Price History'!L3+(INDEX('Price History'!L:L,MATCH(9.99E+307,'Returns (Calc)'!$A:$A)+1)-'Price History'!L3)*(ROW()-3)/(MATCH(9.99E+307,'Returns (Calc)'!$A:$A)-3),"")</f>
        <v>396.8437341772152</v>
      </c>
      <c r="AH130" s="131">
        <f>IFERROR('Price History'!M3+(INDEX('Price History'!M:M,MATCH(9.99E+307,'Returns (Calc)'!$A:$A)+1)-'Price History'!M3)*(ROW()-3)/(MATCH(9.99E+307,'Returns (Calc)'!$A:$A)-3),"")</f>
        <v>210.16126582278483</v>
      </c>
      <c r="AI130" s="131">
        <f>IFERROR('Price History'!N3+(INDEX('Price History'!N:N,MATCH(9.99E+307,'Returns (Calc)'!$A:$A)+1)-'Price History'!N3)*(ROW()-3)/(MATCH(9.99E+307,'Returns (Calc)'!$A:$A)-3),"")</f>
        <v>474.15575949367087</v>
      </c>
      <c r="AJ130" s="131">
        <f>IFERROR('Price History'!O3+(INDEX('Price History'!O:O,MATCH(9.99E+307,'Returns (Calc)'!$A:$A)+1)-'Price History'!O3)*(ROW()-3)/(MATCH(9.99E+307,'Returns (Calc)'!$A:$A)-3),"")</f>
        <v>111.25582278481014</v>
      </c>
      <c r="AK130" s="131">
        <f>IFERROR('Price History'!Q3+(INDEX('Price History'!Q:Q,MATCH(9.99E+307,'Returns (Calc)'!$A:$A)+1)-'Price History'!Q3)*(ROW()-3)/(MATCH(9.99E+307,'Returns (Calc)'!$A:$A)-3),"")</f>
        <v>55.799620253164555</v>
      </c>
      <c r="AL130" s="131">
        <f>IFERROR('Price History'!R3+(INDEX('Price History'!R:R,MATCH(9.99E+307,'Returns (Calc)'!$A:$A)+1)-'Price History'!R3)*(ROW()-3)/(MATCH(9.99E+307,'Returns (Calc)'!$A:$A)-3),"")</f>
        <v>55.828860759493665</v>
      </c>
      <c r="AM130" s="131">
        <f>IFERROR('Price History'!S3+(INDEX('Price History'!S:S,MATCH(9.99E+307,'Returns (Calc)'!$A:$A)+1)-'Price History'!S3)*(ROW()-3)/(MATCH(9.99E+307,'Returns (Calc)'!$A:$A)-3),"")</f>
        <v>134.47303797468354</v>
      </c>
      <c r="AN130" s="131">
        <f>IFERROR('Price History'!T3+(INDEX('Price History'!T:T,MATCH(9.99E+307,'Returns (Calc)'!$A:$A)+1)-'Price History'!T3)*(ROW()-3)/(MATCH(9.99E+307,'Returns (Calc)'!$A:$A)-3),"")</f>
        <v>46.604936708860762</v>
      </c>
      <c r="AO130" s="132">
        <f>IFERROR('Price History'!V3+(INDEX('Price History'!V:V,MATCH(9.99E+307,'Returns (Calc)'!$A:$A)+1)-'Price History'!V3)*(ROW()-3)/(MATCH(9.99E+307,'Returns (Calc)'!$A:$A)-3),"")</f>
        <v>336.12879746835443</v>
      </c>
      <c r="AP130" s="130">
        <f>IFERROR(IF(OR(NOT(ISNUMBER('Price History'!W131)),NOT(ISNUMBER('Price History'!W130)),'Price History'!W130=0),"",'Price History'!W131/'Price History'!W130-1),"")</f>
        <v>-3.2711808963035161E-3</v>
      </c>
      <c r="AQ130" s="130">
        <f>IFERROR(IF(OR(NOT(ISNUMBER('Price History'!X131)),NOT(ISNUMBER('Price History'!X130)),'Price History'!X130=0),"",'Price History'!X131/'Price History'!X130-1),"")</f>
        <v>1.0085030650583304E-2</v>
      </c>
      <c r="AR130" s="130">
        <f>IFERROR(IF(OR(NOT(ISNUMBER('Price History'!Y131)),NOT(ISNUMBER('Price History'!Y130)),'Price History'!Y130=0),"",'Price History'!Y131/'Price History'!Y130-1),"")</f>
        <v>6.3863757317721426E-3</v>
      </c>
      <c r="AS130" s="130">
        <f>IFERROR(IF(OR(NOT(ISNUMBER('Price History'!Z131)),NOT(ISNUMBER('Price History'!Z130)),'Price History'!Z130=0),"",'Price History'!Z131/'Price History'!Z130-1),"")</f>
        <v>-2.7754243477754459E-3</v>
      </c>
      <c r="AT130" s="130">
        <f>IFERROR(IF(OR(NOT(ISNUMBER('Price History'!AA131)),NOT(ISNUMBER('Price History'!AA130)),'Price History'!AA130=0),"",'Price History'!AA131/'Price History'!AA130-1),"")</f>
        <v>0.22333799415278999</v>
      </c>
    </row>
    <row r="131" spans="1:46" ht="15" customHeight="1" x14ac:dyDescent="0.2">
      <c r="A131" s="128">
        <f>IF('Price History'!A132="","",'Price History'!A132)</f>
        <v>46087</v>
      </c>
      <c r="B131" s="129">
        <f>IFERROR(IF(OR(NOT(ISNUMBER('Price History'!B132)),NOT(ISNUMBER('Price History'!B131)),'Price History'!B131=0),"",'Price History'!B132/'Price History'!B131-1),"")</f>
        <v>8.0827712358522819E-2</v>
      </c>
      <c r="C131" s="129">
        <f>IFERROR(IF(OR(NOT(ISNUMBER('Price History'!C132)),NOT(ISNUMBER('Price History'!C131)),'Price History'!C131=0),"",'Price History'!C132/'Price History'!C131-1),"")</f>
        <v>-4.5692883895132042E-3</v>
      </c>
      <c r="D131" s="129">
        <f>IFERROR(IF(OR(NOT(ISNUMBER('Price History'!D132)),NOT(ISNUMBER('Price History'!D131)),'Price History'!D131=0),"",'Price History'!D132/'Price History'!D131-1),"")</f>
        <v>-0.10875595802231708</v>
      </c>
      <c r="E131" s="129">
        <f>IFERROR(IF(OR(NOT(ISNUMBER('Price History'!E132)),NOT(ISNUMBER('Price History'!E131)),'Price History'!E131=0),"",'Price History'!E132/'Price History'!E131-1),"")</f>
        <v>3.4203901825047289E-2</v>
      </c>
      <c r="F131" s="129">
        <f>IFERROR(IF(OR(NOT(ISNUMBER('Price History'!F132)),NOT(ISNUMBER('Price History'!F131)),'Price History'!F131=0),"",'Price History'!F132/'Price History'!F131-1),"")</f>
        <v>0.15322580645161299</v>
      </c>
      <c r="G131" s="129">
        <f>IFERROR(IF(OR(NOT(ISNUMBER('Price History'!G132)),NOT(ISNUMBER('Price History'!G131)),'Price History'!G131=0),"",'Price History'!G132/'Price History'!G131-1),"")</f>
        <v>-0.11808797422578743</v>
      </c>
      <c r="H131" s="129">
        <f>IFERROR(IF(OR(NOT(ISNUMBER('Price History'!H132)),NOT(ISNUMBER('Price History'!H131)),'Price History'!H131=0),"",'Price History'!H132/'Price History'!H131-1),"")</f>
        <v>-0.10200664838764473</v>
      </c>
      <c r="I131" s="129">
        <f>IFERROR(IF(OR(NOT(ISNUMBER('Price History'!I132)),NOT(ISNUMBER('Price History'!I131)),'Price History'!I131=0),"",'Price History'!I132/'Price History'!I131-1),"")</f>
        <v>3.5071840705962476E-3</v>
      </c>
      <c r="J131" s="129">
        <f>IFERROR(IF(OR(NOT(ISNUMBER('Price History'!J132)),NOT(ISNUMBER('Price History'!J131)),'Price History'!J131=0),"",'Price History'!J132/'Price History'!J131-1),"")</f>
        <v>-5.634914937908253E-2</v>
      </c>
      <c r="K131" s="129">
        <f>IFERROR(IF(OR(NOT(ISNUMBER('Price History'!K132)),NOT(ISNUMBER('Price History'!K131)),'Price History'!K131=0),"",'Price History'!K132/'Price History'!K131-1),"")</f>
        <v>0.14556454552081055</v>
      </c>
      <c r="L131" s="129">
        <f>IFERROR(IF(OR(NOT(ISNUMBER('Price History'!L132)),NOT(ISNUMBER('Price History'!L131)),'Price History'!L131=0),"",'Price History'!L132/'Price History'!L131-1),"")</f>
        <v>-9.5275251574019282E-2</v>
      </c>
      <c r="M131" s="129">
        <f>IFERROR(IF(OR(NOT(ISNUMBER('Price History'!M132)),NOT(ISNUMBER('Price History'!M131)),'Price History'!M131=0),"",'Price History'!M132/'Price History'!M131-1),"")</f>
        <v>-5.1431039221074948E-2</v>
      </c>
      <c r="N131" s="129">
        <f>IFERROR(IF(OR(NOT(ISNUMBER('Price History'!N132)),NOT(ISNUMBER('Price History'!N131)),'Price History'!N131=0),"",'Price History'!N132/'Price History'!N131-1),"")</f>
        <v>-8.0792222691866367E-2</v>
      </c>
      <c r="O131" s="129">
        <f>IFERROR(IF(OR(NOT(ISNUMBER('Price History'!O132)),NOT(ISNUMBER('Price History'!O131)),'Price History'!O131=0),"",'Price History'!O132/'Price History'!O131-1),"")</f>
        <v>-3.8334375837726697E-2</v>
      </c>
      <c r="P131" s="129">
        <f>IFERROR(IF(OR(NOT(ISNUMBER('Price History'!P132)),NOT(ISNUMBER('Price History'!P131)),'Price History'!P131=0),"",'Price History'!P132/'Price History'!P131-1),"")</f>
        <v>-2.4701873935264129E-2</v>
      </c>
      <c r="Q131" s="129">
        <f>IFERROR(IF(OR(NOT(ISNUMBER('Price History'!Q132)),NOT(ISNUMBER('Price History'!Q131)),'Price History'!Q131=0),"",'Price History'!Q132/'Price History'!Q131-1),"")</f>
        <v>-1.1298583910816506E-2</v>
      </c>
      <c r="R131" s="129">
        <f>IFERROR(IF(OR(NOT(ISNUMBER('Price History'!R132)),NOT(ISNUMBER('Price History'!R131)),'Price History'!R131=0),"",'Price History'!R132/'Price History'!R131-1),"")</f>
        <v>-1.1962616822429939E-2</v>
      </c>
      <c r="S131" s="129">
        <f>IFERROR(IF(OR(NOT(ISNUMBER('Price History'!S132)),NOT(ISNUMBER('Price History'!S131)),'Price History'!S131=0),"",'Price History'!S132/'Price History'!S131-1),"")</f>
        <v>-1.0357022566520713E-2</v>
      </c>
      <c r="T131" s="129">
        <f>IFERROR(IF(OR(NOT(ISNUMBER('Price History'!T132)),NOT(ISNUMBER('Price History'!T131)),'Price History'!T131=0),"",'Price History'!T132/'Price History'!T131-1),"")</f>
        <v>-9.1994032819492366E-3</v>
      </c>
      <c r="U131" s="129">
        <f>IFERROR(IF(OR(NOT(ISNUMBER('Price History'!U132)),NOT(ISNUMBER('Price History'!U131)),'Price History'!U131=0),"",'Price History'!U132/'Price History'!U131-1),"")</f>
        <v>-2.0316027088036148E-2</v>
      </c>
      <c r="V131" s="130">
        <f>IFERROR(IF(OR(NOT(ISNUMBER('Price History'!V132)),NOT(ISNUMBER('Price History'!V131)),'Price History'!V131=0),"",'Price History'!V132/'Price History'!V131-1),"")</f>
        <v>-8.6863808836902257E-3</v>
      </c>
      <c r="W131" s="131">
        <f>IFERROR('Price History'!B3+(INDEX('Price History'!B:B,MATCH(9.99E+307,'Returns (Calc)'!$A:$A)+1)-'Price History'!B3)*(ROW()-3)/(MATCH(9.99E+307,'Returns (Calc)'!$A:$A)-3),"")</f>
        <v>292.98113924050631</v>
      </c>
      <c r="X131" s="131">
        <f>IFERROR('Price History'!C3+(INDEX('Price History'!C:C,MATCH(9.99E+307,'Returns (Calc)'!$A:$A)+1)-'Price History'!C3)*(ROW()-3)/(MATCH(9.99E+307,'Returns (Calc)'!$A:$A)-3),"")</f>
        <v>176.74810126582278</v>
      </c>
      <c r="Y131" s="131">
        <f>IFERROR('Price History'!D3+(INDEX('Price History'!D:D,MATCH(9.99E+307,'Returns (Calc)'!$A:$A)+1)-'Price History'!D3)*(ROW()-3)/(MATCH(9.99E+307,'Returns (Calc)'!$A:$A)-3),"")</f>
        <v>1623.2656962025317</v>
      </c>
      <c r="Z131" s="131">
        <f>IFERROR('Price History'!E3+(INDEX('Price History'!E:E,MATCH(9.99E+307,'Returns (Calc)'!$A:$A)+1)-'Price History'!E3)*(ROW()-3)/(MATCH(9.99E+307,'Returns (Calc)'!$A:$A)-3),"")</f>
        <v>303.2779746835443</v>
      </c>
      <c r="AA131" s="131">
        <f>IFERROR('Price History'!F3+(INDEX('Price History'!F:F,MATCH(9.99E+307,'Returns (Calc)'!$A:$A)+1)-'Price History'!F3)*(ROW()-3)/(MATCH(9.99E+307,'Returns (Calc)'!$A:$A)-3),"")</f>
        <v>226.61974683544304</v>
      </c>
      <c r="AB131" s="131">
        <f>IFERROR('Price History'!G3+(INDEX('Price History'!G:G,MATCH(9.99E+307,'Returns (Calc)'!$A:$A)+1)-'Price History'!G3)*(ROW()-3)/(MATCH(9.99E+307,'Returns (Calc)'!$A:$A)-3),"")</f>
        <v>176.0279746835443</v>
      </c>
      <c r="AC131" s="131">
        <f>IFERROR('Price History'!H3+(INDEX('Price History'!H:H,MATCH(9.99E+307,'Returns (Calc)'!$A:$A)+1)-'Price History'!H3)*(ROW()-3)/(MATCH(9.99E+307,'Returns (Calc)'!$A:$A)-3),"")</f>
        <v>883.91911392405075</v>
      </c>
      <c r="AD131" s="131">
        <f>IFERROR('Price History'!I3+(INDEX('Price History'!I:I,MATCH(9.99E+307,'Returns (Calc)'!$A:$A)+1)-'Price History'!I3)*(ROW()-3)/(MATCH(9.99E+307,'Returns (Calc)'!$A:$A)-3),"")</f>
        <v>197.83987341772152</v>
      </c>
      <c r="AE131" s="131">
        <f>IFERROR('Price History'!J3+(INDEX('Price History'!J:J,MATCH(9.99E+307,'Returns (Calc)'!$A:$A)+1)-'Price History'!J3)*(ROW()-3)/(MATCH(9.99E+307,'Returns (Calc)'!$A:$A)-3),"")</f>
        <v>125.66886075949367</v>
      </c>
      <c r="AF131" s="131">
        <f>IFERROR('Price History'!K3+(INDEX('Price History'!K:K,MATCH(9.99E+307,'Returns (Calc)'!$A:$A)+1)-'Price History'!K3)*(ROW()-3)/(MATCH(9.99E+307,'Returns (Calc)'!$A:$A)-3),"")</f>
        <v>155.82215189873418</v>
      </c>
      <c r="AG131" s="131">
        <f>IFERROR('Price History'!L3+(INDEX('Price History'!L:L,MATCH(9.99E+307,'Returns (Calc)'!$A:$A)+1)-'Price History'!L3)*(ROW()-3)/(MATCH(9.99E+307,'Returns (Calc)'!$A:$A)-3),"")</f>
        <v>399.29329113924047</v>
      </c>
      <c r="AH131" s="131">
        <f>IFERROR('Price History'!M3+(INDEX('Price History'!M:M,MATCH(9.99E+307,'Returns (Calc)'!$A:$A)+1)-'Price History'!M3)*(ROW()-3)/(MATCH(9.99E+307,'Returns (Calc)'!$A:$A)-3),"")</f>
        <v>211.51670886075951</v>
      </c>
      <c r="AI131" s="131">
        <f>IFERROR('Price History'!N3+(INDEX('Price History'!N:N,MATCH(9.99E+307,'Returns (Calc)'!$A:$A)+1)-'Price History'!N3)*(ROW()-3)/(MATCH(9.99E+307,'Returns (Calc)'!$A:$A)-3),"")</f>
        <v>475.14202531645572</v>
      </c>
      <c r="AJ131" s="131">
        <f>IFERROR('Price History'!O3+(INDEX('Price History'!O:O,MATCH(9.99E+307,'Returns (Calc)'!$A:$A)+1)-'Price History'!O3)*(ROW()-3)/(MATCH(9.99E+307,'Returns (Calc)'!$A:$A)-3),"")</f>
        <v>111.53886075949367</v>
      </c>
      <c r="AK131" s="131">
        <f>IFERROR('Price History'!Q3+(INDEX('Price History'!Q:Q,MATCH(9.99E+307,'Returns (Calc)'!$A:$A)+1)-'Price History'!Q3)*(ROW()-3)/(MATCH(9.99E+307,'Returns (Calc)'!$A:$A)-3),"")</f>
        <v>56.238987341772152</v>
      </c>
      <c r="AL131" s="131">
        <f>IFERROR('Price History'!R3+(INDEX('Price History'!R:R,MATCH(9.99E+307,'Returns (Calc)'!$A:$A)+1)-'Price History'!R3)*(ROW()-3)/(MATCH(9.99E+307,'Returns (Calc)'!$A:$A)-3),"")</f>
        <v>55.996962025316449</v>
      </c>
      <c r="AM131" s="131">
        <f>IFERROR('Price History'!S3+(INDEX('Price History'!S:S,MATCH(9.99E+307,'Returns (Calc)'!$A:$A)+1)-'Price History'!S3)*(ROW()-3)/(MATCH(9.99E+307,'Returns (Calc)'!$A:$A)-3),"")</f>
        <v>135.0781012658228</v>
      </c>
      <c r="AN131" s="131">
        <f>IFERROR('Price History'!T3+(INDEX('Price History'!T:T,MATCH(9.99E+307,'Returns (Calc)'!$A:$A)+1)-'Price History'!T3)*(ROW()-3)/(MATCH(9.99E+307,'Returns (Calc)'!$A:$A)-3),"")</f>
        <v>46.77316455696203</v>
      </c>
      <c r="AO131" s="132">
        <f>IFERROR('Price History'!V3+(INDEX('Price History'!V:V,MATCH(9.99E+307,'Returns (Calc)'!$A:$A)+1)-'Price History'!V3)*(ROW()-3)/(MATCH(9.99E+307,'Returns (Calc)'!$A:$A)-3),"")</f>
        <v>336.9201265822785</v>
      </c>
      <c r="AP131" s="130">
        <f>IFERROR(IF(OR(NOT(ISNUMBER('Price History'!W132)),NOT(ISNUMBER('Price History'!W131)),'Price History'!W131=0),"",'Price History'!W132/'Price History'!W131-1),"")</f>
        <v>-2.7830653101411085E-2</v>
      </c>
      <c r="AQ131" s="130">
        <f>IFERROR(IF(OR(NOT(ISNUMBER('Price History'!X132)),NOT(ISNUMBER('Price History'!X131)),'Price History'!X131=0),"",'Price History'!X132/'Price History'!X131-1),"")</f>
        <v>9.9843382928739288E-3</v>
      </c>
      <c r="AR131" s="130">
        <f>IFERROR(IF(OR(NOT(ISNUMBER('Price History'!Y132)),NOT(ISNUMBER('Price History'!Y131)),'Price History'!Y131=0),"",'Price History'!Y132/'Price History'!Y131-1),"")</f>
        <v>-2.414947999294903E-2</v>
      </c>
      <c r="AS131" s="130">
        <f>IFERROR(IF(OR(NOT(ISNUMBER('Price History'!Z132)),NOT(ISNUMBER('Price History'!Z131)),'Price History'!Z131=0),"",'Price History'!Z132/'Price History'!Z131-1),"")</f>
        <v>-5.5955938360578772E-2</v>
      </c>
      <c r="AT131" s="130">
        <f>IFERROR(IF(OR(NOT(ISNUMBER('Price History'!AA132)),NOT(ISNUMBER('Price History'!AA131)),'Price History'!AA131=0),"",'Price History'!AA132/'Price History'!AA131-1),"")</f>
        <v>2.8886118038237818E-2</v>
      </c>
    </row>
    <row r="132" spans="1:46" ht="15" customHeight="1" x14ac:dyDescent="0.2">
      <c r="A132" s="128">
        <f>IF('Price History'!A133="","",'Price History'!A133)</f>
        <v>46094</v>
      </c>
      <c r="B132" s="129">
        <f>IFERROR(IF(OR(NOT(ISNUMBER('Price History'!B133)),NOT(ISNUMBER('Price History'!B132)),'Price History'!B132=0),"",'Price History'!B133/'Price History'!B132-1),"")</f>
        <v>-0.12093646428319582</v>
      </c>
      <c r="C132" s="129">
        <f>IFERROR(IF(OR(NOT(ISNUMBER('Price History'!C133)),NOT(ISNUMBER('Price History'!C132)),'Price History'!C132=0),"",'Price History'!C133/'Price History'!C132-1),"")</f>
        <v>5.1170140717886614E-3</v>
      </c>
      <c r="D132" s="129">
        <f>IFERROR(IF(OR(NOT(ISNUMBER('Price History'!D133)),NOT(ISNUMBER('Price History'!D132)),'Price History'!D132=0),"",'Price History'!D133/'Price History'!D132-1),"")</f>
        <v>4.0905986090412405E-2</v>
      </c>
      <c r="E132" s="129">
        <f>IFERROR(IF(OR(NOT(ISNUMBER('Price History'!E133)),NOT(ISNUMBER('Price History'!E132)),'Price History'!E132=0),"",'Price History'!E133/'Price History'!E132-1),"")</f>
        <v>-2.519244226731987E-2</v>
      </c>
      <c r="F132" s="129">
        <f>IFERROR(IF(OR(NOT(ISNUMBER('Price History'!F133)),NOT(ISNUMBER('Price History'!F132)),'Price History'!F132=0),"",'Price History'!F133/'Price History'!F132-1),"")</f>
        <v>2.9743589743589816E-2</v>
      </c>
      <c r="G132" s="129">
        <f>IFERROR(IF(OR(NOT(ISNUMBER('Price History'!G133)),NOT(ISNUMBER('Price History'!G132)),'Price History'!G132=0),"",'Price History'!G133/'Price History'!G132-1),"")</f>
        <v>5.5095802579587128E-2</v>
      </c>
      <c r="H132" s="129">
        <f>IFERROR(IF(OR(NOT(ISNUMBER('Price History'!H133)),NOT(ISNUMBER('Price History'!H132)),'Price History'!H132=0),"",'Price History'!H133/'Price History'!H132-1),"")</f>
        <v>0.15077413602096801</v>
      </c>
      <c r="I132" s="129">
        <f>IFERROR(IF(OR(NOT(ISNUMBER('Price History'!I133)),NOT(ISNUMBER('Price History'!I132)),'Price History'!I132=0),"",'Price History'!I133/'Price History'!I132-1),"")</f>
        <v>1.3754227733934643E-2</v>
      </c>
      <c r="J132" s="129">
        <f>IFERROR(IF(OR(NOT(ISNUMBER('Price History'!J133)),NOT(ISNUMBER('Price History'!J132)),'Price History'!J132=0),"",'Price History'!J133/'Price History'!J132-1),"")</f>
        <v>-2.07667731629394E-2</v>
      </c>
      <c r="K132" s="129">
        <f>IFERROR(IF(OR(NOT(ISNUMBER('Price History'!K133)),NOT(ISNUMBER('Price History'!K132)),'Price History'!K132=0),"",'Price History'!K133/'Price History'!K132-1),"")</f>
        <v>-3.9513871214049479E-2</v>
      </c>
      <c r="L132" s="129">
        <f>IFERROR(IF(OR(NOT(ISNUMBER('Price History'!L133)),NOT(ISNUMBER('Price History'!L132)),'Price History'!L132=0),"",'Price History'!L133/'Price History'!L132-1),"")</f>
        <v>-1.7249070631969454E-3</v>
      </c>
      <c r="M132" s="129">
        <f>IFERROR(IF(OR(NOT(ISNUMBER('Price History'!M133)),NOT(ISNUMBER('Price History'!M132)),'Price History'!M132=0),"",'Price History'!M133/'Price History'!M132-1),"")</f>
        <v>7.0733827242249747E-2</v>
      </c>
      <c r="N132" s="129">
        <f>IFERROR(IF(OR(NOT(ISNUMBER('Price History'!N133)),NOT(ISNUMBER('Price History'!N132)),'Price History'!N132=0),"",'Price History'!N133/'Price History'!N132-1),"")</f>
        <v>2.7699314633558902E-2</v>
      </c>
      <c r="O132" s="129">
        <f>IFERROR(IF(OR(NOT(ISNUMBER('Price History'!O133)),NOT(ISNUMBER('Price History'!O132)),'Price History'!O132=0),"",'Price History'!O133/'Price History'!O132-1),"")</f>
        <v>-1.9141423527225476E-2</v>
      </c>
      <c r="P132" s="129">
        <f>IFERROR(IF(OR(NOT(ISNUMBER('Price History'!P133)),NOT(ISNUMBER('Price History'!P132)),'Price History'!P132=0),"",'Price History'!P133/'Price History'!P132-1),"")</f>
        <v>-1.2159892509237546E-2</v>
      </c>
      <c r="Q132" s="129">
        <f>IFERROR(IF(OR(NOT(ISNUMBER('Price History'!Q133)),NOT(ISNUMBER('Price History'!Q132)),'Price History'!Q132=0),"",'Price History'!Q133/'Price History'!Q132-1),"")</f>
        <v>-1.3408502209355411E-2</v>
      </c>
      <c r="R132" s="129">
        <f>IFERROR(IF(OR(NOT(ISNUMBER('Price History'!R133)),NOT(ISNUMBER('Price History'!R132)),'Price History'!R132=0),"",'Price History'!R133/'Price History'!R132-1),"")</f>
        <v>-5.107832009080493E-3</v>
      </c>
      <c r="S132" s="129">
        <f>IFERROR(IF(OR(NOT(ISNUMBER('Price History'!S133)),NOT(ISNUMBER('Price History'!S132)),'Price History'!S132=0),"",'Price History'!S133/'Price History'!S132-1),"")</f>
        <v>-1.7357270484131715E-2</v>
      </c>
      <c r="T132" s="129">
        <f>IFERROR(IF(OR(NOT(ISNUMBER('Price History'!T133)),NOT(ISNUMBER('Price History'!T132)),'Price History'!T132=0),"",'Price History'!T133/'Price History'!T132-1),"")</f>
        <v>-2.1580928481806705E-2</v>
      </c>
      <c r="U132" s="129">
        <f>IFERROR(IF(OR(NOT(ISNUMBER('Price History'!U133)),NOT(ISNUMBER('Price History'!U132)),'Price History'!U132=0),"",'Price History'!U133/'Price History'!U132-1),"")</f>
        <v>-1.0533245556286985E-2</v>
      </c>
      <c r="V132" s="130">
        <f>IFERROR(IF(OR(NOT(ISNUMBER('Price History'!V133)),NOT(ISNUMBER('Price History'!V132)),'Price History'!V132=0),"",'Price History'!V133/'Price History'!V132-1),"")</f>
        <v>-3.2202960900923672E-2</v>
      </c>
      <c r="W132" s="131">
        <f>IFERROR('Price History'!B3+(INDEX('Price History'!B:B,MATCH(9.99E+307,'Returns (Calc)'!$A:$A)+1)-'Price History'!B3)*(ROW()-3)/(MATCH(9.99E+307,'Returns (Calc)'!$A:$A)-3),"")</f>
        <v>291.1381012658228</v>
      </c>
      <c r="X132" s="131">
        <f>IFERROR('Price History'!C3+(INDEX('Price History'!C:C,MATCH(9.99E+307,'Returns (Calc)'!$A:$A)+1)-'Price History'!C3)*(ROW()-3)/(MATCH(9.99E+307,'Returns (Calc)'!$A:$A)-3),"")</f>
        <v>177.76816455696201</v>
      </c>
      <c r="Y132" s="131">
        <f>IFERROR('Price History'!D3+(INDEX('Price History'!D:D,MATCH(9.99E+307,'Returns (Calc)'!$A:$A)+1)-'Price History'!D3)*(ROW()-3)/(MATCH(9.99E+307,'Returns (Calc)'!$A:$A)-3),"")</f>
        <v>1631.4005063291138</v>
      </c>
      <c r="Z132" s="131">
        <f>IFERROR('Price History'!E3+(INDEX('Price History'!E:E,MATCH(9.99E+307,'Returns (Calc)'!$A:$A)+1)-'Price History'!E3)*(ROW()-3)/(MATCH(9.99E+307,'Returns (Calc)'!$A:$A)-3),"")</f>
        <v>305.00670886075949</v>
      </c>
      <c r="AA132" s="131">
        <f>IFERROR('Price History'!F3+(INDEX('Price History'!F:F,MATCH(9.99E+307,'Returns (Calc)'!$A:$A)+1)-'Price History'!F3)*(ROW()-3)/(MATCH(9.99E+307,'Returns (Calc)'!$A:$A)-3),"")</f>
        <v>228.06708860759494</v>
      </c>
      <c r="AB132" s="131">
        <f>IFERROR('Price History'!G3+(INDEX('Price History'!G:G,MATCH(9.99E+307,'Returns (Calc)'!$A:$A)+1)-'Price History'!G3)*(ROW()-3)/(MATCH(9.99E+307,'Returns (Calc)'!$A:$A)-3),"")</f>
        <v>177.0567088607595</v>
      </c>
      <c r="AC132" s="131">
        <f>IFERROR('Price History'!H3+(INDEX('Price History'!H:H,MATCH(9.99E+307,'Returns (Calc)'!$A:$A)+1)-'Price History'!H3)*(ROW()-3)/(MATCH(9.99E+307,'Returns (Calc)'!$A:$A)-3),"")</f>
        <v>890.28481012658233</v>
      </c>
      <c r="AD132" s="131">
        <f>IFERROR('Price History'!I3+(INDEX('Price History'!I:I,MATCH(9.99E+307,'Returns (Calc)'!$A:$A)+1)-'Price History'!I3)*(ROW()-3)/(MATCH(9.99E+307,'Returns (Calc)'!$A:$A)-3),"")</f>
        <v>199.04354430379746</v>
      </c>
      <c r="AE132" s="131">
        <f>IFERROR('Price History'!J3+(INDEX('Price History'!J:J,MATCH(9.99E+307,'Returns (Calc)'!$A:$A)+1)-'Price History'!J3)*(ROW()-3)/(MATCH(9.99E+307,'Returns (Calc)'!$A:$A)-3),"")</f>
        <v>125.77689873417721</v>
      </c>
      <c r="AF132" s="131">
        <f>IFERROR('Price History'!K3+(INDEX('Price History'!K:K,MATCH(9.99E+307,'Returns (Calc)'!$A:$A)+1)-'Price History'!K3)*(ROW()-3)/(MATCH(9.99E+307,'Returns (Calc)'!$A:$A)-3),"")</f>
        <v>156.91974683544302</v>
      </c>
      <c r="AG132" s="131">
        <f>IFERROR('Price History'!L3+(INDEX('Price History'!L:L,MATCH(9.99E+307,'Returns (Calc)'!$A:$A)+1)-'Price History'!L3)*(ROW()-3)/(MATCH(9.99E+307,'Returns (Calc)'!$A:$A)-3),"")</f>
        <v>401.74284810126579</v>
      </c>
      <c r="AH132" s="131">
        <f>IFERROR('Price History'!M3+(INDEX('Price History'!M:M,MATCH(9.99E+307,'Returns (Calc)'!$A:$A)+1)-'Price History'!M3)*(ROW()-3)/(MATCH(9.99E+307,'Returns (Calc)'!$A:$A)-3),"")</f>
        <v>212.87215189873419</v>
      </c>
      <c r="AI132" s="131">
        <f>IFERROR('Price History'!N3+(INDEX('Price History'!N:N,MATCH(9.99E+307,'Returns (Calc)'!$A:$A)+1)-'Price History'!N3)*(ROW()-3)/(MATCH(9.99E+307,'Returns (Calc)'!$A:$A)-3),"")</f>
        <v>476.12829113924056</v>
      </c>
      <c r="AJ132" s="131">
        <f>IFERROR('Price History'!O3+(INDEX('Price History'!O:O,MATCH(9.99E+307,'Returns (Calc)'!$A:$A)+1)-'Price History'!O3)*(ROW()-3)/(MATCH(9.99E+307,'Returns (Calc)'!$A:$A)-3),"")</f>
        <v>111.82189873417721</v>
      </c>
      <c r="AK132" s="131">
        <f>IFERROR('Price History'!Q3+(INDEX('Price History'!Q:Q,MATCH(9.99E+307,'Returns (Calc)'!$A:$A)+1)-'Price History'!Q3)*(ROW()-3)/(MATCH(9.99E+307,'Returns (Calc)'!$A:$A)-3),"")</f>
        <v>56.678354430379748</v>
      </c>
      <c r="AL132" s="131">
        <f>IFERROR('Price History'!R3+(INDEX('Price History'!R:R,MATCH(9.99E+307,'Returns (Calc)'!$A:$A)+1)-'Price History'!R3)*(ROW()-3)/(MATCH(9.99E+307,'Returns (Calc)'!$A:$A)-3),"")</f>
        <v>56.165063291139234</v>
      </c>
      <c r="AM132" s="131">
        <f>IFERROR('Price History'!S3+(INDEX('Price History'!S:S,MATCH(9.99E+307,'Returns (Calc)'!$A:$A)+1)-'Price History'!S3)*(ROW()-3)/(MATCH(9.99E+307,'Returns (Calc)'!$A:$A)-3),"")</f>
        <v>135.68316455696203</v>
      </c>
      <c r="AN132" s="131">
        <f>IFERROR('Price History'!T3+(INDEX('Price History'!T:T,MATCH(9.99E+307,'Returns (Calc)'!$A:$A)+1)-'Price History'!T3)*(ROW()-3)/(MATCH(9.99E+307,'Returns (Calc)'!$A:$A)-3),"")</f>
        <v>46.94139240506329</v>
      </c>
      <c r="AO132" s="132">
        <f>IFERROR('Price History'!V3+(INDEX('Price History'!V:V,MATCH(9.99E+307,'Returns (Calc)'!$A:$A)+1)-'Price History'!V3)*(ROW()-3)/(MATCH(9.99E+307,'Returns (Calc)'!$A:$A)-3),"")</f>
        <v>337.71145569620256</v>
      </c>
      <c r="AP132" s="130">
        <f>IFERROR(IF(OR(NOT(ISNUMBER('Price History'!W133)),NOT(ISNUMBER('Price History'!W132)),'Price History'!W132=0),"",'Price History'!W133/'Price History'!W132-1),"")</f>
        <v>-1.5326446559989271E-2</v>
      </c>
      <c r="AQ132" s="130">
        <f>IFERROR(IF(OR(NOT(ISNUMBER('Price History'!X133)),NOT(ISNUMBER('Price History'!X132)),'Price History'!X132=0),"",'Price History'!X133/'Price History'!X132-1),"")</f>
        <v>-4.2643923240939241E-3</v>
      </c>
      <c r="AR132" s="130">
        <f>IFERROR(IF(OR(NOT(ISNUMBER('Price History'!Y133)),NOT(ISNUMBER('Price History'!Y132)),'Price History'!Y132=0),"",'Price History'!Y133/'Price History'!Y132-1),"")</f>
        <v>-1.7160404624277481E-2</v>
      </c>
      <c r="AS132" s="130">
        <f>IFERROR(IF(OR(NOT(ISNUMBER('Price History'!Z133)),NOT(ISNUMBER('Price History'!Z132)),'Price History'!Z132=0),"",'Price History'!Z133/'Price History'!Z132-1),"")</f>
        <v>-7.1127110228401236E-2</v>
      </c>
      <c r="AT132" s="130">
        <f>IFERROR(IF(OR(NOT(ISNUMBER('Price History'!AA133)),NOT(ISNUMBER('Price History'!AA132)),'Price History'!AA132=0),"",'Price History'!AA133/'Price History'!AA132-1),"")</f>
        <v>-3.7467178347808439E-2</v>
      </c>
    </row>
    <row r="133" spans="1:46" ht="15" customHeight="1" x14ac:dyDescent="0.2">
      <c r="A133" s="128">
        <f>IF('Price History'!A134="","",'Price History'!A134)</f>
        <v>46101</v>
      </c>
      <c r="B133" s="129">
        <f>IFERROR(IF(OR(NOT(ISNUMBER('Price History'!B134)),NOT(ISNUMBER('Price History'!B133)),'Price History'!B133=0),"",'Price History'!B134/'Price History'!B133-1),"")</f>
        <v>-4.6927643189474955E-3</v>
      </c>
      <c r="C133" s="129">
        <f>IFERROR(IF(OR(NOT(ISNUMBER('Price History'!C134)),NOT(ISNUMBER('Price History'!C133)),'Price History'!C133=0),"",'Price History'!C134/'Price History'!C133-1),"")</f>
        <v>-1.7593771056374941E-2</v>
      </c>
      <c r="D133" s="129">
        <f>IFERROR(IF(OR(NOT(ISNUMBER('Price History'!D134)),NOT(ISNUMBER('Price History'!D133)),'Price History'!D133=0),"",'Price History'!D134/'Price History'!D133-1),"")</f>
        <v>-2.1133167290569799E-2</v>
      </c>
      <c r="E133" s="129">
        <f>IFERROR(IF(OR(NOT(ISNUMBER('Price History'!E134)),NOT(ISNUMBER('Price History'!E133)),'Price History'!E133=0),"",'Price History'!E134/'Price History'!E133-1),"")</f>
        <v>-3.6143450170105118E-2</v>
      </c>
      <c r="F133" s="129">
        <f>IFERROR(IF(OR(NOT(ISNUMBER('Price History'!F134)),NOT(ISNUMBER('Price History'!F133)),'Price History'!F133=0),"",'Price History'!F134/'Price History'!F133-1),"")</f>
        <v>-7.4157913799347996E-2</v>
      </c>
      <c r="G133" s="129">
        <f>IFERROR(IF(OR(NOT(ISNUMBER('Price History'!G134)),NOT(ISNUMBER('Price History'!G133)),'Price History'!G133=0),"",'Price History'!G134/'Price History'!G133-1),"")</f>
        <v>5.6458451102317619E-2</v>
      </c>
      <c r="H133" s="129">
        <f>IFERROR(IF(OR(NOT(ISNUMBER('Price History'!H134)),NOT(ISNUMBER('Price History'!H133)),'Price History'!H133=0),"",'Price History'!H134/'Price History'!H133-1),"")</f>
        <v>-7.5841179647325729E-3</v>
      </c>
      <c r="I133" s="129">
        <f>IFERROR(IF(OR(NOT(ISNUMBER('Price History'!I134)),NOT(ISNUMBER('Price History'!I133)),'Price History'!I133=0),"",'Price History'!I134/'Price History'!I133-1),"")</f>
        <v>-4.18705516014235E-2</v>
      </c>
      <c r="J133" s="129">
        <f>IFERROR(IF(OR(NOT(ISNUMBER('Price History'!J134)),NOT(ISNUMBER('Price History'!J133)),'Price History'!J133=0),"",'Price History'!J134/'Price History'!J133-1),"")</f>
        <v>-2.0508040083896395E-2</v>
      </c>
      <c r="K133" s="129">
        <f>IFERROR(IF(OR(NOT(ISNUMBER('Price History'!K134)),NOT(ISNUMBER('Price History'!K133)),'Price History'!K133=0),"",'Price History'!K134/'Price History'!K133-1),"")</f>
        <v>-1.7886717456110368E-3</v>
      </c>
      <c r="L133" s="129">
        <f>IFERROR(IF(OR(NOT(ISNUMBER('Price History'!L134)),NOT(ISNUMBER('Price History'!L133)),'Price History'!L133=0),"",'Price History'!L134/'Price History'!L133-1),"")</f>
        <v>-2.4071260464146427E-2</v>
      </c>
      <c r="M133" s="129">
        <f>IFERROR(IF(OR(NOT(ISNUMBER('Price History'!M134)),NOT(ISNUMBER('Price History'!M133)),'Price History'!M133=0),"",'Price History'!M134/'Price History'!M133-1),"")</f>
        <v>-1.1364514882102772E-2</v>
      </c>
      <c r="N133" s="129">
        <f>IFERROR(IF(OR(NOT(ISNUMBER('Price History'!N134)),NOT(ISNUMBER('Price History'!N133)),'Price History'!N133=0),"",'Price History'!N134/'Price History'!N133-1),"")</f>
        <v>-3.2684194826777979E-2</v>
      </c>
      <c r="O133" s="129">
        <f>IFERROR(IF(OR(NOT(ISNUMBER('Price History'!O134)),NOT(ISNUMBER('Price History'!O133)),'Price History'!O133=0),"",'Price History'!O134/'Price History'!O133-1),"")</f>
        <v>-1.9893899204245225E-3</v>
      </c>
      <c r="P133" s="129">
        <f>IFERROR(IF(OR(NOT(ISNUMBER('Price History'!P134)),NOT(ISNUMBER('Price History'!P133)),'Price History'!P133=0),"",'Price History'!P134/'Price History'!P133-1),"")</f>
        <v>-2.3394994559303606E-2</v>
      </c>
      <c r="Q133" s="129">
        <f>IFERROR(IF(OR(NOT(ISNUMBER('Price History'!Q134)),NOT(ISNUMBER('Price History'!Q133)),'Price History'!Q133=0),"",'Price History'!Q134/'Price History'!Q133-1),"")</f>
        <v>-1.1119691119691133E-2</v>
      </c>
      <c r="R133" s="129">
        <f>IFERROR(IF(OR(NOT(ISNUMBER('Price History'!R134)),NOT(ISNUMBER('Price History'!R133)),'Price History'!R133=0),"",'Price History'!R134/'Price History'!R133-1),"")</f>
        <v>-1.4071116181783694E-2</v>
      </c>
      <c r="S133" s="129">
        <f>IFERROR(IF(OR(NOT(ISNUMBER('Price History'!S134)),NOT(ISNUMBER('Price History'!S133)),'Price History'!S133=0),"",'Price History'!S134/'Price History'!S133-1),"")</f>
        <v>-2.0694432418391195E-2</v>
      </c>
      <c r="T133" s="129">
        <f>IFERROR(IF(OR(NOT(ISNUMBER('Price History'!T134)),NOT(ISNUMBER('Price History'!T133)),'Price History'!T133=0),"",'Price History'!T134/'Price History'!T133-1),"")</f>
        <v>1.0259040779687645E-3</v>
      </c>
      <c r="U133" s="129">
        <f>IFERROR(IF(OR(NOT(ISNUMBER('Price History'!U134)),NOT(ISNUMBER('Price History'!U133)),'Price History'!U133=0),"",'Price History'!U134/'Price History'!U133-1),"")</f>
        <v>-1.3306719893546148E-2</v>
      </c>
      <c r="V133" s="130">
        <f>IFERROR(IF(OR(NOT(ISNUMBER('Price History'!V134)),NOT(ISNUMBER('Price History'!V133)),'Price History'!V133=0),"",'Price History'!V134/'Price History'!V133-1),"")</f>
        <v>-1.7977381185853458E-2</v>
      </c>
      <c r="W133" s="131">
        <f>IFERROR('Price History'!B3+(INDEX('Price History'!B:B,MATCH(9.99E+307,'Returns (Calc)'!$A:$A)+1)-'Price History'!B3)*(ROW()-3)/(MATCH(9.99E+307,'Returns (Calc)'!$A:$A)-3),"")</f>
        <v>289.29506329113923</v>
      </c>
      <c r="X133" s="131">
        <f>IFERROR('Price History'!C3+(INDEX('Price History'!C:C,MATCH(9.99E+307,'Returns (Calc)'!$A:$A)+1)-'Price History'!C3)*(ROW()-3)/(MATCH(9.99E+307,'Returns (Calc)'!$A:$A)-3),"")</f>
        <v>178.78822784810126</v>
      </c>
      <c r="Y133" s="131">
        <f>IFERROR('Price History'!D3+(INDEX('Price History'!D:D,MATCH(9.99E+307,'Returns (Calc)'!$A:$A)+1)-'Price History'!D3)*(ROW()-3)/(MATCH(9.99E+307,'Returns (Calc)'!$A:$A)-3),"")</f>
        <v>1639.5353164556961</v>
      </c>
      <c r="Z133" s="131">
        <f>IFERROR('Price History'!E3+(INDEX('Price History'!E:E,MATCH(9.99E+307,'Returns (Calc)'!$A:$A)+1)-'Price History'!E3)*(ROW()-3)/(MATCH(9.99E+307,'Returns (Calc)'!$A:$A)-3),"")</f>
        <v>306.73544303797468</v>
      </c>
      <c r="AA133" s="131">
        <f>IFERROR('Price History'!F3+(INDEX('Price History'!F:F,MATCH(9.99E+307,'Returns (Calc)'!$A:$A)+1)-'Price History'!F3)*(ROW()-3)/(MATCH(9.99E+307,'Returns (Calc)'!$A:$A)-3),"")</f>
        <v>229.51443037974684</v>
      </c>
      <c r="AB133" s="131">
        <f>IFERROR('Price History'!G3+(INDEX('Price History'!G:G,MATCH(9.99E+307,'Returns (Calc)'!$A:$A)+1)-'Price History'!G3)*(ROW()-3)/(MATCH(9.99E+307,'Returns (Calc)'!$A:$A)-3),"")</f>
        <v>178.08544303797467</v>
      </c>
      <c r="AC133" s="131">
        <f>IFERROR('Price History'!H3+(INDEX('Price History'!H:H,MATCH(9.99E+307,'Returns (Calc)'!$A:$A)+1)-'Price History'!H3)*(ROW()-3)/(MATCH(9.99E+307,'Returns (Calc)'!$A:$A)-3),"")</f>
        <v>896.65050632911402</v>
      </c>
      <c r="AD133" s="131">
        <f>IFERROR('Price History'!I3+(INDEX('Price History'!I:I,MATCH(9.99E+307,'Returns (Calc)'!$A:$A)+1)-'Price History'!I3)*(ROW()-3)/(MATCH(9.99E+307,'Returns (Calc)'!$A:$A)-3),"")</f>
        <v>200.2472151898734</v>
      </c>
      <c r="AE133" s="131">
        <f>IFERROR('Price History'!J3+(INDEX('Price History'!J:J,MATCH(9.99E+307,'Returns (Calc)'!$A:$A)+1)-'Price History'!J3)*(ROW()-3)/(MATCH(9.99E+307,'Returns (Calc)'!$A:$A)-3),"")</f>
        <v>125.88493670886075</v>
      </c>
      <c r="AF133" s="131">
        <f>IFERROR('Price History'!K3+(INDEX('Price History'!K:K,MATCH(9.99E+307,'Returns (Calc)'!$A:$A)+1)-'Price History'!K3)*(ROW()-3)/(MATCH(9.99E+307,'Returns (Calc)'!$A:$A)-3),"")</f>
        <v>158.01734177215189</v>
      </c>
      <c r="AG133" s="131">
        <f>IFERROR('Price History'!L3+(INDEX('Price History'!L:L,MATCH(9.99E+307,'Returns (Calc)'!$A:$A)+1)-'Price History'!L3)*(ROW()-3)/(MATCH(9.99E+307,'Returns (Calc)'!$A:$A)-3),"")</f>
        <v>404.19240506329112</v>
      </c>
      <c r="AH133" s="131">
        <f>IFERROR('Price History'!M3+(INDEX('Price History'!M:M,MATCH(9.99E+307,'Returns (Calc)'!$A:$A)+1)-'Price History'!M3)*(ROW()-3)/(MATCH(9.99E+307,'Returns (Calc)'!$A:$A)-3),"")</f>
        <v>214.22759493670887</v>
      </c>
      <c r="AI133" s="131">
        <f>IFERROR('Price History'!N3+(INDEX('Price History'!N:N,MATCH(9.99E+307,'Returns (Calc)'!$A:$A)+1)-'Price History'!N3)*(ROW()-3)/(MATCH(9.99E+307,'Returns (Calc)'!$A:$A)-3),"")</f>
        <v>477.11455696202529</v>
      </c>
      <c r="AJ133" s="131">
        <f>IFERROR('Price History'!O3+(INDEX('Price History'!O:O,MATCH(9.99E+307,'Returns (Calc)'!$A:$A)+1)-'Price History'!O3)*(ROW()-3)/(MATCH(9.99E+307,'Returns (Calc)'!$A:$A)-3),"")</f>
        <v>112.10493670886075</v>
      </c>
      <c r="AK133" s="131">
        <f>IFERROR('Price History'!Q3+(INDEX('Price History'!Q:Q,MATCH(9.99E+307,'Returns (Calc)'!$A:$A)+1)-'Price History'!Q3)*(ROW()-3)/(MATCH(9.99E+307,'Returns (Calc)'!$A:$A)-3),"")</f>
        <v>57.117721518987345</v>
      </c>
      <c r="AL133" s="131">
        <f>IFERROR('Price History'!R3+(INDEX('Price History'!R:R,MATCH(9.99E+307,'Returns (Calc)'!$A:$A)+1)-'Price History'!R3)*(ROW()-3)/(MATCH(9.99E+307,'Returns (Calc)'!$A:$A)-3),"")</f>
        <v>56.333164556962025</v>
      </c>
      <c r="AM133" s="131">
        <f>IFERROR('Price History'!S3+(INDEX('Price History'!S:S,MATCH(9.99E+307,'Returns (Calc)'!$A:$A)+1)-'Price History'!S3)*(ROW()-3)/(MATCH(9.99E+307,'Returns (Calc)'!$A:$A)-3),"")</f>
        <v>136.28822784810126</v>
      </c>
      <c r="AN133" s="131">
        <f>IFERROR('Price History'!T3+(INDEX('Price History'!T:T,MATCH(9.99E+307,'Returns (Calc)'!$A:$A)+1)-'Price History'!T3)*(ROW()-3)/(MATCH(9.99E+307,'Returns (Calc)'!$A:$A)-3),"")</f>
        <v>47.109620253164557</v>
      </c>
      <c r="AO133" s="132">
        <f>IFERROR('Price History'!V3+(INDEX('Price History'!V:V,MATCH(9.99E+307,'Returns (Calc)'!$A:$A)+1)-'Price History'!V3)*(ROW()-3)/(MATCH(9.99E+307,'Returns (Calc)'!$A:$A)-3),"")</f>
        <v>338.50278481012663</v>
      </c>
      <c r="AP133" s="130">
        <f>IFERROR(IF(OR(NOT(ISNUMBER('Price History'!W134)),NOT(ISNUMBER('Price History'!W133)),'Price History'!W133=0),"",'Price History'!W134/'Price History'!W133-1),"")</f>
        <v>-1.6182117388919504E-2</v>
      </c>
      <c r="AQ133" s="130">
        <f>IFERROR(IF(OR(NOT(ISNUMBER('Price History'!X134)),NOT(ISNUMBER('Price History'!X133)),'Price History'!X133=0),"",'Price History'!X134/'Price History'!X133-1),"")</f>
        <v>1.031730582051793E-2</v>
      </c>
      <c r="AR133" s="130">
        <f>IFERROR(IF(OR(NOT(ISNUMBER('Price History'!Y134)),NOT(ISNUMBER('Price History'!Y133)),'Price History'!Y133=0),"",'Price History'!Y134/'Price History'!Y133-1),"")</f>
        <v>-1.7460025730564155E-2</v>
      </c>
      <c r="AS133" s="130">
        <f>IFERROR(IF(OR(NOT(ISNUMBER('Price History'!Z134)),NOT(ISNUMBER('Price History'!Z133)),'Price History'!Z133=0),"",'Price History'!Z134/'Price History'!Z133-1),"")</f>
        <v>-4.3064279032473562E-2</v>
      </c>
      <c r="AT133" s="130">
        <f>IFERROR(IF(OR(NOT(ISNUMBER('Price History'!AA134)),NOT(ISNUMBER('Price History'!AA133)),'Price History'!AA133=0),"",'Price History'!AA134/'Price History'!AA133-1),"")</f>
        <v>-3.6617353897807292E-2</v>
      </c>
    </row>
    <row r="134" spans="1:46" ht="15" customHeight="1" x14ac:dyDescent="0.2">
      <c r="A134" s="128">
        <f>IF('Price History'!A135="","",'Price History'!A135)</f>
        <v>46108</v>
      </c>
      <c r="B134" s="129">
        <f>IFERROR(IF(OR(NOT(ISNUMBER('Price History'!B135)),NOT(ISNUMBER('Price History'!B134)),'Price History'!B134=0),"",'Price History'!B135/'Price History'!B134-1),"")</f>
        <v>-5.3636913157364519E-2</v>
      </c>
      <c r="C134" s="129">
        <f>IFERROR(IF(OR(NOT(ISNUMBER('Price History'!C135)),NOT(ISNUMBER('Price History'!C134)),'Price History'!C134=0),"",'Price History'!C135/'Price History'!C134-1),"")</f>
        <v>-7.963725041914349E-2</v>
      </c>
      <c r="D134" s="129">
        <f>IFERROR(IF(OR(NOT(ISNUMBER('Price History'!D135)),NOT(ISNUMBER('Price History'!D134)),'Price History'!D134=0),"",'Price History'!D135/'Price History'!D134-1),"")</f>
        <v>-1.1221318219215681E-2</v>
      </c>
      <c r="E134" s="129">
        <f>IFERROR(IF(OR(NOT(ISNUMBER('Price History'!E135)),NOT(ISNUMBER('Price History'!E134)),'Price History'!E134=0),"",'Price History'!E135/'Price History'!E134-1),"")</f>
        <v>-2.962986949904467E-2</v>
      </c>
      <c r="F134" s="129">
        <f>IFERROR(IF(OR(NOT(ISNUMBER('Price History'!F135)),NOT(ISNUMBER('Price History'!F134)),'Price History'!F134=0),"",'Price History'!F135/'Price History'!F134-1),"")</f>
        <v>-9.6430317848410718E-2</v>
      </c>
      <c r="G134" s="129">
        <f>IFERROR(IF(OR(NOT(ISNUMBER('Price History'!G135)),NOT(ISNUMBER('Price History'!G134)),'Price History'!G134=0),"",'Price History'!G135/'Price History'!G134-1),"")</f>
        <v>-3.7054377633603086E-2</v>
      </c>
      <c r="H134" s="129">
        <f>IFERROR(IF(OR(NOT(ISNUMBER('Price History'!H135)),NOT(ISNUMBER('Price History'!H134)),'Price History'!H134=0),"",'Price History'!H135/'Price History'!H134-1),"")</f>
        <v>-0.15530213410306171</v>
      </c>
      <c r="I134" s="129">
        <f>IFERROR(IF(OR(NOT(ISNUMBER('Price History'!I135)),NOT(ISNUMBER('Price History'!I134)),'Price History'!I134=0),"",'Price History'!I135/'Price History'!I134-1),"")</f>
        <v>-3.0004062445592283E-2</v>
      </c>
      <c r="J134" s="129">
        <f>IFERROR(IF(OR(NOT(ISNUMBER('Price History'!J135)),NOT(ISNUMBER('Price History'!J134)),'Price History'!J134=0),"",'Price History'!J135/'Price History'!J134-1),"")</f>
        <v>6.8998334522958338E-3</v>
      </c>
      <c r="K134" s="129">
        <f>IFERROR(IF(OR(NOT(ISNUMBER('Price History'!K135)),NOT(ISNUMBER('Price History'!K134)),'Price History'!K134=0),"",'Price History'!K135/'Price History'!K134-1),"")</f>
        <v>-5.0570745951685758E-2</v>
      </c>
      <c r="L134" s="129">
        <f>IFERROR(IF(OR(NOT(ISNUMBER('Price History'!L135)),NOT(ISNUMBER('Price History'!L134)),'Price History'!L134=0),"",'Price History'!L135/'Price History'!L134-1),"")</f>
        <v>-7.6009646204094894E-3</v>
      </c>
      <c r="M134" s="129">
        <f>IFERROR(IF(OR(NOT(ISNUMBER('Price History'!M135)),NOT(ISNUMBER('Price History'!M134)),'Price History'!M134=0),"",'Price History'!M135/'Price History'!M134-1),"")</f>
        <v>-1.8767594619956141E-2</v>
      </c>
      <c r="N134" s="129">
        <f>IFERROR(IF(OR(NOT(ISNUMBER('Price History'!N135)),NOT(ISNUMBER('Price History'!N134)),'Price History'!N134=0),"",'Price History'!N135/'Price History'!N134-1),"")</f>
        <v>-4.6101321585903077E-2</v>
      </c>
      <c r="O134" s="129">
        <f>IFERROR(IF(OR(NOT(ISNUMBER('Price History'!O135)),NOT(ISNUMBER('Price History'!O134)),'Price History'!O134=0),"",'Price History'!O135/'Price History'!O134-1),"")</f>
        <v>2.9615567157095457E-2</v>
      </c>
      <c r="P134" s="129">
        <f>IFERROR(IF(OR(NOT(ISNUMBER('Price History'!P135)),NOT(ISNUMBER('Price History'!P134)),'Price History'!P134=0),"",'Price History'!P135/'Price History'!P134-1),"")</f>
        <v>2.4442896935933378E-2</v>
      </c>
      <c r="Q134" s="129">
        <f>IFERROR(IF(OR(NOT(ISNUMBER('Price History'!Q135)),NOT(ISNUMBER('Price History'!Q134)),'Price History'!Q134=0),"",'Price History'!Q135/'Price History'!Q134-1),"")</f>
        <v>-1.2806496954552604E-2</v>
      </c>
      <c r="R134" s="129">
        <f>IFERROR(IF(OR(NOT(ISNUMBER('Price History'!R135)),NOT(ISNUMBER('Price History'!R134)),'Price History'!R134=0),"",'Price History'!R135/'Price History'!R134-1),"")</f>
        <v>-2.9315332690453277E-2</v>
      </c>
      <c r="S134" s="129">
        <f>IFERROR(IF(OR(NOT(ISNUMBER('Price History'!S135)),NOT(ISNUMBER('Price History'!S134)),'Price History'!S134=0),"",'Price History'!S135/'Price History'!S134-1),"")</f>
        <v>-2.7763041556145063E-2</v>
      </c>
      <c r="T134" s="129">
        <f>IFERROR(IF(OR(NOT(ISNUMBER('Price History'!T135)),NOT(ISNUMBER('Price History'!T134)),'Price History'!T134=0),"",'Price History'!T135/'Price History'!T134-1),"")</f>
        <v>-1.2298232129131503E-2</v>
      </c>
      <c r="U134" s="129">
        <f>IFERROR(IF(OR(NOT(ISNUMBER('Price History'!U135)),NOT(ISNUMBER('Price History'!U134)),'Price History'!U134=0),"",'Price History'!U135/'Price History'!U134-1),"")</f>
        <v>1.0114632501685872E-2</v>
      </c>
      <c r="V134" s="130">
        <f>IFERROR(IF(OR(NOT(ISNUMBER('Price History'!V135)),NOT(ISNUMBER('Price History'!V134)),'Price History'!V134=0),"",'Price History'!V135/'Price History'!V134-1),"")</f>
        <v>-2.0236985754227055E-2</v>
      </c>
      <c r="W134" s="131">
        <f>IFERROR('Price History'!B3+(INDEX('Price History'!B:B,MATCH(9.99E+307,'Returns (Calc)'!$A:$A)+1)-'Price History'!B3)*(ROW()-3)/(MATCH(9.99E+307,'Returns (Calc)'!$A:$A)-3),"")</f>
        <v>287.45202531645566</v>
      </c>
      <c r="X134" s="131">
        <f>IFERROR('Price History'!C3+(INDEX('Price History'!C:C,MATCH(9.99E+307,'Returns (Calc)'!$A:$A)+1)-'Price History'!C3)*(ROW()-3)/(MATCH(9.99E+307,'Returns (Calc)'!$A:$A)-3),"")</f>
        <v>179.80829113924048</v>
      </c>
      <c r="Y134" s="131">
        <f>IFERROR('Price History'!D3+(INDEX('Price History'!D:D,MATCH(9.99E+307,'Returns (Calc)'!$A:$A)+1)-'Price History'!D3)*(ROW()-3)/(MATCH(9.99E+307,'Returns (Calc)'!$A:$A)-3),"")</f>
        <v>1647.6701265822785</v>
      </c>
      <c r="Z134" s="131">
        <f>IFERROR('Price History'!E3+(INDEX('Price History'!E:E,MATCH(9.99E+307,'Returns (Calc)'!$A:$A)+1)-'Price History'!E3)*(ROW()-3)/(MATCH(9.99E+307,'Returns (Calc)'!$A:$A)-3),"")</f>
        <v>308.46417721518986</v>
      </c>
      <c r="AA134" s="131">
        <f>IFERROR('Price History'!F3+(INDEX('Price History'!F:F,MATCH(9.99E+307,'Returns (Calc)'!$A:$A)+1)-'Price History'!F3)*(ROW()-3)/(MATCH(9.99E+307,'Returns (Calc)'!$A:$A)-3),"")</f>
        <v>230.96177215189874</v>
      </c>
      <c r="AB134" s="131">
        <f>IFERROR('Price History'!G3+(INDEX('Price History'!G:G,MATCH(9.99E+307,'Returns (Calc)'!$A:$A)+1)-'Price History'!G3)*(ROW()-3)/(MATCH(9.99E+307,'Returns (Calc)'!$A:$A)-3),"")</f>
        <v>179.11417721518984</v>
      </c>
      <c r="AC134" s="131">
        <f>IFERROR('Price History'!H3+(INDEX('Price History'!H:H,MATCH(9.99E+307,'Returns (Calc)'!$A:$A)+1)-'Price History'!H3)*(ROW()-3)/(MATCH(9.99E+307,'Returns (Calc)'!$A:$A)-3),"")</f>
        <v>903.01620253164572</v>
      </c>
      <c r="AD134" s="131">
        <f>IFERROR('Price History'!I3+(INDEX('Price History'!I:I,MATCH(9.99E+307,'Returns (Calc)'!$A:$A)+1)-'Price History'!I3)*(ROW()-3)/(MATCH(9.99E+307,'Returns (Calc)'!$A:$A)-3),"")</f>
        <v>201.45088607594937</v>
      </c>
      <c r="AE134" s="131">
        <f>IFERROR('Price History'!J3+(INDEX('Price History'!J:J,MATCH(9.99E+307,'Returns (Calc)'!$A:$A)+1)-'Price History'!J3)*(ROW()-3)/(MATCH(9.99E+307,'Returns (Calc)'!$A:$A)-3),"")</f>
        <v>125.9929746835443</v>
      </c>
      <c r="AF134" s="131">
        <f>IFERROR('Price History'!K3+(INDEX('Price History'!K:K,MATCH(9.99E+307,'Returns (Calc)'!$A:$A)+1)-'Price History'!K3)*(ROW()-3)/(MATCH(9.99E+307,'Returns (Calc)'!$A:$A)-3),"")</f>
        <v>159.11493670886074</v>
      </c>
      <c r="AG134" s="131">
        <f>IFERROR('Price History'!L3+(INDEX('Price History'!L:L,MATCH(9.99E+307,'Returns (Calc)'!$A:$A)+1)-'Price History'!L3)*(ROW()-3)/(MATCH(9.99E+307,'Returns (Calc)'!$A:$A)-3),"")</f>
        <v>406.64196202531639</v>
      </c>
      <c r="AH134" s="131">
        <f>IFERROR('Price History'!M3+(INDEX('Price History'!M:M,MATCH(9.99E+307,'Returns (Calc)'!$A:$A)+1)-'Price History'!M3)*(ROW()-3)/(MATCH(9.99E+307,'Returns (Calc)'!$A:$A)-3),"")</f>
        <v>215.58303797468355</v>
      </c>
      <c r="AI134" s="131">
        <f>IFERROR('Price History'!N3+(INDEX('Price History'!N:N,MATCH(9.99E+307,'Returns (Calc)'!$A:$A)+1)-'Price History'!N3)*(ROW()-3)/(MATCH(9.99E+307,'Returns (Calc)'!$A:$A)-3),"")</f>
        <v>478.10082278481013</v>
      </c>
      <c r="AJ134" s="131">
        <f>IFERROR('Price History'!O3+(INDEX('Price History'!O:O,MATCH(9.99E+307,'Returns (Calc)'!$A:$A)+1)-'Price History'!O3)*(ROW()-3)/(MATCH(9.99E+307,'Returns (Calc)'!$A:$A)-3),"")</f>
        <v>112.38797468354431</v>
      </c>
      <c r="AK134" s="131">
        <f>IFERROR('Price History'!Q3+(INDEX('Price History'!Q:Q,MATCH(9.99E+307,'Returns (Calc)'!$A:$A)+1)-'Price History'!Q3)*(ROW()-3)/(MATCH(9.99E+307,'Returns (Calc)'!$A:$A)-3),"")</f>
        <v>57.557088607594942</v>
      </c>
      <c r="AL134" s="131">
        <f>IFERROR('Price History'!R3+(INDEX('Price History'!R:R,MATCH(9.99E+307,'Returns (Calc)'!$A:$A)+1)-'Price History'!R3)*(ROW()-3)/(MATCH(9.99E+307,'Returns (Calc)'!$A:$A)-3),"")</f>
        <v>56.501265822784809</v>
      </c>
      <c r="AM134" s="131">
        <f>IFERROR('Price History'!S3+(INDEX('Price History'!S:S,MATCH(9.99E+307,'Returns (Calc)'!$A:$A)+1)-'Price History'!S3)*(ROW()-3)/(MATCH(9.99E+307,'Returns (Calc)'!$A:$A)-3),"")</f>
        <v>136.89329113924049</v>
      </c>
      <c r="AN134" s="131">
        <f>IFERROR('Price History'!T3+(INDEX('Price History'!T:T,MATCH(9.99E+307,'Returns (Calc)'!$A:$A)+1)-'Price History'!T3)*(ROW()-3)/(MATCH(9.99E+307,'Returns (Calc)'!$A:$A)-3),"")</f>
        <v>47.277848101265818</v>
      </c>
      <c r="AO134" s="132">
        <f>IFERROR('Price History'!V3+(INDEX('Price History'!V:V,MATCH(9.99E+307,'Returns (Calc)'!$A:$A)+1)-'Price History'!V3)*(ROW()-3)/(MATCH(9.99E+307,'Returns (Calc)'!$A:$A)-3),"")</f>
        <v>339.29411392405063</v>
      </c>
      <c r="AP134" s="130">
        <f>IFERROR(IF(OR(NOT(ISNUMBER('Price History'!W135)),NOT(ISNUMBER('Price History'!W134)),'Price History'!W134=0),"",'Price History'!W135/'Price History'!W134-1),"")</f>
        <v>3.6241984945637462E-3</v>
      </c>
      <c r="AQ134" s="130">
        <f>IFERROR(IF(OR(NOT(ISNUMBER('Price History'!X135)),NOT(ISNUMBER('Price History'!X134)),'Price History'!X134=0),"",'Price History'!X135/'Price History'!X134-1),"")</f>
        <v>2.6396917148362231E-2</v>
      </c>
      <c r="AR134" s="130">
        <f>IFERROR(IF(OR(NOT(ISNUMBER('Price History'!Y135)),NOT(ISNUMBER('Price History'!Y134)),'Price History'!Y134=0),"",'Price History'!Y135/'Price History'!Y134-1),"")</f>
        <v>-9.7268986157875714E-3</v>
      </c>
      <c r="AS134" s="130">
        <f>IFERROR(IF(OR(NOT(ISNUMBER('Price History'!Z135)),NOT(ISNUMBER('Price History'!Z134)),'Price History'!Z134=0),"",'Price History'!Z135/'Price History'!Z134-1),"")</f>
        <v>-1.386027999860362E-2</v>
      </c>
      <c r="AT134" s="130">
        <f>IFERROR(IF(OR(NOT(ISNUMBER('Price History'!AA135)),NOT(ISNUMBER('Price History'!AA134)),'Price History'!AA134=0),"",'Price History'!AA135/'Price History'!AA134-1),"")</f>
        <v>1.7534306251361542E-2</v>
      </c>
    </row>
    <row r="135" spans="1:46" ht="15" customHeight="1" x14ac:dyDescent="0.2">
      <c r="A135" s="128">
        <f>IF('Price History'!A136="","",'Price History'!A136)</f>
        <v>46115</v>
      </c>
      <c r="B135" s="129">
        <f>IFERROR(IF(OR(NOT(ISNUMBER('Price History'!B136)),NOT(ISNUMBER('Price History'!B135)),'Price History'!B135=0),"",'Price History'!B136/'Price History'!B135-1),"")</f>
        <v>3.4406404360415532E-2</v>
      </c>
      <c r="C135" s="129">
        <f>IFERROR(IF(OR(NOT(ISNUMBER('Price History'!C136)),NOT(ISNUMBER('Price History'!C135)),'Price History'!C135=0),"",'Price History'!C136/'Price History'!C135-1),"")</f>
        <v>4.8935994038254549E-2</v>
      </c>
      <c r="D135" s="129">
        <f>IFERROR(IF(OR(NOT(ISNUMBER('Price History'!D136)),NOT(ISNUMBER('Price History'!D135)),'Price History'!D135=0),"",'Price History'!D136/'Price History'!D135-1),"")</f>
        <v>1.1333256288763138E-2</v>
      </c>
      <c r="E135" s="129">
        <f>IFERROR(IF(OR(NOT(ISNUMBER('Price History'!E136)),NOT(ISNUMBER('Price History'!E135)),'Price History'!E135=0),"",'Price History'!E136/'Price History'!E135-1),"")</f>
        <v>4.6118934792765076E-2</v>
      </c>
      <c r="F135" s="129">
        <f>IFERROR(IF(OR(NOT(ISNUMBER('Price History'!F136)),NOT(ISNUMBER('Price History'!F135)),'Price History'!F135=0),"",'Price History'!F136/'Price History'!F135-1),"")</f>
        <v>7.9987011581339917E-2</v>
      </c>
      <c r="G135" s="129">
        <f>IFERROR(IF(OR(NOT(ISNUMBER('Price History'!G136)),NOT(ISNUMBER('Price History'!G135)),'Price History'!G135=0),"",'Price History'!G136/'Price History'!G135-1),"")</f>
        <v>5.1052302563033836E-2</v>
      </c>
      <c r="H135" s="129">
        <f>IFERROR(IF(OR(NOT(ISNUMBER('Price History'!H136)),NOT(ISNUMBER('Price History'!H135)),'Price History'!H135=0),"",'Price History'!H136/'Price History'!H135-1),"")</f>
        <v>2.5656825948126238E-2</v>
      </c>
      <c r="I135" s="129">
        <f>IFERROR(IF(OR(NOT(ISNUMBER('Price History'!I136)),NOT(ISNUMBER('Price History'!I135)),'Price History'!I135=0),"",'Price History'!I136/'Price History'!I135-1),"")</f>
        <v>5.8932631327031304E-2</v>
      </c>
      <c r="J135" s="129">
        <f>IFERROR(IF(OR(NOT(ISNUMBER('Price History'!J136)),NOT(ISNUMBER('Price History'!J135)),'Price History'!J135=0),"",'Price History'!J136/'Price History'!J135-1),"")</f>
        <v>3.7807183364839236E-2</v>
      </c>
      <c r="K135" s="129">
        <f>IFERROR(IF(OR(NOT(ISNUMBER('Price History'!K136)),NOT(ISNUMBER('Price History'!K135)),'Price History'!K135=0),"",'Price History'!K136/'Price History'!K135-1),"")</f>
        <v>3.7746400111841272E-2</v>
      </c>
      <c r="L135" s="129">
        <f>IFERROR(IF(OR(NOT(ISNUMBER('Price History'!L136)),NOT(ISNUMBER('Price History'!L135)),'Price History'!L135=0),"",'Price History'!L136/'Price History'!L135-1),"")</f>
        <v>3.7649953860350527E-2</v>
      </c>
      <c r="M135" s="129">
        <f>IFERROR(IF(OR(NOT(ISNUMBER('Price History'!M136)),NOT(ISNUMBER('Price History'!M135)),'Price History'!M135=0),"",'Price History'!M136/'Price History'!M135-1),"")</f>
        <v>4.0683774306662368E-2</v>
      </c>
      <c r="N135" s="129">
        <f>IFERROR(IF(OR(NOT(ISNUMBER('Price History'!N136)),NOT(ISNUMBER('Price History'!N135)),'Price History'!N135=0),"",'Price History'!N136/'Price History'!N135-1),"")</f>
        <v>1.3023298773870318E-2</v>
      </c>
      <c r="O135" s="129">
        <f>IFERROR(IF(OR(NOT(ISNUMBER('Price History'!O136)),NOT(ISNUMBER('Price History'!O135)),'Price History'!O135=0),"",'Price History'!O136/'Price History'!O135-1),"")</f>
        <v>2.0097722872683743E-2</v>
      </c>
      <c r="P135" s="129">
        <f>IFERROR(IF(OR(NOT(ISNUMBER('Price History'!P136)),NOT(ISNUMBER('Price History'!P135)),'Price History'!P135=0),"",'Price History'!P136/'Price History'!P135-1),"")</f>
        <v>1.4478961321460204E-2</v>
      </c>
      <c r="Q135" s="129">
        <f>IFERROR(IF(OR(NOT(ISNUMBER('Price History'!Q136)),NOT(ISNUMBER('Price History'!Q135)),'Price History'!Q135=0),"",'Price History'!Q136/'Price History'!Q135-1),"")</f>
        <v>1.1707008384749251E-2</v>
      </c>
      <c r="R135" s="129">
        <f>IFERROR(IF(OR(NOT(ISNUMBER('Price History'!R136)),NOT(ISNUMBER('Price History'!R135)),'Price History'!R135=0),"",'Price History'!R136/'Price History'!R135-1),"")</f>
        <v>3.7552155771905404E-2</v>
      </c>
      <c r="S135" s="129">
        <f>IFERROR(IF(OR(NOT(ISNUMBER('Price History'!S136)),NOT(ISNUMBER('Price History'!S135)),'Price History'!S135=0),"",'Price History'!S136/'Price History'!S135-1),"")</f>
        <v>4.0196435067297198E-2</v>
      </c>
      <c r="T135" s="129">
        <f>IFERROR(IF(OR(NOT(ISNUMBER('Price History'!T136)),NOT(ISNUMBER('Price History'!T135)),'Price History'!T135=0),"",'Price History'!T136/'Price History'!T135-1),"")</f>
        <v>2.8015564202334753E-2</v>
      </c>
      <c r="U135" s="129">
        <f>IFERROR(IF(OR(NOT(ISNUMBER('Price History'!U136)),NOT(ISNUMBER('Price History'!U135)),'Price History'!U135=0),"",'Price History'!U136/'Price History'!U135-1),"")</f>
        <v>4.0053404539384108E-3</v>
      </c>
      <c r="V135" s="130">
        <f>IFERROR(IF(OR(NOT(ISNUMBER('Price History'!V136)),NOT(ISNUMBER('Price History'!V135)),'Price History'!V135=0),"",'Price History'!V136/'Price History'!V135-1),"")</f>
        <v>1.7869275716809296E-2</v>
      </c>
      <c r="W135" s="131">
        <f>IFERROR('Price History'!B3+(INDEX('Price History'!B:B,MATCH(9.99E+307,'Returns (Calc)'!$A:$A)+1)-'Price History'!B3)*(ROW()-3)/(MATCH(9.99E+307,'Returns (Calc)'!$A:$A)-3),"")</f>
        <v>285.60898734177215</v>
      </c>
      <c r="X135" s="131">
        <f>IFERROR('Price History'!C3+(INDEX('Price History'!C:C,MATCH(9.99E+307,'Returns (Calc)'!$A:$A)+1)-'Price History'!C3)*(ROW()-3)/(MATCH(9.99E+307,'Returns (Calc)'!$A:$A)-3),"")</f>
        <v>180.82835443037973</v>
      </c>
      <c r="Y135" s="131">
        <f>IFERROR('Price History'!D3+(INDEX('Price History'!D:D,MATCH(9.99E+307,'Returns (Calc)'!$A:$A)+1)-'Price History'!D3)*(ROW()-3)/(MATCH(9.99E+307,'Returns (Calc)'!$A:$A)-3),"")</f>
        <v>1655.8049367088609</v>
      </c>
      <c r="Z135" s="131">
        <f>IFERROR('Price History'!E3+(INDEX('Price History'!E:E,MATCH(9.99E+307,'Returns (Calc)'!$A:$A)+1)-'Price History'!E3)*(ROW()-3)/(MATCH(9.99E+307,'Returns (Calc)'!$A:$A)-3),"")</f>
        <v>310.19291139240505</v>
      </c>
      <c r="AA135" s="131">
        <f>IFERROR('Price History'!F3+(INDEX('Price History'!F:F,MATCH(9.99E+307,'Returns (Calc)'!$A:$A)+1)-'Price History'!F3)*(ROW()-3)/(MATCH(9.99E+307,'Returns (Calc)'!$A:$A)-3),"")</f>
        <v>232.40911392405064</v>
      </c>
      <c r="AB135" s="131">
        <f>IFERROR('Price History'!G3+(INDEX('Price History'!G:G,MATCH(9.99E+307,'Returns (Calc)'!$A:$A)+1)-'Price History'!G3)*(ROW()-3)/(MATCH(9.99E+307,'Returns (Calc)'!$A:$A)-3),"")</f>
        <v>180.14291139240504</v>
      </c>
      <c r="AC135" s="131">
        <f>IFERROR('Price History'!H3+(INDEX('Price History'!H:H,MATCH(9.99E+307,'Returns (Calc)'!$A:$A)+1)-'Price History'!H3)*(ROW()-3)/(MATCH(9.99E+307,'Returns (Calc)'!$A:$A)-3),"")</f>
        <v>909.38189873417741</v>
      </c>
      <c r="AD135" s="131">
        <f>IFERROR('Price History'!I3+(INDEX('Price History'!I:I,MATCH(9.99E+307,'Returns (Calc)'!$A:$A)+1)-'Price History'!I3)*(ROW()-3)/(MATCH(9.99E+307,'Returns (Calc)'!$A:$A)-3),"")</f>
        <v>202.65455696202531</v>
      </c>
      <c r="AE135" s="131">
        <f>IFERROR('Price History'!J3+(INDEX('Price History'!J:J,MATCH(9.99E+307,'Returns (Calc)'!$A:$A)+1)-'Price History'!J3)*(ROW()-3)/(MATCH(9.99E+307,'Returns (Calc)'!$A:$A)-3),"")</f>
        <v>126.10101265822784</v>
      </c>
      <c r="AF135" s="131">
        <f>IFERROR('Price History'!K3+(INDEX('Price History'!K:K,MATCH(9.99E+307,'Returns (Calc)'!$A:$A)+1)-'Price History'!K3)*(ROW()-3)/(MATCH(9.99E+307,'Returns (Calc)'!$A:$A)-3),"")</f>
        <v>160.21253164556961</v>
      </c>
      <c r="AG135" s="131">
        <f>IFERROR('Price History'!L3+(INDEX('Price History'!L:L,MATCH(9.99E+307,'Returns (Calc)'!$A:$A)+1)-'Price History'!L3)*(ROW()-3)/(MATCH(9.99E+307,'Returns (Calc)'!$A:$A)-3),"")</f>
        <v>409.09151898734177</v>
      </c>
      <c r="AH135" s="131">
        <f>IFERROR('Price History'!M3+(INDEX('Price History'!M:M,MATCH(9.99E+307,'Returns (Calc)'!$A:$A)+1)-'Price History'!M3)*(ROW()-3)/(MATCH(9.99E+307,'Returns (Calc)'!$A:$A)-3),"")</f>
        <v>216.93848101265823</v>
      </c>
      <c r="AI135" s="131">
        <f>IFERROR('Price History'!N3+(INDEX('Price History'!N:N,MATCH(9.99E+307,'Returns (Calc)'!$A:$A)+1)-'Price History'!N3)*(ROW()-3)/(MATCH(9.99E+307,'Returns (Calc)'!$A:$A)-3),"")</f>
        <v>479.08708860759498</v>
      </c>
      <c r="AJ135" s="131">
        <f>IFERROR('Price History'!O3+(INDEX('Price History'!O:O,MATCH(9.99E+307,'Returns (Calc)'!$A:$A)+1)-'Price History'!O3)*(ROW()-3)/(MATCH(9.99E+307,'Returns (Calc)'!$A:$A)-3),"")</f>
        <v>112.67101265822785</v>
      </c>
      <c r="AK135" s="131">
        <f>IFERROR('Price History'!Q3+(INDEX('Price History'!Q:Q,MATCH(9.99E+307,'Returns (Calc)'!$A:$A)+1)-'Price History'!Q3)*(ROW()-3)/(MATCH(9.99E+307,'Returns (Calc)'!$A:$A)-3),"")</f>
        <v>57.996455696202538</v>
      </c>
      <c r="AL135" s="131">
        <f>IFERROR('Price History'!R3+(INDEX('Price History'!R:R,MATCH(9.99E+307,'Returns (Calc)'!$A:$A)+1)-'Price History'!R3)*(ROW()-3)/(MATCH(9.99E+307,'Returns (Calc)'!$A:$A)-3),"")</f>
        <v>56.669367088607594</v>
      </c>
      <c r="AM135" s="131">
        <f>IFERROR('Price History'!S3+(INDEX('Price History'!S:S,MATCH(9.99E+307,'Returns (Calc)'!$A:$A)+1)-'Price History'!S3)*(ROW()-3)/(MATCH(9.99E+307,'Returns (Calc)'!$A:$A)-3),"")</f>
        <v>137.49835443037975</v>
      </c>
      <c r="AN135" s="131">
        <f>IFERROR('Price History'!T3+(INDEX('Price History'!T:T,MATCH(9.99E+307,'Returns (Calc)'!$A:$A)+1)-'Price History'!T3)*(ROW()-3)/(MATCH(9.99E+307,'Returns (Calc)'!$A:$A)-3),"")</f>
        <v>47.446075949367085</v>
      </c>
      <c r="AO135" s="132">
        <f>IFERROR('Price History'!V3+(INDEX('Price History'!V:V,MATCH(9.99E+307,'Returns (Calc)'!$A:$A)+1)-'Price History'!V3)*(ROW()-3)/(MATCH(9.99E+307,'Returns (Calc)'!$A:$A)-3),"")</f>
        <v>340.0854430379747</v>
      </c>
      <c r="AP135" s="130">
        <f>IFERROR(IF(OR(NOT(ISNUMBER('Price History'!W136)),NOT(ISNUMBER('Price History'!W135)),'Price History'!W135=0),"",'Price History'!W136/'Price History'!W135-1),"")</f>
        <v>1.6527777777777697E-2</v>
      </c>
      <c r="AQ135" s="130">
        <f>IFERROR(IF(OR(NOT(ISNUMBER('Price History'!X136)),NOT(ISNUMBER('Price History'!X135)),'Price History'!X135=0),"",'Price History'!X136/'Price History'!X135-1),"")</f>
        <v>-1.8396846254927768E-2</v>
      </c>
      <c r="AR135" s="130">
        <f>IFERROR(IF(OR(NOT(ISNUMBER('Price History'!Y136)),NOT(ISNUMBER('Price History'!Y135)),'Price History'!Y135=0),"",'Price History'!Y136/'Price History'!Y135-1),"")</f>
        <v>2.3800528900642437E-2</v>
      </c>
      <c r="AS135" s="130">
        <f>IFERROR(IF(OR(NOT(ISNUMBER('Price History'!Z136)),NOT(ISNUMBER('Price History'!Z135)),'Price History'!Z135=0),"",'Price History'!Z136/'Price History'!Z135-1),"")</f>
        <v>-5.8415350846137137E-3</v>
      </c>
      <c r="AT135" s="130">
        <f>IFERROR(IF(OR(NOT(ISNUMBER('Price History'!AA136)),NOT(ISNUMBER('Price History'!AA135)),'Price History'!AA135=0),"",'Price History'!AA136/'Price History'!AA135-1),"")</f>
        <v>5.5977737343465561E-2</v>
      </c>
    </row>
    <row r="136" spans="1:46" ht="15" customHeight="1" x14ac:dyDescent="0.2">
      <c r="A136" s="128">
        <f>IF('Price History'!A137="","",'Price History'!A137)</f>
        <v>46122</v>
      </c>
      <c r="B136" s="129">
        <f>IFERROR(IF(OR(NOT(ISNUMBER('Price History'!B137)),NOT(ISNUMBER('Price History'!B136)),'Price History'!B136=0),"",'Price History'!B137/'Price History'!B136-1),"")</f>
        <v>-7.2328338547669957E-2</v>
      </c>
      <c r="C136" s="129">
        <f>IFERROR(IF(OR(NOT(ISNUMBER('Price History'!C137)),NOT(ISNUMBER('Price History'!C136)),'Price History'!C136=0),"",'Price History'!C137/'Price History'!C136-1),"")</f>
        <v>0.16316703504894203</v>
      </c>
      <c r="D136" s="129">
        <f>IFERROR(IF(OR(NOT(ISNUMBER('Price History'!D137)),NOT(ISNUMBER('Price History'!D136)),'Price History'!D136=0),"",'Price History'!D137/'Price History'!D136-1),"")</f>
        <v>0.12226319077293435</v>
      </c>
      <c r="E136" s="129">
        <f>IFERROR(IF(OR(NOT(ISNUMBER('Price History'!E137)),NOT(ISNUMBER('Price History'!E136)),'Price History'!E136=0),"",'Price History'!E137/'Price History'!E136-1),"")</f>
        <v>0.18122368253158094</v>
      </c>
      <c r="F136" s="129">
        <f>IFERROR(IF(OR(NOT(ISNUMBER('Price History'!F137)),NOT(ISNUMBER('Price History'!F136)),'Price History'!F136=0),"",'Price History'!F137/'Price History'!F136-1),"")</f>
        <v>-5.0410903988775346E-2</v>
      </c>
      <c r="G136" s="129">
        <f>IFERROR(IF(OR(NOT(ISNUMBER('Price History'!G137)),NOT(ISNUMBER('Price History'!G136)),'Price History'!G136=0),"",'Price History'!G137/'Price History'!G136-1),"")</f>
        <v>0.14532117367168929</v>
      </c>
      <c r="H136" s="129">
        <f>IFERROR(IF(OR(NOT(ISNUMBER('Price History'!H137)),NOT(ISNUMBER('Price History'!H136)),'Price History'!H136=0),"",'Price History'!H137/'Price History'!H136-1),"")</f>
        <v>0.14842427221584997</v>
      </c>
      <c r="I136" s="129">
        <f>IFERROR(IF(OR(NOT(ISNUMBER('Price History'!I137)),NOT(ISNUMBER('Price History'!I136)),'Price History'!I136=0),"",'Price History'!I137/'Price History'!I136-1),"")</f>
        <v>6.3336911689925834E-2</v>
      </c>
      <c r="J136" s="129">
        <f>IFERROR(IF(OR(NOT(ISNUMBER('Price History'!J137)),NOT(ISNUMBER('Price History'!J136)),'Price History'!J136=0),"",'Price History'!J137/'Price History'!J136-1),"")</f>
        <v>2.5576806314511202E-2</v>
      </c>
      <c r="K136" s="129">
        <f>IFERROR(IF(OR(NOT(ISNUMBER('Price History'!K137)),NOT(ISNUMBER('Price History'!K136)),'Price History'!K136=0),"",'Price History'!K137/'Price History'!K136-1),"")</f>
        <v>-0.13741075037047024</v>
      </c>
      <c r="L136" s="129">
        <f>IFERROR(IF(OR(NOT(ISNUMBER('Price History'!L137)),NOT(ISNUMBER('Price History'!L136)),'Price History'!L136=0),"",'Price History'!L137/'Price History'!L136-1),"")</f>
        <v>9.3081164403865602E-2</v>
      </c>
      <c r="M136" s="129">
        <f>IFERROR(IF(OR(NOT(ISNUMBER('Price History'!M137)),NOT(ISNUMBER('Price History'!M136)),'Price History'!M136=0),"",'Price History'!M137/'Price History'!M136-1),"")</f>
        <v>0.12945590994371492</v>
      </c>
      <c r="N136" s="129">
        <f>IFERROR(IF(OR(NOT(ISNUMBER('Price History'!N137)),NOT(ISNUMBER('Price History'!N136)),'Price History'!N136=0),"",'Price History'!N137/'Price History'!N136-1),"")</f>
        <v>-5.5617606163524957E-3</v>
      </c>
      <c r="O136" s="129">
        <f>IFERROR(IF(OR(NOT(ISNUMBER('Price History'!O137)),NOT(ISNUMBER('Price History'!O136)),'Price History'!O136=0),"",'Price History'!O137/'Price History'!O136-1),"")</f>
        <v>2.9733393583371015E-2</v>
      </c>
      <c r="P136" s="129">
        <f>IFERROR(IF(OR(NOT(ISNUMBER('Price History'!P137)),NOT(ISNUMBER('Price History'!P136)),'Price History'!P136=0),"",'Price History'!P137/'Price History'!P136-1),"")</f>
        <v>5.1594746716696616E-3</v>
      </c>
      <c r="Q136" s="129">
        <f>IFERROR(IF(OR(NOT(ISNUMBER('Price History'!Q137)),NOT(ISNUMBER('Price History'!Q136)),'Price History'!Q136=0),"",'Price History'!Q137/'Price History'!Q136-1),"")</f>
        <v>2.0328381548084362E-2</v>
      </c>
      <c r="R136" s="129">
        <f>IFERROR(IF(OR(NOT(ISNUMBER('Price History'!R137)),NOT(ISNUMBER('Price History'!R136)),'Price History'!R136=0),"",'Price History'!R137/'Price History'!R136-1),"")</f>
        <v>3.6384527001148914E-2</v>
      </c>
      <c r="S136" s="129">
        <f>IFERROR(IF(OR(NOT(ISNUMBER('Price History'!S137)),NOT(ISNUMBER('Price History'!S136)),'Price History'!S136=0),"",'Price History'!S137/'Price History'!S136-1),"")</f>
        <v>7.4925686308795258E-2</v>
      </c>
      <c r="T136" s="129">
        <f>IFERROR(IF(OR(NOT(ISNUMBER('Price History'!T137)),NOT(ISNUMBER('Price History'!T136)),'Price History'!T136=0),"",'Price History'!T137/'Price History'!T136-1),"")</f>
        <v>-4.2896795357053596E-3</v>
      </c>
      <c r="U136" s="129">
        <f>IFERROR(IF(OR(NOT(ISNUMBER('Price History'!U137)),NOT(ISNUMBER('Price History'!U136)),'Price History'!U136=0),"",'Price History'!U137/'Price History'!U136-1),"")</f>
        <v>0</v>
      </c>
      <c r="V136" s="130">
        <f>IFERROR(IF(OR(NOT(ISNUMBER('Price History'!V137)),NOT(ISNUMBER('Price History'!V136)),'Price History'!V136=0),"",'Price History'!V137/'Price History'!V136-1),"")</f>
        <v>1.1848341232227444E-2</v>
      </c>
      <c r="W136" s="131">
        <f>IFERROR('Price History'!B3+(INDEX('Price History'!B:B,MATCH(9.99E+307,'Returns (Calc)'!$A:$A)+1)-'Price History'!B3)*(ROW()-3)/(MATCH(9.99E+307,'Returns (Calc)'!$A:$A)-3),"")</f>
        <v>283.76594936708864</v>
      </c>
      <c r="X136" s="131">
        <f>IFERROR('Price History'!C3+(INDEX('Price History'!C:C,MATCH(9.99E+307,'Returns (Calc)'!$A:$A)+1)-'Price History'!C3)*(ROW()-3)/(MATCH(9.99E+307,'Returns (Calc)'!$A:$A)-3),"")</f>
        <v>181.84841772151898</v>
      </c>
      <c r="Y136" s="131">
        <f>IFERROR('Price History'!D3+(INDEX('Price History'!D:D,MATCH(9.99E+307,'Returns (Calc)'!$A:$A)+1)-'Price History'!D3)*(ROW()-3)/(MATCH(9.99E+307,'Returns (Calc)'!$A:$A)-3),"")</f>
        <v>1663.939746835443</v>
      </c>
      <c r="Z136" s="131">
        <f>IFERROR('Price History'!E3+(INDEX('Price History'!E:E,MATCH(9.99E+307,'Returns (Calc)'!$A:$A)+1)-'Price History'!E3)*(ROW()-3)/(MATCH(9.99E+307,'Returns (Calc)'!$A:$A)-3),"")</f>
        <v>311.92164556962018</v>
      </c>
      <c r="AA136" s="131">
        <f>IFERROR('Price History'!F3+(INDEX('Price History'!F:F,MATCH(9.99E+307,'Returns (Calc)'!$A:$A)+1)-'Price History'!F3)*(ROW()-3)/(MATCH(9.99E+307,'Returns (Calc)'!$A:$A)-3),"")</f>
        <v>233.85645569620254</v>
      </c>
      <c r="AB136" s="131">
        <f>IFERROR('Price History'!G3+(INDEX('Price History'!G:G,MATCH(9.99E+307,'Returns (Calc)'!$A:$A)+1)-'Price History'!G3)*(ROW()-3)/(MATCH(9.99E+307,'Returns (Calc)'!$A:$A)-3),"")</f>
        <v>181.17164556962024</v>
      </c>
      <c r="AC136" s="131">
        <f>IFERROR('Price History'!H3+(INDEX('Price History'!H:H,MATCH(9.99E+307,'Returns (Calc)'!$A:$A)+1)-'Price History'!H3)*(ROW()-3)/(MATCH(9.99E+307,'Returns (Calc)'!$A:$A)-3),"")</f>
        <v>915.74759493670899</v>
      </c>
      <c r="AD136" s="131">
        <f>IFERROR('Price History'!I3+(INDEX('Price History'!I:I,MATCH(9.99E+307,'Returns (Calc)'!$A:$A)+1)-'Price History'!I3)*(ROW()-3)/(MATCH(9.99E+307,'Returns (Calc)'!$A:$A)-3),"")</f>
        <v>203.85822784810128</v>
      </c>
      <c r="AE136" s="131">
        <f>IFERROR('Price History'!J3+(INDEX('Price History'!J:J,MATCH(9.99E+307,'Returns (Calc)'!$A:$A)+1)-'Price History'!J3)*(ROW()-3)/(MATCH(9.99E+307,'Returns (Calc)'!$A:$A)-3),"")</f>
        <v>126.20905063291139</v>
      </c>
      <c r="AF136" s="131">
        <f>IFERROR('Price History'!K3+(INDEX('Price History'!K:K,MATCH(9.99E+307,'Returns (Calc)'!$A:$A)+1)-'Price History'!K3)*(ROW()-3)/(MATCH(9.99E+307,'Returns (Calc)'!$A:$A)-3),"")</f>
        <v>161.31012658227849</v>
      </c>
      <c r="AG136" s="131">
        <f>IFERROR('Price History'!L3+(INDEX('Price History'!L:L,MATCH(9.99E+307,'Returns (Calc)'!$A:$A)+1)-'Price History'!L3)*(ROW()-3)/(MATCH(9.99E+307,'Returns (Calc)'!$A:$A)-3),"")</f>
        <v>411.5410759493671</v>
      </c>
      <c r="AH136" s="131">
        <f>IFERROR('Price History'!M3+(INDEX('Price History'!M:M,MATCH(9.99E+307,'Returns (Calc)'!$A:$A)+1)-'Price History'!M3)*(ROW()-3)/(MATCH(9.99E+307,'Returns (Calc)'!$A:$A)-3),"")</f>
        <v>218.29392405063291</v>
      </c>
      <c r="AI136" s="131">
        <f>IFERROR('Price History'!N3+(INDEX('Price History'!N:N,MATCH(9.99E+307,'Returns (Calc)'!$A:$A)+1)-'Price History'!N3)*(ROW()-3)/(MATCH(9.99E+307,'Returns (Calc)'!$A:$A)-3),"")</f>
        <v>480.07335443037977</v>
      </c>
      <c r="AJ136" s="131">
        <f>IFERROR('Price History'!O3+(INDEX('Price History'!O:O,MATCH(9.99E+307,'Returns (Calc)'!$A:$A)+1)-'Price History'!O3)*(ROW()-3)/(MATCH(9.99E+307,'Returns (Calc)'!$A:$A)-3),"")</f>
        <v>112.95405063291139</v>
      </c>
      <c r="AK136" s="131">
        <f>IFERROR('Price History'!Q3+(INDEX('Price History'!Q:Q,MATCH(9.99E+307,'Returns (Calc)'!$A:$A)+1)-'Price History'!Q3)*(ROW()-3)/(MATCH(9.99E+307,'Returns (Calc)'!$A:$A)-3),"")</f>
        <v>58.435822784810128</v>
      </c>
      <c r="AL136" s="131">
        <f>IFERROR('Price History'!R3+(INDEX('Price History'!R:R,MATCH(9.99E+307,'Returns (Calc)'!$A:$A)+1)-'Price History'!R3)*(ROW()-3)/(MATCH(9.99E+307,'Returns (Calc)'!$A:$A)-3),"")</f>
        <v>56.837468354430385</v>
      </c>
      <c r="AM136" s="131">
        <f>IFERROR('Price History'!S3+(INDEX('Price History'!S:S,MATCH(9.99E+307,'Returns (Calc)'!$A:$A)+1)-'Price History'!S3)*(ROW()-3)/(MATCH(9.99E+307,'Returns (Calc)'!$A:$A)-3),"")</f>
        <v>138.10341772151898</v>
      </c>
      <c r="AN136" s="131">
        <f>IFERROR('Price History'!T3+(INDEX('Price History'!T:T,MATCH(9.99E+307,'Returns (Calc)'!$A:$A)+1)-'Price History'!T3)*(ROW()-3)/(MATCH(9.99E+307,'Returns (Calc)'!$A:$A)-3),"")</f>
        <v>47.614303797468352</v>
      </c>
      <c r="AO136" s="132">
        <f>IFERROR('Price History'!V3+(INDEX('Price History'!V:V,MATCH(9.99E+307,'Returns (Calc)'!$A:$A)+1)-'Price History'!V3)*(ROW()-3)/(MATCH(9.99E+307,'Returns (Calc)'!$A:$A)-3),"")</f>
        <v>340.87677215189876</v>
      </c>
      <c r="AP136" s="130">
        <f>IFERROR(IF(OR(NOT(ISNUMBER('Price History'!W137)),NOT(ISNUMBER('Price History'!W136)),'Price History'!W136=0),"",'Price History'!W137/'Price History'!W136-1),"")</f>
        <v>2.6711299357835783E-2</v>
      </c>
      <c r="AQ136" s="130">
        <f>IFERROR(IF(OR(NOT(ISNUMBER('Price History'!X137)),NOT(ISNUMBER('Price History'!X136)),'Price History'!X136=0),"",'Price History'!X137/'Price History'!X136-1),"")</f>
        <v>-1.1474469305795543E-3</v>
      </c>
      <c r="AR136" s="130">
        <f>IFERROR(IF(OR(NOT(ISNUMBER('Price History'!Y137)),NOT(ISNUMBER('Price History'!Y136)),'Price History'!Y136=0),"",'Price History'!Y137/'Price History'!Y136-1),"")</f>
        <v>1.9372693726937174E-2</v>
      </c>
      <c r="AS136" s="130">
        <f>IFERROR(IF(OR(NOT(ISNUMBER('Price History'!Z137)),NOT(ISNUMBER('Price History'!Z136)),'Price History'!Z136=0),"",'Price History'!Z137/'Price History'!Z136-1),"")</f>
        <v>9.6720202271998845E-2</v>
      </c>
      <c r="AT136" s="130">
        <f>IFERROR(IF(OR(NOT(ISNUMBER('Price History'!AA137)),NOT(ISNUMBER('Price History'!AA136)),'Price History'!AA136=0),"",'Price History'!AA137/'Price History'!AA136-1),"")</f>
        <v>4.4090816947091049E-2</v>
      </c>
    </row>
    <row r="137" spans="1:46" ht="15" customHeight="1" x14ac:dyDescent="0.2">
      <c r="A137" s="128">
        <f>IF('Price History'!A138="","",'Price History'!A138)</f>
        <v>46129</v>
      </c>
      <c r="B137" s="129">
        <f>IFERROR(IF(OR(NOT(ISNUMBER('Price History'!B138)),NOT(ISNUMBER('Price History'!B137)),'Price History'!B137=0),"",'Price History'!B138/'Price History'!B137-1),"")</f>
        <v>8.4757044597293163E-2</v>
      </c>
      <c r="C137" s="129">
        <f>IFERROR(IF(OR(NOT(ISNUMBER('Price History'!C138)),NOT(ISNUMBER('Price History'!C137)),'Price History'!C137=0),"",'Price History'!C138/'Price History'!C137-1),"")</f>
        <v>0.11455717678995581</v>
      </c>
      <c r="D137" s="129">
        <f>IFERROR(IF(OR(NOT(ISNUMBER('Price History'!D138)),NOT(ISNUMBER('Price History'!D137)),'Price History'!D137=0),"",'Price History'!D138/'Price History'!D137-1),"")</f>
        <v>-1.2497030173437951E-2</v>
      </c>
      <c r="E137" s="129">
        <f>IFERROR(IF(OR(NOT(ISNUMBER('Price History'!E138)),NOT(ISNUMBER('Price History'!E137)),'Price History'!E137=0),"",'Price History'!E138/'Price History'!E137-1),"")</f>
        <v>9.4169434767344518E-2</v>
      </c>
      <c r="F137" s="129">
        <f>IFERROR(IF(OR(NOT(ISNUMBER('Price History'!F138)),NOT(ISNUMBER('Price History'!F137)),'Price History'!F137=0),"",'Price History'!F138/'Price History'!F137-1),"")</f>
        <v>0.11862796833773093</v>
      </c>
      <c r="G137" s="129">
        <f>IFERROR(IF(OR(NOT(ISNUMBER('Price History'!G138)),NOT(ISNUMBER('Price History'!G137)),'Price History'!G137=0),"",'Price History'!G138/'Price History'!G137-1),"")</f>
        <v>3.1158040505452789E-2</v>
      </c>
      <c r="H137" s="129">
        <f>IFERROR(IF(OR(NOT(ISNUMBER('Price History'!H138)),NOT(ISNUMBER('Price History'!H137)),'Price History'!H137=0),"",'Price History'!H138/'Price History'!H137-1),"")</f>
        <v>8.1967992771027065E-2</v>
      </c>
      <c r="I137" s="129">
        <f>IFERROR(IF(OR(NOT(ISNUMBER('Price History'!I138)),NOT(ISNUMBER('Price History'!I137)),'Price History'!I137=0),"",'Price History'!I138/'Price History'!I137-1),"")</f>
        <v>6.9181721572795007E-2</v>
      </c>
      <c r="J137" s="129">
        <f>IFERROR(IF(OR(NOT(ISNUMBER('Price History'!J138)),NOT(ISNUMBER('Price History'!J137)),'Price History'!J137=0),"",'Price History'!J138/'Price History'!J137-1),"")</f>
        <v>5.7648190631243823E-2</v>
      </c>
      <c r="K137" s="129">
        <f>IFERROR(IF(OR(NOT(ISNUMBER('Price History'!K138)),NOT(ISNUMBER('Price History'!K137)),'Price History'!K137=0),"",'Price History'!K138/'Price History'!K137-1),"")</f>
        <v>0.14313602998594388</v>
      </c>
      <c r="L137" s="129">
        <f>IFERROR(IF(OR(NOT(ISNUMBER('Price History'!L138)),NOT(ISNUMBER('Price History'!L137)),'Price History'!L137=0),"",'Price History'!L138/'Price History'!L137-1),"")</f>
        <v>-2.4407441557749987E-4</v>
      </c>
      <c r="M137" s="129">
        <f>IFERROR(IF(OR(NOT(ISNUMBER('Price History'!M138)),NOT(ISNUMBER('Price History'!M137)),'Price History'!M137=0),"",'Price History'!M138/'Price History'!M137-1),"")</f>
        <v>4.1426537392365459E-2</v>
      </c>
      <c r="N137" s="129">
        <f>IFERROR(IF(OR(NOT(ISNUMBER('Price History'!N138)),NOT(ISNUMBER('Price History'!N137)),'Price History'!N137=0),"",'Price History'!N138/'Price History'!N137-1),"")</f>
        <v>1.1300341531620406E-2</v>
      </c>
      <c r="O137" s="129">
        <f>IFERROR(IF(OR(NOT(ISNUMBER('Price History'!O138)),NOT(ISNUMBER('Price History'!O137)),'Price History'!O137=0),"",'Price History'!O138/'Price History'!O137-1),"")</f>
        <v>2.4311040898718606E-2</v>
      </c>
      <c r="P137" s="129">
        <f>IFERROR(IF(OR(NOT(ISNUMBER('Price History'!P138)),NOT(ISNUMBER('Price History'!P137)),'Price History'!P137=0),"",'Price History'!P138/'Price History'!P137-1),"")</f>
        <v>4.5996933537764129E-3</v>
      </c>
      <c r="Q137" s="129">
        <f>IFERROR(IF(OR(NOT(ISNUMBER('Price History'!Q138)),NOT(ISNUMBER('Price History'!Q137)),'Price History'!Q137=0),"",'Price History'!Q138/'Price History'!Q137-1),"")</f>
        <v>2.5747126436781675E-2</v>
      </c>
      <c r="R137" s="129">
        <f>IFERROR(IF(OR(NOT(ISNUMBER('Price History'!R138)),NOT(ISNUMBER('Price History'!R137)),'Price History'!R137=0),"",'Price History'!R138/'Price History'!R137-1),"")</f>
        <v>1.8107908351810975E-2</v>
      </c>
      <c r="S137" s="129">
        <f>IFERROR(IF(OR(NOT(ISNUMBER('Price History'!S138)),NOT(ISNUMBER('Price History'!S137)),'Price History'!S137=0),"",'Price History'!S138/'Price History'!S137-1),"")</f>
        <v>4.0178934526230226E-2</v>
      </c>
      <c r="T137" s="129">
        <f>IFERROR(IF(OR(NOT(ISNUMBER('Price History'!T138)),NOT(ISNUMBER('Price History'!T137)),'Price History'!T137=0),"",'Price History'!T138/'Price History'!T137-1),"")</f>
        <v>5.347187024835276E-2</v>
      </c>
      <c r="U137" s="129">
        <f>IFERROR(IF(OR(NOT(ISNUMBER('Price History'!U138)),NOT(ISNUMBER('Price History'!U137)),'Price History'!U137=0),"",'Price History'!U138/'Price History'!U137-1),"")</f>
        <v>1.5957446808510634E-2</v>
      </c>
      <c r="V137" s="130">
        <f>IFERROR(IF(OR(NOT(ISNUMBER('Price History'!V138)),NOT(ISNUMBER('Price History'!V137)),'Price History'!V137=0),"",'Price History'!V138/'Price History'!V137-1),"")</f>
        <v>4.15938252465613E-2</v>
      </c>
      <c r="W137" s="131">
        <f>IFERROR('Price History'!B3+(INDEX('Price History'!B:B,MATCH(9.99E+307,'Returns (Calc)'!$A:$A)+1)-'Price History'!B3)*(ROW()-3)/(MATCH(9.99E+307,'Returns (Calc)'!$A:$A)-3),"")</f>
        <v>281.92291139240507</v>
      </c>
      <c r="X137" s="131">
        <f>IFERROR('Price History'!C3+(INDEX('Price History'!C:C,MATCH(9.99E+307,'Returns (Calc)'!$A:$A)+1)-'Price History'!C3)*(ROW()-3)/(MATCH(9.99E+307,'Returns (Calc)'!$A:$A)-3),"")</f>
        <v>182.86848101265824</v>
      </c>
      <c r="Y137" s="131">
        <f>IFERROR('Price History'!D3+(INDEX('Price History'!D:D,MATCH(9.99E+307,'Returns (Calc)'!$A:$A)+1)-'Price History'!D3)*(ROW()-3)/(MATCH(9.99E+307,'Returns (Calc)'!$A:$A)-3),"")</f>
        <v>1672.0745569620251</v>
      </c>
      <c r="Z137" s="131">
        <f>IFERROR('Price History'!E3+(INDEX('Price History'!E:E,MATCH(9.99E+307,'Returns (Calc)'!$A:$A)+1)-'Price History'!E3)*(ROW()-3)/(MATCH(9.99E+307,'Returns (Calc)'!$A:$A)-3),"")</f>
        <v>313.65037974683537</v>
      </c>
      <c r="AA137" s="131">
        <f>IFERROR('Price History'!F3+(INDEX('Price History'!F:F,MATCH(9.99E+307,'Returns (Calc)'!$A:$A)+1)-'Price History'!F3)*(ROW()-3)/(MATCH(9.99E+307,'Returns (Calc)'!$A:$A)-3),"")</f>
        <v>235.30379746835445</v>
      </c>
      <c r="AB137" s="131">
        <f>IFERROR('Price History'!G3+(INDEX('Price History'!G:G,MATCH(9.99E+307,'Returns (Calc)'!$A:$A)+1)-'Price History'!G3)*(ROW()-3)/(MATCH(9.99E+307,'Returns (Calc)'!$A:$A)-3),"")</f>
        <v>182.20037974683544</v>
      </c>
      <c r="AC137" s="131">
        <f>IFERROR('Price History'!H3+(INDEX('Price History'!H:H,MATCH(9.99E+307,'Returns (Calc)'!$A:$A)+1)-'Price History'!H3)*(ROW()-3)/(MATCH(9.99E+307,'Returns (Calc)'!$A:$A)-3),"")</f>
        <v>922.11329113924069</v>
      </c>
      <c r="AD137" s="131">
        <f>IFERROR('Price History'!I3+(INDEX('Price History'!I:I,MATCH(9.99E+307,'Returns (Calc)'!$A:$A)+1)-'Price History'!I3)*(ROW()-3)/(MATCH(9.99E+307,'Returns (Calc)'!$A:$A)-3),"")</f>
        <v>205.06189873417719</v>
      </c>
      <c r="AE137" s="131">
        <f>IFERROR('Price History'!J3+(INDEX('Price History'!J:J,MATCH(9.99E+307,'Returns (Calc)'!$A:$A)+1)-'Price History'!J3)*(ROW()-3)/(MATCH(9.99E+307,'Returns (Calc)'!$A:$A)-3),"")</f>
        <v>126.31708860759494</v>
      </c>
      <c r="AF137" s="131">
        <f>IFERROR('Price History'!K3+(INDEX('Price History'!K:K,MATCH(9.99E+307,'Returns (Calc)'!$A:$A)+1)-'Price History'!K3)*(ROW()-3)/(MATCH(9.99E+307,'Returns (Calc)'!$A:$A)-3),"")</f>
        <v>162.40772151898736</v>
      </c>
      <c r="AG137" s="131">
        <f>IFERROR('Price History'!L3+(INDEX('Price History'!L:L,MATCH(9.99E+307,'Returns (Calc)'!$A:$A)+1)-'Price History'!L3)*(ROW()-3)/(MATCH(9.99E+307,'Returns (Calc)'!$A:$A)-3),"")</f>
        <v>413.99063291139237</v>
      </c>
      <c r="AH137" s="131">
        <f>IFERROR('Price History'!M3+(INDEX('Price History'!M:M,MATCH(9.99E+307,'Returns (Calc)'!$A:$A)+1)-'Price History'!M3)*(ROW()-3)/(MATCH(9.99E+307,'Returns (Calc)'!$A:$A)-3),"")</f>
        <v>219.64936708860759</v>
      </c>
      <c r="AI137" s="131">
        <f>IFERROR('Price History'!N3+(INDEX('Price History'!N:N,MATCH(9.99E+307,'Returns (Calc)'!$A:$A)+1)-'Price History'!N3)*(ROW()-3)/(MATCH(9.99E+307,'Returns (Calc)'!$A:$A)-3),"")</f>
        <v>481.05962025316455</v>
      </c>
      <c r="AJ137" s="131">
        <f>IFERROR('Price History'!O3+(INDEX('Price History'!O:O,MATCH(9.99E+307,'Returns (Calc)'!$A:$A)+1)-'Price History'!O3)*(ROW()-3)/(MATCH(9.99E+307,'Returns (Calc)'!$A:$A)-3),"")</f>
        <v>113.23708860759493</v>
      </c>
      <c r="AK137" s="131">
        <f>IFERROR('Price History'!Q3+(INDEX('Price History'!Q:Q,MATCH(9.99E+307,'Returns (Calc)'!$A:$A)+1)-'Price History'!Q3)*(ROW()-3)/(MATCH(9.99E+307,'Returns (Calc)'!$A:$A)-3),"")</f>
        <v>58.875189873417725</v>
      </c>
      <c r="AL137" s="131">
        <f>IFERROR('Price History'!R3+(INDEX('Price History'!R:R,MATCH(9.99E+307,'Returns (Calc)'!$A:$A)+1)-'Price History'!R3)*(ROW()-3)/(MATCH(9.99E+307,'Returns (Calc)'!$A:$A)-3),"")</f>
        <v>57.005569620253169</v>
      </c>
      <c r="AM137" s="131">
        <f>IFERROR('Price History'!S3+(INDEX('Price History'!S:S,MATCH(9.99E+307,'Returns (Calc)'!$A:$A)+1)-'Price History'!S3)*(ROW()-3)/(MATCH(9.99E+307,'Returns (Calc)'!$A:$A)-3),"")</f>
        <v>138.70848101265824</v>
      </c>
      <c r="AN137" s="131">
        <f>IFERROR('Price History'!T3+(INDEX('Price History'!T:T,MATCH(9.99E+307,'Returns (Calc)'!$A:$A)+1)-'Price History'!T3)*(ROW()-3)/(MATCH(9.99E+307,'Returns (Calc)'!$A:$A)-3),"")</f>
        <v>47.78253164556962</v>
      </c>
      <c r="AO137" s="132">
        <f>IFERROR('Price History'!V3+(INDEX('Price History'!V:V,MATCH(9.99E+307,'Returns (Calc)'!$A:$A)+1)-'Price History'!V3)*(ROW()-3)/(MATCH(9.99E+307,'Returns (Calc)'!$A:$A)-3),"")</f>
        <v>341.66810126582283</v>
      </c>
      <c r="AP137" s="130">
        <f>IFERROR(IF(OR(NOT(ISNUMBER('Price History'!W138)),NOT(ISNUMBER('Price History'!W137)),'Price History'!W137=0),"",'Price History'!W138/'Price History'!W137-1),"")</f>
        <v>2.0027945971122563E-2</v>
      </c>
      <c r="AQ137" s="130">
        <f>IFERROR(IF(OR(NOT(ISNUMBER('Price History'!X138)),NOT(ISNUMBER('Price History'!X137)),'Price History'!X137=0),"",'Price History'!X138/'Price History'!X137-1),"")</f>
        <v>-2.5081370859659113E-2</v>
      </c>
      <c r="AR137" s="130">
        <f>IFERROR(IF(OR(NOT(ISNUMBER('Price History'!Y138)),NOT(ISNUMBER('Price History'!Y137)),'Price History'!Y137=0),"",'Price History'!Y138/'Price History'!Y137-1),"")</f>
        <v>4.3438914027149611E-3</v>
      </c>
      <c r="AS137" s="130">
        <f>IFERROR(IF(OR(NOT(ISNUMBER('Price History'!Z138)),NOT(ISNUMBER('Price History'!Z137)),'Price History'!Z137=0),"",'Price History'!Z138/'Price History'!Z137-1),"")</f>
        <v>-1.3702633373380624E-2</v>
      </c>
      <c r="AT137" s="130">
        <f>IFERROR(IF(OR(NOT(ISNUMBER('Price History'!AA138)),NOT(ISNUMBER('Price History'!AA137)),'Price History'!AA137=0),"",'Price History'!AA138/'Price History'!AA137-1),"")</f>
        <v>-5.5334433550140782E-2</v>
      </c>
    </row>
    <row r="138" spans="1:46" ht="15" customHeight="1" x14ac:dyDescent="0.2">
      <c r="A138" s="128">
        <f>IF('Price History'!A139="","",'Price History'!A139)</f>
        <v>46136</v>
      </c>
      <c r="B138" s="129">
        <f>IFERROR(IF(OR(NOT(ISNUMBER('Price History'!B139)),NOT(ISNUMBER('Price History'!B138)),'Price History'!B138=0),"",'Price History'!B139/'Price History'!B138-1),"")</f>
        <v>4.0499079566373997E-3</v>
      </c>
      <c r="C138" s="129">
        <f>IFERROR(IF(OR(NOT(ISNUMBER('Price History'!C139)),NOT(ISNUMBER('Price History'!C138)),'Price History'!C138=0),"",'Price History'!C139/'Price History'!C138-1),"")</f>
        <v>7.7208792547037719E-2</v>
      </c>
      <c r="D138" s="129">
        <f>IFERROR(IF(OR(NOT(ISNUMBER('Price History'!D139)),NOT(ISNUMBER('Price History'!D138)),'Price History'!D138=0),"",'Price History'!D139/'Price History'!D138-1),"")</f>
        <v>-1.4435569242613466E-3</v>
      </c>
      <c r="E138" s="129">
        <f>IFERROR(IF(OR(NOT(ISNUMBER('Price History'!E139)),NOT(ISNUMBER('Price History'!E138)),'Price History'!E138=0),"",'Price History'!E139/'Price History'!E138-1),"")</f>
        <v>3.9885477342284537E-2</v>
      </c>
      <c r="F138" s="129">
        <f>IFERROR(IF(OR(NOT(ISNUMBER('Price History'!F139)),NOT(ISNUMBER('Price History'!F138)),'Price History'!F138=0),"",'Price History'!F139/'Price History'!F138-1),"")</f>
        <v>5.6986508161147365E-2</v>
      </c>
      <c r="G138" s="129">
        <f>IFERROR(IF(OR(NOT(ISNUMBER('Price History'!G139)),NOT(ISNUMBER('Price History'!G138)),'Price History'!G138=0),"",'Price History'!G139/'Price History'!G138-1),"")</f>
        <v>8.0185775837949613E-2</v>
      </c>
      <c r="H138" s="129">
        <f>IFERROR(IF(OR(NOT(ISNUMBER('Price History'!H139)),NOT(ISNUMBER('Price History'!H138)),'Price History'!H138=0),"",'Price History'!H139/'Price History'!H138-1),"")</f>
        <v>9.1516483516483449E-2</v>
      </c>
      <c r="I138" s="129">
        <f>IFERROR(IF(OR(NOT(ISNUMBER('Price History'!I139)),NOT(ISNUMBER('Price History'!I138)),'Price History'!I138=0),"",'Price History'!I139/'Price History'!I138-1),"")</f>
        <v>3.2700526786601847E-2</v>
      </c>
      <c r="J138" s="129">
        <f>IFERROR(IF(OR(NOT(ISNUMBER('Price History'!J139)),NOT(ISNUMBER('Price History'!J138)),'Price History'!J138=0),"",'Price History'!J139/'Price History'!J138-1),"")</f>
        <v>-2.071088720962766E-2</v>
      </c>
      <c r="K138" s="129">
        <f>IFERROR(IF(OR(NOT(ISNUMBER('Price History'!K139)),NOT(ISNUMBER('Price History'!K138)),'Price History'!K138=0),"",'Price History'!K139/'Price History'!K138-1),"")</f>
        <v>-2.2542523396406722E-2</v>
      </c>
      <c r="L138" s="129">
        <f>IFERROR(IF(OR(NOT(ISNUMBER('Price History'!L139)),NOT(ISNUMBER('Price History'!L138)),'Price History'!L138=0),"",'Price History'!L139/'Price History'!L138-1),"")</f>
        <v>8.6260680862606742E-2</v>
      </c>
      <c r="M138" s="129">
        <f>IFERROR(IF(OR(NOT(ISNUMBER('Price History'!M139)),NOT(ISNUMBER('Price History'!M138)),'Price History'!M138=0),"",'Price History'!M139/'Price History'!M138-1),"")</f>
        <v>5.2441406250000044E-2</v>
      </c>
      <c r="N138" s="129">
        <f>IFERROR(IF(OR(NOT(ISNUMBER('Price History'!N139)),NOT(ISNUMBER('Price History'!N138)),'Price History'!N138=0),"",'Price History'!N139/'Price History'!N138-1),"")</f>
        <v>-2.4728014505892904E-2</v>
      </c>
      <c r="O138" s="129">
        <f>IFERROR(IF(OR(NOT(ISNUMBER('Price History'!O139)),NOT(ISNUMBER('Price History'!O138)),'Price History'!O138=0),"",'Price History'!O139/'Price History'!O138-1),"")</f>
        <v>1.2252591894439169E-2</v>
      </c>
      <c r="P138" s="129">
        <f>IFERROR(IF(OR(NOT(ISNUMBER('Price History'!P139)),NOT(ISNUMBER('Price History'!P138)),'Price History'!P138=0),"",'Price History'!P139/'Price History'!P138-1),"")</f>
        <v>-8.0955540809555249E-3</v>
      </c>
      <c r="Q138" s="129">
        <f>IFERROR(IF(OR(NOT(ISNUMBER('Price History'!Q139)),NOT(ISNUMBER('Price History'!Q138)),'Price History'!Q138=0),"",'Price History'!Q139/'Price History'!Q138-1),"")</f>
        <v>2.2411474675032572E-3</v>
      </c>
      <c r="R138" s="129">
        <f>IFERROR(IF(OR(NOT(ISNUMBER('Price History'!R139)),NOT(ISNUMBER('Price History'!R138)),'Price History'!R138=0),"",'Price History'!R139/'Price History'!R138-1),"")</f>
        <v>5.6261343012702358E-3</v>
      </c>
      <c r="S138" s="129">
        <f>IFERROR(IF(OR(NOT(ISNUMBER('Price History'!S139)),NOT(ISNUMBER('Price History'!S138)),'Price History'!S138=0),"",'Price History'!S139/'Price History'!S138-1),"")</f>
        <v>2.5099695050433857E-2</v>
      </c>
      <c r="T138" s="129">
        <f>IFERROR(IF(OR(NOT(ISNUMBER('Price History'!T139)),NOT(ISNUMBER('Price History'!T138)),'Price History'!T138=0),"",'Price History'!T139/'Price History'!T138-1),"")</f>
        <v>-5.5328361799373837E-3</v>
      </c>
      <c r="U138" s="129">
        <f>IFERROR(IF(OR(NOT(ISNUMBER('Price History'!U139)),NOT(ISNUMBER('Price History'!U138)),'Price History'!U138=0),"",'Price History'!U139/'Price History'!U138-1),"")</f>
        <v>4.9083769633508911E-3</v>
      </c>
      <c r="V138" s="130">
        <f>IFERROR(IF(OR(NOT(ISNUMBER('Price History'!V139)),NOT(ISNUMBER('Price History'!V138)),'Price History'!V138=0),"",'Price History'!V139/'Price History'!V138-1),"")</f>
        <v>-2.3972385838241794E-2</v>
      </c>
      <c r="W138" s="131">
        <f>IFERROR('Price History'!B3+(INDEX('Price History'!B:B,MATCH(9.99E+307,'Returns (Calc)'!$A:$A)+1)-'Price History'!B3)*(ROW()-3)/(MATCH(9.99E+307,'Returns (Calc)'!$A:$A)-3),"")</f>
        <v>280.0798734177215</v>
      </c>
      <c r="X138" s="131">
        <f>IFERROR('Price History'!C3+(INDEX('Price History'!C:C,MATCH(9.99E+307,'Returns (Calc)'!$A:$A)+1)-'Price History'!C3)*(ROW()-3)/(MATCH(9.99E+307,'Returns (Calc)'!$A:$A)-3),"")</f>
        <v>183.88854430379746</v>
      </c>
      <c r="Y138" s="131">
        <f>IFERROR('Price History'!D3+(INDEX('Price History'!D:D,MATCH(9.99E+307,'Returns (Calc)'!$A:$A)+1)-'Price History'!D3)*(ROW()-3)/(MATCH(9.99E+307,'Returns (Calc)'!$A:$A)-3),"")</f>
        <v>1680.2093670886077</v>
      </c>
      <c r="Z138" s="131">
        <f>IFERROR('Price History'!E3+(INDEX('Price History'!E:E,MATCH(9.99E+307,'Returns (Calc)'!$A:$A)+1)-'Price History'!E3)*(ROW()-3)/(MATCH(9.99E+307,'Returns (Calc)'!$A:$A)-3),"")</f>
        <v>315.37911392405067</v>
      </c>
      <c r="AA138" s="131">
        <f>IFERROR('Price History'!F3+(INDEX('Price History'!F:F,MATCH(9.99E+307,'Returns (Calc)'!$A:$A)+1)-'Price History'!F3)*(ROW()-3)/(MATCH(9.99E+307,'Returns (Calc)'!$A:$A)-3),"")</f>
        <v>236.75113924050635</v>
      </c>
      <c r="AB138" s="131">
        <f>IFERROR('Price History'!G3+(INDEX('Price History'!G:G,MATCH(9.99E+307,'Returns (Calc)'!$A:$A)+1)-'Price History'!G3)*(ROW()-3)/(MATCH(9.99E+307,'Returns (Calc)'!$A:$A)-3),"")</f>
        <v>183.22911392405061</v>
      </c>
      <c r="AC138" s="131">
        <f>IFERROR('Price History'!H3+(INDEX('Price History'!H:H,MATCH(9.99E+307,'Returns (Calc)'!$A:$A)+1)-'Price History'!H3)*(ROW()-3)/(MATCH(9.99E+307,'Returns (Calc)'!$A:$A)-3),"")</f>
        <v>928.47898734177227</v>
      </c>
      <c r="AD138" s="131">
        <f>IFERROR('Price History'!I3+(INDEX('Price History'!I:I,MATCH(9.99E+307,'Returns (Calc)'!$A:$A)+1)-'Price History'!I3)*(ROW()-3)/(MATCH(9.99E+307,'Returns (Calc)'!$A:$A)-3),"")</f>
        <v>206.26556962025316</v>
      </c>
      <c r="AE138" s="131">
        <f>IFERROR('Price History'!J3+(INDEX('Price History'!J:J,MATCH(9.99E+307,'Returns (Calc)'!$A:$A)+1)-'Price History'!J3)*(ROW()-3)/(MATCH(9.99E+307,'Returns (Calc)'!$A:$A)-3),"")</f>
        <v>126.42512658227848</v>
      </c>
      <c r="AF138" s="131">
        <f>IFERROR('Price History'!K3+(INDEX('Price History'!K:K,MATCH(9.99E+307,'Returns (Calc)'!$A:$A)+1)-'Price History'!K3)*(ROW()-3)/(MATCH(9.99E+307,'Returns (Calc)'!$A:$A)-3),"")</f>
        <v>163.5053164556962</v>
      </c>
      <c r="AG138" s="131">
        <f>IFERROR('Price History'!L3+(INDEX('Price History'!L:L,MATCH(9.99E+307,'Returns (Calc)'!$A:$A)+1)-'Price History'!L3)*(ROW()-3)/(MATCH(9.99E+307,'Returns (Calc)'!$A:$A)-3),"")</f>
        <v>416.44018987341769</v>
      </c>
      <c r="AH138" s="131">
        <f>IFERROR('Price History'!M3+(INDEX('Price History'!M:M,MATCH(9.99E+307,'Returns (Calc)'!$A:$A)+1)-'Price History'!M3)*(ROW()-3)/(MATCH(9.99E+307,'Returns (Calc)'!$A:$A)-3),"")</f>
        <v>221.00481012658227</v>
      </c>
      <c r="AI138" s="131">
        <f>IFERROR('Price History'!N3+(INDEX('Price History'!N:N,MATCH(9.99E+307,'Returns (Calc)'!$A:$A)+1)-'Price History'!N3)*(ROW()-3)/(MATCH(9.99E+307,'Returns (Calc)'!$A:$A)-3),"")</f>
        <v>482.0458860759494</v>
      </c>
      <c r="AJ138" s="131">
        <f>IFERROR('Price History'!O3+(INDEX('Price History'!O:O,MATCH(9.99E+307,'Returns (Calc)'!$A:$A)+1)-'Price History'!O3)*(ROW()-3)/(MATCH(9.99E+307,'Returns (Calc)'!$A:$A)-3),"")</f>
        <v>113.52012658227848</v>
      </c>
      <c r="AK138" s="131">
        <f>IFERROR('Price History'!Q3+(INDEX('Price History'!Q:Q,MATCH(9.99E+307,'Returns (Calc)'!$A:$A)+1)-'Price History'!Q3)*(ROW()-3)/(MATCH(9.99E+307,'Returns (Calc)'!$A:$A)-3),"")</f>
        <v>59.314556962025321</v>
      </c>
      <c r="AL138" s="131">
        <f>IFERROR('Price History'!R3+(INDEX('Price History'!R:R,MATCH(9.99E+307,'Returns (Calc)'!$A:$A)+1)-'Price History'!R3)*(ROW()-3)/(MATCH(9.99E+307,'Returns (Calc)'!$A:$A)-3),"")</f>
        <v>57.173670886075953</v>
      </c>
      <c r="AM138" s="131">
        <f>IFERROR('Price History'!S3+(INDEX('Price History'!S:S,MATCH(9.99E+307,'Returns (Calc)'!$A:$A)+1)-'Price History'!S3)*(ROW()-3)/(MATCH(9.99E+307,'Returns (Calc)'!$A:$A)-3),"")</f>
        <v>139.31354430379747</v>
      </c>
      <c r="AN138" s="131">
        <f>IFERROR('Price History'!T3+(INDEX('Price History'!T:T,MATCH(9.99E+307,'Returns (Calc)'!$A:$A)+1)-'Price History'!T3)*(ROW()-3)/(MATCH(9.99E+307,'Returns (Calc)'!$A:$A)-3),"")</f>
        <v>47.950759493670887</v>
      </c>
      <c r="AO138" s="132">
        <f>IFERROR('Price History'!V3+(INDEX('Price History'!V:V,MATCH(9.99E+307,'Returns (Calc)'!$A:$A)+1)-'Price History'!V3)*(ROW()-3)/(MATCH(9.99E+307,'Returns (Calc)'!$A:$A)-3),"")</f>
        <v>342.45943037974683</v>
      </c>
      <c r="AP138" s="130">
        <f>IFERROR(IF(OR(NOT(ISNUMBER('Price History'!W139)),NOT(ISNUMBER('Price History'!W138)),'Price History'!W138=0),"",'Price History'!W139/'Price History'!W138-1),"")</f>
        <v>-1.0437051532943276E-3</v>
      </c>
      <c r="AQ138" s="130">
        <f>IFERROR(IF(OR(NOT(ISNUMBER('Price History'!X139)),NOT(ISNUMBER('Price History'!X138)),'Price History'!X138=0),"",'Price History'!X139/'Price History'!X138-1),"")</f>
        <v>1.3354281225451681E-2</v>
      </c>
      <c r="AR138" s="130">
        <f>IFERROR(IF(OR(NOT(ISNUMBER('Price History'!Y139)),NOT(ISNUMBER('Price History'!Y138)),'Price History'!Y138=0),"",'Price History'!Y139/'Price History'!Y138-1),"")</f>
        <v>-8.1095692917643181E-3</v>
      </c>
      <c r="AS138" s="130">
        <f>IFERROR(IF(OR(NOT(ISNUMBER('Price History'!Z139)),NOT(ISNUMBER('Price History'!Z138)),'Price History'!Z138=0),"",'Price History'!Z139/'Price History'!Z138-1),"")</f>
        <v>-6.419753086419755E-2</v>
      </c>
      <c r="AT138" s="130">
        <f>IFERROR(IF(OR(NOT(ISNUMBER('Price History'!AA139)),NOT(ISNUMBER('Price History'!AA138)),'Price History'!AA138=0),"",'Price History'!AA139/'Price History'!AA138-1),"")</f>
        <v>-5.0046243962593828E-2</v>
      </c>
    </row>
    <row r="139" spans="1:46" ht="15" customHeight="1" x14ac:dyDescent="0.2">
      <c r="A139" s="128">
        <f>IF('Price History'!A140="","",'Price History'!A140)</f>
        <v>46143</v>
      </c>
      <c r="B139" s="129">
        <f>IFERROR(IF(OR(NOT(ISNUMBER('Price History'!B140)),NOT(ISNUMBER('Price History'!B139)),'Price History'!B139=0),"",'Price History'!B140/'Price History'!B139-1),"")</f>
        <v>2.1471642764015586E-2</v>
      </c>
      <c r="C139" s="129">
        <f>IFERROR(IF(OR(NOT(ISNUMBER('Price History'!C140)),NOT(ISNUMBER('Price History'!C139)),'Price History'!C139=0),"",'Price History'!C140/'Price History'!C139-1),"")</f>
        <v>-2.3797411112995381E-2</v>
      </c>
      <c r="D139" s="129">
        <f>IFERROR(IF(OR(NOT(ISNUMBER('Price History'!D140)),NOT(ISNUMBER('Price History'!D139)),'Price History'!D139=0),"",'Price History'!D140/'Price History'!D139-1),"")</f>
        <v>-1.8903513602819721E-2</v>
      </c>
      <c r="E139" s="129">
        <f>IFERROR(IF(OR(NOT(ISNUMBER('Price History'!E140)),NOT(ISNUMBER('Price History'!E139)),'Price History'!E139=0),"",'Price History'!E140/'Price History'!E139-1),"")</f>
        <v>-3.4890344631158809E-3</v>
      </c>
      <c r="F139" s="129">
        <f>IFERROR(IF(OR(NOT(ISNUMBER('Price History'!F140)),NOT(ISNUMBER('Price History'!F139)),'Price History'!F139=0),"",'Price History'!F140/'Price History'!F139-1),"")</f>
        <v>1.6781219316254425E-2</v>
      </c>
      <c r="G139" s="129">
        <f>IFERROR(IF(OR(NOT(ISNUMBER('Price History'!G140)),NOT(ISNUMBER('Price History'!G139)),'Price History'!G139=0),"",'Price History'!G140/'Price History'!G139-1),"")</f>
        <v>-0.10790509738914211</v>
      </c>
      <c r="H139" s="129">
        <f>IFERROR(IF(OR(NOT(ISNUMBER('Price History'!H140)),NOT(ISNUMBER('Price History'!H139)),'Price History'!H139=0),"",'Price History'!H140/'Price History'!H139-1),"")</f>
        <v>9.1595521907216426E-2</v>
      </c>
      <c r="I139" s="129">
        <f>IFERROR(IF(OR(NOT(ISNUMBER('Price History'!I140)),NOT(ISNUMBER('Price History'!I139)),'Price History'!I139=0),"",'Price History'!I140/'Price History'!I139-1),"")</f>
        <v>-4.7160731472569828E-2</v>
      </c>
      <c r="J139" s="129">
        <f>IFERROR(IF(OR(NOT(ISNUMBER('Price History'!J140)),NOT(ISNUMBER('Price History'!J139)),'Price History'!J139=0),"",'Price History'!J140/'Price History'!J139-1),"")</f>
        <v>-4.7870820234353628E-3</v>
      </c>
      <c r="K139" s="129">
        <f>IFERROR(IF(OR(NOT(ISNUMBER('Price History'!K140)),NOT(ISNUMBER('Price History'!K139)),'Price History'!K139=0),"",'Price History'!K140/'Price History'!K139-1),"")</f>
        <v>6.8488363966734411E-3</v>
      </c>
      <c r="L139" s="129">
        <f>IFERROR(IF(OR(NOT(ISNUMBER('Price History'!L140)),NOT(ISNUMBER('Price History'!L139)),'Price History'!L139=0),"",'Price History'!L140/'Price History'!L139-1),"")</f>
        <v>-1.1911599450618038E-2</v>
      </c>
      <c r="M139" s="129">
        <f>IFERROR(IF(OR(NOT(ISNUMBER('Price History'!M140)),NOT(ISNUMBER('Price History'!M139)),'Price History'!M139=0),"",'Price History'!M140/'Price History'!M139-1),"")</f>
        <v>1.5001082552349221E-2</v>
      </c>
      <c r="N139" s="129">
        <f>IFERROR(IF(OR(NOT(ISNUMBER('Price History'!N140)),NOT(ISNUMBER('Price History'!N139)),'Price History'!N139=0),"",'Price History'!N140/'Price History'!N139-1),"")</f>
        <v>-1.4803969415975282E-2</v>
      </c>
      <c r="O139" s="129">
        <f>IFERROR(IF(OR(NOT(ISNUMBER('Price History'!O140)),NOT(ISNUMBER('Price History'!O139)),'Price History'!O139=0),"",'Price History'!O140/'Price History'!O139-1),"")</f>
        <v>8.379888268156277E-3</v>
      </c>
      <c r="P139" s="129">
        <f>IFERROR(IF(OR(NOT(ISNUMBER('Price History'!P140)),NOT(ISNUMBER('Price History'!P139)),'Price History'!P139=0),"",'Price History'!P140/'Price History'!P139-1),"")</f>
        <v>1.7928819909017957E-2</v>
      </c>
      <c r="Q139" s="129">
        <f>IFERROR(IF(OR(NOT(ISNUMBER('Price History'!Q140)),NOT(ISNUMBER('Price History'!Q139)),'Price History'!Q139=0),"",'Price History'!Q140/'Price History'!Q139-1),"")</f>
        <v>4.0250447227190289E-3</v>
      </c>
      <c r="R139" s="129">
        <f>IFERROR(IF(OR(NOT(ISNUMBER('Price History'!R140)),NOT(ISNUMBER('Price History'!R139)),'Price History'!R139=0),"",'Price History'!R140/'Price History'!R139-1),"")</f>
        <v>7.9408049088613986E-3</v>
      </c>
      <c r="S139" s="129">
        <f>IFERROR(IF(OR(NOT(ISNUMBER('Price History'!S140)),NOT(ISNUMBER('Price History'!S139)),'Price History'!S139=0),"",'Price History'!S140/'Price History'!S139-1),"")</f>
        <v>2.2120518688024449E-2</v>
      </c>
      <c r="T139" s="129">
        <f>IFERROR(IF(OR(NOT(ISNUMBER('Price History'!T140)),NOT(ISNUMBER('Price History'!T139)),'Price History'!T139=0),"",'Price History'!T140/'Price History'!T139-1),"")</f>
        <v>2.564102564102555E-2</v>
      </c>
      <c r="U139" s="129">
        <f>IFERROR(IF(OR(NOT(ISNUMBER('Price History'!U140)),NOT(ISNUMBER('Price History'!U139)),'Price History'!U139=0),"",'Price History'!U140/'Price History'!U139-1),"")</f>
        <v>2.116574405731031E-2</v>
      </c>
      <c r="V139" s="130">
        <f>IFERROR(IF(OR(NOT(ISNUMBER('Price History'!V140)),NOT(ISNUMBER('Price History'!V139)),'Price History'!V139=0),"",'Price History'!V140/'Price History'!V139-1),"")</f>
        <v>6.0121345835631557E-2</v>
      </c>
      <c r="W139" s="131">
        <f>IFERROR('Price History'!B3+(INDEX('Price History'!B:B,MATCH(9.99E+307,'Returns (Calc)'!$A:$A)+1)-'Price History'!B3)*(ROW()-3)/(MATCH(9.99E+307,'Returns (Calc)'!$A:$A)-3),"")</f>
        <v>278.23683544303799</v>
      </c>
      <c r="X139" s="131">
        <f>IFERROR('Price History'!C3+(INDEX('Price History'!C:C,MATCH(9.99E+307,'Returns (Calc)'!$A:$A)+1)-'Price History'!C3)*(ROW()-3)/(MATCH(9.99E+307,'Returns (Calc)'!$A:$A)-3),"")</f>
        <v>184.90860759493671</v>
      </c>
      <c r="Y139" s="131">
        <f>IFERROR('Price History'!D3+(INDEX('Price History'!D:D,MATCH(9.99E+307,'Returns (Calc)'!$A:$A)+1)-'Price History'!D3)*(ROW()-3)/(MATCH(9.99E+307,'Returns (Calc)'!$A:$A)-3),"")</f>
        <v>1688.3441772151898</v>
      </c>
      <c r="Z139" s="131">
        <f>IFERROR('Price History'!E3+(INDEX('Price History'!E:E,MATCH(9.99E+307,'Returns (Calc)'!$A:$A)+1)-'Price History'!E3)*(ROW()-3)/(MATCH(9.99E+307,'Returns (Calc)'!$A:$A)-3),"")</f>
        <v>317.10784810126586</v>
      </c>
      <c r="AA139" s="131">
        <f>IFERROR('Price History'!F3+(INDEX('Price History'!F:F,MATCH(9.99E+307,'Returns (Calc)'!$A:$A)+1)-'Price History'!F3)*(ROW()-3)/(MATCH(9.99E+307,'Returns (Calc)'!$A:$A)-3),"")</f>
        <v>238.19848101265825</v>
      </c>
      <c r="AB139" s="131">
        <f>IFERROR('Price History'!G3+(INDEX('Price History'!G:G,MATCH(9.99E+307,'Returns (Calc)'!$A:$A)+1)-'Price History'!G3)*(ROW()-3)/(MATCH(9.99E+307,'Returns (Calc)'!$A:$A)-3),"")</f>
        <v>184.25784810126581</v>
      </c>
      <c r="AC139" s="131">
        <f>IFERROR('Price History'!H3+(INDEX('Price History'!H:H,MATCH(9.99E+307,'Returns (Calc)'!$A:$A)+1)-'Price History'!H3)*(ROW()-3)/(MATCH(9.99E+307,'Returns (Calc)'!$A:$A)-3),"")</f>
        <v>934.84468354430396</v>
      </c>
      <c r="AD139" s="131">
        <f>IFERROR('Price History'!I3+(INDEX('Price History'!I:I,MATCH(9.99E+307,'Returns (Calc)'!$A:$A)+1)-'Price History'!I3)*(ROW()-3)/(MATCH(9.99E+307,'Returns (Calc)'!$A:$A)-3),"")</f>
        <v>207.4692405063291</v>
      </c>
      <c r="AE139" s="131">
        <f>IFERROR('Price History'!J3+(INDEX('Price History'!J:J,MATCH(9.99E+307,'Returns (Calc)'!$A:$A)+1)-'Price History'!J3)*(ROW()-3)/(MATCH(9.99E+307,'Returns (Calc)'!$A:$A)-3),"")</f>
        <v>126.53316455696202</v>
      </c>
      <c r="AF139" s="131">
        <f>IFERROR('Price History'!K3+(INDEX('Price History'!K:K,MATCH(9.99E+307,'Returns (Calc)'!$A:$A)+1)-'Price History'!K3)*(ROW()-3)/(MATCH(9.99E+307,'Returns (Calc)'!$A:$A)-3),"")</f>
        <v>164.60291139240508</v>
      </c>
      <c r="AG139" s="131">
        <f>IFERROR('Price History'!L3+(INDEX('Price History'!L:L,MATCH(9.99E+307,'Returns (Calc)'!$A:$A)+1)-'Price History'!L3)*(ROW()-3)/(MATCH(9.99E+307,'Returns (Calc)'!$A:$A)-3),"")</f>
        <v>418.88974683544302</v>
      </c>
      <c r="AH139" s="131">
        <f>IFERROR('Price History'!M3+(INDEX('Price History'!M:M,MATCH(9.99E+307,'Returns (Calc)'!$A:$A)+1)-'Price History'!M3)*(ROW()-3)/(MATCH(9.99E+307,'Returns (Calc)'!$A:$A)-3),"")</f>
        <v>222.36025316455695</v>
      </c>
      <c r="AI139" s="131">
        <f>IFERROR('Price History'!N3+(INDEX('Price History'!N:N,MATCH(9.99E+307,'Returns (Calc)'!$A:$A)+1)-'Price History'!N3)*(ROW()-3)/(MATCH(9.99E+307,'Returns (Calc)'!$A:$A)-3),"")</f>
        <v>483.03215189873418</v>
      </c>
      <c r="AJ139" s="131">
        <f>IFERROR('Price History'!O3+(INDEX('Price History'!O:O,MATCH(9.99E+307,'Returns (Calc)'!$A:$A)+1)-'Price History'!O3)*(ROW()-3)/(MATCH(9.99E+307,'Returns (Calc)'!$A:$A)-3),"")</f>
        <v>113.80316455696203</v>
      </c>
      <c r="AK139" s="131">
        <f>IFERROR('Price History'!Q3+(INDEX('Price History'!Q:Q,MATCH(9.99E+307,'Returns (Calc)'!$A:$A)+1)-'Price History'!Q3)*(ROW()-3)/(MATCH(9.99E+307,'Returns (Calc)'!$A:$A)-3),"")</f>
        <v>59.753924050632918</v>
      </c>
      <c r="AL139" s="131">
        <f>IFERROR('Price History'!R3+(INDEX('Price History'!R:R,MATCH(9.99E+307,'Returns (Calc)'!$A:$A)+1)-'Price History'!R3)*(ROW()-3)/(MATCH(9.99E+307,'Returns (Calc)'!$A:$A)-3),"")</f>
        <v>57.341772151898738</v>
      </c>
      <c r="AM139" s="131">
        <f>IFERROR('Price History'!S3+(INDEX('Price History'!S:S,MATCH(9.99E+307,'Returns (Calc)'!$A:$A)+1)-'Price History'!S3)*(ROW()-3)/(MATCH(9.99E+307,'Returns (Calc)'!$A:$A)-3),"")</f>
        <v>139.9186075949367</v>
      </c>
      <c r="AN139" s="131">
        <f>IFERROR('Price History'!T3+(INDEX('Price History'!T:T,MATCH(9.99E+307,'Returns (Calc)'!$A:$A)+1)-'Price History'!T3)*(ROW()-3)/(MATCH(9.99E+307,'Returns (Calc)'!$A:$A)-3),"")</f>
        <v>48.118987341772154</v>
      </c>
      <c r="AO139" s="132">
        <f>IFERROR('Price History'!V3+(INDEX('Price History'!V:V,MATCH(9.99E+307,'Returns (Calc)'!$A:$A)+1)-'Price History'!V3)*(ROW()-3)/(MATCH(9.99E+307,'Returns (Calc)'!$A:$A)-3),"")</f>
        <v>343.2507594936709</v>
      </c>
      <c r="AP139" s="130">
        <f>IFERROR(IF(OR(NOT(ISNUMBER('Price History'!W140)),NOT(ISNUMBER('Price History'!W139)),'Price History'!W139=0),"",'Price History'!W140/'Price History'!W139-1),"")</f>
        <v>1.0121457489878694E-2</v>
      </c>
      <c r="AQ139" s="130">
        <f>IFERROR(IF(OR(NOT(ISNUMBER('Price History'!X140)),NOT(ISNUMBER('Price History'!X139)),'Price History'!X139=0),"",'Price History'!X140/'Price History'!X139-1),"")</f>
        <v>5.1356589147286691E-2</v>
      </c>
      <c r="AR139" s="130">
        <f>IFERROR(IF(OR(NOT(ISNUMBER('Price History'!Y140)),NOT(ISNUMBER('Price History'!Y139)),'Price History'!Y139=0),"",'Price History'!Y140/'Price History'!Y139-1),"")</f>
        <v>-9.08430232558044E-4</v>
      </c>
      <c r="AS139" s="130">
        <f>IFERROR(IF(OR(NOT(ISNUMBER('Price History'!Z140)),NOT(ISNUMBER('Price History'!Z139)),'Price History'!Z139=0),"",'Price History'!Z140/'Price History'!Z139-1),"")</f>
        <v>6.6842568161828986E-3</v>
      </c>
      <c r="AT139" s="130">
        <f>IFERROR(IF(OR(NOT(ISNUMBER('Price History'!AA140)),NOT(ISNUMBER('Price History'!AA139)),'Price History'!AA139=0),"",'Price History'!AA140/'Price History'!AA139-1),"")</f>
        <v>-4.1107745564690212E-3</v>
      </c>
    </row>
    <row r="140" spans="1:46" ht="15" customHeight="1" x14ac:dyDescent="0.2">
      <c r="A140" s="128">
        <f>IF('Price History'!A141="","",'Price History'!A141)</f>
        <v>46150</v>
      </c>
      <c r="B140" s="129">
        <f>IFERROR(IF(OR(NOT(ISNUMBER('Price History'!B141)),NOT(ISNUMBER('Price History'!B140)),'Price History'!B140=0),"",'Price History'!B141/'Price History'!B140-1),"")</f>
        <v>9.2936061585098262E-3</v>
      </c>
      <c r="C140" s="129">
        <f>IFERROR(IF(OR(NOT(ISNUMBER('Price History'!C141)),NOT(ISNUMBER('Price History'!C140)),'Price History'!C140=0),"",'Price History'!C141/'Price History'!C140-1),"")</f>
        <v>-0.17909669947886497</v>
      </c>
      <c r="D140" s="129">
        <f>IFERROR(IF(OR(NOT(ISNUMBER('Price History'!D141)),NOT(ISNUMBER('Price History'!D140)),'Price History'!D140=0),"",'Price History'!D141/'Price History'!D140-1),"")</f>
        <v>0.11562048302670536</v>
      </c>
      <c r="E140" s="129">
        <f>IFERROR(IF(OR(NOT(ISNUMBER('Price History'!E141)),NOT(ISNUMBER('Price History'!E140)),'Price History'!E140=0),"",'Price History'!E141/'Price History'!E140-1),"")</f>
        <v>2.0697868286292609E-2</v>
      </c>
      <c r="F140" s="129">
        <f>IFERROR(IF(OR(NOT(ISNUMBER('Price History'!F141)),NOT(ISNUMBER('Price History'!F140)),'Price History'!F140=0),"",'Price History'!F141/'Price History'!F140-1),"")</f>
        <v>0.15828285488543581</v>
      </c>
      <c r="G140" s="129">
        <f>IFERROR(IF(OR(NOT(ISNUMBER('Price History'!G141)),NOT(ISNUMBER('Price History'!G140)),'Price History'!G140=0),"",'Price History'!G141/'Price History'!G140-1),"")</f>
        <v>8.2805876546077517E-2</v>
      </c>
      <c r="H140" s="129">
        <f>IFERROR(IF(OR(NOT(ISNUMBER('Price History'!H141)),NOT(ISNUMBER('Price History'!H140)),'Price History'!H140=0),"",'Price History'!H141/'Price History'!H140-1),"")</f>
        <v>0.37734491727076547</v>
      </c>
      <c r="I140" s="129">
        <f>IFERROR(IF(OR(NOT(ISNUMBER('Price History'!I141)),NOT(ISNUMBER('Price History'!I140)),'Price History'!I140=0),"",'Price History'!I141/'Price History'!I140-1),"")</f>
        <v>8.4393939393939466E-2</v>
      </c>
      <c r="J140" s="129">
        <f>IFERROR(IF(OR(NOT(ISNUMBER('Price History'!J141)),NOT(ISNUMBER('Price History'!J140)),'Price History'!J140=0),"",'Price History'!J141/'Price History'!J140-1),"")</f>
        <v>1.8881470313733884E-2</v>
      </c>
      <c r="K140" s="129">
        <f>IFERROR(IF(OR(NOT(ISNUMBER('Price History'!K141)),NOT(ISNUMBER('Price History'!K140)),'Price History'!K140=0),"",'Price History'!K141/'Price History'!K140-1),"")</f>
        <v>-4.3520510862774864E-2</v>
      </c>
      <c r="L140" s="129">
        <f>IFERROR(IF(OR(NOT(ISNUMBER('Price History'!L141)),NOT(ISNUMBER('Price History'!L140)),'Price History'!L140=0),"",'Price History'!L141/'Price History'!L140-1),"")</f>
        <v>3.5230489284270083E-2</v>
      </c>
      <c r="M140" s="129">
        <f>IFERROR(IF(OR(NOT(ISNUMBER('Price History'!M141)),NOT(ISNUMBER('Price History'!M140)),'Price History'!M140=0),"",'Price History'!M141/'Price History'!M140-1),"")</f>
        <v>3.5531448074110017E-2</v>
      </c>
      <c r="N140" s="129">
        <f>IFERROR(IF(OR(NOT(ISNUMBER('Price History'!N141)),NOT(ISNUMBER('Price History'!N140)),'Price History'!N140=0),"",'Price History'!N141/'Price History'!N140-1),"")</f>
        <v>1.3917720324589489E-2</v>
      </c>
      <c r="O140" s="129">
        <f>IFERROR(IF(OR(NOT(ISNUMBER('Price History'!O141)),NOT(ISNUMBER('Price History'!O140)),'Price History'!O140=0),"",'Price History'!O141/'Price History'!O140-1),"")</f>
        <v>-1.0073029463610883E-3</v>
      </c>
      <c r="P140" s="129">
        <f>IFERROR(IF(OR(NOT(ISNUMBER('Price History'!P141)),NOT(ISNUMBER('Price History'!P140)),'Price History'!P140=0),"",'Price History'!P141/'Price History'!P140-1),"")</f>
        <v>-1.5181388012618258E-2</v>
      </c>
      <c r="Q140" s="129">
        <f>IFERROR(IF(OR(NOT(ISNUMBER('Price History'!Q141)),NOT(ISNUMBER('Price History'!Q140)),'Price History'!Q140=0),"",'Price History'!Q141/'Price History'!Q140-1),"")</f>
        <v>1.9302152932443306E-3</v>
      </c>
      <c r="R140" s="129">
        <f>IFERROR(IF(OR(NOT(ISNUMBER('Price History'!R141)),NOT(ISNUMBER('Price History'!R140)),'Price History'!R140=0),"",'Price History'!R141/'Price History'!R140-1),"")</f>
        <v>1.271262309758292E-2</v>
      </c>
      <c r="S140" s="129">
        <f>IFERROR(IF(OR(NOT(ISNUMBER('Price History'!S141)),NOT(ISNUMBER('Price History'!S140)),'Price History'!S140=0),"",'Price History'!S141/'Price History'!S140-1),"")</f>
        <v>6.9850746268656838E-2</v>
      </c>
      <c r="T140" s="129">
        <f>IFERROR(IF(OR(NOT(ISNUMBER('Price History'!T141)),NOT(ISNUMBER('Price History'!T140)),'Price History'!T140=0),"",'Price History'!T141/'Price History'!T140-1),"")</f>
        <v>2.4528301886792336E-2</v>
      </c>
      <c r="U140" s="129">
        <f>IFERROR(IF(OR(NOT(ISNUMBER('Price History'!U141)),NOT(ISNUMBER('Price History'!U140)),'Price History'!U140=0),"",'Price History'!U141/'Price History'!U140-1),"")</f>
        <v>-7.6530612244897211E-3</v>
      </c>
      <c r="V140" s="130">
        <f>IFERROR(IF(OR(NOT(ISNUMBER('Price History'!V141)),NOT(ISNUMBER('Price History'!V140)),'Price History'!V140=0),"",'Price History'!V141/'Price History'!V140-1),"")</f>
        <v>-2.8156944359429503E-2</v>
      </c>
      <c r="W140" s="131">
        <f>IFERROR('Price History'!B3+(INDEX('Price History'!B:B,MATCH(9.99E+307,'Returns (Calc)'!$A:$A)+1)-'Price History'!B3)*(ROW()-3)/(MATCH(9.99E+307,'Returns (Calc)'!$A:$A)-3),"")</f>
        <v>276.39379746835442</v>
      </c>
      <c r="X140" s="131">
        <f>IFERROR('Price History'!C3+(INDEX('Price History'!C:C,MATCH(9.99E+307,'Returns (Calc)'!$A:$A)+1)-'Price History'!C3)*(ROW()-3)/(MATCH(9.99E+307,'Returns (Calc)'!$A:$A)-3),"")</f>
        <v>185.92867088607593</v>
      </c>
      <c r="Y140" s="131">
        <f>IFERROR('Price History'!D3+(INDEX('Price History'!D:D,MATCH(9.99E+307,'Returns (Calc)'!$A:$A)+1)-'Price History'!D3)*(ROW()-3)/(MATCH(9.99E+307,'Returns (Calc)'!$A:$A)-3),"")</f>
        <v>1696.4789873417722</v>
      </c>
      <c r="Z140" s="131">
        <f>IFERROR('Price History'!E3+(INDEX('Price History'!E:E,MATCH(9.99E+307,'Returns (Calc)'!$A:$A)+1)-'Price History'!E3)*(ROW()-3)/(MATCH(9.99E+307,'Returns (Calc)'!$A:$A)-3),"")</f>
        <v>318.83658227848105</v>
      </c>
      <c r="AA140" s="131">
        <f>IFERROR('Price History'!F3+(INDEX('Price History'!F:F,MATCH(9.99E+307,'Returns (Calc)'!$A:$A)+1)-'Price History'!F3)*(ROW()-3)/(MATCH(9.99E+307,'Returns (Calc)'!$A:$A)-3),"")</f>
        <v>239.64582278481015</v>
      </c>
      <c r="AB140" s="131">
        <f>IFERROR('Price History'!G3+(INDEX('Price History'!G:G,MATCH(9.99E+307,'Returns (Calc)'!$A:$A)+1)-'Price History'!G3)*(ROW()-3)/(MATCH(9.99E+307,'Returns (Calc)'!$A:$A)-3),"")</f>
        <v>185.28658227848101</v>
      </c>
      <c r="AC140" s="131">
        <f>IFERROR('Price History'!H3+(INDEX('Price History'!H:H,MATCH(9.99E+307,'Returns (Calc)'!$A:$A)+1)-'Price History'!H3)*(ROW()-3)/(MATCH(9.99E+307,'Returns (Calc)'!$A:$A)-3),"")</f>
        <v>941.21037974683554</v>
      </c>
      <c r="AD140" s="131">
        <f>IFERROR('Price History'!I3+(INDEX('Price History'!I:I,MATCH(9.99E+307,'Returns (Calc)'!$A:$A)+1)-'Price History'!I3)*(ROW()-3)/(MATCH(9.99E+307,'Returns (Calc)'!$A:$A)-3),"")</f>
        <v>208.67291139240504</v>
      </c>
      <c r="AE140" s="131">
        <f>IFERROR('Price History'!J3+(INDEX('Price History'!J:J,MATCH(9.99E+307,'Returns (Calc)'!$A:$A)+1)-'Price History'!J3)*(ROW()-3)/(MATCH(9.99E+307,'Returns (Calc)'!$A:$A)-3),"")</f>
        <v>126.64120253164558</v>
      </c>
      <c r="AF140" s="131">
        <f>IFERROR('Price History'!K3+(INDEX('Price History'!K:K,MATCH(9.99E+307,'Returns (Calc)'!$A:$A)+1)-'Price History'!K3)*(ROW()-3)/(MATCH(9.99E+307,'Returns (Calc)'!$A:$A)-3),"")</f>
        <v>165.70050632911392</v>
      </c>
      <c r="AG140" s="131">
        <f>IFERROR('Price History'!L3+(INDEX('Price History'!L:L,MATCH(9.99E+307,'Returns (Calc)'!$A:$A)+1)-'Price History'!L3)*(ROW()-3)/(MATCH(9.99E+307,'Returns (Calc)'!$A:$A)-3),"")</f>
        <v>421.33930379746829</v>
      </c>
      <c r="AH140" s="131">
        <f>IFERROR('Price History'!M3+(INDEX('Price History'!M:M,MATCH(9.99E+307,'Returns (Calc)'!$A:$A)+1)-'Price History'!M3)*(ROW()-3)/(MATCH(9.99E+307,'Returns (Calc)'!$A:$A)-3),"")</f>
        <v>223.71569620253163</v>
      </c>
      <c r="AI140" s="131">
        <f>IFERROR('Price History'!N3+(INDEX('Price History'!N:N,MATCH(9.99E+307,'Returns (Calc)'!$A:$A)+1)-'Price History'!N3)*(ROW()-3)/(MATCH(9.99E+307,'Returns (Calc)'!$A:$A)-3),"")</f>
        <v>484.01841772151897</v>
      </c>
      <c r="AJ140" s="131">
        <f>IFERROR('Price History'!O3+(INDEX('Price History'!O:O,MATCH(9.99E+307,'Returns (Calc)'!$A:$A)+1)-'Price History'!O3)*(ROW()-3)/(MATCH(9.99E+307,'Returns (Calc)'!$A:$A)-3),"")</f>
        <v>114.08620253164557</v>
      </c>
      <c r="AK140" s="131">
        <f>IFERROR('Price History'!Q3+(INDEX('Price History'!Q:Q,MATCH(9.99E+307,'Returns (Calc)'!$A:$A)+1)-'Price History'!Q3)*(ROW()-3)/(MATCH(9.99E+307,'Returns (Calc)'!$A:$A)-3),"")</f>
        <v>60.193291139240515</v>
      </c>
      <c r="AL140" s="131">
        <f>IFERROR('Price History'!R3+(INDEX('Price History'!R:R,MATCH(9.99E+307,'Returns (Calc)'!$A:$A)+1)-'Price History'!R3)*(ROW()-3)/(MATCH(9.99E+307,'Returns (Calc)'!$A:$A)-3),"")</f>
        <v>57.509873417721522</v>
      </c>
      <c r="AM140" s="131">
        <f>IFERROR('Price History'!S3+(INDEX('Price History'!S:S,MATCH(9.99E+307,'Returns (Calc)'!$A:$A)+1)-'Price History'!S3)*(ROW()-3)/(MATCH(9.99E+307,'Returns (Calc)'!$A:$A)-3),"")</f>
        <v>140.52367088607593</v>
      </c>
      <c r="AN140" s="131">
        <f>IFERROR('Price History'!T3+(INDEX('Price History'!T:T,MATCH(9.99E+307,'Returns (Calc)'!$A:$A)+1)-'Price History'!T3)*(ROW()-3)/(MATCH(9.99E+307,'Returns (Calc)'!$A:$A)-3),"")</f>
        <v>48.287215189873422</v>
      </c>
      <c r="AO140" s="132">
        <f>IFERROR('Price History'!V3+(INDEX('Price History'!V:V,MATCH(9.99E+307,'Returns (Calc)'!$A:$A)+1)-'Price History'!V3)*(ROW()-3)/(MATCH(9.99E+307,'Returns (Calc)'!$A:$A)-3),"")</f>
        <v>344.04208860759496</v>
      </c>
      <c r="AP140" s="130">
        <f>IFERROR(IF(OR(NOT(ISNUMBER('Price History'!W141)),NOT(ISNUMBER('Price History'!W140)),'Price History'!W140=0),"",'Price History'!W141/'Price History'!W140-1),"")</f>
        <v>-6.7231236666881466E-3</v>
      </c>
      <c r="AQ140" s="130">
        <f>IFERROR(IF(OR(NOT(ISNUMBER('Price History'!X141)),NOT(ISNUMBER('Price History'!X140)),'Price History'!X140=0),"",'Price History'!X141/'Price History'!X140-1),"")</f>
        <v>-3.5207373271889386E-2</v>
      </c>
      <c r="AR140" s="130">
        <f>IFERROR(IF(OR(NOT(ISNUMBER('Price History'!Y141)),NOT(ISNUMBER('Price History'!Y140)),'Price History'!Y140=0),"",'Price History'!Y141/'Price History'!Y140-1),"")</f>
        <v>-1.5275504637206838E-2</v>
      </c>
      <c r="AS140" s="130">
        <f>IFERROR(IF(OR(NOT(ISNUMBER('Price History'!Z141)),NOT(ISNUMBER('Price History'!Z140)),'Price History'!Z140=0),"",'Price History'!Z141/'Price History'!Z140-1),"")</f>
        <v>3.7148348768128558E-2</v>
      </c>
      <c r="AT140" s="130">
        <f>IFERROR(IF(OR(NOT(ISNUMBER('Price History'!AA141)),NOT(ISNUMBER('Price History'!AA140)),'Price History'!AA140=0),"",'Price History'!AA141/'Price History'!AA140-1),"")</f>
        <v>-4.9641538127308316E-2</v>
      </c>
    </row>
    <row r="141" spans="1:46" ht="15" customHeight="1" x14ac:dyDescent="0.2">
      <c r="A141" s="128">
        <f>IF('Price History'!A142="","",'Price History'!A142)</f>
        <v>46157</v>
      </c>
      <c r="B141" s="129">
        <f>IFERROR(IF(OR(NOT(ISNUMBER('Price History'!B142)),NOT(ISNUMBER('Price History'!B141)),'Price History'!B141=0),"",'Price History'!B142/'Price History'!B141-1),"")</f>
        <v>-2.1498577300031574E-2</v>
      </c>
      <c r="C141" s="129">
        <f>IFERROR(IF(OR(NOT(ISNUMBER('Price History'!C142)),NOT(ISNUMBER('Price History'!C141)),'Price History'!C141=0),"",'Price History'!C142/'Price History'!C141-1),"")</f>
        <v>1.4107356986667874E-3</v>
      </c>
      <c r="D141" s="129">
        <f>IFERROR(IF(OR(NOT(ISNUMBER('Price History'!D142)),NOT(ISNUMBER('Price History'!D141)),'Price History'!D141=0),"",'Price History'!D142/'Price History'!D141-1),"")</f>
        <v>-5.6661802812649431E-2</v>
      </c>
      <c r="E141" s="129">
        <f>IFERROR(IF(OR(NOT(ISNUMBER('Price History'!E142)),NOT(ISNUMBER('Price History'!E141)),'Price History'!E141=0),"",'Price History'!E142/'Price History'!E141-1),"")</f>
        <v>-1.1177486348998955E-2</v>
      </c>
      <c r="F141" s="129">
        <f>IFERROR(IF(OR(NOT(ISNUMBER('Price History'!F142)),NOT(ISNUMBER('Price History'!F141)),'Price History'!F141=0),"",'Price History'!F142/'Price History'!F141-1),"")</f>
        <v>0.12566318023343959</v>
      </c>
      <c r="G141" s="129">
        <f>IFERROR(IF(OR(NOT(ISNUMBER('Price History'!G142)),NOT(ISNUMBER('Price History'!G141)),'Price History'!G141=0),"",'Price History'!G142/'Price History'!G141-1),"")</f>
        <v>-3.4697270338392205E-2</v>
      </c>
      <c r="H141" s="129">
        <f>IFERROR(IF(OR(NOT(ISNUMBER('Price History'!H142)),NOT(ISNUMBER('Price History'!H141)),'Price History'!H141=0),"",'Price History'!H142/'Price History'!H141-1),"")</f>
        <v>-2.9663854292219183E-2</v>
      </c>
      <c r="I141" s="129">
        <f>IFERROR(IF(OR(NOT(ISNUMBER('Price History'!I142)),NOT(ISNUMBER('Price History'!I141)),'Price History'!I141=0),"",'Price History'!I142/'Price History'!I141-1),"")</f>
        <v>4.7040193749708914E-2</v>
      </c>
      <c r="J141" s="129">
        <f>IFERROR(IF(OR(NOT(ISNUMBER('Price History'!J142)),NOT(ISNUMBER('Price History'!J141)),'Price History'!J141=0),"",'Price History'!J142/'Price History'!J141-1),"")</f>
        <v>-2.466178128523111E-2</v>
      </c>
      <c r="K141" s="129">
        <f>IFERROR(IF(OR(NOT(ISNUMBER('Price History'!K142)),NOT(ISNUMBER('Price History'!K141)),'Price History'!K141=0),"",'Price History'!K142/'Price History'!K141-1),"")</f>
        <v>-2.7648766328011609E-2</v>
      </c>
      <c r="L141" s="129">
        <f>IFERROR(IF(OR(NOT(ISNUMBER('Price History'!L142)),NOT(ISNUMBER('Price History'!L141)),'Price History'!L141=0),"",'Price History'!L142/'Price History'!L141-1),"")</f>
        <v>-1.7796982569210584E-2</v>
      </c>
      <c r="M141" s="129">
        <f>IFERROR(IF(OR(NOT(ISNUMBER('Price History'!M142)),NOT(ISNUMBER('Price History'!M141)),'Price History'!M141=0),"",'Price History'!M142/'Price History'!M141-1),"")</f>
        <v>9.1077629333176313E-2</v>
      </c>
      <c r="N141" s="129">
        <f>IFERROR(IF(OR(NOT(ISNUMBER('Price History'!N142)),NOT(ISNUMBER('Price History'!N141)),'Price History'!N141=0),"",'Price History'!N142/'Price History'!N141-1),"")</f>
        <v>1.6588339304825173E-2</v>
      </c>
      <c r="O141" s="129">
        <f>IFERROR(IF(OR(NOT(ISNUMBER('Price History'!O142)),NOT(ISNUMBER('Price History'!O141)),'Price History'!O141=0),"",'Price History'!O142/'Price History'!O141-1),"")</f>
        <v>-2.1594823964372845E-2</v>
      </c>
      <c r="P141" s="129">
        <f>IFERROR(IF(OR(NOT(ISNUMBER('Price History'!P142)),NOT(ISNUMBER('Price History'!P141)),'Price History'!P141=0),"",'Price History'!P142/'Price History'!P141-1),"")</f>
        <v>-8.6753420086752575E-3</v>
      </c>
      <c r="Q141" s="129">
        <f>IFERROR(IF(OR(NOT(ISNUMBER('Price History'!Q142)),NOT(ISNUMBER('Price History'!Q141)),'Price History'!Q141=0),"",'Price History'!Q142/'Price History'!Q141-1),"")</f>
        <v>2.9638411381149865E-4</v>
      </c>
      <c r="R141" s="129">
        <f>IFERROR(IF(OR(NOT(ISNUMBER('Price History'!R142)),NOT(ISNUMBER('Price History'!R141)),'Price History'!R141=0),"",'Price History'!R142/'Price History'!R141-1),"")</f>
        <v>2.652050919377702E-3</v>
      </c>
      <c r="S141" s="129">
        <f>IFERROR(IF(OR(NOT(ISNUMBER('Price History'!S142)),NOT(ISNUMBER('Price History'!S141)),'Price History'!S141=0),"",'Price History'!S142/'Price History'!S141-1),"")</f>
        <v>-2.3018973214286031E-3</v>
      </c>
      <c r="T141" s="129">
        <f>IFERROR(IF(OR(NOT(ISNUMBER('Price History'!T142)),NOT(ISNUMBER('Price History'!T141)),'Price History'!T141=0),"",'Price History'!T142/'Price History'!T141-1),"")</f>
        <v>-2.5782688766114115E-2</v>
      </c>
      <c r="U141" s="129">
        <f>IFERROR(IF(OR(NOT(ISNUMBER('Price History'!U142)),NOT(ISNUMBER('Price History'!U141)),'Price History'!U141=0),"",'Price History'!U142/'Price History'!U141-1),"")</f>
        <v>3.2133676092545027E-3</v>
      </c>
      <c r="V141" s="130">
        <f>IFERROR(IF(OR(NOT(ISNUMBER('Price History'!V142)),NOT(ISNUMBER('Price History'!V141)),'Price History'!V141=0),"",'Price History'!V142/'Price History'!V141-1),"")</f>
        <v>2.3965484663349468E-2</v>
      </c>
      <c r="W141" s="131">
        <f>IFERROR('Price History'!B3+(INDEX('Price History'!B:B,MATCH(9.99E+307,'Returns (Calc)'!$A:$A)+1)-'Price History'!B3)*(ROW()-3)/(MATCH(9.99E+307,'Returns (Calc)'!$A:$A)-3),"")</f>
        <v>274.55075949367085</v>
      </c>
      <c r="X141" s="131">
        <f>IFERROR('Price History'!C3+(INDEX('Price History'!C:C,MATCH(9.99E+307,'Returns (Calc)'!$A:$A)+1)-'Price History'!C3)*(ROW()-3)/(MATCH(9.99E+307,'Returns (Calc)'!$A:$A)-3),"")</f>
        <v>186.94873417721519</v>
      </c>
      <c r="Y141" s="131">
        <f>IFERROR('Price History'!D3+(INDEX('Price History'!D:D,MATCH(9.99E+307,'Returns (Calc)'!$A:$A)+1)-'Price History'!D3)*(ROW()-3)/(MATCH(9.99E+307,'Returns (Calc)'!$A:$A)-3),"")</f>
        <v>1704.6137974683543</v>
      </c>
      <c r="Z141" s="131">
        <f>IFERROR('Price History'!E3+(INDEX('Price History'!E:E,MATCH(9.99E+307,'Returns (Calc)'!$A:$A)+1)-'Price History'!E3)*(ROW()-3)/(MATCH(9.99E+307,'Returns (Calc)'!$A:$A)-3),"")</f>
        <v>320.56531645569623</v>
      </c>
      <c r="AA141" s="131">
        <f>IFERROR('Price History'!F3+(INDEX('Price History'!F:F,MATCH(9.99E+307,'Returns (Calc)'!$A:$A)+1)-'Price History'!F3)*(ROW()-3)/(MATCH(9.99E+307,'Returns (Calc)'!$A:$A)-3),"")</f>
        <v>241.09316455696205</v>
      </c>
      <c r="AB141" s="131">
        <f>IFERROR('Price History'!G3+(INDEX('Price History'!G:G,MATCH(9.99E+307,'Returns (Calc)'!$A:$A)+1)-'Price History'!G3)*(ROW()-3)/(MATCH(9.99E+307,'Returns (Calc)'!$A:$A)-3),"")</f>
        <v>186.31531645569621</v>
      </c>
      <c r="AC141" s="131">
        <f>IFERROR('Price History'!H3+(INDEX('Price History'!H:H,MATCH(9.99E+307,'Returns (Calc)'!$A:$A)+1)-'Price History'!H3)*(ROW()-3)/(MATCH(9.99E+307,'Returns (Calc)'!$A:$A)-3),"")</f>
        <v>947.57607594936724</v>
      </c>
      <c r="AD141" s="131">
        <f>IFERROR('Price History'!I3+(INDEX('Price History'!I:I,MATCH(9.99E+307,'Returns (Calc)'!$A:$A)+1)-'Price History'!I3)*(ROW()-3)/(MATCH(9.99E+307,'Returns (Calc)'!$A:$A)-3),"")</f>
        <v>209.87658227848101</v>
      </c>
      <c r="AE141" s="131">
        <f>IFERROR('Price History'!J3+(INDEX('Price History'!J:J,MATCH(9.99E+307,'Returns (Calc)'!$A:$A)+1)-'Price History'!J3)*(ROW()-3)/(MATCH(9.99E+307,'Returns (Calc)'!$A:$A)-3),"")</f>
        <v>126.74924050632912</v>
      </c>
      <c r="AF141" s="131">
        <f>IFERROR('Price History'!K3+(INDEX('Price History'!K:K,MATCH(9.99E+307,'Returns (Calc)'!$A:$A)+1)-'Price History'!K3)*(ROW()-3)/(MATCH(9.99E+307,'Returns (Calc)'!$A:$A)-3),"")</f>
        <v>166.79810126582279</v>
      </c>
      <c r="AG141" s="131">
        <f>IFERROR('Price History'!L3+(INDEX('Price History'!L:L,MATCH(9.99E+307,'Returns (Calc)'!$A:$A)+1)-'Price History'!L3)*(ROW()-3)/(MATCH(9.99E+307,'Returns (Calc)'!$A:$A)-3),"")</f>
        <v>423.78886075949367</v>
      </c>
      <c r="AH141" s="131">
        <f>IFERROR('Price History'!M3+(INDEX('Price History'!M:M,MATCH(9.99E+307,'Returns (Calc)'!$A:$A)+1)-'Price History'!M3)*(ROW()-3)/(MATCH(9.99E+307,'Returns (Calc)'!$A:$A)-3),"")</f>
        <v>225.07113924050634</v>
      </c>
      <c r="AI141" s="131">
        <f>IFERROR('Price History'!N3+(INDEX('Price History'!N:N,MATCH(9.99E+307,'Returns (Calc)'!$A:$A)+1)-'Price History'!N3)*(ROW()-3)/(MATCH(9.99E+307,'Returns (Calc)'!$A:$A)-3),"")</f>
        <v>485.00468354430382</v>
      </c>
      <c r="AJ141" s="131">
        <f>IFERROR('Price History'!O3+(INDEX('Price History'!O:O,MATCH(9.99E+307,'Returns (Calc)'!$A:$A)+1)-'Price History'!O3)*(ROW()-3)/(MATCH(9.99E+307,'Returns (Calc)'!$A:$A)-3),"")</f>
        <v>114.36924050632911</v>
      </c>
      <c r="AK141" s="131">
        <f>IFERROR('Price History'!Q3+(INDEX('Price History'!Q:Q,MATCH(9.99E+307,'Returns (Calc)'!$A:$A)+1)-'Price History'!Q3)*(ROW()-3)/(MATCH(9.99E+307,'Returns (Calc)'!$A:$A)-3),"")</f>
        <v>60.632658227848104</v>
      </c>
      <c r="AL141" s="131">
        <f>IFERROR('Price History'!R3+(INDEX('Price History'!R:R,MATCH(9.99E+307,'Returns (Calc)'!$A:$A)+1)-'Price History'!R3)*(ROW()-3)/(MATCH(9.99E+307,'Returns (Calc)'!$A:$A)-3),"")</f>
        <v>57.677974683544306</v>
      </c>
      <c r="AM141" s="131">
        <f>IFERROR('Price History'!S3+(INDEX('Price History'!S:S,MATCH(9.99E+307,'Returns (Calc)'!$A:$A)+1)-'Price History'!S3)*(ROW()-3)/(MATCH(9.99E+307,'Returns (Calc)'!$A:$A)-3),"")</f>
        <v>141.12873417721519</v>
      </c>
      <c r="AN141" s="131">
        <f>IFERROR('Price History'!T3+(INDEX('Price History'!T:T,MATCH(9.99E+307,'Returns (Calc)'!$A:$A)+1)-'Price History'!T3)*(ROW()-3)/(MATCH(9.99E+307,'Returns (Calc)'!$A:$A)-3),"")</f>
        <v>48.455443037974689</v>
      </c>
      <c r="AO141" s="132">
        <f>IFERROR('Price History'!V3+(INDEX('Price History'!V:V,MATCH(9.99E+307,'Returns (Calc)'!$A:$A)+1)-'Price History'!V3)*(ROW()-3)/(MATCH(9.99E+307,'Returns (Calc)'!$A:$A)-3),"")</f>
        <v>344.83341772151903</v>
      </c>
      <c r="AP141" s="130">
        <f>IFERROR(IF(OR(NOT(ISNUMBER('Price History'!W142)),NOT(ISNUMBER('Price History'!W141)),'Price History'!W141=0),"",'Price History'!W142/'Price History'!W141-1),"")</f>
        <v>1.9524894240154911E-3</v>
      </c>
      <c r="AQ141" s="130">
        <f>IFERROR(IF(OR(NOT(ISNUMBER('Price History'!X142)),NOT(ISNUMBER('Price History'!X141)),'Price History'!X141=0),"",'Price History'!X142/'Price History'!X141-1),"")</f>
        <v>4.1268628200229251E-2</v>
      </c>
      <c r="AR141" s="130">
        <f>IFERROR(IF(OR(NOT(ISNUMBER('Price History'!Y142)),NOT(ISNUMBER('Price History'!Y141)),'Price History'!Y141=0),"",'Price History'!Y142/'Price History'!Y141-1),"")</f>
        <v>-1.1080332409971749E-3</v>
      </c>
      <c r="AS141" s="130">
        <f>IFERROR(IF(OR(NOT(ISNUMBER('Price History'!Z142)),NOT(ISNUMBER('Price History'!Z141)),'Price History'!Z141=0),"",'Price History'!Z142/'Price History'!Z141-1),"")</f>
        <v>-5.2564188961520153E-2</v>
      </c>
      <c r="AT141" s="130">
        <f>IFERROR(IF(OR(NOT(ISNUMBER('Price History'!AA142)),NOT(ISNUMBER('Price History'!AA141)),'Price History'!AA141=0),"",'Price History'!AA142/'Price History'!AA141-1),"")</f>
        <v>-5.3720425191450261E-3</v>
      </c>
    </row>
    <row r="142" spans="1:46" ht="15" customHeight="1" x14ac:dyDescent="0.2">
      <c r="A142" s="128">
        <f>IF('Price History'!A143="","",'Price History'!A143)</f>
        <v>46164</v>
      </c>
      <c r="B142" s="129">
        <f>IFERROR(IF(OR(NOT(ISNUMBER('Price History'!B143)),NOT(ISNUMBER('Price History'!B142)),'Price History'!B142=0),"",'Price History'!B143/'Price History'!B142-1),"")</f>
        <v>-1.1470113085621958E-2</v>
      </c>
      <c r="C142" s="129">
        <f>IFERROR(IF(OR(NOT(ISNUMBER('Price History'!C143)),NOT(ISNUMBER('Price History'!C142)),'Price History'!C142=0),"",'Price History'!C143/'Price History'!C142-1),"")</f>
        <v>8.494752412481521E-2</v>
      </c>
      <c r="D142" s="129">
        <f>IFERROR(IF(OR(NOT(ISNUMBER('Price History'!D143)),NOT(ISNUMBER('Price History'!D142)),'Price History'!D142=0),"",'Price History'!D143/'Price History'!D142-1),"")</f>
        <v>8.7287564922293281E-2</v>
      </c>
      <c r="E142" s="129">
        <f>IFERROR(IF(OR(NOT(ISNUMBER('Price History'!E143)),NOT(ISNUMBER('Price History'!E142)),'Price History'!E142=0),"",'Price History'!E143/'Price History'!E142-1),"")</f>
        <v>-2.6005899705014657E-2</v>
      </c>
      <c r="F142" s="129">
        <f>IFERROR(IF(OR(NOT(ISNUMBER('Price History'!F143)),NOT(ISNUMBER('Price History'!F142)),'Price History'!F142=0),"",'Price History'!F143/'Price History'!F142-1),"")</f>
        <v>0.11681928359816851</v>
      </c>
      <c r="G142" s="129">
        <f>IFERROR(IF(OR(NOT(ISNUMBER('Price History'!G143)),NOT(ISNUMBER('Price History'!G142)),'Price History'!G142=0),"",'Price History'!G143/'Price History'!G142-1),"")</f>
        <v>4.788888888888887E-2</v>
      </c>
      <c r="H142" s="129">
        <f>IFERROR(IF(OR(NOT(ISNUMBER('Price History'!H143)),NOT(ISNUMBER('Price History'!H142)),'Price History'!H142=0),"",'Price History'!H143/'Price History'!H142-1),"")</f>
        <v>3.63397971154511E-2</v>
      </c>
      <c r="I142" s="129">
        <f>IFERROR(IF(OR(NOT(ISNUMBER('Price History'!I143)),NOT(ISNUMBER('Price History'!I142)),'Price History'!I142=0),"",'Price History'!I143/'Price History'!I142-1),"")</f>
        <v>-4.4348561007072629E-2</v>
      </c>
      <c r="J142" s="129">
        <f>IFERROR(IF(OR(NOT(ISNUMBER('Price History'!J143)),NOT(ISNUMBER('Price History'!J142)),'Price History'!J142=0),"",'Price History'!J143/'Price History'!J142-1),"")</f>
        <v>3.8217020661754253E-2</v>
      </c>
      <c r="K142" s="129">
        <f>IFERROR(IF(OR(NOT(ISNUMBER('Price History'!K143)),NOT(ISNUMBER('Price History'!K142)),'Price History'!K142=0),"",'Price History'!K143/'Price History'!K142-1),"")</f>
        <v>2.1568773789088613E-2</v>
      </c>
      <c r="L142" s="129">
        <f>IFERROR(IF(OR(NOT(ISNUMBER('Price History'!L143)),NOT(ISNUMBER('Price History'!L142)),'Price History'!L142=0),"",'Price History'!L143/'Price History'!L142-1),"")</f>
        <v>4.2253871200270687E-4</v>
      </c>
      <c r="M142" s="129">
        <f>IFERROR(IF(OR(NOT(ISNUMBER('Price History'!M143)),NOT(ISNUMBER('Price History'!M142)),'Price History'!M142=0),"",'Price History'!M143/'Price History'!M142-1),"")</f>
        <v>-0.11721552444911931</v>
      </c>
      <c r="N142" s="129">
        <f>IFERROR(IF(OR(NOT(ISNUMBER('Price History'!N143)),NOT(ISNUMBER('Price History'!N142)),'Price History'!N142=0),"",'Price History'!N143/'Price History'!N142-1),"")</f>
        <v>-5.5612770339855677E-3</v>
      </c>
      <c r="O142" s="129">
        <f>IFERROR(IF(OR(NOT(ISNUMBER('Price History'!O143)),NOT(ISNUMBER('Price History'!O142)),'Price History'!O142=0),"",'Price History'!O143/'Price History'!O142-1),"")</f>
        <v>2.370319477842675E-2</v>
      </c>
      <c r="P142" s="129">
        <f>IFERROR(IF(OR(NOT(ISNUMBER('Price History'!P143)),NOT(ISNUMBER('Price History'!P142)),'Price History'!P142=0),"",'Price History'!P143/'Price History'!P142-1),"")</f>
        <v>3.1773813530797668E-2</v>
      </c>
      <c r="Q142" s="129">
        <f>IFERROR(IF(OR(NOT(ISNUMBER('Price History'!Q143)),NOT(ISNUMBER('Price History'!Q142)),'Price History'!Q142=0),"",'Price History'!Q143/'Price History'!Q142-1),"")</f>
        <v>7.407407407407085E-4</v>
      </c>
      <c r="R142" s="129">
        <f>IFERROR(IF(OR(NOT(ISNUMBER('Price History'!R143)),NOT(ISNUMBER('Price History'!R142)),'Price History'!R142=0),"",'Price History'!R143/'Price History'!R142-1),"")</f>
        <v>7.4061012167165874E-3</v>
      </c>
      <c r="S142" s="129">
        <f>IFERROR(IF(OR(NOT(ISNUMBER('Price History'!S143)),NOT(ISNUMBER('Price History'!S142)),'Price History'!S142=0),"",'Price History'!S143/'Price History'!S142-1),"")</f>
        <v>1.0137733342655331E-2</v>
      </c>
      <c r="T142" s="129">
        <f>IFERROR(IF(OR(NOT(ISNUMBER('Price History'!T143)),NOT(ISNUMBER('Price History'!T142)),'Price History'!T142=0),"",'Price History'!T143/'Price History'!T142-1),"")</f>
        <v>3.969754253308122E-2</v>
      </c>
      <c r="U142" s="129">
        <f>IFERROR(IF(OR(NOT(ISNUMBER('Price History'!U143)),NOT(ISNUMBER('Price History'!U142)),'Price History'!U142=0),"",'Price History'!U143/'Price History'!U142-1),"")</f>
        <v>3.4913516976297299E-2</v>
      </c>
      <c r="V142" s="130">
        <f>IFERROR(IF(OR(NOT(ISNUMBER('Price History'!V143)),NOT(ISNUMBER('Price History'!V142)),'Price History'!V142=0),"",'Price History'!V143/'Price History'!V142-1),"")</f>
        <v>9.5955712747961552E-3</v>
      </c>
      <c r="W142" s="131">
        <f>IFERROR('Price History'!B3+(INDEX('Price History'!B:B,MATCH(9.99E+307,'Returns (Calc)'!$A:$A)+1)-'Price History'!B3)*(ROW()-3)/(MATCH(9.99E+307,'Returns (Calc)'!$A:$A)-3),"")</f>
        <v>272.70772151898734</v>
      </c>
      <c r="X142" s="131">
        <f>IFERROR('Price History'!C3+(INDEX('Price History'!C:C,MATCH(9.99E+307,'Returns (Calc)'!$A:$A)+1)-'Price History'!C3)*(ROW()-3)/(MATCH(9.99E+307,'Returns (Calc)'!$A:$A)-3),"")</f>
        <v>187.96879746835441</v>
      </c>
      <c r="Y142" s="131">
        <f>IFERROR('Price History'!D3+(INDEX('Price History'!D:D,MATCH(9.99E+307,'Returns (Calc)'!$A:$A)+1)-'Price History'!D3)*(ROW()-3)/(MATCH(9.99E+307,'Returns (Calc)'!$A:$A)-3),"")</f>
        <v>1712.7486075949366</v>
      </c>
      <c r="Z142" s="131">
        <f>IFERROR('Price History'!E3+(INDEX('Price History'!E:E,MATCH(9.99E+307,'Returns (Calc)'!$A:$A)+1)-'Price History'!E3)*(ROW()-3)/(MATCH(9.99E+307,'Returns (Calc)'!$A:$A)-3),"")</f>
        <v>322.29405063291142</v>
      </c>
      <c r="AA142" s="131">
        <f>IFERROR('Price History'!F3+(INDEX('Price History'!F:F,MATCH(9.99E+307,'Returns (Calc)'!$A:$A)+1)-'Price History'!F3)*(ROW()-3)/(MATCH(9.99E+307,'Returns (Calc)'!$A:$A)-3),"")</f>
        <v>242.54050632911395</v>
      </c>
      <c r="AB142" s="131">
        <f>IFERROR('Price History'!G3+(INDEX('Price History'!G:G,MATCH(9.99E+307,'Returns (Calc)'!$A:$A)+1)-'Price History'!G3)*(ROW()-3)/(MATCH(9.99E+307,'Returns (Calc)'!$A:$A)-3),"")</f>
        <v>187.34405063291138</v>
      </c>
      <c r="AC142" s="131">
        <f>IFERROR('Price History'!H3+(INDEX('Price History'!H:H,MATCH(9.99E+307,'Returns (Calc)'!$A:$A)+1)-'Price History'!H3)*(ROW()-3)/(MATCH(9.99E+307,'Returns (Calc)'!$A:$A)-3),"")</f>
        <v>953.94177215189882</v>
      </c>
      <c r="AD142" s="131">
        <f>IFERROR('Price History'!I3+(INDEX('Price History'!I:I,MATCH(9.99E+307,'Returns (Calc)'!$A:$A)+1)-'Price History'!I3)*(ROW()-3)/(MATCH(9.99E+307,'Returns (Calc)'!$A:$A)-3),"")</f>
        <v>211.08025316455695</v>
      </c>
      <c r="AE142" s="131">
        <f>IFERROR('Price History'!J3+(INDEX('Price History'!J:J,MATCH(9.99E+307,'Returns (Calc)'!$A:$A)+1)-'Price History'!J3)*(ROW()-3)/(MATCH(9.99E+307,'Returns (Calc)'!$A:$A)-3),"")</f>
        <v>126.85727848101266</v>
      </c>
      <c r="AF142" s="131">
        <f>IFERROR('Price History'!K3+(INDEX('Price History'!K:K,MATCH(9.99E+307,'Returns (Calc)'!$A:$A)+1)-'Price History'!K3)*(ROW()-3)/(MATCH(9.99E+307,'Returns (Calc)'!$A:$A)-3),"")</f>
        <v>167.89569620253164</v>
      </c>
      <c r="AG142" s="131">
        <f>IFERROR('Price History'!L3+(INDEX('Price History'!L:L,MATCH(9.99E+307,'Returns (Calc)'!$A:$A)+1)-'Price History'!L3)*(ROW()-3)/(MATCH(9.99E+307,'Returns (Calc)'!$A:$A)-3),"")</f>
        <v>426.238417721519</v>
      </c>
      <c r="AH142" s="131">
        <f>IFERROR('Price History'!M3+(INDEX('Price History'!M:M,MATCH(9.99E+307,'Returns (Calc)'!$A:$A)+1)-'Price History'!M3)*(ROW()-3)/(MATCH(9.99E+307,'Returns (Calc)'!$A:$A)-3),"")</f>
        <v>226.42658227848102</v>
      </c>
      <c r="AI142" s="131">
        <f>IFERROR('Price History'!N3+(INDEX('Price History'!N:N,MATCH(9.99E+307,'Returns (Calc)'!$A:$A)+1)-'Price History'!N3)*(ROW()-3)/(MATCH(9.99E+307,'Returns (Calc)'!$A:$A)-3),"")</f>
        <v>485.99094936708866</v>
      </c>
      <c r="AJ142" s="131">
        <f>IFERROR('Price History'!O3+(INDEX('Price History'!O:O,MATCH(9.99E+307,'Returns (Calc)'!$A:$A)+1)-'Price History'!O3)*(ROW()-3)/(MATCH(9.99E+307,'Returns (Calc)'!$A:$A)-3),"")</f>
        <v>114.65227848101266</v>
      </c>
      <c r="AK142" s="131">
        <f>IFERROR('Price History'!Q3+(INDEX('Price History'!Q:Q,MATCH(9.99E+307,'Returns (Calc)'!$A:$A)+1)-'Price History'!Q3)*(ROW()-3)/(MATCH(9.99E+307,'Returns (Calc)'!$A:$A)-3),"")</f>
        <v>61.072025316455701</v>
      </c>
      <c r="AL142" s="131">
        <f>IFERROR('Price History'!R3+(INDEX('Price History'!R:R,MATCH(9.99E+307,'Returns (Calc)'!$A:$A)+1)-'Price History'!R3)*(ROW()-3)/(MATCH(9.99E+307,'Returns (Calc)'!$A:$A)-3),"")</f>
        <v>57.846075949367091</v>
      </c>
      <c r="AM142" s="131">
        <f>IFERROR('Price History'!S3+(INDEX('Price History'!S:S,MATCH(9.99E+307,'Returns (Calc)'!$A:$A)+1)-'Price History'!S3)*(ROW()-3)/(MATCH(9.99E+307,'Returns (Calc)'!$A:$A)-3),"")</f>
        <v>141.73379746835442</v>
      </c>
      <c r="AN142" s="131">
        <f>IFERROR('Price History'!T3+(INDEX('Price History'!T:T,MATCH(9.99E+307,'Returns (Calc)'!$A:$A)+1)-'Price History'!T3)*(ROW()-3)/(MATCH(9.99E+307,'Returns (Calc)'!$A:$A)-3),"")</f>
        <v>48.623670886075949</v>
      </c>
      <c r="AO142" s="132">
        <f>IFERROR('Price History'!V3+(INDEX('Price History'!V:V,MATCH(9.99E+307,'Returns (Calc)'!$A:$A)+1)-'Price History'!V3)*(ROW()-3)/(MATCH(9.99E+307,'Returns (Calc)'!$A:$A)-3),"")</f>
        <v>345.62474683544303</v>
      </c>
      <c r="AP142" s="130">
        <f>IFERROR(IF(OR(NOT(ISNUMBER('Price History'!W143)),NOT(ISNUMBER('Price History'!W142)),'Price History'!W142=0),"",'Price History'!W143/'Price History'!W142-1),"")</f>
        <v>1.8837284832737833E-2</v>
      </c>
      <c r="AQ142" s="130">
        <f>IFERROR(IF(OR(NOT(ISNUMBER('Price History'!X143)),NOT(ISNUMBER('Price History'!X142)),'Price History'!X142=0),"",'Price History'!X143/'Price History'!X142-1),"")</f>
        <v>8.0733944954127779E-3</v>
      </c>
      <c r="AR142" s="130">
        <f>IFERROR(IF(OR(NOT(ISNUMBER('Price History'!Y143)),NOT(ISNUMBER('Price History'!Y142)),'Price History'!Y142=0),"",'Price History'!Y143/'Price History'!Y142-1),"")</f>
        <v>7.7648363838047629E-3</v>
      </c>
      <c r="AS142" s="130">
        <f>IFERROR(IF(OR(NOT(ISNUMBER('Price History'!Z143)),NOT(ISNUMBER('Price History'!Z142)),'Price History'!Z142=0),"",'Price History'!Z143/'Price History'!Z142-1),"")</f>
        <v>7.5681058396756429E-2</v>
      </c>
      <c r="AT142" s="130">
        <f>IFERROR(IF(OR(NOT(ISNUMBER('Price History'!AA143)),NOT(ISNUMBER('Price History'!AA142)),'Price History'!AA142=0),"",'Price History'!AA143/'Price History'!AA142-1),"")</f>
        <v>1.815674557572966E-2</v>
      </c>
    </row>
    <row r="143" spans="1:46" ht="15" customHeight="1" x14ac:dyDescent="0.2">
      <c r="A143" s="128">
        <f>IF('Price History'!A144="","",'Price History'!A144)</f>
        <v>46171</v>
      </c>
      <c r="B143" s="129">
        <f>IFERROR(IF(OR(NOT(ISNUMBER('Price History'!B144)),NOT(ISNUMBER('Price History'!B143)),'Price History'!B143=0),"",'Price History'!B144/'Price History'!B143-1),"")</f>
        <v>5.9037424415754103E-2</v>
      </c>
      <c r="C143" s="129">
        <f>IFERROR(IF(OR(NOT(ISNUMBER('Price History'!C144)),NOT(ISNUMBER('Price History'!C143)),'Price History'!C143=0),"",'Price History'!C144/'Price History'!C143-1),"")</f>
        <v>3.5317795234694582E-2</v>
      </c>
      <c r="D143" s="129">
        <f>IFERROR(IF(OR(NOT(ISNUMBER('Price History'!D144)),NOT(ISNUMBER('Price History'!D143)),'Price History'!D143=0),"",'Price History'!D144/'Price History'!D143-1),"")</f>
        <v>-1.2331446722140704E-2</v>
      </c>
      <c r="E143" s="129">
        <f>IFERROR(IF(OR(NOT(ISNUMBER('Price History'!E144)),NOT(ISNUMBER('Price History'!E143)),'Price History'!E143=0),"",'Price History'!E144/'Price History'!E143-1),"")</f>
        <v>7.8792430887020481E-2</v>
      </c>
      <c r="F143" s="129">
        <f>IFERROR(IF(OR(NOT(ISNUMBER('Price History'!F144)),NOT(ISNUMBER('Price History'!F143)),'Price History'!F143=0),"",'Price History'!F144/'Price History'!F143-1),"")</f>
        <v>0.10176644360040998</v>
      </c>
      <c r="G143" s="129">
        <f>IFERROR(IF(OR(NOT(ISNUMBER('Price History'!G144)),NOT(ISNUMBER('Price History'!G143)),'Price History'!G143=0),"",'Price History'!G144/'Price History'!G143-1),"")</f>
        <v>1.7654543526667288E-2</v>
      </c>
      <c r="H143" s="129">
        <f>IFERROR(IF(OR(NOT(ISNUMBER('Price History'!H144)),NOT(ISNUMBER('Price History'!H143)),'Price History'!H143=0),"",'Price History'!H144/'Price History'!H143-1),"")</f>
        <v>0.29294960579586626</v>
      </c>
      <c r="I143" s="129">
        <f>IFERROR(IF(OR(NOT(ISNUMBER('Price History'!I144)),NOT(ISNUMBER('Price History'!I143)),'Price History'!I143=0),"",'Price History'!I144/'Price History'!I143-1),"")</f>
        <v>-1.945633960156401E-2</v>
      </c>
      <c r="J143" s="129">
        <f>IFERROR(IF(OR(NOT(ISNUMBER('Price History'!J144)),NOT(ISNUMBER('Price History'!J143)),'Price History'!J143=0),"",'Price History'!J144/'Price History'!J143-1),"")</f>
        <v>-1.6700299213694314E-2</v>
      </c>
      <c r="K143" s="129">
        <f>IFERROR(IF(OR(NOT(ISNUMBER('Price History'!K144)),NOT(ISNUMBER('Price History'!K143)),'Price History'!K143=0),"",'Price History'!K144/'Price History'!K143-1),"")</f>
        <v>0.14362945645821146</v>
      </c>
      <c r="L143" s="129">
        <f>IFERROR(IF(OR(NOT(ISNUMBER('Price History'!L144)),NOT(ISNUMBER('Price History'!L143)),'Price History'!L143=0),"",'Price History'!L144/'Price History'!L143-1),"")</f>
        <v>3.4434782608695702E-2</v>
      </c>
      <c r="M143" s="129">
        <f>IFERROR(IF(OR(NOT(ISNUMBER('Price History'!M144)),NOT(ISNUMBER('Price History'!M143)),'Price History'!M143=0),"",'Price History'!M144/'Price History'!M143-1),"")</f>
        <v>-3.5868137239925435E-2</v>
      </c>
      <c r="N143" s="129">
        <f>IFERROR(IF(OR(NOT(ISNUMBER('Price History'!N144)),NOT(ISNUMBER('Price History'!N143)),'Price History'!N143=0),"",'Price History'!N144/'Price History'!N143-1),"")</f>
        <v>2.9964098315382603E-2</v>
      </c>
      <c r="O143" s="129">
        <f>IFERROR(IF(OR(NOT(ISNUMBER('Price History'!O144)),NOT(ISNUMBER('Price History'!O143)),'Price History'!O143=0),"",'Price History'!O144/'Price History'!O143-1),"")</f>
        <v>1.677852348993536E-4</v>
      </c>
      <c r="P143" s="129">
        <f>IFERROR(IF(OR(NOT(ISNUMBER('Price History'!P144)),NOT(ISNUMBER('Price History'!P143)),'Price History'!P143=0),"",'Price History'!P144/'Price History'!P143-1),"")</f>
        <v>-5.0890585241730735E-3</v>
      </c>
      <c r="Q143" s="129">
        <f>IFERROR(IF(OR(NOT(ISNUMBER('Price History'!Q144)),NOT(ISNUMBER('Price History'!Q143)),'Price History'!Q143=0),"",'Price History'!Q144/'Price History'!Q143-1),"")</f>
        <v>4.2931162102146647E-3</v>
      </c>
      <c r="R143" s="129">
        <f>IFERROR(IF(OR(NOT(ISNUMBER('Price History'!R144)),NOT(ISNUMBER('Price History'!R143)),'Price History'!R143=0),"",'Price History'!R144/'Price History'!R143-1),"")</f>
        <v>1.5578505163661882E-2</v>
      </c>
      <c r="S143" s="129">
        <f>IFERROR(IF(OR(NOT(ISNUMBER('Price History'!S144)),NOT(ISNUMBER('Price History'!S143)),'Price History'!S143=0),"",'Price History'!S144/'Price History'!S143-1),"")</f>
        <v>3.8967331118494153E-2</v>
      </c>
      <c r="T143" s="129">
        <f>IFERROR(IF(OR(NOT(ISNUMBER('Price History'!T144)),NOT(ISNUMBER('Price History'!T143)),'Price History'!T143=0),"",'Price History'!T144/'Price History'!T143-1),"")</f>
        <v>5.4090909090909189E-2</v>
      </c>
      <c r="U143" s="129">
        <f>IFERROR(IF(OR(NOT(ISNUMBER('Price History'!U144)),NOT(ISNUMBER('Price History'!U143)),'Price History'!U143=0),"",'Price History'!U144/'Price History'!U143-1),"")</f>
        <v>-9.9040544722996948E-3</v>
      </c>
      <c r="V143" s="130">
        <f>IFERROR(IF(OR(NOT(ISNUMBER('Price History'!V144)),NOT(ISNUMBER('Price History'!V143)),'Price History'!V143=0),"",'Price History'!V144/'Price History'!V143-1),"")</f>
        <v>-7.6766076705150343E-3</v>
      </c>
      <c r="W143" s="131">
        <f>IFERROR('Price History'!B3+(INDEX('Price History'!B:B,MATCH(9.99E+307,'Returns (Calc)'!$A:$A)+1)-'Price History'!B3)*(ROW()-3)/(MATCH(9.99E+307,'Returns (Calc)'!$A:$A)-3),"")</f>
        <v>270.86468354430377</v>
      </c>
      <c r="X143" s="131">
        <f>IFERROR('Price History'!C3+(INDEX('Price History'!C:C,MATCH(9.99E+307,'Returns (Calc)'!$A:$A)+1)-'Price History'!C3)*(ROW()-3)/(MATCH(9.99E+307,'Returns (Calc)'!$A:$A)-3),"")</f>
        <v>188.98886075949366</v>
      </c>
      <c r="Y143" s="131">
        <f>IFERROR('Price History'!D3+(INDEX('Price History'!D:D,MATCH(9.99E+307,'Returns (Calc)'!$A:$A)+1)-'Price History'!D3)*(ROW()-3)/(MATCH(9.99E+307,'Returns (Calc)'!$A:$A)-3),"")</f>
        <v>1720.883417721519</v>
      </c>
      <c r="Z143" s="131">
        <f>IFERROR('Price History'!E3+(INDEX('Price History'!E:E,MATCH(9.99E+307,'Returns (Calc)'!$A:$A)+1)-'Price History'!E3)*(ROW()-3)/(MATCH(9.99E+307,'Returns (Calc)'!$A:$A)-3),"")</f>
        <v>324.02278481012661</v>
      </c>
      <c r="AA143" s="131">
        <f>IFERROR('Price History'!F3+(INDEX('Price History'!F:F,MATCH(9.99E+307,'Returns (Calc)'!$A:$A)+1)-'Price History'!F3)*(ROW()-3)/(MATCH(9.99E+307,'Returns (Calc)'!$A:$A)-3),"")</f>
        <v>243.98784810126585</v>
      </c>
      <c r="AB143" s="131">
        <f>IFERROR('Price History'!G3+(INDEX('Price History'!G:G,MATCH(9.99E+307,'Returns (Calc)'!$A:$A)+1)-'Price History'!G3)*(ROW()-3)/(MATCH(9.99E+307,'Returns (Calc)'!$A:$A)-3),"")</f>
        <v>188.37278481012657</v>
      </c>
      <c r="AC143" s="131">
        <f>IFERROR('Price History'!H3+(INDEX('Price History'!H:H,MATCH(9.99E+307,'Returns (Calc)'!$A:$A)+1)-'Price History'!H3)*(ROW()-3)/(MATCH(9.99E+307,'Returns (Calc)'!$A:$A)-3),"")</f>
        <v>960.30746835443051</v>
      </c>
      <c r="AD143" s="131">
        <f>IFERROR('Price History'!I3+(INDEX('Price History'!I:I,MATCH(9.99E+307,'Returns (Calc)'!$A:$A)+1)-'Price History'!I3)*(ROW()-3)/(MATCH(9.99E+307,'Returns (Calc)'!$A:$A)-3),"")</f>
        <v>212.28392405063289</v>
      </c>
      <c r="AE143" s="131">
        <f>IFERROR('Price History'!J3+(INDEX('Price History'!J:J,MATCH(9.99E+307,'Returns (Calc)'!$A:$A)+1)-'Price History'!J3)*(ROW()-3)/(MATCH(9.99E+307,'Returns (Calc)'!$A:$A)-3),"")</f>
        <v>126.9653164556962</v>
      </c>
      <c r="AF143" s="131">
        <f>IFERROR('Price History'!K3+(INDEX('Price History'!K:K,MATCH(9.99E+307,'Returns (Calc)'!$A:$A)+1)-'Price History'!K3)*(ROW()-3)/(MATCH(9.99E+307,'Returns (Calc)'!$A:$A)-3),"")</f>
        <v>168.99329113924051</v>
      </c>
      <c r="AG143" s="131">
        <f>IFERROR('Price History'!L3+(INDEX('Price History'!L:L,MATCH(9.99E+307,'Returns (Calc)'!$A:$A)+1)-'Price History'!L3)*(ROW()-3)/(MATCH(9.99E+307,'Returns (Calc)'!$A:$A)-3),"")</f>
        <v>428.68797468354427</v>
      </c>
      <c r="AH143" s="131">
        <f>IFERROR('Price History'!M3+(INDEX('Price History'!M:M,MATCH(9.99E+307,'Returns (Calc)'!$A:$A)+1)-'Price History'!M3)*(ROW()-3)/(MATCH(9.99E+307,'Returns (Calc)'!$A:$A)-3),"")</f>
        <v>227.7820253164557</v>
      </c>
      <c r="AI143" s="131">
        <f>IFERROR('Price History'!N3+(INDEX('Price History'!N:N,MATCH(9.99E+307,'Returns (Calc)'!$A:$A)+1)-'Price History'!N3)*(ROW()-3)/(MATCH(9.99E+307,'Returns (Calc)'!$A:$A)-3),"")</f>
        <v>486.97721518987339</v>
      </c>
      <c r="AJ143" s="131">
        <f>IFERROR('Price History'!O3+(INDEX('Price History'!O:O,MATCH(9.99E+307,'Returns (Calc)'!$A:$A)+1)-'Price History'!O3)*(ROW()-3)/(MATCH(9.99E+307,'Returns (Calc)'!$A:$A)-3),"")</f>
        <v>114.93531645569621</v>
      </c>
      <c r="AK143" s="131">
        <f>IFERROR('Price History'!Q3+(INDEX('Price History'!Q:Q,MATCH(9.99E+307,'Returns (Calc)'!$A:$A)+1)-'Price History'!Q3)*(ROW()-3)/(MATCH(9.99E+307,'Returns (Calc)'!$A:$A)-3),"")</f>
        <v>61.511392405063297</v>
      </c>
      <c r="AL143" s="131">
        <f>IFERROR('Price History'!R3+(INDEX('Price History'!R:R,MATCH(9.99E+307,'Returns (Calc)'!$A:$A)+1)-'Price History'!R3)*(ROW()-3)/(MATCH(9.99E+307,'Returns (Calc)'!$A:$A)-3),"")</f>
        <v>58.014177215189875</v>
      </c>
      <c r="AM143" s="131">
        <f>IFERROR('Price History'!S3+(INDEX('Price History'!S:S,MATCH(9.99E+307,'Returns (Calc)'!$A:$A)+1)-'Price History'!S3)*(ROW()-3)/(MATCH(9.99E+307,'Returns (Calc)'!$A:$A)-3),"")</f>
        <v>142.33886075949368</v>
      </c>
      <c r="AN143" s="131">
        <f>IFERROR('Price History'!T3+(INDEX('Price History'!T:T,MATCH(9.99E+307,'Returns (Calc)'!$A:$A)+1)-'Price History'!T3)*(ROW()-3)/(MATCH(9.99E+307,'Returns (Calc)'!$A:$A)-3),"")</f>
        <v>48.791898734177217</v>
      </c>
      <c r="AO143" s="132">
        <f>IFERROR('Price History'!V3+(INDEX('Price History'!V:V,MATCH(9.99E+307,'Returns (Calc)'!$A:$A)+1)-'Price History'!V3)*(ROW()-3)/(MATCH(9.99E+307,'Returns (Calc)'!$A:$A)-3),"")</f>
        <v>346.4160759493671</v>
      </c>
      <c r="AP143" s="130">
        <f>IFERROR(IF(OR(NOT(ISNUMBER('Price History'!W144)),NOT(ISNUMBER('Price History'!W143)),'Price History'!W143=0),"",'Price History'!W144/'Price History'!W143-1),"")</f>
        <v>3.1240038253108615E-3</v>
      </c>
      <c r="AQ143" s="130">
        <f>IFERROR(IF(OR(NOT(ISNUMBER('Price History'!X144)),NOT(ISNUMBER('Price History'!X143)),'Price History'!X143=0),"",'Price History'!X144/'Price History'!X143-1),"")</f>
        <v>-5.369493993447394E-2</v>
      </c>
      <c r="AR143" s="130">
        <f>IFERROR(IF(OR(NOT(ISNUMBER('Price History'!Y144)),NOT(ISNUMBER('Price History'!Y143)),'Price History'!Y143=0),"",'Price History'!Y144/'Price History'!Y143-1),"")</f>
        <v>-5.1366721702440499E-3</v>
      </c>
      <c r="AS143" s="130">
        <f>IFERROR(IF(OR(NOT(ISNUMBER('Price History'!Z144)),NOT(ISNUMBER('Price History'!Z143)),'Price History'!Z143=0),"",'Price History'!Z144/'Price History'!Z143-1),"")</f>
        <v>6.9100046287112526E-2</v>
      </c>
      <c r="AT143" s="130">
        <f>IFERROR(IF(OR(NOT(ISNUMBER('Price History'!AA144)),NOT(ISNUMBER('Price History'!AA143)),'Price History'!AA143=0),"",'Price History'!AA144/'Price History'!AA143-1),"")</f>
        <v>-2.9119638826185068E-2</v>
      </c>
    </row>
    <row r="144" spans="1:46" ht="15" customHeight="1" x14ac:dyDescent="0.2">
      <c r="A144" s="128">
        <f>IF('Price History'!A145="","",'Price History'!A145)</f>
        <v>46178</v>
      </c>
      <c r="B144" s="129">
        <f>IFERROR(IF(OR(NOT(ISNUMBER('Price History'!B145)),NOT(ISNUMBER('Price History'!B144)),'Price History'!B144=0),"",'Price History'!B145/'Price History'!B144-1),"")</f>
        <v>-2.9975695382122525E-2</v>
      </c>
      <c r="C144" s="129">
        <f>IFERROR(IF(OR(NOT(ISNUMBER('Price History'!C145)),NOT(ISNUMBER('Price History'!C144)),'Price History'!C144=0),"",'Price History'!C145/'Price History'!C144-1),"")</f>
        <v>-3.2608014046529021E-2</v>
      </c>
      <c r="D144" s="129">
        <f>IFERROR(IF(OR(NOT(ISNUMBER('Price History'!D145)),NOT(ISNUMBER('Price History'!D144)),'Price History'!D144=0),"",'Price History'!D145/'Price History'!D144-1),"")</f>
        <v>1.7967566493654719E-2</v>
      </c>
      <c r="E144" s="129">
        <f>IFERROR(IF(OR(NOT(ISNUMBER('Price History'!E145)),NOT(ISNUMBER('Price History'!E144)),'Price History'!E144=0),"",'Price History'!E145/'Price History'!E144-1),"")</f>
        <v>-0.13661987647389107</v>
      </c>
      <c r="F144" s="129">
        <f>IFERROR(IF(OR(NOT(ISNUMBER('Price History'!F145)),NOT(ISNUMBER('Price History'!F144)),'Price History'!F144=0),"",'Price History'!F145/'Price History'!F144-1),"")</f>
        <v>-8.2024623803009677E-2</v>
      </c>
      <c r="G144" s="129">
        <f>IFERROR(IF(OR(NOT(ISNUMBER('Price History'!G145)),NOT(ISNUMBER('Price History'!G144)),'Price History'!G144=0),"",'Price History'!G145/'Price History'!G144-1),"")</f>
        <v>3.9072675175826355E-3</v>
      </c>
      <c r="H144" s="129">
        <f>IFERROR(IF(OR(NOT(ISNUMBER('Price History'!H145)),NOT(ISNUMBER('Price History'!H144)),'Price History'!H144=0),"",'Price History'!H145/'Price History'!H144-1),"")</f>
        <v>-0.11018179945408668</v>
      </c>
      <c r="I144" s="129">
        <f>IFERROR(IF(OR(NOT(ISNUMBER('Price History'!I145)),NOT(ISNUMBER('Price History'!I144)),'Price History'!I144=0),"",'Price History'!I145/'Price History'!I144-1),"")</f>
        <v>-2.748504699515808E-2</v>
      </c>
      <c r="J144" s="129">
        <f>IFERROR(IF(OR(NOT(ISNUMBER('Price History'!J145)),NOT(ISNUMBER('Price History'!J144)),'Price History'!J144=0),"",'Price History'!J145/'Price History'!J144-1),"")</f>
        <v>7.5012384120018982E-3</v>
      </c>
      <c r="K144" s="129">
        <f>IFERROR(IF(OR(NOT(ISNUMBER('Price History'!K145)),NOT(ISNUMBER('Price History'!K144)),'Price History'!K144=0),"",'Price History'!K145/'Price History'!K144-1),"")</f>
        <v>-0.13421489715088786</v>
      </c>
      <c r="L144" s="129">
        <f>IFERROR(IF(OR(NOT(ISNUMBER('Price History'!L145)),NOT(ISNUMBER('Price History'!L144)),'Price History'!L144=0),"",'Price History'!L145/'Price History'!L144-1),"")</f>
        <v>-7.8537803823615082E-3</v>
      </c>
      <c r="M144" s="129">
        <f>IFERROR(IF(OR(NOT(ISNUMBER('Price History'!M145)),NOT(ISNUMBER('Price History'!M144)),'Price History'!M144=0),"",'Price History'!M145/'Price History'!M144-1),"")</f>
        <v>-4.8166809265772992E-2</v>
      </c>
      <c r="N144" s="129">
        <f>IFERROR(IF(OR(NOT(ISNUMBER('Price History'!N145)),NOT(ISNUMBER('Price History'!N144)),'Price History'!N144=0),"",'Price History'!N145/'Price History'!N144-1),"")</f>
        <v>-1.5864503731510826E-3</v>
      </c>
      <c r="O144" s="129">
        <f>IFERROR(IF(OR(NOT(ISNUMBER('Price History'!O145)),NOT(ISNUMBER('Price History'!O144)),'Price History'!O144=0),"",'Price History'!O145/'Price History'!O144-1),"")</f>
        <v>-2.9357490353967286E-3</v>
      </c>
      <c r="P144" s="129">
        <f>IFERROR(IF(OR(NOT(ISNUMBER('Price History'!P145)),NOT(ISNUMBER('Price History'!P144)),'Price History'!P144=0),"",'Price History'!P145/'Price History'!P144-1),"")</f>
        <v>2.8198570398056955E-3</v>
      </c>
      <c r="Q144" s="129">
        <f>IFERROR(IF(OR(NOT(ISNUMBER('Price History'!Q145)),NOT(ISNUMBER('Price History'!Q144)),'Price History'!Q144=0),"",'Price History'!Q145/'Price History'!Q144-1),"")</f>
        <v>-1.0465801886792581E-2</v>
      </c>
      <c r="R144" s="129">
        <f>IFERROR(IF(OR(NOT(ISNUMBER('Price History'!R145)),NOT(ISNUMBER('Price History'!R144)),'Price History'!R144=0),"",'Price History'!R145/'Price History'!R144-1),"")</f>
        <v>-2.792140641158225E-2</v>
      </c>
      <c r="S144" s="129">
        <f>IFERROR(IF(OR(NOT(ISNUMBER('Price History'!S145)),NOT(ISNUMBER('Price History'!S144)),'Price History'!S144=0),"",'Price History'!S145/'Price History'!S144-1),"")</f>
        <v>-4.1902604756511974E-2</v>
      </c>
      <c r="T144" s="129">
        <f>IFERROR(IF(OR(NOT(ISNUMBER('Price History'!T145)),NOT(ISNUMBER('Price History'!T144)),'Price History'!T144=0),"",'Price History'!T145/'Price History'!T144-1),"")</f>
        <v>-1.1211729193618014E-2</v>
      </c>
      <c r="U144" s="129">
        <f>IFERROR(IF(OR(NOT(ISNUMBER('Price History'!U145)),NOT(ISNUMBER('Price History'!U144)),'Price History'!U144=0),"",'Price History'!U145/'Price History'!U144-1),"")</f>
        <v>-6.251953735542326E-3</v>
      </c>
      <c r="V144" s="130">
        <f>IFERROR(IF(OR(NOT(ISNUMBER('Price History'!V145)),NOT(ISNUMBER('Price History'!V144)),'Price History'!V144=0),"",'Price History'!V145/'Price History'!V144-1),"")</f>
        <v>-8.534151957022118E-3</v>
      </c>
      <c r="W144" s="131">
        <f>IFERROR('Price History'!B3+(INDEX('Price History'!B:B,MATCH(9.99E+307,'Returns (Calc)'!$A:$A)+1)-'Price History'!B3)*(ROW()-3)/(MATCH(9.99E+307,'Returns (Calc)'!$A:$A)-3),"")</f>
        <v>269.02164556962026</v>
      </c>
      <c r="X144" s="131">
        <f>IFERROR('Price History'!C3+(INDEX('Price History'!C:C,MATCH(9.99E+307,'Returns (Calc)'!$A:$A)+1)-'Price History'!C3)*(ROW()-3)/(MATCH(9.99E+307,'Returns (Calc)'!$A:$A)-3),"")</f>
        <v>190.00892405063291</v>
      </c>
      <c r="Y144" s="131">
        <f>IFERROR('Price History'!D3+(INDEX('Price History'!D:D,MATCH(9.99E+307,'Returns (Calc)'!$A:$A)+1)-'Price History'!D3)*(ROW()-3)/(MATCH(9.99E+307,'Returns (Calc)'!$A:$A)-3),"")</f>
        <v>1729.0182278481011</v>
      </c>
      <c r="Z144" s="131">
        <f>IFERROR('Price History'!E3+(INDEX('Price History'!E:E,MATCH(9.99E+307,'Returns (Calc)'!$A:$A)+1)-'Price History'!E3)*(ROW()-3)/(MATCH(9.99E+307,'Returns (Calc)'!$A:$A)-3),"")</f>
        <v>325.7515189873418</v>
      </c>
      <c r="AA144" s="131">
        <f>IFERROR('Price History'!F3+(INDEX('Price History'!F:F,MATCH(9.99E+307,'Returns (Calc)'!$A:$A)+1)-'Price History'!F3)*(ROW()-3)/(MATCH(9.99E+307,'Returns (Calc)'!$A:$A)-3),"")</f>
        <v>245.43518987341776</v>
      </c>
      <c r="AB144" s="131">
        <f>IFERROR('Price History'!G3+(INDEX('Price History'!G:G,MATCH(9.99E+307,'Returns (Calc)'!$A:$A)+1)-'Price History'!G3)*(ROW()-3)/(MATCH(9.99E+307,'Returns (Calc)'!$A:$A)-3),"")</f>
        <v>189.40151898734177</v>
      </c>
      <c r="AC144" s="131">
        <f>IFERROR('Price History'!H3+(INDEX('Price History'!H:H,MATCH(9.99E+307,'Returns (Calc)'!$A:$A)+1)-'Price History'!H3)*(ROW()-3)/(MATCH(9.99E+307,'Returns (Calc)'!$A:$A)-3),"")</f>
        <v>966.67316455696209</v>
      </c>
      <c r="AD144" s="131">
        <f>IFERROR('Price History'!I3+(INDEX('Price History'!I:I,MATCH(9.99E+307,'Returns (Calc)'!$A:$A)+1)-'Price History'!I3)*(ROW()-3)/(MATCH(9.99E+307,'Returns (Calc)'!$A:$A)-3),"")</f>
        <v>213.48759493670886</v>
      </c>
      <c r="AE144" s="131">
        <f>IFERROR('Price History'!J3+(INDEX('Price History'!J:J,MATCH(9.99E+307,'Returns (Calc)'!$A:$A)+1)-'Price History'!J3)*(ROW()-3)/(MATCH(9.99E+307,'Returns (Calc)'!$A:$A)-3),"")</f>
        <v>127.07335443037974</v>
      </c>
      <c r="AF144" s="131">
        <f>IFERROR('Price History'!K3+(INDEX('Price History'!K:K,MATCH(9.99E+307,'Returns (Calc)'!$A:$A)+1)-'Price History'!K3)*(ROW()-3)/(MATCH(9.99E+307,'Returns (Calc)'!$A:$A)-3),"")</f>
        <v>170.09088607594936</v>
      </c>
      <c r="AG144" s="131">
        <f>IFERROR('Price History'!L3+(INDEX('Price History'!L:L,MATCH(9.99E+307,'Returns (Calc)'!$A:$A)+1)-'Price History'!L3)*(ROW()-3)/(MATCH(9.99E+307,'Returns (Calc)'!$A:$A)-3),"")</f>
        <v>431.1375316455696</v>
      </c>
      <c r="AH144" s="131">
        <f>IFERROR('Price History'!M3+(INDEX('Price History'!M:M,MATCH(9.99E+307,'Returns (Calc)'!$A:$A)+1)-'Price History'!M3)*(ROW()-3)/(MATCH(9.99E+307,'Returns (Calc)'!$A:$A)-3),"")</f>
        <v>229.13746835443041</v>
      </c>
      <c r="AI144" s="131">
        <f>IFERROR('Price History'!N3+(INDEX('Price History'!N:N,MATCH(9.99E+307,'Returns (Calc)'!$A:$A)+1)-'Price History'!N3)*(ROW()-3)/(MATCH(9.99E+307,'Returns (Calc)'!$A:$A)-3),"")</f>
        <v>487.96348101265824</v>
      </c>
      <c r="AJ144" s="131">
        <f>IFERROR('Price History'!O3+(INDEX('Price History'!O:O,MATCH(9.99E+307,'Returns (Calc)'!$A:$A)+1)-'Price History'!O3)*(ROW()-3)/(MATCH(9.99E+307,'Returns (Calc)'!$A:$A)-3),"")</f>
        <v>115.21835443037975</v>
      </c>
      <c r="AK144" s="131">
        <f>IFERROR('Price History'!Q3+(INDEX('Price History'!Q:Q,MATCH(9.99E+307,'Returns (Calc)'!$A:$A)+1)-'Price History'!Q3)*(ROW()-3)/(MATCH(9.99E+307,'Returns (Calc)'!$A:$A)-3),"")</f>
        <v>61.95075949367088</v>
      </c>
      <c r="AL144" s="131">
        <f>IFERROR('Price History'!R3+(INDEX('Price History'!R:R,MATCH(9.99E+307,'Returns (Calc)'!$A:$A)+1)-'Price History'!R3)*(ROW()-3)/(MATCH(9.99E+307,'Returns (Calc)'!$A:$A)-3),"")</f>
        <v>58.182278481012659</v>
      </c>
      <c r="AM144" s="131">
        <f>IFERROR('Price History'!S3+(INDEX('Price History'!S:S,MATCH(9.99E+307,'Returns (Calc)'!$A:$A)+1)-'Price History'!S3)*(ROW()-3)/(MATCH(9.99E+307,'Returns (Calc)'!$A:$A)-3),"")</f>
        <v>142.94392405063292</v>
      </c>
      <c r="AN144" s="131">
        <f>IFERROR('Price History'!T3+(INDEX('Price History'!T:T,MATCH(9.99E+307,'Returns (Calc)'!$A:$A)+1)-'Price History'!T3)*(ROW()-3)/(MATCH(9.99E+307,'Returns (Calc)'!$A:$A)-3),"")</f>
        <v>48.960126582278477</v>
      </c>
      <c r="AO144" s="132">
        <f>IFERROR('Price History'!V3+(INDEX('Price History'!V:V,MATCH(9.99E+307,'Returns (Calc)'!$A:$A)+1)-'Price History'!V3)*(ROW()-3)/(MATCH(9.99E+307,'Returns (Calc)'!$A:$A)-3),"")</f>
        <v>347.20740506329116</v>
      </c>
      <c r="AP144" s="130">
        <f>IFERROR(IF(OR(NOT(ISNUMBER('Price History'!W145)),NOT(ISNUMBER('Price History'!W144)),'Price History'!W144=0),"",'Price History'!W145/'Price History'!W144-1),"")</f>
        <v>-5.9743231219016035E-3</v>
      </c>
      <c r="AQ144" s="130">
        <f>IFERROR(IF(OR(NOT(ISNUMBER('Price History'!X145)),NOT(ISNUMBER('Price History'!X144)),'Price History'!X144=0),"",'Price History'!X145/'Price History'!X144-1),"")</f>
        <v>2.3466051163685275E-2</v>
      </c>
      <c r="AR144" s="130">
        <f>IFERROR(IF(OR(NOT(ISNUMBER('Price History'!Y145)),NOT(ISNUMBER('Price History'!Y144)),'Price History'!Y144=0),"",'Price History'!Y145/'Price History'!Y144-1),"")</f>
        <v>-2.3971971233633926E-3</v>
      </c>
      <c r="AS144" s="130">
        <f>IFERROR(IF(OR(NOT(ISNUMBER('Price History'!Z145)),NOT(ISNUMBER('Price History'!Z144)),'Price History'!Z144=0),"",'Price History'!Z145/'Price History'!Z144-1),"")</f>
        <v>1.3081395348837122E-2</v>
      </c>
      <c r="AT144" s="130">
        <f>IFERROR(IF(OR(NOT(ISNUMBER('Price History'!AA145)),NOT(ISNUMBER('Price History'!AA144)),'Price History'!AA144=0),"",'Price History'!AA145/'Price History'!AA144-1),"")</f>
        <v>-4.4640781213671099E-2</v>
      </c>
    </row>
    <row r="145" spans="1:46" ht="15" customHeight="1" x14ac:dyDescent="0.2">
      <c r="A145" s="128">
        <f>IF('Price History'!A146="","",'Price History'!A146)</f>
        <v>46185</v>
      </c>
      <c r="B145" s="129">
        <f>IFERROR(IF(OR(NOT(ISNUMBER('Price History'!B146)),NOT(ISNUMBER('Price History'!B145)),'Price History'!B145=0),"",'Price History'!B146/'Price History'!B145-1),"")</f>
        <v>-0.18859370028635059</v>
      </c>
      <c r="C145" s="129">
        <f>IFERROR(IF(OR(NOT(ISNUMBER('Price History'!C146)),NOT(ISNUMBER('Price History'!C145)),'Price History'!C145=0),"",'Price History'!C146/'Price History'!C145-1),"")</f>
        <v>5.8144811045569345E-2</v>
      </c>
      <c r="D145" s="129">
        <f>IFERROR(IF(OR(NOT(ISNUMBER('Price History'!D146)),NOT(ISNUMBER('Price History'!D145)),'Price History'!D145=0),"",'Price History'!D146/'Price History'!D145-1),"")</f>
        <v>0.13510447542723325</v>
      </c>
      <c r="E145" s="129">
        <f>IFERROR(IF(OR(NOT(ISNUMBER('Price History'!E146)),NOT(ISNUMBER('Price History'!E145)),'Price History'!E145=0),"",'Price History'!E146/'Price History'!E145-1),"")</f>
        <v>-9.4948233702721874E-3</v>
      </c>
      <c r="F145" s="129">
        <f>IFERROR(IF(OR(NOT(ISNUMBER('Price History'!F146)),NOT(ISNUMBER('Price History'!F145)),'Price History'!F145=0),"",'Price History'!F146/'Price History'!F145-1),"")</f>
        <v>1.7525035765379116E-2</v>
      </c>
      <c r="G145" s="129">
        <f>IFERROR(IF(OR(NOT(ISNUMBER('Price History'!G146)),NOT(ISNUMBER('Price History'!G145)),'Price History'!G145=0),"",'Price History'!G146/'Price History'!G145-1),"")</f>
        <v>0.31940840685002603</v>
      </c>
      <c r="H145" s="129">
        <f>IFERROR(IF(OR(NOT(ISNUMBER('Price History'!H146)),NOT(ISNUMBER('Price History'!H145)),'Price History'!H145=0),"",'Price History'!H146/'Price History'!H145-1),"")</f>
        <v>0.13610686669444827</v>
      </c>
      <c r="I145" s="129">
        <f>IFERROR(IF(OR(NOT(ISNUMBER('Price History'!I146)),NOT(ISNUMBER('Price History'!I145)),'Price History'!I145=0),"",'Price History'!I146/'Price History'!I145-1),"")</f>
        <v>4.393029726168507E-4</v>
      </c>
      <c r="J145" s="129">
        <f>IFERROR(IF(OR(NOT(ISNUMBER('Price History'!J146)),NOT(ISNUMBER('Price History'!J145)),'Price History'!J145=0),"",'Price History'!J146/'Price History'!J145-1),"")</f>
        <v>2.9079159935379462E-2</v>
      </c>
      <c r="K145" s="129">
        <f>IFERROR(IF(OR(NOT(ISNUMBER('Price History'!K146)),NOT(ISNUMBER('Price History'!K145)),'Price History'!K145=0),"",'Price History'!K146/'Price History'!K145-1),"")</f>
        <v>-5.5633439090976178E-2</v>
      </c>
      <c r="L145" s="129">
        <f>IFERROR(IF(OR(NOT(ISNUMBER('Price History'!L146)),NOT(ISNUMBER('Price History'!L145)),'Price History'!L145=0),"",'Price History'!L146/'Price History'!L145-1),"")</f>
        <v>2.3505773560241305E-2</v>
      </c>
      <c r="M145" s="129">
        <f>IFERROR(IF(OR(NOT(ISNUMBER('Price History'!M146)),NOT(ISNUMBER('Price History'!M145)),'Price History'!M145=0),"",'Price History'!M146/'Price History'!M145-1),"")</f>
        <v>7.8569763957785366E-3</v>
      </c>
      <c r="N145" s="129">
        <f>IFERROR(IF(OR(NOT(ISNUMBER('Price History'!N146)),NOT(ISNUMBER('Price History'!N145)),'Price History'!N145=0),"",'Price History'!N146/'Price History'!N145-1),"")</f>
        <v>-4.2521764429424014E-3</v>
      </c>
      <c r="O145" s="129">
        <f>IFERROR(IF(OR(NOT(ISNUMBER('Price History'!O146)),NOT(ISNUMBER('Price History'!O145)),'Price History'!O145=0),"",'Price History'!O146/'Price History'!O145-1),"")</f>
        <v>4.2904012787078338E-2</v>
      </c>
      <c r="P145" s="129">
        <f>IFERROR(IF(OR(NOT(ISNUMBER('Price History'!P146)),NOT(ISNUMBER('Price History'!P145)),'Price History'!P145=0),"",'Price History'!P146/'Price History'!P145-1),"")</f>
        <v>2.2103060423751097E-2</v>
      </c>
      <c r="Q145" s="129">
        <f>IFERROR(IF(OR(NOT(ISNUMBER('Price History'!Q146)),NOT(ISNUMBER('Price History'!Q145)),'Price History'!Q145=0),"",'Price History'!Q146/'Price History'!Q145-1),"")</f>
        <v>4.468940861015458E-4</v>
      </c>
      <c r="R145" s="129">
        <f>IFERROR(IF(OR(NOT(ISNUMBER('Price History'!R146)),NOT(ISNUMBER('Price History'!R145)),'Price History'!R145=0),"",'Price History'!R146/'Price History'!R145-1),"")</f>
        <v>1.6312056737588732E-2</v>
      </c>
      <c r="S145" s="129">
        <f>IFERROR(IF(OR(NOT(ISNUMBER('Price History'!S146)),NOT(ISNUMBER('Price History'!S145)),'Price History'!S145=0),"",'Price History'!S146/'Price History'!S145-1),"")</f>
        <v>5.6876651369767828E-2</v>
      </c>
      <c r="T145" s="129">
        <f>IFERROR(IF(OR(NOT(ISNUMBER('Price History'!T146)),NOT(ISNUMBER('Price History'!T145)),'Price History'!T145=0),"",'Price History'!T146/'Price History'!T145-1),"")</f>
        <v>6.1055385957260455E-3</v>
      </c>
      <c r="U145" s="129">
        <f>IFERROR(IF(OR(NOT(ISNUMBER('Price History'!U146)),NOT(ISNUMBER('Price History'!U145)),'Price History'!U145=0),"",'Price History'!U146/'Price History'!U145-1),"")</f>
        <v>1.6042780748662944E-2</v>
      </c>
      <c r="V145" s="130">
        <f>IFERROR(IF(OR(NOT(ISNUMBER('Price History'!V146)),NOT(ISNUMBER('Price History'!V145)),'Price History'!V145=0),"",'Price History'!V146/'Price History'!V145-1),"")</f>
        <v>-3.6535901167291662E-3</v>
      </c>
      <c r="W145" s="131">
        <f>IFERROR('Price History'!B3+(INDEX('Price History'!B:B,MATCH(9.99E+307,'Returns (Calc)'!$A:$A)+1)-'Price History'!B3)*(ROW()-3)/(MATCH(9.99E+307,'Returns (Calc)'!$A:$A)-3),"")</f>
        <v>267.17860759493669</v>
      </c>
      <c r="X145" s="131">
        <f>IFERROR('Price History'!C3+(INDEX('Price History'!C:C,MATCH(9.99E+307,'Returns (Calc)'!$A:$A)+1)-'Price History'!C3)*(ROW()-3)/(MATCH(9.99E+307,'Returns (Calc)'!$A:$A)-3),"")</f>
        <v>191.02898734177217</v>
      </c>
      <c r="Y145" s="131">
        <f>IFERROR('Price History'!D3+(INDEX('Price History'!D:D,MATCH(9.99E+307,'Returns (Calc)'!$A:$A)+1)-'Price History'!D3)*(ROW()-3)/(MATCH(9.99E+307,'Returns (Calc)'!$A:$A)-3),"")</f>
        <v>1737.1530379746837</v>
      </c>
      <c r="Z145" s="131">
        <f>IFERROR('Price History'!E3+(INDEX('Price History'!E:E,MATCH(9.99E+307,'Returns (Calc)'!$A:$A)+1)-'Price History'!E3)*(ROW()-3)/(MATCH(9.99E+307,'Returns (Calc)'!$A:$A)-3),"")</f>
        <v>327.48025316455698</v>
      </c>
      <c r="AA145" s="131">
        <f>IFERROR('Price History'!F3+(INDEX('Price History'!F:F,MATCH(9.99E+307,'Returns (Calc)'!$A:$A)+1)-'Price History'!F3)*(ROW()-3)/(MATCH(9.99E+307,'Returns (Calc)'!$A:$A)-3),"")</f>
        <v>246.8825316455696</v>
      </c>
      <c r="AB145" s="131">
        <f>IFERROR('Price History'!G3+(INDEX('Price History'!G:G,MATCH(9.99E+307,'Returns (Calc)'!$A:$A)+1)-'Price History'!G3)*(ROW()-3)/(MATCH(9.99E+307,'Returns (Calc)'!$A:$A)-3),"")</f>
        <v>190.43025316455694</v>
      </c>
      <c r="AC145" s="131">
        <f>IFERROR('Price History'!H3+(INDEX('Price History'!H:H,MATCH(9.99E+307,'Returns (Calc)'!$A:$A)+1)-'Price History'!H3)*(ROW()-3)/(MATCH(9.99E+307,'Returns (Calc)'!$A:$A)-3),"")</f>
        <v>973.03886075949379</v>
      </c>
      <c r="AD145" s="131">
        <f>IFERROR('Price History'!I3+(INDEX('Price History'!I:I,MATCH(9.99E+307,'Returns (Calc)'!$A:$A)+1)-'Price History'!I3)*(ROW()-3)/(MATCH(9.99E+307,'Returns (Calc)'!$A:$A)-3),"")</f>
        <v>214.6912658227848</v>
      </c>
      <c r="AE145" s="131">
        <f>IFERROR('Price History'!J3+(INDEX('Price History'!J:J,MATCH(9.99E+307,'Returns (Calc)'!$A:$A)+1)-'Price History'!J3)*(ROW()-3)/(MATCH(9.99E+307,'Returns (Calc)'!$A:$A)-3),"")</f>
        <v>127.18139240506329</v>
      </c>
      <c r="AF145" s="131">
        <f>IFERROR('Price History'!K3+(INDEX('Price History'!K:K,MATCH(9.99E+307,'Returns (Calc)'!$A:$A)+1)-'Price History'!K3)*(ROW()-3)/(MATCH(9.99E+307,'Returns (Calc)'!$A:$A)-3),"")</f>
        <v>171.18848101265823</v>
      </c>
      <c r="AG145" s="131">
        <f>IFERROR('Price History'!L3+(INDEX('Price History'!L:L,MATCH(9.99E+307,'Returns (Calc)'!$A:$A)+1)-'Price History'!L3)*(ROW()-3)/(MATCH(9.99E+307,'Returns (Calc)'!$A:$A)-3),"")</f>
        <v>433.58708860759492</v>
      </c>
      <c r="AH145" s="131">
        <f>IFERROR('Price History'!M3+(INDEX('Price History'!M:M,MATCH(9.99E+307,'Returns (Calc)'!$A:$A)+1)-'Price History'!M3)*(ROW()-3)/(MATCH(9.99E+307,'Returns (Calc)'!$A:$A)-3),"")</f>
        <v>230.49291139240509</v>
      </c>
      <c r="AI145" s="131">
        <f>IFERROR('Price History'!N3+(INDEX('Price History'!N:N,MATCH(9.99E+307,'Returns (Calc)'!$A:$A)+1)-'Price History'!N3)*(ROW()-3)/(MATCH(9.99E+307,'Returns (Calc)'!$A:$A)-3),"")</f>
        <v>488.94974683544308</v>
      </c>
      <c r="AJ145" s="131">
        <f>IFERROR('Price History'!O3+(INDEX('Price History'!O:O,MATCH(9.99E+307,'Returns (Calc)'!$A:$A)+1)-'Price History'!O3)*(ROW()-3)/(MATCH(9.99E+307,'Returns (Calc)'!$A:$A)-3),"")</f>
        <v>115.50139240506329</v>
      </c>
      <c r="AK145" s="131">
        <f>IFERROR('Price History'!Q3+(INDEX('Price History'!Q:Q,MATCH(9.99E+307,'Returns (Calc)'!$A:$A)+1)-'Price History'!Q3)*(ROW()-3)/(MATCH(9.99E+307,'Returns (Calc)'!$A:$A)-3),"")</f>
        <v>62.390126582278477</v>
      </c>
      <c r="AL145" s="131">
        <f>IFERROR('Price History'!R3+(INDEX('Price History'!R:R,MATCH(9.99E+307,'Returns (Calc)'!$A:$A)+1)-'Price History'!R3)*(ROW()-3)/(MATCH(9.99E+307,'Returns (Calc)'!$A:$A)-3),"")</f>
        <v>58.350379746835443</v>
      </c>
      <c r="AM145" s="131">
        <f>IFERROR('Price History'!S3+(INDEX('Price History'!S:S,MATCH(9.99E+307,'Returns (Calc)'!$A:$A)+1)-'Price History'!S3)*(ROW()-3)/(MATCH(9.99E+307,'Returns (Calc)'!$A:$A)-3),"")</f>
        <v>143.54898734177215</v>
      </c>
      <c r="AN145" s="131">
        <f>IFERROR('Price History'!T3+(INDEX('Price History'!T:T,MATCH(9.99E+307,'Returns (Calc)'!$A:$A)+1)-'Price History'!T3)*(ROW()-3)/(MATCH(9.99E+307,'Returns (Calc)'!$A:$A)-3),"")</f>
        <v>49.128354430379744</v>
      </c>
      <c r="AO145" s="132">
        <f>IFERROR('Price History'!V3+(INDEX('Price History'!V:V,MATCH(9.99E+307,'Returns (Calc)'!$A:$A)+1)-'Price History'!V3)*(ROW()-3)/(MATCH(9.99E+307,'Returns (Calc)'!$A:$A)-3),"")</f>
        <v>347.99873417721523</v>
      </c>
      <c r="AP145" s="130">
        <f>IFERROR(IF(OR(NOT(ISNUMBER('Price History'!W146)),NOT(ISNUMBER('Price History'!W145)),'Price History'!W145=0),"",'Price History'!W146/'Price History'!W145-1),"")</f>
        <v>1.3171355498721171E-2</v>
      </c>
      <c r="AQ145" s="130">
        <f>IFERROR(IF(OR(NOT(ISNUMBER('Price History'!X146)),NOT(ISNUMBER('Price History'!X145)),'Price History'!X145=0),"",'Price History'!X146/'Price History'!X145-1),"")</f>
        <v>6.389776357827337E-3</v>
      </c>
      <c r="AR145" s="130">
        <f>IFERROR(IF(OR(NOT(ISNUMBER('Price History'!Y146)),NOT(ISNUMBER('Price History'!Y145)),'Price History'!Y145=0),"",'Price History'!Y146/'Price History'!Y145-1),"")</f>
        <v>9.4269870609982043E-3</v>
      </c>
      <c r="AS145" s="130">
        <f>IFERROR(IF(OR(NOT(ISNUMBER('Price History'!Z146)),NOT(ISNUMBER('Price History'!Z145)),'Price History'!Z145=0),"",'Price History'!Z146/'Price History'!Z145-1),"")</f>
        <v>2.2253426539271759E-2</v>
      </c>
      <c r="AT145" s="130">
        <f>IFERROR(IF(OR(NOT(ISNUMBER('Price History'!AA146)),NOT(ISNUMBER('Price History'!AA145)),'Price History'!AA145=0),"",'Price History'!AA146/'Price History'!AA145-1),"")</f>
        <v>-2.2389875882209864E-2</v>
      </c>
    </row>
    <row r="146" spans="1:46" ht="15" customHeight="1" x14ac:dyDescent="0.2">
      <c r="A146" s="128">
        <f>IF('Price History'!A147="","",'Price History'!A147)</f>
        <v>46192</v>
      </c>
      <c r="B146" s="129">
        <f>IFERROR(IF(OR(NOT(ISNUMBER('Price History'!B147)),NOT(ISNUMBER('Price History'!B146)),'Price History'!B146=0),"",'Price History'!B147/'Price History'!B146-1),"")</f>
        <v>-4.3427114988726645E-2</v>
      </c>
      <c r="C146" s="129">
        <f>IFERROR(IF(OR(NOT(ISNUMBER('Price History'!C147)),NOT(ISNUMBER('Price History'!C146)),'Price History'!C146=0),"",'Price History'!C147/'Price History'!C146-1),"")</f>
        <v>3.9389855427591103E-2</v>
      </c>
      <c r="D146" s="129">
        <f>IFERROR(IF(OR(NOT(ISNUMBER('Price History'!D147)),NOT(ISNUMBER('Price History'!D146)),'Price History'!D146=0),"",'Price History'!D147/'Price History'!D146-1),"")</f>
        <v>3.5489001364754857E-2</v>
      </c>
      <c r="E146" s="129">
        <f>IFERROR(IF(OR(NOT(ISNUMBER('Price History'!E147)),NOT(ISNUMBER('Price History'!E146)),'Price History'!E146=0),"",'Price History'!E147/'Price History'!E146-1),"")</f>
        <v>7.6634188617800802E-2</v>
      </c>
      <c r="F146" s="129">
        <f>IFERROR(IF(OR(NOT(ISNUMBER('Price History'!F147)),NOT(ISNUMBER('Price History'!F146)),'Price History'!F146=0),"",'Price History'!F147/'Price History'!F146-1),"")</f>
        <v>2.9876977152900608E-3</v>
      </c>
      <c r="G146" s="129">
        <f>IFERROR(IF(OR(NOT(ISNUMBER('Price History'!G147)),NOT(ISNUMBER('Price History'!G146)),'Price History'!G146=0),"",'Price History'!G147/'Price History'!G146-1),"")</f>
        <v>1.9744346116027378E-2</v>
      </c>
      <c r="H146" s="129">
        <f>IFERROR(IF(OR(NOT(ISNUMBER('Price History'!H147)),NOT(ISNUMBER('Price History'!H146)),'Price History'!H146=0),"",'Price History'!H147/'Price History'!H146-1),"")</f>
        <v>0.15523811464552795</v>
      </c>
      <c r="I146" s="129">
        <f>IFERROR(IF(OR(NOT(ISNUMBER('Price History'!I147)),NOT(ISNUMBER('Price History'!I146)),'Price History'!I146=0),"",'Price History'!I147/'Price History'!I146-1),"")</f>
        <v>2.6785714285714191E-2</v>
      </c>
      <c r="J146" s="129">
        <f>IFERROR(IF(OR(NOT(ISNUMBER('Price History'!J147)),NOT(ISNUMBER('Price History'!J146)),'Price History'!J146=0),"",'Price History'!J147/'Price History'!J146-1),"")</f>
        <v>-4.8324346460992373E-2</v>
      </c>
      <c r="K146" s="129">
        <f>IFERROR(IF(OR(NOT(ISNUMBER('Price History'!K147)),NOT(ISNUMBER('Price History'!K146)),'Price History'!K146=0),"",'Price History'!K147/'Price History'!K146-1),"")</f>
        <v>3.7502929916399808E-3</v>
      </c>
      <c r="L146" s="129">
        <f>IFERROR(IF(OR(NOT(ISNUMBER('Price History'!L147)),NOT(ISNUMBER('Price History'!L146)),'Price History'!L146=0),"",'Price History'!L147/'Price History'!L146-1),"")</f>
        <v>9.0066225165562841E-2</v>
      </c>
      <c r="M146" s="129">
        <f>IFERROR(IF(OR(NOT(ISNUMBER('Price History'!M147)),NOT(ISNUMBER('Price History'!M146)),'Price History'!M146=0),"",'Price History'!M147/'Price History'!M146-1),"")</f>
        <v>9.9890991973045296E-2</v>
      </c>
      <c r="N146" s="129">
        <f>IFERROR(IF(OR(NOT(ISNUMBER('Price History'!N147)),NOT(ISNUMBER('Price History'!N146)),'Price History'!N146=0),"",'Price History'!N147/'Price History'!N146-1),"")</f>
        <v>1.5058548535724636E-2</v>
      </c>
      <c r="O146" s="129">
        <f>IFERROR(IF(OR(NOT(ISNUMBER('Price History'!O147)),NOT(ISNUMBER('Price History'!O146)),'Price History'!O146=0),"",'Price History'!O147/'Price History'!O146-1),"")</f>
        <v>-1.9117528434298703E-2</v>
      </c>
      <c r="P146" s="129">
        <f>IFERROR(IF(OR(NOT(ISNUMBER('Price History'!P147)),NOT(ISNUMBER('Price History'!P146)),'Price History'!P146=0),"",'Price History'!P147/'Price History'!P146-1),"")</f>
        <v>-2.7191298784388973E-2</v>
      </c>
      <c r="Q146" s="129">
        <f>IFERROR(IF(OR(NOT(ISNUMBER('Price History'!Q147)),NOT(ISNUMBER('Price History'!Q146)),'Price History'!Q146=0),"",'Price History'!Q147/'Price History'!Q146-1),"")</f>
        <v>8.3382966051221974E-3</v>
      </c>
      <c r="R146" s="129">
        <f>IFERROR(IF(OR(NOT(ISNUMBER('Price History'!R147)),NOT(ISNUMBER('Price History'!R146)),'Price History'!R146=0),"",'Price History'!R147/'Price History'!R146-1),"")</f>
        <v>2.4773203070481475E-2</v>
      </c>
      <c r="S146" s="129">
        <f>IFERROR(IF(OR(NOT(ISNUMBER('Price History'!S147)),NOT(ISNUMBER('Price History'!S146)),'Price History'!S146=0),"",'Price History'!S147/'Price History'!S146-1),"")</f>
        <v>4.8618421052631478E-2</v>
      </c>
      <c r="T146" s="129">
        <f>IFERROR(IF(OR(NOT(ISNUMBER('Price History'!T147)),NOT(ISNUMBER('Price History'!T146)),'Price History'!T146=0),"",'Price History'!T147/'Price History'!T146-1),"")</f>
        <v>-2.232336367576937E-2</v>
      </c>
      <c r="U146" s="129">
        <f>IFERROR(IF(OR(NOT(ISNUMBER('Price History'!U147)),NOT(ISNUMBER('Price History'!U146)),'Price History'!U146=0),"",'Price History'!U147/'Price History'!U146-1),"")</f>
        <v>-2.9102167182662453E-2</v>
      </c>
      <c r="V146" s="130">
        <f>IFERROR(IF(OR(NOT(ISNUMBER('Price History'!V147)),NOT(ISNUMBER('Price History'!V146)),'Price History'!V146=0),"",'Price History'!V147/'Price History'!V146-1),"")</f>
        <v>1.5040865160508288E-2</v>
      </c>
      <c r="W146" s="131">
        <f>IFERROR('Price History'!B3+(INDEX('Price History'!B:B,MATCH(9.99E+307,'Returns (Calc)'!$A:$A)+1)-'Price History'!B3)*(ROW()-3)/(MATCH(9.99E+307,'Returns (Calc)'!$A:$A)-3),"")</f>
        <v>265.33556962025318</v>
      </c>
      <c r="X146" s="131">
        <f>IFERROR('Price History'!C3+(INDEX('Price History'!C:C,MATCH(9.99E+307,'Returns (Calc)'!$A:$A)+1)-'Price History'!C3)*(ROW()-3)/(MATCH(9.99E+307,'Returns (Calc)'!$A:$A)-3),"")</f>
        <v>192.04905063291139</v>
      </c>
      <c r="Y146" s="131">
        <f>IFERROR('Price History'!D3+(INDEX('Price History'!D:D,MATCH(9.99E+307,'Returns (Calc)'!$A:$A)+1)-'Price History'!D3)*(ROW()-3)/(MATCH(9.99E+307,'Returns (Calc)'!$A:$A)-3),"")</f>
        <v>1745.2878481012658</v>
      </c>
      <c r="Z146" s="131">
        <f>IFERROR('Price History'!E3+(INDEX('Price History'!E:E,MATCH(9.99E+307,'Returns (Calc)'!$A:$A)+1)-'Price History'!E3)*(ROW()-3)/(MATCH(9.99E+307,'Returns (Calc)'!$A:$A)-3),"")</f>
        <v>329.20898734177217</v>
      </c>
      <c r="AA146" s="131">
        <f>IFERROR('Price History'!F3+(INDEX('Price History'!F:F,MATCH(9.99E+307,'Returns (Calc)'!$A:$A)+1)-'Price History'!F3)*(ROW()-3)/(MATCH(9.99E+307,'Returns (Calc)'!$A:$A)-3),"")</f>
        <v>248.3298734177215</v>
      </c>
      <c r="AB146" s="131">
        <f>IFERROR('Price History'!G3+(INDEX('Price History'!G:G,MATCH(9.99E+307,'Returns (Calc)'!$A:$A)+1)-'Price History'!G3)*(ROW()-3)/(MATCH(9.99E+307,'Returns (Calc)'!$A:$A)-3),"")</f>
        <v>191.45898734177214</v>
      </c>
      <c r="AC146" s="131">
        <f>IFERROR('Price History'!H3+(INDEX('Price History'!H:H,MATCH(9.99E+307,'Returns (Calc)'!$A:$A)+1)-'Price History'!H3)*(ROW()-3)/(MATCH(9.99E+307,'Returns (Calc)'!$A:$A)-3),"")</f>
        <v>979.40455696202537</v>
      </c>
      <c r="AD146" s="131">
        <f>IFERROR('Price History'!I3+(INDEX('Price History'!I:I,MATCH(9.99E+307,'Returns (Calc)'!$A:$A)+1)-'Price History'!I3)*(ROW()-3)/(MATCH(9.99E+307,'Returns (Calc)'!$A:$A)-3),"")</f>
        <v>215.89493670886077</v>
      </c>
      <c r="AE146" s="131">
        <f>IFERROR('Price History'!J3+(INDEX('Price History'!J:J,MATCH(9.99E+307,'Returns (Calc)'!$A:$A)+1)-'Price History'!J3)*(ROW()-3)/(MATCH(9.99E+307,'Returns (Calc)'!$A:$A)-3),"")</f>
        <v>127.28943037974683</v>
      </c>
      <c r="AF146" s="131">
        <f>IFERROR('Price History'!K3+(INDEX('Price History'!K:K,MATCH(9.99E+307,'Returns (Calc)'!$A:$A)+1)-'Price History'!K3)*(ROW()-3)/(MATCH(9.99E+307,'Returns (Calc)'!$A:$A)-3),"")</f>
        <v>172.28607594936707</v>
      </c>
      <c r="AG146" s="131">
        <f>IFERROR('Price History'!L3+(INDEX('Price History'!L:L,MATCH(9.99E+307,'Returns (Calc)'!$A:$A)+1)-'Price History'!L3)*(ROW()-3)/(MATCH(9.99E+307,'Returns (Calc)'!$A:$A)-3),"")</f>
        <v>436.03664556962019</v>
      </c>
      <c r="AH146" s="131">
        <f>IFERROR('Price History'!M3+(INDEX('Price History'!M:M,MATCH(9.99E+307,'Returns (Calc)'!$A:$A)+1)-'Price History'!M3)*(ROW()-3)/(MATCH(9.99E+307,'Returns (Calc)'!$A:$A)-3),"")</f>
        <v>231.84835443037977</v>
      </c>
      <c r="AI146" s="131">
        <f>IFERROR('Price History'!N3+(INDEX('Price History'!N:N,MATCH(9.99E+307,'Returns (Calc)'!$A:$A)+1)-'Price History'!N3)*(ROW()-3)/(MATCH(9.99E+307,'Returns (Calc)'!$A:$A)-3),"")</f>
        <v>489.93601265822787</v>
      </c>
      <c r="AJ146" s="131">
        <f>IFERROR('Price History'!O3+(INDEX('Price History'!O:O,MATCH(9.99E+307,'Returns (Calc)'!$A:$A)+1)-'Price History'!O3)*(ROW()-3)/(MATCH(9.99E+307,'Returns (Calc)'!$A:$A)-3),"")</f>
        <v>115.78443037974684</v>
      </c>
      <c r="AK146" s="131">
        <f>IFERROR('Price History'!Q3+(INDEX('Price History'!Q:Q,MATCH(9.99E+307,'Returns (Calc)'!$A:$A)+1)-'Price History'!Q3)*(ROW()-3)/(MATCH(9.99E+307,'Returns (Calc)'!$A:$A)-3),"")</f>
        <v>62.829493670886073</v>
      </c>
      <c r="AL146" s="131">
        <f>IFERROR('Price History'!R3+(INDEX('Price History'!R:R,MATCH(9.99E+307,'Returns (Calc)'!$A:$A)+1)-'Price History'!R3)*(ROW()-3)/(MATCH(9.99E+307,'Returns (Calc)'!$A:$A)-3),"")</f>
        <v>58.518481012658228</v>
      </c>
      <c r="AM146" s="131">
        <f>IFERROR('Price History'!S3+(INDEX('Price History'!S:S,MATCH(9.99E+307,'Returns (Calc)'!$A:$A)+1)-'Price History'!S3)*(ROW()-3)/(MATCH(9.99E+307,'Returns (Calc)'!$A:$A)-3),"")</f>
        <v>144.15405063291138</v>
      </c>
      <c r="AN146" s="131">
        <f>IFERROR('Price History'!T3+(INDEX('Price History'!T:T,MATCH(9.99E+307,'Returns (Calc)'!$A:$A)+1)-'Price History'!T3)*(ROW()-3)/(MATCH(9.99E+307,'Returns (Calc)'!$A:$A)-3),"")</f>
        <v>49.296582278481011</v>
      </c>
      <c r="AO146" s="132">
        <f>IFERROR('Price History'!V3+(INDEX('Price History'!V:V,MATCH(9.99E+307,'Returns (Calc)'!$A:$A)+1)-'Price History'!V3)*(ROW()-3)/(MATCH(9.99E+307,'Returns (Calc)'!$A:$A)-3),"")</f>
        <v>348.79006329113929</v>
      </c>
      <c r="AP146" s="130">
        <f>IFERROR(IF(OR(NOT(ISNUMBER('Price History'!W147)),NOT(ISNUMBER('Price History'!W146)),'Price History'!W146=0),"",'Price History'!W147/'Price History'!W146-1),"")</f>
        <v>-7.068029786696961E-3</v>
      </c>
      <c r="AQ146" s="130">
        <f>IFERROR(IF(OR(NOT(ISNUMBER('Price History'!X147)),NOT(ISNUMBER('Price History'!X146)),'Price History'!X146=0),"",'Price History'!X147/'Price History'!X146-1),"")</f>
        <v>-2.2035480859010304E-2</v>
      </c>
      <c r="AR146" s="130">
        <f>IFERROR(IF(OR(NOT(ISNUMBER('Price History'!Y147)),NOT(ISNUMBER('Price History'!Y146)),'Price History'!Y146=0),"",'Price History'!Y147/'Price History'!Y146-1),"")</f>
        <v>1.0986998718183205E-3</v>
      </c>
      <c r="AS146" s="130">
        <f>IFERROR(IF(OR(NOT(ISNUMBER('Price History'!Z147)),NOT(ISNUMBER('Price History'!Z146)),'Price History'!Z146=0),"",'Price History'!Z147/'Price History'!Z146-1),"")</f>
        <v>6.6620879120879106E-2</v>
      </c>
      <c r="AT146" s="130">
        <f>IFERROR(IF(OR(NOT(ISNUMBER('Price History'!AA147)),NOT(ISNUMBER('Price History'!AA146)),'Price History'!AA146=0),"",'Price History'!AA147/'Price History'!AA146-1),"")</f>
        <v>-3.6843415484192232E-2</v>
      </c>
    </row>
    <row r="147" spans="1:46" ht="15" customHeight="1" x14ac:dyDescent="0.2">
      <c r="A147" s="128">
        <f>IF('Price History'!A148="","",'Price History'!A148)</f>
        <v>46199</v>
      </c>
      <c r="B147" s="129">
        <f>IFERROR(IF(OR(NOT(ISNUMBER('Price History'!B148)),NOT(ISNUMBER('Price History'!B147)),'Price History'!B147=0),"",'Price History'!B148/'Price History'!B147-1),"")</f>
        <v>3.8788686206189693E-2</v>
      </c>
      <c r="C147" s="129">
        <f>IFERROR(IF(OR(NOT(ISNUMBER('Price History'!C148)),NOT(ISNUMBER('Price History'!C147)),'Price History'!C147=0),"",'Price History'!C148/'Price History'!C147-1),"")</f>
        <v>-7.1138091589556196E-2</v>
      </c>
      <c r="D147" s="129">
        <f>IFERROR(IF(OR(NOT(ISNUMBER('Price History'!D148)),NOT(ISNUMBER('Price History'!D147)),'Price History'!D147=0),"",'Price History'!D148/'Price History'!D147-1),"")</f>
        <v>-6.9993098760371408E-2</v>
      </c>
      <c r="E147" s="129">
        <f>IFERROR(IF(OR(NOT(ISNUMBER('Price History'!E148)),NOT(ISNUMBER('Price History'!E147)),'Price History'!E147=0),"",'Price History'!E148/'Price History'!E147-1),"")</f>
        <v>-0.11120868398585193</v>
      </c>
      <c r="F147" s="129">
        <f>IFERROR(IF(OR(NOT(ISNUMBER('Price History'!F148)),NOT(ISNUMBER('Price History'!F147)),'Price History'!F147=0),"",'Price History'!F148/'Price History'!F147-1),"")</f>
        <v>2.3713568132702534E-2</v>
      </c>
      <c r="G147" s="129">
        <f>IFERROR(IF(OR(NOT(ISNUMBER('Price History'!G148)),NOT(ISNUMBER('Price History'!G147)),'Price History'!G147=0),"",'Price History'!G148/'Price History'!G147-1),"")</f>
        <v>-4.2079685270181577E-2</v>
      </c>
      <c r="H147" s="129">
        <f>IFERROR(IF(OR(NOT(ISNUMBER('Price History'!H148)),NOT(ISNUMBER('Price History'!H147)),'Price History'!H147=0),"",'Price History'!H148/'Price History'!H147-1),"")</f>
        <v>-1.4640771903827732E-3</v>
      </c>
      <c r="I147" s="129">
        <f>IFERROR(IF(OR(NOT(ISNUMBER('Price History'!I148)),NOT(ISNUMBER('Price History'!I147)),'Price History'!I147=0),"",'Price History'!I148/'Price History'!I147-1),"")</f>
        <v>-8.6196246139225385E-2</v>
      </c>
      <c r="J147" s="129">
        <f>IFERROR(IF(OR(NOT(ISNUMBER('Price History'!J148)),NOT(ISNUMBER('Price History'!J147)),'Price History'!J147=0),"",'Price History'!J148/'Price History'!J147-1),"")</f>
        <v>-4.0163522914724581E-3</v>
      </c>
      <c r="K147" s="129">
        <f>IFERROR(IF(OR(NOT(ISNUMBER('Price History'!K148)),NOT(ISNUMBER('Price History'!K147)),'Price History'!K147=0),"",'Price History'!K148/'Price History'!K147-1),"")</f>
        <v>-0.12096209231727251</v>
      </c>
      <c r="L147" s="129">
        <f>IFERROR(IF(OR(NOT(ISNUMBER('Price History'!L148)),NOT(ISNUMBER('Price History'!L147)),'Price History'!L147=0),"",'Price History'!L148/'Price History'!L147-1),"")</f>
        <v>-6.4420239541746249E-2</v>
      </c>
      <c r="M147" s="129">
        <f>IFERROR(IF(OR(NOT(ISNUMBER('Price History'!M148)),NOT(ISNUMBER('Price History'!M147)),'Price History'!M147=0),"",'Price History'!M148/'Price History'!M147-1),"")</f>
        <v>-8.7365228098627568E-2</v>
      </c>
      <c r="N147" s="129">
        <f>IFERROR(IF(OR(NOT(ISNUMBER('Price History'!N148)),NOT(ISNUMBER('Price History'!N147)),'Price History'!N147=0),"",'Price History'!N148/'Price History'!N147-1),"")</f>
        <v>8.7925957088767381E-2</v>
      </c>
      <c r="O147" s="129">
        <f>IFERROR(IF(OR(NOT(ISNUMBER('Price History'!O148)),NOT(ISNUMBER('Price History'!O147)),'Price History'!O147=0),"",'Price History'!O148/'Price History'!O147-1),"")</f>
        <v>2.409539473684208E-2</v>
      </c>
      <c r="P147" s="129">
        <f>IFERROR(IF(OR(NOT(ISNUMBER('Price History'!P148)),NOT(ISNUMBER('Price History'!P147)),'Price History'!P147=0),"",'Price History'!P148/'Price History'!P147-1),"")</f>
        <v>3.1700098651759268E-2</v>
      </c>
      <c r="Q147" s="129">
        <f>IFERROR(IF(OR(NOT(ISNUMBER('Price History'!Q148)),NOT(ISNUMBER('Price History'!Q147)),'Price History'!Q147=0),"",'Price History'!Q148/'Price History'!Q147-1),"")</f>
        <v>-1.0779681039574829E-2</v>
      </c>
      <c r="R147" s="129">
        <f>IFERROR(IF(OR(NOT(ISNUMBER('Price History'!R148)),NOT(ISNUMBER('Price History'!R147)),'Price History'!R147=0),"",'Price History'!R148/'Price History'!R147-1),"")</f>
        <v>-3.1324480762683016E-2</v>
      </c>
      <c r="S147" s="129">
        <f>IFERROR(IF(OR(NOT(ISNUMBER('Price History'!S148)),NOT(ISNUMBER('Price History'!S147)),'Price History'!S147=0),"",'Price History'!S148/'Price History'!S147-1),"")</f>
        <v>-3.4130121086642817E-2</v>
      </c>
      <c r="T147" s="129">
        <f>IFERROR(IF(OR(NOT(ISNUMBER('Price History'!T148)),NOT(ISNUMBER('Price History'!T147)),'Price History'!T147=0),"",'Price History'!T148/'Price History'!T147-1),"")</f>
        <v>2.0616271336732384E-2</v>
      </c>
      <c r="U147" s="129">
        <f>IFERROR(IF(OR(NOT(ISNUMBER('Price History'!U148)),NOT(ISNUMBER('Price History'!U147)),'Price History'!U147=0),"",'Price History'!U148/'Price History'!U147-1),"")</f>
        <v>1.5306122448979664E-2</v>
      </c>
      <c r="V147" s="130">
        <f>IFERROR(IF(OR(NOT(ISNUMBER('Price History'!V148)),NOT(ISNUMBER('Price History'!V147)),'Price History'!V147=0),"",'Price History'!V148/'Price History'!V147-1),"")</f>
        <v>2.7492881854085827E-2</v>
      </c>
      <c r="W147" s="131">
        <f>IFERROR('Price History'!B3+(INDEX('Price History'!B:B,MATCH(9.99E+307,'Returns (Calc)'!$A:$A)+1)-'Price History'!B3)*(ROW()-3)/(MATCH(9.99E+307,'Returns (Calc)'!$A:$A)-3),"")</f>
        <v>263.49253164556961</v>
      </c>
      <c r="X147" s="131">
        <f>IFERROR('Price History'!C3+(INDEX('Price History'!C:C,MATCH(9.99E+307,'Returns (Calc)'!$A:$A)+1)-'Price History'!C3)*(ROW()-3)/(MATCH(9.99E+307,'Returns (Calc)'!$A:$A)-3),"")</f>
        <v>193.06911392405064</v>
      </c>
      <c r="Y147" s="131">
        <f>IFERROR('Price History'!D3+(INDEX('Price History'!D:D,MATCH(9.99E+307,'Returns (Calc)'!$A:$A)+1)-'Price History'!D3)*(ROW()-3)/(MATCH(9.99E+307,'Returns (Calc)'!$A:$A)-3),"")</f>
        <v>1753.4226582278479</v>
      </c>
      <c r="Z147" s="131">
        <f>IFERROR('Price History'!E3+(INDEX('Price History'!E:E,MATCH(9.99E+307,'Returns (Calc)'!$A:$A)+1)-'Price History'!E3)*(ROW()-3)/(MATCH(9.99E+307,'Returns (Calc)'!$A:$A)-3),"")</f>
        <v>330.93772151898736</v>
      </c>
      <c r="AA147" s="131">
        <f>IFERROR('Price History'!F3+(INDEX('Price History'!F:F,MATCH(9.99E+307,'Returns (Calc)'!$A:$A)+1)-'Price History'!F3)*(ROW()-3)/(MATCH(9.99E+307,'Returns (Calc)'!$A:$A)-3),"")</f>
        <v>249.7772151898734</v>
      </c>
      <c r="AB147" s="131">
        <f>IFERROR('Price History'!G3+(INDEX('Price History'!G:G,MATCH(9.99E+307,'Returns (Calc)'!$A:$A)+1)-'Price History'!G3)*(ROW()-3)/(MATCH(9.99E+307,'Returns (Calc)'!$A:$A)-3),"")</f>
        <v>192.48772151898731</v>
      </c>
      <c r="AC147" s="131">
        <f>IFERROR('Price History'!H3+(INDEX('Price History'!H:H,MATCH(9.99E+307,'Returns (Calc)'!$A:$A)+1)-'Price History'!H3)*(ROW()-3)/(MATCH(9.99E+307,'Returns (Calc)'!$A:$A)-3),"")</f>
        <v>985.77025316455706</v>
      </c>
      <c r="AD147" s="131">
        <f>IFERROR('Price History'!I3+(INDEX('Price History'!I:I,MATCH(9.99E+307,'Returns (Calc)'!$A:$A)+1)-'Price History'!I3)*(ROW()-3)/(MATCH(9.99E+307,'Returns (Calc)'!$A:$A)-3),"")</f>
        <v>217.09860759493671</v>
      </c>
      <c r="AE147" s="131">
        <f>IFERROR('Price History'!J3+(INDEX('Price History'!J:J,MATCH(9.99E+307,'Returns (Calc)'!$A:$A)+1)-'Price History'!J3)*(ROW()-3)/(MATCH(9.99E+307,'Returns (Calc)'!$A:$A)-3),"")</f>
        <v>127.39746835443037</v>
      </c>
      <c r="AF147" s="131">
        <f>IFERROR('Price History'!K3+(INDEX('Price History'!K:K,MATCH(9.99E+307,'Returns (Calc)'!$A:$A)+1)-'Price History'!K3)*(ROW()-3)/(MATCH(9.99E+307,'Returns (Calc)'!$A:$A)-3),"")</f>
        <v>173.38367088607595</v>
      </c>
      <c r="AG147" s="131">
        <f>IFERROR('Price History'!L3+(INDEX('Price History'!L:L,MATCH(9.99E+307,'Returns (Calc)'!$A:$A)+1)-'Price History'!L3)*(ROW()-3)/(MATCH(9.99E+307,'Returns (Calc)'!$A:$A)-3),"")</f>
        <v>438.48620253164552</v>
      </c>
      <c r="AH147" s="131">
        <f>IFERROR('Price History'!M3+(INDEX('Price History'!M:M,MATCH(9.99E+307,'Returns (Calc)'!$A:$A)+1)-'Price History'!M3)*(ROW()-3)/(MATCH(9.99E+307,'Returns (Calc)'!$A:$A)-3),"")</f>
        <v>233.20379746835445</v>
      </c>
      <c r="AI147" s="131">
        <f>IFERROR('Price History'!N3+(INDEX('Price History'!N:N,MATCH(9.99E+307,'Returns (Calc)'!$A:$A)+1)-'Price History'!N3)*(ROW()-3)/(MATCH(9.99E+307,'Returns (Calc)'!$A:$A)-3),"")</f>
        <v>490.92227848101265</v>
      </c>
      <c r="AJ147" s="131">
        <f>IFERROR('Price History'!O3+(INDEX('Price History'!O:O,MATCH(9.99E+307,'Returns (Calc)'!$A:$A)+1)-'Price History'!O3)*(ROW()-3)/(MATCH(9.99E+307,'Returns (Calc)'!$A:$A)-3),"")</f>
        <v>116.06746835443039</v>
      </c>
      <c r="AK147" s="131">
        <f>IFERROR('Price History'!Q3+(INDEX('Price History'!Q:Q,MATCH(9.99E+307,'Returns (Calc)'!$A:$A)+1)-'Price History'!Q3)*(ROW()-3)/(MATCH(9.99E+307,'Returns (Calc)'!$A:$A)-3),"")</f>
        <v>63.26886075949367</v>
      </c>
      <c r="AL147" s="131">
        <f>IFERROR('Price History'!R3+(INDEX('Price History'!R:R,MATCH(9.99E+307,'Returns (Calc)'!$A:$A)+1)-'Price History'!R3)*(ROW()-3)/(MATCH(9.99E+307,'Returns (Calc)'!$A:$A)-3),"")</f>
        <v>58.686582278481012</v>
      </c>
      <c r="AM147" s="131">
        <f>IFERROR('Price History'!S3+(INDEX('Price History'!S:S,MATCH(9.99E+307,'Returns (Calc)'!$A:$A)+1)-'Price History'!S3)*(ROW()-3)/(MATCH(9.99E+307,'Returns (Calc)'!$A:$A)-3),"")</f>
        <v>144.75911392405064</v>
      </c>
      <c r="AN147" s="131">
        <f>IFERROR('Price History'!T3+(INDEX('Price History'!T:T,MATCH(9.99E+307,'Returns (Calc)'!$A:$A)+1)-'Price History'!T3)*(ROW()-3)/(MATCH(9.99E+307,'Returns (Calc)'!$A:$A)-3),"")</f>
        <v>49.464810126582279</v>
      </c>
      <c r="AO147" s="132">
        <f>IFERROR('Price History'!V3+(INDEX('Price History'!V:V,MATCH(9.99E+307,'Returns (Calc)'!$A:$A)+1)-'Price History'!V3)*(ROW()-3)/(MATCH(9.99E+307,'Returns (Calc)'!$A:$A)-3),"")</f>
        <v>349.5813924050633</v>
      </c>
      <c r="AP147" s="130">
        <f>IFERROR(IF(OR(NOT(ISNUMBER('Price History'!W148)),NOT(ISNUMBER('Price History'!W147)),'Price History'!W147=0),"",'Price History'!W148/'Price History'!W147-1),"")</f>
        <v>6.3556628956407124E-5</v>
      </c>
      <c r="AQ147" s="130">
        <f>IFERROR(IF(OR(NOT(ISNUMBER('Price History'!X148)),NOT(ISNUMBER('Price History'!X147)),'Price History'!X147=0),"",'Price History'!X148/'Price History'!X147-1),"")</f>
        <v>3.3034179873973724E-2</v>
      </c>
      <c r="AR147" s="130">
        <f>IFERROR(IF(OR(NOT(ISNUMBER('Price History'!Y148)),NOT(ISNUMBER('Price History'!Y147)),'Price History'!Y147=0),"",'Price History'!Y148/'Price History'!Y147-1),"")</f>
        <v>1.0974940552404E-3</v>
      </c>
      <c r="AS147" s="130">
        <f>IFERROR(IF(OR(NOT(ISNUMBER('Price History'!Z148)),NOT(ISNUMBER('Price History'!Z147)),'Price History'!Z147=0),"",'Price History'!Z148/'Price History'!Z147-1),"")</f>
        <v>3.1775805593661666E-2</v>
      </c>
      <c r="AT147" s="130">
        <f>IFERROR(IF(OR(NOT(ISNUMBER('Price History'!AA148)),NOT(ISNUMBER('Price History'!AA147)),'Price History'!AA147=0),"",'Price History'!AA148/'Price History'!AA147-1),"")</f>
        <v>-4.6135952442491468E-2</v>
      </c>
    </row>
    <row r="148" spans="1:46" ht="15" customHeight="1" x14ac:dyDescent="0.2">
      <c r="A148" s="128">
        <f>IF('Price History'!A149="","",'Price History'!A149)</f>
        <v>46206</v>
      </c>
      <c r="B148" s="129">
        <f>IFERROR(IF(OR(NOT(ISNUMBER('Price History'!B149)),NOT(ISNUMBER('Price History'!B148)),'Price History'!B148=0),"",'Price History'!B149/'Price History'!B148-1),"")</f>
        <v>8.3806047452276378E-2</v>
      </c>
      <c r="C148" s="129">
        <f>IFERROR(IF(OR(NOT(ISNUMBER('Price History'!C149)),NOT(ISNUMBER('Price History'!C148)),'Price History'!C148=0),"",'Price History'!C149/'Price History'!C148-1),"")</f>
        <v>1.5164974619289451E-2</v>
      </c>
      <c r="D148" s="129">
        <f>IFERROR(IF(OR(NOT(ISNUMBER('Price History'!D149)),NOT(ISNUMBER('Price History'!D148)),'Price History'!D148=0),"",'Price History'!D149/'Price History'!D148-1),"")</f>
        <v>-1.409920214249849E-2</v>
      </c>
      <c r="E148" s="129">
        <f>IFERROR(IF(OR(NOT(ISNUMBER('Price History'!E149)),NOT(ISNUMBER('Price History'!E148)),'Price History'!E148=0),"",'Price History'!E149/'Price History'!E148-1),"")</f>
        <v>-1.2542540344714026E-2</v>
      </c>
      <c r="F148" s="129">
        <f>IFERROR(IF(OR(NOT(ISNUMBER('Price History'!F149)),NOT(ISNUMBER('Price History'!F148)),'Price History'!F148=0),"",'Price History'!F149/'Price History'!F148-1),"")</f>
        <v>0.10674958635248455</v>
      </c>
      <c r="G148" s="129">
        <f>IFERROR(IF(OR(NOT(ISNUMBER('Price History'!G149)),NOT(ISNUMBER('Price History'!G148)),'Price History'!G148=0),"",'Price History'!G149/'Price History'!G148-1),"")</f>
        <v>-5.2665485585440486E-2</v>
      </c>
      <c r="H148" s="129">
        <f>IFERROR(IF(OR(NOT(ISNUMBER('Price History'!H149)),NOT(ISNUMBER('Price History'!H148)),'Price History'!H148=0),"",'Price History'!H149/'Price History'!H148-1),"")</f>
        <v>-0.13845216223855294</v>
      </c>
      <c r="I148" s="129">
        <f>IFERROR(IF(OR(NOT(ISNUMBER('Price History'!I149)),NOT(ISNUMBER('Price History'!I148)),'Price History'!I148=0),"",'Price History'!I149/'Price History'!I148-1),"")</f>
        <v>1.1959856481722264E-2</v>
      </c>
      <c r="J148" s="129">
        <f>IFERROR(IF(OR(NOT(ISNUMBER('Price History'!J149)),NOT(ISNUMBER('Price History'!J148)),'Price History'!J148=0),"",'Price History'!J149/'Price History'!J148-1),"")</f>
        <v>-3.8885288399221896E-3</v>
      </c>
      <c r="K148" s="129">
        <f>IFERROR(IF(OR(NOT(ISNUMBER('Price History'!K149)),NOT(ISNUMBER('Price History'!K148)),'Price History'!K148=0),"",'Price History'!K149/'Price History'!K148-1),"")</f>
        <v>0.14495705304170725</v>
      </c>
      <c r="L148" s="129">
        <f>IFERROR(IF(OR(NOT(ISNUMBER('Price History'!L149)),NOT(ISNUMBER('Price History'!L148)),'Price History'!L148=0),"",'Price History'!L149/'Price History'!L148-1),"")</f>
        <v>4.1976854750807036E-3</v>
      </c>
      <c r="M148" s="129">
        <f>IFERROR(IF(OR(NOT(ISNUMBER('Price History'!M149)),NOT(ISNUMBER('Price History'!M148)),'Price History'!M148=0),"",'Price History'!M149/'Price History'!M148-1),"")</f>
        <v>-1.1254442543109144E-2</v>
      </c>
      <c r="N148" s="129">
        <f>IFERROR(IF(OR(NOT(ISNUMBER('Price History'!N149)),NOT(ISNUMBER('Price History'!N148)),'Price History'!N148=0),"",'Price History'!N149/'Price History'!N148-1),"")</f>
        <v>7.4693694793829035E-2</v>
      </c>
      <c r="O148" s="129">
        <f>IFERROR(IF(OR(NOT(ISNUMBER('Price History'!O149)),NOT(ISNUMBER('Price History'!O148)),'Price History'!O148=0),"",'Price History'!O149/'Price History'!O148-1),"")</f>
        <v>-1.1402874809282926E-2</v>
      </c>
      <c r="P148" s="129">
        <f>IFERROR(IF(OR(NOT(ISNUMBER('Price History'!P149)),NOT(ISNUMBER('Price History'!P148)),'Price History'!P148=0),"",'Price History'!P149/'Price History'!P148-1),"")</f>
        <v>5.8009817045960865E-3</v>
      </c>
      <c r="Q148" s="129">
        <f>IFERROR(IF(OR(NOT(ISNUMBER('Price History'!Q149)),NOT(ISNUMBER('Price History'!Q148)),'Price History'!Q148=0),"",'Price History'!Q149/'Price History'!Q148-1),"")</f>
        <v>7.6130765785940024E-3</v>
      </c>
      <c r="R148" s="129">
        <f>IFERROR(IF(OR(NOT(ISNUMBER('Price History'!R149)),NOT(ISNUMBER('Price History'!R148)),'Price History'!R148=0),"",'Price History'!R149/'Price History'!R148-1),"")</f>
        <v>1.001757469244291E-2</v>
      </c>
      <c r="S148" s="129">
        <f>IFERROR(IF(OR(NOT(ISNUMBER('Price History'!S149)),NOT(ISNUMBER('Price History'!S148)),'Price History'!S148=0),"",'Price History'!S149/'Price History'!S148-1),"")</f>
        <v>-2.1890224098733202E-2</v>
      </c>
      <c r="T148" s="129">
        <f>IFERROR(IF(OR(NOT(ISNUMBER('Price History'!T149)),NOT(ISNUMBER('Price History'!T148)),'Price History'!T148=0),"",'Price History'!T149/'Price History'!T148-1),"")</f>
        <v>1.7593397046046899E-2</v>
      </c>
      <c r="U148" s="129">
        <f>IFERROR(IF(OR(NOT(ISNUMBER('Price History'!U149)),NOT(ISNUMBER('Price History'!U148)),'Price History'!U148=0),"",'Price History'!U149/'Price History'!U148-1),"")</f>
        <v>9.1080402010050854E-3</v>
      </c>
      <c r="V148" s="130">
        <f>IFERROR(IF(OR(NOT(ISNUMBER('Price History'!V149)),NOT(ISNUMBER('Price History'!V148)),'Price History'!V148=0),"",'Price History'!V149/'Price History'!V148-1),"")</f>
        <v>7.7023926581448521E-2</v>
      </c>
      <c r="W148" s="131">
        <f>IFERROR('Price History'!B3+(INDEX('Price History'!B:B,MATCH(9.99E+307,'Returns (Calc)'!$A:$A)+1)-'Price History'!B3)*(ROW()-3)/(MATCH(9.99E+307,'Returns (Calc)'!$A:$A)-3),"")</f>
        <v>261.64949367088605</v>
      </c>
      <c r="X148" s="131">
        <f>IFERROR('Price History'!C3+(INDEX('Price History'!C:C,MATCH(9.99E+307,'Returns (Calc)'!$A:$A)+1)-'Price History'!C3)*(ROW()-3)/(MATCH(9.99E+307,'Returns (Calc)'!$A:$A)-3),"")</f>
        <v>194.08917721518986</v>
      </c>
      <c r="Y148" s="131">
        <f>IFERROR('Price History'!D3+(INDEX('Price History'!D:D,MATCH(9.99E+307,'Returns (Calc)'!$A:$A)+1)-'Price History'!D3)*(ROW()-3)/(MATCH(9.99E+307,'Returns (Calc)'!$A:$A)-3),"")</f>
        <v>1761.5574683544303</v>
      </c>
      <c r="Z148" s="131">
        <f>IFERROR('Price History'!E3+(INDEX('Price History'!E:E,MATCH(9.99E+307,'Returns (Calc)'!$A:$A)+1)-'Price History'!E3)*(ROW()-3)/(MATCH(9.99E+307,'Returns (Calc)'!$A:$A)-3),"")</f>
        <v>332.66645569620249</v>
      </c>
      <c r="AA148" s="131">
        <f>IFERROR('Price History'!F3+(INDEX('Price History'!F:F,MATCH(9.99E+307,'Returns (Calc)'!$A:$A)+1)-'Price History'!F3)*(ROW()-3)/(MATCH(9.99E+307,'Returns (Calc)'!$A:$A)-3),"")</f>
        <v>251.2245569620253</v>
      </c>
      <c r="AB148" s="131">
        <f>IFERROR('Price History'!G3+(INDEX('Price History'!G:G,MATCH(9.99E+307,'Returns (Calc)'!$A:$A)+1)-'Price History'!G3)*(ROW()-3)/(MATCH(9.99E+307,'Returns (Calc)'!$A:$A)-3),"")</f>
        <v>193.51645569620251</v>
      </c>
      <c r="AC148" s="131">
        <f>IFERROR('Price History'!H3+(INDEX('Price History'!H:H,MATCH(9.99E+307,'Returns (Calc)'!$A:$A)+1)-'Price History'!H3)*(ROW()-3)/(MATCH(9.99E+307,'Returns (Calc)'!$A:$A)-3),"")</f>
        <v>992.13594936708864</v>
      </c>
      <c r="AD148" s="131">
        <f>IFERROR('Price History'!I3+(INDEX('Price History'!I:I,MATCH(9.99E+307,'Returns (Calc)'!$A:$A)+1)-'Price History'!I3)*(ROW()-3)/(MATCH(9.99E+307,'Returns (Calc)'!$A:$A)-3),"")</f>
        <v>218.30227848101265</v>
      </c>
      <c r="AE148" s="131">
        <f>IFERROR('Price History'!J3+(INDEX('Price History'!J:J,MATCH(9.99E+307,'Returns (Calc)'!$A:$A)+1)-'Price History'!J3)*(ROW()-3)/(MATCH(9.99E+307,'Returns (Calc)'!$A:$A)-3),"")</f>
        <v>127.50550632911393</v>
      </c>
      <c r="AF148" s="131">
        <f>IFERROR('Price History'!K3+(INDEX('Price History'!K:K,MATCH(9.99E+307,'Returns (Calc)'!$A:$A)+1)-'Price History'!K3)*(ROW()-3)/(MATCH(9.99E+307,'Returns (Calc)'!$A:$A)-3),"")</f>
        <v>174.48126582278482</v>
      </c>
      <c r="AG148" s="131">
        <f>IFERROR('Price History'!L3+(INDEX('Price History'!L:L,MATCH(9.99E+307,'Returns (Calc)'!$A:$A)+1)-'Price History'!L3)*(ROW()-3)/(MATCH(9.99E+307,'Returns (Calc)'!$A:$A)-3),"")</f>
        <v>440.9357594936709</v>
      </c>
      <c r="AH148" s="131">
        <f>IFERROR('Price History'!M3+(INDEX('Price History'!M:M,MATCH(9.99E+307,'Returns (Calc)'!$A:$A)+1)-'Price History'!M3)*(ROW()-3)/(MATCH(9.99E+307,'Returns (Calc)'!$A:$A)-3),"")</f>
        <v>234.55924050632913</v>
      </c>
      <c r="AI148" s="131">
        <f>IFERROR('Price History'!N3+(INDEX('Price History'!N:N,MATCH(9.99E+307,'Returns (Calc)'!$A:$A)+1)-'Price History'!N3)*(ROW()-3)/(MATCH(9.99E+307,'Returns (Calc)'!$A:$A)-3),"")</f>
        <v>491.9085443037975</v>
      </c>
      <c r="AJ148" s="131">
        <f>IFERROR('Price History'!O3+(INDEX('Price History'!O:O,MATCH(9.99E+307,'Returns (Calc)'!$A:$A)+1)-'Price History'!O3)*(ROW()-3)/(MATCH(9.99E+307,'Returns (Calc)'!$A:$A)-3),"")</f>
        <v>116.35050632911393</v>
      </c>
      <c r="AK148" s="131">
        <f>IFERROR('Price History'!Q3+(INDEX('Price History'!Q:Q,MATCH(9.99E+307,'Returns (Calc)'!$A:$A)+1)-'Price History'!Q3)*(ROW()-3)/(MATCH(9.99E+307,'Returns (Calc)'!$A:$A)-3),"")</f>
        <v>63.708227848101266</v>
      </c>
      <c r="AL148" s="131">
        <f>IFERROR('Price History'!R3+(INDEX('Price History'!R:R,MATCH(9.99E+307,'Returns (Calc)'!$A:$A)+1)-'Price History'!R3)*(ROW()-3)/(MATCH(9.99E+307,'Returns (Calc)'!$A:$A)-3),"")</f>
        <v>58.854683544303796</v>
      </c>
      <c r="AM148" s="131">
        <f>IFERROR('Price History'!S3+(INDEX('Price History'!S:S,MATCH(9.99E+307,'Returns (Calc)'!$A:$A)+1)-'Price History'!S3)*(ROW()-3)/(MATCH(9.99E+307,'Returns (Calc)'!$A:$A)-3),"")</f>
        <v>145.36417721518987</v>
      </c>
      <c r="AN148" s="131">
        <f>IFERROR('Price History'!T3+(INDEX('Price History'!T:T,MATCH(9.99E+307,'Returns (Calc)'!$A:$A)+1)-'Price History'!T3)*(ROW()-3)/(MATCH(9.99E+307,'Returns (Calc)'!$A:$A)-3),"")</f>
        <v>49.633037974683546</v>
      </c>
      <c r="AO148" s="132">
        <f>IFERROR('Price History'!V3+(INDEX('Price History'!V:V,MATCH(9.99E+307,'Returns (Calc)'!$A:$A)+1)-'Price History'!V3)*(ROW()-3)/(MATCH(9.99E+307,'Returns (Calc)'!$A:$A)-3),"")</f>
        <v>350.37272151898736</v>
      </c>
      <c r="AP148" s="130">
        <f>IFERROR(IF(OR(NOT(ISNUMBER('Price History'!W149)),NOT(ISNUMBER('Price History'!W148)),'Price History'!W148=0),"",'Price History'!W149/'Price History'!W148-1),"")</f>
        <v>7.9440737210041412E-3</v>
      </c>
      <c r="AQ148" s="130">
        <f>IFERROR(IF(OR(NOT(ISNUMBER('Price History'!X149)),NOT(ISNUMBER('Price History'!X148)),'Price History'!X148=0),"",'Price History'!X149/'Price History'!X148-1),"")</f>
        <v>-1.8114602587800399E-2</v>
      </c>
      <c r="AR148" s="130">
        <f>IFERROR(IF(OR(NOT(ISNUMBER('Price History'!Y149)),NOT(ISNUMBER('Price History'!Y148)),'Price History'!Y148=0),"",'Price History'!Y149/'Price History'!Y148-1),"")</f>
        <v>1.6627078384798155E-2</v>
      </c>
      <c r="AS148" s="130">
        <f>IFERROR(IF(OR(NOT(ISNUMBER('Price History'!Z149)),NOT(ISNUMBER('Price History'!Z148)),'Price History'!Z148=0),"",'Price History'!Z149/'Price History'!Z148-1),"")</f>
        <v>2.3091116296738434E-2</v>
      </c>
      <c r="AT148" s="130">
        <f>IFERROR(IF(OR(NOT(ISNUMBER('Price History'!AA149)),NOT(ISNUMBER('Price History'!AA148)),'Price History'!AA148=0),"",'Price History'!AA149/'Price History'!AA148-1),"")</f>
        <v>5.2025470803414242E-2</v>
      </c>
    </row>
    <row r="149" spans="1:46" ht="15" customHeight="1" x14ac:dyDescent="0.2">
      <c r="A149" s="128">
        <f>IF('Price History'!A150="","",'Price History'!A150)</f>
        <v>46213</v>
      </c>
      <c r="B149" s="129">
        <f>IFERROR(IF(OR(NOT(ISNUMBER('Price History'!B150)),NOT(ISNUMBER('Price History'!B149)),'Price History'!B149=0),"",'Price History'!B150/'Price History'!B149-1),"")</f>
        <v>1.7840888403422461E-2</v>
      </c>
      <c r="C149" s="129">
        <f>IFERROR(IF(OR(NOT(ISNUMBER('Price History'!C150)),NOT(ISNUMBER('Price History'!C149)),'Price History'!C149=0),"",'Price History'!C150/'Price History'!C149-1),"")</f>
        <v>0.16857303581473837</v>
      </c>
      <c r="D149" s="129">
        <f>IFERROR(IF(OR(NOT(ISNUMBER('Price History'!D150)),NOT(ISNUMBER('Price History'!D149)),'Price History'!D149=0),"",'Price History'!D150/'Price History'!D149-1),"")</f>
        <v>1.5828820110580955E-2</v>
      </c>
      <c r="E149" s="129">
        <f>IFERROR(IF(OR(NOT(ISNUMBER('Price History'!E150)),NOT(ISNUMBER('Price History'!E149)),'Price History'!E149=0),"",'Price History'!E150/'Price History'!E149-1),"")</f>
        <v>0.10964729425498199</v>
      </c>
      <c r="F149" s="129">
        <f>IFERROR(IF(OR(NOT(ISNUMBER('Price History'!F150)),NOT(ISNUMBER('Price History'!F149)),'Price History'!F149=0),"",'Price History'!F150/'Price History'!F149-1),"")</f>
        <v>-3.5055160325806689E-2</v>
      </c>
      <c r="G149" s="129">
        <f>IFERROR(IF(OR(NOT(ISNUMBER('Price History'!G150)),NOT(ISNUMBER('Price History'!G149)),'Price History'!G149=0),"",'Price History'!G150/'Price History'!G149-1),"")</f>
        <v>-1.7086025161509699E-2</v>
      </c>
      <c r="H149" s="129">
        <f>IFERROR(IF(OR(NOT(ISNUMBER('Price History'!H150)),NOT(ISNUMBER('Price History'!H149)),'Price History'!H149=0),"",'Price History'!H150/'Price History'!H149-1),"")</f>
        <v>3.9880665566274232E-3</v>
      </c>
      <c r="I149" s="129">
        <f>IFERROR(IF(OR(NOT(ISNUMBER('Price History'!I150)),NOT(ISNUMBER('Price History'!I149)),'Price History'!I149=0),"",'Price History'!I150/'Price History'!I149-1),"")</f>
        <v>8.2780946508401287E-2</v>
      </c>
      <c r="J149" s="129">
        <f>IFERROR(IF(OR(NOT(ISNUMBER('Price History'!J150)),NOT(ISNUMBER('Price History'!J149)),'Price History'!J149=0),"",'Price History'!J150/'Price History'!J149-1),"")</f>
        <v>1.0337598496349187E-2</v>
      </c>
      <c r="K149" s="129">
        <f>IFERROR(IF(OR(NOT(ISNUMBER('Price History'!K150)),NOT(ISNUMBER('Price History'!K149)),'Price History'!K149=0),"",'Price History'!K150/'Price History'!K149-1),"")</f>
        <v>-1.9412219644238227E-2</v>
      </c>
      <c r="L149" s="129">
        <f>IFERROR(IF(OR(NOT(ISNUMBER('Price History'!L150)),NOT(ISNUMBER('Price History'!L149)),'Price History'!L149=0),"",'Price History'!L150/'Price History'!L149-1),"")</f>
        <v>-1.1547344110862667E-4</v>
      </c>
      <c r="M149" s="129">
        <f>IFERROR(IF(OR(NOT(ISNUMBER('Price History'!M150)),NOT(ISNUMBER('Price History'!M149)),'Price History'!M149=0),"",'Price History'!M150/'Price History'!M149-1),"")</f>
        <v>6.0973174465819069E-2</v>
      </c>
      <c r="N149" s="129">
        <f>IFERROR(IF(OR(NOT(ISNUMBER('Price History'!N150)),NOT(ISNUMBER('Price History'!N149)),'Price History'!N149=0),"",'Price History'!N150/'Price History'!N149-1),"")</f>
        <v>-8.0770396182107351E-2</v>
      </c>
      <c r="O149" s="129">
        <f>IFERROR(IF(OR(NOT(ISNUMBER('Price History'!O150)),NOT(ISNUMBER('Price History'!O149)),'Price History'!O149=0),"",'Price History'!O150/'Price History'!O149-1),"")</f>
        <v>3.5740394768906114E-3</v>
      </c>
      <c r="P149" s="129">
        <f>IFERROR(IF(OR(NOT(ISNUMBER('Price History'!P150)),NOT(ISNUMBER('Price History'!P149)),'Price History'!P149=0),"",'Price History'!P150/'Price History'!P149-1),"")</f>
        <v>2.3450373938396218E-3</v>
      </c>
      <c r="Q149" s="129">
        <f>IFERROR(IF(OR(NOT(ISNUMBER('Price History'!Q150)),NOT(ISNUMBER('Price History'!Q149)),'Price History'!Q149=0),"",'Price History'!Q150/'Price History'!Q149-1),"")</f>
        <v>1.0962962962962841E-2</v>
      </c>
      <c r="R149" s="129">
        <f>IFERROR(IF(OR(NOT(ISNUMBER('Price History'!R150)),NOT(ISNUMBER('Price History'!R149)),'Price History'!R149=0),"",'Price History'!R150/'Price History'!R149-1),"")</f>
        <v>1.8792413433095456E-2</v>
      </c>
      <c r="S149" s="129">
        <f>IFERROR(IF(OR(NOT(ISNUMBER('Price History'!S150)),NOT(ISNUMBER('Price History'!S149)),'Price History'!S149=0),"",'Price History'!S150/'Price History'!S149-1),"")</f>
        <v>1.9391685482799792E-2</v>
      </c>
      <c r="T149" s="129">
        <f>IFERROR(IF(OR(NOT(ISNUMBER('Price History'!T150)),NOT(ISNUMBER('Price History'!T149)),'Price History'!T149=0),"",'Price History'!T150/'Price History'!T149-1),"")</f>
        <v>8.9647812166488983E-3</v>
      </c>
      <c r="U149" s="129">
        <f>IFERROR(IF(OR(NOT(ISNUMBER('Price History'!U150)),NOT(ISNUMBER('Price History'!U149)),'Price History'!U149=0),"",'Price History'!U150/'Price History'!U149-1),"")</f>
        <v>3.1123560535317729E-4</v>
      </c>
      <c r="V149" s="130">
        <f>IFERROR(IF(OR(NOT(ISNUMBER('Price History'!V150)),NOT(ISNUMBER('Price History'!V149)),'Price History'!V149=0),"",'Price History'!V150/'Price History'!V149-1),"")</f>
        <v>-3.6352570132241468E-2</v>
      </c>
      <c r="W149" s="131">
        <f>IFERROR('Price History'!B3+(INDEX('Price History'!B:B,MATCH(9.99E+307,'Returns (Calc)'!$A:$A)+1)-'Price History'!B3)*(ROW()-3)/(MATCH(9.99E+307,'Returns (Calc)'!$A:$A)-3),"")</f>
        <v>259.80645569620253</v>
      </c>
      <c r="X149" s="131">
        <f>IFERROR('Price History'!C3+(INDEX('Price History'!C:C,MATCH(9.99E+307,'Returns (Calc)'!$A:$A)+1)-'Price History'!C3)*(ROW()-3)/(MATCH(9.99E+307,'Returns (Calc)'!$A:$A)-3),"")</f>
        <v>195.10924050632912</v>
      </c>
      <c r="Y149" s="131">
        <f>IFERROR('Price History'!D3+(INDEX('Price History'!D:D,MATCH(9.99E+307,'Returns (Calc)'!$A:$A)+1)-'Price History'!D3)*(ROW()-3)/(MATCH(9.99E+307,'Returns (Calc)'!$A:$A)-3),"")</f>
        <v>1769.6922784810126</v>
      </c>
      <c r="Z149" s="131">
        <f>IFERROR('Price History'!E3+(INDEX('Price History'!E:E,MATCH(9.99E+307,'Returns (Calc)'!$A:$A)+1)-'Price History'!E3)*(ROW()-3)/(MATCH(9.99E+307,'Returns (Calc)'!$A:$A)-3),"")</f>
        <v>334.39518987341768</v>
      </c>
      <c r="AA149" s="131">
        <f>IFERROR('Price History'!F3+(INDEX('Price History'!F:F,MATCH(9.99E+307,'Returns (Calc)'!$A:$A)+1)-'Price History'!F3)*(ROW()-3)/(MATCH(9.99E+307,'Returns (Calc)'!$A:$A)-3),"")</f>
        <v>252.6718987341772</v>
      </c>
      <c r="AB149" s="131">
        <f>IFERROR('Price History'!G3+(INDEX('Price History'!G:G,MATCH(9.99E+307,'Returns (Calc)'!$A:$A)+1)-'Price History'!G3)*(ROW()-3)/(MATCH(9.99E+307,'Returns (Calc)'!$A:$A)-3),"")</f>
        <v>194.54518987341771</v>
      </c>
      <c r="AC149" s="131">
        <f>IFERROR('Price History'!H3+(INDEX('Price History'!H:H,MATCH(9.99E+307,'Returns (Calc)'!$A:$A)+1)-'Price History'!H3)*(ROW()-3)/(MATCH(9.99E+307,'Returns (Calc)'!$A:$A)-3),"")</f>
        <v>998.50164556962034</v>
      </c>
      <c r="AD149" s="131">
        <f>IFERROR('Price History'!I3+(INDEX('Price History'!I:I,MATCH(9.99E+307,'Returns (Calc)'!$A:$A)+1)-'Price History'!I3)*(ROW()-3)/(MATCH(9.99E+307,'Returns (Calc)'!$A:$A)-3),"")</f>
        <v>219.50594936708859</v>
      </c>
      <c r="AE149" s="131">
        <f>IFERROR('Price History'!J3+(INDEX('Price History'!J:J,MATCH(9.99E+307,'Returns (Calc)'!$A:$A)+1)-'Price History'!J3)*(ROW()-3)/(MATCH(9.99E+307,'Returns (Calc)'!$A:$A)-3),"")</f>
        <v>127.61354430379747</v>
      </c>
      <c r="AF149" s="131">
        <f>IFERROR('Price History'!K3+(INDEX('Price History'!K:K,MATCH(9.99E+307,'Returns (Calc)'!$A:$A)+1)-'Price History'!K3)*(ROW()-3)/(MATCH(9.99E+307,'Returns (Calc)'!$A:$A)-3),"")</f>
        <v>175.57886075949369</v>
      </c>
      <c r="AG149" s="131">
        <f>IFERROR('Price History'!L3+(INDEX('Price History'!L:L,MATCH(9.99E+307,'Returns (Calc)'!$A:$A)+1)-'Price History'!L3)*(ROW()-3)/(MATCH(9.99E+307,'Returns (Calc)'!$A:$A)-3),"")</f>
        <v>443.38531645569617</v>
      </c>
      <c r="AH149" s="131">
        <f>IFERROR('Price History'!M3+(INDEX('Price History'!M:M,MATCH(9.99E+307,'Returns (Calc)'!$A:$A)+1)-'Price History'!M3)*(ROW()-3)/(MATCH(9.99E+307,'Returns (Calc)'!$A:$A)-3),"")</f>
        <v>235.91468354430381</v>
      </c>
      <c r="AI149" s="131">
        <f>IFERROR('Price History'!N3+(INDEX('Price History'!N:N,MATCH(9.99E+307,'Returns (Calc)'!$A:$A)+1)-'Price History'!N3)*(ROW()-3)/(MATCH(9.99E+307,'Returns (Calc)'!$A:$A)-3),"")</f>
        <v>492.89481012658234</v>
      </c>
      <c r="AJ149" s="131">
        <f>IFERROR('Price History'!O3+(INDEX('Price History'!O:O,MATCH(9.99E+307,'Returns (Calc)'!$A:$A)+1)-'Price History'!O3)*(ROW()-3)/(MATCH(9.99E+307,'Returns (Calc)'!$A:$A)-3),"")</f>
        <v>116.63354430379746</v>
      </c>
      <c r="AK149" s="131">
        <f>IFERROR('Price History'!Q3+(INDEX('Price History'!Q:Q,MATCH(9.99E+307,'Returns (Calc)'!$A:$A)+1)-'Price History'!Q3)*(ROW()-3)/(MATCH(9.99E+307,'Returns (Calc)'!$A:$A)-3),"")</f>
        <v>64.147594936708856</v>
      </c>
      <c r="AL149" s="131">
        <f>IFERROR('Price History'!R3+(INDEX('Price History'!R:R,MATCH(9.99E+307,'Returns (Calc)'!$A:$A)+1)-'Price History'!R3)*(ROW()-3)/(MATCH(9.99E+307,'Returns (Calc)'!$A:$A)-3),"")</f>
        <v>59.022784810126581</v>
      </c>
      <c r="AM149" s="131">
        <f>IFERROR('Price History'!S3+(INDEX('Price History'!S:S,MATCH(9.99E+307,'Returns (Calc)'!$A:$A)+1)-'Price History'!S3)*(ROW()-3)/(MATCH(9.99E+307,'Returns (Calc)'!$A:$A)-3),"")</f>
        <v>145.9692405063291</v>
      </c>
      <c r="AN149" s="131">
        <f>IFERROR('Price History'!T3+(INDEX('Price History'!T:T,MATCH(9.99E+307,'Returns (Calc)'!$A:$A)+1)-'Price History'!T3)*(ROW()-3)/(MATCH(9.99E+307,'Returns (Calc)'!$A:$A)-3),"")</f>
        <v>49.801265822784814</v>
      </c>
      <c r="AO149" s="132">
        <f>IFERROR('Price History'!V3+(INDEX('Price History'!V:V,MATCH(9.99E+307,'Returns (Calc)'!$A:$A)+1)-'Price History'!V3)*(ROW()-3)/(MATCH(9.99E+307,'Returns (Calc)'!$A:$A)-3),"")</f>
        <v>351.16405063291143</v>
      </c>
      <c r="AP149" s="130">
        <f>IFERROR(IF(OR(NOT(ISNUMBER('Price History'!W150)),NOT(ISNUMBER('Price History'!W149)),'Price History'!W149=0),"",'Price History'!W150/'Price History'!W149-1),"")</f>
        <v>9.8991172761664359E-3</v>
      </c>
      <c r="AQ149" s="130">
        <f>IFERROR(IF(OR(NOT(ISNUMBER('Price History'!X150)),NOT(ISNUMBER('Price History'!X149)),'Price History'!X149=0),"",'Price History'!X150/'Price History'!X149-1),"")</f>
        <v>7.9066265060241392E-3</v>
      </c>
      <c r="AR149" s="130">
        <f>IFERROR(IF(OR(NOT(ISNUMBER('Price History'!Y150)),NOT(ISNUMBER('Price History'!Y149)),'Price History'!Y149=0),"",'Price History'!Y150/'Price History'!Y149-1),"")</f>
        <v>8.9863407620405233E-4</v>
      </c>
      <c r="AS149" s="130">
        <f>IFERROR(IF(OR(NOT(ISNUMBER('Price History'!Z150)),NOT(ISNUMBER('Price History'!Z149)),'Price History'!Z149=0),"",'Price History'!Z150/'Price History'!Z149-1),"")</f>
        <v>-4.715554966184865E-2</v>
      </c>
      <c r="AT149" s="130">
        <f>IFERROR(IF(OR(NOT(ISNUMBER('Price History'!AA150)),NOT(ISNUMBER('Price History'!AA149)),'Price History'!AA149=0),"",'Price History'!AA150/'Price History'!AA149-1),"")</f>
        <v>-5.5119124275595621E-2</v>
      </c>
    </row>
    <row r="150" spans="1:46" ht="15" customHeight="1" x14ac:dyDescent="0.2">
      <c r="A150" s="128">
        <f>IF('Price History'!A151="","",'Price History'!A151)</f>
        <v>46220</v>
      </c>
      <c r="B150" s="129">
        <f>IFERROR(IF(OR(NOT(ISNUMBER('Price History'!B151)),NOT(ISNUMBER('Price History'!B150)),'Price History'!B150=0),"",'Price History'!B151/'Price History'!B150-1),"")</f>
        <v>6.0856734036844884E-2</v>
      </c>
      <c r="C150" s="129">
        <f>IFERROR(IF(OR(NOT(ISNUMBER('Price History'!C151)),NOT(ISNUMBER('Price History'!C150)),'Price History'!C150=0),"",'Price History'!C151/'Price History'!C150-1),"")</f>
        <v>-9.8149336756525374E-2</v>
      </c>
      <c r="D150" s="129">
        <f>IFERROR(IF(OR(NOT(ISNUMBER('Price History'!D151)),NOT(ISNUMBER('Price History'!D150)),'Price History'!D150=0),"",'Price History'!D151/'Price History'!D150-1),"")</f>
        <v>-2.7676880222841316E-2</v>
      </c>
      <c r="E150" s="129">
        <f>IFERROR(IF(OR(NOT(ISNUMBER('Price History'!E151)),NOT(ISNUMBER('Price History'!E150)),'Price History'!E150=0),"",'Price History'!E151/'Price History'!E150-1),"")</f>
        <v>-7.283839294659844E-2</v>
      </c>
      <c r="F150" s="129">
        <f>IFERROR(IF(OR(NOT(ISNUMBER('Price History'!F151)),NOT(ISNUMBER('Price History'!F150)),'Price History'!F150=0),"",'Price History'!F151/'Price History'!F150-1),"")</f>
        <v>8.4944972753499437E-2</v>
      </c>
      <c r="G150" s="129">
        <f>IFERROR(IF(OR(NOT(ISNUMBER('Price History'!G151)),NOT(ISNUMBER('Price History'!G150)),'Price History'!G150=0),"",'Price History'!G151/'Price History'!G150-1),"")</f>
        <v>-8.1077575023782766E-2</v>
      </c>
      <c r="H150" s="129">
        <f>IFERROR(IF(OR(NOT(ISNUMBER('Price History'!H151)),NOT(ISNUMBER('Price History'!H150)),'Price History'!H150=0),"",'Price History'!H151/'Price History'!H150-1),"")</f>
        <v>-0.13310527928111904</v>
      </c>
      <c r="I150" s="129">
        <f>IFERROR(IF(OR(NOT(ISNUMBER('Price History'!I151)),NOT(ISNUMBER('Price History'!I150)),'Price History'!I150=0),"",'Price History'!I151/'Price History'!I150-1),"")</f>
        <v>-3.8629460895975631E-2</v>
      </c>
      <c r="J150" s="129">
        <f>IFERROR(IF(OR(NOT(ISNUMBER('Price History'!J151)),NOT(ISNUMBER('Price History'!J150)),'Price History'!J150=0),"",'Price History'!J151/'Price History'!J150-1),"")</f>
        <v>6.3322839152833543E-2</v>
      </c>
      <c r="K150" s="129">
        <f>IFERROR(IF(OR(NOT(ISNUMBER('Price History'!K151)),NOT(ISNUMBER('Price History'!K150)),'Price History'!K150=0),"",'Price History'!K151/'Price History'!K150-1),"")</f>
        <v>4.4088650524489292E-2</v>
      </c>
      <c r="L150" s="129">
        <f>IFERROR(IF(OR(NOT(ISNUMBER('Price History'!L151)),NOT(ISNUMBER('Price History'!L150)),'Price History'!L150=0),"",'Price History'!L151/'Price History'!L150-1),"")</f>
        <v>-8.2342071832775088E-2</v>
      </c>
      <c r="M150" s="129">
        <f>IFERROR(IF(OR(NOT(ISNUMBER('Price History'!M151)),NOT(ISNUMBER('Price History'!M150)),'Price History'!M150=0),"",'Price History'!M151/'Price History'!M150-1),"")</f>
        <v>-9.1881548403287439E-2</v>
      </c>
      <c r="N150" s="129">
        <f>IFERROR(IF(OR(NOT(ISNUMBER('Price History'!N151)),NOT(ISNUMBER('Price History'!N150)),'Price History'!N150=0),"",'Price History'!N151/'Price History'!N150-1),"")</f>
        <v>5.3565174395853177E-4</v>
      </c>
      <c r="O150" s="129">
        <f>IFERROR(IF(OR(NOT(ISNUMBER('Price History'!O151)),NOT(ISNUMBER('Price History'!O150)),'Price History'!O150=0),"",'Price History'!O151/'Price History'!O150-1),"")</f>
        <v>1.1250505868069638E-2</v>
      </c>
      <c r="P150" s="129">
        <f>IFERROR(IF(OR(NOT(ISNUMBER('Price History'!P151)),NOT(ISNUMBER('Price History'!P150)),'Price History'!P150=0),"",'Price History'!P151/'Price History'!P150-1),"")</f>
        <v>1.4922541890610042E-2</v>
      </c>
      <c r="Q150" s="129">
        <f>IFERROR(IF(OR(NOT(ISNUMBER('Price History'!Q151)),NOT(ISNUMBER('Price History'!Q150)),'Price History'!Q150=0),"",'Price History'!Q151/'Price History'!Q150-1),"")</f>
        <v>-9.2321219226260132E-3</v>
      </c>
      <c r="R150" s="129">
        <f>IFERROR(IF(OR(NOT(ISNUMBER('Price History'!R151)),NOT(ISNUMBER('Price History'!R150)),'Price History'!R150=0),"",'Price History'!R151/'Price History'!R150-1),"")</f>
        <v>-3.2963279248505506E-2</v>
      </c>
      <c r="S150" s="129">
        <f>IFERROR(IF(OR(NOT(ISNUMBER('Price History'!S151)),NOT(ISNUMBER('Price History'!S150)),'Price History'!S150=0),"",'Price History'!S151/'Price History'!S150-1),"")</f>
        <v>-6.410423452768732E-2</v>
      </c>
      <c r="T150" s="129">
        <f>IFERROR(IF(OR(NOT(ISNUMBER('Price History'!T151)),NOT(ISNUMBER('Price History'!T150)),'Price History'!T150=0),"",'Price History'!T151/'Price History'!T150-1),"")</f>
        <v>8.6735773217685441E-3</v>
      </c>
      <c r="U150" s="129">
        <f>IFERROR(IF(OR(NOT(ISNUMBER('Price History'!U151)),NOT(ISNUMBER('Price History'!U150)),'Price History'!U150=0),"",'Price History'!U151/'Price History'!U150-1),"")</f>
        <v>1.5868077162414451E-2</v>
      </c>
      <c r="V150" s="130">
        <f>IFERROR(IF(OR(NOT(ISNUMBER('Price History'!V151)),NOT(ISNUMBER('Price History'!V150)),'Price History'!V150=0),"",'Price History'!V151/'Price History'!V150-1),"")</f>
        <v>2.7503445107946778E-2</v>
      </c>
      <c r="W150" s="131">
        <f>IFERROR('Price History'!B3+(INDEX('Price History'!B:B,MATCH(9.99E+307,'Returns (Calc)'!$A:$A)+1)-'Price History'!B3)*(ROW()-3)/(MATCH(9.99E+307,'Returns (Calc)'!$A:$A)-3),"")</f>
        <v>257.96341772151897</v>
      </c>
      <c r="X150" s="131">
        <f>IFERROR('Price History'!C3+(INDEX('Price History'!C:C,MATCH(9.99E+307,'Returns (Calc)'!$A:$A)+1)-'Price History'!C3)*(ROW()-3)/(MATCH(9.99E+307,'Returns (Calc)'!$A:$A)-3),"")</f>
        <v>196.12930379746834</v>
      </c>
      <c r="Y150" s="131">
        <f>IFERROR('Price History'!D3+(INDEX('Price History'!D:D,MATCH(9.99E+307,'Returns (Calc)'!$A:$A)+1)-'Price History'!D3)*(ROW()-3)/(MATCH(9.99E+307,'Returns (Calc)'!$A:$A)-3),"")</f>
        <v>1777.827088607595</v>
      </c>
      <c r="Z150" s="131">
        <f>IFERROR('Price History'!E3+(INDEX('Price History'!E:E,MATCH(9.99E+307,'Returns (Calc)'!$A:$A)+1)-'Price History'!E3)*(ROW()-3)/(MATCH(9.99E+307,'Returns (Calc)'!$A:$A)-3),"")</f>
        <v>336.12392405063287</v>
      </c>
      <c r="AA150" s="131">
        <f>IFERROR('Price History'!F3+(INDEX('Price History'!F:F,MATCH(9.99E+307,'Returns (Calc)'!$A:$A)+1)-'Price History'!F3)*(ROW()-3)/(MATCH(9.99E+307,'Returns (Calc)'!$A:$A)-3),"")</f>
        <v>254.11924050632911</v>
      </c>
      <c r="AB150" s="131">
        <f>IFERROR('Price History'!G3+(INDEX('Price History'!G:G,MATCH(9.99E+307,'Returns (Calc)'!$A:$A)+1)-'Price History'!G3)*(ROW()-3)/(MATCH(9.99E+307,'Returns (Calc)'!$A:$A)-3),"")</f>
        <v>195.57392405063288</v>
      </c>
      <c r="AC150" s="131">
        <f>IFERROR('Price History'!H3+(INDEX('Price History'!H:H,MATCH(9.99E+307,'Returns (Calc)'!$A:$A)+1)-'Price History'!H3)*(ROW()-3)/(MATCH(9.99E+307,'Returns (Calc)'!$A:$A)-3),"")</f>
        <v>1004.8673417721519</v>
      </c>
      <c r="AD150" s="131">
        <f>IFERROR('Price History'!I3+(INDEX('Price History'!I:I,MATCH(9.99E+307,'Returns (Calc)'!$A:$A)+1)-'Price History'!I3)*(ROW()-3)/(MATCH(9.99E+307,'Returns (Calc)'!$A:$A)-3),"")</f>
        <v>220.70962025316453</v>
      </c>
      <c r="AE150" s="131">
        <f>IFERROR('Price History'!J3+(INDEX('Price History'!J:J,MATCH(9.99E+307,'Returns (Calc)'!$A:$A)+1)-'Price History'!J3)*(ROW()-3)/(MATCH(9.99E+307,'Returns (Calc)'!$A:$A)-3),"")</f>
        <v>127.72158227848101</v>
      </c>
      <c r="AF150" s="131">
        <f>IFERROR('Price History'!K3+(INDEX('Price History'!K:K,MATCH(9.99E+307,'Returns (Calc)'!$A:$A)+1)-'Price History'!K3)*(ROW()-3)/(MATCH(9.99E+307,'Returns (Calc)'!$A:$A)-3),"")</f>
        <v>176.67645569620254</v>
      </c>
      <c r="AG150" s="131">
        <f>IFERROR('Price History'!L3+(INDEX('Price History'!L:L,MATCH(9.99E+307,'Returns (Calc)'!$A:$A)+1)-'Price History'!L3)*(ROW()-3)/(MATCH(9.99E+307,'Returns (Calc)'!$A:$A)-3),"")</f>
        <v>445.8348734177215</v>
      </c>
      <c r="AH150" s="131">
        <f>IFERROR('Price History'!M3+(INDEX('Price History'!M:M,MATCH(9.99E+307,'Returns (Calc)'!$A:$A)+1)-'Price History'!M3)*(ROW()-3)/(MATCH(9.99E+307,'Returns (Calc)'!$A:$A)-3),"")</f>
        <v>237.27012658227849</v>
      </c>
      <c r="AI150" s="131">
        <f>IFERROR('Price History'!N3+(INDEX('Price History'!N:N,MATCH(9.99E+307,'Returns (Calc)'!$A:$A)+1)-'Price History'!N3)*(ROW()-3)/(MATCH(9.99E+307,'Returns (Calc)'!$A:$A)-3),"")</f>
        <v>493.88107594936707</v>
      </c>
      <c r="AJ150" s="131">
        <f>IFERROR('Price History'!O3+(INDEX('Price History'!O:O,MATCH(9.99E+307,'Returns (Calc)'!$A:$A)+1)-'Price History'!O3)*(ROW()-3)/(MATCH(9.99E+307,'Returns (Calc)'!$A:$A)-3),"")</f>
        <v>116.91658227848102</v>
      </c>
      <c r="AK150" s="131">
        <f>IFERROR('Price History'!Q3+(INDEX('Price History'!Q:Q,MATCH(9.99E+307,'Returns (Calc)'!$A:$A)+1)-'Price History'!Q3)*(ROW()-3)/(MATCH(9.99E+307,'Returns (Calc)'!$A:$A)-3),"")</f>
        <v>64.586962025316453</v>
      </c>
      <c r="AL150" s="131">
        <f>IFERROR('Price History'!R3+(INDEX('Price History'!R:R,MATCH(9.99E+307,'Returns (Calc)'!$A:$A)+1)-'Price History'!R3)*(ROW()-3)/(MATCH(9.99E+307,'Returns (Calc)'!$A:$A)-3),"")</f>
        <v>59.190886075949365</v>
      </c>
      <c r="AM150" s="131">
        <f>IFERROR('Price History'!S3+(INDEX('Price History'!S:S,MATCH(9.99E+307,'Returns (Calc)'!$A:$A)+1)-'Price History'!S3)*(ROW()-3)/(MATCH(9.99E+307,'Returns (Calc)'!$A:$A)-3),"")</f>
        <v>146.57430379746836</v>
      </c>
      <c r="AN150" s="131">
        <f>IFERROR('Price History'!T3+(INDEX('Price History'!T:T,MATCH(9.99E+307,'Returns (Calc)'!$A:$A)+1)-'Price History'!T3)*(ROW()-3)/(MATCH(9.99E+307,'Returns (Calc)'!$A:$A)-3),"")</f>
        <v>49.969493670886081</v>
      </c>
      <c r="AO150" s="132">
        <f>IFERROR('Price History'!V3+(INDEX('Price History'!V:V,MATCH(9.99E+307,'Returns (Calc)'!$A:$A)+1)-'Price History'!V3)*(ROW()-3)/(MATCH(9.99E+307,'Returns (Calc)'!$A:$A)-3),"")</f>
        <v>351.95537974683543</v>
      </c>
      <c r="AP150" s="130">
        <f>IFERROR(IF(OR(NOT(ISNUMBER('Price History'!W151)),NOT(ISNUMBER('Price History'!W150)),'Price History'!W150=0),"",'Price History'!W151/'Price History'!W150-1),"")</f>
        <v>-5.5565961166259559E-3</v>
      </c>
      <c r="AQ150" s="130">
        <f>IFERROR(IF(OR(NOT(ISNUMBER('Price History'!X151)),NOT(ISNUMBER('Price History'!X150)),'Price History'!X150=0),"",'Price History'!X151/'Price History'!X150-1),"")</f>
        <v>1.3821441912588828E-2</v>
      </c>
      <c r="AR150" s="130">
        <f>IFERROR(IF(OR(NOT(ISNUMBER('Price History'!Y151)),NOT(ISNUMBER('Price History'!Y150)),'Price History'!Y150=0),"",'Price History'!Y151/'Price History'!Y150-1),"")</f>
        <v>-3.5913090321421093E-3</v>
      </c>
      <c r="AS150" s="130">
        <f>IFERROR(IF(OR(NOT(ISNUMBER('Price History'!Z151)),NOT(ISNUMBER('Price History'!Z150)),'Price History'!Z150=0),"",'Price History'!Z151/'Price History'!Z150-1),"")</f>
        <v>-2.9058925042447226E-2</v>
      </c>
      <c r="AT150" s="130">
        <f>IFERROR(IF(OR(NOT(ISNUMBER('Price History'!AA151)),NOT(ISNUMBER('Price History'!AA150)),'Price History'!AA150=0),"",'Price History'!AA151/'Price History'!AA150-1),"")</f>
        <v>-6.0242605969742402E-2</v>
      </c>
    </row>
    <row r="151" spans="1:46" ht="15" customHeight="1" x14ac:dyDescent="0.2">
      <c r="A151" s="128">
        <f>IF('Price History'!A152="","",'Price History'!A152)</f>
        <v>46227</v>
      </c>
      <c r="B151" s="129">
        <f>IFERROR(IF(OR(NOT(ISNUMBER('Price History'!B152)),NOT(ISNUMBER('Price History'!B151)),'Price History'!B151=0),"",'Price History'!B152/'Price History'!B151-1),"")</f>
        <v>-5.1169652265542598E-2</v>
      </c>
      <c r="C151" s="129">
        <f>IFERROR(IF(OR(NOT(ISNUMBER('Price History'!C152)),NOT(ISNUMBER('Price History'!C151)),'Price History'!C151=0),"",'Price History'!C152/'Price History'!C151-1),"")</f>
        <v>3.1907953264930899E-2</v>
      </c>
      <c r="D151" s="129">
        <f>IFERROR(IF(OR(NOT(ISNUMBER('Price History'!D152)),NOT(ISNUMBER('Price History'!D151)),'Price History'!D151=0),"",'Price History'!D152/'Price History'!D151-1),"")</f>
        <v>5.4431279077762351E-3</v>
      </c>
      <c r="E151" s="129">
        <f>IFERROR(IF(OR(NOT(ISNUMBER('Price History'!E152)),NOT(ISNUMBER('Price History'!E151)),'Price History'!E151=0),"",'Price History'!E152/'Price History'!E151-1),"")</f>
        <v>2.9905986600389012E-2</v>
      </c>
      <c r="F151" s="129">
        <f>IFERROR(IF(OR(NOT(ISNUMBER('Price History'!F152)),NOT(ISNUMBER('Price History'!F151)),'Price History'!F151=0),"",'Price History'!F152/'Price History'!F151-1),"")</f>
        <v>-9.7498522749655314E-2</v>
      </c>
      <c r="G151" s="129">
        <f>IFERROR(IF(OR(NOT(ISNUMBER('Price History'!G152)),NOT(ISNUMBER('Price History'!G151)),'Price History'!G151=0),"",'Price History'!G152/'Price History'!G151-1),"")</f>
        <v>-1.0493623829466836E-2</v>
      </c>
      <c r="H151" s="129">
        <f>IFERROR(IF(OR(NOT(ISNUMBER('Price History'!H152)),NOT(ISNUMBER('Price History'!H151)),'Price History'!H151=0),"",'Price History'!H152/'Price History'!H151-1),"")</f>
        <v>8.4810648448082837E-2</v>
      </c>
      <c r="I151" s="129">
        <f>IFERROR(IF(OR(NOT(ISNUMBER('Price History'!I152)),NOT(ISNUMBER('Price History'!I151)),'Price History'!I151=0),"",'Price History'!I152/'Price History'!I151-1),"")</f>
        <v>1.9893375456609741E-2</v>
      </c>
      <c r="J151" s="129">
        <f>IFERROR(IF(OR(NOT(ISNUMBER('Price History'!J152)),NOT(ISNUMBER('Price History'!J151)),'Price History'!J151=0),"",'Price History'!J152/'Price History'!J151-1),"")</f>
        <v>-1.440010766435651E-2</v>
      </c>
      <c r="K151" s="129">
        <f>IFERROR(IF(OR(NOT(ISNUMBER('Price History'!K152)),NOT(ISNUMBER('Price History'!K151)),'Price History'!K151=0),"",'Price History'!K152/'Price History'!K151-1),"")</f>
        <v>-7.1460945762199635E-2</v>
      </c>
      <c r="L151" s="129">
        <f>IFERROR(IF(OR(NOT(ISNUMBER('Price History'!L152)),NOT(ISNUMBER('Price History'!L151)),'Price History'!L151=0),"",'Price History'!L152/'Price History'!L151-1),"")</f>
        <v>1.2660458092121685E-2</v>
      </c>
      <c r="M151" s="129">
        <f>IFERROR(IF(OR(NOT(ISNUMBER('Price History'!M152)),NOT(ISNUMBER('Price History'!M151)),'Price History'!M151=0),"",'Price History'!M152/'Price History'!M151-1),"")</f>
        <v>2.7634806038205895E-3</v>
      </c>
      <c r="N151" s="129">
        <f>IFERROR(IF(OR(NOT(ISNUMBER('Price History'!N152)),NOT(ISNUMBER('Price History'!N151)),'Price History'!N151=0),"",'Price History'!N152/'Price History'!N151-1),"")</f>
        <v>-1.7069906311129368E-2</v>
      </c>
      <c r="O151" s="129">
        <f>IFERROR(IF(OR(NOT(ISNUMBER('Price History'!O152)),NOT(ISNUMBER('Price History'!O151)),'Price History'!O151=0),"",'Price History'!O152/'Price History'!O151-1),"")</f>
        <v>-5.6026892908589421E-4</v>
      </c>
      <c r="P151" s="129">
        <f>IFERROR(IF(OR(NOT(ISNUMBER('Price History'!P152)),NOT(ISNUMBER('Price History'!P151)),'Price History'!P151=0),"",'Price History'!P152/'Price History'!P151-1),"")</f>
        <v>7.1646626378418787E-3</v>
      </c>
      <c r="Q151" s="129">
        <f>IFERROR(IF(OR(NOT(ISNUMBER('Price History'!Q152)),NOT(ISNUMBER('Price History'!Q151)),'Price History'!Q151=0),"",'Price History'!Q152/'Price History'!Q151-1),"")</f>
        <v>-1.7748853719864455E-3</v>
      </c>
      <c r="R151" s="129">
        <f>IFERROR(IF(OR(NOT(ISNUMBER('Price History'!R152)),NOT(ISNUMBER('Price History'!R151)),'Price History'!R151=0),"",'Price History'!R152/'Price History'!R151-1),"")</f>
        <v>-9.3606499470151316E-3</v>
      </c>
      <c r="S151" s="129">
        <f>IFERROR(IF(OR(NOT(ISNUMBER('Price History'!S152)),NOT(ISNUMBER('Price History'!S151)),'Price History'!S151=0),"",'Price History'!S152/'Price History'!S151-1),"")</f>
        <v>1.8167896422107921E-2</v>
      </c>
      <c r="T151" s="129">
        <f>IFERROR(IF(OR(NOT(ISNUMBER('Price History'!T152)),NOT(ISNUMBER('Price History'!T151)),'Price History'!T151=0),"",'Price History'!T152/'Price History'!T151-1),"")</f>
        <v>6.9211409395972812E-3</v>
      </c>
      <c r="U151" s="129">
        <f>IFERROR(IF(OR(NOT(ISNUMBER('Price History'!U152)),NOT(ISNUMBER('Price History'!U151)),'Price History'!U151=0),"",'Price History'!U152/'Price History'!U151-1),"")</f>
        <v>1.1638591117917318E-2</v>
      </c>
      <c r="V151" s="130">
        <f>IFERROR(IF(OR(NOT(ISNUMBER('Price History'!V152)),NOT(ISNUMBER('Price History'!V151)),'Price History'!V151=0),"",'Price History'!V152/'Price History'!V151-1),"")</f>
        <v>-7.8792958927074164E-3</v>
      </c>
      <c r="W151" s="131">
        <f>IFERROR('Price History'!B3+(INDEX('Price History'!B:B,MATCH(9.99E+307,'Returns (Calc)'!$A:$A)+1)-'Price History'!B3)*(ROW()-3)/(MATCH(9.99E+307,'Returns (Calc)'!$A:$A)-3),"")</f>
        <v>256.12037974683545</v>
      </c>
      <c r="X151" s="131">
        <f>IFERROR('Price History'!C3+(INDEX('Price History'!C:C,MATCH(9.99E+307,'Returns (Calc)'!$A:$A)+1)-'Price History'!C3)*(ROW()-3)/(MATCH(9.99E+307,'Returns (Calc)'!$A:$A)-3),"")</f>
        <v>197.14936708860759</v>
      </c>
      <c r="Y151" s="131">
        <f>IFERROR('Price History'!D3+(INDEX('Price History'!D:D,MATCH(9.99E+307,'Returns (Calc)'!$A:$A)+1)-'Price History'!D3)*(ROW()-3)/(MATCH(9.99E+307,'Returns (Calc)'!$A:$A)-3),"")</f>
        <v>1785.9618987341771</v>
      </c>
      <c r="Z151" s="131">
        <f>IFERROR('Price History'!E3+(INDEX('Price History'!E:E,MATCH(9.99E+307,'Returns (Calc)'!$A:$A)+1)-'Price History'!E3)*(ROW()-3)/(MATCH(9.99E+307,'Returns (Calc)'!$A:$A)-3),"")</f>
        <v>337.85265822784811</v>
      </c>
      <c r="AA151" s="131">
        <f>IFERROR('Price History'!F3+(INDEX('Price History'!F:F,MATCH(9.99E+307,'Returns (Calc)'!$A:$A)+1)-'Price History'!F3)*(ROW()-3)/(MATCH(9.99E+307,'Returns (Calc)'!$A:$A)-3),"")</f>
        <v>255.56658227848101</v>
      </c>
      <c r="AB151" s="131">
        <f>IFERROR('Price History'!G3+(INDEX('Price History'!G:G,MATCH(9.99E+307,'Returns (Calc)'!$A:$A)+1)-'Price History'!G3)*(ROW()-3)/(MATCH(9.99E+307,'Returns (Calc)'!$A:$A)-3),"")</f>
        <v>196.60265822784808</v>
      </c>
      <c r="AC151" s="131">
        <f>IFERROR('Price History'!H3+(INDEX('Price History'!H:H,MATCH(9.99E+307,'Returns (Calc)'!$A:$A)+1)-'Price History'!H3)*(ROW()-3)/(MATCH(9.99E+307,'Returns (Calc)'!$A:$A)-3),"")</f>
        <v>1011.2330379746836</v>
      </c>
      <c r="AD151" s="131">
        <f>IFERROR('Price History'!I3+(INDEX('Price History'!I:I,MATCH(9.99E+307,'Returns (Calc)'!$A:$A)+1)-'Price History'!I3)*(ROW()-3)/(MATCH(9.99E+307,'Returns (Calc)'!$A:$A)-3),"")</f>
        <v>221.9132911392405</v>
      </c>
      <c r="AE151" s="131">
        <f>IFERROR('Price History'!J3+(INDEX('Price History'!J:J,MATCH(9.99E+307,'Returns (Calc)'!$A:$A)+1)-'Price History'!J3)*(ROW()-3)/(MATCH(9.99E+307,'Returns (Calc)'!$A:$A)-3),"")</f>
        <v>127.82962025316455</v>
      </c>
      <c r="AF151" s="131">
        <f>IFERROR('Price History'!K3+(INDEX('Price History'!K:K,MATCH(9.99E+307,'Returns (Calc)'!$A:$A)+1)-'Price History'!K3)*(ROW()-3)/(MATCH(9.99E+307,'Returns (Calc)'!$A:$A)-3),"")</f>
        <v>177.77405063291141</v>
      </c>
      <c r="AG151" s="131">
        <f>IFERROR('Price History'!L3+(INDEX('Price History'!L:L,MATCH(9.99E+307,'Returns (Calc)'!$A:$A)+1)-'Price History'!L3)*(ROW()-3)/(MATCH(9.99E+307,'Returns (Calc)'!$A:$A)-3),"")</f>
        <v>448.28443037974682</v>
      </c>
      <c r="AH151" s="131">
        <f>IFERROR('Price History'!M3+(INDEX('Price History'!M:M,MATCH(9.99E+307,'Returns (Calc)'!$A:$A)+1)-'Price History'!M3)*(ROW()-3)/(MATCH(9.99E+307,'Returns (Calc)'!$A:$A)-3),"")</f>
        <v>238.62556962025317</v>
      </c>
      <c r="AI151" s="131">
        <f>IFERROR('Price History'!N3+(INDEX('Price History'!N:N,MATCH(9.99E+307,'Returns (Calc)'!$A:$A)+1)-'Price History'!N3)*(ROW()-3)/(MATCH(9.99E+307,'Returns (Calc)'!$A:$A)-3),"")</f>
        <v>494.86734177215192</v>
      </c>
      <c r="AJ151" s="131">
        <f>IFERROR('Price History'!O3+(INDEX('Price History'!O:O,MATCH(9.99E+307,'Returns (Calc)'!$A:$A)+1)-'Price History'!O3)*(ROW()-3)/(MATCH(9.99E+307,'Returns (Calc)'!$A:$A)-3),"")</f>
        <v>117.19962025316455</v>
      </c>
      <c r="AK151" s="131">
        <f>IFERROR('Price History'!Q3+(INDEX('Price History'!Q:Q,MATCH(9.99E+307,'Returns (Calc)'!$A:$A)+1)-'Price History'!Q3)*(ROW()-3)/(MATCH(9.99E+307,'Returns (Calc)'!$A:$A)-3),"")</f>
        <v>65.026329113924049</v>
      </c>
      <c r="AL151" s="131">
        <f>IFERROR('Price History'!R3+(INDEX('Price History'!R:R,MATCH(9.99E+307,'Returns (Calc)'!$A:$A)+1)-'Price History'!R3)*(ROW()-3)/(MATCH(9.99E+307,'Returns (Calc)'!$A:$A)-3),"")</f>
        <v>59.358987341772149</v>
      </c>
      <c r="AM151" s="131">
        <f>IFERROR('Price History'!S3+(INDEX('Price History'!S:S,MATCH(9.99E+307,'Returns (Calc)'!$A:$A)+1)-'Price History'!S3)*(ROW()-3)/(MATCH(9.99E+307,'Returns (Calc)'!$A:$A)-3),"")</f>
        <v>147.17936708860759</v>
      </c>
      <c r="AN151" s="131">
        <f>IFERROR('Price History'!T3+(INDEX('Price History'!T:T,MATCH(9.99E+307,'Returns (Calc)'!$A:$A)+1)-'Price History'!T3)*(ROW()-3)/(MATCH(9.99E+307,'Returns (Calc)'!$A:$A)-3),"")</f>
        <v>50.137721518987341</v>
      </c>
      <c r="AO151" s="132">
        <f>IFERROR('Price History'!V3+(INDEX('Price History'!V:V,MATCH(9.99E+307,'Returns (Calc)'!$A:$A)+1)-'Price History'!V3)*(ROW()-3)/(MATCH(9.99E+307,'Returns (Calc)'!$A:$A)-3),"")</f>
        <v>352.74670886075955</v>
      </c>
      <c r="AP151" s="130">
        <f>IFERROR(IF(OR(NOT(ISNUMBER('Price History'!W152)),NOT(ISNUMBER('Price History'!W151)),'Price History'!W151=0),"",'Price History'!W152/'Price History'!W151-1),"")</f>
        <v>1.2870416875941704E-2</v>
      </c>
      <c r="AQ151" s="130">
        <f>IFERROR(IF(OR(NOT(ISNUMBER('Price History'!X152)),NOT(ISNUMBER('Price History'!X151)),'Price History'!X151=0),"",'Price History'!X152/'Price History'!X151-1),"")</f>
        <v>-1.8422991893884966E-4</v>
      </c>
      <c r="AR151" s="130">
        <f>IFERROR(IF(OR(NOT(ISNUMBER('Price History'!Y152)),NOT(ISNUMBER('Price History'!Y151)),'Price History'!Y151=0),"",'Price History'!Y152/'Price History'!Y151-1),"")</f>
        <v>4.325103622274229E-3</v>
      </c>
      <c r="AS151" s="130">
        <f>IFERROR(IF(OR(NOT(ISNUMBER('Price History'!Z152)),NOT(ISNUMBER('Price History'!Z151)),'Price History'!Z151=0),"",'Price History'!Z152/'Price History'!Z151-1),"")</f>
        <v>1.4046956970444224E-2</v>
      </c>
      <c r="AT151" s="130">
        <f>IFERROR(IF(OR(NOT(ISNUMBER('Price History'!AA152)),NOT(ISNUMBER('Price History'!AA151)),'Price History'!AA151=0),"",'Price History'!AA152/'Price History'!AA151-1),"")</f>
        <v>1.6533720087019477E-2</v>
      </c>
    </row>
    <row r="152" spans="1:46" ht="15" customHeight="1" x14ac:dyDescent="0.2">
      <c r="A152" s="128">
        <f>IF('Price History'!A153="","",'Price History'!A153)</f>
        <v>46234</v>
      </c>
      <c r="B152" s="129">
        <f>IFERROR(IF(OR(NOT(ISNUMBER('Price History'!B153)),NOT(ISNUMBER('Price History'!B152)),'Price History'!B152=0),"",'Price History'!B153/'Price History'!B152-1),"")</f>
        <v>0.11238949846741586</v>
      </c>
      <c r="C152" s="129">
        <f>IFERROR(IF(OR(NOT(ISNUMBER('Price History'!C153)),NOT(ISNUMBER('Price History'!C152)),'Price History'!C152=0),"",'Price History'!C153/'Price History'!C152-1),"")</f>
        <v>3.6553824932467283E-2</v>
      </c>
      <c r="D152" s="129">
        <f>IFERROR(IF(OR(NOT(ISNUMBER('Price History'!D153)),NOT(ISNUMBER('Price History'!D152)),'Price History'!D152=0),"",'Price History'!D153/'Price History'!D152-1),"")</f>
        <v>-7.1699661503743961E-2</v>
      </c>
      <c r="E152" s="129">
        <f>IFERROR(IF(OR(NOT(ISNUMBER('Price History'!E153)),NOT(ISNUMBER('Price History'!E152)),'Price History'!E152=0),"",'Price History'!E153/'Price History'!E152-1),"")</f>
        <v>1.9253469034441029E-2</v>
      </c>
      <c r="F152" s="129">
        <f>IFERROR(IF(OR(NOT(ISNUMBER('Price History'!F153)),NOT(ISNUMBER('Price History'!F152)),'Price History'!F152=0),"",'Price History'!F153/'Price History'!F152-1),"")</f>
        <v>4.1357485814055073E-2</v>
      </c>
      <c r="G152" s="129">
        <f>IFERROR(IF(OR(NOT(ISNUMBER('Price History'!G153)),NOT(ISNUMBER('Price History'!G152)),'Price History'!G152=0),"",'Price History'!G153/'Price History'!G152-1),"")</f>
        <v>-0.13158645615369979</v>
      </c>
      <c r="H152" s="129">
        <f>IFERROR(IF(OR(NOT(ISNUMBER('Price History'!H153)),NOT(ISNUMBER('Price History'!H152)),'Price History'!H152=0),"",'Price History'!H153/'Price History'!H152-1),"")</f>
        <v>-0.1063249904989414</v>
      </c>
      <c r="I152" s="129">
        <f>IFERROR(IF(OR(NOT(ISNUMBER('Price History'!I153)),NOT(ISNUMBER('Price History'!I152)),'Price History'!I152=0),"",'Price History'!I153/'Price History'!I152-1),"")</f>
        <v>-2.942742364841977E-2</v>
      </c>
      <c r="J152" s="129">
        <f>IFERROR(IF(OR(NOT(ISNUMBER('Price History'!J153)),NOT(ISNUMBER('Price History'!J152)),'Price History'!J152=0),"",'Price History'!J153/'Price History'!J152-1),"")</f>
        <v>-2.0482009967911496E-2</v>
      </c>
      <c r="K152" s="129">
        <f>IFERROR(IF(OR(NOT(ISNUMBER('Price History'!K153)),NOT(ISNUMBER('Price History'!K152)),'Price History'!K152=0),"",'Price History'!K153/'Price History'!K152-1),"")</f>
        <v>1.138952164009055E-3</v>
      </c>
      <c r="L152" s="129">
        <f>IFERROR(IF(OR(NOT(ISNUMBER('Price History'!L153)),NOT(ISNUMBER('Price History'!L152)),'Price History'!L152=0),"",'Price History'!L153/'Price History'!L152-1),"")</f>
        <v>2.0878383416598201E-3</v>
      </c>
      <c r="M152" s="129">
        <f>IFERROR(IF(OR(NOT(ISNUMBER('Price History'!M153)),NOT(ISNUMBER('Price History'!M152)),'Price History'!M152=0),"",'Price History'!M153/'Price History'!M152-1),"")</f>
        <v>-0.16803885769403015</v>
      </c>
      <c r="N152" s="129">
        <f>IFERROR(IF(OR(NOT(ISNUMBER('Price History'!N153)),NOT(ISNUMBER('Price History'!N152)),'Price History'!N152=0),"",'Price History'!N153/'Price History'!N152-1),"")</f>
        <v>-5.4466230936822679E-4</v>
      </c>
      <c r="O152" s="129">
        <f>IFERROR(IF(OR(NOT(ISNUMBER('Price History'!O153)),NOT(ISNUMBER('Price History'!O152)),'Price History'!O152=0),"",'Price History'!O153/'Price History'!O152-1),"")</f>
        <v>0</v>
      </c>
      <c r="P152" s="129">
        <f>IFERROR(IF(OR(NOT(ISNUMBER('Price History'!P153)),NOT(ISNUMBER('Price History'!P152)),'Price History'!P152=0),"",'Price History'!P153/'Price History'!P152-1),"")</f>
        <v>-1.0948905109489093E-2</v>
      </c>
      <c r="Q152" s="129">
        <f>IFERROR(IF(OR(NOT(ISNUMBER('Price History'!Q153)),NOT(ISNUMBER('Price History'!Q152)),'Price History'!Q152=0),"",'Price History'!Q153/'Price History'!Q152-1),"")</f>
        <v>1.2890798636835177E-2</v>
      </c>
      <c r="R152" s="129">
        <f>IFERROR(IF(OR(NOT(ISNUMBER('Price History'!R153)),NOT(ISNUMBER('Price History'!R152)),'Price History'!R152=0),"",'Price History'!R153/'Price History'!R152-1),"")</f>
        <v>4.9919771795328138E-3</v>
      </c>
      <c r="S152" s="129">
        <f>IFERROR(IF(OR(NOT(ISNUMBER('Price History'!S153)),NOT(ISNUMBER('Price History'!S152)),'Price History'!S152=0),"",'Price History'!S153/'Price History'!S152-1),"")</f>
        <v>-1.825391399466747E-2</v>
      </c>
      <c r="T152" s="129">
        <f>IFERROR(IF(OR(NOT(ISNUMBER('Price History'!T153)),NOT(ISNUMBER('Price History'!T152)),'Price History'!T152=0),"",'Price History'!T153/'Price History'!T152-1),"")</f>
        <v>3.33263903353469E-2</v>
      </c>
      <c r="U152" s="129">
        <f>IFERROR(IF(OR(NOT(ISNUMBER('Price History'!U153)),NOT(ISNUMBER('Price History'!U152)),'Price History'!U152=0),"",'Price History'!U153/'Price History'!U152-1),"")</f>
        <v>5.4495912806540314E-3</v>
      </c>
      <c r="V152" s="130">
        <f>IFERROR(IF(OR(NOT(ISNUMBER('Price History'!V153)),NOT(ISNUMBER('Price History'!V152)),'Price History'!V152=0),"",'Price History'!V153/'Price History'!V152-1),"")</f>
        <v>2.9204686267883417E-2</v>
      </c>
      <c r="W152" s="131">
        <f>IFERROR('Price History'!B3+(INDEX('Price History'!B:B,MATCH(9.99E+307,'Returns (Calc)'!$A:$A)+1)-'Price History'!B3)*(ROW()-3)/(MATCH(9.99E+307,'Returns (Calc)'!$A:$A)-3),"")</f>
        <v>254.27734177215189</v>
      </c>
      <c r="X152" s="131">
        <f>IFERROR('Price History'!C3+(INDEX('Price History'!C:C,MATCH(9.99E+307,'Returns (Calc)'!$A:$A)+1)-'Price History'!C3)*(ROW()-3)/(MATCH(9.99E+307,'Returns (Calc)'!$A:$A)-3),"")</f>
        <v>198.16943037974684</v>
      </c>
      <c r="Y152" s="131">
        <f>IFERROR('Price History'!D3+(INDEX('Price History'!D:D,MATCH(9.99E+307,'Returns (Calc)'!$A:$A)+1)-'Price History'!D3)*(ROW()-3)/(MATCH(9.99E+307,'Returns (Calc)'!$A:$A)-3),"")</f>
        <v>1794.0967088607595</v>
      </c>
      <c r="Z152" s="131">
        <f>IFERROR('Price History'!E3+(INDEX('Price History'!E:E,MATCH(9.99E+307,'Returns (Calc)'!$A:$A)+1)-'Price History'!E3)*(ROW()-3)/(MATCH(9.99E+307,'Returns (Calc)'!$A:$A)-3),"")</f>
        <v>339.5813924050633</v>
      </c>
      <c r="AA152" s="131">
        <f>IFERROR('Price History'!F3+(INDEX('Price History'!F:F,MATCH(9.99E+307,'Returns (Calc)'!$A:$A)+1)-'Price History'!F3)*(ROW()-3)/(MATCH(9.99E+307,'Returns (Calc)'!$A:$A)-3),"")</f>
        <v>257.01392405063291</v>
      </c>
      <c r="AB152" s="131">
        <f>IFERROR('Price History'!G3+(INDEX('Price History'!G:G,MATCH(9.99E+307,'Returns (Calc)'!$A:$A)+1)-'Price History'!G3)*(ROW()-3)/(MATCH(9.99E+307,'Returns (Calc)'!$A:$A)-3),"")</f>
        <v>197.63139240506328</v>
      </c>
      <c r="AC152" s="131">
        <f>IFERROR('Price History'!H3+(INDEX('Price History'!H:H,MATCH(9.99E+307,'Returns (Calc)'!$A:$A)+1)-'Price History'!H3)*(ROW()-3)/(MATCH(9.99E+307,'Returns (Calc)'!$A:$A)-3),"")</f>
        <v>1017.5987341772152</v>
      </c>
      <c r="AD152" s="131">
        <f>IFERROR('Price History'!I3+(INDEX('Price History'!I:I,MATCH(9.99E+307,'Returns (Calc)'!$A:$A)+1)-'Price History'!I3)*(ROW()-3)/(MATCH(9.99E+307,'Returns (Calc)'!$A:$A)-3),"")</f>
        <v>223.11696202531644</v>
      </c>
      <c r="AE152" s="131">
        <f>IFERROR('Price History'!J3+(INDEX('Price History'!J:J,MATCH(9.99E+307,'Returns (Calc)'!$A:$A)+1)-'Price History'!J3)*(ROW()-3)/(MATCH(9.99E+307,'Returns (Calc)'!$A:$A)-3),"")</f>
        <v>127.93765822784809</v>
      </c>
      <c r="AF152" s="131">
        <f>IFERROR('Price History'!K3+(INDEX('Price History'!K:K,MATCH(9.99E+307,'Returns (Calc)'!$A:$A)+1)-'Price History'!K3)*(ROW()-3)/(MATCH(9.99E+307,'Returns (Calc)'!$A:$A)-3),"")</f>
        <v>178.87164556962026</v>
      </c>
      <c r="AG152" s="131">
        <f>IFERROR('Price History'!L3+(INDEX('Price History'!L:L,MATCH(9.99E+307,'Returns (Calc)'!$A:$A)+1)-'Price History'!L3)*(ROW()-3)/(MATCH(9.99E+307,'Returns (Calc)'!$A:$A)-3),"")</f>
        <v>450.73398734177209</v>
      </c>
      <c r="AH152" s="131">
        <f>IFERROR('Price History'!M3+(INDEX('Price History'!M:M,MATCH(9.99E+307,'Returns (Calc)'!$A:$A)+1)-'Price History'!M3)*(ROW()-3)/(MATCH(9.99E+307,'Returns (Calc)'!$A:$A)-3),"")</f>
        <v>239.98101265822785</v>
      </c>
      <c r="AI152" s="131">
        <f>IFERROR('Price History'!N3+(INDEX('Price History'!N:N,MATCH(9.99E+307,'Returns (Calc)'!$A:$A)+1)-'Price History'!N3)*(ROW()-3)/(MATCH(9.99E+307,'Returns (Calc)'!$A:$A)-3),"")</f>
        <v>495.85360759493676</v>
      </c>
      <c r="AJ152" s="131">
        <f>IFERROR('Price History'!O3+(INDEX('Price History'!O:O,MATCH(9.99E+307,'Returns (Calc)'!$A:$A)+1)-'Price History'!O3)*(ROW()-3)/(MATCH(9.99E+307,'Returns (Calc)'!$A:$A)-3),"")</f>
        <v>117.48265822784811</v>
      </c>
      <c r="AK152" s="131">
        <f>IFERROR('Price History'!Q3+(INDEX('Price History'!Q:Q,MATCH(9.99E+307,'Returns (Calc)'!$A:$A)+1)-'Price History'!Q3)*(ROW()-3)/(MATCH(9.99E+307,'Returns (Calc)'!$A:$A)-3),"")</f>
        <v>65.465696202531646</v>
      </c>
      <c r="AL152" s="131">
        <f>IFERROR('Price History'!R3+(INDEX('Price History'!R:R,MATCH(9.99E+307,'Returns (Calc)'!$A:$A)+1)-'Price History'!R3)*(ROW()-3)/(MATCH(9.99E+307,'Returns (Calc)'!$A:$A)-3),"")</f>
        <v>59.527088607594933</v>
      </c>
      <c r="AM152" s="131">
        <f>IFERROR('Price History'!S3+(INDEX('Price History'!S:S,MATCH(9.99E+307,'Returns (Calc)'!$A:$A)+1)-'Price History'!S3)*(ROW()-3)/(MATCH(9.99E+307,'Returns (Calc)'!$A:$A)-3),"")</f>
        <v>147.78443037974682</v>
      </c>
      <c r="AN152" s="131">
        <f>IFERROR('Price History'!T3+(INDEX('Price History'!T:T,MATCH(9.99E+307,'Returns (Calc)'!$A:$A)+1)-'Price History'!T3)*(ROW()-3)/(MATCH(9.99E+307,'Returns (Calc)'!$A:$A)-3),"")</f>
        <v>50.305949367088601</v>
      </c>
      <c r="AO152" s="132">
        <f>IFERROR('Price History'!V3+(INDEX('Price History'!V:V,MATCH(9.99E+307,'Returns (Calc)'!$A:$A)+1)-'Price History'!V3)*(ROW()-3)/(MATCH(9.99E+307,'Returns (Calc)'!$A:$A)-3),"")</f>
        <v>353.53803797468356</v>
      </c>
      <c r="AP152" s="130">
        <f>IFERROR(IF(OR(NOT(ISNUMBER('Price History'!W153)),NOT(ISNUMBER('Price History'!W152)),'Price History'!W152=0),"",'Price History'!W153/'Price History'!W152-1),"")</f>
        <v>-1.6116035455279176E-3</v>
      </c>
      <c r="AQ152" s="130">
        <f>IFERROR(IF(OR(NOT(ISNUMBER('Price History'!X153)),NOT(ISNUMBER('Price History'!X152)),'Price History'!X152=0),"",'Price History'!X153/'Price History'!X152-1),"")</f>
        <v>-2.174313617099688E-2</v>
      </c>
      <c r="AR152" s="130">
        <f>IFERROR(IF(OR(NOT(ISNUMBER('Price History'!Y153)),NOT(ISNUMBER('Price History'!Y152)),'Price History'!Y152=0),"",'Price History'!Y153/'Price History'!Y152-1),"")</f>
        <v>1.1125067288713542E-2</v>
      </c>
      <c r="AS152" s="130">
        <f>IFERROR(IF(OR(NOT(ISNUMBER('Price History'!Z153)),NOT(ISNUMBER('Price History'!Z152)),'Price History'!Z152=0),"",'Price History'!Z153/'Price History'!Z152-1),"")</f>
        <v>1.7923274814123591E-2</v>
      </c>
      <c r="AT152" s="130">
        <f>IFERROR(IF(OR(NOT(ISNUMBER('Price History'!AA153)),NOT(ISNUMBER('Price History'!AA152)),'Price History'!AA152=0),"",'Price History'!AA153/'Price History'!AA152-1),"")</f>
        <v>2.3113140248252062E-2</v>
      </c>
    </row>
    <row r="153" spans="1:46" ht="15" customHeight="1" x14ac:dyDescent="0.2">
      <c r="A153" s="128">
        <f>IF('Price History'!A154="","",'Price History'!A154)</f>
        <v>46241</v>
      </c>
      <c r="B153" s="129">
        <f>IFERROR(IF(OR(NOT(ISNUMBER('Price History'!B154)),NOT(ISNUMBER('Price History'!B153)),'Price History'!B153=0),"",'Price History'!B154/'Price History'!B153-1),"")</f>
        <v>5.9103070963619553E-2</v>
      </c>
      <c r="C153" s="129">
        <f>IFERROR(IF(OR(NOT(ISNUMBER('Price History'!C154)),NOT(ISNUMBER('Price History'!C153)),'Price History'!C153=0),"",'Price History'!C154/'Price History'!C153-1),"")</f>
        <v>4.6132520099805951E-2</v>
      </c>
      <c r="D153" s="129">
        <f>IFERROR(IF(OR(NOT(ISNUMBER('Price History'!D154)),NOT(ISNUMBER('Price History'!D153)),'Price History'!D153=0),"",'Price History'!D154/'Price History'!D153-1),"")</f>
        <v>6.8747697974217425E-2</v>
      </c>
      <c r="E153" s="129">
        <f>IFERROR(IF(OR(NOT(ISNUMBER('Price History'!E154)),NOT(ISNUMBER('Price History'!E153)),'Price History'!E153=0),"",'Price History'!E154/'Price History'!E153-1),"")</f>
        <v>9.8849628123632849E-2</v>
      </c>
      <c r="F153" s="129">
        <f>IFERROR(IF(OR(NOT(ISNUMBER('Price History'!F154)),NOT(ISNUMBER('Price History'!F153)),'Price History'!F153=0),"",'Price History'!F154/'Price History'!F153-1),"")</f>
        <v>0.12344126584931359</v>
      </c>
      <c r="G153" s="129">
        <f>IFERROR(IF(OR(NOT(ISNUMBER('Price History'!G154)),NOT(ISNUMBER('Price History'!G153)),'Price History'!G153=0),"",'Price History'!G154/'Price History'!G153-1),"")</f>
        <v>8.3675592793384546E-2</v>
      </c>
      <c r="H153" s="129">
        <f>IFERROR(IF(OR(NOT(ISNUMBER('Price History'!H154)),NOT(ISNUMBER('Price History'!H153)),'Price History'!H153=0),"",'Price History'!H154/'Price History'!H153-1),"")</f>
        <v>6.6267329258957952E-2</v>
      </c>
      <c r="I153" s="129">
        <f>IFERROR(IF(OR(NOT(ISNUMBER('Price History'!I154)),NOT(ISNUMBER('Price History'!I153)),'Price History'!I153=0),"",'Price History'!I154/'Price History'!I153-1),"")</f>
        <v>0.11559367675659504</v>
      </c>
      <c r="J153" s="129">
        <f>IFERROR(IF(OR(NOT(ISNUMBER('Price History'!J154)),NOT(ISNUMBER('Price History'!J153)),'Price History'!J153=0),"",'Price History'!J154/'Price History'!J153-1),"")</f>
        <v>-3.0738133407681056E-2</v>
      </c>
      <c r="K153" s="129">
        <f>IFERROR(IF(OR(NOT(ISNUMBER('Price History'!K154)),NOT(ISNUMBER('Price History'!K153)),'Price History'!K153=0),"",'Price History'!K154/'Price History'!K153-1),"")</f>
        <v>0.39777344384852897</v>
      </c>
      <c r="L153" s="129">
        <f>IFERROR(IF(OR(NOT(ISNUMBER('Price History'!L154)),NOT(ISNUMBER('Price History'!L153)),'Price History'!L153=0),"",'Price History'!L154/'Price History'!L153-1),"")</f>
        <v>3.9065406652280643E-2</v>
      </c>
      <c r="M153" s="129">
        <f>IFERROR(IF(OR(NOT(ISNUMBER('Price History'!M154)),NOT(ISNUMBER('Price History'!M153)),'Price History'!M153=0),"",'Price History'!M154/'Price History'!M153-1),"")</f>
        <v>0.12761376340524189</v>
      </c>
      <c r="N153" s="129">
        <f>IFERROR(IF(OR(NOT(ISNUMBER('Price History'!N154)),NOT(ISNUMBER('Price History'!N153)),'Price History'!N153=0),"",'Price History'!N154/'Price History'!N153-1),"")</f>
        <v>3.9761056382309645E-2</v>
      </c>
      <c r="O153" s="129">
        <f>IFERROR(IF(OR(NOT(ISNUMBER('Price History'!O154)),NOT(ISNUMBER('Price History'!O153)),'Price History'!O153=0),"",'Price History'!O154/'Price History'!O153-1),"")</f>
        <v>1.2813325858893165E-2</v>
      </c>
      <c r="P153" s="129">
        <f>IFERROR(IF(OR(NOT(ISNUMBER('Price History'!P154)),NOT(ISNUMBER('Price History'!P153)),'Price History'!P153=0),"",'Price History'!P154/'Price History'!P153-1),"")</f>
        <v>4.3154668834826104E-3</v>
      </c>
      <c r="Q153" s="129">
        <f>IFERROR(IF(OR(NOT(ISNUMBER('Price History'!Q154)),NOT(ISNUMBER('Price History'!Q153)),'Price History'!Q153=0),"",'Price History'!Q154/'Price History'!Q153-1),"")</f>
        <v>2.062609713282626E-2</v>
      </c>
      <c r="R153" s="129">
        <f>IFERROR(IF(OR(NOT(ISNUMBER('Price History'!R154)),NOT(ISNUMBER('Price History'!R153)),'Price History'!R153=0),"",'Price History'!R154/'Price History'!R153-1),"")</f>
        <v>3.8140855064750845E-2</v>
      </c>
      <c r="S153" s="129">
        <f>IFERROR(IF(OR(NOT(ISNUMBER('Price History'!S154)),NOT(ISNUMBER('Price History'!S153)),'Price History'!S153=0),"",'Price History'!S154/'Price History'!S153-1),"")</f>
        <v>4.0738161559888519E-2</v>
      </c>
      <c r="T153" s="129">
        <f>IFERROR(IF(OR(NOT(ISNUMBER('Price History'!T154)),NOT(ISNUMBER('Price History'!T153)),'Price History'!T153=0),"",'Price History'!T154/'Price History'!T153-1),"")</f>
        <v>3.5275146139891245E-2</v>
      </c>
      <c r="U153" s="129">
        <f>IFERROR(IF(OR(NOT(ISNUMBER('Price History'!U154)),NOT(ISNUMBER('Price History'!U153)),'Price History'!U153=0),"",'Price History'!U154/'Price History'!U153-1),"")</f>
        <v>1.2646793134598155E-2</v>
      </c>
      <c r="V153" s="130">
        <f>IFERROR(IF(OR(NOT(ISNUMBER('Price History'!V154)),NOT(ISNUMBER('Price History'!V153)),'Price History'!V153=0),"",'Price History'!V154/'Price History'!V153-1),"")</f>
        <v>-9.9055958407443523E-3</v>
      </c>
      <c r="W153" s="131">
        <f>IFERROR('Price History'!B3+(INDEX('Price History'!B:B,MATCH(9.99E+307,'Returns (Calc)'!$A:$A)+1)-'Price History'!B3)*(ROW()-3)/(MATCH(9.99E+307,'Returns (Calc)'!$A:$A)-3),"")</f>
        <v>252.43430379746832</v>
      </c>
      <c r="X153" s="131">
        <f>IFERROR('Price History'!C3+(INDEX('Price History'!C:C,MATCH(9.99E+307,'Returns (Calc)'!$A:$A)+1)-'Price History'!C3)*(ROW()-3)/(MATCH(9.99E+307,'Returns (Calc)'!$A:$A)-3),"")</f>
        <v>199.18949367088607</v>
      </c>
      <c r="Y153" s="131">
        <f>IFERROR('Price History'!D3+(INDEX('Price History'!D:D,MATCH(9.99E+307,'Returns (Calc)'!$A:$A)+1)-'Price History'!D3)*(ROW()-3)/(MATCH(9.99E+307,'Returns (Calc)'!$A:$A)-3),"")</f>
        <v>1802.2315189873418</v>
      </c>
      <c r="Z153" s="131">
        <f>IFERROR('Price History'!E3+(INDEX('Price History'!E:E,MATCH(9.99E+307,'Returns (Calc)'!$A:$A)+1)-'Price History'!E3)*(ROW()-3)/(MATCH(9.99E+307,'Returns (Calc)'!$A:$A)-3),"")</f>
        <v>341.31012658227849</v>
      </c>
      <c r="AA153" s="131">
        <f>IFERROR('Price History'!F3+(INDEX('Price History'!F:F,MATCH(9.99E+307,'Returns (Calc)'!$A:$A)+1)-'Price History'!F3)*(ROW()-3)/(MATCH(9.99E+307,'Returns (Calc)'!$A:$A)-3),"")</f>
        <v>258.46126582278481</v>
      </c>
      <c r="AB153" s="131">
        <f>IFERROR('Price History'!G3+(INDEX('Price History'!G:G,MATCH(9.99E+307,'Returns (Calc)'!$A:$A)+1)-'Price History'!G3)*(ROW()-3)/(MATCH(9.99E+307,'Returns (Calc)'!$A:$A)-3),"")</f>
        <v>198.66012658227848</v>
      </c>
      <c r="AC153" s="131">
        <f>IFERROR('Price History'!H3+(INDEX('Price History'!H:H,MATCH(9.99E+307,'Returns (Calc)'!$A:$A)+1)-'Price History'!H3)*(ROW()-3)/(MATCH(9.99E+307,'Returns (Calc)'!$A:$A)-3),"")</f>
        <v>1023.9644303797469</v>
      </c>
      <c r="AD153" s="131">
        <f>IFERROR('Price History'!I3+(INDEX('Price History'!I:I,MATCH(9.99E+307,'Returns (Calc)'!$A:$A)+1)-'Price History'!I3)*(ROW()-3)/(MATCH(9.99E+307,'Returns (Calc)'!$A:$A)-3),"")</f>
        <v>224.32063291139238</v>
      </c>
      <c r="AE153" s="131">
        <f>IFERROR('Price History'!J3+(INDEX('Price History'!J:J,MATCH(9.99E+307,'Returns (Calc)'!$A:$A)+1)-'Price History'!J3)*(ROW()-3)/(MATCH(9.99E+307,'Returns (Calc)'!$A:$A)-3),"")</f>
        <v>128.04569620253164</v>
      </c>
      <c r="AF153" s="131">
        <f>IFERROR('Price History'!K3+(INDEX('Price History'!K:K,MATCH(9.99E+307,'Returns (Calc)'!$A:$A)+1)-'Price History'!K3)*(ROW()-3)/(MATCH(9.99E+307,'Returns (Calc)'!$A:$A)-3),"")</f>
        <v>179.9692405063291</v>
      </c>
      <c r="AG153" s="131">
        <f>IFERROR('Price History'!L3+(INDEX('Price History'!L:L,MATCH(9.99E+307,'Returns (Calc)'!$A:$A)+1)-'Price History'!L3)*(ROW()-3)/(MATCH(9.99E+307,'Returns (Calc)'!$A:$A)-3),"")</f>
        <v>453.18354430379742</v>
      </c>
      <c r="AH153" s="131">
        <f>IFERROR('Price History'!M3+(INDEX('Price History'!M:M,MATCH(9.99E+307,'Returns (Calc)'!$A:$A)+1)-'Price History'!M3)*(ROW()-3)/(MATCH(9.99E+307,'Returns (Calc)'!$A:$A)-3),"")</f>
        <v>241.33645569620253</v>
      </c>
      <c r="AI153" s="131">
        <f>IFERROR('Price History'!N3+(INDEX('Price History'!N:N,MATCH(9.99E+307,'Returns (Calc)'!$A:$A)+1)-'Price History'!N3)*(ROW()-3)/(MATCH(9.99E+307,'Returns (Calc)'!$A:$A)-3),"")</f>
        <v>496.83987341772155</v>
      </c>
      <c r="AJ153" s="131">
        <f>IFERROR('Price History'!O3+(INDEX('Price History'!O:O,MATCH(9.99E+307,'Returns (Calc)'!$A:$A)+1)-'Price History'!O3)*(ROW()-3)/(MATCH(9.99E+307,'Returns (Calc)'!$A:$A)-3),"")</f>
        <v>117.76569620253164</v>
      </c>
      <c r="AK153" s="131">
        <f>IFERROR('Price History'!Q3+(INDEX('Price History'!Q:Q,MATCH(9.99E+307,'Returns (Calc)'!$A:$A)+1)-'Price History'!Q3)*(ROW()-3)/(MATCH(9.99E+307,'Returns (Calc)'!$A:$A)-3),"")</f>
        <v>65.905063291139243</v>
      </c>
      <c r="AL153" s="131">
        <f>IFERROR('Price History'!R3+(INDEX('Price History'!R:R,MATCH(9.99E+307,'Returns (Calc)'!$A:$A)+1)-'Price History'!R3)*(ROW()-3)/(MATCH(9.99E+307,'Returns (Calc)'!$A:$A)-3),"")</f>
        <v>59.695189873417718</v>
      </c>
      <c r="AM153" s="131">
        <f>IFERROR('Price History'!S3+(INDEX('Price History'!S:S,MATCH(9.99E+307,'Returns (Calc)'!$A:$A)+1)-'Price History'!S3)*(ROW()-3)/(MATCH(9.99E+307,'Returns (Calc)'!$A:$A)-3),"")</f>
        <v>148.38949367088608</v>
      </c>
      <c r="AN153" s="131">
        <f>IFERROR('Price History'!T3+(INDEX('Price History'!T:T,MATCH(9.99E+307,'Returns (Calc)'!$A:$A)+1)-'Price History'!T3)*(ROW()-3)/(MATCH(9.99E+307,'Returns (Calc)'!$A:$A)-3),"")</f>
        <v>50.474177215189876</v>
      </c>
      <c r="AO153" s="132">
        <f>IFERROR('Price History'!V3+(INDEX('Price History'!V:V,MATCH(9.99E+307,'Returns (Calc)'!$A:$A)+1)-'Price History'!V3)*(ROW()-3)/(MATCH(9.99E+307,'Returns (Calc)'!$A:$A)-3),"")</f>
        <v>354.32936708860763</v>
      </c>
      <c r="AP153" s="130">
        <f>IFERROR(IF(OR(NOT(ISNUMBER('Price History'!W154)),NOT(ISNUMBER('Price History'!W153)),'Price History'!W153=0),"",'Price History'!W154/'Price History'!W153-1),"")</f>
        <v>2.2660954864344829E-2</v>
      </c>
      <c r="AQ153" s="130">
        <f>IFERROR(IF(OR(NOT(ISNUMBER('Price History'!X154)),NOT(ISNUMBER('Price History'!X153)),'Price History'!X153=0),"",'Price History'!X154/'Price History'!X153-1),"")</f>
        <v>-2.6181955170465288E-2</v>
      </c>
      <c r="AR153" s="130">
        <f>IFERROR(IF(OR(NOT(ISNUMBER('Price History'!Y154)),NOT(ISNUMBER('Price History'!Y153)),'Price History'!Y153=0),"",'Price History'!Y154/'Price History'!Y153-1),"")</f>
        <v>9.0505767524400316E-3</v>
      </c>
      <c r="AS153" s="130">
        <f>IFERROR(IF(OR(NOT(ISNUMBER('Price History'!Z154)),NOT(ISNUMBER('Price History'!Z153)),'Price History'!Z153=0),"",'Price History'!Z154/'Price History'!Z153-1),"")</f>
        <v>2.7800149970838905E-2</v>
      </c>
      <c r="AT153" s="130">
        <f>IFERROR(IF(OR(NOT(ISNUMBER('Price History'!AA154)),NOT(ISNUMBER('Price History'!AA153)),'Price History'!AA153=0),"",'Price History'!AA154/'Price History'!AA153-1),"")</f>
        <v>3.3886487240273322E-2</v>
      </c>
    </row>
    <row r="154" spans="1:46" ht="15" customHeight="1" x14ac:dyDescent="0.2">
      <c r="A154" s="128">
        <f>IF('Price History'!A155="","",'Price History'!A155)</f>
        <v>46248</v>
      </c>
      <c r="B154" s="129">
        <f>IFERROR(IF(OR(NOT(ISNUMBER('Price History'!B155)),NOT(ISNUMBER('Price History'!B154)),'Price History'!B154=0),"",'Price History'!B155/'Price History'!B154-1),"")</f>
        <v>-4.4870102937294432E-3</v>
      </c>
      <c r="C154" s="129">
        <f>IFERROR(IF(OR(NOT(ISNUMBER('Price History'!C155)),NOT(ISNUMBER('Price History'!C154)),'Price History'!C154=0),"",'Price History'!C155/'Price History'!C154-1),"")</f>
        <v>5.3797636084168099E-2</v>
      </c>
      <c r="D154" s="129">
        <f>IFERROR(IF(OR(NOT(ISNUMBER('Price History'!D155)),NOT(ISNUMBER('Price History'!D154)),'Price History'!D154=0),"",'Price History'!D155/'Price History'!D154-1),"")</f>
        <v>5.9213436033521027E-2</v>
      </c>
      <c r="E154" s="129">
        <f>IFERROR(IF(OR(NOT(ISNUMBER('Price History'!E155)),NOT(ISNUMBER('Price History'!E154)),'Price History'!E154=0),"",'Price History'!E155/'Price History'!E154-1),"")</f>
        <v>-8.1268443486814501E-2</v>
      </c>
      <c r="F154" s="129">
        <f>IFERROR(IF(OR(NOT(ISNUMBER('Price History'!F155)),NOT(ISNUMBER('Price History'!F154)),'Price History'!F154=0),"",'Price History'!F155/'Price History'!F154-1),"")</f>
        <v>1.1799272455927712E-2</v>
      </c>
      <c r="G154" s="129">
        <f>IFERROR(IF(OR(NOT(ISNUMBER('Price History'!G155)),NOT(ISNUMBER('Price History'!G154)),'Price History'!G154=0),"",'Price History'!G155/'Price History'!G154-1),"")</f>
        <v>2.8298549699327991E-2</v>
      </c>
      <c r="H154" s="129">
        <f>IFERROR(IF(OR(NOT(ISNUMBER('Price History'!H155)),NOT(ISNUMBER('Price History'!H154)),'Price History'!H154=0),"",'Price History'!H155/'Price History'!H154-1),"")</f>
        <v>0.10721651834041723</v>
      </c>
      <c r="I154" s="129">
        <f>IFERROR(IF(OR(NOT(ISNUMBER('Price History'!I155)),NOT(ISNUMBER('Price History'!I154)),'Price History'!I154=0),"",'Price History'!I155/'Price History'!I154-1),"")</f>
        <v>5.3640874346252421E-3</v>
      </c>
      <c r="J154" s="129">
        <f>IFERROR(IF(OR(NOT(ISNUMBER('Price History'!J155)),NOT(ISNUMBER('Price History'!J154)),'Price History'!J154=0),"",'Price History'!J155/'Price History'!J154-1),"")</f>
        <v>6.1843808428014846E-3</v>
      </c>
      <c r="K154" s="129">
        <f>IFERROR(IF(OR(NOT(ISNUMBER('Price History'!K155)),NOT(ISNUMBER('Price History'!K154)),'Price History'!K154=0),"",'Price History'!K155/'Price History'!K154-1),"")</f>
        <v>1.1801639439567468E-2</v>
      </c>
      <c r="L154" s="129">
        <f>IFERROR(IF(OR(NOT(ISNUMBER('Price History'!L155)),NOT(ISNUMBER('Price History'!L154)),'Price History'!L154=0),"",'Price History'!L155/'Price History'!L154-1),"")</f>
        <v>1.5014799961806435E-2</v>
      </c>
      <c r="M154" s="129">
        <f>IFERROR(IF(OR(NOT(ISNUMBER('Price History'!M155)),NOT(ISNUMBER('Price History'!M154)),'Price History'!M154=0),"",'Price History'!M155/'Price History'!M154-1),"")</f>
        <v>7.8728013806778518E-2</v>
      </c>
      <c r="N154" s="129">
        <f>IFERROR(IF(OR(NOT(ISNUMBER('Price History'!N155)),NOT(ISNUMBER('Price History'!N154)),'Price History'!N154=0),"",'Price History'!N155/'Price History'!N154-1),"")</f>
        <v>1.9513375128510146E-2</v>
      </c>
      <c r="O154" s="129">
        <f>IFERROR(IF(OR(NOT(ISNUMBER('Price History'!O155)),NOT(ISNUMBER('Price History'!O154)),'Price History'!O154=0),"",'Price History'!O155/'Price History'!O154-1),"")</f>
        <v>1.4548904878627367E-2</v>
      </c>
      <c r="P154" s="129">
        <f>IFERROR(IF(OR(NOT(ISNUMBER('Price History'!P155)),NOT(ISNUMBER('Price History'!P154)),'Price History'!P154=0),"",'Price History'!P155/'Price History'!P154-1),"")</f>
        <v>2.2231909328683575E-2</v>
      </c>
      <c r="Q154" s="129">
        <f>IFERROR(IF(OR(NOT(ISNUMBER('Price History'!Q155)),NOT(ISNUMBER('Price History'!Q154)),'Price History'!Q154=0),"",'Price History'!Q155/'Price History'!Q154-1),"")</f>
        <v>4.1565142611439398E-3</v>
      </c>
      <c r="R154" s="129">
        <f>IFERROR(IF(OR(NOT(ISNUMBER('Price History'!R155)),NOT(ISNUMBER('Price History'!R154)),'Price History'!R154=0),"",'Price History'!R155/'Price History'!R154-1),"")</f>
        <v>1.3157894736842035E-2</v>
      </c>
      <c r="S154" s="129">
        <f>IFERROR(IF(OR(NOT(ISNUMBER('Price History'!S155)),NOT(ISNUMBER('Price History'!S154)),'Price History'!S154=0),"",'Price History'!S155/'Price History'!S154-1),"")</f>
        <v>2.415523586483781E-2</v>
      </c>
      <c r="T154" s="129">
        <f>IFERROR(IF(OR(NOT(ISNUMBER('Price History'!T155)),NOT(ISNUMBER('Price History'!T154)),'Price History'!T154=0),"",'Price History'!T155/'Price History'!T154-1),"")</f>
        <v>4.3613707165109039E-2</v>
      </c>
      <c r="U154" s="129">
        <f>IFERROR(IF(OR(NOT(ISNUMBER('Price History'!U155)),NOT(ISNUMBER('Price History'!U154)),'Price History'!U154=0),"",'Price History'!U155/'Price History'!U154-1),"")</f>
        <v>1.8435920309247678E-2</v>
      </c>
      <c r="V154" s="130">
        <f>IFERROR(IF(OR(NOT(ISNUMBER('Price History'!V155)),NOT(ISNUMBER('Price History'!V154)),'Price History'!V154=0),"",'Price History'!V155/'Price History'!V154-1),"")</f>
        <v>6.4118508691926035E-3</v>
      </c>
      <c r="W154" s="131">
        <f>IFERROR('Price History'!B3+(INDEX('Price History'!B:B,MATCH(9.99E+307,'Returns (Calc)'!$A:$A)+1)-'Price History'!B3)*(ROW()-3)/(MATCH(9.99E+307,'Returns (Calc)'!$A:$A)-3),"")</f>
        <v>250.59126582278481</v>
      </c>
      <c r="X154" s="131">
        <f>IFERROR('Price History'!C3+(INDEX('Price History'!C:C,MATCH(9.99E+307,'Returns (Calc)'!$A:$A)+1)-'Price History'!C3)*(ROW()-3)/(MATCH(9.99E+307,'Returns (Calc)'!$A:$A)-3),"")</f>
        <v>200.20955696202532</v>
      </c>
      <c r="Y154" s="131">
        <f>IFERROR('Price History'!D3+(INDEX('Price History'!D:D,MATCH(9.99E+307,'Returns (Calc)'!$A:$A)+1)-'Price History'!D3)*(ROW()-3)/(MATCH(9.99E+307,'Returns (Calc)'!$A:$A)-3),"")</f>
        <v>1810.3663291139239</v>
      </c>
      <c r="Z154" s="131">
        <f>IFERROR('Price History'!E3+(INDEX('Price History'!E:E,MATCH(9.99E+307,'Returns (Calc)'!$A:$A)+1)-'Price History'!E3)*(ROW()-3)/(MATCH(9.99E+307,'Returns (Calc)'!$A:$A)-3),"")</f>
        <v>343.03886075949367</v>
      </c>
      <c r="AA154" s="131">
        <f>IFERROR('Price History'!F3+(INDEX('Price History'!F:F,MATCH(9.99E+307,'Returns (Calc)'!$A:$A)+1)-'Price History'!F3)*(ROW()-3)/(MATCH(9.99E+307,'Returns (Calc)'!$A:$A)-3),"")</f>
        <v>259.90860759493671</v>
      </c>
      <c r="AB154" s="131">
        <f>IFERROR('Price History'!G3+(INDEX('Price History'!G:G,MATCH(9.99E+307,'Returns (Calc)'!$A:$A)+1)-'Price History'!G3)*(ROW()-3)/(MATCH(9.99E+307,'Returns (Calc)'!$A:$A)-3),"")</f>
        <v>199.68886075949365</v>
      </c>
      <c r="AC154" s="131">
        <f>IFERROR('Price History'!H3+(INDEX('Price History'!H:H,MATCH(9.99E+307,'Returns (Calc)'!$A:$A)+1)-'Price History'!H3)*(ROW()-3)/(MATCH(9.99E+307,'Returns (Calc)'!$A:$A)-3),"")</f>
        <v>1030.3301265822784</v>
      </c>
      <c r="AD154" s="131">
        <f>IFERROR('Price History'!I3+(INDEX('Price History'!I:I,MATCH(9.99E+307,'Returns (Calc)'!$A:$A)+1)-'Price History'!I3)*(ROW()-3)/(MATCH(9.99E+307,'Returns (Calc)'!$A:$A)-3),"")</f>
        <v>225.52430379746835</v>
      </c>
      <c r="AE154" s="131">
        <f>IFERROR('Price History'!J3+(INDEX('Price History'!J:J,MATCH(9.99E+307,'Returns (Calc)'!$A:$A)+1)-'Price History'!J3)*(ROW()-3)/(MATCH(9.99E+307,'Returns (Calc)'!$A:$A)-3),"")</f>
        <v>128.1537341772152</v>
      </c>
      <c r="AF154" s="131">
        <f>IFERROR('Price History'!K3+(INDEX('Price History'!K:K,MATCH(9.99E+307,'Returns (Calc)'!$A:$A)+1)-'Price History'!K3)*(ROW()-3)/(MATCH(9.99E+307,'Returns (Calc)'!$A:$A)-3),"")</f>
        <v>181.06683544303797</v>
      </c>
      <c r="AG154" s="131">
        <f>IFERROR('Price History'!L3+(INDEX('Price History'!L:L,MATCH(9.99E+307,'Returns (Calc)'!$A:$A)+1)-'Price History'!L3)*(ROW()-3)/(MATCH(9.99E+307,'Returns (Calc)'!$A:$A)-3),"")</f>
        <v>455.6331012658228</v>
      </c>
      <c r="AH154" s="131">
        <f>IFERROR('Price History'!M3+(INDEX('Price History'!M:M,MATCH(9.99E+307,'Returns (Calc)'!$A:$A)+1)-'Price History'!M3)*(ROW()-3)/(MATCH(9.99E+307,'Returns (Calc)'!$A:$A)-3),"")</f>
        <v>242.69189873417722</v>
      </c>
      <c r="AI154" s="131">
        <f>IFERROR('Price History'!N3+(INDEX('Price History'!N:N,MATCH(9.99E+307,'Returns (Calc)'!$A:$A)+1)-'Price History'!N3)*(ROW()-3)/(MATCH(9.99E+307,'Returns (Calc)'!$A:$A)-3),"")</f>
        <v>497.82613924050634</v>
      </c>
      <c r="AJ154" s="131">
        <f>IFERROR('Price History'!O3+(INDEX('Price History'!O:O,MATCH(9.99E+307,'Returns (Calc)'!$A:$A)+1)-'Price History'!O3)*(ROW()-3)/(MATCH(9.99E+307,'Returns (Calc)'!$A:$A)-3),"")</f>
        <v>118.0487341772152</v>
      </c>
      <c r="AK154" s="131">
        <f>IFERROR('Price History'!Q3+(INDEX('Price History'!Q:Q,MATCH(9.99E+307,'Returns (Calc)'!$A:$A)+1)-'Price History'!Q3)*(ROW()-3)/(MATCH(9.99E+307,'Returns (Calc)'!$A:$A)-3),"")</f>
        <v>66.344430379746839</v>
      </c>
      <c r="AL154" s="131">
        <f>IFERROR('Price History'!R3+(INDEX('Price History'!R:R,MATCH(9.99E+307,'Returns (Calc)'!$A:$A)+1)-'Price History'!R3)*(ROW()-3)/(MATCH(9.99E+307,'Returns (Calc)'!$A:$A)-3),"")</f>
        <v>59.863291139240502</v>
      </c>
      <c r="AM154" s="131">
        <f>IFERROR('Price History'!S3+(INDEX('Price History'!S:S,MATCH(9.99E+307,'Returns (Calc)'!$A:$A)+1)-'Price History'!S3)*(ROW()-3)/(MATCH(9.99E+307,'Returns (Calc)'!$A:$A)-3),"")</f>
        <v>148.99455696202531</v>
      </c>
      <c r="AN154" s="131">
        <f>IFERROR('Price History'!T3+(INDEX('Price History'!T:T,MATCH(9.99E+307,'Returns (Calc)'!$A:$A)+1)-'Price History'!T3)*(ROW()-3)/(MATCH(9.99E+307,'Returns (Calc)'!$A:$A)-3),"")</f>
        <v>50.642405063291136</v>
      </c>
      <c r="AO154" s="132">
        <f>IFERROR('Price History'!V3+(INDEX('Price History'!V:V,MATCH(9.99E+307,'Returns (Calc)'!$A:$A)+1)-'Price History'!V3)*(ROW()-3)/(MATCH(9.99E+307,'Returns (Calc)'!$A:$A)-3),"")</f>
        <v>355.12069620253169</v>
      </c>
      <c r="AP154" s="130">
        <f>IFERROR(IF(OR(NOT(ISNUMBER('Price History'!W155)),NOT(ISNUMBER('Price History'!W154)),'Price History'!W154=0),"",'Price History'!W155/'Price History'!W154-1),"")</f>
        <v>5.3423992229237882E-3</v>
      </c>
      <c r="AQ154" s="130">
        <f>IFERROR(IF(OR(NOT(ISNUMBER('Price History'!X155)),NOT(ISNUMBER('Price History'!X154)),'Price History'!X154=0),"",'Price History'!X155/'Price History'!X154-1),"")</f>
        <v>3.9651837524177891E-2</v>
      </c>
      <c r="AR154" s="130">
        <f>IFERROR(IF(OR(NOT(ISNUMBER('Price History'!Y155)),NOT(ISNUMBER('Price History'!Y154)),'Price History'!Y154=0),"",'Price History'!Y155/'Price History'!Y154-1),"")</f>
        <v>7.7383046078085549E-3</v>
      </c>
      <c r="AS154" s="130">
        <f>IFERROR(IF(OR(NOT(ISNUMBER('Price History'!Z155)),NOT(ISNUMBER('Price History'!Z154)),'Price History'!Z154=0),"",'Price History'!Z155/'Price History'!Z154-1),"")</f>
        <v>-4.5936013834846356E-3</v>
      </c>
      <c r="AT154" s="130">
        <f>IFERROR(IF(OR(NOT(ISNUMBER('Price History'!AA155)),NOT(ISNUMBER('Price History'!AA154)),'Price History'!AA154=0),"",'Price History'!AA155/'Price History'!AA154-1),"")</f>
        <v>5.4221742649042337E-2</v>
      </c>
    </row>
    <row r="155" spans="1:46" ht="15" customHeight="1" x14ac:dyDescent="0.2">
      <c r="A155" s="128">
        <f>IF('Price History'!A156="","",'Price History'!A156)</f>
        <v>46255</v>
      </c>
      <c r="B155" s="129">
        <f>IFERROR(IF(OR(NOT(ISNUMBER('Price History'!B156)),NOT(ISNUMBER('Price History'!B155)),'Price History'!B155=0),"",'Price History'!B156/'Price History'!B155-1),"")</f>
        <v>4.2724036057874448E-2</v>
      </c>
      <c r="C155" s="129">
        <f>IFERROR(IF(OR(NOT(ISNUMBER('Price History'!C156)),NOT(ISNUMBER('Price History'!C155)),'Price History'!C155=0),"",'Price History'!C156/'Price History'!C155-1),"")</f>
        <v>-5.1151795594004512E-2</v>
      </c>
      <c r="D155" s="129">
        <f>IFERROR(IF(OR(NOT(ISNUMBER('Price History'!D156)),NOT(ISNUMBER('Price History'!D155)),'Price History'!D155=0),"",'Price History'!D156/'Price History'!D155-1),"")</f>
        <v>-4.3555594117391849E-2</v>
      </c>
      <c r="E155" s="129">
        <f>IFERROR(IF(OR(NOT(ISNUMBER('Price History'!E156)),NOT(ISNUMBER('Price History'!E155)),'Price History'!E155=0),"",'Price History'!E156/'Price History'!E155-1),"")</f>
        <v>-6.2455389007851525E-2</v>
      </c>
      <c r="F155" s="129">
        <f>IFERROR(IF(OR(NOT(ISNUMBER('Price History'!F156)),NOT(ISNUMBER('Price History'!F155)),'Price History'!F155=0),"",'Price History'!F156/'Price History'!F155-1),"")</f>
        <v>-0.11523392486748096</v>
      </c>
      <c r="G155" s="129">
        <f>IFERROR(IF(OR(NOT(ISNUMBER('Price History'!G156)),NOT(ISNUMBER('Price History'!G155)),'Price History'!G155=0),"",'Price History'!G156/'Price History'!G155-1),"")</f>
        <v>-9.5827804806132955E-2</v>
      </c>
      <c r="H155" s="129">
        <f>IFERROR(IF(OR(NOT(ISNUMBER('Price History'!H156)),NOT(ISNUMBER('Price History'!H155)),'Price History'!H155=0),"",'Price History'!H156/'Price History'!H155-1),"")</f>
        <v>-5.0223329148055829E-3</v>
      </c>
      <c r="I155" s="129">
        <f>IFERROR(IF(OR(NOT(ISNUMBER('Price History'!I156)),NOT(ISNUMBER('Price History'!I155)),'Price History'!I155=0),"",'Price History'!I156/'Price History'!I155-1),"")</f>
        <v>-4.637410519763463E-2</v>
      </c>
      <c r="J155" s="129">
        <f>IFERROR(IF(OR(NOT(ISNUMBER('Price History'!J156)),NOT(ISNUMBER('Price History'!J155)),'Price History'!J155=0),"",'Price History'!J156/'Price History'!J155-1),"")</f>
        <v>5.4316752429961479E-3</v>
      </c>
      <c r="K155" s="129">
        <f>IFERROR(IF(OR(NOT(ISNUMBER('Price History'!K156)),NOT(ISNUMBER('Price History'!K155)),'Price History'!K155=0),"",'Price History'!K156/'Price History'!K155-1),"")</f>
        <v>3.3900252815444842E-2</v>
      </c>
      <c r="L155" s="129">
        <f>IFERROR(IF(OR(NOT(ISNUMBER('Price History'!L156)),NOT(ISNUMBER('Price History'!L155)),'Price History'!L155=0),"",'Price History'!L156/'Price History'!L155-1),"")</f>
        <v>-1.7356129912278639E-2</v>
      </c>
      <c r="M155" s="129">
        <f>IFERROR(IF(OR(NOT(ISNUMBER('Price History'!M156)),NOT(ISNUMBER('Price History'!M155)),'Price History'!M155=0),"",'Price History'!M156/'Price History'!M155-1),"")</f>
        <v>-0.10852027096027506</v>
      </c>
      <c r="N155" s="129">
        <f>IFERROR(IF(OR(NOT(ISNUMBER('Price History'!N156)),NOT(ISNUMBER('Price History'!N155)),'Price History'!N155=0),"",'Price History'!N156/'Price History'!N155-1),"")</f>
        <v>8.3638161146811552E-2</v>
      </c>
      <c r="O155" s="129">
        <f>IFERROR(IF(OR(NOT(ISNUMBER('Price History'!O156)),NOT(ISNUMBER('Price History'!O155)),'Price History'!O155=0),"",'Price History'!O156/'Price History'!O155-1),"")</f>
        <v>-1.7691528329826123E-2</v>
      </c>
      <c r="P155" s="129">
        <f>IFERROR(IF(OR(NOT(ISNUMBER('Price History'!P156)),NOT(ISNUMBER('Price History'!P155)),'Price History'!P155=0),"",'Price History'!P156/'Price History'!P155-1),"")</f>
        <v>-8.5287846481876262E-3</v>
      </c>
      <c r="Q155" s="129">
        <f>IFERROR(IF(OR(NOT(ISNUMBER('Price History'!Q156)),NOT(ISNUMBER('Price History'!Q155)),'Price History'!Q155=0),"",'Price History'!Q156/'Price History'!Q155-1),"")</f>
        <v>-1.0562375107051269E-2</v>
      </c>
      <c r="R155" s="129">
        <f>IFERROR(IF(OR(NOT(ISNUMBER('Price History'!R156)),NOT(ISNUMBER('Price History'!R155)),'Price History'!R155=0),"",'Price History'!R156/'Price History'!R155-1),"")</f>
        <v>-1.1469050430089389E-2</v>
      </c>
      <c r="S155" s="129">
        <f>IFERROR(IF(OR(NOT(ISNUMBER('Price History'!S156)),NOT(ISNUMBER('Price History'!S155)),'Price History'!S155=0),"",'Price History'!S156/'Price History'!S155-1),"")</f>
        <v>-2.9857572193910831E-2</v>
      </c>
      <c r="T155" s="129">
        <f>IFERROR(IF(OR(NOT(ISNUMBER('Price History'!T156)),NOT(ISNUMBER('Price History'!T155)),'Price History'!T155=0),"",'Price History'!T156/'Price History'!T155-1),"")</f>
        <v>3.2462686567164223E-2</v>
      </c>
      <c r="U155" s="129">
        <f>IFERROR(IF(OR(NOT(ISNUMBER('Price History'!U156)),NOT(ISNUMBER('Price History'!U155)),'Price History'!U155=0),"",'Price History'!U156/'Price History'!U155-1),"")</f>
        <v>1.6934306569343027E-2</v>
      </c>
      <c r="V155" s="130">
        <f>IFERROR(IF(OR(NOT(ISNUMBER('Price History'!V156)),NOT(ISNUMBER('Price History'!V155)),'Price History'!V155=0),"",'Price History'!V156/'Price History'!V155-1),"")</f>
        <v>1.8920774406151475E-2</v>
      </c>
      <c r="W155" s="131">
        <f>IFERROR('Price History'!B3+(INDEX('Price History'!B:B,MATCH(9.99E+307,'Returns (Calc)'!$A:$A)+1)-'Price History'!B3)*(ROW()-3)/(MATCH(9.99E+307,'Returns (Calc)'!$A:$A)-3),"")</f>
        <v>248.74822784810124</v>
      </c>
      <c r="X155" s="131">
        <f>IFERROR('Price History'!C3+(INDEX('Price History'!C:C,MATCH(9.99E+307,'Returns (Calc)'!$A:$A)+1)-'Price History'!C3)*(ROW()-3)/(MATCH(9.99E+307,'Returns (Calc)'!$A:$A)-3),"")</f>
        <v>201.22962025316454</v>
      </c>
      <c r="Y155" s="131">
        <f>IFERROR('Price History'!D3+(INDEX('Price History'!D:D,MATCH(9.99E+307,'Returns (Calc)'!$A:$A)+1)-'Price History'!D3)*(ROW()-3)/(MATCH(9.99E+307,'Returns (Calc)'!$A:$A)-3),"")</f>
        <v>1818.5011392405063</v>
      </c>
      <c r="Z155" s="131">
        <f>IFERROR('Price History'!E3+(INDEX('Price History'!E:E,MATCH(9.99E+307,'Returns (Calc)'!$A:$A)+1)-'Price History'!E3)*(ROW()-3)/(MATCH(9.99E+307,'Returns (Calc)'!$A:$A)-3),"")</f>
        <v>344.76759493670886</v>
      </c>
      <c r="AA155" s="131">
        <f>IFERROR('Price History'!F3+(INDEX('Price History'!F:F,MATCH(9.99E+307,'Returns (Calc)'!$A:$A)+1)-'Price History'!F3)*(ROW()-3)/(MATCH(9.99E+307,'Returns (Calc)'!$A:$A)-3),"")</f>
        <v>261.35594936708861</v>
      </c>
      <c r="AB155" s="131">
        <f>IFERROR('Price History'!G3+(INDEX('Price History'!G:G,MATCH(9.99E+307,'Returns (Calc)'!$A:$A)+1)-'Price History'!G3)*(ROW()-3)/(MATCH(9.99E+307,'Returns (Calc)'!$A:$A)-3),"")</f>
        <v>200.71759493670885</v>
      </c>
      <c r="AC155" s="131">
        <f>IFERROR('Price History'!H3+(INDEX('Price History'!H:H,MATCH(9.99E+307,'Returns (Calc)'!$A:$A)+1)-'Price History'!H3)*(ROW()-3)/(MATCH(9.99E+307,'Returns (Calc)'!$A:$A)-3),"")</f>
        <v>1036.6958227848102</v>
      </c>
      <c r="AD155" s="131">
        <f>IFERROR('Price History'!I3+(INDEX('Price History'!I:I,MATCH(9.99E+307,'Returns (Calc)'!$A:$A)+1)-'Price History'!I3)*(ROW()-3)/(MATCH(9.99E+307,'Returns (Calc)'!$A:$A)-3),"")</f>
        <v>226.72797468354429</v>
      </c>
      <c r="AE155" s="131">
        <f>IFERROR('Price History'!J3+(INDEX('Price History'!J:J,MATCH(9.99E+307,'Returns (Calc)'!$A:$A)+1)-'Price History'!J3)*(ROW()-3)/(MATCH(9.99E+307,'Returns (Calc)'!$A:$A)-3),"")</f>
        <v>128.26177215189873</v>
      </c>
      <c r="AF155" s="131">
        <f>IFERROR('Price History'!K3+(INDEX('Price History'!K:K,MATCH(9.99E+307,'Returns (Calc)'!$A:$A)+1)-'Price History'!K3)*(ROW()-3)/(MATCH(9.99E+307,'Returns (Calc)'!$A:$A)-3),"")</f>
        <v>182.16443037974682</v>
      </c>
      <c r="AG155" s="131">
        <f>IFERROR('Price History'!L3+(INDEX('Price History'!L:L,MATCH(9.99E+307,'Returns (Calc)'!$A:$A)+1)-'Price History'!L3)*(ROW()-3)/(MATCH(9.99E+307,'Returns (Calc)'!$A:$A)-3),"")</f>
        <v>458.08265822784807</v>
      </c>
      <c r="AH155" s="131">
        <f>IFERROR('Price History'!M3+(INDEX('Price History'!M:M,MATCH(9.99E+307,'Returns (Calc)'!$A:$A)+1)-'Price History'!M3)*(ROW()-3)/(MATCH(9.99E+307,'Returns (Calc)'!$A:$A)-3),"")</f>
        <v>244.0473417721519</v>
      </c>
      <c r="AI155" s="131">
        <f>IFERROR('Price History'!N3+(INDEX('Price History'!N:N,MATCH(9.99E+307,'Returns (Calc)'!$A:$A)+1)-'Price History'!N3)*(ROW()-3)/(MATCH(9.99E+307,'Returns (Calc)'!$A:$A)-3),"")</f>
        <v>498.81240506329118</v>
      </c>
      <c r="AJ155" s="131">
        <f>IFERROR('Price History'!O3+(INDEX('Price History'!O:O,MATCH(9.99E+307,'Returns (Calc)'!$A:$A)+1)-'Price History'!O3)*(ROW()-3)/(MATCH(9.99E+307,'Returns (Calc)'!$A:$A)-3),"")</f>
        <v>118.33177215189873</v>
      </c>
      <c r="AK155" s="131">
        <f>IFERROR('Price History'!Q3+(INDEX('Price History'!Q:Q,MATCH(9.99E+307,'Returns (Calc)'!$A:$A)+1)-'Price History'!Q3)*(ROW()-3)/(MATCH(9.99E+307,'Returns (Calc)'!$A:$A)-3),"")</f>
        <v>66.783797468354436</v>
      </c>
      <c r="AL155" s="131">
        <f>IFERROR('Price History'!R3+(INDEX('Price History'!R:R,MATCH(9.99E+307,'Returns (Calc)'!$A:$A)+1)-'Price History'!R3)*(ROW()-3)/(MATCH(9.99E+307,'Returns (Calc)'!$A:$A)-3),"")</f>
        <v>60.031392405063286</v>
      </c>
      <c r="AM155" s="131">
        <f>IFERROR('Price History'!S3+(INDEX('Price History'!S:S,MATCH(9.99E+307,'Returns (Calc)'!$A:$A)+1)-'Price History'!S3)*(ROW()-3)/(MATCH(9.99E+307,'Returns (Calc)'!$A:$A)-3),"")</f>
        <v>149.59962025316455</v>
      </c>
      <c r="AN155" s="131">
        <f>IFERROR('Price History'!T3+(INDEX('Price History'!T:T,MATCH(9.99E+307,'Returns (Calc)'!$A:$A)+1)-'Price History'!T3)*(ROW()-3)/(MATCH(9.99E+307,'Returns (Calc)'!$A:$A)-3),"")</f>
        <v>50.810632911392403</v>
      </c>
      <c r="AO155" s="132">
        <f>IFERROR('Price History'!V3+(INDEX('Price History'!V:V,MATCH(9.99E+307,'Returns (Calc)'!$A:$A)+1)-'Price History'!V3)*(ROW()-3)/(MATCH(9.99E+307,'Returns (Calc)'!$A:$A)-3),"")</f>
        <v>355.9120253164557</v>
      </c>
      <c r="AP155" s="130">
        <f>IFERROR(IF(OR(NOT(ISNUMBER('Price History'!W156)),NOT(ISNUMBER('Price History'!W155)),'Price History'!W155=0),"",'Price History'!W156/'Price History'!W155-1),"")</f>
        <v>-9.2995169082125129E-3</v>
      </c>
      <c r="AQ155" s="130">
        <f>IFERROR(IF(OR(NOT(ISNUMBER('Price History'!X156)),NOT(ISNUMBER('Price History'!X155)),'Price History'!X155=0),"",'Price History'!X156/'Price History'!X155-1),"")</f>
        <v>-9.6744186046512359E-3</v>
      </c>
      <c r="AR155" s="130">
        <f>IFERROR(IF(OR(NOT(ISNUMBER('Price History'!Y156)),NOT(ISNUMBER('Price History'!Y155)),'Price History'!Y155=0),"",'Price History'!Y156/'Price History'!Y155-1),"")</f>
        <v>-1.7452006980801515E-3</v>
      </c>
      <c r="AS155" s="130">
        <f>IFERROR(IF(OR(NOT(ISNUMBER('Price History'!Z156)),NOT(ISNUMBER('Price History'!Z155)),'Price History'!Z155=0),"",'Price History'!Z156/'Price History'!Z155-1),"")</f>
        <v>-5.4318909821380101E-2</v>
      </c>
      <c r="AT155" s="130">
        <f>IFERROR(IF(OR(NOT(ISNUMBER('Price History'!AA156)),NOT(ISNUMBER('Price History'!AA155)),'Price History'!AA155=0),"",'Price History'!AA156/'Price History'!AA155-1),"")</f>
        <v>1.8295803480041117E-2</v>
      </c>
    </row>
    <row r="156" spans="1:46" ht="15" customHeight="1" x14ac:dyDescent="0.2">
      <c r="A156" s="128">
        <f>IF('Price History'!A157="","",'Price History'!A157)</f>
        <v>46262</v>
      </c>
      <c r="B156" s="129">
        <f>IFERROR(IF(OR(NOT(ISNUMBER('Price History'!B157)),NOT(ISNUMBER('Price History'!B156)),'Price History'!B156=0),"",'Price History'!B157/'Price History'!B156-1),"")</f>
        <v>5.8917544496912333E-2</v>
      </c>
      <c r="C156" s="129">
        <f>IFERROR(IF(OR(NOT(ISNUMBER('Price History'!C157)),NOT(ISNUMBER('Price History'!C156)),'Price History'!C156=0),"",'Price History'!C157/'Price History'!C156-1),"")</f>
        <v>3.5674529552080614E-2</v>
      </c>
      <c r="D156" s="129">
        <f>IFERROR(IF(OR(NOT(ISNUMBER('Price History'!D157)),NOT(ISNUMBER('Price History'!D156)),'Price History'!D156=0),"",'Price History'!D157/'Price History'!D156-1),"")</f>
        <v>-3.8327210051254057E-2</v>
      </c>
      <c r="E156" s="129">
        <f>IFERROR(IF(OR(NOT(ISNUMBER('Price History'!E157)),NOT(ISNUMBER('Price History'!E156)),'Price History'!E156=0),"",'Price History'!E157/'Price History'!E156-1),"")</f>
        <v>9.2446571319815263E-4</v>
      </c>
      <c r="F156" s="129">
        <f>IFERROR(IF(OR(NOT(ISNUMBER('Price History'!F157)),NOT(ISNUMBER('Price History'!F156)),'Price History'!F156=0),"",'Price History'!F157/'Price History'!F156-1),"")</f>
        <v>0.13779630112008334</v>
      </c>
      <c r="G156" s="129">
        <f>IFERROR(IF(OR(NOT(ISNUMBER('Price History'!G157)),NOT(ISNUMBER('Price History'!G156)),'Price History'!G156=0),"",'Price History'!G157/'Price History'!G156-1),"")</f>
        <v>-4.5926409043969829E-2</v>
      </c>
      <c r="H156" s="129">
        <f>IFERROR(IF(OR(NOT(ISNUMBER('Price History'!H157)),NOT(ISNUMBER('Price History'!H156)),'Price History'!H156=0),"",'Price History'!H157/'Price History'!H156-1),"")</f>
        <v>-3.5085541695111577E-2</v>
      </c>
      <c r="I156" s="129">
        <f>IFERROR(IF(OR(NOT(ISNUMBER('Price History'!I157)),NOT(ISNUMBER('Price History'!I156)),'Price History'!I156=0),"",'Price History'!I157/'Price History'!I156-1),"")</f>
        <v>1.3194703468854874E-2</v>
      </c>
      <c r="J156" s="129">
        <f>IFERROR(IF(OR(NOT(ISNUMBER('Price History'!J157)),NOT(ISNUMBER('Price History'!J156)),'Price History'!J156=0),"",'Price History'!J157/'Price History'!J156-1),"")</f>
        <v>-7.7480807506398186E-3</v>
      </c>
      <c r="K156" s="129">
        <f>IFERROR(IF(OR(NOT(ISNUMBER('Price History'!K157)),NOT(ISNUMBER('Price History'!K156)),'Price History'!K156=0),"",'Price History'!K157/'Price History'!K156-1),"")</f>
        <v>3.528954095809711E-2</v>
      </c>
      <c r="L156" s="129">
        <f>IFERROR(IF(OR(NOT(ISNUMBER('Price History'!L157)),NOT(ISNUMBER('Price History'!L156)),'Price History'!L156=0),"",'Price History'!L157/'Price History'!L156-1),"")</f>
        <v>-3.4224445348587373E-3</v>
      </c>
      <c r="M156" s="129">
        <f>IFERROR(IF(OR(NOT(ISNUMBER('Price History'!M157)),NOT(ISNUMBER('Price History'!M156)),'Price History'!M156=0),"",'Price History'!M157/'Price History'!M156-1),"")</f>
        <v>-1.8595593569819435E-2</v>
      </c>
      <c r="N156" s="129">
        <f>IFERROR(IF(OR(NOT(ISNUMBER('Price History'!N157)),NOT(ISNUMBER('Price History'!N156)),'Price History'!N156=0),"",'Price History'!N157/'Price History'!N156-1),"")</f>
        <v>-1.1604780585712793E-2</v>
      </c>
      <c r="O156" s="129">
        <f>IFERROR(IF(OR(NOT(ISNUMBER('Price History'!O157)),NOT(ISNUMBER('Price History'!O156)),'Price History'!O156=0),"",'Price History'!O157/'Price History'!O156-1),"")</f>
        <v>-6.9819105046018404E-3</v>
      </c>
      <c r="P156" s="129">
        <f>IFERROR(IF(OR(NOT(ISNUMBER('Price History'!P157)),NOT(ISNUMBER('Price History'!P156)),'Price History'!P156=0),"",'Price History'!P157/'Price History'!P156-1),"")</f>
        <v>-1.7818740399384581E-3</v>
      </c>
      <c r="Q156" s="129">
        <f>IFERROR(IF(OR(NOT(ISNUMBER('Price History'!Q157)),NOT(ISNUMBER('Price History'!Q156)),'Price History'!Q156=0),"",'Price History'!Q157/'Price History'!Q156-1),"")</f>
        <v>4.0392383150607003E-3</v>
      </c>
      <c r="R156" s="129">
        <f>IFERROR(IF(OR(NOT(ISNUMBER('Price History'!R157)),NOT(ISNUMBER('Price History'!R156)),'Price History'!R156=0),"",'Price History'!R157/'Price History'!R156-1),"")</f>
        <v>5.2891997952568826E-3</v>
      </c>
      <c r="S156" s="129">
        <f>IFERROR(IF(OR(NOT(ISNUMBER('Price History'!S157)),NOT(ISNUMBER('Price History'!S156)),'Price History'!S156=0),"",'Price History'!S157/'Price History'!S156-1),"")</f>
        <v>-1.3132197454374106E-2</v>
      </c>
      <c r="T156" s="129">
        <f>IFERROR(IF(OR(NOT(ISNUMBER('Price History'!T157)),NOT(ISNUMBER('Price History'!T156)),'Price History'!T156=0),"",'Price History'!T157/'Price History'!T156-1),"")</f>
        <v>3.7947235272857149E-3</v>
      </c>
      <c r="U156" s="129">
        <f>IFERROR(IF(OR(NOT(ISNUMBER('Price History'!U157)),NOT(ISNUMBER('Price History'!U156)),'Price History'!U156=0),"",'Price History'!U157/'Price History'!U156-1),"")</f>
        <v>-6.0292850990525393E-3</v>
      </c>
      <c r="V156" s="130">
        <f>IFERROR(IF(OR(NOT(ISNUMBER('Price History'!V157)),NOT(ISNUMBER('Price History'!V156)),'Price History'!V156=0),"",'Price History'!V157/'Price History'!V156-1),"")</f>
        <v>2.8460543337645472E-2</v>
      </c>
      <c r="W156" s="131">
        <f>IFERROR('Price History'!B3+(INDEX('Price History'!B:B,MATCH(9.99E+307,'Returns (Calc)'!$A:$A)+1)-'Price History'!B3)*(ROW()-3)/(MATCH(9.99E+307,'Returns (Calc)'!$A:$A)-3),"")</f>
        <v>246.90518987341773</v>
      </c>
      <c r="X156" s="131">
        <f>IFERROR('Price History'!C3+(INDEX('Price History'!C:C,MATCH(9.99E+307,'Returns (Calc)'!$A:$A)+1)-'Price History'!C3)*(ROW()-3)/(MATCH(9.99E+307,'Returns (Calc)'!$A:$A)-3),"")</f>
        <v>202.24968354430379</v>
      </c>
      <c r="Y156" s="131">
        <f>IFERROR('Price History'!D3+(INDEX('Price History'!D:D,MATCH(9.99E+307,'Returns (Calc)'!$A:$A)+1)-'Price History'!D3)*(ROW()-3)/(MATCH(9.99E+307,'Returns (Calc)'!$A:$A)-3),"")</f>
        <v>1826.6359493670886</v>
      </c>
      <c r="Z156" s="131">
        <f>IFERROR('Price History'!E3+(INDEX('Price History'!E:E,MATCH(9.99E+307,'Returns (Calc)'!$A:$A)+1)-'Price History'!E3)*(ROW()-3)/(MATCH(9.99E+307,'Returns (Calc)'!$A:$A)-3),"")</f>
        <v>346.49632911392405</v>
      </c>
      <c r="AA156" s="131">
        <f>IFERROR('Price History'!F3+(INDEX('Price History'!F:F,MATCH(9.99E+307,'Returns (Calc)'!$A:$A)+1)-'Price History'!F3)*(ROW()-3)/(MATCH(9.99E+307,'Returns (Calc)'!$A:$A)-3),"")</f>
        <v>262.80329113924051</v>
      </c>
      <c r="AB156" s="131">
        <f>IFERROR('Price History'!G3+(INDEX('Price History'!G:G,MATCH(9.99E+307,'Returns (Calc)'!$A:$A)+1)-'Price History'!G3)*(ROW()-3)/(MATCH(9.99E+307,'Returns (Calc)'!$A:$A)-3),"")</f>
        <v>201.74632911392405</v>
      </c>
      <c r="AC156" s="131">
        <f>IFERROR('Price History'!H3+(INDEX('Price History'!H:H,MATCH(9.99E+307,'Returns (Calc)'!$A:$A)+1)-'Price History'!H3)*(ROW()-3)/(MATCH(9.99E+307,'Returns (Calc)'!$A:$A)-3),"")</f>
        <v>1043.061518987342</v>
      </c>
      <c r="AD156" s="131">
        <f>IFERROR('Price History'!I3+(INDEX('Price History'!I:I,MATCH(9.99E+307,'Returns (Calc)'!$A:$A)+1)-'Price History'!I3)*(ROW()-3)/(MATCH(9.99E+307,'Returns (Calc)'!$A:$A)-3),"")</f>
        <v>227.93164556962026</v>
      </c>
      <c r="AE156" s="131">
        <f>IFERROR('Price History'!J3+(INDEX('Price History'!J:J,MATCH(9.99E+307,'Returns (Calc)'!$A:$A)+1)-'Price History'!J3)*(ROW()-3)/(MATCH(9.99E+307,'Returns (Calc)'!$A:$A)-3),"")</f>
        <v>128.36981012658228</v>
      </c>
      <c r="AF156" s="131">
        <f>IFERROR('Price History'!K3+(INDEX('Price History'!K:K,MATCH(9.99E+307,'Returns (Calc)'!$A:$A)+1)-'Price History'!K3)*(ROW()-3)/(MATCH(9.99E+307,'Returns (Calc)'!$A:$A)-3),"")</f>
        <v>183.26202531645569</v>
      </c>
      <c r="AG156" s="131">
        <f>IFERROR('Price History'!L3+(INDEX('Price History'!L:L,MATCH(9.99E+307,'Returns (Calc)'!$A:$A)+1)-'Price History'!L3)*(ROW()-3)/(MATCH(9.99E+307,'Returns (Calc)'!$A:$A)-3),"")</f>
        <v>460.5322151898734</v>
      </c>
      <c r="AH156" s="131">
        <f>IFERROR('Price History'!M3+(INDEX('Price History'!M:M,MATCH(9.99E+307,'Returns (Calc)'!$A:$A)+1)-'Price History'!M3)*(ROW()-3)/(MATCH(9.99E+307,'Returns (Calc)'!$A:$A)-3),"")</f>
        <v>245.40278481012658</v>
      </c>
      <c r="AI156" s="131">
        <f>IFERROR('Price History'!N3+(INDEX('Price History'!N:N,MATCH(9.99E+307,'Returns (Calc)'!$A:$A)+1)-'Price History'!N3)*(ROW()-3)/(MATCH(9.99E+307,'Returns (Calc)'!$A:$A)-3),"")</f>
        <v>499.79867088607597</v>
      </c>
      <c r="AJ156" s="131">
        <f>IFERROR('Price History'!O3+(INDEX('Price History'!O:O,MATCH(9.99E+307,'Returns (Calc)'!$A:$A)+1)-'Price History'!O3)*(ROW()-3)/(MATCH(9.99E+307,'Returns (Calc)'!$A:$A)-3),"")</f>
        <v>118.61481012658228</v>
      </c>
      <c r="AK156" s="131">
        <f>IFERROR('Price History'!Q3+(INDEX('Price History'!Q:Q,MATCH(9.99E+307,'Returns (Calc)'!$A:$A)+1)-'Price History'!Q3)*(ROW()-3)/(MATCH(9.99E+307,'Returns (Calc)'!$A:$A)-3),"")</f>
        <v>67.223164556962033</v>
      </c>
      <c r="AL156" s="131">
        <f>IFERROR('Price History'!R3+(INDEX('Price History'!R:R,MATCH(9.99E+307,'Returns (Calc)'!$A:$A)+1)-'Price History'!R3)*(ROW()-3)/(MATCH(9.99E+307,'Returns (Calc)'!$A:$A)-3),"")</f>
        <v>60.199493670886071</v>
      </c>
      <c r="AM156" s="131">
        <f>IFERROR('Price History'!S3+(INDEX('Price History'!S:S,MATCH(9.99E+307,'Returns (Calc)'!$A:$A)+1)-'Price History'!S3)*(ROW()-3)/(MATCH(9.99E+307,'Returns (Calc)'!$A:$A)-3),"")</f>
        <v>150.2046835443038</v>
      </c>
      <c r="AN156" s="131">
        <f>IFERROR('Price History'!T3+(INDEX('Price History'!T:T,MATCH(9.99E+307,'Returns (Calc)'!$A:$A)+1)-'Price History'!T3)*(ROW()-3)/(MATCH(9.99E+307,'Returns (Calc)'!$A:$A)-3),"")</f>
        <v>50.978860759493671</v>
      </c>
      <c r="AO156" s="132">
        <f>IFERROR('Price History'!V3+(INDEX('Price History'!V:V,MATCH(9.99E+307,'Returns (Calc)'!$A:$A)+1)-'Price History'!V3)*(ROW()-3)/(MATCH(9.99E+307,'Returns (Calc)'!$A:$A)-3),"")</f>
        <v>356.70335443037976</v>
      </c>
      <c r="AP156" s="130">
        <f>IFERROR(IF(OR(NOT(ISNUMBER('Price History'!W157)),NOT(ISNUMBER('Price History'!W156)),'Price History'!W156=0),"",'Price History'!W157/'Price History'!W156-1),"")</f>
        <v>-4.3886383030597997E-3</v>
      </c>
      <c r="AQ156" s="130">
        <f>IFERROR(IF(OR(NOT(ISNUMBER('Price History'!X157)),NOT(ISNUMBER('Price History'!X156)),'Price History'!X156=0),"",'Price History'!X157/'Price History'!X156-1),"")</f>
        <v>7.7024234454254881E-3</v>
      </c>
      <c r="AR156" s="130">
        <f>IFERROR(IF(OR(NOT(ISNUMBER('Price History'!Y157)),NOT(ISNUMBER('Price History'!Y156)),'Price History'!Y156=0),"",'Price History'!Y157/'Price History'!Y156-1),"")</f>
        <v>-2.2727272727273151E-3</v>
      </c>
      <c r="AS156" s="130">
        <f>IFERROR(IF(OR(NOT(ISNUMBER('Price History'!Z157)),NOT(ISNUMBER('Price History'!Z156)),'Price History'!Z156=0),"",'Price History'!Z157/'Price History'!Z156-1),"")</f>
        <v>-1.6620260068318182E-2</v>
      </c>
      <c r="AT156" s="130">
        <f>IFERROR(IF(OR(NOT(ISNUMBER('Price History'!AA157)),NOT(ISNUMBER('Price History'!AA156)),'Price History'!AA156=0),"",'Price History'!AA157/'Price History'!AA156-1),"")</f>
        <v>2.6762156049754848E-2</v>
      </c>
    </row>
    <row r="157" spans="1:46" ht="15" customHeight="1" x14ac:dyDescent="0.2">
      <c r="A157" s="128">
        <f>IF('Price History'!A158="","",'Price History'!A158)</f>
        <v>46269</v>
      </c>
      <c r="B157" s="129">
        <f>IFERROR(IF(OR(NOT(ISNUMBER('Price History'!B158)),NOT(ISNUMBER('Price History'!B157)),'Price History'!B157=0),"",'Price History'!B158/'Price History'!B157-1),"")</f>
        <v>-8.579171240395167E-2</v>
      </c>
      <c r="C157" s="129">
        <f>IFERROR(IF(OR(NOT(ISNUMBER('Price History'!C158)),NOT(ISNUMBER('Price History'!C157)),'Price History'!C157=0),"",'Price History'!C158/'Price History'!C157-1),"")</f>
        <v>-8.1891698229091814E-3</v>
      </c>
      <c r="D157" s="129">
        <f>IFERROR(IF(OR(NOT(ISNUMBER('Price History'!D158)),NOT(ISNUMBER('Price History'!D157)),'Price History'!D157=0),"",'Price History'!D158/'Price History'!D157-1),"")</f>
        <v>1.1036694651447965E-2</v>
      </c>
      <c r="E157" s="129">
        <f>IFERROR(IF(OR(NOT(ISNUMBER('Price History'!E158)),NOT(ISNUMBER('Price History'!E157)),'Price History'!E157=0),"",'Price History'!E158/'Price History'!E157-1),"")</f>
        <v>-2.9528414647397638E-2</v>
      </c>
      <c r="F157" s="129">
        <f>IFERROR(IF(OR(NOT(ISNUMBER('Price History'!F158)),NOT(ISNUMBER('Price History'!F157)),'Price History'!F157=0),"",'Price History'!F158/'Price History'!F157-1),"")</f>
        <v>-2.4267399267399292E-2</v>
      </c>
      <c r="G157" s="129">
        <f>IFERROR(IF(OR(NOT(ISNUMBER('Price History'!G158)),NOT(ISNUMBER('Price History'!G157)),'Price History'!G157=0),"",'Price History'!G158/'Price History'!G157-1),"")</f>
        <v>5.7308875469978426E-2</v>
      </c>
      <c r="H157" s="129">
        <f>IFERROR(IF(OR(NOT(ISNUMBER('Price History'!H158)),NOT(ISNUMBER('Price History'!H157)),'Price History'!H157=0),"",'Price History'!H158/'Price History'!H157-1),"")</f>
        <v>8.9756233518427209E-2</v>
      </c>
      <c r="I157" s="129">
        <f>IFERROR(IF(OR(NOT(ISNUMBER('Price History'!I158)),NOT(ISNUMBER('Price History'!I157)),'Price History'!I157=0),"",'Price History'!I158/'Price History'!I157-1),"")</f>
        <v>5.8856012148543524E-2</v>
      </c>
      <c r="J157" s="129">
        <f>IFERROR(IF(OR(NOT(ISNUMBER('Price History'!J158)),NOT(ISNUMBER('Price History'!J157)),'Price History'!J157=0),"",'Price History'!J158/'Price History'!J157-1),"")</f>
        <v>-2.3855577047066534E-2</v>
      </c>
      <c r="K157" s="129">
        <f>IFERROR(IF(OR(NOT(ISNUMBER('Price History'!K158)),NOT(ISNUMBER('Price History'!K157)),'Price History'!K157=0),"",'Price History'!K158/'Price History'!K157-1),"")</f>
        <v>-6.4200976971388601E-2</v>
      </c>
      <c r="L157" s="129">
        <f>IFERROR(IF(OR(NOT(ISNUMBER('Price History'!L158)),NOT(ISNUMBER('Price History'!L157)),'Price History'!L157=0),"",'Price History'!L158/'Price History'!L157-1),"")</f>
        <v>2.728146013448618E-2</v>
      </c>
      <c r="M157" s="129">
        <f>IFERROR(IF(OR(NOT(ISNUMBER('Price History'!M158)),NOT(ISNUMBER('Price History'!M157)),'Price History'!M157=0),"",'Price History'!M158/'Price History'!M157-1),"")</f>
        <v>9.1199128472492452E-2</v>
      </c>
      <c r="N157" s="129">
        <f>IFERROR(IF(OR(NOT(ISNUMBER('Price History'!N158)),NOT(ISNUMBER('Price History'!N157)),'Price History'!N157=0),"",'Price History'!N158/'Price History'!N157-1),"")</f>
        <v>8.1781092506783004E-3</v>
      </c>
      <c r="O157" s="129">
        <f>IFERROR(IF(OR(NOT(ISNUMBER('Price History'!O158)),NOT(ISNUMBER('Price History'!O157)),'Price History'!O157=0),"",'Price History'!O158/'Price History'!O157-1),"")</f>
        <v>1.0866091403004097E-2</v>
      </c>
      <c r="P157" s="129">
        <f>IFERROR(IF(OR(NOT(ISNUMBER('Price History'!P158)),NOT(ISNUMBER('Price History'!P157)),'Price History'!P157=0),"",'Price History'!P158/'Price History'!P157-1),"")</f>
        <v>2.7699125938691616E-3</v>
      </c>
      <c r="Q157" s="129">
        <f>IFERROR(IF(OR(NOT(ISNUMBER('Price History'!Q158)),NOT(ISNUMBER('Price History'!Q157)),'Price History'!Q157=0),"",'Price History'!Q158/'Price History'!Q157-1),"")</f>
        <v>4.310344827587187E-4</v>
      </c>
      <c r="R157" s="129">
        <f>IFERROR(IF(OR(NOT(ISNUMBER('Price History'!R158)),NOT(ISNUMBER('Price History'!R157)),'Price History'!R157=0),"",'Price History'!R158/'Price History'!R157-1),"")</f>
        <v>6.7888662593347249E-3</v>
      </c>
      <c r="S157" s="129">
        <f>IFERROR(IF(OR(NOT(ISNUMBER('Price History'!S158)),NOT(ISNUMBER('Price History'!S157)),'Price History'!S157=0),"",'Price History'!S158/'Price History'!S157-1),"")</f>
        <v>2.0062781493107584E-2</v>
      </c>
      <c r="T157" s="129">
        <f>IFERROR(IF(OR(NOT(ISNUMBER('Price History'!T158)),NOT(ISNUMBER('Price History'!T157)),'Price History'!T157=0),"",'Price History'!T158/'Price History'!T157-1),"")</f>
        <v>-6.6606660666066464E-3</v>
      </c>
      <c r="U157" s="129">
        <f>IFERROR(IF(OR(NOT(ISNUMBER('Price History'!U158)),NOT(ISNUMBER('Price History'!U157)),'Price History'!U157=0),"",'Price History'!U158/'Price History'!U157-1),"")</f>
        <v>-2.8885037550546722E-3</v>
      </c>
      <c r="V157" s="130">
        <f>IFERROR(IF(OR(NOT(ISNUMBER('Price History'!V158)),NOT(ISNUMBER('Price History'!V157)),'Price History'!V157=0),"",'Price History'!V158/'Price History'!V157-1),"")</f>
        <v>-1.7112159329140564E-2</v>
      </c>
      <c r="W157" s="131">
        <f>IFERROR('Price History'!B3+(INDEX('Price History'!B:B,MATCH(9.99E+307,'Returns (Calc)'!$A:$A)+1)-'Price History'!B3)*(ROW()-3)/(MATCH(9.99E+307,'Returns (Calc)'!$A:$A)-3),"")</f>
        <v>245.06215189873421</v>
      </c>
      <c r="X157" s="131">
        <f>IFERROR('Price History'!C3+(INDEX('Price History'!C:C,MATCH(9.99E+307,'Returns (Calc)'!$A:$A)+1)-'Price History'!C3)*(ROW()-3)/(MATCH(9.99E+307,'Returns (Calc)'!$A:$A)-3),"")</f>
        <v>203.26974683544302</v>
      </c>
      <c r="Y157" s="131">
        <f>IFERROR('Price History'!D3+(INDEX('Price History'!D:D,MATCH(9.99E+307,'Returns (Calc)'!$A:$A)+1)-'Price History'!D3)*(ROW()-3)/(MATCH(9.99E+307,'Returns (Calc)'!$A:$A)-3),"")</f>
        <v>1834.7707594936708</v>
      </c>
      <c r="Z157" s="131">
        <f>IFERROR('Price History'!E3+(INDEX('Price History'!E:E,MATCH(9.99E+307,'Returns (Calc)'!$A:$A)+1)-'Price History'!E3)*(ROW()-3)/(MATCH(9.99E+307,'Returns (Calc)'!$A:$A)-3),"")</f>
        <v>348.22506329113924</v>
      </c>
      <c r="AA157" s="131">
        <f>IFERROR('Price History'!F3+(INDEX('Price History'!F:F,MATCH(9.99E+307,'Returns (Calc)'!$A:$A)+1)-'Price History'!F3)*(ROW()-3)/(MATCH(9.99E+307,'Returns (Calc)'!$A:$A)-3),"")</f>
        <v>264.25063291139242</v>
      </c>
      <c r="AB157" s="131">
        <f>IFERROR('Price History'!G3+(INDEX('Price History'!G:G,MATCH(9.99E+307,'Returns (Calc)'!$A:$A)+1)-'Price History'!G3)*(ROW()-3)/(MATCH(9.99E+307,'Returns (Calc)'!$A:$A)-3),"")</f>
        <v>202.77506329113925</v>
      </c>
      <c r="AC157" s="131">
        <f>IFERROR('Price History'!H3+(INDEX('Price History'!H:H,MATCH(9.99E+307,'Returns (Calc)'!$A:$A)+1)-'Price History'!H3)*(ROW()-3)/(MATCH(9.99E+307,'Returns (Calc)'!$A:$A)-3),"")</f>
        <v>1049.4272151898736</v>
      </c>
      <c r="AD157" s="131">
        <f>IFERROR('Price History'!I3+(INDEX('Price History'!I:I,MATCH(9.99E+307,'Returns (Calc)'!$A:$A)+1)-'Price History'!I3)*(ROW()-3)/(MATCH(9.99E+307,'Returns (Calc)'!$A:$A)-3),"")</f>
        <v>229.1353164556962</v>
      </c>
      <c r="AE157" s="131">
        <f>IFERROR('Price History'!J3+(INDEX('Price History'!J:J,MATCH(9.99E+307,'Returns (Calc)'!$A:$A)+1)-'Price History'!J3)*(ROW()-3)/(MATCH(9.99E+307,'Returns (Calc)'!$A:$A)-3),"")</f>
        <v>128.47784810126581</v>
      </c>
      <c r="AF157" s="131">
        <f>IFERROR('Price History'!K3+(INDEX('Price History'!K:K,MATCH(9.99E+307,'Returns (Calc)'!$A:$A)+1)-'Price History'!K3)*(ROW()-3)/(MATCH(9.99E+307,'Returns (Calc)'!$A:$A)-3),"")</f>
        <v>184.35962025316454</v>
      </c>
      <c r="AG157" s="131">
        <f>IFERROR('Price History'!L3+(INDEX('Price History'!L:L,MATCH(9.99E+307,'Returns (Calc)'!$A:$A)+1)-'Price History'!L3)*(ROW()-3)/(MATCH(9.99E+307,'Returns (Calc)'!$A:$A)-3),"")</f>
        <v>462.98177215189872</v>
      </c>
      <c r="AH157" s="131">
        <f>IFERROR('Price History'!M3+(INDEX('Price History'!M:M,MATCH(9.99E+307,'Returns (Calc)'!$A:$A)+1)-'Price History'!M3)*(ROW()-3)/(MATCH(9.99E+307,'Returns (Calc)'!$A:$A)-3),"")</f>
        <v>246.75822784810128</v>
      </c>
      <c r="AI157" s="131">
        <f>IFERROR('Price History'!N3+(INDEX('Price History'!N:N,MATCH(9.99E+307,'Returns (Calc)'!$A:$A)+1)-'Price History'!N3)*(ROW()-3)/(MATCH(9.99E+307,'Returns (Calc)'!$A:$A)-3),"")</f>
        <v>500.78493670886076</v>
      </c>
      <c r="AJ157" s="131">
        <f>IFERROR('Price History'!O3+(INDEX('Price History'!O:O,MATCH(9.99E+307,'Returns (Calc)'!$A:$A)+1)-'Price History'!O3)*(ROW()-3)/(MATCH(9.99E+307,'Returns (Calc)'!$A:$A)-3),"")</f>
        <v>118.89784810126582</v>
      </c>
      <c r="AK157" s="131">
        <f>IFERROR('Price History'!Q3+(INDEX('Price History'!Q:Q,MATCH(9.99E+307,'Returns (Calc)'!$A:$A)+1)-'Price History'!Q3)*(ROW()-3)/(MATCH(9.99E+307,'Returns (Calc)'!$A:$A)-3),"")</f>
        <v>67.662531645569615</v>
      </c>
      <c r="AL157" s="131">
        <f>IFERROR('Price History'!R3+(INDEX('Price History'!R:R,MATCH(9.99E+307,'Returns (Calc)'!$A:$A)+1)-'Price History'!R3)*(ROW()-3)/(MATCH(9.99E+307,'Returns (Calc)'!$A:$A)-3),"")</f>
        <v>60.367594936708855</v>
      </c>
      <c r="AM157" s="131">
        <f>IFERROR('Price History'!S3+(INDEX('Price History'!S:S,MATCH(9.99E+307,'Returns (Calc)'!$A:$A)+1)-'Price History'!S3)*(ROW()-3)/(MATCH(9.99E+307,'Returns (Calc)'!$A:$A)-3),"")</f>
        <v>150.80974683544304</v>
      </c>
      <c r="AN157" s="131">
        <f>IFERROR('Price History'!T3+(INDEX('Price History'!T:T,MATCH(9.99E+307,'Returns (Calc)'!$A:$A)+1)-'Price History'!T3)*(ROW()-3)/(MATCH(9.99E+307,'Returns (Calc)'!$A:$A)-3),"")</f>
        <v>51.147088607594938</v>
      </c>
      <c r="AO157" s="132">
        <f>IFERROR('Price History'!V3+(INDEX('Price History'!V:V,MATCH(9.99E+307,'Returns (Calc)'!$A:$A)+1)-'Price History'!V3)*(ROW()-3)/(MATCH(9.99E+307,'Returns (Calc)'!$A:$A)-3),"")</f>
        <v>357.49468354430383</v>
      </c>
      <c r="AP157" s="130">
        <f>IFERROR(IF(OR(NOT(ISNUMBER('Price History'!W158)),NOT(ISNUMBER('Price History'!W157)),'Price History'!W157=0),"",'Price History'!W158/'Price History'!W157-1),"")</f>
        <v>-1.224439818783285E-4</v>
      </c>
      <c r="AQ157" s="130">
        <f>IFERROR(IF(OR(NOT(ISNUMBER('Price History'!X158)),NOT(ISNUMBER('Price History'!X157)),'Price History'!X157=0),"",'Price History'!X158/'Price History'!X157-1),"")</f>
        <v>6.5249813571961468E-3</v>
      </c>
      <c r="AR157" s="130">
        <f>IFERROR(IF(OR(NOT(ISNUMBER('Price History'!Y158)),NOT(ISNUMBER('Price History'!Y157)),'Price History'!Y157=0),"",'Price History'!Y158/'Price History'!Y157-1),"")</f>
        <v>-3.5044681969511604E-3</v>
      </c>
      <c r="AS157" s="130">
        <f>IFERROR(IF(OR(NOT(ISNUMBER('Price History'!Z158)),NOT(ISNUMBER('Price History'!Z157)),'Price History'!Z157=0),"",'Price History'!Z158/'Price History'!Z157-1),"")</f>
        <v>-1.5937883122190355E-2</v>
      </c>
      <c r="AT157" s="130">
        <f>IFERROR(IF(OR(NOT(ISNUMBER('Price History'!AA158)),NOT(ISNUMBER('Price History'!AA157)),'Price History'!AA157=0),"",'Price History'!AA158/'Price History'!AA157-1),"")</f>
        <v>-4.2462065589818909E-2</v>
      </c>
    </row>
    <row r="158" spans="1:46" ht="15" customHeight="1" x14ac:dyDescent="0.2">
      <c r="A158" s="128">
        <f>IF('Price History'!A159="","",'Price History'!A159)</f>
        <v>46276</v>
      </c>
      <c r="B158" s="129">
        <f>IFERROR(IF(OR(NOT(ISNUMBER('Price History'!B159)),NOT(ISNUMBER('Price History'!B158)),'Price History'!B158=0),"",'Price History'!B159/'Price History'!B158-1),"")</f>
        <v>-5.3581479118982367E-2</v>
      </c>
      <c r="C158" s="129">
        <f>IFERROR(IF(OR(NOT(ISNUMBER('Price History'!C159)),NOT(ISNUMBER('Price History'!C158)),'Price History'!C158=0),"",'Price History'!C159/'Price History'!C158-1),"")</f>
        <v>2.9982454329652297E-2</v>
      </c>
      <c r="D158" s="129">
        <f>IFERROR(IF(OR(NOT(ISNUMBER('Price History'!D159)),NOT(ISNUMBER('Price History'!D158)),'Price History'!D158=0),"",'Price History'!D159/'Price History'!D158-1),"")</f>
        <v>-9.6683149841388927E-3</v>
      </c>
      <c r="E158" s="129">
        <f>IFERROR(IF(OR(NOT(ISNUMBER('Price History'!E159)),NOT(ISNUMBER('Price History'!E158)),'Price History'!E158=0),"",'Price History'!E159/'Price History'!E158-1),"")</f>
        <v>1.1420573827851666E-2</v>
      </c>
      <c r="F158" s="129">
        <f>IFERROR(IF(OR(NOT(ISNUMBER('Price History'!F159)),NOT(ISNUMBER('Price History'!F158)),'Price History'!F158=0),"",'Price History'!F159/'Price History'!F158-1),"")</f>
        <v>-2.9845143125293183E-2</v>
      </c>
      <c r="G158" s="129">
        <f>IFERROR(IF(OR(NOT(ISNUMBER('Price History'!G159)),NOT(ISNUMBER('Price History'!G158)),'Price History'!G158=0),"",'Price History'!G159/'Price History'!G158-1),"")</f>
        <v>-2.6724137931034564E-2</v>
      </c>
      <c r="H158" s="129">
        <f>IFERROR(IF(OR(NOT(ISNUMBER('Price History'!H159)),NOT(ISNUMBER('Price History'!H158)),'Price History'!H158=0),"",'Price History'!H159/'Price History'!H158-1),"")</f>
        <v>-4.065552484285706E-2</v>
      </c>
      <c r="I158" s="129">
        <f>IFERROR(IF(OR(NOT(ISNUMBER('Price History'!I159)),NOT(ISNUMBER('Price History'!I158)),'Price History'!I158=0),"",'Price History'!I159/'Price History'!I158-1),"")</f>
        <v>-5.1325510647544537E-2</v>
      </c>
      <c r="J158" s="129">
        <f>IFERROR(IF(OR(NOT(ISNUMBER('Price History'!J159)),NOT(ISNUMBER('Price History'!J158)),'Price History'!J158=0),"",'Price History'!J159/'Price History'!J158-1),"")</f>
        <v>-1.1595479230882E-2</v>
      </c>
      <c r="K158" s="129">
        <f>IFERROR(IF(OR(NOT(ISNUMBER('Price History'!K159)),NOT(ISNUMBER('Price History'!K158)),'Price History'!K158=0),"",'Price History'!K159/'Price History'!K158-1),"")</f>
        <v>-4.0727356163597905E-2</v>
      </c>
      <c r="L158" s="129">
        <f>IFERROR(IF(OR(NOT(ISNUMBER('Price History'!L159)),NOT(ISNUMBER('Price History'!L158)),'Price History'!L158=0),"",'Price History'!L159/'Price History'!L158-1),"")</f>
        <v>1.0099121002431266E-2</v>
      </c>
      <c r="M158" s="129">
        <f>IFERROR(IF(OR(NOT(ISNUMBER('Price History'!M159)),NOT(ISNUMBER('Price History'!M158)),'Price History'!M158=0),"",'Price History'!M159/'Price History'!M158-1),"")</f>
        <v>-8.364829209156377E-2</v>
      </c>
      <c r="N158" s="129">
        <f>IFERROR(IF(OR(NOT(ISNUMBER('Price History'!N159)),NOT(ISNUMBER('Price History'!N158)),'Price History'!N158=0),"",'Price History'!N159/'Price History'!N158-1),"")</f>
        <v>-5.6178129348861017E-2</v>
      </c>
      <c r="O158" s="129">
        <f>IFERROR(IF(OR(NOT(ISNUMBER('Price History'!O159)),NOT(ISNUMBER('Price History'!O158)),'Price History'!O158=0),"",'Price History'!O159/'Price History'!O158-1),"")</f>
        <v>-1.5965855200758772E-2</v>
      </c>
      <c r="P158" s="129">
        <f>IFERROR(IF(OR(NOT(ISNUMBER('Price History'!P159)),NOT(ISNUMBER('Price History'!P158)),'Price History'!P158=0),"",'Price History'!P159/'Price History'!P158-1),"")</f>
        <v>-1.1540114173470006E-2</v>
      </c>
      <c r="Q158" s="129">
        <f>IFERROR(IF(OR(NOT(ISNUMBER('Price History'!Q159)),NOT(ISNUMBER('Price History'!Q158)),'Price History'!Q158=0),"",'Price History'!Q159/'Price History'!Q158-1),"")</f>
        <v>-6.8935803532957918E-3</v>
      </c>
      <c r="R158" s="129">
        <f>IFERROR(IF(OR(NOT(ISNUMBER('Price History'!R159)),NOT(ISNUMBER('Price History'!R158)),'Price History'!R158=0),"",'Price History'!R159/'Price History'!R158-1),"")</f>
        <v>-1.5171948752529252E-3</v>
      </c>
      <c r="S158" s="129">
        <f>IFERROR(IF(OR(NOT(ISNUMBER('Price History'!S159)),NOT(ISNUMBER('Price History'!S158)),'Price History'!S158=0),"",'Price History'!S159/'Price History'!S158-1),"")</f>
        <v>-9.4327000267594441E-3</v>
      </c>
      <c r="T158" s="129">
        <f>IFERROR(IF(OR(NOT(ISNUMBER('Price History'!T159)),NOT(ISNUMBER('Price History'!T158)),'Price History'!T158=0),"",'Price History'!T159/'Price History'!T158-1),"")</f>
        <v>-2.3559260601667242E-2</v>
      </c>
      <c r="U158" s="129">
        <f>IFERROR(IF(OR(NOT(ISNUMBER('Price History'!U159)),NOT(ISNUMBER('Price History'!U158)),'Price History'!U158=0),"",'Price History'!U159/'Price History'!U158-1),"")</f>
        <v>-1.9409038238702214E-2</v>
      </c>
      <c r="V158" s="130">
        <f>IFERROR(IF(OR(NOT(ISNUMBER('Price History'!V159)),NOT(ISNUMBER('Price History'!V158)),'Price History'!V158=0),"",'Price History'!V159/'Price History'!V158-1),"")</f>
        <v>-1.2317700695870126E-2</v>
      </c>
      <c r="W158" s="132">
        <f>IFERROR('Price History'!B3+(INDEX('Price History'!B:B,MATCH(9.99E+307,'Returns (Calc)'!$A:$A)+1)-'Price History'!B3)*(ROW()-3)/(MATCH(9.99E+307,'Returns (Calc)'!$A:$A)-3),"")</f>
        <v>243.21911392405065</v>
      </c>
      <c r="X158" s="132">
        <f>IFERROR('Price History'!C3+(INDEX('Price History'!C:C,MATCH(9.99E+307,'Returns (Calc)'!$A:$A)+1)-'Price History'!C3)*(ROW()-3)/(MATCH(9.99E+307,'Returns (Calc)'!$A:$A)-3),"")</f>
        <v>204.28981012658227</v>
      </c>
      <c r="Y158" s="132">
        <f>IFERROR('Price History'!D3+(INDEX('Price History'!D:D,MATCH(9.99E+307,'Returns (Calc)'!$A:$A)+1)-'Price History'!D3)*(ROW()-3)/(MATCH(9.99E+307,'Returns (Calc)'!$A:$A)-3),"")</f>
        <v>1842.9055696202531</v>
      </c>
      <c r="Z158" s="132">
        <f>IFERROR('Price History'!E3+(INDEX('Price History'!E:E,MATCH(9.99E+307,'Returns (Calc)'!$A:$A)+1)-'Price History'!E3)*(ROW()-3)/(MATCH(9.99E+307,'Returns (Calc)'!$A:$A)-3),"")</f>
        <v>349.95379746835442</v>
      </c>
      <c r="AA158" s="132">
        <f>IFERROR('Price History'!F3+(INDEX('Price History'!F:F,MATCH(9.99E+307,'Returns (Calc)'!$A:$A)+1)-'Price History'!F3)*(ROW()-3)/(MATCH(9.99E+307,'Returns (Calc)'!$A:$A)-3),"")</f>
        <v>265.69797468354432</v>
      </c>
      <c r="AB158" s="132">
        <f>IFERROR('Price History'!G3+(INDEX('Price History'!G:G,MATCH(9.99E+307,'Returns (Calc)'!$A:$A)+1)-'Price History'!G3)*(ROW()-3)/(MATCH(9.99E+307,'Returns (Calc)'!$A:$A)-3),"")</f>
        <v>203.80379746835442</v>
      </c>
      <c r="AC158" s="132">
        <f>IFERROR('Price History'!H3+(INDEX('Price History'!H:H,MATCH(9.99E+307,'Returns (Calc)'!$A:$A)+1)-'Price History'!H3)*(ROW()-3)/(MATCH(9.99E+307,'Returns (Calc)'!$A:$A)-3),"")</f>
        <v>1055.7929113924051</v>
      </c>
      <c r="AD158" s="132">
        <f>IFERROR('Price History'!I3+(INDEX('Price History'!I:I,MATCH(9.99E+307,'Returns (Calc)'!$A:$A)+1)-'Price History'!I3)*(ROW()-3)/(MATCH(9.99E+307,'Returns (Calc)'!$A:$A)-3),"")</f>
        <v>230.33898734177214</v>
      </c>
      <c r="AE158" s="132">
        <f>IFERROR('Price History'!J3+(INDEX('Price History'!J:J,MATCH(9.99E+307,'Returns (Calc)'!$A:$A)+1)-'Price History'!J3)*(ROW()-3)/(MATCH(9.99E+307,'Returns (Calc)'!$A:$A)-3),"")</f>
        <v>128.58588607594936</v>
      </c>
      <c r="AF158" s="132">
        <f>IFERROR('Price History'!K3+(INDEX('Price History'!K:K,MATCH(9.99E+307,'Returns (Calc)'!$A:$A)+1)-'Price History'!K3)*(ROW()-3)/(MATCH(9.99E+307,'Returns (Calc)'!$A:$A)-3),"")</f>
        <v>185.45721518987341</v>
      </c>
      <c r="AG158" s="132">
        <f>IFERROR('Price History'!L3+(INDEX('Price History'!L:L,MATCH(9.99E+307,'Returns (Calc)'!$A:$A)+1)-'Price History'!L3)*(ROW()-3)/(MATCH(9.99E+307,'Returns (Calc)'!$A:$A)-3),"")</f>
        <v>465.43132911392399</v>
      </c>
      <c r="AH158" s="132">
        <f>IFERROR('Price History'!M3+(INDEX('Price History'!M:M,MATCH(9.99E+307,'Returns (Calc)'!$A:$A)+1)-'Price History'!M3)*(ROW()-3)/(MATCH(9.99E+307,'Returns (Calc)'!$A:$A)-3),"")</f>
        <v>248.11367088607597</v>
      </c>
      <c r="AI158" s="132">
        <f>IFERROR('Price History'!N3+(INDEX('Price History'!N:N,MATCH(9.99E+307,'Returns (Calc)'!$A:$A)+1)-'Price History'!N3)*(ROW()-3)/(MATCH(9.99E+307,'Returns (Calc)'!$A:$A)-3),"")</f>
        <v>501.7712025316456</v>
      </c>
      <c r="AJ158" s="132">
        <f>IFERROR('Price History'!O3+(INDEX('Price History'!O:O,MATCH(9.99E+307,'Returns (Calc)'!$A:$A)+1)-'Price History'!O3)*(ROW()-3)/(MATCH(9.99E+307,'Returns (Calc)'!$A:$A)-3),"")</f>
        <v>119.18088607594936</v>
      </c>
      <c r="AK158" s="132">
        <f>IFERROR('Price History'!Q3+(INDEX('Price History'!Q:Q,MATCH(9.99E+307,'Returns (Calc)'!$A:$A)+1)-'Price History'!Q3)*(ROW()-3)/(MATCH(9.99E+307,'Returns (Calc)'!$A:$A)-3),"")</f>
        <v>68.101898734177212</v>
      </c>
      <c r="AL158" s="132">
        <f>IFERROR('Price History'!R3+(INDEX('Price History'!R:R,MATCH(9.99E+307,'Returns (Calc)'!$A:$A)+1)-'Price History'!R3)*(ROW()-3)/(MATCH(9.99E+307,'Returns (Calc)'!$A:$A)-3),"")</f>
        <v>60.535696202531639</v>
      </c>
      <c r="AM158" s="132">
        <f>IFERROR('Price History'!S3+(INDEX('Price History'!S:S,MATCH(9.99E+307,'Returns (Calc)'!$A:$A)+1)-'Price History'!S3)*(ROW()-3)/(MATCH(9.99E+307,'Returns (Calc)'!$A:$A)-3),"")</f>
        <v>151.41481012658227</v>
      </c>
      <c r="AN158" s="132">
        <f>IFERROR('Price History'!T3+(INDEX('Price History'!T:T,MATCH(9.99E+307,'Returns (Calc)'!$A:$A)+1)-'Price History'!T3)*(ROW()-3)/(MATCH(9.99E+307,'Returns (Calc)'!$A:$A)-3),"")</f>
        <v>51.315316455696205</v>
      </c>
      <c r="AO158" s="132">
        <f>IFERROR('Price History'!V3+(INDEX('Price History'!V:V,MATCH(9.99E+307,'Returns (Calc)'!$A:$A)+1)-'Price History'!V3)*(ROW()-3)/(MATCH(9.99E+307,'Returns (Calc)'!$A:$A)-3),"")</f>
        <v>358.28601265822789</v>
      </c>
      <c r="AP158" s="130">
        <f>IFERROR(IF(OR(NOT(ISNUMBER('Price History'!W159)),NOT(ISNUMBER('Price History'!W158)),'Price History'!W158=0),"",'Price History'!W159/'Price History'!W158-1),"")</f>
        <v>-7.959833455792209E-3</v>
      </c>
      <c r="AQ158" s="130">
        <f>IFERROR(IF(OR(NOT(ISNUMBER('Price History'!X159)),NOT(ISNUMBER('Price History'!X158)),'Price History'!X158=0),"",'Price History'!X159/'Price History'!X158-1),"")</f>
        <v>-1.1668827560659456E-2</v>
      </c>
      <c r="AR158" s="130">
        <f>IFERROR(IF(OR(NOT(ISNUMBER('Price History'!Y159)),NOT(ISNUMBER('Price History'!Y158)),'Price History'!Y158=0),"",'Price History'!Y159/'Price History'!Y158-1),"")</f>
        <v>-9.8470195181993292E-3</v>
      </c>
      <c r="AS158" s="130">
        <f>IFERROR(IF(OR(NOT(ISNUMBER('Price History'!Z159)),NOT(ISNUMBER('Price History'!Z158)),'Price History'!Z158=0),"",'Price History'!Z159/'Price History'!Z158-1),"")</f>
        <v>-3.9926435690555206E-2</v>
      </c>
      <c r="AT158" s="130">
        <f>IFERROR(IF(OR(NOT(ISNUMBER('Price History'!AA159)),NOT(ISNUMBER('Price History'!AA158)),'Price History'!AA158=0),"",'Price History'!AA159/'Price History'!AA158-1),"")</f>
        <v>-1.0862619808306606E-2</v>
      </c>
    </row>
    <row r="159" spans="1:46" ht="15" customHeight="1" x14ac:dyDescent="0.2">
      <c r="A159" s="128">
        <f>IF('Price History'!A160="","",'Price History'!A160)</f>
        <v>46283</v>
      </c>
      <c r="B159" s="129">
        <f>IFERROR(IF(OR(NOT(ISNUMBER('Price History'!B160)),NOT(ISNUMBER('Price History'!B159)),'Price History'!B159=0),"",'Price History'!B160/'Price History'!B159-1),"")</f>
        <v>-1.312294334535935E-2</v>
      </c>
      <c r="C159" s="129">
        <f>IFERROR(IF(OR(NOT(ISNUMBER('Price History'!C160)),NOT(ISNUMBER('Price History'!C159)),'Price History'!C159=0),"",'Price History'!C160/'Price History'!C159-1),"")</f>
        <v>-1.0020542111328634E-3</v>
      </c>
      <c r="D159" s="129">
        <f>IFERROR(IF(OR(NOT(ISNUMBER('Price History'!D160)),NOT(ISNUMBER('Price History'!D159)),'Price History'!D159=0),"",'Price History'!D160/'Price History'!D159-1),"")</f>
        <v>-1.0822587293175423E-2</v>
      </c>
      <c r="E159" s="129">
        <f>IFERROR(IF(OR(NOT(ISNUMBER('Price History'!E160)),NOT(ISNUMBER('Price History'!E159)),'Price History'!E159=0),"",'Price History'!E160/'Price History'!E159-1),"")</f>
        <v>-1.2094207511139432E-2</v>
      </c>
      <c r="F159" s="129">
        <f>IFERROR(IF(OR(NOT(ISNUMBER('Price History'!F160)),NOT(ISNUMBER('Price History'!F159)),'Price History'!F159=0),"",'Price History'!F160/'Price History'!F159-1),"")</f>
        <v>0.14951146367418011</v>
      </c>
      <c r="G159" s="129">
        <f>IFERROR(IF(OR(NOT(ISNUMBER('Price History'!G160)),NOT(ISNUMBER('Price History'!G159)),'Price History'!G159=0),"",'Price History'!G160/'Price History'!G159-1),"")</f>
        <v>-2.020593445527008E-2</v>
      </c>
      <c r="H159" s="129">
        <f>IFERROR(IF(OR(NOT(ISNUMBER('Price History'!H160)),NOT(ISNUMBER('Price History'!H159)),'Price History'!H159=0),"",'Price History'!H160/'Price History'!H159-1),"")</f>
        <v>4.1568402272214477E-2</v>
      </c>
      <c r="I159" s="129">
        <f>IFERROR(IF(OR(NOT(ISNUMBER('Price History'!I160)),NOT(ISNUMBER('Price History'!I159)),'Price History'!I159=0),"",'Price History'!I160/'Price History'!I159-1),"")</f>
        <v>1.8232626322781664E-2</v>
      </c>
      <c r="J159" s="129">
        <f>IFERROR(IF(OR(NOT(ISNUMBER('Price History'!J160)),NOT(ISNUMBER('Price History'!J159)),'Price History'!J159=0),"",'Price History'!J160/'Price History'!J159-1),"")</f>
        <v>1.1880011880012198E-3</v>
      </c>
      <c r="K159" s="129">
        <f>IFERROR(IF(OR(NOT(ISNUMBER('Price History'!K160)),NOT(ISNUMBER('Price History'!K159)),'Price History'!K159=0),"",'Price History'!K160/'Price History'!K159-1),"")</f>
        <v>6.2249596364288617E-2</v>
      </c>
      <c r="L159" s="129">
        <f>IFERROR(IF(OR(NOT(ISNUMBER('Price History'!L160)),NOT(ISNUMBER('Price History'!L159)),'Price History'!L159=0),"",'Price History'!L160/'Price History'!L159-1),"")</f>
        <v>5.9942603221625479E-3</v>
      </c>
      <c r="M159" s="129">
        <f>IFERROR(IF(OR(NOT(ISNUMBER('Price History'!M160)),NOT(ISNUMBER('Price History'!M159)),'Price History'!M159=0),"",'Price History'!M160/'Price History'!M159-1),"")</f>
        <v>-2.9610894941634269E-2</v>
      </c>
      <c r="N159" s="129">
        <f>IFERROR(IF(OR(NOT(ISNUMBER('Price History'!N160)),NOT(ISNUMBER('Price History'!N159)),'Price History'!N159=0),"",'Price History'!N160/'Price History'!N159-1),"")</f>
        <v>-1.3774639143256384E-2</v>
      </c>
      <c r="O159" s="129">
        <f>IFERROR(IF(OR(NOT(ISNUMBER('Price History'!O160)),NOT(ISNUMBER('Price History'!O159)),'Price History'!O159=0),"",'Price History'!O160/'Price History'!O159-1),"")</f>
        <v>-2.0401606425702878E-2</v>
      </c>
      <c r="P159" s="129">
        <f>IFERROR(IF(OR(NOT(ISNUMBER('Price History'!P160)),NOT(ISNUMBER('Price History'!P159)),'Price History'!P159=0),"",'Price History'!P160/'Price History'!P159-1),"")</f>
        <v>-1.7325964106067127E-2</v>
      </c>
      <c r="Q159" s="129">
        <f>IFERROR(IF(OR(NOT(ISNUMBER('Price History'!Q160)),NOT(ISNUMBER('Price History'!Q159)),'Price History'!Q159=0),"",'Price History'!Q160/'Price History'!Q159-1),"")</f>
        <v>-2.3138105567608314E-3</v>
      </c>
      <c r="R159" s="129">
        <f>IFERROR(IF(OR(NOT(ISNUMBER('Price History'!R160)),NOT(ISNUMBER('Price History'!R159)),'Price History'!R159=0),"",'Price History'!R160/'Price History'!R159-1),"")</f>
        <v>7.5975012662503616E-3</v>
      </c>
      <c r="S159" s="129">
        <f>IFERROR(IF(OR(NOT(ISNUMBER('Price History'!S160)),NOT(ISNUMBER('Price History'!S159)),'Price History'!S159=0),"",'Price History'!S160/'Price History'!S159-1),"")</f>
        <v>6.0782062537989567E-3</v>
      </c>
      <c r="T159" s="129">
        <f>IFERROR(IF(OR(NOT(ISNUMBER('Price History'!T160)),NOT(ISNUMBER('Price History'!T159)),'Price History'!T159=0),"",'Price History'!T160/'Price History'!T159-1),"")</f>
        <v>-1.6332590942836012E-2</v>
      </c>
      <c r="U159" s="129">
        <f>IFERROR(IF(OR(NOT(ISNUMBER('Price History'!U160)),NOT(ISNUMBER('Price History'!U159)),'Price History'!U159=0),"",'Price History'!U160/'Price History'!U159-1),"")</f>
        <v>-1.2998522895125708E-2</v>
      </c>
      <c r="V159" s="130">
        <f>IFERROR(IF(OR(NOT(ISNUMBER('Price History'!V160)),NOT(ISNUMBER('Price History'!V159)),'Price History'!V159=0),"",'Price History'!V160/'Price History'!V159-1),"")</f>
        <v>-5.8307463895261868E-3</v>
      </c>
      <c r="W159" s="132">
        <f>IFERROR('Price History'!B3+(INDEX('Price History'!B:B,MATCH(9.99E+307,'Returns (Calc)'!$A:$A)+1)-'Price History'!B3)*(ROW()-3)/(MATCH(9.99E+307,'Returns (Calc)'!$A:$A)-3),"")</f>
        <v>241.37607594936708</v>
      </c>
      <c r="X159" s="132">
        <f>IFERROR('Price History'!C3+(INDEX('Price History'!C:C,MATCH(9.99E+307,'Returns (Calc)'!$A:$A)+1)-'Price History'!C3)*(ROW()-3)/(MATCH(9.99E+307,'Returns (Calc)'!$A:$A)-3),"")</f>
        <v>205.30987341772152</v>
      </c>
      <c r="Y159" s="132">
        <f>IFERROR('Price History'!D3+(INDEX('Price History'!D:D,MATCH(9.99E+307,'Returns (Calc)'!$A:$A)+1)-'Price History'!D3)*(ROW()-3)/(MATCH(9.99E+307,'Returns (Calc)'!$A:$A)-3),"")</f>
        <v>1851.0403797468355</v>
      </c>
      <c r="Z159" s="132">
        <f>IFERROR('Price History'!E3+(INDEX('Price History'!E:E,MATCH(9.99E+307,'Returns (Calc)'!$A:$A)+1)-'Price History'!E3)*(ROW()-3)/(MATCH(9.99E+307,'Returns (Calc)'!$A:$A)-3),"")</f>
        <v>351.68253164556961</v>
      </c>
      <c r="AA159" s="132">
        <f>IFERROR('Price History'!F3+(INDEX('Price History'!F:F,MATCH(9.99E+307,'Returns (Calc)'!$A:$A)+1)-'Price History'!F3)*(ROW()-3)/(MATCH(9.99E+307,'Returns (Calc)'!$A:$A)-3),"")</f>
        <v>267.14531645569622</v>
      </c>
      <c r="AB159" s="132">
        <f>IFERROR('Price History'!G3+(INDEX('Price History'!G:G,MATCH(9.99E+307,'Returns (Calc)'!$A:$A)+1)-'Price History'!G3)*(ROW()-3)/(MATCH(9.99E+307,'Returns (Calc)'!$A:$A)-3),"")</f>
        <v>204.83253164556959</v>
      </c>
      <c r="AC159" s="132">
        <f>IFERROR('Price History'!H3+(INDEX('Price History'!H:H,MATCH(9.99E+307,'Returns (Calc)'!$A:$A)+1)-'Price History'!H3)*(ROW()-3)/(MATCH(9.99E+307,'Returns (Calc)'!$A:$A)-3),"")</f>
        <v>1062.1586075949367</v>
      </c>
      <c r="AD159" s="132">
        <f>IFERROR('Price History'!I3+(INDEX('Price History'!I:I,MATCH(9.99E+307,'Returns (Calc)'!$A:$A)+1)-'Price History'!I3)*(ROW()-3)/(MATCH(9.99E+307,'Returns (Calc)'!$A:$A)-3),"")</f>
        <v>231.54265822784811</v>
      </c>
      <c r="AE159" s="132">
        <f>IFERROR('Price History'!J3+(INDEX('Price History'!J:J,MATCH(9.99E+307,'Returns (Calc)'!$A:$A)+1)-'Price History'!J3)*(ROW()-3)/(MATCH(9.99E+307,'Returns (Calc)'!$A:$A)-3),"")</f>
        <v>128.69392405063292</v>
      </c>
      <c r="AF159" s="132">
        <f>IFERROR('Price History'!K3+(INDEX('Price History'!K:K,MATCH(9.99E+307,'Returns (Calc)'!$A:$A)+1)-'Price History'!K3)*(ROW()-3)/(MATCH(9.99E+307,'Returns (Calc)'!$A:$A)-3),"")</f>
        <v>186.55481012658228</v>
      </c>
      <c r="AG159" s="132">
        <f>IFERROR('Price History'!L3+(INDEX('Price History'!L:L,MATCH(9.99E+307,'Returns (Calc)'!$A:$A)+1)-'Price History'!L3)*(ROW()-3)/(MATCH(9.99E+307,'Returns (Calc)'!$A:$A)-3),"")</f>
        <v>467.88088607594932</v>
      </c>
      <c r="AH159" s="132">
        <f>IFERROR('Price History'!M3+(INDEX('Price History'!M:M,MATCH(9.99E+307,'Returns (Calc)'!$A:$A)+1)-'Price History'!M3)*(ROW()-3)/(MATCH(9.99E+307,'Returns (Calc)'!$A:$A)-3),"")</f>
        <v>249.46911392405065</v>
      </c>
      <c r="AI159" s="132">
        <f>IFERROR('Price History'!N3+(INDEX('Price History'!N:N,MATCH(9.99E+307,'Returns (Calc)'!$A:$A)+1)-'Price History'!N3)*(ROW()-3)/(MATCH(9.99E+307,'Returns (Calc)'!$A:$A)-3),"")</f>
        <v>502.75746835443039</v>
      </c>
      <c r="AJ159" s="132">
        <f>IFERROR('Price History'!O3+(INDEX('Price History'!O:O,MATCH(9.99E+307,'Returns (Calc)'!$A:$A)+1)-'Price History'!O3)*(ROW()-3)/(MATCH(9.99E+307,'Returns (Calc)'!$A:$A)-3),"")</f>
        <v>119.46392405063291</v>
      </c>
      <c r="AK159" s="132">
        <f>IFERROR('Price History'!Q3+(INDEX('Price History'!Q:Q,MATCH(9.99E+307,'Returns (Calc)'!$A:$A)+1)-'Price History'!Q3)*(ROW()-3)/(MATCH(9.99E+307,'Returns (Calc)'!$A:$A)-3),"")</f>
        <v>68.541265822784808</v>
      </c>
      <c r="AL159" s="132">
        <f>IFERROR('Price History'!R3+(INDEX('Price History'!R:R,MATCH(9.99E+307,'Returns (Calc)'!$A:$A)+1)-'Price History'!R3)*(ROW()-3)/(MATCH(9.99E+307,'Returns (Calc)'!$A:$A)-3),"")</f>
        <v>60.703797468354431</v>
      </c>
      <c r="AM159" s="132">
        <f>IFERROR('Price History'!S3+(INDEX('Price History'!S:S,MATCH(9.99E+307,'Returns (Calc)'!$A:$A)+1)-'Price History'!S3)*(ROW()-3)/(MATCH(9.99E+307,'Returns (Calc)'!$A:$A)-3),"")</f>
        <v>152.0198734177215</v>
      </c>
      <c r="AN159" s="132">
        <f>IFERROR('Price History'!T3+(INDEX('Price History'!T:T,MATCH(9.99E+307,'Returns (Calc)'!$A:$A)+1)-'Price History'!T3)*(ROW()-3)/(MATCH(9.99E+307,'Returns (Calc)'!$A:$A)-3),"")</f>
        <v>51.483544303797473</v>
      </c>
      <c r="AO159" s="132">
        <f>IFERROR('Price History'!V3+(INDEX('Price History'!V:V,MATCH(9.99E+307,'Returns (Calc)'!$A:$A)+1)-'Price History'!V3)*(ROW()-3)/(MATCH(9.99E+307,'Returns (Calc)'!$A:$A)-3),"")</f>
        <v>359.07734177215195</v>
      </c>
      <c r="AP159" s="130">
        <f>IFERROR(IF(OR(NOT(ISNUMBER('Price History'!W160)),NOT(ISNUMBER('Price History'!W159)),'Price History'!W159=0),"",'Price History'!W160/'Price History'!W159-1),"")</f>
        <v>-1.7034933958770648E-2</v>
      </c>
      <c r="AQ159" s="130">
        <f>IFERROR(IF(OR(NOT(ISNUMBER('Price History'!X160)),NOT(ISNUMBER('Price History'!X159)),'Price History'!X159=0),"",'Price History'!X160/'Price History'!X159-1),"")</f>
        <v>-1.0307346326836497E-2</v>
      </c>
      <c r="AR159" s="130">
        <f>IFERROR(IF(OR(NOT(ISNUMBER('Price History'!Y160)),NOT(ISNUMBER('Price History'!Y159)),'Price History'!Y159=0),"",'Price History'!Y160/'Price History'!Y159-1),"")</f>
        <v>-7.2811223583733042E-3</v>
      </c>
      <c r="AS159" s="130">
        <f>IFERROR(IF(OR(NOT(ISNUMBER('Price History'!Z160)),NOT(ISNUMBER('Price History'!Z159)),'Price History'!Z159=0),"",'Price History'!Z160/'Price History'!Z159-1),"")</f>
        <v>-2.9011926095285356E-2</v>
      </c>
      <c r="AT159" s="130">
        <f>IFERROR(IF(OR(NOT(ISNUMBER('Price History'!AA160)),NOT(ISNUMBER('Price History'!AA159)),'Price History'!AA159=0),"",'Price History'!AA160/'Price History'!AA159-1),"")</f>
        <v>-7.2480620155038755E-2</v>
      </c>
    </row>
    <row r="160" spans="1:46" ht="15" customHeight="1" x14ac:dyDescent="0.2">
      <c r="A160" s="128">
        <f>IF('Price History'!A161="","",'Price History'!A161)</f>
        <v>46290</v>
      </c>
      <c r="B160" s="129">
        <f>IFERROR(IF(OR(NOT(ISNUMBER('Price History'!B161)),NOT(ISNUMBER('Price History'!B160)),'Price History'!B160=0),"",'Price History'!B161/'Price History'!B160-1),"")</f>
        <v>-5.4033424393379326E-2</v>
      </c>
      <c r="C160" s="129">
        <f>IFERROR(IF(OR(NOT(ISNUMBER('Price History'!C161)),NOT(ISNUMBER('Price History'!C160)),'Price History'!C160=0),"",'Price History'!C161/'Price History'!C160-1),"")</f>
        <v>3.5909524048347574E-2</v>
      </c>
      <c r="D160" s="129">
        <f>IFERROR(IF(OR(NOT(ISNUMBER('Price History'!D161)),NOT(ISNUMBER('Price History'!D160)),'Price History'!D160=0),"",'Price History'!D161/'Price History'!D160-1),"")</f>
        <v>3.810895756940802E-2</v>
      </c>
      <c r="E160" s="129">
        <f>IFERROR(IF(OR(NOT(ISNUMBER('Price History'!E161)),NOT(ISNUMBER('Price History'!E160)),'Price History'!E160=0),"",'Price History'!E161/'Price History'!E160-1),"")</f>
        <v>-1.1625952487673619E-2</v>
      </c>
      <c r="F160" s="129">
        <f>IFERROR(IF(OR(NOT(ISNUMBER('Price History'!F161)),NOT(ISNUMBER('Price History'!F160)),'Price History'!F160=0),"",'Price History'!F161/'Price History'!F160-1),"")</f>
        <v>6.0929938985903487E-2</v>
      </c>
      <c r="G160" s="129">
        <f>IFERROR(IF(OR(NOT(ISNUMBER('Price History'!G161)),NOT(ISNUMBER('Price History'!G160)),'Price History'!G160=0),"",'Price History'!G161/'Price History'!G160-1),"")</f>
        <v>6.175490140685902E-2</v>
      </c>
      <c r="H160" s="129">
        <f>IFERROR(IF(OR(NOT(ISNUMBER('Price History'!H161)),NOT(ISNUMBER('Price History'!H160)),'Price History'!H160=0),"",'Price History'!H161/'Price History'!H160-1),"")</f>
        <v>6.5445953927938616E-2</v>
      </c>
      <c r="I160" s="129">
        <f>IFERROR(IF(OR(NOT(ISNUMBER('Price History'!I161)),NOT(ISNUMBER('Price History'!I160)),'Price History'!I160=0),"",'Price History'!I161/'Price History'!I160-1),"")</f>
        <v>1.2597291582309822E-2</v>
      </c>
      <c r="J160" s="129">
        <f>IFERROR(IF(OR(NOT(ISNUMBER('Price History'!J161)),NOT(ISNUMBER('Price History'!J160)),'Price History'!J160=0),"",'Price History'!J161/'Price History'!J160-1),"")</f>
        <v>-1.3274992583802936E-2</v>
      </c>
      <c r="K160" s="129">
        <f>IFERROR(IF(OR(NOT(ISNUMBER('Price History'!K161)),NOT(ISNUMBER('Price History'!K160)),'Price History'!K160=0),"",'Price History'!K161/'Price History'!K160-1),"")</f>
        <v>6.772123395631624E-2</v>
      </c>
      <c r="L160" s="129">
        <f>IFERROR(IF(OR(NOT(ISNUMBER('Price History'!L161)),NOT(ISNUMBER('Price History'!L160)),'Price History'!L160=0),"",'Price History'!L161/'Price History'!L160-1),"")</f>
        <v>3.667149791796076E-2</v>
      </c>
      <c r="M160" s="129">
        <f>IFERROR(IF(OR(NOT(ISNUMBER('Price History'!M161)),NOT(ISNUMBER('Price History'!M160)),'Price History'!M160=0),"",'Price History'!M161/'Price History'!M160-1),"")</f>
        <v>1.5598059264605668E-2</v>
      </c>
      <c r="N160" s="129">
        <f>IFERROR(IF(OR(NOT(ISNUMBER('Price History'!N161)),NOT(ISNUMBER('Price History'!N160)),'Price History'!N160=0),"",'Price History'!N161/'Price History'!N160-1),"")</f>
        <v>3.5114293583035083E-2</v>
      </c>
      <c r="O160" s="129">
        <f>IFERROR(IF(OR(NOT(ISNUMBER('Price History'!O161)),NOT(ISNUMBER('Price History'!O160)),'Price History'!O160=0),"",'Price History'!O161/'Price History'!O160-1),"")</f>
        <v>-1.2709084945883853E-2</v>
      </c>
      <c r="P160" s="129">
        <f>IFERROR(IF(OR(NOT(ISNUMBER('Price History'!P161)),NOT(ISNUMBER('Price History'!P160)),'Price History'!P160=0),"",'Price History'!P161/'Price History'!P160-1),"")</f>
        <v>-2.2181496461071926E-2</v>
      </c>
      <c r="Q160" s="129">
        <f>IFERROR(IF(OR(NOT(ISNUMBER('Price History'!Q161)),NOT(ISNUMBER('Price History'!Q160)),'Price History'!Q160=0),"",'Price History'!Q161/'Price History'!Q160-1),"")</f>
        <v>8.5519640527613738E-3</v>
      </c>
      <c r="R160" s="129">
        <f>IFERROR(IF(OR(NOT(ISNUMBER('Price History'!R161)),NOT(ISNUMBER('Price History'!R160)),'Price History'!R160=0),"",'Price History'!R161/'Price History'!R160-1),"")</f>
        <v>1.6588471849865893E-2</v>
      </c>
      <c r="S160" s="129">
        <f>IFERROR(IF(OR(NOT(ISNUMBER('Price History'!S161)),NOT(ISNUMBER('Price History'!S160)),'Price History'!S160=0),"",'Price History'!S161/'Price History'!S160-1),"")</f>
        <v>2.6515405786399882E-2</v>
      </c>
      <c r="T160" s="129">
        <f>IFERROR(IF(OR(NOT(ISNUMBER('Price History'!T161)),NOT(ISNUMBER('Price History'!T160)),'Price History'!T160=0),"",'Price History'!T161/'Price History'!T160-1),"")</f>
        <v>-2.6415094339622636E-2</v>
      </c>
      <c r="U160" s="129">
        <f>IFERROR(IF(OR(NOT(ISNUMBER('Price History'!U161)),NOT(ISNUMBER('Price History'!U160)),'Price History'!U160=0),"",'Price History'!U161/'Price History'!U160-1),"")</f>
        <v>-5.986231667165387E-3</v>
      </c>
      <c r="V160" s="130">
        <f>IFERROR(IF(OR(NOT(ISNUMBER('Price History'!V161)),NOT(ISNUMBER('Price History'!V160)),'Price History'!V160=0),"",'Price History'!V161/'Price History'!V160-1),"")</f>
        <v>-2.4708789269326514E-3</v>
      </c>
      <c r="W160" s="132">
        <f>IFERROR('Price History'!B3+(INDEX('Price History'!B:B,MATCH(9.99E+307,'Returns (Calc)'!$A:$A)+1)-'Price History'!B3)*(ROW()-3)/(MATCH(9.99E+307,'Returns (Calc)'!$A:$A)-3),"")</f>
        <v>239.53303797468351</v>
      </c>
      <c r="X160" s="132">
        <f>IFERROR('Price History'!C3+(INDEX('Price History'!C:C,MATCH(9.99E+307,'Returns (Calc)'!$A:$A)+1)-'Price History'!C3)*(ROW()-3)/(MATCH(9.99E+307,'Returns (Calc)'!$A:$A)-3),"")</f>
        <v>206.32993670886077</v>
      </c>
      <c r="Y160" s="132">
        <f>IFERROR('Price History'!D3+(INDEX('Price History'!D:D,MATCH(9.99E+307,'Returns (Calc)'!$A:$A)+1)-'Price History'!D3)*(ROW()-3)/(MATCH(9.99E+307,'Returns (Calc)'!$A:$A)-3),"")</f>
        <v>1859.1751898734178</v>
      </c>
      <c r="Z160" s="132">
        <f>IFERROR('Price History'!E3+(INDEX('Price History'!E:E,MATCH(9.99E+307,'Returns (Calc)'!$A:$A)+1)-'Price History'!E3)*(ROW()-3)/(MATCH(9.99E+307,'Returns (Calc)'!$A:$A)-3),"")</f>
        <v>353.4112658227848</v>
      </c>
      <c r="AA160" s="132">
        <f>IFERROR('Price History'!F3+(INDEX('Price History'!F:F,MATCH(9.99E+307,'Returns (Calc)'!$A:$A)+1)-'Price History'!F3)*(ROW()-3)/(MATCH(9.99E+307,'Returns (Calc)'!$A:$A)-3),"")</f>
        <v>268.59265822784812</v>
      </c>
      <c r="AB160" s="132">
        <f>IFERROR('Price History'!G3+(INDEX('Price History'!G:G,MATCH(9.99E+307,'Returns (Calc)'!$A:$A)+1)-'Price History'!G3)*(ROW()-3)/(MATCH(9.99E+307,'Returns (Calc)'!$A:$A)-3),"")</f>
        <v>205.86126582278479</v>
      </c>
      <c r="AC160" s="132">
        <f>IFERROR('Price History'!H3+(INDEX('Price History'!H:H,MATCH(9.99E+307,'Returns (Calc)'!$A:$A)+1)-'Price History'!H3)*(ROW()-3)/(MATCH(9.99E+307,'Returns (Calc)'!$A:$A)-3),"")</f>
        <v>1068.5243037974685</v>
      </c>
      <c r="AD160" s="132">
        <f>IFERROR('Price History'!I3+(INDEX('Price History'!I:I,MATCH(9.99E+307,'Returns (Calc)'!$A:$A)+1)-'Price History'!I3)*(ROW()-3)/(MATCH(9.99E+307,'Returns (Calc)'!$A:$A)-3),"")</f>
        <v>232.74632911392405</v>
      </c>
      <c r="AE160" s="132">
        <f>IFERROR('Price History'!J3+(INDEX('Price History'!J:J,MATCH(9.99E+307,'Returns (Calc)'!$A:$A)+1)-'Price History'!J3)*(ROW()-3)/(MATCH(9.99E+307,'Returns (Calc)'!$A:$A)-3),"")</f>
        <v>128.80196202531644</v>
      </c>
      <c r="AF160" s="132">
        <f>IFERROR('Price History'!K3+(INDEX('Price History'!K:K,MATCH(9.99E+307,'Returns (Calc)'!$A:$A)+1)-'Price History'!K3)*(ROW()-3)/(MATCH(9.99E+307,'Returns (Calc)'!$A:$A)-3),"")</f>
        <v>187.65240506329116</v>
      </c>
      <c r="AG160" s="132">
        <f>IFERROR('Price History'!L3+(INDEX('Price History'!L:L,MATCH(9.99E+307,'Returns (Calc)'!$A:$A)+1)-'Price History'!L3)*(ROW()-3)/(MATCH(9.99E+307,'Returns (Calc)'!$A:$A)-3),"")</f>
        <v>470.3304430379747</v>
      </c>
      <c r="AH160" s="132">
        <f>IFERROR('Price History'!M3+(INDEX('Price History'!M:M,MATCH(9.99E+307,'Returns (Calc)'!$A:$A)+1)-'Price History'!M3)*(ROW()-3)/(MATCH(9.99E+307,'Returns (Calc)'!$A:$A)-3),"")</f>
        <v>250.82455696202535</v>
      </c>
      <c r="AI160" s="132">
        <f>IFERROR('Price History'!N3+(INDEX('Price History'!N:N,MATCH(9.99E+307,'Returns (Calc)'!$A:$A)+1)-'Price History'!N3)*(ROW()-3)/(MATCH(9.99E+307,'Returns (Calc)'!$A:$A)-3),"")</f>
        <v>503.74373417721517</v>
      </c>
      <c r="AJ160" s="132">
        <f>IFERROR('Price History'!O3+(INDEX('Price History'!O:O,MATCH(9.99E+307,'Returns (Calc)'!$A:$A)+1)-'Price History'!O3)*(ROW()-3)/(MATCH(9.99E+307,'Returns (Calc)'!$A:$A)-3),"")</f>
        <v>119.74696202531646</v>
      </c>
      <c r="AK160" s="132">
        <f>IFERROR('Price History'!Q3+(INDEX('Price History'!Q:Q,MATCH(9.99E+307,'Returns (Calc)'!$A:$A)+1)-'Price History'!Q3)*(ROW()-3)/(MATCH(9.99E+307,'Returns (Calc)'!$A:$A)-3),"")</f>
        <v>68.980632911392405</v>
      </c>
      <c r="AL160" s="132">
        <f>IFERROR('Price History'!R3+(INDEX('Price History'!R:R,MATCH(9.99E+307,'Returns (Calc)'!$A:$A)+1)-'Price History'!R3)*(ROW()-3)/(MATCH(9.99E+307,'Returns (Calc)'!$A:$A)-3),"")</f>
        <v>60.871898734177208</v>
      </c>
      <c r="AM160" s="132">
        <f>IFERROR('Price History'!S3+(INDEX('Price History'!S:S,MATCH(9.99E+307,'Returns (Calc)'!$A:$A)+1)-'Price History'!S3)*(ROW()-3)/(MATCH(9.99E+307,'Returns (Calc)'!$A:$A)-3),"")</f>
        <v>152.62493670886076</v>
      </c>
      <c r="AN160" s="132">
        <f>IFERROR('Price History'!T3+(INDEX('Price History'!T:T,MATCH(9.99E+307,'Returns (Calc)'!$A:$A)+1)-'Price History'!T3)*(ROW()-3)/(MATCH(9.99E+307,'Returns (Calc)'!$A:$A)-3),"")</f>
        <v>51.65177215189874</v>
      </c>
      <c r="AO160" s="132">
        <f>IFERROR('Price History'!V3+(INDEX('Price History'!V:V,MATCH(9.99E+307,'Returns (Calc)'!$A:$A)+1)-'Price History'!V3)*(ROW()-3)/(MATCH(9.99E+307,'Returns (Calc)'!$A:$A)-3),"")</f>
        <v>359.86867088607596</v>
      </c>
      <c r="AP160" s="130">
        <f>IFERROR(IF(OR(NOT(ISNUMBER('Price History'!W161)),NOT(ISNUMBER('Price History'!W160)),'Price History'!W160=0),"",'Price History'!W161/'Price History'!W160-1),"")</f>
        <v>-9.9208840889111194E-3</v>
      </c>
      <c r="AQ160" s="130">
        <f>IFERROR(IF(OR(NOT(ISNUMBER('Price History'!X161)),NOT(ISNUMBER('Price History'!X160)),'Price History'!X160=0),"",'Price History'!X161/'Price History'!X160-1),"")</f>
        <v>-3.2380231016852834E-2</v>
      </c>
      <c r="AR160" s="130">
        <f>IFERROR(IF(OR(NOT(ISNUMBER('Price History'!Y161)),NOT(ISNUMBER('Price History'!Y160)),'Price History'!Y160=0),"",'Price History'!Y161/'Price History'!Y160-1),"")</f>
        <v>9.302325581395321E-3</v>
      </c>
      <c r="AS160" s="130">
        <f>IFERROR(IF(OR(NOT(ISNUMBER('Price History'!Z161)),NOT(ISNUMBER('Price History'!Z160)),'Price History'!Z160=0),"",'Price History'!Z161/'Price History'!Z160-1),"")</f>
        <v>4.0792948738346047E-2</v>
      </c>
      <c r="AT160" s="130">
        <f>IFERROR(IF(OR(NOT(ISNUMBER('Price History'!AA161)),NOT(ISNUMBER('Price History'!AA160)),'Price History'!AA160=0),"",'Price History'!AA161/'Price History'!AA160-1),"")</f>
        <v>-8.9148906532943162E-3</v>
      </c>
    </row>
    <row r="161" spans="1:46" ht="15" customHeight="1" x14ac:dyDescent="0.2">
      <c r="A161" s="128">
        <f>IF('Price History'!A162="","",'Price History'!A162)</f>
        <v>46297</v>
      </c>
      <c r="B161" s="129">
        <f>IFERROR(IF(OR(NOT(ISNUMBER('Price History'!B162)),NOT(ISNUMBER('Price History'!B161)),'Price History'!B161=0),"",'Price History'!B162/'Price History'!B161-1),"")</f>
        <v>9.4279526054275031E-3</v>
      </c>
      <c r="C161" s="129">
        <f>IFERROR(IF(OR(NOT(ISNUMBER('Price History'!C162)),NOT(ISNUMBER('Price History'!C161)),'Price History'!C161=0),"",'Price History'!C162/'Price History'!C161-1),"")</f>
        <v>3.8731541999514896E-3</v>
      </c>
      <c r="D161" s="129">
        <f>IFERROR(IF(OR(NOT(ISNUMBER('Price History'!D162)),NOT(ISNUMBER('Price History'!D161)),'Price History'!D161=0),"",'Price History'!D162/'Price History'!D161-1),"")</f>
        <v>7.0742112687363079E-2</v>
      </c>
      <c r="E161" s="129">
        <f>IFERROR(IF(OR(NOT(ISNUMBER('Price History'!E162)),NOT(ISNUMBER('Price History'!E161)),'Price History'!E161=0),"",'Price History'!E162/'Price History'!E161-1),"")</f>
        <v>6.6041211983787207E-3</v>
      </c>
      <c r="F161" s="129">
        <f>IFERROR(IF(OR(NOT(ISNUMBER('Price History'!F162)),NOT(ISNUMBER('Price History'!F161)),'Price History'!F161=0),"",'Price History'!F162/'Price History'!F161-1),"")</f>
        <v>7.103478364335869E-2</v>
      </c>
      <c r="G161" s="129">
        <f>IFERROR(IF(OR(NOT(ISNUMBER('Price History'!G162)),NOT(ISNUMBER('Price History'!G161)),'Price History'!G161=0),"",'Price History'!G162/'Price History'!G161-1),"")</f>
        <v>0.10094721157939546</v>
      </c>
      <c r="H161" s="129">
        <f>IFERROR(IF(OR(NOT(ISNUMBER('Price History'!H162)),NOT(ISNUMBER('Price History'!H161)),'Price History'!H161=0),"",'Price History'!H162/'Price History'!H161-1),"")</f>
        <v>-6.828177551095771E-3</v>
      </c>
      <c r="I161" s="129">
        <f>IFERROR(IF(OR(NOT(ISNUMBER('Price History'!I162)),NOT(ISNUMBER('Price History'!I161)),'Price History'!I161=0),"",'Price History'!I162/'Price History'!I161-1),"")</f>
        <v>3.9454391966943669E-2</v>
      </c>
      <c r="J161" s="129">
        <f>IFERROR(IF(OR(NOT(ISNUMBER('Price History'!J162)),NOT(ISNUMBER('Price History'!J161)),'Price History'!J161=0),"",'Price History'!J162/'Price History'!J161-1),"")</f>
        <v>-3.1116121758737458E-2</v>
      </c>
      <c r="K161" s="129">
        <f>IFERROR(IF(OR(NOT(ISNUMBER('Price History'!K162)),NOT(ISNUMBER('Price History'!K161)),'Price History'!K161=0),"",'Price History'!K162/'Price History'!K161-1),"")</f>
        <v>-4.8505298676648767E-3</v>
      </c>
      <c r="L161" s="129">
        <f>IFERROR(IF(OR(NOT(ISNUMBER('Price History'!L162)),NOT(ISNUMBER('Price History'!L161)),'Price History'!L161=0),"",'Price History'!L162/'Price History'!L161-1),"")</f>
        <v>4.9199973369432382E-2</v>
      </c>
      <c r="M161" s="129">
        <f>IFERROR(IF(OR(NOT(ISNUMBER('Price History'!M162)),NOT(ISNUMBER('Price History'!M161)),'Price History'!M161=0),"",'Price History'!M162/'Price History'!M161-1),"")</f>
        <v>-4.3430195830701512E-3</v>
      </c>
      <c r="N161" s="129">
        <f>IFERROR(IF(OR(NOT(ISNUMBER('Price History'!N162)),NOT(ISNUMBER('Price History'!N161)),'Price History'!N161=0),"",'Price History'!N162/'Price History'!N161-1),"")</f>
        <v>-4.0783747315608521E-2</v>
      </c>
      <c r="O161" s="129">
        <f>IFERROR(IF(OR(NOT(ISNUMBER('Price History'!O162)),NOT(ISNUMBER('Price History'!O161)),'Price History'!O161=0),"",'Price History'!O162/'Price History'!O161-1),"")</f>
        <v>-3.1558840627854412E-3</v>
      </c>
      <c r="P161" s="129">
        <f>IFERROR(IF(OR(NOT(ISNUMBER('Price History'!P162)),NOT(ISNUMBER('Price History'!P161)),'Price History'!P161=0),"",'Price History'!P162/'Price History'!P161-1),"")</f>
        <v>-1.0857622956116919E-2</v>
      </c>
      <c r="Q161" s="129">
        <f>IFERROR(IF(OR(NOT(ISNUMBER('Price History'!Q162)),NOT(ISNUMBER('Price History'!Q161)),'Price History'!Q161=0),"",'Price History'!Q162/'Price History'!Q161-1),"")</f>
        <v>-2.2995113538372136E-3</v>
      </c>
      <c r="R161" s="129">
        <f>IFERROR(IF(OR(NOT(ISNUMBER('Price History'!R162)),NOT(ISNUMBER('Price History'!R161)),'Price History'!R161=0),"",'Price History'!R162/'Price History'!R161-1),"")</f>
        <v>6.0985660128562991E-3</v>
      </c>
      <c r="S161" s="129">
        <f>IFERROR(IF(OR(NOT(ISNUMBER('Price History'!S162)),NOT(ISNUMBER('Price History'!S161)),'Price History'!S161=0),"",'Price History'!S162/'Price History'!S161-1),"")</f>
        <v>2.0272037666753118E-3</v>
      </c>
      <c r="T161" s="129">
        <f>IFERROR(IF(OR(NOT(ISNUMBER('Price History'!T162)),NOT(ISNUMBER('Price History'!T161)),'Price History'!T161=0),"",'Price History'!T162/'Price History'!T161-1),"")</f>
        <v>4.2635658914729202E-3</v>
      </c>
      <c r="U161" s="129">
        <f>IFERROR(IF(OR(NOT(ISNUMBER('Price History'!U162)),NOT(ISNUMBER('Price History'!U161)),'Price History'!U161=0),"",'Price History'!U162/'Price History'!U161-1),"")</f>
        <v>-1.4754591990364441E-2</v>
      </c>
      <c r="V161" s="130">
        <f>IFERROR(IF(OR(NOT(ISNUMBER('Price History'!V162)),NOT(ISNUMBER('Price History'!V161)),'Price History'!V161=0),"",'Price History'!V162/'Price History'!V161-1),"")</f>
        <v>-1.8291687081495867E-2</v>
      </c>
      <c r="W161" s="132">
        <f>IFERROR('Price History'!B3+(INDEX('Price History'!B:B,MATCH(9.99E+307,'Returns (Calc)'!$A:$A)+1)-'Price History'!B3)*(ROW()-3)/(MATCH(9.99E+307,'Returns (Calc)'!$A:$A)-3),"")</f>
        <v>237.69</v>
      </c>
      <c r="X161" s="132">
        <f>IFERROR('Price History'!C3+(INDEX('Price History'!C:C,MATCH(9.99E+307,'Returns (Calc)'!$A:$A)+1)-'Price History'!C3)*(ROW()-3)/(MATCH(9.99E+307,'Returns (Calc)'!$A:$A)-3),"")</f>
        <v>207.35</v>
      </c>
      <c r="Y161" s="132">
        <f>IFERROR('Price History'!D3+(INDEX('Price History'!D:D,MATCH(9.99E+307,'Returns (Calc)'!$A:$A)+1)-'Price History'!D3)*(ROW()-3)/(MATCH(9.99E+307,'Returns (Calc)'!$A:$A)-3),"")</f>
        <v>1867.31</v>
      </c>
      <c r="Z161" s="132">
        <f>IFERROR('Price History'!E3+(INDEX('Price History'!E:E,MATCH(9.99E+307,'Returns (Calc)'!$A:$A)+1)-'Price History'!E3)*(ROW()-3)/(MATCH(9.99E+307,'Returns (Calc)'!$A:$A)-3),"")</f>
        <v>355.14</v>
      </c>
      <c r="AA161" s="132">
        <f>IFERROR('Price History'!F3+(INDEX('Price History'!F:F,MATCH(9.99E+307,'Returns (Calc)'!$A:$A)+1)-'Price History'!F3)*(ROW()-3)/(MATCH(9.99E+307,'Returns (Calc)'!$A:$A)-3),"")</f>
        <v>270.04000000000002</v>
      </c>
      <c r="AB161" s="132">
        <f>IFERROR('Price History'!G3+(INDEX('Price History'!G:G,MATCH(9.99E+307,'Returns (Calc)'!$A:$A)+1)-'Price History'!G3)*(ROW()-3)/(MATCH(9.99E+307,'Returns (Calc)'!$A:$A)-3),"")</f>
        <v>206.89</v>
      </c>
      <c r="AC161" s="132">
        <f>IFERROR('Price History'!H3+(INDEX('Price History'!H:H,MATCH(9.99E+307,'Returns (Calc)'!$A:$A)+1)-'Price History'!H3)*(ROW()-3)/(MATCH(9.99E+307,'Returns (Calc)'!$A:$A)-3),"")</f>
        <v>1074.8900000000001</v>
      </c>
      <c r="AD161" s="132">
        <f>IFERROR('Price History'!I3+(INDEX('Price History'!I:I,MATCH(9.99E+307,'Returns (Calc)'!$A:$A)+1)-'Price History'!I3)*(ROW()-3)/(MATCH(9.99E+307,'Returns (Calc)'!$A:$A)-3),"")</f>
        <v>233.95</v>
      </c>
      <c r="AE161" s="132">
        <f>IFERROR('Price History'!J3+(INDEX('Price History'!J:J,MATCH(9.99E+307,'Returns (Calc)'!$A:$A)+1)-'Price History'!J3)*(ROW()-3)/(MATCH(9.99E+307,'Returns (Calc)'!$A:$A)-3),"")</f>
        <v>128.91</v>
      </c>
      <c r="AF161" s="132">
        <f>IFERROR('Price History'!K3+(INDEX('Price History'!K:K,MATCH(9.99E+307,'Returns (Calc)'!$A:$A)+1)-'Price History'!K3)*(ROW()-3)/(MATCH(9.99E+307,'Returns (Calc)'!$A:$A)-3),"")</f>
        <v>188.75</v>
      </c>
      <c r="AG161" s="132">
        <f>IFERROR('Price History'!L3+(INDEX('Price History'!L:L,MATCH(9.99E+307,'Returns (Calc)'!$A:$A)+1)-'Price History'!L3)*(ROW()-3)/(MATCH(9.99E+307,'Returns (Calc)'!$A:$A)-3),"")</f>
        <v>472.78</v>
      </c>
      <c r="AH161" s="132">
        <f>IFERROR('Price History'!M3+(INDEX('Price History'!M:M,MATCH(9.99E+307,'Returns (Calc)'!$A:$A)+1)-'Price History'!M3)*(ROW()-3)/(MATCH(9.99E+307,'Returns (Calc)'!$A:$A)-3),"")</f>
        <v>252.18</v>
      </c>
      <c r="AI161" s="132">
        <f>IFERROR('Price History'!N3+(INDEX('Price History'!N:N,MATCH(9.99E+307,'Returns (Calc)'!$A:$A)+1)-'Price History'!N3)*(ROW()-3)/(MATCH(9.99E+307,'Returns (Calc)'!$A:$A)-3),"")</f>
        <v>504.73</v>
      </c>
      <c r="AJ161" s="132">
        <f>IFERROR('Price History'!O3+(INDEX('Price History'!O:O,MATCH(9.99E+307,'Returns (Calc)'!$A:$A)+1)-'Price History'!O3)*(ROW()-3)/(MATCH(9.99E+307,'Returns (Calc)'!$A:$A)-3),"")</f>
        <v>120.03</v>
      </c>
      <c r="AK161" s="132">
        <f>IFERROR('Price History'!Q3+(INDEX('Price History'!Q:Q,MATCH(9.99E+307,'Returns (Calc)'!$A:$A)+1)-'Price History'!Q3)*(ROW()-3)/(MATCH(9.99E+307,'Returns (Calc)'!$A:$A)-3),"")</f>
        <v>69.42</v>
      </c>
      <c r="AL161" s="132">
        <f>IFERROR('Price History'!R3+(INDEX('Price History'!R:R,MATCH(9.99E+307,'Returns (Calc)'!$A:$A)+1)-'Price History'!R3)*(ROW()-3)/(MATCH(9.99E+307,'Returns (Calc)'!$A:$A)-3),"")</f>
        <v>61.04</v>
      </c>
      <c r="AM161" s="132">
        <f>IFERROR('Price History'!S3+(INDEX('Price History'!S:S,MATCH(9.99E+307,'Returns (Calc)'!$A:$A)+1)-'Price History'!S3)*(ROW()-3)/(MATCH(9.99E+307,'Returns (Calc)'!$A:$A)-3),"")</f>
        <v>153.22999999999999</v>
      </c>
      <c r="AN161" s="132">
        <f>IFERROR('Price History'!T3+(INDEX('Price History'!T:T,MATCH(9.99E+307,'Returns (Calc)'!$A:$A)+1)-'Price History'!T3)*(ROW()-3)/(MATCH(9.99E+307,'Returns (Calc)'!$A:$A)-3),"")</f>
        <v>51.82</v>
      </c>
      <c r="AO161" s="132">
        <f>IFERROR('Price History'!V3+(INDEX('Price History'!V:V,MATCH(9.99E+307,'Returns (Calc)'!$A:$A)+1)-'Price History'!V3)*(ROW()-3)/(MATCH(9.99E+307,'Returns (Calc)'!$A:$A)-3),"")</f>
        <v>360.66</v>
      </c>
      <c r="AP161" s="130">
        <f>IFERROR(IF(OR(NOT(ISNUMBER('Price History'!W162)),NOT(ISNUMBER('Price History'!W161)),'Price History'!W161=0),"",'Price History'!W162/'Price History'!W161-1),"")</f>
        <v>-7.7371892440385448E-3</v>
      </c>
      <c r="AQ161" s="130">
        <f>IFERROR(IF(OR(NOT(ISNUMBER('Price History'!X162)),NOT(ISNUMBER('Price History'!X161)),'Price History'!X161=0),"",'Price History'!X162/'Price History'!X161-1),"")</f>
        <v>1.36986301369868E-3</v>
      </c>
      <c r="AR161" s="130">
        <f>IFERROR(IF(OR(NOT(ISNUMBER('Price History'!Y162)),NOT(ISNUMBER('Price History'!Y161)),'Price History'!Y161=0),"",'Price History'!Y162/'Price History'!Y161-1),"")</f>
        <v>-5.6717476072314366E-3</v>
      </c>
      <c r="AS161" s="130">
        <f>IFERROR(IF(OR(NOT(ISNUMBER('Price History'!Z162)),NOT(ISNUMBER('Price History'!Z161)),'Price History'!Z161=0),"",'Price History'!Z162/'Price History'!Z161-1),"")</f>
        <v>-5.3593812100644955E-2</v>
      </c>
      <c r="AT161" s="130">
        <f>IFERROR(IF(OR(NOT(ISNUMBER('Price History'!AA162)),NOT(ISNUMBER('Price History'!AA161)),'Price History'!AA161=0),"",'Price History'!AA162/'Price History'!AA161-1),"")</f>
        <v>-5.7484188334504638E-2</v>
      </c>
    </row>
    <row r="162" spans="1:46" ht="15" customHeight="1" x14ac:dyDescent="0.2">
      <c r="A162" s="128" t="str">
        <f>IF('Price History'!A163="","",'Price History'!A163)</f>
        <v/>
      </c>
      <c r="B162" s="129" t="str">
        <f>IFERROR(IF(OR(NOT(ISNUMBER('Price History'!B163)),NOT(ISNUMBER('Price History'!B162)),'Price History'!B162=0),"",'Price History'!B163/'Price History'!B162-1),"")</f>
        <v/>
      </c>
      <c r="C162" s="129" t="str">
        <f>IFERROR(IF(OR(NOT(ISNUMBER('Price History'!C163)),NOT(ISNUMBER('Price History'!C162)),'Price History'!C162=0),"",'Price History'!C163/'Price History'!C162-1),"")</f>
        <v/>
      </c>
      <c r="D162" s="129" t="str">
        <f>IFERROR(IF(OR(NOT(ISNUMBER('Price History'!D163)),NOT(ISNUMBER('Price History'!D162)),'Price History'!D162=0),"",'Price History'!D163/'Price History'!D162-1),"")</f>
        <v/>
      </c>
      <c r="E162" s="129" t="str">
        <f>IFERROR(IF(OR(NOT(ISNUMBER('Price History'!E163)),NOT(ISNUMBER('Price History'!E162)),'Price History'!E162=0),"",'Price History'!E163/'Price History'!E162-1),"")</f>
        <v/>
      </c>
      <c r="F162" s="129" t="str">
        <f>IFERROR(IF(OR(NOT(ISNUMBER('Price History'!F163)),NOT(ISNUMBER('Price History'!F162)),'Price History'!F162=0),"",'Price History'!F163/'Price History'!F162-1),"")</f>
        <v/>
      </c>
      <c r="G162" s="129" t="str">
        <f>IFERROR(IF(OR(NOT(ISNUMBER('Price History'!G163)),NOT(ISNUMBER('Price History'!G162)),'Price History'!G162=0),"",'Price History'!G163/'Price History'!G162-1),"")</f>
        <v/>
      </c>
      <c r="H162" s="129" t="str">
        <f>IFERROR(IF(OR(NOT(ISNUMBER('Price History'!H163)),NOT(ISNUMBER('Price History'!H162)),'Price History'!H162=0),"",'Price History'!H163/'Price History'!H162-1),"")</f>
        <v/>
      </c>
      <c r="I162" s="129" t="str">
        <f>IFERROR(IF(OR(NOT(ISNUMBER('Price History'!I163)),NOT(ISNUMBER('Price History'!I162)),'Price History'!I162=0),"",'Price History'!I163/'Price History'!I162-1),"")</f>
        <v/>
      </c>
      <c r="J162" s="129" t="str">
        <f>IFERROR(IF(OR(NOT(ISNUMBER('Price History'!J163)),NOT(ISNUMBER('Price History'!J162)),'Price History'!J162=0),"",'Price History'!J163/'Price History'!J162-1),"")</f>
        <v/>
      </c>
      <c r="K162" s="129" t="str">
        <f>IFERROR(IF(OR(NOT(ISNUMBER('Price History'!K163)),NOT(ISNUMBER('Price History'!K162)),'Price History'!K162=0),"",'Price History'!K163/'Price History'!K162-1),"")</f>
        <v/>
      </c>
      <c r="L162" s="129" t="str">
        <f>IFERROR(IF(OR(NOT(ISNUMBER('Price History'!L163)),NOT(ISNUMBER('Price History'!L162)),'Price History'!L162=0),"",'Price History'!L163/'Price History'!L162-1),"")</f>
        <v/>
      </c>
      <c r="M162" s="129" t="str">
        <f>IFERROR(IF(OR(NOT(ISNUMBER('Price History'!M163)),NOT(ISNUMBER('Price History'!M162)),'Price History'!M162=0),"",'Price History'!M163/'Price History'!M162-1),"")</f>
        <v/>
      </c>
      <c r="N162" s="129" t="str">
        <f>IFERROR(IF(OR(NOT(ISNUMBER('Price History'!N163)),NOT(ISNUMBER('Price History'!N162)),'Price History'!N162=0),"",'Price History'!N163/'Price History'!N162-1),"")</f>
        <v/>
      </c>
      <c r="O162" s="129" t="str">
        <f>IFERROR(IF(OR(NOT(ISNUMBER('Price History'!O163)),NOT(ISNUMBER('Price History'!O162)),'Price History'!O162=0),"",'Price History'!O163/'Price History'!O162-1),"")</f>
        <v/>
      </c>
      <c r="P162" s="129" t="str">
        <f>IFERROR(IF(OR(NOT(ISNUMBER('Price History'!P163)),NOT(ISNUMBER('Price History'!P162)),'Price History'!P162=0),"",'Price History'!P163/'Price History'!P162-1),"")</f>
        <v/>
      </c>
      <c r="Q162" s="129" t="str">
        <f>IFERROR(IF(OR(NOT(ISNUMBER('Price History'!Q163)),NOT(ISNUMBER('Price History'!Q162)),'Price History'!Q162=0),"",'Price History'!Q163/'Price History'!Q162-1),"")</f>
        <v/>
      </c>
      <c r="R162" s="129" t="str">
        <f>IFERROR(IF(OR(NOT(ISNUMBER('Price History'!R163)),NOT(ISNUMBER('Price History'!R162)),'Price History'!R162=0),"",'Price History'!R163/'Price History'!R162-1),"")</f>
        <v/>
      </c>
      <c r="S162" s="129" t="str">
        <f>IFERROR(IF(OR(NOT(ISNUMBER('Price History'!S163)),NOT(ISNUMBER('Price History'!S162)),'Price History'!S162=0),"",'Price History'!S163/'Price History'!S162-1),"")</f>
        <v/>
      </c>
      <c r="T162" s="129" t="str">
        <f>IFERROR(IF(OR(NOT(ISNUMBER('Price History'!T163)),NOT(ISNUMBER('Price History'!T162)),'Price History'!T162=0),"",'Price History'!T163/'Price History'!T162-1),"")</f>
        <v/>
      </c>
      <c r="U162" s="129" t="str">
        <f>IFERROR(IF(OR(NOT(ISNUMBER('Price History'!U163)),NOT(ISNUMBER('Price History'!U162)),'Price History'!U162=0),"",'Price History'!U163/'Price History'!U162-1),"")</f>
        <v/>
      </c>
      <c r="V162" s="130" t="str">
        <f>IFERROR(IF(OR(NOT(ISNUMBER('Price History'!V163)),NOT(ISNUMBER('Price History'!V162)),'Price History'!V162=0),"",'Price History'!V163/'Price History'!V162-1),"")</f>
        <v/>
      </c>
      <c r="W162" s="132">
        <f>IFERROR('Price History'!B3+(INDEX('Price History'!B:B,MATCH(9.99E+307,'Returns (Calc)'!$A:$A)+1)-'Price History'!B3)*(ROW()-3)/(MATCH(9.99E+307,'Returns (Calc)'!$A:$A)-3),"")</f>
        <v>235.84696202531649</v>
      </c>
      <c r="X162" s="132">
        <f>IFERROR('Price History'!C3+(INDEX('Price History'!C:C,MATCH(9.99E+307,'Returns (Calc)'!$A:$A)+1)-'Price History'!C3)*(ROW()-3)/(MATCH(9.99E+307,'Returns (Calc)'!$A:$A)-3),"")</f>
        <v>208.37006329113925</v>
      </c>
      <c r="Y162" s="132">
        <f>IFERROR('Price History'!D3+(INDEX('Price History'!D:D,MATCH(9.99E+307,'Returns (Calc)'!$A:$A)+1)-'Price History'!D3)*(ROW()-3)/(MATCH(9.99E+307,'Returns (Calc)'!$A:$A)-3),"")</f>
        <v>1875.4448101265821</v>
      </c>
      <c r="Z162" s="132">
        <f>IFERROR('Price History'!E3+(INDEX('Price History'!E:E,MATCH(9.99E+307,'Returns (Calc)'!$A:$A)+1)-'Price History'!E3)*(ROW()-3)/(MATCH(9.99E+307,'Returns (Calc)'!$A:$A)-3),"")</f>
        <v>356.86873417721517</v>
      </c>
      <c r="AA162" s="132">
        <f>IFERROR('Price History'!F3+(INDEX('Price History'!F:F,MATCH(9.99E+307,'Returns (Calc)'!$A:$A)+1)-'Price History'!F3)*(ROW()-3)/(MATCH(9.99E+307,'Returns (Calc)'!$A:$A)-3),"")</f>
        <v>271.48734177215192</v>
      </c>
      <c r="AB162" s="132">
        <f>IFERROR('Price History'!G3+(INDEX('Price History'!G:G,MATCH(9.99E+307,'Returns (Calc)'!$A:$A)+1)-'Price History'!G3)*(ROW()-3)/(MATCH(9.99E+307,'Returns (Calc)'!$A:$A)-3),"")</f>
        <v>207.91873417721516</v>
      </c>
      <c r="AC162" s="132">
        <f>IFERROR('Price History'!H3+(INDEX('Price History'!H:H,MATCH(9.99E+307,'Returns (Calc)'!$A:$A)+1)-'Price History'!H3)*(ROW()-3)/(MATCH(9.99E+307,'Returns (Calc)'!$A:$A)-3),"")</f>
        <v>1081.2556962025317</v>
      </c>
      <c r="AD162" s="132">
        <f>IFERROR('Price History'!I3+(INDEX('Price History'!I:I,MATCH(9.99E+307,'Returns (Calc)'!$A:$A)+1)-'Price History'!I3)*(ROW()-3)/(MATCH(9.99E+307,'Returns (Calc)'!$A:$A)-3),"")</f>
        <v>235.15367088607593</v>
      </c>
      <c r="AE162" s="132">
        <f>IFERROR('Price History'!J3+(INDEX('Price History'!J:J,MATCH(9.99E+307,'Returns (Calc)'!$A:$A)+1)-'Price History'!J3)*(ROW()-3)/(MATCH(9.99E+307,'Returns (Calc)'!$A:$A)-3),"")</f>
        <v>129.01803797468355</v>
      </c>
      <c r="AF162" s="132">
        <f>IFERROR('Price History'!K3+(INDEX('Price History'!K:K,MATCH(9.99E+307,'Returns (Calc)'!$A:$A)+1)-'Price History'!K3)*(ROW()-3)/(MATCH(9.99E+307,'Returns (Calc)'!$A:$A)-3),"")</f>
        <v>189.84759493670887</v>
      </c>
      <c r="AG162" s="132">
        <f>IFERROR('Price History'!L3+(INDEX('Price History'!L:L,MATCH(9.99E+307,'Returns (Calc)'!$A:$A)+1)-'Price History'!L3)*(ROW()-3)/(MATCH(9.99E+307,'Returns (Calc)'!$A:$A)-3),"")</f>
        <v>475.2295569620253</v>
      </c>
      <c r="AH162" s="132">
        <f>IFERROR('Price History'!M3+(INDEX('Price History'!M:M,MATCH(9.99E+307,'Returns (Calc)'!$A:$A)+1)-'Price History'!M3)*(ROW()-3)/(MATCH(9.99E+307,'Returns (Calc)'!$A:$A)-3),"")</f>
        <v>253.53544303797472</v>
      </c>
      <c r="AI162" s="132">
        <f>IFERROR('Price History'!N3+(INDEX('Price History'!N:N,MATCH(9.99E+307,'Returns (Calc)'!$A:$A)+1)-'Price History'!N3)*(ROW()-3)/(MATCH(9.99E+307,'Returns (Calc)'!$A:$A)-3),"")</f>
        <v>505.71626582278481</v>
      </c>
      <c r="AJ162" s="132">
        <f>IFERROR('Price History'!O3+(INDEX('Price History'!O:O,MATCH(9.99E+307,'Returns (Calc)'!$A:$A)+1)-'Price History'!O3)*(ROW()-3)/(MATCH(9.99E+307,'Returns (Calc)'!$A:$A)-3),"")</f>
        <v>120.31303797468354</v>
      </c>
      <c r="AK162" s="132">
        <f>IFERROR('Price History'!Q3+(INDEX('Price History'!Q:Q,MATCH(9.99E+307,'Returns (Calc)'!$A:$A)+1)-'Price History'!Q3)*(ROW()-3)/(MATCH(9.99E+307,'Returns (Calc)'!$A:$A)-3),"")</f>
        <v>69.859367088607598</v>
      </c>
      <c r="AL162" s="132">
        <f>IFERROR('Price History'!R3+(INDEX('Price History'!R:R,MATCH(9.99E+307,'Returns (Calc)'!$A:$A)+1)-'Price History'!R3)*(ROW()-3)/(MATCH(9.99E+307,'Returns (Calc)'!$A:$A)-3),"")</f>
        <v>61.208101265822776</v>
      </c>
      <c r="AM162" s="132">
        <f>IFERROR('Price History'!S3+(INDEX('Price History'!S:S,MATCH(9.99E+307,'Returns (Calc)'!$A:$A)+1)-'Price History'!S3)*(ROW()-3)/(MATCH(9.99E+307,'Returns (Calc)'!$A:$A)-3),"")</f>
        <v>153.83506329113925</v>
      </c>
      <c r="AN162" s="132">
        <f>IFERROR('Price History'!T3+(INDEX('Price History'!T:T,MATCH(9.99E+307,'Returns (Calc)'!$A:$A)+1)-'Price History'!T3)*(ROW()-3)/(MATCH(9.99E+307,'Returns (Calc)'!$A:$A)-3),"")</f>
        <v>51.988227848101268</v>
      </c>
      <c r="AO162" s="132">
        <f>IFERROR('Price History'!V3+(INDEX('Price History'!V:V,MATCH(9.99E+307,'Returns (Calc)'!$A:$A)+1)-'Price History'!V3)*(ROW()-3)/(MATCH(9.99E+307,'Returns (Calc)'!$A:$A)-3),"")</f>
        <v>361.45132911392409</v>
      </c>
      <c r="AP162" s="130" t="str">
        <f>IFERROR(IF(OR(NOT(ISNUMBER('Price History'!W163)),NOT(ISNUMBER('Price History'!W162)),'Price History'!W162=0),"",'Price History'!W163/'Price History'!W162-1),"")</f>
        <v/>
      </c>
      <c r="AQ162" s="130" t="str">
        <f>IFERROR(IF(OR(NOT(ISNUMBER('Price History'!X163)),NOT(ISNUMBER('Price History'!X162)),'Price History'!X162=0),"",'Price History'!X163/'Price History'!X162-1),"")</f>
        <v/>
      </c>
      <c r="AR162" s="130" t="str">
        <f>IFERROR(IF(OR(NOT(ISNUMBER('Price History'!Y163)),NOT(ISNUMBER('Price History'!Y162)),'Price History'!Y162=0),"",'Price History'!Y163/'Price History'!Y162-1),"")</f>
        <v/>
      </c>
      <c r="AS162" s="130" t="str">
        <f>IFERROR(IF(OR(NOT(ISNUMBER('Price History'!Z163)),NOT(ISNUMBER('Price History'!Z162)),'Price History'!Z162=0),"",'Price History'!Z163/'Price History'!Z162-1),"")</f>
        <v/>
      </c>
      <c r="AT162" s="130" t="str">
        <f>IFERROR(IF(OR(NOT(ISNUMBER('Price History'!AA163)),NOT(ISNUMBER('Price History'!AA162)),'Price History'!AA162=0),"",'Price History'!AA163/'Price History'!AA162-1),"")</f>
        <v/>
      </c>
    </row>
  </sheetData>
  <mergeCells count="1">
    <mergeCell ref="A1:U1"/>
  </mergeCell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31"/>
  <sheetViews>
    <sheetView showGridLines="0" zoomScaleNormal="100" workbookViewId="0">
      <pane xSplit="1" ySplit="5" topLeftCell="B17" activePane="bottomRight" state="frozen"/>
      <selection pane="topRight" activeCell="F1" sqref="F1"/>
      <selection pane="bottomLeft" activeCell="A17" sqref="A17"/>
      <selection pane="bottomRight" activeCell="S33" sqref="S33"/>
    </sheetView>
  </sheetViews>
  <sheetFormatPr baseColWidth="10" defaultColWidth="8.6640625" defaultRowHeight="15" x14ac:dyDescent="0.2"/>
  <cols>
    <col min="1" max="1" width="10" customWidth="1"/>
    <col min="2" max="2" width="6.83203125" style="26" customWidth="1"/>
    <col min="3" max="21" width="8.6640625" style="26"/>
    <col min="22" max="22" width="9" style="26" customWidth="1"/>
  </cols>
  <sheetData>
    <row r="1" spans="1:33" ht="15" customHeight="1" x14ac:dyDescent="0.2">
      <c r="A1" s="181" t="s">
        <v>460</v>
      </c>
      <c r="B1" s="181"/>
      <c r="C1" s="181"/>
      <c r="D1" s="181"/>
      <c r="E1" s="181"/>
      <c r="F1" s="181"/>
      <c r="G1" s="181"/>
      <c r="H1" s="181"/>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row>
    <row r="2" spans="1:33" ht="15" customHeight="1" x14ac:dyDescent="0.2">
      <c r="A2" s="133" t="s">
        <v>461</v>
      </c>
      <c r="J2" s="134">
        <f>COUNTIF(AG6:AG31,"&gt;1")</f>
        <v>11</v>
      </c>
    </row>
    <row r="3" spans="1:33" ht="15" customHeight="1" x14ac:dyDescent="0.2">
      <c r="A3" s="133" t="s">
        <v>462</v>
      </c>
      <c r="J3" s="134" t="str">
        <f>IF(J2&gt;0,"REVIEW REQUIRED","OK")</f>
        <v>REVIEW REQUIRED</v>
      </c>
    </row>
    <row r="5" spans="1:33" ht="27.75" customHeight="1" x14ac:dyDescent="0.2">
      <c r="A5" s="135" t="s">
        <v>81</v>
      </c>
      <c r="B5" s="135" t="str">
        <f>'Returns (Calc)'!B2</f>
        <v>ADBE</v>
      </c>
      <c r="C5" s="135" t="str">
        <f>'Returns (Calc)'!C2</f>
        <v>ANET</v>
      </c>
      <c r="D5" s="135" t="str">
        <f>'Returns (Calc)'!D2</f>
        <v>ASML</v>
      </c>
      <c r="E5" s="135" t="str">
        <f>'Returns (Calc)'!E2</f>
        <v>AVGO</v>
      </c>
      <c r="F5" s="135" t="str">
        <f>'Returns (Calc)'!F2</f>
        <v>CRWD</v>
      </c>
      <c r="G5" s="135" t="str">
        <f>'Returns (Calc)'!G2</f>
        <v>KLAC</v>
      </c>
      <c r="H5" s="135" t="str">
        <f>'Returns (Calc)'!H2</f>
        <v>MU</v>
      </c>
      <c r="I5" s="135" t="str">
        <f>'Returns (Calc)'!I2</f>
        <v>NVDA</v>
      </c>
      <c r="J5" s="135" t="str">
        <f>'Returns (Calc)'!J2</f>
        <v>PLD</v>
      </c>
      <c r="K5" s="135" t="str">
        <f>'Returns (Calc)'!K2</f>
        <v>PLTR</v>
      </c>
      <c r="L5" s="135" t="str">
        <f>'Returns (Calc)'!L2</f>
        <v>TSM</v>
      </c>
      <c r="M5" s="135" t="str">
        <f>'Returns (Calc)'!M2</f>
        <v>VRT</v>
      </c>
      <c r="N5" s="135" t="str">
        <f>'Returns (Calc)'!N2</f>
        <v>VRTX</v>
      </c>
      <c r="O5" s="135" t="str">
        <f>'Returns (Calc)'!O2</f>
        <v>AVUV</v>
      </c>
      <c r="P5" s="135" t="str">
        <f>'Returns (Calc)'!P2</f>
        <v>DVY</v>
      </c>
      <c r="Q5" s="135" t="str">
        <f>'Returns (Calc)'!Q2</f>
        <v>HELO</v>
      </c>
      <c r="R5" s="135" t="str">
        <f>'Returns (Calc)'!R2</f>
        <v>JEPQ</v>
      </c>
      <c r="S5" s="135" t="str">
        <f>'Returns (Calc)'!S2</f>
        <v>SPMO</v>
      </c>
      <c r="T5" s="135" t="str">
        <f>'Returns (Calc)'!T2</f>
        <v>VFLO</v>
      </c>
      <c r="U5" s="135" t="str">
        <f>'Returns (Calc)'!U2</f>
        <v>SCHD</v>
      </c>
      <c r="V5" s="135" t="str">
        <f>'Returns (Calc)'!V2</f>
        <v>V</v>
      </c>
      <c r="W5" s="135" t="str">
        <f>'Returns (Calc)'!AP2</f>
        <v>VYM</v>
      </c>
      <c r="X5" s="135" t="str">
        <f>'Returns (Calc)'!AQ2</f>
        <v>MLPI</v>
      </c>
      <c r="Y5" s="135" t="str">
        <f>'Returns (Calc)'!AR2</f>
        <v>JEPI</v>
      </c>
      <c r="Z5" s="135" t="str">
        <f>'Returns (Calc)'!AS2</f>
        <v>GE</v>
      </c>
      <c r="AA5" s="135" t="str">
        <f>'Returns (Calc)'!AT2</f>
        <v>NFLX</v>
      </c>
      <c r="AB5" s="136"/>
      <c r="AC5" s="136"/>
      <c r="AD5" s="136"/>
      <c r="AE5" s="136"/>
      <c r="AF5" s="136"/>
      <c r="AG5" s="135" t="s">
        <v>463</v>
      </c>
    </row>
    <row r="6" spans="1:33" ht="15" customHeight="1" x14ac:dyDescent="0.2">
      <c r="A6" s="137" t="str">
        <f>'Returns (Calc)'!B2</f>
        <v>ADBE</v>
      </c>
      <c r="B6" s="138">
        <v>1</v>
      </c>
      <c r="C6" s="138">
        <f>IFERROR(ROUND(CORREL('Returns (Calc)'!$B$3:$B$500,'Returns (Calc)'!$C$3:$C$500),2),"")</f>
        <v>0.2</v>
      </c>
      <c r="D6" s="138">
        <f>IFERROR(ROUND(CORREL('Returns (Calc)'!$B$3:$B$500,'Returns (Calc)'!$D$3:$D$500),2),"")</f>
        <v>0.01</v>
      </c>
      <c r="E6" s="138">
        <f>IFERROR(ROUND(CORREL('Returns (Calc)'!$B$3:$B$500,'Returns (Calc)'!$E$3:$E$500),2),"")</f>
        <v>0.16</v>
      </c>
      <c r="F6" s="138">
        <f>IFERROR(ROUND(CORREL('Returns (Calc)'!$B$3:$B$500,'Returns (Calc)'!$F$3:$F$500),2),"")</f>
        <v>0.4</v>
      </c>
      <c r="G6" s="138">
        <f>IFERROR(ROUND(CORREL('Returns (Calc)'!$B$3:$B$500,'Returns (Calc)'!$G$3:$G$500),2),"")</f>
        <v>-0.06</v>
      </c>
      <c r="H6" s="138">
        <f>IFERROR(ROUND(CORREL('Returns (Calc)'!$B$3:$B$500,'Returns (Calc)'!$H$3:$H$500),2),"")</f>
        <v>0.04</v>
      </c>
      <c r="I6" s="138">
        <f>IFERROR(ROUND(CORREL('Returns (Calc)'!$B$3:$B$500,'Returns (Calc)'!$I$3:$I$500),2),"")</f>
        <v>0.21</v>
      </c>
      <c r="J6" s="138">
        <f>IFERROR(ROUND(CORREL('Returns (Calc)'!$B$3:$B$500,'Returns (Calc)'!$J$3:$J$500),2),"")</f>
        <v>0.17</v>
      </c>
      <c r="K6" s="138">
        <f>IFERROR(ROUND(CORREL('Returns (Calc)'!$B$3:$B$500,'Returns (Calc)'!$K$3:$K$500),2),"")</f>
        <v>0.37</v>
      </c>
      <c r="L6" s="138">
        <f>IFERROR(ROUND(CORREL('Returns (Calc)'!$B$3:$B$500,'Returns (Calc)'!$L$3:$L$500),2),"")</f>
        <v>0.15</v>
      </c>
      <c r="M6" s="138">
        <f>IFERROR(ROUND(CORREL('Returns (Calc)'!$B$3:$B$500,'Returns (Calc)'!$M$3:$M$500),2),"")</f>
        <v>0.06</v>
      </c>
      <c r="N6" s="138">
        <f>IFERROR(ROUND(CORREL('Returns (Calc)'!$B$3:$B$500,'Returns (Calc)'!$N$3:$N$500),2),"")</f>
        <v>0.14000000000000001</v>
      </c>
      <c r="O6" s="138">
        <f>IFERROR(ROUND(CORREL('Returns (Calc)'!$B$3:$B$500,'Returns (Calc)'!$O$3:$O$500),2),"")</f>
        <v>0.16</v>
      </c>
      <c r="P6" s="138">
        <f>IFERROR(ROUND(CORREL('Returns (Calc)'!$B$3:$B$500,'Returns (Calc)'!$P$3:$P$500),2),"")</f>
        <v>0.14000000000000001</v>
      </c>
      <c r="Q6" s="138">
        <f>IFERROR(ROUND(CORREL('Returns (Calc)'!$B$3:$B$500,'Returns (Calc)'!$Q$3:$Q$500),2),"")</f>
        <v>0.44</v>
      </c>
      <c r="R6" s="138">
        <f>IFERROR(ROUND(CORREL('Returns (Calc)'!$B$3:$B$500,'Returns (Calc)'!$R$3:$R$500),2),"")</f>
        <v>0.34</v>
      </c>
      <c r="S6" s="138">
        <f>IFERROR(ROUND(CORREL('Returns (Calc)'!$B$3:$B$500,'Returns (Calc)'!$S$3:$S$500),2),"")</f>
        <v>0.23</v>
      </c>
      <c r="T6" s="138">
        <f>IFERROR(ROUND(CORREL('Returns (Calc)'!$B$3:$B$500,'Returns (Calc)'!$T$3:$T$500),2),"")</f>
        <v>0.42</v>
      </c>
      <c r="U6" s="138">
        <f>IFERROR(ROUND(CORREL('Returns (Calc)'!$B$3:$B$500,'Returns (Calc)'!$U$3:$U$500),2),"")</f>
        <v>0.22</v>
      </c>
      <c r="V6" s="138">
        <f>IFERROR(ROUND(CORREL('Returns (Calc)'!$B$3:$B$500,'Returns (Calc)'!$V$3:$V$500),2),"")</f>
        <v>0.4</v>
      </c>
      <c r="W6" s="138">
        <f>IFERROR(ROUND(CORREL('Returns (Calc)'!$B$3:$B$500,'Returns (Calc)'!$AP$3:$AP$500),2),"")</f>
        <v>0.22</v>
      </c>
      <c r="X6" s="138">
        <f>IFERROR(ROUND(CORREL('Returns (Calc)'!$B$3:$B$500,'Returns (Calc)'!$AQ$3:$AQ$500),2),"")</f>
        <v>-0.24</v>
      </c>
      <c r="Y6" s="138">
        <f>IFERROR(ROUND(CORREL('Returns (Calc)'!$B$3:$B$500,'Returns (Calc)'!$AR$3:$AR$500),2),"")</f>
        <v>0.33</v>
      </c>
      <c r="Z6" s="138">
        <f>IFERROR(ROUND(CORREL('Returns (Calc)'!$B$3:$B$500,'Returns (Calc)'!$AS$3:$AS$500),2),"")</f>
        <v>0.09</v>
      </c>
      <c r="AA6" s="138">
        <f>IFERROR(ROUND(CORREL('Returns (Calc)'!$B$3:$B$500,'Returns (Calc)'!$AT$3:$AT$500),2),"")</f>
        <v>0.21</v>
      </c>
      <c r="AG6" s="139">
        <f t="shared" ref="AG6:AG31" si="0">COUNTIF(B6:AA6,"&gt;0.7")-1</f>
        <v>0</v>
      </c>
    </row>
    <row r="7" spans="1:33" ht="15" customHeight="1" x14ac:dyDescent="0.2">
      <c r="A7" s="137" t="str">
        <f>'Returns (Calc)'!C2</f>
        <v>ANET</v>
      </c>
      <c r="B7" s="138">
        <f>IFERROR(ROUND(CORREL('Returns (Calc)'!$C$3:$C$500,'Returns (Calc)'!$B$3:$B$500),2),"")</f>
        <v>0.2</v>
      </c>
      <c r="C7" s="138">
        <v>1</v>
      </c>
      <c r="D7" s="138">
        <f>IFERROR(ROUND(CORREL('Returns (Calc)'!$C$3:$C$500,'Returns (Calc)'!$D$3:$D$500),2),"")</f>
        <v>0.39</v>
      </c>
      <c r="E7" s="138">
        <f>IFERROR(ROUND(CORREL('Returns (Calc)'!$C$3:$C$500,'Returns (Calc)'!$E$3:$E$500),2),"")</f>
        <v>0.59</v>
      </c>
      <c r="F7" s="138">
        <f>IFERROR(ROUND(CORREL('Returns (Calc)'!$C$3:$C$500,'Returns (Calc)'!$F$3:$F$500),2),"")</f>
        <v>0.37</v>
      </c>
      <c r="G7" s="138">
        <f>IFERROR(ROUND(CORREL('Returns (Calc)'!$C$3:$C$500,'Returns (Calc)'!$G$3:$G$500),2),"")</f>
        <v>0.43</v>
      </c>
      <c r="H7" s="138">
        <f>IFERROR(ROUND(CORREL('Returns (Calc)'!$C$3:$C$500,'Returns (Calc)'!$H$3:$H$500),2),"")</f>
        <v>0.34</v>
      </c>
      <c r="I7" s="138">
        <f>IFERROR(ROUND(CORREL('Returns (Calc)'!$C$3:$C$500,'Returns (Calc)'!$I$3:$I$500),2),"")</f>
        <v>0.52</v>
      </c>
      <c r="J7" s="138">
        <f>IFERROR(ROUND(CORREL('Returns (Calc)'!$C$3:$C$500,'Returns (Calc)'!$J$3:$J$500),2),"")</f>
        <v>0.18</v>
      </c>
      <c r="K7" s="138">
        <f>IFERROR(ROUND(CORREL('Returns (Calc)'!$C$3:$C$500,'Returns (Calc)'!$K$3:$K$500),2),"")</f>
        <v>0.34</v>
      </c>
      <c r="L7" s="138">
        <f>IFERROR(ROUND(CORREL('Returns (Calc)'!$C$3:$C$500,'Returns (Calc)'!$L$3:$L$500),2),"")</f>
        <v>0.55000000000000004</v>
      </c>
      <c r="M7" s="138">
        <f>IFERROR(ROUND(CORREL('Returns (Calc)'!$C$3:$C$500,'Returns (Calc)'!$M$3:$M$500),2),"")</f>
        <v>0.57999999999999996</v>
      </c>
      <c r="N7" s="138">
        <f>IFERROR(ROUND(CORREL('Returns (Calc)'!$C$3:$C$500,'Returns (Calc)'!$N$3:$N$500),2),"")</f>
        <v>0.05</v>
      </c>
      <c r="O7" s="138">
        <f>IFERROR(ROUND(CORREL('Returns (Calc)'!$C$3:$C$500,'Returns (Calc)'!$O$3:$O$500),2),"")</f>
        <v>0.35</v>
      </c>
      <c r="P7" s="138">
        <f>IFERROR(ROUND(CORREL('Returns (Calc)'!$C$3:$C$500,'Returns (Calc)'!$P$3:$P$500),2),"")</f>
        <v>0.24</v>
      </c>
      <c r="Q7" s="138">
        <f>IFERROR(ROUND(CORREL('Returns (Calc)'!$C$3:$C$500,'Returns (Calc)'!$Q$3:$Q$500),2),"")</f>
        <v>0.65</v>
      </c>
      <c r="R7" s="138">
        <f>IFERROR(ROUND(CORREL('Returns (Calc)'!$C$3:$C$500,'Returns (Calc)'!$R$3:$R$500),2),"")</f>
        <v>0.67</v>
      </c>
      <c r="S7" s="138">
        <f>IFERROR(ROUND(CORREL('Returns (Calc)'!$C$3:$C$500,'Returns (Calc)'!$S$3:$S$500),2),"")</f>
        <v>0.64</v>
      </c>
      <c r="T7" s="138">
        <f>IFERROR(ROUND(CORREL('Returns (Calc)'!$C$3:$C$500,'Returns (Calc)'!$T$3:$T$500),2),"")</f>
        <v>0.33</v>
      </c>
      <c r="U7" s="138">
        <f>IFERROR(ROUND(CORREL('Returns (Calc)'!$C$3:$C$500,'Returns (Calc)'!$U$3:$U$500),2),"")</f>
        <v>0.27</v>
      </c>
      <c r="V7" s="138">
        <f>IFERROR(ROUND(CORREL('Returns (Calc)'!$C$3:$C$500,'Returns (Calc)'!$V$3:$V$500),2),"")</f>
        <v>0.25</v>
      </c>
      <c r="W7" s="138">
        <f>IFERROR(ROUND(CORREL('Returns (Calc)'!$C$3:$C$500,'Returns (Calc)'!$AP$3:$AP$500),2),"")</f>
        <v>0.46</v>
      </c>
      <c r="X7" s="138">
        <f>IFERROR(ROUND(CORREL('Returns (Calc)'!$C$3:$C$500,'Returns (Calc)'!$AQ$3:$AQ$500),2),"")</f>
        <v>-0.04</v>
      </c>
      <c r="Y7" s="138">
        <f>IFERROR(ROUND(CORREL('Returns (Calc)'!$C$3:$C$500,'Returns (Calc)'!$AR$3:$AR$500),2),"")</f>
        <v>0.51</v>
      </c>
      <c r="Z7" s="138">
        <f>IFERROR(ROUND(CORREL('Returns (Calc)'!$C$3:$C$500,'Returns (Calc)'!$AS$3:$AS$500),2),"")</f>
        <v>0.34</v>
      </c>
      <c r="AA7" s="138">
        <f>IFERROR(ROUND(CORREL('Returns (Calc)'!$C$3:$C$500,'Returns (Calc)'!$AT$3:$AT$500),2),"")</f>
        <v>0.39</v>
      </c>
      <c r="AG7" s="139">
        <f t="shared" si="0"/>
        <v>0</v>
      </c>
    </row>
    <row r="8" spans="1:33" ht="15" customHeight="1" x14ac:dyDescent="0.2">
      <c r="A8" s="137" t="str">
        <f>'Returns (Calc)'!D2</f>
        <v>ASML</v>
      </c>
      <c r="B8" s="138">
        <f>IFERROR(ROUND(CORREL('Returns (Calc)'!$D$3:$D$500,'Returns (Calc)'!$B$3:$B$500),2),"")</f>
        <v>0.01</v>
      </c>
      <c r="C8" s="138">
        <f>IFERROR(ROUND(CORREL('Returns (Calc)'!$D$3:$D$500,'Returns (Calc)'!$C$3:$C$500),2),"")</f>
        <v>0.39</v>
      </c>
      <c r="D8" s="138">
        <v>1</v>
      </c>
      <c r="E8" s="138">
        <f>IFERROR(ROUND(CORREL('Returns (Calc)'!$D$3:$D$500,'Returns (Calc)'!$E$3:$E$500),2),"")</f>
        <v>0.49</v>
      </c>
      <c r="F8" s="138">
        <f>IFERROR(ROUND(CORREL('Returns (Calc)'!$D$3:$D$500,'Returns (Calc)'!$F$3:$F$500),2),"")</f>
        <v>0.33</v>
      </c>
      <c r="G8" s="138">
        <f>IFERROR(ROUND(CORREL('Returns (Calc)'!$D$3:$D$500,'Returns (Calc)'!$G$3:$G$500),2),"")</f>
        <v>0.77</v>
      </c>
      <c r="H8" s="138">
        <f>IFERROR(ROUND(CORREL('Returns (Calc)'!$D$3:$D$500,'Returns (Calc)'!$H$3:$H$500),2),"")</f>
        <v>0.6</v>
      </c>
      <c r="I8" s="138">
        <f>IFERROR(ROUND(CORREL('Returns (Calc)'!$D$3:$D$500,'Returns (Calc)'!$I$3:$I$500),2),"")</f>
        <v>0.49</v>
      </c>
      <c r="J8" s="138">
        <f>IFERROR(ROUND(CORREL('Returns (Calc)'!$D$3:$D$500,'Returns (Calc)'!$J$3:$J$500),2),"")</f>
        <v>0.27</v>
      </c>
      <c r="K8" s="138">
        <f>IFERROR(ROUND(CORREL('Returns (Calc)'!$D$3:$D$500,'Returns (Calc)'!$K$3:$K$500),2),"")</f>
        <v>0.21</v>
      </c>
      <c r="L8" s="138">
        <f>IFERROR(ROUND(CORREL('Returns (Calc)'!$D$3:$D$500,'Returns (Calc)'!$L$3:$L$500),2),"")</f>
        <v>0.64</v>
      </c>
      <c r="M8" s="138">
        <f>IFERROR(ROUND(CORREL('Returns (Calc)'!$D$3:$D$500,'Returns (Calc)'!$M$3:$M$500),2),"")</f>
        <v>0.43</v>
      </c>
      <c r="N8" s="138">
        <f>IFERROR(ROUND(CORREL('Returns (Calc)'!$D$3:$D$500,'Returns (Calc)'!$N$3:$N$500),2),"")</f>
        <v>0.11</v>
      </c>
      <c r="O8" s="138">
        <f>IFERROR(ROUND(CORREL('Returns (Calc)'!$D$3:$D$500,'Returns (Calc)'!$O$3:$O$500),2),"")</f>
        <v>0.38</v>
      </c>
      <c r="P8" s="138">
        <f>IFERROR(ROUND(CORREL('Returns (Calc)'!$D$3:$D$500,'Returns (Calc)'!$P$3:$P$500),2),"")</f>
        <v>0.23</v>
      </c>
      <c r="Q8" s="138">
        <f>IFERROR(ROUND(CORREL('Returns (Calc)'!$D$3:$D$500,'Returns (Calc)'!$Q$3:$Q$500),2),"")</f>
        <v>0.51</v>
      </c>
      <c r="R8" s="138">
        <f>IFERROR(ROUND(CORREL('Returns (Calc)'!$D$3:$D$500,'Returns (Calc)'!$R$3:$R$500),2),"")</f>
        <v>0.61</v>
      </c>
      <c r="S8" s="138">
        <f>IFERROR(ROUND(CORREL('Returns (Calc)'!$D$3:$D$500,'Returns (Calc)'!$S$3:$S$500),2),"")</f>
        <v>0.61</v>
      </c>
      <c r="T8" s="138">
        <f>IFERROR(ROUND(CORREL('Returns (Calc)'!$D$3:$D$500,'Returns (Calc)'!$T$3:$T$500),2),"")</f>
        <v>0.3</v>
      </c>
      <c r="U8" s="138">
        <f>IFERROR(ROUND(CORREL('Returns (Calc)'!$D$3:$D$500,'Returns (Calc)'!$U$3:$U$500),2),"")</f>
        <v>0.26</v>
      </c>
      <c r="V8" s="138">
        <f>IFERROR(ROUND(CORREL('Returns (Calc)'!$D$3:$D$500,'Returns (Calc)'!$V$3:$V$500),2),"")</f>
        <v>0.04</v>
      </c>
      <c r="W8" s="138">
        <f>IFERROR(ROUND(CORREL('Returns (Calc)'!$D$3:$D$500,'Returns (Calc)'!$AP$3:$AP$500),2),"")</f>
        <v>0.42</v>
      </c>
      <c r="X8" s="138">
        <f>IFERROR(ROUND(CORREL('Returns (Calc)'!$D$3:$D$500,'Returns (Calc)'!$AQ$3:$AQ$500),2),"")</f>
        <v>-0.18</v>
      </c>
      <c r="Y8" s="138">
        <f>IFERROR(ROUND(CORREL('Returns (Calc)'!$D$3:$D$500,'Returns (Calc)'!$AR$3:$AR$500),2),"")</f>
        <v>0.43</v>
      </c>
      <c r="Z8" s="138">
        <f>IFERROR(ROUND(CORREL('Returns (Calc)'!$D$3:$D$500,'Returns (Calc)'!$AS$3:$AS$500),2),"")</f>
        <v>0.39</v>
      </c>
      <c r="AA8" s="138">
        <f>IFERROR(ROUND(CORREL('Returns (Calc)'!$D$3:$D$500,'Returns (Calc)'!$AT$3:$AT$500),2),"")</f>
        <v>0.21</v>
      </c>
      <c r="AG8" s="139">
        <f t="shared" si="0"/>
        <v>1</v>
      </c>
    </row>
    <row r="9" spans="1:33" ht="15" customHeight="1" x14ac:dyDescent="0.2">
      <c r="A9" s="137" t="str">
        <f>'Returns (Calc)'!E2</f>
        <v>AVGO</v>
      </c>
      <c r="B9" s="138">
        <f>IFERROR(ROUND(CORREL('Returns (Calc)'!$E$3:$E$500,'Returns (Calc)'!$B$3:$B$500),2),"")</f>
        <v>0.16</v>
      </c>
      <c r="C9" s="138">
        <f>IFERROR(ROUND(CORREL('Returns (Calc)'!$E$3:$E$500,'Returns (Calc)'!$C$3:$C$500),2),"")</f>
        <v>0.59</v>
      </c>
      <c r="D9" s="138">
        <f>IFERROR(ROUND(CORREL('Returns (Calc)'!$E$3:$E$500,'Returns (Calc)'!$D$3:$D$500),2),"")</f>
        <v>0.49</v>
      </c>
      <c r="E9" s="138">
        <v>1</v>
      </c>
      <c r="F9" s="138">
        <f>IFERROR(ROUND(CORREL('Returns (Calc)'!$E$3:$E$500,'Returns (Calc)'!$F$3:$F$500),2),"")</f>
        <v>0.4</v>
      </c>
      <c r="G9" s="138">
        <f>IFERROR(ROUND(CORREL('Returns (Calc)'!$E$3:$E$500,'Returns (Calc)'!$G$3:$G$500),2),"")</f>
        <v>0.53</v>
      </c>
      <c r="H9" s="138">
        <f>IFERROR(ROUND(CORREL('Returns (Calc)'!$E$3:$E$500,'Returns (Calc)'!$H$3:$H$500),2),"")</f>
        <v>0.48</v>
      </c>
      <c r="I9" s="138">
        <f>IFERROR(ROUND(CORREL('Returns (Calc)'!$E$3:$E$500,'Returns (Calc)'!$I$3:$I$500),2),"")</f>
        <v>0.62</v>
      </c>
      <c r="J9" s="138">
        <f>IFERROR(ROUND(CORREL('Returns (Calc)'!$E$3:$E$500,'Returns (Calc)'!$J$3:$J$500),2),"")</f>
        <v>0.22</v>
      </c>
      <c r="K9" s="138">
        <f>IFERROR(ROUND(CORREL('Returns (Calc)'!$E$3:$E$500,'Returns (Calc)'!$K$3:$K$500),2),"")</f>
        <v>0.38</v>
      </c>
      <c r="L9" s="138">
        <f>IFERROR(ROUND(CORREL('Returns (Calc)'!$E$3:$E$500,'Returns (Calc)'!$L$3:$L$500),2),"")</f>
        <v>0.63</v>
      </c>
      <c r="M9" s="138">
        <f>IFERROR(ROUND(CORREL('Returns (Calc)'!$E$3:$E$500,'Returns (Calc)'!$M$3:$M$500),2),"")</f>
        <v>0.52</v>
      </c>
      <c r="N9" s="138">
        <f>IFERROR(ROUND(CORREL('Returns (Calc)'!$E$3:$E$500,'Returns (Calc)'!$N$3:$N$500),2),"")</f>
        <v>0.14000000000000001</v>
      </c>
      <c r="O9" s="138">
        <f>IFERROR(ROUND(CORREL('Returns (Calc)'!$E$3:$E$500,'Returns (Calc)'!$O$3:$O$500),2),"")</f>
        <v>0.28999999999999998</v>
      </c>
      <c r="P9" s="138">
        <f>IFERROR(ROUND(CORREL('Returns (Calc)'!$E$3:$E$500,'Returns (Calc)'!$P$3:$P$500),2),"")</f>
        <v>0.11</v>
      </c>
      <c r="Q9" s="138">
        <f>IFERROR(ROUND(CORREL('Returns (Calc)'!$E$3:$E$500,'Returns (Calc)'!$Q$3:$Q$500),2),"")</f>
        <v>0.67</v>
      </c>
      <c r="R9" s="138">
        <f>IFERROR(ROUND(CORREL('Returns (Calc)'!$E$3:$E$500,'Returns (Calc)'!$R$3:$R$500),2),"")</f>
        <v>0.73</v>
      </c>
      <c r="S9" s="138">
        <f>IFERROR(ROUND(CORREL('Returns (Calc)'!$E$3:$E$500,'Returns (Calc)'!$S$3:$S$500),2),"")</f>
        <v>0.73</v>
      </c>
      <c r="T9" s="138">
        <f>IFERROR(ROUND(CORREL('Returns (Calc)'!$E$3:$E$500,'Returns (Calc)'!$T$3:$T$500),2),"")</f>
        <v>0.27</v>
      </c>
      <c r="U9" s="138">
        <f>IFERROR(ROUND(CORREL('Returns (Calc)'!$E$3:$E$500,'Returns (Calc)'!$U$3:$U$500),2),"")</f>
        <v>0.16</v>
      </c>
      <c r="V9" s="138">
        <f>IFERROR(ROUND(CORREL('Returns (Calc)'!$E$3:$E$500,'Returns (Calc)'!$V$3:$V$500),2),"")</f>
        <v>0.2</v>
      </c>
      <c r="W9" s="138">
        <f>IFERROR(ROUND(CORREL('Returns (Calc)'!$E$3:$E$500,'Returns (Calc)'!$AP$3:$AP$500),2),"")</f>
        <v>0.45</v>
      </c>
      <c r="X9" s="138">
        <f>IFERROR(ROUND(CORREL('Returns (Calc)'!$E$3:$E$500,'Returns (Calc)'!$AQ$3:$AQ$500),2),"")</f>
        <v>-0.45</v>
      </c>
      <c r="Y9" s="138">
        <f>IFERROR(ROUND(CORREL('Returns (Calc)'!$E$3:$E$500,'Returns (Calc)'!$AR$3:$AR$500),2),"")</f>
        <v>0.44</v>
      </c>
      <c r="Z9" s="138">
        <f>IFERROR(ROUND(CORREL('Returns (Calc)'!$E$3:$E$500,'Returns (Calc)'!$AS$3:$AS$500),2),"")</f>
        <v>0.36</v>
      </c>
      <c r="AA9" s="138">
        <f>IFERROR(ROUND(CORREL('Returns (Calc)'!$E$3:$E$500,'Returns (Calc)'!$AT$3:$AT$500),2),"")</f>
        <v>0.3</v>
      </c>
      <c r="AG9" s="139">
        <f t="shared" si="0"/>
        <v>2</v>
      </c>
    </row>
    <row r="10" spans="1:33" ht="15" customHeight="1" x14ac:dyDescent="0.2">
      <c r="A10" s="137" t="str">
        <f>'Returns (Calc)'!F2</f>
        <v>CRWD</v>
      </c>
      <c r="B10" s="138">
        <f>IFERROR(ROUND(CORREL('Returns (Calc)'!$F$3:$F$500,'Returns (Calc)'!$B$3:$B$500),2),"")</f>
        <v>0.4</v>
      </c>
      <c r="C10" s="138">
        <f>IFERROR(ROUND(CORREL('Returns (Calc)'!$F$3:$F$500,'Returns (Calc)'!$C$3:$C$500),2),"")</f>
        <v>0.37</v>
      </c>
      <c r="D10" s="138">
        <f>IFERROR(ROUND(CORREL('Returns (Calc)'!$F$3:$F$500,'Returns (Calc)'!$D$3:$D$500),2),"")</f>
        <v>0.33</v>
      </c>
      <c r="E10" s="138">
        <f>IFERROR(ROUND(CORREL('Returns (Calc)'!$F$3:$F$500,'Returns (Calc)'!$E$3:$E$500),2),"")</f>
        <v>0.4</v>
      </c>
      <c r="F10" s="138">
        <v>1</v>
      </c>
      <c r="G10" s="138">
        <f>IFERROR(ROUND(CORREL('Returns (Calc)'!$F$3:$F$500,'Returns (Calc)'!$G$3:$G$500),2),"")</f>
        <v>0.33</v>
      </c>
      <c r="H10" s="138">
        <f>IFERROR(ROUND(CORREL('Returns (Calc)'!$F$3:$F$500,'Returns (Calc)'!$H$3:$H$500),2),"")</f>
        <v>0.32</v>
      </c>
      <c r="I10" s="138">
        <f>IFERROR(ROUND(CORREL('Returns (Calc)'!$F$3:$F$500,'Returns (Calc)'!$I$3:$I$500),2),"")</f>
        <v>0.46</v>
      </c>
      <c r="J10" s="138">
        <f>IFERROR(ROUND(CORREL('Returns (Calc)'!$F$3:$F$500,'Returns (Calc)'!$J$3:$J$500),2),"")</f>
        <v>0.1</v>
      </c>
      <c r="K10" s="138">
        <f>IFERROR(ROUND(CORREL('Returns (Calc)'!$F$3:$F$500,'Returns (Calc)'!$K$3:$K$500),2),"")</f>
        <v>0.5</v>
      </c>
      <c r="L10" s="138">
        <f>IFERROR(ROUND(CORREL('Returns (Calc)'!$F$3:$F$500,'Returns (Calc)'!$L$3:$L$500),2),"")</f>
        <v>0.39</v>
      </c>
      <c r="M10" s="138">
        <f>IFERROR(ROUND(CORREL('Returns (Calc)'!$F$3:$F$500,'Returns (Calc)'!$M$3:$M$500),2),"")</f>
        <v>0.4</v>
      </c>
      <c r="N10" s="138">
        <f>IFERROR(ROUND(CORREL('Returns (Calc)'!$F$3:$F$500,'Returns (Calc)'!$N$3:$N$500),2),"")</f>
        <v>0.17</v>
      </c>
      <c r="O10" s="138">
        <f>IFERROR(ROUND(CORREL('Returns (Calc)'!$F$3:$F$500,'Returns (Calc)'!$O$3:$O$500),2),"")</f>
        <v>0.19</v>
      </c>
      <c r="P10" s="138">
        <f>IFERROR(ROUND(CORREL('Returns (Calc)'!$F$3:$F$500,'Returns (Calc)'!$P$3:$P$500),2),"")</f>
        <v>0.1</v>
      </c>
      <c r="Q10" s="138">
        <f>IFERROR(ROUND(CORREL('Returns (Calc)'!$F$3:$F$500,'Returns (Calc)'!$Q$3:$Q$500),2),"")</f>
        <v>0.47</v>
      </c>
      <c r="R10" s="138">
        <f>IFERROR(ROUND(CORREL('Returns (Calc)'!$F$3:$F$500,'Returns (Calc)'!$R$3:$R$500),2),"")</f>
        <v>0.55000000000000004</v>
      </c>
      <c r="S10" s="138">
        <f>IFERROR(ROUND(CORREL('Returns (Calc)'!$F$3:$F$500,'Returns (Calc)'!$S$3:$S$500),2),"")</f>
        <v>0.52</v>
      </c>
      <c r="T10" s="138">
        <f>IFERROR(ROUND(CORREL('Returns (Calc)'!$F$3:$F$500,'Returns (Calc)'!$T$3:$T$500),2),"")</f>
        <v>0.28999999999999998</v>
      </c>
      <c r="U10" s="138">
        <f>IFERROR(ROUND(CORREL('Returns (Calc)'!$F$3:$F$500,'Returns (Calc)'!$U$3:$U$500),2),"")</f>
        <v>0.11</v>
      </c>
      <c r="V10" s="138">
        <f>IFERROR(ROUND(CORREL('Returns (Calc)'!$F$3:$F$500,'Returns (Calc)'!$V$3:$V$500),2),"")</f>
        <v>0.27</v>
      </c>
      <c r="W10" s="138">
        <f>IFERROR(ROUND(CORREL('Returns (Calc)'!$F$3:$F$500,'Returns (Calc)'!$AP$3:$AP$500),2),"")</f>
        <v>0.24</v>
      </c>
      <c r="X10" s="138">
        <f>IFERROR(ROUND(CORREL('Returns (Calc)'!$F$3:$F$500,'Returns (Calc)'!$AQ$3:$AQ$500),2),"")</f>
        <v>-0.3</v>
      </c>
      <c r="Y10" s="138">
        <f>IFERROR(ROUND(CORREL('Returns (Calc)'!$F$3:$F$500,'Returns (Calc)'!$AR$3:$AR$500),2),"")</f>
        <v>0.28999999999999998</v>
      </c>
      <c r="Z10" s="138">
        <f>IFERROR(ROUND(CORREL('Returns (Calc)'!$F$3:$F$500,'Returns (Calc)'!$AS$3:$AS$500),2),"")</f>
        <v>0.24</v>
      </c>
      <c r="AA10" s="138">
        <f>IFERROR(ROUND(CORREL('Returns (Calc)'!$F$3:$F$500,'Returns (Calc)'!$AT$3:$AT$500),2),"")</f>
        <v>0.24</v>
      </c>
      <c r="AG10" s="139">
        <f t="shared" si="0"/>
        <v>0</v>
      </c>
    </row>
    <row r="11" spans="1:33" ht="15" customHeight="1" x14ac:dyDescent="0.2">
      <c r="A11" s="137" t="str">
        <f>'Returns (Calc)'!G2</f>
        <v>KLAC</v>
      </c>
      <c r="B11" s="138">
        <f>IFERROR(ROUND(CORREL('Returns (Calc)'!$G$3:$G$500,'Returns (Calc)'!$B$3:$B$500),2),"")</f>
        <v>-0.06</v>
      </c>
      <c r="C11" s="138">
        <f>IFERROR(ROUND(CORREL('Returns (Calc)'!$G$3:$G$500,'Returns (Calc)'!$C$3:$C$500),2),"")</f>
        <v>0.43</v>
      </c>
      <c r="D11" s="138">
        <f>IFERROR(ROUND(CORREL('Returns (Calc)'!$G$3:$G$500,'Returns (Calc)'!$D$3:$D$500),2),"")</f>
        <v>0.77</v>
      </c>
      <c r="E11" s="138">
        <f>IFERROR(ROUND(CORREL('Returns (Calc)'!$G$3:$G$500,'Returns (Calc)'!$E$3:$E$500),2),"")</f>
        <v>0.53</v>
      </c>
      <c r="F11" s="138">
        <f>IFERROR(ROUND(CORREL('Returns (Calc)'!$G$3:$G$500,'Returns (Calc)'!$F$3:$F$500),2),"")</f>
        <v>0.33</v>
      </c>
      <c r="G11" s="138">
        <v>1</v>
      </c>
      <c r="H11" s="138">
        <f>IFERROR(ROUND(CORREL('Returns (Calc)'!$G$3:$G$500,'Returns (Calc)'!$H$3:$H$500),2),"")</f>
        <v>0.59</v>
      </c>
      <c r="I11" s="138">
        <f>IFERROR(ROUND(CORREL('Returns (Calc)'!$G$3:$G$500,'Returns (Calc)'!$I$3:$I$500),2),"")</f>
        <v>0.52</v>
      </c>
      <c r="J11" s="138">
        <f>IFERROR(ROUND(CORREL('Returns (Calc)'!$G$3:$G$500,'Returns (Calc)'!$J$3:$J$500),2),"")</f>
        <v>0.27</v>
      </c>
      <c r="K11" s="138">
        <f>IFERROR(ROUND(CORREL('Returns (Calc)'!$G$3:$G$500,'Returns (Calc)'!$K$3:$K$500),2),"")</f>
        <v>0.25</v>
      </c>
      <c r="L11" s="138">
        <f>IFERROR(ROUND(CORREL('Returns (Calc)'!$G$3:$G$500,'Returns (Calc)'!$L$3:$L$500),2),"")</f>
        <v>0.62</v>
      </c>
      <c r="M11" s="138">
        <f>IFERROR(ROUND(CORREL('Returns (Calc)'!$G$3:$G$500,'Returns (Calc)'!$M$3:$M$500),2),"")</f>
        <v>0.5</v>
      </c>
      <c r="N11" s="138">
        <f>IFERROR(ROUND(CORREL('Returns (Calc)'!$G$3:$G$500,'Returns (Calc)'!$N$3:$N$500),2),"")</f>
        <v>0.16</v>
      </c>
      <c r="O11" s="138">
        <f>IFERROR(ROUND(CORREL('Returns (Calc)'!$G$3:$G$500,'Returns (Calc)'!$O$3:$O$500),2),"")</f>
        <v>0.43</v>
      </c>
      <c r="P11" s="138">
        <f>IFERROR(ROUND(CORREL('Returns (Calc)'!$G$3:$G$500,'Returns (Calc)'!$P$3:$P$500),2),"")</f>
        <v>0.25</v>
      </c>
      <c r="Q11" s="138">
        <f>IFERROR(ROUND(CORREL('Returns (Calc)'!$G$3:$G$500,'Returns (Calc)'!$Q$3:$Q$500),2),"")</f>
        <v>0.52</v>
      </c>
      <c r="R11" s="138">
        <f>IFERROR(ROUND(CORREL('Returns (Calc)'!$G$3:$G$500,'Returns (Calc)'!$R$3:$R$500),2),"")</f>
        <v>0.62</v>
      </c>
      <c r="S11" s="138">
        <f>IFERROR(ROUND(CORREL('Returns (Calc)'!$G$3:$G$500,'Returns (Calc)'!$S$3:$S$500),2),"")</f>
        <v>0.67</v>
      </c>
      <c r="T11" s="138">
        <f>IFERROR(ROUND(CORREL('Returns (Calc)'!$G$3:$G$500,'Returns (Calc)'!$T$3:$T$500),2),"")</f>
        <v>0.31</v>
      </c>
      <c r="U11" s="138">
        <f>IFERROR(ROUND(CORREL('Returns (Calc)'!$G$3:$G$500,'Returns (Calc)'!$U$3:$U$500),2),"")</f>
        <v>0.28000000000000003</v>
      </c>
      <c r="V11" s="138">
        <f>IFERROR(ROUND(CORREL('Returns (Calc)'!$G$3:$G$500,'Returns (Calc)'!$V$3:$V$500),2),"")</f>
        <v>0.02</v>
      </c>
      <c r="W11" s="138">
        <f>IFERROR(ROUND(CORREL('Returns (Calc)'!$G$3:$G$500,'Returns (Calc)'!$AP$3:$AP$500),2),"")</f>
        <v>0.45</v>
      </c>
      <c r="X11" s="138">
        <f>IFERROR(ROUND(CORREL('Returns (Calc)'!$G$3:$G$500,'Returns (Calc)'!$AQ$3:$AQ$500),2),"")</f>
        <v>-0.17</v>
      </c>
      <c r="Y11" s="138">
        <f>IFERROR(ROUND(CORREL('Returns (Calc)'!$G$3:$G$500,'Returns (Calc)'!$AR$3:$AR$500),2),"")</f>
        <v>0.45</v>
      </c>
      <c r="Z11" s="138">
        <f>IFERROR(ROUND(CORREL('Returns (Calc)'!$G$3:$G$500,'Returns (Calc)'!$AS$3:$AS$500),2),"")</f>
        <v>0.38</v>
      </c>
      <c r="AA11" s="138">
        <f>IFERROR(ROUND(CORREL('Returns (Calc)'!$G$3:$G$500,'Returns (Calc)'!$AT$3:$AT$500),2),"")</f>
        <v>0.11</v>
      </c>
      <c r="AG11" s="139">
        <f t="shared" si="0"/>
        <v>1</v>
      </c>
    </row>
    <row r="12" spans="1:33" ht="15" customHeight="1" x14ac:dyDescent="0.2">
      <c r="A12" s="137" t="str">
        <f>'Returns (Calc)'!H2</f>
        <v>MU</v>
      </c>
      <c r="B12" s="138">
        <f>IFERROR(ROUND(CORREL('Returns (Calc)'!$H$3:$H$500,'Returns (Calc)'!$B$3:$B$500),2),"")</f>
        <v>0.04</v>
      </c>
      <c r="C12" s="138">
        <f>IFERROR(ROUND(CORREL('Returns (Calc)'!$H$3:$H$500,'Returns (Calc)'!$C$3:$C$500),2),"")</f>
        <v>0.34</v>
      </c>
      <c r="D12" s="138">
        <f>IFERROR(ROUND(CORREL('Returns (Calc)'!$H$3:$H$500,'Returns (Calc)'!$D$3:$D$500),2),"")</f>
        <v>0.6</v>
      </c>
      <c r="E12" s="138">
        <f>IFERROR(ROUND(CORREL('Returns (Calc)'!$H$3:$H$500,'Returns (Calc)'!$E$3:$E$500),2),"")</f>
        <v>0.48</v>
      </c>
      <c r="F12" s="138">
        <f>IFERROR(ROUND(CORREL('Returns (Calc)'!$H$3:$H$500,'Returns (Calc)'!$F$3:$F$500),2),"")</f>
        <v>0.32</v>
      </c>
      <c r="G12" s="138">
        <f>IFERROR(ROUND(CORREL('Returns (Calc)'!$H$3:$H$500,'Returns (Calc)'!$G$3:$G$500),2),"")</f>
        <v>0.59</v>
      </c>
      <c r="H12" s="138">
        <v>1</v>
      </c>
      <c r="I12" s="138">
        <f>IFERROR(ROUND(CORREL('Returns (Calc)'!$H$3:$H$500,'Returns (Calc)'!$I$3:$I$500),2),"")</f>
        <v>0.5</v>
      </c>
      <c r="J12" s="138">
        <f>IFERROR(ROUND(CORREL('Returns (Calc)'!$H$3:$H$500,'Returns (Calc)'!$J$3:$J$500),2),"")</f>
        <v>0.2</v>
      </c>
      <c r="K12" s="138">
        <f>IFERROR(ROUND(CORREL('Returns (Calc)'!$H$3:$H$500,'Returns (Calc)'!$K$3:$K$500),2),"")</f>
        <v>0.17</v>
      </c>
      <c r="L12" s="138">
        <f>IFERROR(ROUND(CORREL('Returns (Calc)'!$H$3:$H$500,'Returns (Calc)'!$L$3:$L$500),2),"")</f>
        <v>0.56000000000000005</v>
      </c>
      <c r="M12" s="138">
        <f>IFERROR(ROUND(CORREL('Returns (Calc)'!$H$3:$H$500,'Returns (Calc)'!$M$3:$M$500),2),"")</f>
        <v>0.5</v>
      </c>
      <c r="N12" s="138">
        <f>IFERROR(ROUND(CORREL('Returns (Calc)'!$H$3:$H$500,'Returns (Calc)'!$N$3:$N$500),2),"")</f>
        <v>0.18</v>
      </c>
      <c r="O12" s="138">
        <f>IFERROR(ROUND(CORREL('Returns (Calc)'!$H$3:$H$500,'Returns (Calc)'!$O$3:$O$500),2),"")</f>
        <v>0.35</v>
      </c>
      <c r="P12" s="138">
        <f>IFERROR(ROUND(CORREL('Returns (Calc)'!$H$3:$H$500,'Returns (Calc)'!$P$3:$P$500),2),"")</f>
        <v>0.23</v>
      </c>
      <c r="Q12" s="138">
        <f>IFERROR(ROUND(CORREL('Returns (Calc)'!$H$3:$H$500,'Returns (Calc)'!$Q$3:$Q$500),2),"")</f>
        <v>0.51</v>
      </c>
      <c r="R12" s="138">
        <f>IFERROR(ROUND(CORREL('Returns (Calc)'!$H$3:$H$500,'Returns (Calc)'!$R$3:$R$500),2),"")</f>
        <v>0.61</v>
      </c>
      <c r="S12" s="138">
        <f>IFERROR(ROUND(CORREL('Returns (Calc)'!$H$3:$H$500,'Returns (Calc)'!$S$3:$S$500),2),"")</f>
        <v>0.66</v>
      </c>
      <c r="T12" s="138">
        <f>IFERROR(ROUND(CORREL('Returns (Calc)'!$H$3:$H$500,'Returns (Calc)'!$T$3:$T$500),2),"")</f>
        <v>0.42</v>
      </c>
      <c r="U12" s="138">
        <f>IFERROR(ROUND(CORREL('Returns (Calc)'!$H$3:$H$500,'Returns (Calc)'!$U$3:$U$500),2),"")</f>
        <v>0.26</v>
      </c>
      <c r="V12" s="138">
        <f>IFERROR(ROUND(CORREL('Returns (Calc)'!$H$3:$H$500,'Returns (Calc)'!$V$3:$V$500),2),"")</f>
        <v>0.02</v>
      </c>
      <c r="W12" s="138">
        <f>IFERROR(ROUND(CORREL('Returns (Calc)'!$H$3:$H$500,'Returns (Calc)'!$AP$3:$AP$500),2),"")</f>
        <v>0.39</v>
      </c>
      <c r="X12" s="138">
        <f>IFERROR(ROUND(CORREL('Returns (Calc)'!$H$3:$H$500,'Returns (Calc)'!$AQ$3:$AQ$500),2),"")</f>
        <v>-0.35</v>
      </c>
      <c r="Y12" s="138">
        <f>IFERROR(ROUND(CORREL('Returns (Calc)'!$H$3:$H$500,'Returns (Calc)'!$AR$3:$AR$500),2),"")</f>
        <v>0.35</v>
      </c>
      <c r="Z12" s="138">
        <f>IFERROR(ROUND(CORREL('Returns (Calc)'!$H$3:$H$500,'Returns (Calc)'!$AS$3:$AS$500),2),"")</f>
        <v>0.36</v>
      </c>
      <c r="AA12" s="138">
        <f>IFERROR(ROUND(CORREL('Returns (Calc)'!$H$3:$H$500,'Returns (Calc)'!$AT$3:$AT$500),2),"")</f>
        <v>0.1</v>
      </c>
      <c r="AG12" s="139">
        <f t="shared" si="0"/>
        <v>0</v>
      </c>
    </row>
    <row r="13" spans="1:33" ht="15" customHeight="1" x14ac:dyDescent="0.2">
      <c r="A13" s="137" t="str">
        <f>'Returns (Calc)'!I2</f>
        <v>NVDA</v>
      </c>
      <c r="B13" s="138">
        <f>IFERROR(ROUND(CORREL('Returns (Calc)'!$I$3:$I$500,'Returns (Calc)'!$B$3:$B$500),2),"")</f>
        <v>0.21</v>
      </c>
      <c r="C13" s="138">
        <f>IFERROR(ROUND(CORREL('Returns (Calc)'!$I$3:$I$500,'Returns (Calc)'!$C$3:$C$500),2),"")</f>
        <v>0.52</v>
      </c>
      <c r="D13" s="138">
        <f>IFERROR(ROUND(CORREL('Returns (Calc)'!$I$3:$I$500,'Returns (Calc)'!$D$3:$D$500),2),"")</f>
        <v>0.49</v>
      </c>
      <c r="E13" s="138">
        <f>IFERROR(ROUND(CORREL('Returns (Calc)'!$I$3:$I$500,'Returns (Calc)'!$E$3:$E$500),2),"")</f>
        <v>0.62</v>
      </c>
      <c r="F13" s="138">
        <f>IFERROR(ROUND(CORREL('Returns (Calc)'!$I$3:$I$500,'Returns (Calc)'!$F$3:$F$500),2),"")</f>
        <v>0.46</v>
      </c>
      <c r="G13" s="138">
        <f>IFERROR(ROUND(CORREL('Returns (Calc)'!$I$3:$I$500,'Returns (Calc)'!$G$3:$G$500),2),"")</f>
        <v>0.52</v>
      </c>
      <c r="H13" s="138">
        <f>IFERROR(ROUND(CORREL('Returns (Calc)'!$I$3:$I$500,'Returns (Calc)'!$H$3:$H$500),2),"")</f>
        <v>0.5</v>
      </c>
      <c r="I13" s="138">
        <v>1</v>
      </c>
      <c r="J13" s="138">
        <f>IFERROR(ROUND(CORREL('Returns (Calc)'!$I$3:$I$500,'Returns (Calc)'!$J$3:$J$500),2),"")</f>
        <v>0.16</v>
      </c>
      <c r="K13" s="138">
        <f>IFERROR(ROUND(CORREL('Returns (Calc)'!$I$3:$I$500,'Returns (Calc)'!$K$3:$K$500),2),"")</f>
        <v>0.46</v>
      </c>
      <c r="L13" s="138">
        <f>IFERROR(ROUND(CORREL('Returns (Calc)'!$I$3:$I$500,'Returns (Calc)'!$L$3:$L$500),2),"")</f>
        <v>0.64</v>
      </c>
      <c r="M13" s="138">
        <f>IFERROR(ROUND(CORREL('Returns (Calc)'!$I$3:$I$500,'Returns (Calc)'!$M$3:$M$500),2),"")</f>
        <v>0.65</v>
      </c>
      <c r="N13" s="138">
        <f>IFERROR(ROUND(CORREL('Returns (Calc)'!$I$3:$I$500,'Returns (Calc)'!$N$3:$N$500),2),"")</f>
        <v>0.14000000000000001</v>
      </c>
      <c r="O13" s="138">
        <f>IFERROR(ROUND(CORREL('Returns (Calc)'!$I$3:$I$500,'Returns (Calc)'!$O$3:$O$500),2),"")</f>
        <v>0.28000000000000003</v>
      </c>
      <c r="P13" s="138">
        <f>IFERROR(ROUND(CORREL('Returns (Calc)'!$I$3:$I$500,'Returns (Calc)'!$P$3:$P$500),2),"")</f>
        <v>0.14000000000000001</v>
      </c>
      <c r="Q13" s="138">
        <f>IFERROR(ROUND(CORREL('Returns (Calc)'!$I$3:$I$500,'Returns (Calc)'!$Q$3:$Q$500),2),"")</f>
        <v>0.7</v>
      </c>
      <c r="R13" s="138">
        <f>IFERROR(ROUND(CORREL('Returns (Calc)'!$I$3:$I$500,'Returns (Calc)'!$R$3:$R$500),2),"")</f>
        <v>0.74</v>
      </c>
      <c r="S13" s="138">
        <f>IFERROR(ROUND(CORREL('Returns (Calc)'!$I$3:$I$500,'Returns (Calc)'!$S$3:$S$500),2),"")</f>
        <v>0.75</v>
      </c>
      <c r="T13" s="138">
        <f>IFERROR(ROUND(CORREL('Returns (Calc)'!$I$3:$I$500,'Returns (Calc)'!$T$3:$T$500),2),"")</f>
        <v>0.3</v>
      </c>
      <c r="U13" s="138">
        <f>IFERROR(ROUND(CORREL('Returns (Calc)'!$I$3:$I$500,'Returns (Calc)'!$U$3:$U$500),2),"")</f>
        <v>0.18</v>
      </c>
      <c r="V13" s="138">
        <f>IFERROR(ROUND(CORREL('Returns (Calc)'!$I$3:$I$500,'Returns (Calc)'!$V$3:$V$500),2),"")</f>
        <v>0.2</v>
      </c>
      <c r="W13" s="138">
        <f>IFERROR(ROUND(CORREL('Returns (Calc)'!$I$3:$I$500,'Returns (Calc)'!$AP$3:$AP$500),2),"")</f>
        <v>0.38</v>
      </c>
      <c r="X13" s="138">
        <f>IFERROR(ROUND(CORREL('Returns (Calc)'!$I$3:$I$500,'Returns (Calc)'!$AQ$3:$AQ$500),2),"")</f>
        <v>-0.31</v>
      </c>
      <c r="Y13" s="138">
        <f>IFERROR(ROUND(CORREL('Returns (Calc)'!$I$3:$I$500,'Returns (Calc)'!$AR$3:$AR$500),2),"")</f>
        <v>0.44</v>
      </c>
      <c r="Z13" s="138">
        <f>IFERROR(ROUND(CORREL('Returns (Calc)'!$I$3:$I$500,'Returns (Calc)'!$AS$3:$AS$500),2),"")</f>
        <v>0.38</v>
      </c>
      <c r="AA13" s="138">
        <f>IFERROR(ROUND(CORREL('Returns (Calc)'!$I$3:$I$500,'Returns (Calc)'!$AT$3:$AT$500),2),"")</f>
        <v>0.27</v>
      </c>
      <c r="AG13" s="139">
        <f t="shared" si="0"/>
        <v>2</v>
      </c>
    </row>
    <row r="14" spans="1:33" ht="15" customHeight="1" x14ac:dyDescent="0.2">
      <c r="A14" s="137" t="str">
        <f>'Returns (Calc)'!J2</f>
        <v>PLD</v>
      </c>
      <c r="B14" s="138">
        <f>IFERROR(ROUND(CORREL('Returns (Calc)'!$J$3:$J$500,'Returns (Calc)'!$B$3:$B$500),2),"")</f>
        <v>0.17</v>
      </c>
      <c r="C14" s="138">
        <f>IFERROR(ROUND(CORREL('Returns (Calc)'!$J$3:$J$500,'Returns (Calc)'!$C$3:$C$500),2),"")</f>
        <v>0.18</v>
      </c>
      <c r="D14" s="138">
        <f>IFERROR(ROUND(CORREL('Returns (Calc)'!$J$3:$J$500,'Returns (Calc)'!$D$3:$D$500),2),"")</f>
        <v>0.27</v>
      </c>
      <c r="E14" s="138">
        <f>IFERROR(ROUND(CORREL('Returns (Calc)'!$J$3:$J$500,'Returns (Calc)'!$E$3:$E$500),2),"")</f>
        <v>0.22</v>
      </c>
      <c r="F14" s="138">
        <f>IFERROR(ROUND(CORREL('Returns (Calc)'!$J$3:$J$500,'Returns (Calc)'!$F$3:$F$500),2),"")</f>
        <v>0.1</v>
      </c>
      <c r="G14" s="138">
        <f>IFERROR(ROUND(CORREL('Returns (Calc)'!$J$3:$J$500,'Returns (Calc)'!$G$3:$G$500),2),"")</f>
        <v>0.27</v>
      </c>
      <c r="H14" s="138">
        <f>IFERROR(ROUND(CORREL('Returns (Calc)'!$J$3:$J$500,'Returns (Calc)'!$H$3:$H$500),2),"")</f>
        <v>0.2</v>
      </c>
      <c r="I14" s="138">
        <f>IFERROR(ROUND(CORREL('Returns (Calc)'!$J$3:$J$500,'Returns (Calc)'!$I$3:$I$500),2),"")</f>
        <v>0.16</v>
      </c>
      <c r="J14" s="138">
        <v>1</v>
      </c>
      <c r="K14" s="138">
        <f>IFERROR(ROUND(CORREL('Returns (Calc)'!$J$3:$J$500,'Returns (Calc)'!$K$3:$K$500),2),"")</f>
        <v>0.13</v>
      </c>
      <c r="L14" s="138">
        <f>IFERROR(ROUND(CORREL('Returns (Calc)'!$J$3:$J$500,'Returns (Calc)'!$L$3:$L$500),2),"")</f>
        <v>0.2</v>
      </c>
      <c r="M14" s="138">
        <f>IFERROR(ROUND(CORREL('Returns (Calc)'!$J$3:$J$500,'Returns (Calc)'!$M$3:$M$500),2),"")</f>
        <v>0.15</v>
      </c>
      <c r="N14" s="138">
        <f>IFERROR(ROUND(CORREL('Returns (Calc)'!$J$3:$J$500,'Returns (Calc)'!$N$3:$N$500),2),"")</f>
        <v>0.25</v>
      </c>
      <c r="O14" s="138">
        <f>IFERROR(ROUND(CORREL('Returns (Calc)'!$J$3:$J$500,'Returns (Calc)'!$O$3:$O$500),2),"")</f>
        <v>0.62</v>
      </c>
      <c r="P14" s="138">
        <f>IFERROR(ROUND(CORREL('Returns (Calc)'!$J$3:$J$500,'Returns (Calc)'!$P$3:$P$500),2),"")</f>
        <v>0.65</v>
      </c>
      <c r="Q14" s="138">
        <f>IFERROR(ROUND(CORREL('Returns (Calc)'!$J$3:$J$500,'Returns (Calc)'!$Q$3:$Q$500),2),"")</f>
        <v>0.48</v>
      </c>
      <c r="R14" s="138">
        <f>IFERROR(ROUND(CORREL('Returns (Calc)'!$J$3:$J$500,'Returns (Calc)'!$R$3:$R$500),2),"")</f>
        <v>0.36</v>
      </c>
      <c r="S14" s="138">
        <f>IFERROR(ROUND(CORREL('Returns (Calc)'!$J$3:$J$500,'Returns (Calc)'!$S$3:$S$500),2),"")</f>
        <v>0.34</v>
      </c>
      <c r="T14" s="138">
        <f>IFERROR(ROUND(CORREL('Returns (Calc)'!$J$3:$J$500,'Returns (Calc)'!$T$3:$T$500),2),"")</f>
        <v>0.52</v>
      </c>
      <c r="U14" s="138">
        <f>IFERROR(ROUND(CORREL('Returns (Calc)'!$J$3:$J$500,'Returns (Calc)'!$U$3:$U$500),2),"")</f>
        <v>0.66</v>
      </c>
      <c r="V14" s="138">
        <f>IFERROR(ROUND(CORREL('Returns (Calc)'!$J$3:$J$500,'Returns (Calc)'!$V$3:$V$500),2),"")</f>
        <v>0.37</v>
      </c>
      <c r="W14" s="138">
        <f>IFERROR(ROUND(CORREL('Returns (Calc)'!$J$3:$J$500,'Returns (Calc)'!$AP$3:$AP$500),2),"")</f>
        <v>0.65</v>
      </c>
      <c r="X14" s="138">
        <f>IFERROR(ROUND(CORREL('Returns (Calc)'!$J$3:$J$500,'Returns (Calc)'!$AQ$3:$AQ$500),2),"")</f>
        <v>0.09</v>
      </c>
      <c r="Y14" s="138">
        <f>IFERROR(ROUND(CORREL('Returns (Calc)'!$J$3:$J$500,'Returns (Calc)'!$AR$3:$AR$500),2),"")</f>
        <v>0.61</v>
      </c>
      <c r="Z14" s="138">
        <f>IFERROR(ROUND(CORREL('Returns (Calc)'!$J$3:$J$500,'Returns (Calc)'!$AS$3:$AS$500),2),"")</f>
        <v>0.3</v>
      </c>
      <c r="AA14" s="138">
        <f>IFERROR(ROUND(CORREL('Returns (Calc)'!$J$3:$J$500,'Returns (Calc)'!$AT$3:$AT$500),2),"")</f>
        <v>0.13</v>
      </c>
      <c r="AG14" s="139">
        <f t="shared" si="0"/>
        <v>0</v>
      </c>
    </row>
    <row r="15" spans="1:33" ht="15" customHeight="1" x14ac:dyDescent="0.2">
      <c r="A15" s="137" t="str">
        <f>'Returns (Calc)'!K2</f>
        <v>PLTR</v>
      </c>
      <c r="B15" s="138">
        <f>IFERROR(ROUND(CORREL('Returns (Calc)'!$K$3:$K$500,'Returns (Calc)'!$B$3:$B$500),2),"")</f>
        <v>0.37</v>
      </c>
      <c r="C15" s="138">
        <f>IFERROR(ROUND(CORREL('Returns (Calc)'!$K$3:$K$500,'Returns (Calc)'!$C$3:$C$500),2),"")</f>
        <v>0.34</v>
      </c>
      <c r="D15" s="138">
        <f>IFERROR(ROUND(CORREL('Returns (Calc)'!$K$3:$K$500,'Returns (Calc)'!$D$3:$D$500),2),"")</f>
        <v>0.21</v>
      </c>
      <c r="E15" s="138">
        <f>IFERROR(ROUND(CORREL('Returns (Calc)'!$K$3:$K$500,'Returns (Calc)'!$E$3:$E$500),2),"")</f>
        <v>0.38</v>
      </c>
      <c r="F15" s="138">
        <f>IFERROR(ROUND(CORREL('Returns (Calc)'!$K$3:$K$500,'Returns (Calc)'!$F$3:$F$500),2),"")</f>
        <v>0.5</v>
      </c>
      <c r="G15" s="138">
        <f>IFERROR(ROUND(CORREL('Returns (Calc)'!$K$3:$K$500,'Returns (Calc)'!$G$3:$G$500),2),"")</f>
        <v>0.25</v>
      </c>
      <c r="H15" s="138">
        <f>IFERROR(ROUND(CORREL('Returns (Calc)'!$K$3:$K$500,'Returns (Calc)'!$H$3:$H$500),2),"")</f>
        <v>0.17</v>
      </c>
      <c r="I15" s="138">
        <f>IFERROR(ROUND(CORREL('Returns (Calc)'!$K$3:$K$500,'Returns (Calc)'!$I$3:$I$500),2),"")</f>
        <v>0.46</v>
      </c>
      <c r="J15" s="138">
        <f>IFERROR(ROUND(CORREL('Returns (Calc)'!$K$3:$K$500,'Returns (Calc)'!$J$3:$J$500),2),"")</f>
        <v>0.13</v>
      </c>
      <c r="K15" s="138">
        <v>1</v>
      </c>
      <c r="L15" s="138">
        <f>IFERROR(ROUND(CORREL('Returns (Calc)'!$K$3:$K$500,'Returns (Calc)'!$L$3:$L$500),2),"")</f>
        <v>0.38</v>
      </c>
      <c r="M15" s="138">
        <f>IFERROR(ROUND(CORREL('Returns (Calc)'!$K$3:$K$500,'Returns (Calc)'!$M$3:$M$500),2),"")</f>
        <v>0.32</v>
      </c>
      <c r="N15" s="138">
        <f>IFERROR(ROUND(CORREL('Returns (Calc)'!$K$3:$K$500,'Returns (Calc)'!$N$3:$N$500),2),"")</f>
        <v>7.0000000000000007E-2</v>
      </c>
      <c r="O15" s="138">
        <f>IFERROR(ROUND(CORREL('Returns (Calc)'!$K$3:$K$500,'Returns (Calc)'!$O$3:$O$500),2),"")</f>
        <v>0.23</v>
      </c>
      <c r="P15" s="138">
        <f>IFERROR(ROUND(CORREL('Returns (Calc)'!$K$3:$K$500,'Returns (Calc)'!$P$3:$P$500),2),"")</f>
        <v>0.1</v>
      </c>
      <c r="Q15" s="138">
        <f>IFERROR(ROUND(CORREL('Returns (Calc)'!$K$3:$K$500,'Returns (Calc)'!$Q$3:$Q$500),2),"")</f>
        <v>0.48</v>
      </c>
      <c r="R15" s="138">
        <f>IFERROR(ROUND(CORREL('Returns (Calc)'!$K$3:$K$500,'Returns (Calc)'!$R$3:$R$500),2),"")</f>
        <v>0.52</v>
      </c>
      <c r="S15" s="138">
        <f>IFERROR(ROUND(CORREL('Returns (Calc)'!$K$3:$K$500,'Returns (Calc)'!$S$3:$S$500),2),"")</f>
        <v>0.44</v>
      </c>
      <c r="T15" s="138">
        <f>IFERROR(ROUND(CORREL('Returns (Calc)'!$K$3:$K$500,'Returns (Calc)'!$T$3:$T$500),2),"")</f>
        <v>0.34</v>
      </c>
      <c r="U15" s="138">
        <f>IFERROR(ROUND(CORREL('Returns (Calc)'!$K$3:$K$500,'Returns (Calc)'!$U$3:$U$500),2),"")</f>
        <v>0.14000000000000001</v>
      </c>
      <c r="V15" s="138">
        <f>IFERROR(ROUND(CORREL('Returns (Calc)'!$K$3:$K$500,'Returns (Calc)'!$V$3:$V$500),2),"")</f>
        <v>0.24</v>
      </c>
      <c r="W15" s="138">
        <f>IFERROR(ROUND(CORREL('Returns (Calc)'!$K$3:$K$500,'Returns (Calc)'!$AP$3:$AP$500),2),"")</f>
        <v>0.26</v>
      </c>
      <c r="X15" s="138">
        <f>IFERROR(ROUND(CORREL('Returns (Calc)'!$K$3:$K$500,'Returns (Calc)'!$AQ$3:$AQ$500),2),"")</f>
        <v>-0.48</v>
      </c>
      <c r="Y15" s="138">
        <f>IFERROR(ROUND(CORREL('Returns (Calc)'!$K$3:$K$500,'Returns (Calc)'!$AR$3:$AR$500),2),"")</f>
        <v>0.31</v>
      </c>
      <c r="Z15" s="138">
        <f>IFERROR(ROUND(CORREL('Returns (Calc)'!$K$3:$K$500,'Returns (Calc)'!$AS$3:$AS$500),2),"")</f>
        <v>0.26</v>
      </c>
      <c r="AA15" s="138">
        <f>IFERROR(ROUND(CORREL('Returns (Calc)'!$K$3:$K$500,'Returns (Calc)'!$AT$3:$AT$500),2),"")</f>
        <v>0.3</v>
      </c>
      <c r="AG15" s="139">
        <f t="shared" si="0"/>
        <v>0</v>
      </c>
    </row>
    <row r="16" spans="1:33" ht="15" customHeight="1" x14ac:dyDescent="0.2">
      <c r="A16" s="137" t="str">
        <f>'Returns (Calc)'!L2</f>
        <v>TSM</v>
      </c>
      <c r="B16" s="138">
        <f>IFERROR(ROUND(CORREL('Returns (Calc)'!$L$3:$L$500,'Returns (Calc)'!$B$3:$B$500),2),"")</f>
        <v>0.15</v>
      </c>
      <c r="C16" s="138">
        <f>IFERROR(ROUND(CORREL('Returns (Calc)'!$L$3:$L$500,'Returns (Calc)'!$C$3:$C$500),2),"")</f>
        <v>0.55000000000000004</v>
      </c>
      <c r="D16" s="138">
        <f>IFERROR(ROUND(CORREL('Returns (Calc)'!$L$3:$L$500,'Returns (Calc)'!$D$3:$D$500),2),"")</f>
        <v>0.64</v>
      </c>
      <c r="E16" s="138">
        <f>IFERROR(ROUND(CORREL('Returns (Calc)'!$L$3:$L$500,'Returns (Calc)'!$E$3:$E$500),2),"")</f>
        <v>0.63</v>
      </c>
      <c r="F16" s="138">
        <f>IFERROR(ROUND(CORREL('Returns (Calc)'!$L$3:$L$500,'Returns (Calc)'!$F$3:$F$500),2),"")</f>
        <v>0.39</v>
      </c>
      <c r="G16" s="138">
        <f>IFERROR(ROUND(CORREL('Returns (Calc)'!$L$3:$L$500,'Returns (Calc)'!$G$3:$G$500),2),"")</f>
        <v>0.62</v>
      </c>
      <c r="H16" s="138">
        <f>IFERROR(ROUND(CORREL('Returns (Calc)'!$L$3:$L$500,'Returns (Calc)'!$H$3:$H$500),2),"")</f>
        <v>0.56000000000000005</v>
      </c>
      <c r="I16" s="138">
        <f>IFERROR(ROUND(CORREL('Returns (Calc)'!$L$3:$L$500,'Returns (Calc)'!$I$3:$I$500),2),"")</f>
        <v>0.64</v>
      </c>
      <c r="J16" s="138">
        <f>IFERROR(ROUND(CORREL('Returns (Calc)'!$L$3:$L$500,'Returns (Calc)'!$J$3:$J$500),2),"")</f>
        <v>0.2</v>
      </c>
      <c r="K16" s="138">
        <f>IFERROR(ROUND(CORREL('Returns (Calc)'!$L$3:$L$500,'Returns (Calc)'!$K$3:$K$500),2),"")</f>
        <v>0.38</v>
      </c>
      <c r="L16" s="138">
        <v>1</v>
      </c>
      <c r="M16" s="138">
        <f>IFERROR(ROUND(CORREL('Returns (Calc)'!$L$3:$L$500,'Returns (Calc)'!$M$3:$M$500),2),"")</f>
        <v>0.6</v>
      </c>
      <c r="N16" s="138">
        <f>IFERROR(ROUND(CORREL('Returns (Calc)'!$L$3:$L$500,'Returns (Calc)'!$N$3:$N$500),2),"")</f>
        <v>0.15</v>
      </c>
      <c r="O16" s="138">
        <f>IFERROR(ROUND(CORREL('Returns (Calc)'!$L$3:$L$500,'Returns (Calc)'!$O$3:$O$500),2),"")</f>
        <v>0.33</v>
      </c>
      <c r="P16" s="138">
        <f>IFERROR(ROUND(CORREL('Returns (Calc)'!$L$3:$L$500,'Returns (Calc)'!$P$3:$P$500),2),"")</f>
        <v>0.16</v>
      </c>
      <c r="Q16" s="138">
        <f>IFERROR(ROUND(CORREL('Returns (Calc)'!$L$3:$L$500,'Returns (Calc)'!$Q$3:$Q$500),2),"")</f>
        <v>0.63</v>
      </c>
      <c r="R16" s="138">
        <f>IFERROR(ROUND(CORREL('Returns (Calc)'!$L$3:$L$500,'Returns (Calc)'!$R$3:$R$500),2),"")</f>
        <v>0.69</v>
      </c>
      <c r="S16" s="138">
        <f>IFERROR(ROUND(CORREL('Returns (Calc)'!$L$3:$L$500,'Returns (Calc)'!$S$3:$S$500),2),"")</f>
        <v>0.7</v>
      </c>
      <c r="T16" s="138">
        <f>IFERROR(ROUND(CORREL('Returns (Calc)'!$L$3:$L$500,'Returns (Calc)'!$T$3:$T$500),2),"")</f>
        <v>0.28000000000000003</v>
      </c>
      <c r="U16" s="138">
        <f>IFERROR(ROUND(CORREL('Returns (Calc)'!$L$3:$L$500,'Returns (Calc)'!$U$3:$U$500),2),"")</f>
        <v>0.21</v>
      </c>
      <c r="V16" s="138">
        <f>IFERROR(ROUND(CORREL('Returns (Calc)'!$L$3:$L$500,'Returns (Calc)'!$V$3:$V$500),2),"")</f>
        <v>0.13</v>
      </c>
      <c r="W16" s="138">
        <f>IFERROR(ROUND(CORREL('Returns (Calc)'!$L$3:$L$500,'Returns (Calc)'!$AP$3:$AP$500),2),"")</f>
        <v>0.42</v>
      </c>
      <c r="X16" s="138">
        <f>IFERROR(ROUND(CORREL('Returns (Calc)'!$L$3:$L$500,'Returns (Calc)'!$AQ$3:$AQ$500),2),"")</f>
        <v>-0.25</v>
      </c>
      <c r="Y16" s="138">
        <f>IFERROR(ROUND(CORREL('Returns (Calc)'!$L$3:$L$500,'Returns (Calc)'!$AR$3:$AR$500),2),"")</f>
        <v>0.48</v>
      </c>
      <c r="Z16" s="138">
        <f>IFERROR(ROUND(CORREL('Returns (Calc)'!$L$3:$L$500,'Returns (Calc)'!$AS$3:$AS$500),2),"")</f>
        <v>0.44</v>
      </c>
      <c r="AA16" s="138">
        <f>IFERROR(ROUND(CORREL('Returns (Calc)'!$L$3:$L$500,'Returns (Calc)'!$AT$3:$AT$500),2),"")</f>
        <v>0.3</v>
      </c>
      <c r="AG16" s="139">
        <f t="shared" si="0"/>
        <v>0</v>
      </c>
    </row>
    <row r="17" spans="1:33" ht="15" customHeight="1" x14ac:dyDescent="0.2">
      <c r="A17" s="137" t="str">
        <f>'Returns (Calc)'!M2</f>
        <v>VRT</v>
      </c>
      <c r="B17" s="138">
        <f>IFERROR(ROUND(CORREL('Returns (Calc)'!$M$3:$M$500,'Returns (Calc)'!$B$3:$B$500),2),"")</f>
        <v>0.06</v>
      </c>
      <c r="C17" s="138">
        <f>IFERROR(ROUND(CORREL('Returns (Calc)'!$M$3:$M$500,'Returns (Calc)'!$C$3:$C$500),2),"")</f>
        <v>0.57999999999999996</v>
      </c>
      <c r="D17" s="138">
        <f>IFERROR(ROUND(CORREL('Returns (Calc)'!$M$3:$M$500,'Returns (Calc)'!$D$3:$D$500),2),"")</f>
        <v>0.43</v>
      </c>
      <c r="E17" s="138">
        <f>IFERROR(ROUND(CORREL('Returns (Calc)'!$M$3:$M$500,'Returns (Calc)'!$E$3:$E$500),2),"")</f>
        <v>0.52</v>
      </c>
      <c r="F17" s="138">
        <f>IFERROR(ROUND(CORREL('Returns (Calc)'!$M$3:$M$500,'Returns (Calc)'!$F$3:$F$500),2),"")</f>
        <v>0.4</v>
      </c>
      <c r="G17" s="138">
        <f>IFERROR(ROUND(CORREL('Returns (Calc)'!$M$3:$M$500,'Returns (Calc)'!$G$3:$G$500),2),"")</f>
        <v>0.5</v>
      </c>
      <c r="H17" s="138">
        <f>IFERROR(ROUND(CORREL('Returns (Calc)'!$M$3:$M$500,'Returns (Calc)'!$H$3:$H$500),2),"")</f>
        <v>0.5</v>
      </c>
      <c r="I17" s="138">
        <f>IFERROR(ROUND(CORREL('Returns (Calc)'!$M$3:$M$500,'Returns (Calc)'!$I$3:$I$500),2),"")</f>
        <v>0.65</v>
      </c>
      <c r="J17" s="138">
        <f>IFERROR(ROUND(CORREL('Returns (Calc)'!$M$3:$M$500,'Returns (Calc)'!$J$3:$J$500),2),"")</f>
        <v>0.15</v>
      </c>
      <c r="K17" s="138">
        <f>IFERROR(ROUND(CORREL('Returns (Calc)'!$M$3:$M$500,'Returns (Calc)'!$K$3:$K$500),2),"")</f>
        <v>0.32</v>
      </c>
      <c r="L17" s="138">
        <f>IFERROR(ROUND(CORREL('Returns (Calc)'!$M$3:$M$500,'Returns (Calc)'!$L$3:$L$500),2),"")</f>
        <v>0.6</v>
      </c>
      <c r="M17" s="138">
        <v>1</v>
      </c>
      <c r="N17" s="138">
        <f>IFERROR(ROUND(CORREL('Returns (Calc)'!$M$3:$M$500,'Returns (Calc)'!$N$3:$N$500),2),"")</f>
        <v>0.12</v>
      </c>
      <c r="O17" s="138">
        <f>IFERROR(ROUND(CORREL('Returns (Calc)'!$M$3:$M$500,'Returns (Calc)'!$O$3:$O$500),2),"")</f>
        <v>0.35</v>
      </c>
      <c r="P17" s="138">
        <f>IFERROR(ROUND(CORREL('Returns (Calc)'!$M$3:$M$500,'Returns (Calc)'!$P$3:$P$500),2),"")</f>
        <v>0.21</v>
      </c>
      <c r="Q17" s="138">
        <f>IFERROR(ROUND(CORREL('Returns (Calc)'!$M$3:$M$500,'Returns (Calc)'!$Q$3:$Q$500),2),"")</f>
        <v>0.56999999999999995</v>
      </c>
      <c r="R17" s="138">
        <f>IFERROR(ROUND(CORREL('Returns (Calc)'!$M$3:$M$500,'Returns (Calc)'!$R$3:$R$500),2),"")</f>
        <v>0.63</v>
      </c>
      <c r="S17" s="138">
        <f>IFERROR(ROUND(CORREL('Returns (Calc)'!$M$3:$M$500,'Returns (Calc)'!$S$3:$S$500),2),"")</f>
        <v>0.66</v>
      </c>
      <c r="T17" s="138">
        <f>IFERROR(ROUND(CORREL('Returns (Calc)'!$M$3:$M$500,'Returns (Calc)'!$T$3:$T$500),2),"")</f>
        <v>0.3</v>
      </c>
      <c r="U17" s="138">
        <f>IFERROR(ROUND(CORREL('Returns (Calc)'!$M$3:$M$500,'Returns (Calc)'!$U$3:$U$500),2),"")</f>
        <v>0.21</v>
      </c>
      <c r="V17" s="138">
        <f>IFERROR(ROUND(CORREL('Returns (Calc)'!$M$3:$M$500,'Returns (Calc)'!$V$3:$V$500),2),"")</f>
        <v>0.14000000000000001</v>
      </c>
      <c r="W17" s="138">
        <f>IFERROR(ROUND(CORREL('Returns (Calc)'!$M$3:$M$500,'Returns (Calc)'!$AP$3:$AP$500),2),"")</f>
        <v>0.42</v>
      </c>
      <c r="X17" s="138">
        <f>IFERROR(ROUND(CORREL('Returns (Calc)'!$M$3:$M$500,'Returns (Calc)'!$AQ$3:$AQ$500),2),"")</f>
        <v>0.2</v>
      </c>
      <c r="Y17" s="138">
        <f>IFERROR(ROUND(CORREL('Returns (Calc)'!$M$3:$M$500,'Returns (Calc)'!$AR$3:$AR$500),2),"")</f>
        <v>0.44</v>
      </c>
      <c r="Z17" s="138">
        <f>IFERROR(ROUND(CORREL('Returns (Calc)'!$M$3:$M$500,'Returns (Calc)'!$AS$3:$AS$500),2),"")</f>
        <v>0.44</v>
      </c>
      <c r="AA17" s="138">
        <f>IFERROR(ROUND(CORREL('Returns (Calc)'!$M$3:$M$500,'Returns (Calc)'!$AT$3:$AT$500),2),"")</f>
        <v>0.32</v>
      </c>
      <c r="AG17" s="139">
        <f t="shared" si="0"/>
        <v>0</v>
      </c>
    </row>
    <row r="18" spans="1:33" ht="15" customHeight="1" x14ac:dyDescent="0.2">
      <c r="A18" s="137" t="str">
        <f>'Returns (Calc)'!N2</f>
        <v>VRTX</v>
      </c>
      <c r="B18" s="138">
        <f>IFERROR(ROUND(CORREL('Returns (Calc)'!$N$3:$N$500,'Returns (Calc)'!$B$3:$B$500),2),"")</f>
        <v>0.14000000000000001</v>
      </c>
      <c r="C18" s="138">
        <f>IFERROR(ROUND(CORREL('Returns (Calc)'!$N$3:$N$500,'Returns (Calc)'!$C$3:$C$500),2),"")</f>
        <v>0.05</v>
      </c>
      <c r="D18" s="138">
        <f>IFERROR(ROUND(CORREL('Returns (Calc)'!$N$3:$N$500,'Returns (Calc)'!$D$3:$D$500),2),"")</f>
        <v>0.11</v>
      </c>
      <c r="E18" s="138">
        <f>IFERROR(ROUND(CORREL('Returns (Calc)'!$N$3:$N$500,'Returns (Calc)'!$E$3:$E$500),2),"")</f>
        <v>0.14000000000000001</v>
      </c>
      <c r="F18" s="138">
        <f>IFERROR(ROUND(CORREL('Returns (Calc)'!$N$3:$N$500,'Returns (Calc)'!$F$3:$F$500),2),"")</f>
        <v>0.17</v>
      </c>
      <c r="G18" s="138">
        <f>IFERROR(ROUND(CORREL('Returns (Calc)'!$N$3:$N$500,'Returns (Calc)'!$G$3:$G$500),2),"")</f>
        <v>0.16</v>
      </c>
      <c r="H18" s="138">
        <f>IFERROR(ROUND(CORREL('Returns (Calc)'!$N$3:$N$500,'Returns (Calc)'!$H$3:$H$500),2),"")</f>
        <v>0.18</v>
      </c>
      <c r="I18" s="138">
        <f>IFERROR(ROUND(CORREL('Returns (Calc)'!$N$3:$N$500,'Returns (Calc)'!$I$3:$I$500),2),"")</f>
        <v>0.14000000000000001</v>
      </c>
      <c r="J18" s="138">
        <f>IFERROR(ROUND(CORREL('Returns (Calc)'!$N$3:$N$500,'Returns (Calc)'!$J$3:$J$500),2),"")</f>
        <v>0.25</v>
      </c>
      <c r="K18" s="138">
        <f>IFERROR(ROUND(CORREL('Returns (Calc)'!$N$3:$N$500,'Returns (Calc)'!$K$3:$K$500),2),"")</f>
        <v>7.0000000000000007E-2</v>
      </c>
      <c r="L18" s="138">
        <f>IFERROR(ROUND(CORREL('Returns (Calc)'!$N$3:$N$500,'Returns (Calc)'!$L$3:$L$500),2),"")</f>
        <v>0.15</v>
      </c>
      <c r="M18" s="138">
        <f>IFERROR(ROUND(CORREL('Returns (Calc)'!$N$3:$N$500,'Returns (Calc)'!$M$3:$M$500),2),"")</f>
        <v>0.12</v>
      </c>
      <c r="N18" s="138">
        <v>1</v>
      </c>
      <c r="O18" s="138">
        <f>IFERROR(ROUND(CORREL('Returns (Calc)'!$N$3:$N$500,'Returns (Calc)'!$O$3:$O$500),2),"")</f>
        <v>0.23</v>
      </c>
      <c r="P18" s="138">
        <f>IFERROR(ROUND(CORREL('Returns (Calc)'!$N$3:$N$500,'Returns (Calc)'!$P$3:$P$500),2),"")</f>
        <v>0.23</v>
      </c>
      <c r="Q18" s="138">
        <f>IFERROR(ROUND(CORREL('Returns (Calc)'!$N$3:$N$500,'Returns (Calc)'!$Q$3:$Q$500),2),"")</f>
        <v>0.27</v>
      </c>
      <c r="R18" s="138">
        <f>IFERROR(ROUND(CORREL('Returns (Calc)'!$N$3:$N$500,'Returns (Calc)'!$R$3:$R$500),2),"")</f>
        <v>0.2</v>
      </c>
      <c r="S18" s="138">
        <f>IFERROR(ROUND(CORREL('Returns (Calc)'!$N$3:$N$500,'Returns (Calc)'!$S$3:$S$500),2),"")</f>
        <v>0.17</v>
      </c>
      <c r="T18" s="138">
        <f>IFERROR(ROUND(CORREL('Returns (Calc)'!$N$3:$N$500,'Returns (Calc)'!$T$3:$T$500),2),"")</f>
        <v>0.32</v>
      </c>
      <c r="U18" s="138">
        <f>IFERROR(ROUND(CORREL('Returns (Calc)'!$N$3:$N$500,'Returns (Calc)'!$U$3:$U$500),2),"")</f>
        <v>0.35</v>
      </c>
      <c r="V18" s="138">
        <f>IFERROR(ROUND(CORREL('Returns (Calc)'!$N$3:$N$500,'Returns (Calc)'!$V$3:$V$500),2),"")</f>
        <v>0.26</v>
      </c>
      <c r="W18" s="138">
        <f>IFERROR(ROUND(CORREL('Returns (Calc)'!$N$3:$N$500,'Returns (Calc)'!$AP$3:$AP$500),2),"")</f>
        <v>0.28000000000000003</v>
      </c>
      <c r="X18" s="138">
        <f>IFERROR(ROUND(CORREL('Returns (Calc)'!$N$3:$N$500,'Returns (Calc)'!$AQ$3:$AQ$500),2),"")</f>
        <v>-0.16</v>
      </c>
      <c r="Y18" s="138">
        <f>IFERROR(ROUND(CORREL('Returns (Calc)'!$N$3:$N$500,'Returns (Calc)'!$AR$3:$AR$500),2),"")</f>
        <v>0.34</v>
      </c>
      <c r="Z18" s="138">
        <f>IFERROR(ROUND(CORREL('Returns (Calc)'!$N$3:$N$500,'Returns (Calc)'!$AS$3:$AS$500),2),"")</f>
        <v>0.08</v>
      </c>
      <c r="AA18" s="138">
        <f>IFERROR(ROUND(CORREL('Returns (Calc)'!$N$3:$N$500,'Returns (Calc)'!$AT$3:$AT$500),2),"")</f>
        <v>0.08</v>
      </c>
      <c r="AG18" s="139">
        <f t="shared" si="0"/>
        <v>0</v>
      </c>
    </row>
    <row r="19" spans="1:33" ht="15" customHeight="1" x14ac:dyDescent="0.2">
      <c r="A19" s="137" t="str">
        <f>'Returns (Calc)'!O2</f>
        <v>AVUV</v>
      </c>
      <c r="B19" s="138">
        <f>IFERROR(ROUND(CORREL('Returns (Calc)'!$O$3:$O$500,'Returns (Calc)'!$B$3:$B$500),2),"")</f>
        <v>0.16</v>
      </c>
      <c r="C19" s="138">
        <f>IFERROR(ROUND(CORREL('Returns (Calc)'!$O$3:$O$500,'Returns (Calc)'!$C$3:$C$500),2),"")</f>
        <v>0.35</v>
      </c>
      <c r="D19" s="138">
        <f>IFERROR(ROUND(CORREL('Returns (Calc)'!$O$3:$O$500,'Returns (Calc)'!$D$3:$D$500),2),"")</f>
        <v>0.38</v>
      </c>
      <c r="E19" s="138">
        <f>IFERROR(ROUND(CORREL('Returns (Calc)'!$O$3:$O$500,'Returns (Calc)'!$E$3:$E$500),2),"")</f>
        <v>0.28999999999999998</v>
      </c>
      <c r="F19" s="138">
        <f>IFERROR(ROUND(CORREL('Returns (Calc)'!$O$3:$O$500,'Returns (Calc)'!$F$3:$F$500),2),"")</f>
        <v>0.19</v>
      </c>
      <c r="G19" s="138">
        <f>IFERROR(ROUND(CORREL('Returns (Calc)'!$O$3:$O$500,'Returns (Calc)'!$G$3:$G$500),2),"")</f>
        <v>0.43</v>
      </c>
      <c r="H19" s="138">
        <f>IFERROR(ROUND(CORREL('Returns (Calc)'!$O$3:$O$500,'Returns (Calc)'!$H$3:$H$500),2),"")</f>
        <v>0.35</v>
      </c>
      <c r="I19" s="138">
        <f>IFERROR(ROUND(CORREL('Returns (Calc)'!$O$3:$O$500,'Returns (Calc)'!$I$3:$I$500),2),"")</f>
        <v>0.28000000000000003</v>
      </c>
      <c r="J19" s="138">
        <f>IFERROR(ROUND(CORREL('Returns (Calc)'!$O$3:$O$500,'Returns (Calc)'!$J$3:$J$500),2),"")</f>
        <v>0.62</v>
      </c>
      <c r="K19" s="138">
        <f>IFERROR(ROUND(CORREL('Returns (Calc)'!$O$3:$O$500,'Returns (Calc)'!$K$3:$K$500),2),"")</f>
        <v>0.23</v>
      </c>
      <c r="L19" s="138">
        <f>IFERROR(ROUND(CORREL('Returns (Calc)'!$O$3:$O$500,'Returns (Calc)'!$L$3:$L$500),2),"")</f>
        <v>0.33</v>
      </c>
      <c r="M19" s="138">
        <f>IFERROR(ROUND(CORREL('Returns (Calc)'!$O$3:$O$500,'Returns (Calc)'!$M$3:$M$500),2),"")</f>
        <v>0.35</v>
      </c>
      <c r="N19" s="138">
        <f>IFERROR(ROUND(CORREL('Returns (Calc)'!$O$3:$O$500,'Returns (Calc)'!$N$3:$N$500),2),"")</f>
        <v>0.23</v>
      </c>
      <c r="O19" s="138">
        <v>1</v>
      </c>
      <c r="P19" s="138">
        <f>IFERROR(ROUND(CORREL('Returns (Calc)'!$O$3:$O$500,'Returns (Calc)'!$P$3:$P$500),2),"")</f>
        <v>0.86</v>
      </c>
      <c r="Q19" s="138">
        <f>IFERROR(ROUND(CORREL('Returns (Calc)'!$O$3:$O$500,'Returns (Calc)'!$Q$3:$Q$500),2),"")</f>
        <v>0.64</v>
      </c>
      <c r="R19" s="138">
        <f>IFERROR(ROUND(CORREL('Returns (Calc)'!$O$3:$O$500,'Returns (Calc)'!$R$3:$R$500),2),"")</f>
        <v>0.52</v>
      </c>
      <c r="S19" s="138">
        <f>IFERROR(ROUND(CORREL('Returns (Calc)'!$O$3:$O$500,'Returns (Calc)'!$S$3:$S$500),2),"")</f>
        <v>0.5</v>
      </c>
      <c r="T19" s="138">
        <f>IFERROR(ROUND(CORREL('Returns (Calc)'!$O$3:$O$500,'Returns (Calc)'!$T$3:$T$500),2),"")</f>
        <v>0.78</v>
      </c>
      <c r="U19" s="138">
        <f>IFERROR(ROUND(CORREL('Returns (Calc)'!$O$3:$O$500,'Returns (Calc)'!$U$3:$U$500),2),"")</f>
        <v>0.83</v>
      </c>
      <c r="V19" s="138">
        <f>IFERROR(ROUND(CORREL('Returns (Calc)'!$O$3:$O$500,'Returns (Calc)'!$V$3:$V$500),2),"")</f>
        <v>0.36</v>
      </c>
      <c r="W19" s="138">
        <f>IFERROR(ROUND(CORREL('Returns (Calc)'!$O$3:$O$500,'Returns (Calc)'!$AP$3:$AP$500),2),"")</f>
        <v>0.87</v>
      </c>
      <c r="X19" s="138">
        <f>IFERROR(ROUND(CORREL('Returns (Calc)'!$O$3:$O$500,'Returns (Calc)'!$AQ$3:$AQ$500),2),"")</f>
        <v>0.11</v>
      </c>
      <c r="Y19" s="138">
        <f>IFERROR(ROUND(CORREL('Returns (Calc)'!$O$3:$O$500,'Returns (Calc)'!$AR$3:$AR$500),2),"")</f>
        <v>0.73</v>
      </c>
      <c r="Z19" s="138">
        <f>IFERROR(ROUND(CORREL('Returns (Calc)'!$O$3:$O$500,'Returns (Calc)'!$AS$3:$AS$500),2),"")</f>
        <v>0.46</v>
      </c>
      <c r="AA19" s="138">
        <f>IFERROR(ROUND(CORREL('Returns (Calc)'!$O$3:$O$500,'Returns (Calc)'!$AT$3:$AT$500),2),"")</f>
        <v>0.21</v>
      </c>
      <c r="AG19" s="139">
        <f t="shared" si="0"/>
        <v>5</v>
      </c>
    </row>
    <row r="20" spans="1:33" ht="15" customHeight="1" x14ac:dyDescent="0.2">
      <c r="A20" s="137" t="str">
        <f>'Returns (Calc)'!P2</f>
        <v>DVY</v>
      </c>
      <c r="B20" s="138">
        <f>IFERROR(ROUND(CORREL('Returns (Calc)'!$P$3:$P$500,'Returns (Calc)'!$B$3:$B$500),2),"")</f>
        <v>0.14000000000000001</v>
      </c>
      <c r="C20" s="138">
        <f>IFERROR(ROUND(CORREL('Returns (Calc)'!$P$3:$P$500,'Returns (Calc)'!$C$3:$C$500),2),"")</f>
        <v>0.24</v>
      </c>
      <c r="D20" s="138">
        <f>IFERROR(ROUND(CORREL('Returns (Calc)'!$P$3:$P$500,'Returns (Calc)'!$D$3:$D$500),2),"")</f>
        <v>0.23</v>
      </c>
      <c r="E20" s="138">
        <f>IFERROR(ROUND(CORREL('Returns (Calc)'!$P$3:$P$500,'Returns (Calc)'!$E$3:$E$500),2),"")</f>
        <v>0.11</v>
      </c>
      <c r="F20" s="138">
        <f>IFERROR(ROUND(CORREL('Returns (Calc)'!$P$3:$P$500,'Returns (Calc)'!$F$3:$F$500),2),"")</f>
        <v>0.1</v>
      </c>
      <c r="G20" s="138">
        <f>IFERROR(ROUND(CORREL('Returns (Calc)'!$P$3:$P$500,'Returns (Calc)'!$G$3:$G$500),2),"")</f>
        <v>0.25</v>
      </c>
      <c r="H20" s="138">
        <f>IFERROR(ROUND(CORREL('Returns (Calc)'!$P$3:$P$500,'Returns (Calc)'!$H$3:$H$500),2),"")</f>
        <v>0.23</v>
      </c>
      <c r="I20" s="138">
        <f>IFERROR(ROUND(CORREL('Returns (Calc)'!$P$3:$P$500,'Returns (Calc)'!$I$3:$I$500),2),"")</f>
        <v>0.14000000000000001</v>
      </c>
      <c r="J20" s="138">
        <f>IFERROR(ROUND(CORREL('Returns (Calc)'!$P$3:$P$500,'Returns (Calc)'!$J$3:$J$500),2),"")</f>
        <v>0.65</v>
      </c>
      <c r="K20" s="138">
        <f>IFERROR(ROUND(CORREL('Returns (Calc)'!$P$3:$P$500,'Returns (Calc)'!$K$3:$K$500),2),"")</f>
        <v>0.1</v>
      </c>
      <c r="L20" s="138">
        <f>IFERROR(ROUND(CORREL('Returns (Calc)'!$P$3:$P$500,'Returns (Calc)'!$L$3:$L$500),2),"")</f>
        <v>0.16</v>
      </c>
      <c r="M20" s="138">
        <f>IFERROR(ROUND(CORREL('Returns (Calc)'!$P$3:$P$500,'Returns (Calc)'!$M$3:$M$500),2),"")</f>
        <v>0.21</v>
      </c>
      <c r="N20" s="138">
        <f>IFERROR(ROUND(CORREL('Returns (Calc)'!$P$3:$P$500,'Returns (Calc)'!$N$3:$N$500),2),"")</f>
        <v>0.23</v>
      </c>
      <c r="O20" s="138">
        <f>IFERROR(ROUND(CORREL('Returns (Calc)'!$P$3:$P$500,'Returns (Calc)'!$O$3:$O$500),2),"")</f>
        <v>0.86</v>
      </c>
      <c r="P20" s="138">
        <v>1</v>
      </c>
      <c r="Q20" s="138">
        <f>IFERROR(ROUND(CORREL('Returns (Calc)'!$P$3:$P$500,'Returns (Calc)'!$Q$3:$Q$500),2),"")</f>
        <v>0.52</v>
      </c>
      <c r="R20" s="138">
        <f>IFERROR(ROUND(CORREL('Returns (Calc)'!$P$3:$P$500,'Returns (Calc)'!$R$3:$R$500),2),"")</f>
        <v>0.38</v>
      </c>
      <c r="S20" s="138">
        <f>IFERROR(ROUND(CORREL('Returns (Calc)'!$P$3:$P$500,'Returns (Calc)'!$S$3:$S$500),2),"")</f>
        <v>0.34</v>
      </c>
      <c r="T20" s="138">
        <f>IFERROR(ROUND(CORREL('Returns (Calc)'!$P$3:$P$500,'Returns (Calc)'!$T$3:$T$500),2),"")</f>
        <v>0.73</v>
      </c>
      <c r="U20" s="138">
        <f>IFERROR(ROUND(CORREL('Returns (Calc)'!$P$3:$P$500,'Returns (Calc)'!$U$3:$U$500),2),"")</f>
        <v>0.89</v>
      </c>
      <c r="V20" s="138">
        <f>IFERROR(ROUND(CORREL('Returns (Calc)'!$P$3:$P$500,'Returns (Calc)'!$V$3:$V$500),2),"")</f>
        <v>0.43</v>
      </c>
      <c r="W20" s="138">
        <f>IFERROR(ROUND(CORREL('Returns (Calc)'!$P$3:$P$500,'Returns (Calc)'!$AP$3:$AP$500),2),"")</f>
        <v>0.88</v>
      </c>
      <c r="X20" s="138">
        <f>IFERROR(ROUND(CORREL('Returns (Calc)'!$P$3:$P$500,'Returns (Calc)'!$AQ$3:$AQ$500),2),"")</f>
        <v>0.45</v>
      </c>
      <c r="Y20" s="138">
        <f>IFERROR(ROUND(CORREL('Returns (Calc)'!$P$3:$P$500,'Returns (Calc)'!$AR$3:$AR$500),2),"")</f>
        <v>0.76</v>
      </c>
      <c r="Z20" s="138">
        <f>IFERROR(ROUND(CORREL('Returns (Calc)'!$P$3:$P$500,'Returns (Calc)'!$AS$3:$AS$500),2),"")</f>
        <v>0.4</v>
      </c>
      <c r="AA20" s="138">
        <f>IFERROR(ROUND(CORREL('Returns (Calc)'!$P$3:$P$500,'Returns (Calc)'!$AT$3:$AT$500),2),"")</f>
        <v>0.18</v>
      </c>
      <c r="AG20" s="139">
        <f t="shared" si="0"/>
        <v>5</v>
      </c>
    </row>
    <row r="21" spans="1:33" ht="15" customHeight="1" x14ac:dyDescent="0.2">
      <c r="A21" s="137" t="str">
        <f>'Returns (Calc)'!Q2</f>
        <v>HELO</v>
      </c>
      <c r="B21" s="138">
        <f>IFERROR(ROUND(CORREL('Returns (Calc)'!$Q$3:$Q$500,'Returns (Calc)'!$B$3:$B$500),2),"")</f>
        <v>0.44</v>
      </c>
      <c r="C21" s="138">
        <f>IFERROR(ROUND(CORREL('Returns (Calc)'!$Q$3:$Q$500,'Returns (Calc)'!$C$3:$C$500),2),"")</f>
        <v>0.65</v>
      </c>
      <c r="D21" s="138">
        <f>IFERROR(ROUND(CORREL('Returns (Calc)'!$Q$3:$Q$500,'Returns (Calc)'!$D$3:$D$500),2),"")</f>
        <v>0.51</v>
      </c>
      <c r="E21" s="138">
        <f>IFERROR(ROUND(CORREL('Returns (Calc)'!$Q$3:$Q$500,'Returns (Calc)'!$E$3:$E$500),2),"")</f>
        <v>0.67</v>
      </c>
      <c r="F21" s="138">
        <f>IFERROR(ROUND(CORREL('Returns (Calc)'!$Q$3:$Q$500,'Returns (Calc)'!$F$3:$F$500),2),"")</f>
        <v>0.47</v>
      </c>
      <c r="G21" s="138">
        <f>IFERROR(ROUND(CORREL('Returns (Calc)'!$Q$3:$Q$500,'Returns (Calc)'!$G$3:$G$500),2),"")</f>
        <v>0.52</v>
      </c>
      <c r="H21" s="138">
        <f>IFERROR(ROUND(CORREL('Returns (Calc)'!$Q$3:$Q$500,'Returns (Calc)'!$H$3:$H$500),2),"")</f>
        <v>0.51</v>
      </c>
      <c r="I21" s="138">
        <f>IFERROR(ROUND(CORREL('Returns (Calc)'!$Q$3:$Q$500,'Returns (Calc)'!$I$3:$I$500),2),"")</f>
        <v>0.7</v>
      </c>
      <c r="J21" s="138">
        <f>IFERROR(ROUND(CORREL('Returns (Calc)'!$Q$3:$Q$500,'Returns (Calc)'!$J$3:$J$500),2),"")</f>
        <v>0.48</v>
      </c>
      <c r="K21" s="138">
        <f>IFERROR(ROUND(CORREL('Returns (Calc)'!$Q$3:$Q$500,'Returns (Calc)'!$K$3:$K$500),2),"")</f>
        <v>0.48</v>
      </c>
      <c r="L21" s="138">
        <f>IFERROR(ROUND(CORREL('Returns (Calc)'!$Q$3:$Q$500,'Returns (Calc)'!$L$3:$L$500),2),"")</f>
        <v>0.63</v>
      </c>
      <c r="M21" s="138">
        <f>IFERROR(ROUND(CORREL('Returns (Calc)'!$Q$3:$Q$500,'Returns (Calc)'!$M$3:$M$500),2),"")</f>
        <v>0.56999999999999995</v>
      </c>
      <c r="N21" s="138">
        <f>IFERROR(ROUND(CORREL('Returns (Calc)'!$Q$3:$Q$500,'Returns (Calc)'!$N$3:$N$500),2),"")</f>
        <v>0.27</v>
      </c>
      <c r="O21" s="138">
        <f>IFERROR(ROUND(CORREL('Returns (Calc)'!$Q$3:$Q$500,'Returns (Calc)'!$O$3:$O$500),2),"")</f>
        <v>0.64</v>
      </c>
      <c r="P21" s="138">
        <f>IFERROR(ROUND(CORREL('Returns (Calc)'!$Q$3:$Q$500,'Returns (Calc)'!$P$3:$P$500),2),"")</f>
        <v>0.52</v>
      </c>
      <c r="Q21" s="138">
        <v>1</v>
      </c>
      <c r="R21" s="138">
        <f>IFERROR(ROUND(CORREL('Returns (Calc)'!$Q$3:$Q$500,'Returns (Calc)'!$R$3:$R$500),2),"")</f>
        <v>0.9</v>
      </c>
      <c r="S21" s="138">
        <f>IFERROR(ROUND(CORREL('Returns (Calc)'!$Q$3:$Q$500,'Returns (Calc)'!$S$3:$S$500),2),"")</f>
        <v>0.84</v>
      </c>
      <c r="T21" s="138">
        <f>IFERROR(ROUND(CORREL('Returns (Calc)'!$Q$3:$Q$500,'Returns (Calc)'!$T$3:$T$500),2),"")</f>
        <v>0.66</v>
      </c>
      <c r="U21" s="138">
        <f>IFERROR(ROUND(CORREL('Returns (Calc)'!$Q$3:$Q$500,'Returns (Calc)'!$U$3:$U$500),2),"")</f>
        <v>0.57999999999999996</v>
      </c>
      <c r="V21" s="138">
        <f>IFERROR(ROUND(CORREL('Returns (Calc)'!$Q$3:$Q$500,'Returns (Calc)'!$V$3:$V$500),2),"")</f>
        <v>0.52</v>
      </c>
      <c r="W21" s="138">
        <f>IFERROR(ROUND(CORREL('Returns (Calc)'!$Q$3:$Q$500,'Returns (Calc)'!$AP$3:$AP$500),2),"")</f>
        <v>0.78</v>
      </c>
      <c r="X21" s="138">
        <f>IFERROR(ROUND(CORREL('Returns (Calc)'!$Q$3:$Q$500,'Returns (Calc)'!$AQ$3:$AQ$500),2),"")</f>
        <v>-0.43</v>
      </c>
      <c r="Y21" s="138">
        <f>IFERROR(ROUND(CORREL('Returns (Calc)'!$Q$3:$Q$500,'Returns (Calc)'!$AR$3:$AR$500),2),"")</f>
        <v>0.83</v>
      </c>
      <c r="Z21" s="138">
        <f>IFERROR(ROUND(CORREL('Returns (Calc)'!$Q$3:$Q$500,'Returns (Calc)'!$AS$3:$AS$500),2),"")</f>
        <v>0.53</v>
      </c>
      <c r="AA21" s="138">
        <f>IFERROR(ROUND(CORREL('Returns (Calc)'!$Q$3:$Q$500,'Returns (Calc)'!$AT$3:$AT$500),2),"")</f>
        <v>0.39</v>
      </c>
      <c r="AG21" s="139">
        <f t="shared" si="0"/>
        <v>4</v>
      </c>
    </row>
    <row r="22" spans="1:33" ht="15" customHeight="1" x14ac:dyDescent="0.2">
      <c r="A22" s="137" t="str">
        <f>'Returns (Calc)'!R2</f>
        <v>JEPQ</v>
      </c>
      <c r="B22" s="138">
        <f>IFERROR(ROUND(CORREL('Returns (Calc)'!$R$3:$R$500,'Returns (Calc)'!$B$3:$B$500),2),"")</f>
        <v>0.34</v>
      </c>
      <c r="C22" s="138">
        <f>IFERROR(ROUND(CORREL('Returns (Calc)'!$R$3:$R$500,'Returns (Calc)'!$C$3:$C$500),2),"")</f>
        <v>0.67</v>
      </c>
      <c r="D22" s="138">
        <f>IFERROR(ROUND(CORREL('Returns (Calc)'!$R$3:$R$500,'Returns (Calc)'!$D$3:$D$500),2),"")</f>
        <v>0.61</v>
      </c>
      <c r="E22" s="138">
        <f>IFERROR(ROUND(CORREL('Returns (Calc)'!$R$3:$R$500,'Returns (Calc)'!$E$3:$E$500),2),"")</f>
        <v>0.73</v>
      </c>
      <c r="F22" s="138">
        <f>IFERROR(ROUND(CORREL('Returns (Calc)'!$R$3:$R$500,'Returns (Calc)'!$F$3:$F$500),2),"")</f>
        <v>0.55000000000000004</v>
      </c>
      <c r="G22" s="138">
        <f>IFERROR(ROUND(CORREL('Returns (Calc)'!$R$3:$R$500,'Returns (Calc)'!$G$3:$G$500),2),"")</f>
        <v>0.62</v>
      </c>
      <c r="H22" s="138">
        <f>IFERROR(ROUND(CORREL('Returns (Calc)'!$R$3:$R$500,'Returns (Calc)'!$H$3:$H$500),2),"")</f>
        <v>0.61</v>
      </c>
      <c r="I22" s="138">
        <f>IFERROR(ROUND(CORREL('Returns (Calc)'!$R$3:$R$500,'Returns (Calc)'!$I$3:$I$500),2),"")</f>
        <v>0.74</v>
      </c>
      <c r="J22" s="138">
        <f>IFERROR(ROUND(CORREL('Returns (Calc)'!$R$3:$R$500,'Returns (Calc)'!$J$3:$J$500),2),"")</f>
        <v>0.36</v>
      </c>
      <c r="K22" s="138">
        <f>IFERROR(ROUND(CORREL('Returns (Calc)'!$R$3:$R$500,'Returns (Calc)'!$K$3:$K$500),2),"")</f>
        <v>0.52</v>
      </c>
      <c r="L22" s="138">
        <f>IFERROR(ROUND(CORREL('Returns (Calc)'!$R$3:$R$500,'Returns (Calc)'!$L$3:$L$500),2),"")</f>
        <v>0.69</v>
      </c>
      <c r="M22" s="138">
        <f>IFERROR(ROUND(CORREL('Returns (Calc)'!$R$3:$R$500,'Returns (Calc)'!$M$3:$M$500),2),"")</f>
        <v>0.63</v>
      </c>
      <c r="N22" s="138">
        <f>IFERROR(ROUND(CORREL('Returns (Calc)'!$R$3:$R$500,'Returns (Calc)'!$N$3:$N$500),2),"")</f>
        <v>0.2</v>
      </c>
      <c r="O22" s="138">
        <f>IFERROR(ROUND(CORREL('Returns (Calc)'!$R$3:$R$500,'Returns (Calc)'!$O$3:$O$500),2),"")</f>
        <v>0.52</v>
      </c>
      <c r="P22" s="138">
        <f>IFERROR(ROUND(CORREL('Returns (Calc)'!$R$3:$R$500,'Returns (Calc)'!$P$3:$P$500),2),"")</f>
        <v>0.38</v>
      </c>
      <c r="Q22" s="138">
        <f>IFERROR(ROUND(CORREL('Returns (Calc)'!$R$3:$R$500,'Returns (Calc)'!$Q$3:$Q$500),2),"")</f>
        <v>0.9</v>
      </c>
      <c r="R22" s="138">
        <v>1</v>
      </c>
      <c r="S22" s="138">
        <f>IFERROR(ROUND(CORREL('Returns (Calc)'!$R$3:$R$500,'Returns (Calc)'!$S$3:$S$500),2),"")</f>
        <v>0.89</v>
      </c>
      <c r="T22" s="138">
        <f>IFERROR(ROUND(CORREL('Returns (Calc)'!$R$3:$R$500,'Returns (Calc)'!$T$3:$T$500),2),"")</f>
        <v>0.55000000000000004</v>
      </c>
      <c r="U22" s="138">
        <f>IFERROR(ROUND(CORREL('Returns (Calc)'!$R$3:$R$500,'Returns (Calc)'!$U$3:$U$500),2),"")</f>
        <v>0.41</v>
      </c>
      <c r="V22" s="138">
        <f>IFERROR(ROUND(CORREL('Returns (Calc)'!$R$3:$R$500,'Returns (Calc)'!$V$3:$V$500),2),"")</f>
        <v>0.43</v>
      </c>
      <c r="W22" s="138">
        <f>IFERROR(ROUND(CORREL('Returns (Calc)'!$R$3:$R$500,'Returns (Calc)'!$AP$3:$AP$500),2),"")</f>
        <v>0.66</v>
      </c>
      <c r="X22" s="138">
        <f>IFERROR(ROUND(CORREL('Returns (Calc)'!$R$3:$R$500,'Returns (Calc)'!$AQ$3:$AQ$500),2),"")</f>
        <v>-0.49</v>
      </c>
      <c r="Y22" s="138">
        <f>IFERROR(ROUND(CORREL('Returns (Calc)'!$R$3:$R$500,'Returns (Calc)'!$AR$3:$AR$500),2),"")</f>
        <v>0.76</v>
      </c>
      <c r="Z22" s="138">
        <f>IFERROR(ROUND(CORREL('Returns (Calc)'!$R$3:$R$500,'Returns (Calc)'!$AS$3:$AS$500),2),"")</f>
        <v>0.52</v>
      </c>
      <c r="AA22" s="138">
        <f>IFERROR(ROUND(CORREL('Returns (Calc)'!$R$3:$R$500,'Returns (Calc)'!$AT$3:$AT$500),2),"")</f>
        <v>0.43</v>
      </c>
      <c r="AG22" s="139">
        <f t="shared" si="0"/>
        <v>5</v>
      </c>
    </row>
    <row r="23" spans="1:33" ht="15" customHeight="1" x14ac:dyDescent="0.2">
      <c r="A23" s="137" t="str">
        <f>'Returns (Calc)'!S2</f>
        <v>SPMO</v>
      </c>
      <c r="B23" s="138">
        <f>IFERROR(ROUND(CORREL('Returns (Calc)'!$S$3:$S$500,'Returns (Calc)'!$B$3:$B$500),2),"")</f>
        <v>0.23</v>
      </c>
      <c r="C23" s="138">
        <f>IFERROR(ROUND(CORREL('Returns (Calc)'!$S$3:$S$500,'Returns (Calc)'!$C$3:$C$500),2),"")</f>
        <v>0.64</v>
      </c>
      <c r="D23" s="138">
        <f>IFERROR(ROUND(CORREL('Returns (Calc)'!$S$3:$S$500,'Returns (Calc)'!$D$3:$D$500),2),"")</f>
        <v>0.61</v>
      </c>
      <c r="E23" s="138">
        <f>IFERROR(ROUND(CORREL('Returns (Calc)'!$S$3:$S$500,'Returns (Calc)'!$E$3:$E$500),2),"")</f>
        <v>0.73</v>
      </c>
      <c r="F23" s="138">
        <f>IFERROR(ROUND(CORREL('Returns (Calc)'!$S$3:$S$500,'Returns (Calc)'!$F$3:$F$500),2),"")</f>
        <v>0.52</v>
      </c>
      <c r="G23" s="138">
        <f>IFERROR(ROUND(CORREL('Returns (Calc)'!$S$3:$S$500,'Returns (Calc)'!$G$3:$G$500),2),"")</f>
        <v>0.67</v>
      </c>
      <c r="H23" s="138">
        <f>IFERROR(ROUND(CORREL('Returns (Calc)'!$S$3:$S$500,'Returns (Calc)'!$H$3:$H$500),2),"")</f>
        <v>0.66</v>
      </c>
      <c r="I23" s="138">
        <f>IFERROR(ROUND(CORREL('Returns (Calc)'!$S$3:$S$500,'Returns (Calc)'!$I$3:$I$500),2),"")</f>
        <v>0.75</v>
      </c>
      <c r="J23" s="138">
        <f>IFERROR(ROUND(CORREL('Returns (Calc)'!$S$3:$S$500,'Returns (Calc)'!$J$3:$J$500),2),"")</f>
        <v>0.34</v>
      </c>
      <c r="K23" s="138">
        <f>IFERROR(ROUND(CORREL('Returns (Calc)'!$S$3:$S$500,'Returns (Calc)'!$K$3:$K$500),2),"")</f>
        <v>0.44</v>
      </c>
      <c r="L23" s="138">
        <f>IFERROR(ROUND(CORREL('Returns (Calc)'!$S$3:$S$500,'Returns (Calc)'!$L$3:$L$500),2),"")</f>
        <v>0.7</v>
      </c>
      <c r="M23" s="138">
        <f>IFERROR(ROUND(CORREL('Returns (Calc)'!$S$3:$S$500,'Returns (Calc)'!$M$3:$M$500),2),"")</f>
        <v>0.66</v>
      </c>
      <c r="N23" s="138">
        <f>IFERROR(ROUND(CORREL('Returns (Calc)'!$S$3:$S$500,'Returns (Calc)'!$N$3:$N$500),2),"")</f>
        <v>0.17</v>
      </c>
      <c r="O23" s="138">
        <f>IFERROR(ROUND(CORREL('Returns (Calc)'!$S$3:$S$500,'Returns (Calc)'!$O$3:$O$500),2),"")</f>
        <v>0.5</v>
      </c>
      <c r="P23" s="138">
        <f>IFERROR(ROUND(CORREL('Returns (Calc)'!$S$3:$S$500,'Returns (Calc)'!$P$3:$P$500),2),"")</f>
        <v>0.34</v>
      </c>
      <c r="Q23" s="138">
        <f>IFERROR(ROUND(CORREL('Returns (Calc)'!$S$3:$S$500,'Returns (Calc)'!$Q$3:$Q$500),2),"")</f>
        <v>0.84</v>
      </c>
      <c r="R23" s="138">
        <f>IFERROR(ROUND(CORREL('Returns (Calc)'!$S$3:$S$500,'Returns (Calc)'!$R$3:$R$500),2),"")</f>
        <v>0.89</v>
      </c>
      <c r="S23" s="138">
        <v>1</v>
      </c>
      <c r="T23" s="138">
        <f>IFERROR(ROUND(CORREL('Returns (Calc)'!$S$3:$S$500,'Returns (Calc)'!$T$3:$T$500),2),"")</f>
        <v>0.51</v>
      </c>
      <c r="U23" s="138">
        <f>IFERROR(ROUND(CORREL('Returns (Calc)'!$S$3:$S$500,'Returns (Calc)'!$U$3:$U$500),2),"")</f>
        <v>0.36</v>
      </c>
      <c r="V23" s="138">
        <f>IFERROR(ROUND(CORREL('Returns (Calc)'!$S$3:$S$500,'Returns (Calc)'!$V$3:$V$500),2),"")</f>
        <v>0.37</v>
      </c>
      <c r="W23" s="138">
        <f>IFERROR(ROUND(CORREL('Returns (Calc)'!$S$3:$S$500,'Returns (Calc)'!$AP$3:$AP$500),2),"")</f>
        <v>0.64</v>
      </c>
      <c r="X23" s="138">
        <f>IFERROR(ROUND(CORREL('Returns (Calc)'!$S$3:$S$500,'Returns (Calc)'!$AQ$3:$AQ$500),2),"")</f>
        <v>-0.39</v>
      </c>
      <c r="Y23" s="138">
        <f>IFERROR(ROUND(CORREL('Returns (Calc)'!$S$3:$S$500,'Returns (Calc)'!$AR$3:$AR$500),2),"")</f>
        <v>0.67</v>
      </c>
      <c r="Z23" s="138">
        <f>IFERROR(ROUND(CORREL('Returns (Calc)'!$S$3:$S$500,'Returns (Calc)'!$AS$3:$AS$500),2),"")</f>
        <v>0.61</v>
      </c>
      <c r="AA23" s="138">
        <f>IFERROR(ROUND(CORREL('Returns (Calc)'!$S$3:$S$500,'Returns (Calc)'!$AT$3:$AT$500),2),"")</f>
        <v>0.41</v>
      </c>
      <c r="AG23" s="139">
        <f t="shared" si="0"/>
        <v>4</v>
      </c>
    </row>
    <row r="24" spans="1:33" ht="15" customHeight="1" x14ac:dyDescent="0.2">
      <c r="A24" s="137" t="str">
        <f>'Returns (Calc)'!T2</f>
        <v>VFLO</v>
      </c>
      <c r="B24" s="138">
        <f>IFERROR(ROUND(CORREL('Returns (Calc)'!$T$3:$T$500,'Returns (Calc)'!$B$3:$B$500),2),"")</f>
        <v>0.42</v>
      </c>
      <c r="C24" s="138">
        <f>IFERROR(ROUND(CORREL('Returns (Calc)'!$T$3:$T$500,'Returns (Calc)'!$C$3:$C$500),2),"")</f>
        <v>0.33</v>
      </c>
      <c r="D24" s="138">
        <f>IFERROR(ROUND(CORREL('Returns (Calc)'!$T$3:$T$500,'Returns (Calc)'!$D$3:$D$500),2),"")</f>
        <v>0.3</v>
      </c>
      <c r="E24" s="138">
        <f>IFERROR(ROUND(CORREL('Returns (Calc)'!$T$3:$T$500,'Returns (Calc)'!$E$3:$E$500),2),"")</f>
        <v>0.27</v>
      </c>
      <c r="F24" s="138">
        <f>IFERROR(ROUND(CORREL('Returns (Calc)'!$T$3:$T$500,'Returns (Calc)'!$F$3:$F$500),2),"")</f>
        <v>0.28999999999999998</v>
      </c>
      <c r="G24" s="138">
        <f>IFERROR(ROUND(CORREL('Returns (Calc)'!$T$3:$T$500,'Returns (Calc)'!$G$3:$G$500),2),"")</f>
        <v>0.31</v>
      </c>
      <c r="H24" s="138">
        <f>IFERROR(ROUND(CORREL('Returns (Calc)'!$T$3:$T$500,'Returns (Calc)'!$H$3:$H$500),2),"")</f>
        <v>0.42</v>
      </c>
      <c r="I24" s="138">
        <f>IFERROR(ROUND(CORREL('Returns (Calc)'!$T$3:$T$500,'Returns (Calc)'!$I$3:$I$500),2),"")</f>
        <v>0.3</v>
      </c>
      <c r="J24" s="138">
        <f>IFERROR(ROUND(CORREL('Returns (Calc)'!$T$3:$T$500,'Returns (Calc)'!$J$3:$J$500),2),"")</f>
        <v>0.52</v>
      </c>
      <c r="K24" s="138">
        <f>IFERROR(ROUND(CORREL('Returns (Calc)'!$T$3:$T$500,'Returns (Calc)'!$K$3:$K$500),2),"")</f>
        <v>0.34</v>
      </c>
      <c r="L24" s="138">
        <f>IFERROR(ROUND(CORREL('Returns (Calc)'!$T$3:$T$500,'Returns (Calc)'!$L$3:$L$500),2),"")</f>
        <v>0.28000000000000003</v>
      </c>
      <c r="M24" s="138">
        <f>IFERROR(ROUND(CORREL('Returns (Calc)'!$T$3:$T$500,'Returns (Calc)'!$M$3:$M$500),2),"")</f>
        <v>0.3</v>
      </c>
      <c r="N24" s="138">
        <f>IFERROR(ROUND(CORREL('Returns (Calc)'!$T$3:$T$500,'Returns (Calc)'!$N$3:$N$500),2),"")</f>
        <v>0.32</v>
      </c>
      <c r="O24" s="138">
        <f>IFERROR(ROUND(CORREL('Returns (Calc)'!$T$3:$T$500,'Returns (Calc)'!$O$3:$O$500),2),"")</f>
        <v>0.78</v>
      </c>
      <c r="P24" s="138">
        <f>IFERROR(ROUND(CORREL('Returns (Calc)'!$T$3:$T$500,'Returns (Calc)'!$P$3:$P$500),2),"")</f>
        <v>0.73</v>
      </c>
      <c r="Q24" s="138">
        <f>IFERROR(ROUND(CORREL('Returns (Calc)'!$T$3:$T$500,'Returns (Calc)'!$Q$3:$Q$500),2),"")</f>
        <v>0.66</v>
      </c>
      <c r="R24" s="138">
        <f>IFERROR(ROUND(CORREL('Returns (Calc)'!$T$3:$T$500,'Returns (Calc)'!$R$3:$R$500),2),"")</f>
        <v>0.55000000000000004</v>
      </c>
      <c r="S24" s="138">
        <f>IFERROR(ROUND(CORREL('Returns (Calc)'!$T$3:$T$500,'Returns (Calc)'!$S$3:$S$500),2),"")</f>
        <v>0.51</v>
      </c>
      <c r="T24" s="138">
        <v>1</v>
      </c>
      <c r="U24" s="138">
        <f>IFERROR(ROUND(CORREL('Returns (Calc)'!$T$3:$T$500,'Returns (Calc)'!$U$3:$U$500),2),"")</f>
        <v>0.78</v>
      </c>
      <c r="V24" s="138">
        <f>IFERROR(ROUND(CORREL('Returns (Calc)'!$T$3:$T$500,'Returns (Calc)'!$V$3:$V$500),2),"")</f>
        <v>0.45</v>
      </c>
      <c r="W24" s="138">
        <f>IFERROR(ROUND(CORREL('Returns (Calc)'!$T$3:$T$500,'Returns (Calc)'!$AP$3:$AP$500),2),"")</f>
        <v>0.79</v>
      </c>
      <c r="X24" s="138">
        <f>IFERROR(ROUND(CORREL('Returns (Calc)'!$T$3:$T$500,'Returns (Calc)'!$AQ$3:$AQ$500),2),"")</f>
        <v>-0.27</v>
      </c>
      <c r="Y24" s="138">
        <f>IFERROR(ROUND(CORREL('Returns (Calc)'!$T$3:$T$500,'Returns (Calc)'!$AR$3:$AR$500),2),"")</f>
        <v>0.72</v>
      </c>
      <c r="Z24" s="138">
        <f>IFERROR(ROUND(CORREL('Returns (Calc)'!$T$3:$T$500,'Returns (Calc)'!$AS$3:$AS$500),2),"")</f>
        <v>0.44</v>
      </c>
      <c r="AA24" s="138">
        <f>IFERROR(ROUND(CORREL('Returns (Calc)'!$T$3:$T$500,'Returns (Calc)'!$AT$3:$AT$500),2),"")</f>
        <v>0.25</v>
      </c>
      <c r="AG24" s="139">
        <f t="shared" si="0"/>
        <v>5</v>
      </c>
    </row>
    <row r="25" spans="1:33" ht="15" customHeight="1" x14ac:dyDescent="0.2">
      <c r="A25" s="137" t="str">
        <f>'Returns (Calc)'!U2</f>
        <v>SCHD</v>
      </c>
      <c r="B25" s="138">
        <f>IFERROR(ROUND(CORREL('Returns (Calc)'!$U$3:$U$500,'Returns (Calc)'!$B$3:$B$500),2),"")</f>
        <v>0.22</v>
      </c>
      <c r="C25" s="138">
        <f>IFERROR(ROUND(CORREL('Returns (Calc)'!$U$3:$U$500,'Returns (Calc)'!$C$3:$C$500),2),"")</f>
        <v>0.27</v>
      </c>
      <c r="D25" s="138">
        <f>IFERROR(ROUND(CORREL('Returns (Calc)'!$U$3:$U$500,'Returns (Calc)'!$D$3:$D$500),2),"")</f>
        <v>0.26</v>
      </c>
      <c r="E25" s="138">
        <f>IFERROR(ROUND(CORREL('Returns (Calc)'!$U$3:$U$500,'Returns (Calc)'!$E$3:$E$500),2),"")</f>
        <v>0.16</v>
      </c>
      <c r="F25" s="138">
        <f>IFERROR(ROUND(CORREL('Returns (Calc)'!$U$3:$U$500,'Returns (Calc)'!$F$3:$F$500),2),"")</f>
        <v>0.11</v>
      </c>
      <c r="G25" s="138">
        <f>IFERROR(ROUND(CORREL('Returns (Calc)'!$U$3:$U$500,'Returns (Calc)'!$G$3:$G$500),2),"")</f>
        <v>0.28000000000000003</v>
      </c>
      <c r="H25" s="138">
        <f>IFERROR(ROUND(CORREL('Returns (Calc)'!$U$3:$U$500,'Returns (Calc)'!$H$3:$H$500),2),"")</f>
        <v>0.26</v>
      </c>
      <c r="I25" s="138">
        <f>IFERROR(ROUND(CORREL('Returns (Calc)'!$U$3:$U$500,'Returns (Calc)'!$I$3:$I$500),2),"")</f>
        <v>0.18</v>
      </c>
      <c r="J25" s="138">
        <f>IFERROR(ROUND(CORREL('Returns (Calc)'!$U$3:$U$500,'Returns (Calc)'!$J$3:$J$500),2),"")</f>
        <v>0.66</v>
      </c>
      <c r="K25" s="138">
        <f>IFERROR(ROUND(CORREL('Returns (Calc)'!$U$3:$U$500,'Returns (Calc)'!$K$3:$K$500),2),"")</f>
        <v>0.14000000000000001</v>
      </c>
      <c r="L25" s="138">
        <f>IFERROR(ROUND(CORREL('Returns (Calc)'!$U$3:$U$500,'Returns (Calc)'!$L$3:$L$500),2),"")</f>
        <v>0.21</v>
      </c>
      <c r="M25" s="138">
        <f>IFERROR(ROUND(CORREL('Returns (Calc)'!$U$3:$U$500,'Returns (Calc)'!$M$3:$M$500),2),"")</f>
        <v>0.21</v>
      </c>
      <c r="N25" s="138">
        <f>IFERROR(ROUND(CORREL('Returns (Calc)'!$U$3:$U$500,'Returns (Calc)'!$N$3:$N$500),2),"")</f>
        <v>0.35</v>
      </c>
      <c r="O25" s="138">
        <f>IFERROR(ROUND(CORREL('Returns (Calc)'!$U$3:$U$500,'Returns (Calc)'!$O$3:$O$500),2),"")</f>
        <v>0.83</v>
      </c>
      <c r="P25" s="138">
        <f>IFERROR(ROUND(CORREL('Returns (Calc)'!$U$3:$U$500,'Returns (Calc)'!$P$3:$P$500),2),"")</f>
        <v>0.89</v>
      </c>
      <c r="Q25" s="138">
        <f>IFERROR(ROUND(CORREL('Returns (Calc)'!$U$3:$U$500,'Returns (Calc)'!$Q$3:$Q$500),2),"")</f>
        <v>0.57999999999999996</v>
      </c>
      <c r="R25" s="138">
        <f>IFERROR(ROUND(CORREL('Returns (Calc)'!$U$3:$U$500,'Returns (Calc)'!$R$3:$R$500),2),"")</f>
        <v>0.41</v>
      </c>
      <c r="S25" s="138">
        <f>IFERROR(ROUND(CORREL('Returns (Calc)'!$U$3:$U$500,'Returns (Calc)'!$S$3:$S$500),2),"")</f>
        <v>0.36</v>
      </c>
      <c r="T25" s="138">
        <f>IFERROR(ROUND(CORREL('Returns (Calc)'!$U$3:$U$500,'Returns (Calc)'!$T$3:$T$500),2),"")</f>
        <v>0.78</v>
      </c>
      <c r="U25" s="138">
        <v>1</v>
      </c>
      <c r="V25" s="138">
        <f>IFERROR(ROUND(CORREL('Returns (Calc)'!$U$3:$U$500,'Returns (Calc)'!$V$3:$V$500),2),"")</f>
        <v>0.44</v>
      </c>
      <c r="W25" s="138">
        <f>IFERROR(ROUND(CORREL('Returns (Calc)'!$U$3:$U$500,'Returns (Calc)'!$AP$3:$AP$500),2),"")</f>
        <v>0.88</v>
      </c>
      <c r="X25" s="138">
        <f>IFERROR(ROUND(CORREL('Returns (Calc)'!$U$3:$U$500,'Returns (Calc)'!$AQ$3:$AQ$500),2),"")</f>
        <v>0.31</v>
      </c>
      <c r="Y25" s="138">
        <f>IFERROR(ROUND(CORREL('Returns (Calc)'!$U$3:$U$500,'Returns (Calc)'!$AR$3:$AR$500),2),"")</f>
        <v>0.78</v>
      </c>
      <c r="Z25" s="138">
        <f>IFERROR(ROUND(CORREL('Returns (Calc)'!$U$3:$U$500,'Returns (Calc)'!$AS$3:$AS$500),2),"")</f>
        <v>0.34</v>
      </c>
      <c r="AA25" s="138">
        <f>IFERROR(ROUND(CORREL('Returns (Calc)'!$U$3:$U$500,'Returns (Calc)'!$AT$3:$AT$500),2),"")</f>
        <v>0.16</v>
      </c>
      <c r="AG25" s="139">
        <f t="shared" si="0"/>
        <v>5</v>
      </c>
    </row>
    <row r="26" spans="1:33" ht="15" customHeight="1" x14ac:dyDescent="0.2">
      <c r="A26" s="137" t="str">
        <f>'Returns (Calc)'!V2</f>
        <v>V</v>
      </c>
      <c r="B26" s="138">
        <f>IFERROR(ROUND(CORREL('Returns (Calc)'!$V$3:$V$500,'Returns (Calc)'!$B$3:$B$500),2),"")</f>
        <v>0.4</v>
      </c>
      <c r="C26" s="138">
        <f>IFERROR(ROUND(CORREL('Returns (Calc)'!$V$3:$V$500,'Returns (Calc)'!$C$3:$C$500),2),"")</f>
        <v>0.25</v>
      </c>
      <c r="D26" s="138">
        <f>IFERROR(ROUND(CORREL('Returns (Calc)'!$V$3:$V$500,'Returns (Calc)'!$D$3:$D$500),2),"")</f>
        <v>0.04</v>
      </c>
      <c r="E26" s="138">
        <f>IFERROR(ROUND(CORREL('Returns (Calc)'!$V$3:$V$500,'Returns (Calc)'!$E$3:$E$500),2),"")</f>
        <v>0.2</v>
      </c>
      <c r="F26" s="138">
        <f>IFERROR(ROUND(CORREL('Returns (Calc)'!$V$3:$V$500,'Returns (Calc)'!$F$3:$F$500),2),"")</f>
        <v>0.27</v>
      </c>
      <c r="G26" s="138">
        <f>IFERROR(ROUND(CORREL('Returns (Calc)'!$V$3:$V$500,'Returns (Calc)'!$G$3:$G$500),2),"")</f>
        <v>0.02</v>
      </c>
      <c r="H26" s="138">
        <f>IFERROR(ROUND(CORREL('Returns (Calc)'!$V$3:$V$500,'Returns (Calc)'!$H$3:$H$500),2),"")</f>
        <v>0.02</v>
      </c>
      <c r="I26" s="138">
        <f>IFERROR(ROUND(CORREL('Returns (Calc)'!$V$3:$V$500,'Returns (Calc)'!$I$3:$I$500),2),"")</f>
        <v>0.2</v>
      </c>
      <c r="J26" s="138">
        <f>IFERROR(ROUND(CORREL('Returns (Calc)'!$V$3:$V$500,'Returns (Calc)'!$J$3:$J$500),2),"")</f>
        <v>0.37</v>
      </c>
      <c r="K26" s="138">
        <f>IFERROR(ROUND(CORREL('Returns (Calc)'!$V$3:$V$500,'Returns (Calc)'!$K$3:$K$500),2),"")</f>
        <v>0.24</v>
      </c>
      <c r="L26" s="138">
        <f>IFERROR(ROUND(CORREL('Returns (Calc)'!$V$3:$V$500,'Returns (Calc)'!$L$3:$L$500),2),"")</f>
        <v>0.13</v>
      </c>
      <c r="M26" s="138">
        <f>IFERROR(ROUND(CORREL('Returns (Calc)'!$V$3:$V$500,'Returns (Calc)'!$M$3:$M$500),2),"")</f>
        <v>0.14000000000000001</v>
      </c>
      <c r="N26" s="138">
        <f>IFERROR(ROUND(CORREL('Returns (Calc)'!$V$3:$V$500,'Returns (Calc)'!$N$3:$N$500),2),"")</f>
        <v>0.26</v>
      </c>
      <c r="O26" s="138">
        <f>IFERROR(ROUND(CORREL('Returns (Calc)'!$V$3:$V$500,'Returns (Calc)'!$O$3:$O$500),2),"")</f>
        <v>0.36</v>
      </c>
      <c r="P26" s="138">
        <f>IFERROR(ROUND(CORREL('Returns (Calc)'!$V$3:$V$500,'Returns (Calc)'!$P$3:$P$500),2),"")</f>
        <v>0.43</v>
      </c>
      <c r="Q26" s="138">
        <f>IFERROR(ROUND(CORREL('Returns (Calc)'!$V$3:$V$500,'Returns (Calc)'!$Q$3:$Q$500),2),"")</f>
        <v>0.52</v>
      </c>
      <c r="R26" s="138">
        <f>IFERROR(ROUND(CORREL('Returns (Calc)'!$V$3:$V$500,'Returns (Calc)'!$R$3:$R$500),2),"")</f>
        <v>0.43</v>
      </c>
      <c r="S26" s="138">
        <f>IFERROR(ROUND(CORREL('Returns (Calc)'!$V$3:$V$500,'Returns (Calc)'!$S$3:$S$500),2),"")</f>
        <v>0.37</v>
      </c>
      <c r="T26" s="138">
        <f>IFERROR(ROUND(CORREL('Returns (Calc)'!$V$3:$V$500,'Returns (Calc)'!$T$3:$T$500),2),"")</f>
        <v>0.45</v>
      </c>
      <c r="U26" s="138">
        <f>IFERROR(ROUND(CORREL('Returns (Calc)'!$V$3:$V$500,'Returns (Calc)'!$U$3:$U$500),2),"")</f>
        <v>0.44</v>
      </c>
      <c r="V26" s="138">
        <v>1</v>
      </c>
      <c r="W26" s="138">
        <f>IFERROR(ROUND(CORREL('Returns (Calc)'!$V$3:$V$500,'Returns (Calc)'!$AP$3:$AP$500),2),"")</f>
        <v>0.51</v>
      </c>
      <c r="X26" s="138">
        <f>IFERROR(ROUND(CORREL('Returns (Calc)'!$V$3:$V$500,'Returns (Calc)'!$AQ$3:$AQ$500),2),"")</f>
        <v>-0.06</v>
      </c>
      <c r="Y26" s="138">
        <f>IFERROR(ROUND(CORREL('Returns (Calc)'!$V$3:$V$500,'Returns (Calc)'!$AR$3:$AR$500),2),"")</f>
        <v>0.63</v>
      </c>
      <c r="Z26" s="138">
        <f>IFERROR(ROUND(CORREL('Returns (Calc)'!$V$3:$V$500,'Returns (Calc)'!$AS$3:$AS$500),2),"")</f>
        <v>0.41</v>
      </c>
      <c r="AA26" s="138">
        <f>IFERROR(ROUND(CORREL('Returns (Calc)'!$V$3:$V$500,'Returns (Calc)'!$AT$3:$AT$500),2),"")</f>
        <v>0.28999999999999998</v>
      </c>
      <c r="AG26" s="139">
        <f t="shared" si="0"/>
        <v>0</v>
      </c>
    </row>
    <row r="27" spans="1:33" ht="15" customHeight="1" x14ac:dyDescent="0.2">
      <c r="A27" s="137" t="str">
        <f>'Returns (Calc)'!AP2</f>
        <v>VYM</v>
      </c>
      <c r="B27" s="138">
        <f>IFERROR(ROUND(CORREL('Returns (Calc)'!$AP$3:$AP$500,'Returns (Calc)'!$B$3:$B$500),2),"")</f>
        <v>0.22</v>
      </c>
      <c r="C27" s="138">
        <f>IFERROR(ROUND(CORREL('Returns (Calc)'!$AP$3:$AP$500,'Returns (Calc)'!$C$3:$C$500),2),"")</f>
        <v>0.46</v>
      </c>
      <c r="D27" s="138">
        <f>IFERROR(ROUND(CORREL('Returns (Calc)'!$AP$3:$AP$500,'Returns (Calc)'!$D$3:$D$500),2),"")</f>
        <v>0.42</v>
      </c>
      <c r="E27" s="138">
        <f>IFERROR(ROUND(CORREL('Returns (Calc)'!$AP$3:$AP$500,'Returns (Calc)'!$E$3:$E$500),2),"")</f>
        <v>0.45</v>
      </c>
      <c r="F27" s="138">
        <f>IFERROR(ROUND(CORREL('Returns (Calc)'!$AP$3:$AP$500,'Returns (Calc)'!$F$3:$F$500),2),"")</f>
        <v>0.24</v>
      </c>
      <c r="G27" s="138">
        <f>IFERROR(ROUND(CORREL('Returns (Calc)'!$AP$3:$AP$500,'Returns (Calc)'!$G$3:$G$500),2),"")</f>
        <v>0.45</v>
      </c>
      <c r="H27" s="138">
        <f>IFERROR(ROUND(CORREL('Returns (Calc)'!$AP$3:$AP$500,'Returns (Calc)'!$H$3:$H$500),2),"")</f>
        <v>0.39</v>
      </c>
      <c r="I27" s="138">
        <f>IFERROR(ROUND(CORREL('Returns (Calc)'!$AP$3:$AP$500,'Returns (Calc)'!$I$3:$I$500),2),"")</f>
        <v>0.38</v>
      </c>
      <c r="J27" s="138">
        <f>IFERROR(ROUND(CORREL('Returns (Calc)'!$AP$3:$AP$500,'Returns (Calc)'!$J$3:$J$500),2),"")</f>
        <v>0.65</v>
      </c>
      <c r="K27" s="138">
        <f>IFERROR(ROUND(CORREL('Returns (Calc)'!$AP$3:$AP$500,'Returns (Calc)'!$K$3:$K$500),2),"")</f>
        <v>0.26</v>
      </c>
      <c r="L27" s="138">
        <f>IFERROR(ROUND(CORREL('Returns (Calc)'!$AP$3:$AP$500,'Returns (Calc)'!$L$3:$L$500),2),"")</f>
        <v>0.42</v>
      </c>
      <c r="M27" s="138">
        <f>IFERROR(ROUND(CORREL('Returns (Calc)'!$AP$3:$AP$500,'Returns (Calc)'!$M$3:$M$500),2),"")</f>
        <v>0.42</v>
      </c>
      <c r="N27" s="138">
        <f>IFERROR(ROUND(CORREL('Returns (Calc)'!$AP$3:$AP$500,'Returns (Calc)'!$N$3:$N$500),2),"")</f>
        <v>0.28000000000000003</v>
      </c>
      <c r="O27" s="138">
        <f>IFERROR(ROUND(CORREL('Returns (Calc)'!$AP$3:$AP$500,'Returns (Calc)'!$O$3:$O$500),2),"")</f>
        <v>0.87</v>
      </c>
      <c r="P27" s="138">
        <f>IFERROR(ROUND(CORREL('Returns (Calc)'!$AP$3:$AP$500,'Returns (Calc)'!$P$3:$P$500),2),"")</f>
        <v>0.88</v>
      </c>
      <c r="Q27" s="138">
        <f>IFERROR(ROUND(CORREL('Returns (Calc)'!$AP$3:$AP$500,'Returns (Calc)'!$Q$3:$Q$500),2),"")</f>
        <v>0.78</v>
      </c>
      <c r="R27" s="138">
        <f>IFERROR(ROUND(CORREL('Returns (Calc)'!$AP$3:$AP$500,'Returns (Calc)'!$R$3:$R$500),2),"")</f>
        <v>0.66</v>
      </c>
      <c r="S27" s="138">
        <f>IFERROR(ROUND(CORREL('Returns (Calc)'!$AP$3:$AP$500,'Returns (Calc)'!$S$3:$S$500),2),"")</f>
        <v>0.64</v>
      </c>
      <c r="T27" s="138">
        <f>IFERROR(ROUND(CORREL('Returns (Calc)'!$AP$3:$AP$500,'Returns (Calc)'!$T$3:$T$500),2),"")</f>
        <v>0.79</v>
      </c>
      <c r="U27" s="138">
        <f>IFERROR(ROUND(CORREL('Returns (Calc)'!$AP$3:$AP$500,'Returns (Calc)'!$U$3:$U$500),2),"")</f>
        <v>0.88</v>
      </c>
      <c r="V27" s="138">
        <f>IFERROR(ROUND(CORREL('Returns (Calc)'!$AP$3:$AP$500,'Returns (Calc)'!$V$3:$V$500),2),"")</f>
        <v>0.51</v>
      </c>
      <c r="W27" s="138">
        <v>1</v>
      </c>
      <c r="X27" s="138">
        <f>IFERROR(ROUND(CORREL('Returns (Calc)'!$AP$3:$AP$500,'Returns (Calc)'!$AQ$3:$AQ$500),2),"")</f>
        <v>0.03</v>
      </c>
      <c r="Y27" s="138">
        <f>IFERROR(ROUND(CORREL('Returns (Calc)'!$AP$3:$AP$500,'Returns (Calc)'!$AR$3:$AR$500),2),"")</f>
        <v>0.9</v>
      </c>
      <c r="Z27" s="138">
        <f>IFERROR(ROUND(CORREL('Returns (Calc)'!$AP$3:$AP$500,'Returns (Calc)'!$AS$3:$AS$500),2),"")</f>
        <v>0.54</v>
      </c>
      <c r="AA27" s="138">
        <f>IFERROR(ROUND(CORREL('Returns (Calc)'!$AP$3:$AP$500,'Returns (Calc)'!$AT$3:$AT$500),2),"")</f>
        <v>0.3</v>
      </c>
      <c r="AG27" s="139">
        <f t="shared" si="0"/>
        <v>6</v>
      </c>
    </row>
    <row r="28" spans="1:33" ht="15" customHeight="1" x14ac:dyDescent="0.2">
      <c r="A28" s="137" t="str">
        <f>'Returns (Calc)'!AQ2</f>
        <v>MLPI</v>
      </c>
      <c r="B28" s="138">
        <f>IFERROR(ROUND(CORREL('Returns (Calc)'!$AQ$3:$AQ$500,'Returns (Calc)'!$B$3:$B$500),2),"")</f>
        <v>-0.24</v>
      </c>
      <c r="C28" s="138">
        <f>IFERROR(ROUND(CORREL('Returns (Calc)'!$AQ$3:$AQ$500,'Returns (Calc)'!$C$3:$C$500),2),"")</f>
        <v>-0.04</v>
      </c>
      <c r="D28" s="138">
        <f>IFERROR(ROUND(CORREL('Returns (Calc)'!$AQ$3:$AQ$500,'Returns (Calc)'!$D$3:$D$500),2),"")</f>
        <v>-0.18</v>
      </c>
      <c r="E28" s="138">
        <f>IFERROR(ROUND(CORREL('Returns (Calc)'!$AQ$3:$AQ$500,'Returns (Calc)'!$E$3:$E$500),2),"")</f>
        <v>-0.45</v>
      </c>
      <c r="F28" s="138">
        <f>IFERROR(ROUND(CORREL('Returns (Calc)'!$AQ$3:$AQ$500,'Returns (Calc)'!$F$3:$F$500),2),"")</f>
        <v>-0.3</v>
      </c>
      <c r="G28" s="138">
        <f>IFERROR(ROUND(CORREL('Returns (Calc)'!$AQ$3:$AQ$500,'Returns (Calc)'!$G$3:$G$500),2),"")</f>
        <v>-0.17</v>
      </c>
      <c r="H28" s="138">
        <f>IFERROR(ROUND(CORREL('Returns (Calc)'!$AQ$3:$AQ$500,'Returns (Calc)'!$H$3:$H$500),2),"")</f>
        <v>-0.35</v>
      </c>
      <c r="I28" s="138">
        <f>IFERROR(ROUND(CORREL('Returns (Calc)'!$AQ$3:$AQ$500,'Returns (Calc)'!$I$3:$I$500),2),"")</f>
        <v>-0.31</v>
      </c>
      <c r="J28" s="138">
        <f>IFERROR(ROUND(CORREL('Returns (Calc)'!$AQ$3:$AQ$500,'Returns (Calc)'!$J$3:$J$500),2),"")</f>
        <v>0.09</v>
      </c>
      <c r="K28" s="138">
        <f>IFERROR(ROUND(CORREL('Returns (Calc)'!$AQ$3:$AQ$500,'Returns (Calc)'!$K$3:$K$500),2),"")</f>
        <v>-0.48</v>
      </c>
      <c r="L28" s="138">
        <f>IFERROR(ROUND(CORREL('Returns (Calc)'!$AQ$3:$AQ$500,'Returns (Calc)'!$L$3:$L$500),2),"")</f>
        <v>-0.25</v>
      </c>
      <c r="M28" s="138">
        <f>IFERROR(ROUND(CORREL('Returns (Calc)'!$AQ$3:$AQ$500,'Returns (Calc)'!$M$3:$M$500),2),"")</f>
        <v>0.2</v>
      </c>
      <c r="N28" s="138">
        <f>IFERROR(ROUND(CORREL('Returns (Calc)'!$AQ$3:$AQ$500,'Returns (Calc)'!$N$3:$N$500),2),"")</f>
        <v>-0.16</v>
      </c>
      <c r="O28" s="138">
        <f>IFERROR(ROUND(CORREL('Returns (Calc)'!$AQ$3:$AQ$500,'Returns (Calc)'!$O$3:$O$500),2),"")</f>
        <v>0.11</v>
      </c>
      <c r="P28" s="138">
        <f>IFERROR(ROUND(CORREL('Returns (Calc)'!$AQ$3:$AQ$500,'Returns (Calc)'!$P$3:$P$500),2),"")</f>
        <v>0.45</v>
      </c>
      <c r="Q28" s="138">
        <f>IFERROR(ROUND(CORREL('Returns (Calc)'!$AQ$3:$AQ$500,'Returns (Calc)'!$Q$3:$Q$500),2),"")</f>
        <v>-0.43</v>
      </c>
      <c r="R28" s="138">
        <f>IFERROR(ROUND(CORREL('Returns (Calc)'!$AQ$3:$AQ$500,'Returns (Calc)'!$R$3:$R$500),2),"")</f>
        <v>-0.49</v>
      </c>
      <c r="S28" s="138">
        <f>IFERROR(ROUND(CORREL('Returns (Calc)'!$AQ$3:$AQ$500,'Returns (Calc)'!$S$3:$S$500),2),"")</f>
        <v>-0.39</v>
      </c>
      <c r="T28" s="138">
        <f>IFERROR(ROUND(CORREL('Returns (Calc)'!$AQ$3:$AQ$500,'Returns (Calc)'!$T$3:$T$500),2),"")</f>
        <v>-0.27</v>
      </c>
      <c r="U28" s="138">
        <f>IFERROR(ROUND(CORREL('Returns (Calc)'!$AQ$3:$AQ$500,'Returns (Calc)'!$U$3:$U$500),2),"")</f>
        <v>0.31</v>
      </c>
      <c r="V28" s="138">
        <f>IFERROR(ROUND(CORREL('Returns (Calc)'!$AQ$3:$AQ$500,'Returns (Calc)'!$V$3:$V$500),2),"")</f>
        <v>-0.06</v>
      </c>
      <c r="W28" s="138">
        <f>IFERROR(ROUND(CORREL('Returns (Calc)'!$AQ$3:$AQ$500,'Returns (Calc)'!$AP$3:$AP$500),2),"")</f>
        <v>0.03</v>
      </c>
      <c r="X28" s="138">
        <v>1</v>
      </c>
      <c r="Y28" s="138">
        <f>IFERROR(ROUND(CORREL('Returns (Calc)'!$AQ$3:$AQ$500,'Returns (Calc)'!$AR$3:$AR$500),2),"")</f>
        <v>-0.1</v>
      </c>
      <c r="Z28" s="138">
        <f>IFERROR(ROUND(CORREL('Returns (Calc)'!$AQ$3:$AQ$500,'Returns (Calc)'!$AS$3:$AS$500),2),"")</f>
        <v>-0.26</v>
      </c>
      <c r="AA28" s="138">
        <f>IFERROR(ROUND(CORREL('Returns (Calc)'!$AQ$3:$AQ$500,'Returns (Calc)'!$AT$3:$AT$500),2),"")</f>
        <v>-0.01</v>
      </c>
      <c r="AG28" s="139">
        <f t="shared" si="0"/>
        <v>0</v>
      </c>
    </row>
    <row r="29" spans="1:33" ht="15" customHeight="1" x14ac:dyDescent="0.2">
      <c r="A29" s="137" t="str">
        <f>'Returns (Calc)'!AR2</f>
        <v>JEPI</v>
      </c>
      <c r="B29" s="138">
        <f>IFERROR(ROUND(CORREL('Returns (Calc)'!$AR$3:$AR$500,'Returns (Calc)'!$B$3:$B$500),2),"")</f>
        <v>0.33</v>
      </c>
      <c r="C29" s="138">
        <f>IFERROR(ROUND(CORREL('Returns (Calc)'!$AR$3:$AR$500,'Returns (Calc)'!$C$3:$C$500),2),"")</f>
        <v>0.51</v>
      </c>
      <c r="D29" s="138">
        <f>IFERROR(ROUND(CORREL('Returns (Calc)'!$AR$3:$AR$500,'Returns (Calc)'!$D$3:$D$500),2),"")</f>
        <v>0.43</v>
      </c>
      <c r="E29" s="138">
        <f>IFERROR(ROUND(CORREL('Returns (Calc)'!$AR$3:$AR$500,'Returns (Calc)'!$E$3:$E$500),2),"")</f>
        <v>0.44</v>
      </c>
      <c r="F29" s="138">
        <f>IFERROR(ROUND(CORREL('Returns (Calc)'!$AR$3:$AR$500,'Returns (Calc)'!$F$3:$F$500),2),"")</f>
        <v>0.28999999999999998</v>
      </c>
      <c r="G29" s="138">
        <f>IFERROR(ROUND(CORREL('Returns (Calc)'!$AR$3:$AR$500,'Returns (Calc)'!$G$3:$G$500),2),"")</f>
        <v>0.45</v>
      </c>
      <c r="H29" s="138">
        <f>IFERROR(ROUND(CORREL('Returns (Calc)'!$AR$3:$AR$500,'Returns (Calc)'!$H$3:$H$500),2),"")</f>
        <v>0.35</v>
      </c>
      <c r="I29" s="138">
        <f>IFERROR(ROUND(CORREL('Returns (Calc)'!$AR$3:$AR$500,'Returns (Calc)'!$I$3:$I$500),2),"")</f>
        <v>0.44</v>
      </c>
      <c r="J29" s="138">
        <f>IFERROR(ROUND(CORREL('Returns (Calc)'!$AR$3:$AR$500,'Returns (Calc)'!$J$3:$J$500),2),"")</f>
        <v>0.61</v>
      </c>
      <c r="K29" s="138">
        <f>IFERROR(ROUND(CORREL('Returns (Calc)'!$AR$3:$AR$500,'Returns (Calc)'!$K$3:$K$500),2),"")</f>
        <v>0.31</v>
      </c>
      <c r="L29" s="138">
        <f>IFERROR(ROUND(CORREL('Returns (Calc)'!$AR$3:$AR$500,'Returns (Calc)'!$L$3:$L$500),2),"")</f>
        <v>0.48</v>
      </c>
      <c r="M29" s="138">
        <f>IFERROR(ROUND(CORREL('Returns (Calc)'!$AR$3:$AR$500,'Returns (Calc)'!$M$3:$M$500),2),"")</f>
        <v>0.44</v>
      </c>
      <c r="N29" s="138">
        <f>IFERROR(ROUND(CORREL('Returns (Calc)'!$AR$3:$AR$500,'Returns (Calc)'!$N$3:$N$500),2),"")</f>
        <v>0.34</v>
      </c>
      <c r="O29" s="138">
        <f>IFERROR(ROUND(CORREL('Returns (Calc)'!$AR$3:$AR$500,'Returns (Calc)'!$O$3:$O$500),2),"")</f>
        <v>0.73</v>
      </c>
      <c r="P29" s="138">
        <f>IFERROR(ROUND(CORREL('Returns (Calc)'!$AR$3:$AR$500,'Returns (Calc)'!$P$3:$P$500),2),"")</f>
        <v>0.76</v>
      </c>
      <c r="Q29" s="138">
        <f>IFERROR(ROUND(CORREL('Returns (Calc)'!$AR$3:$AR$500,'Returns (Calc)'!$Q$3:$Q$500),2),"")</f>
        <v>0.83</v>
      </c>
      <c r="R29" s="138">
        <f>IFERROR(ROUND(CORREL('Returns (Calc)'!$AR$3:$AR$500,'Returns (Calc)'!$R$3:$R$500),2),"")</f>
        <v>0.76</v>
      </c>
      <c r="S29" s="138">
        <f>IFERROR(ROUND(CORREL('Returns (Calc)'!$AR$3:$AR$500,'Returns (Calc)'!$S$3:$S$500),2),"")</f>
        <v>0.67</v>
      </c>
      <c r="T29" s="138">
        <f>IFERROR(ROUND(CORREL('Returns (Calc)'!$AR$3:$AR$500,'Returns (Calc)'!$T$3:$T$500),2),"")</f>
        <v>0.72</v>
      </c>
      <c r="U29" s="138">
        <f>IFERROR(ROUND(CORREL('Returns (Calc)'!$AR$3:$AR$500,'Returns (Calc)'!$U$3:$U$500),2),"")</f>
        <v>0.78</v>
      </c>
      <c r="V29" s="138">
        <f>IFERROR(ROUND(CORREL('Returns (Calc)'!$AR$3:$AR$500,'Returns (Calc)'!$V$3:$V$500),2),"")</f>
        <v>0.63</v>
      </c>
      <c r="W29" s="138">
        <f>IFERROR(ROUND(CORREL('Returns (Calc)'!$AR$3:$AR$500,'Returns (Calc)'!$AP$3:$AP$500),2),"")</f>
        <v>0.9</v>
      </c>
      <c r="X29" s="138">
        <f>IFERROR(ROUND(CORREL('Returns (Calc)'!$AR$3:$AR$500,'Returns (Calc)'!$AQ$3:$AQ$500),2),"")</f>
        <v>-0.1</v>
      </c>
      <c r="Y29" s="138">
        <v>1</v>
      </c>
      <c r="Z29" s="138">
        <f>IFERROR(ROUND(CORREL('Returns (Calc)'!$AR$3:$AR$500,'Returns (Calc)'!$AS$3:$AS$500),2),"")</f>
        <v>0.56999999999999995</v>
      </c>
      <c r="AA29" s="138">
        <f>IFERROR(ROUND(CORREL('Returns (Calc)'!$AR$3:$AR$500,'Returns (Calc)'!$AT$3:$AT$500),2),"")</f>
        <v>0.38</v>
      </c>
      <c r="AG29" s="139">
        <f t="shared" si="0"/>
        <v>7</v>
      </c>
    </row>
    <row r="30" spans="1:33" ht="15" customHeight="1" x14ac:dyDescent="0.2">
      <c r="A30" s="137" t="str">
        <f>'Returns (Calc)'!AS2</f>
        <v>GE</v>
      </c>
      <c r="B30" s="138">
        <f>IFERROR(ROUND(CORREL('Returns (Calc)'!$AS$3:$AS$500,'Returns (Calc)'!$B$3:$B$500),2),"")</f>
        <v>0.09</v>
      </c>
      <c r="C30" s="138">
        <f>IFERROR(ROUND(CORREL('Returns (Calc)'!$AS$3:$AS$500,'Returns (Calc)'!$C$3:$C$500),2),"")</f>
        <v>0.34</v>
      </c>
      <c r="D30" s="138">
        <f>IFERROR(ROUND(CORREL('Returns (Calc)'!$AS$3:$AS$500,'Returns (Calc)'!$D$3:$D$500),2),"")</f>
        <v>0.39</v>
      </c>
      <c r="E30" s="138">
        <f>IFERROR(ROUND(CORREL('Returns (Calc)'!$AS$3:$AS$500,'Returns (Calc)'!$E$3:$E$500),2),"")</f>
        <v>0.36</v>
      </c>
      <c r="F30" s="138">
        <f>IFERROR(ROUND(CORREL('Returns (Calc)'!$AS$3:$AS$500,'Returns (Calc)'!$F$3:$F$500),2),"")</f>
        <v>0.24</v>
      </c>
      <c r="G30" s="138">
        <f>IFERROR(ROUND(CORREL('Returns (Calc)'!$AS$3:$AS$500,'Returns (Calc)'!$G$3:$G$500),2),"")</f>
        <v>0.38</v>
      </c>
      <c r="H30" s="138">
        <f>IFERROR(ROUND(CORREL('Returns (Calc)'!$AS$3:$AS$500,'Returns (Calc)'!$H$3:$H$500),2),"")</f>
        <v>0.36</v>
      </c>
      <c r="I30" s="138">
        <f>IFERROR(ROUND(CORREL('Returns (Calc)'!$AS$3:$AS$500,'Returns (Calc)'!$I$3:$I$500),2),"")</f>
        <v>0.38</v>
      </c>
      <c r="J30" s="138">
        <f>IFERROR(ROUND(CORREL('Returns (Calc)'!$AS$3:$AS$500,'Returns (Calc)'!$J$3:$J$500),2),"")</f>
        <v>0.3</v>
      </c>
      <c r="K30" s="138">
        <f>IFERROR(ROUND(CORREL('Returns (Calc)'!$AS$3:$AS$500,'Returns (Calc)'!$K$3:$K$500),2),"")</f>
        <v>0.26</v>
      </c>
      <c r="L30" s="138">
        <f>IFERROR(ROUND(CORREL('Returns (Calc)'!$AS$3:$AS$500,'Returns (Calc)'!$L$3:$L$500),2),"")</f>
        <v>0.44</v>
      </c>
      <c r="M30" s="138">
        <f>IFERROR(ROUND(CORREL('Returns (Calc)'!$AS$3:$AS$500,'Returns (Calc)'!$M$3:$M$500),2),"")</f>
        <v>0.44</v>
      </c>
      <c r="N30" s="138">
        <f>IFERROR(ROUND(CORREL('Returns (Calc)'!$AS$3:$AS$500,'Returns (Calc)'!$N$3:$N$500),2),"")</f>
        <v>0.08</v>
      </c>
      <c r="O30" s="138">
        <f>IFERROR(ROUND(CORREL('Returns (Calc)'!$AS$3:$AS$500,'Returns (Calc)'!$O$3:$O$500),2),"")</f>
        <v>0.46</v>
      </c>
      <c r="P30" s="138">
        <f>IFERROR(ROUND(CORREL('Returns (Calc)'!$AS$3:$AS$500,'Returns (Calc)'!$P$3:$P$500),2),"")</f>
        <v>0.4</v>
      </c>
      <c r="Q30" s="138">
        <f>IFERROR(ROUND(CORREL('Returns (Calc)'!$AS$3:$AS$500,'Returns (Calc)'!$Q$3:$Q$500),2),"")</f>
        <v>0.53</v>
      </c>
      <c r="R30" s="138">
        <f>IFERROR(ROUND(CORREL('Returns (Calc)'!$AS$3:$AS$500,'Returns (Calc)'!$R$3:$R$500),2),"")</f>
        <v>0.52</v>
      </c>
      <c r="S30" s="138">
        <f>IFERROR(ROUND(CORREL('Returns (Calc)'!$AS$3:$AS$500,'Returns (Calc)'!$S$3:$S$500),2),"")</f>
        <v>0.61</v>
      </c>
      <c r="T30" s="138">
        <f>IFERROR(ROUND(CORREL('Returns (Calc)'!$AS$3:$AS$500,'Returns (Calc)'!$T$3:$T$500),2),"")</f>
        <v>0.44</v>
      </c>
      <c r="U30" s="138">
        <f>IFERROR(ROUND(CORREL('Returns (Calc)'!$AS$3:$AS$500,'Returns (Calc)'!$U$3:$U$500),2),"")</f>
        <v>0.34</v>
      </c>
      <c r="V30" s="138">
        <f>IFERROR(ROUND(CORREL('Returns (Calc)'!$AS$3:$AS$500,'Returns (Calc)'!$V$3:$V$500),2),"")</f>
        <v>0.41</v>
      </c>
      <c r="W30" s="138">
        <f>IFERROR(ROUND(CORREL('Returns (Calc)'!$AS$3:$AS$500,'Returns (Calc)'!$AP$3:$AP$500),2),"")</f>
        <v>0.54</v>
      </c>
      <c r="X30" s="138">
        <f>IFERROR(ROUND(CORREL('Returns (Calc)'!$AS$3:$AS$500,'Returns (Calc)'!$AQ$3:$AQ$500),2),"")</f>
        <v>-0.26</v>
      </c>
      <c r="Y30" s="138">
        <f>IFERROR(ROUND(CORREL('Returns (Calc)'!$AS$3:$AS$500,'Returns (Calc)'!$AR$3:$AR$500),2),"")</f>
        <v>0.56999999999999995</v>
      </c>
      <c r="Z30" s="138">
        <v>1</v>
      </c>
      <c r="AA30" s="138">
        <f>IFERROR(ROUND(CORREL('Returns (Calc)'!$AS$3:$AS$500,'Returns (Calc)'!$AT$3:$AT$500),2),"")</f>
        <v>0.39</v>
      </c>
      <c r="AG30" s="139">
        <f t="shared" si="0"/>
        <v>0</v>
      </c>
    </row>
    <row r="31" spans="1:33" ht="15" customHeight="1" x14ac:dyDescent="0.2">
      <c r="A31" s="137" t="str">
        <f>'Returns (Calc)'!AT2</f>
        <v>NFLX</v>
      </c>
      <c r="B31" s="138">
        <f>IFERROR(ROUND(CORREL('Returns (Calc)'!$AT$3:$AT$500,'Returns (Calc)'!$B$3:$B$500),2),"")</f>
        <v>0.21</v>
      </c>
      <c r="C31" s="138">
        <f>IFERROR(ROUND(CORREL('Returns (Calc)'!$AT$3:$AT$500,'Returns (Calc)'!$C$3:$C$500),2),"")</f>
        <v>0.39</v>
      </c>
      <c r="D31" s="138">
        <f>IFERROR(ROUND(CORREL('Returns (Calc)'!$AT$3:$AT$500,'Returns (Calc)'!$D$3:$D$500),2),"")</f>
        <v>0.21</v>
      </c>
      <c r="E31" s="138">
        <f>IFERROR(ROUND(CORREL('Returns (Calc)'!$AT$3:$AT$500,'Returns (Calc)'!$E$3:$E$500),2),"")</f>
        <v>0.3</v>
      </c>
      <c r="F31" s="138">
        <f>IFERROR(ROUND(CORREL('Returns (Calc)'!$AT$3:$AT$500,'Returns (Calc)'!$F$3:$F$500),2),"")</f>
        <v>0.24</v>
      </c>
      <c r="G31" s="138">
        <f>IFERROR(ROUND(CORREL('Returns (Calc)'!$AT$3:$AT$500,'Returns (Calc)'!$G$3:$G$500),2),"")</f>
        <v>0.11</v>
      </c>
      <c r="H31" s="138">
        <f>IFERROR(ROUND(CORREL('Returns (Calc)'!$AT$3:$AT$500,'Returns (Calc)'!$H$3:$H$500),2),"")</f>
        <v>0.1</v>
      </c>
      <c r="I31" s="138">
        <f>IFERROR(ROUND(CORREL('Returns (Calc)'!$AT$3:$AT$500,'Returns (Calc)'!$I$3:$I$500),2),"")</f>
        <v>0.27</v>
      </c>
      <c r="J31" s="138">
        <f>IFERROR(ROUND(CORREL('Returns (Calc)'!$AT$3:$AT$500,'Returns (Calc)'!$J$3:$J$500),2),"")</f>
        <v>0.13</v>
      </c>
      <c r="K31" s="138">
        <f>IFERROR(ROUND(CORREL('Returns (Calc)'!$AT$3:$AT$500,'Returns (Calc)'!$K$3:$K$500),2),"")</f>
        <v>0.3</v>
      </c>
      <c r="L31" s="138">
        <f>IFERROR(ROUND(CORREL('Returns (Calc)'!$AT$3:$AT$500,'Returns (Calc)'!$L$3:$L$500),2),"")</f>
        <v>0.3</v>
      </c>
      <c r="M31" s="138">
        <f>IFERROR(ROUND(CORREL('Returns (Calc)'!$AT$3:$AT$500,'Returns (Calc)'!$M$3:$M$500),2),"")</f>
        <v>0.32</v>
      </c>
      <c r="N31" s="138">
        <f>IFERROR(ROUND(CORREL('Returns (Calc)'!$AT$3:$AT$500,'Returns (Calc)'!$N$3:$N$500),2),"")</f>
        <v>0.08</v>
      </c>
      <c r="O31" s="138">
        <f>IFERROR(ROUND(CORREL('Returns (Calc)'!$AT$3:$AT$500,'Returns (Calc)'!$O$3:$O$500),2),"")</f>
        <v>0.21</v>
      </c>
      <c r="P31" s="138">
        <f>IFERROR(ROUND(CORREL('Returns (Calc)'!$AT$3:$AT$500,'Returns (Calc)'!$P$3:$P$500),2),"")</f>
        <v>0.18</v>
      </c>
      <c r="Q31" s="138">
        <f>IFERROR(ROUND(CORREL('Returns (Calc)'!$AT$3:$AT$500,'Returns (Calc)'!$Q$3:$Q$500),2),"")</f>
        <v>0.39</v>
      </c>
      <c r="R31" s="138">
        <f>IFERROR(ROUND(CORREL('Returns (Calc)'!$AT$3:$AT$500,'Returns (Calc)'!$R$3:$R$500),2),"")</f>
        <v>0.43</v>
      </c>
      <c r="S31" s="138">
        <f>IFERROR(ROUND(CORREL('Returns (Calc)'!$AT$3:$AT$500,'Returns (Calc)'!$S$3:$S$500),2),"")</f>
        <v>0.41</v>
      </c>
      <c r="T31" s="138">
        <f>IFERROR(ROUND(CORREL('Returns (Calc)'!$AT$3:$AT$500,'Returns (Calc)'!$T$3:$T$500),2),"")</f>
        <v>0.25</v>
      </c>
      <c r="U31" s="138">
        <f>IFERROR(ROUND(CORREL('Returns (Calc)'!$AT$3:$AT$500,'Returns (Calc)'!$U$3:$U$500),2),"")</f>
        <v>0.16</v>
      </c>
      <c r="V31" s="138">
        <f>IFERROR(ROUND(CORREL('Returns (Calc)'!$AT$3:$AT$500,'Returns (Calc)'!$V$3:$V$500),2),"")</f>
        <v>0.28999999999999998</v>
      </c>
      <c r="W31" s="138">
        <f>IFERROR(ROUND(CORREL('Returns (Calc)'!$AT$3:$AT$500,'Returns (Calc)'!$AP$3:$AP$500),2),"")</f>
        <v>0.3</v>
      </c>
      <c r="X31" s="138">
        <f>IFERROR(ROUND(CORREL('Returns (Calc)'!$AT$3:$AT$500,'Returns (Calc)'!$AQ$3:$AQ$500),2),"")</f>
        <v>-0.01</v>
      </c>
      <c r="Y31" s="138">
        <f>IFERROR(ROUND(CORREL('Returns (Calc)'!$AT$3:$AT$500,'Returns (Calc)'!$AR$3:$AR$500),2),"")</f>
        <v>0.38</v>
      </c>
      <c r="Z31" s="138">
        <f>IFERROR(ROUND(CORREL('Returns (Calc)'!$AT$3:$AT$500,'Returns (Calc)'!$AS$3:$AS$500),2),"")</f>
        <v>0.39</v>
      </c>
      <c r="AA31" s="138">
        <v>1</v>
      </c>
      <c r="AG31" s="139">
        <f t="shared" si="0"/>
        <v>0</v>
      </c>
    </row>
  </sheetData>
  <mergeCells count="1">
    <mergeCell ref="A1:AG1"/>
  </mergeCells>
  <conditionalFormatting sqref="B6:AA31">
    <cfRule type="expression" dxfId="60" priority="2">
      <formula>AND(B6&lt;&gt;1,ABS(B6)&gt;0.7)</formula>
    </cfRule>
  </conditionalFormatting>
  <conditionalFormatting sqref="J3">
    <cfRule type="cellIs" dxfId="59" priority="4" operator="equal">
      <formula>"REVIEW REQUIRED"</formula>
    </cfRule>
    <cfRule type="cellIs" dxfId="58" priority="5" operator="equal">
      <formula>"OK"</formula>
    </cfRule>
  </conditionalFormatting>
  <conditionalFormatting sqref="AG6:AG31">
    <cfRule type="cellIs" dxfId="57" priority="3" operator="greaterThan">
      <formula>1</formula>
    </cfRule>
  </conditionalFormatting>
  <pageMargins left="0.75" right="0.75" top="1" bottom="1" header="0.511811023622047" footer="0.511811023622047"/>
  <pageSetup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42"/>
  <sheetViews>
    <sheetView showGridLines="0" zoomScaleNormal="100" workbookViewId="0">
      <pane ySplit="2" topLeftCell="A3" activePane="bottomLeft" state="frozen"/>
      <selection pane="bottomLeft" activeCell="H12" sqref="H12"/>
    </sheetView>
  </sheetViews>
  <sheetFormatPr baseColWidth="10" defaultColWidth="8.6640625" defaultRowHeight="15" x14ac:dyDescent="0.2"/>
  <cols>
    <col min="1" max="1" width="12" customWidth="1"/>
    <col min="2" max="3" width="15" customWidth="1"/>
    <col min="4" max="4" width="12" customWidth="1"/>
    <col min="5" max="6" width="13" customWidth="1"/>
    <col min="7" max="7" width="22" customWidth="1"/>
    <col min="8" max="8" width="30" style="121" customWidth="1"/>
  </cols>
  <sheetData>
    <row r="1" spans="1:8" ht="24" customHeight="1" x14ac:dyDescent="0.2">
      <c r="A1" s="182" t="s">
        <v>464</v>
      </c>
      <c r="B1" s="182"/>
      <c r="C1" s="182"/>
      <c r="D1" s="182"/>
      <c r="E1" s="182"/>
      <c r="F1" s="182"/>
      <c r="G1" s="182"/>
      <c r="H1" s="182"/>
    </row>
    <row r="2" spans="1:8" ht="27.75" customHeight="1" x14ac:dyDescent="0.2">
      <c r="A2" s="98" t="s">
        <v>465</v>
      </c>
      <c r="B2" s="98" t="s">
        <v>466</v>
      </c>
      <c r="C2" s="98" t="s">
        <v>467</v>
      </c>
      <c r="D2" s="98" t="s">
        <v>468</v>
      </c>
      <c r="E2" s="98" t="s">
        <v>469</v>
      </c>
      <c r="F2" s="98" t="s">
        <v>470</v>
      </c>
      <c r="G2" s="98" t="s">
        <v>471</v>
      </c>
      <c r="H2" s="98" t="s">
        <v>210</v>
      </c>
    </row>
    <row r="3" spans="1:8" ht="15" customHeight="1" x14ac:dyDescent="0.2">
      <c r="A3" s="140">
        <v>46245</v>
      </c>
      <c r="B3" s="141">
        <v>700739.19</v>
      </c>
      <c r="C3" s="142">
        <f>IF(B3="","",B3)</f>
        <v>700739.19</v>
      </c>
      <c r="D3" s="143">
        <f t="shared" ref="D3:D42" si="0">IF(OR(B3="",C3=""),"",B3/C3-1)</f>
        <v>0</v>
      </c>
      <c r="E3" s="144" t="str">
        <f t="shared" ref="E3:E42" si="1">IF(D3="","",IF(D3&gt;=-0.1,"Normal",IF(D3&gt;=-0.2,"Elevated",IF(D3&gt;=-0.3,"Severe","Critical"))))</f>
        <v>Normal</v>
      </c>
      <c r="F3" s="145" t="str">
        <f t="shared" ref="F3:F42" si="2">IF(E3="","",IF(E3="Normal","5-15%",IF(E3="Elevated","15%",IF(E3="Severe","20%","25%"))))</f>
        <v>5-15%</v>
      </c>
      <c r="G3" s="145" t="str">
        <f t="shared" ref="G3:G42" si="3">IF(E3="","",IF(E3="Normal","Standard (score &gt;=65)",IF(E3="Elevated","Restricted (score &gt;=80 only)","Suspended")))</f>
        <v>Standard (score &gt;=65)</v>
      </c>
      <c r="H3" s="146"/>
    </row>
    <row r="4" spans="1:8" ht="15" customHeight="1" x14ac:dyDescent="0.2">
      <c r="A4" s="140">
        <v>46269</v>
      </c>
      <c r="B4" s="141">
        <v>751223.12</v>
      </c>
      <c r="C4" s="142">
        <f t="shared" ref="C4:C42" si="4">IF(B4="","",MAX(C3,B4))</f>
        <v>751223.12</v>
      </c>
      <c r="D4" s="143">
        <f t="shared" si="0"/>
        <v>0</v>
      </c>
      <c r="E4" s="144" t="str">
        <f t="shared" si="1"/>
        <v>Normal</v>
      </c>
      <c r="F4" s="145" t="str">
        <f t="shared" si="2"/>
        <v>5-15%</v>
      </c>
      <c r="G4" s="145" t="str">
        <f t="shared" si="3"/>
        <v>Standard (score &gt;=65)</v>
      </c>
      <c r="H4" s="146" t="s">
        <v>472</v>
      </c>
    </row>
    <row r="5" spans="1:8" ht="15" customHeight="1" x14ac:dyDescent="0.2">
      <c r="A5" s="140">
        <v>46295</v>
      </c>
      <c r="B5" s="141">
        <v>741557.65</v>
      </c>
      <c r="C5" s="142">
        <f t="shared" si="4"/>
        <v>751223.12</v>
      </c>
      <c r="D5" s="143">
        <f t="shared" si="0"/>
        <v>-1.2866310610887499E-2</v>
      </c>
      <c r="E5" s="144" t="str">
        <f t="shared" si="1"/>
        <v>Normal</v>
      </c>
      <c r="F5" s="145" t="str">
        <f t="shared" si="2"/>
        <v>5-15%</v>
      </c>
      <c r="G5" s="145" t="str">
        <f t="shared" si="3"/>
        <v>Standard (score &gt;=65)</v>
      </c>
      <c r="H5" s="146" t="s">
        <v>473</v>
      </c>
    </row>
    <row r="6" spans="1:8" ht="15" customHeight="1" x14ac:dyDescent="0.2">
      <c r="A6" s="140"/>
      <c r="B6" s="141"/>
      <c r="C6" s="142" t="str">
        <f t="shared" si="4"/>
        <v/>
      </c>
      <c r="D6" s="143" t="str">
        <f t="shared" si="0"/>
        <v/>
      </c>
      <c r="E6" s="144" t="str">
        <f t="shared" si="1"/>
        <v/>
      </c>
      <c r="F6" s="145" t="str">
        <f t="shared" si="2"/>
        <v/>
      </c>
      <c r="G6" s="145" t="str">
        <f t="shared" si="3"/>
        <v/>
      </c>
      <c r="H6" s="146"/>
    </row>
    <row r="7" spans="1:8" ht="15" customHeight="1" x14ac:dyDescent="0.2">
      <c r="A7" s="140"/>
      <c r="B7" s="141"/>
      <c r="C7" s="142" t="str">
        <f t="shared" si="4"/>
        <v/>
      </c>
      <c r="D7" s="143" t="str">
        <f t="shared" si="0"/>
        <v/>
      </c>
      <c r="E7" s="144" t="str">
        <f t="shared" si="1"/>
        <v/>
      </c>
      <c r="F7" s="145" t="str">
        <f t="shared" si="2"/>
        <v/>
      </c>
      <c r="G7" s="145" t="str">
        <f t="shared" si="3"/>
        <v/>
      </c>
      <c r="H7" s="146"/>
    </row>
    <row r="8" spans="1:8" ht="15" customHeight="1" x14ac:dyDescent="0.2">
      <c r="A8" s="140"/>
      <c r="B8" s="141"/>
      <c r="C8" s="142" t="str">
        <f t="shared" si="4"/>
        <v/>
      </c>
      <c r="D8" s="143" t="str">
        <f t="shared" si="0"/>
        <v/>
      </c>
      <c r="E8" s="144" t="str">
        <f t="shared" si="1"/>
        <v/>
      </c>
      <c r="F8" s="145" t="str">
        <f t="shared" si="2"/>
        <v/>
      </c>
      <c r="G8" s="145" t="str">
        <f t="shared" si="3"/>
        <v/>
      </c>
      <c r="H8" s="146"/>
    </row>
    <row r="9" spans="1:8" ht="15" customHeight="1" x14ac:dyDescent="0.2">
      <c r="A9" s="140"/>
      <c r="B9" s="141"/>
      <c r="C9" s="142" t="str">
        <f t="shared" si="4"/>
        <v/>
      </c>
      <c r="D9" s="143" t="str">
        <f t="shared" si="0"/>
        <v/>
      </c>
      <c r="E9" s="144" t="str">
        <f t="shared" si="1"/>
        <v/>
      </c>
      <c r="F9" s="145" t="str">
        <f t="shared" si="2"/>
        <v/>
      </c>
      <c r="G9" s="145" t="str">
        <f t="shared" si="3"/>
        <v/>
      </c>
      <c r="H9" s="146"/>
    </row>
    <row r="10" spans="1:8" ht="15" customHeight="1" x14ac:dyDescent="0.2">
      <c r="A10" s="140"/>
      <c r="B10" s="141"/>
      <c r="C10" s="142" t="str">
        <f t="shared" si="4"/>
        <v/>
      </c>
      <c r="D10" s="143" t="str">
        <f t="shared" si="0"/>
        <v/>
      </c>
      <c r="E10" s="144" t="str">
        <f t="shared" si="1"/>
        <v/>
      </c>
      <c r="F10" s="145" t="str">
        <f t="shared" si="2"/>
        <v/>
      </c>
      <c r="G10" s="145" t="str">
        <f t="shared" si="3"/>
        <v/>
      </c>
      <c r="H10" s="146"/>
    </row>
    <row r="11" spans="1:8" ht="15" customHeight="1" x14ac:dyDescent="0.2">
      <c r="A11" s="140"/>
      <c r="B11" s="141"/>
      <c r="C11" s="142" t="str">
        <f t="shared" si="4"/>
        <v/>
      </c>
      <c r="D11" s="143" t="str">
        <f t="shared" si="0"/>
        <v/>
      </c>
      <c r="E11" s="144" t="str">
        <f t="shared" si="1"/>
        <v/>
      </c>
      <c r="F11" s="145" t="str">
        <f t="shared" si="2"/>
        <v/>
      </c>
      <c r="G11" s="145" t="str">
        <f t="shared" si="3"/>
        <v/>
      </c>
      <c r="H11" s="146"/>
    </row>
    <row r="12" spans="1:8" ht="15" customHeight="1" x14ac:dyDescent="0.2">
      <c r="A12" s="140"/>
      <c r="B12" s="141"/>
      <c r="C12" s="142" t="str">
        <f t="shared" si="4"/>
        <v/>
      </c>
      <c r="D12" s="143" t="str">
        <f t="shared" si="0"/>
        <v/>
      </c>
      <c r="E12" s="144" t="str">
        <f t="shared" si="1"/>
        <v/>
      </c>
      <c r="F12" s="145" t="str">
        <f t="shared" si="2"/>
        <v/>
      </c>
      <c r="G12" s="145" t="str">
        <f t="shared" si="3"/>
        <v/>
      </c>
      <c r="H12" s="146"/>
    </row>
    <row r="13" spans="1:8" ht="15" customHeight="1" x14ac:dyDescent="0.2">
      <c r="A13" s="140"/>
      <c r="B13" s="141"/>
      <c r="C13" s="142" t="str">
        <f t="shared" si="4"/>
        <v/>
      </c>
      <c r="D13" s="143" t="str">
        <f t="shared" si="0"/>
        <v/>
      </c>
      <c r="E13" s="144" t="str">
        <f t="shared" si="1"/>
        <v/>
      </c>
      <c r="F13" s="145" t="str">
        <f t="shared" si="2"/>
        <v/>
      </c>
      <c r="G13" s="145" t="str">
        <f t="shared" si="3"/>
        <v/>
      </c>
      <c r="H13" s="146"/>
    </row>
    <row r="14" spans="1:8" ht="15" customHeight="1" x14ac:dyDescent="0.2">
      <c r="A14" s="140"/>
      <c r="B14" s="141"/>
      <c r="C14" s="142" t="str">
        <f t="shared" si="4"/>
        <v/>
      </c>
      <c r="D14" s="143" t="str">
        <f t="shared" si="0"/>
        <v/>
      </c>
      <c r="E14" s="144" t="str">
        <f t="shared" si="1"/>
        <v/>
      </c>
      <c r="F14" s="145" t="str">
        <f t="shared" si="2"/>
        <v/>
      </c>
      <c r="G14" s="145" t="str">
        <f t="shared" si="3"/>
        <v/>
      </c>
      <c r="H14" s="146"/>
    </row>
    <row r="15" spans="1:8" ht="15" customHeight="1" x14ac:dyDescent="0.2">
      <c r="A15" s="140"/>
      <c r="B15" s="141"/>
      <c r="C15" s="142" t="str">
        <f t="shared" si="4"/>
        <v/>
      </c>
      <c r="D15" s="143" t="str">
        <f t="shared" si="0"/>
        <v/>
      </c>
      <c r="E15" s="144" t="str">
        <f t="shared" si="1"/>
        <v/>
      </c>
      <c r="F15" s="145" t="str">
        <f t="shared" si="2"/>
        <v/>
      </c>
      <c r="G15" s="145" t="str">
        <f t="shared" si="3"/>
        <v/>
      </c>
      <c r="H15" s="146"/>
    </row>
    <row r="16" spans="1:8" ht="15" customHeight="1" x14ac:dyDescent="0.2">
      <c r="A16" s="140"/>
      <c r="B16" s="141"/>
      <c r="C16" s="142" t="str">
        <f t="shared" si="4"/>
        <v/>
      </c>
      <c r="D16" s="143" t="str">
        <f t="shared" si="0"/>
        <v/>
      </c>
      <c r="E16" s="144" t="str">
        <f t="shared" si="1"/>
        <v/>
      </c>
      <c r="F16" s="145" t="str">
        <f t="shared" si="2"/>
        <v/>
      </c>
      <c r="G16" s="145" t="str">
        <f t="shared" si="3"/>
        <v/>
      </c>
      <c r="H16" s="146"/>
    </row>
    <row r="17" spans="1:8" ht="15" customHeight="1" x14ac:dyDescent="0.2">
      <c r="A17" s="140"/>
      <c r="B17" s="141"/>
      <c r="C17" s="142" t="str">
        <f t="shared" si="4"/>
        <v/>
      </c>
      <c r="D17" s="143" t="str">
        <f t="shared" si="0"/>
        <v/>
      </c>
      <c r="E17" s="144" t="str">
        <f t="shared" si="1"/>
        <v/>
      </c>
      <c r="F17" s="145" t="str">
        <f t="shared" si="2"/>
        <v/>
      </c>
      <c r="G17" s="145" t="str">
        <f t="shared" si="3"/>
        <v/>
      </c>
      <c r="H17" s="146"/>
    </row>
    <row r="18" spans="1:8" ht="15" customHeight="1" x14ac:dyDescent="0.2">
      <c r="A18" s="140"/>
      <c r="B18" s="141"/>
      <c r="C18" s="142" t="str">
        <f t="shared" si="4"/>
        <v/>
      </c>
      <c r="D18" s="143" t="str">
        <f t="shared" si="0"/>
        <v/>
      </c>
      <c r="E18" s="144" t="str">
        <f t="shared" si="1"/>
        <v/>
      </c>
      <c r="F18" s="145" t="str">
        <f t="shared" si="2"/>
        <v/>
      </c>
      <c r="G18" s="145" t="str">
        <f t="shared" si="3"/>
        <v/>
      </c>
      <c r="H18" s="146"/>
    </row>
    <row r="19" spans="1:8" ht="15" customHeight="1" x14ac:dyDescent="0.2">
      <c r="A19" s="140"/>
      <c r="B19" s="141"/>
      <c r="C19" s="142" t="str">
        <f t="shared" si="4"/>
        <v/>
      </c>
      <c r="D19" s="143" t="str">
        <f t="shared" si="0"/>
        <v/>
      </c>
      <c r="E19" s="144" t="str">
        <f t="shared" si="1"/>
        <v/>
      </c>
      <c r="F19" s="145" t="str">
        <f t="shared" si="2"/>
        <v/>
      </c>
      <c r="G19" s="145" t="str">
        <f t="shared" si="3"/>
        <v/>
      </c>
      <c r="H19" s="146"/>
    </row>
    <row r="20" spans="1:8" ht="15" customHeight="1" x14ac:dyDescent="0.2">
      <c r="A20" s="140"/>
      <c r="B20" s="141"/>
      <c r="C20" s="142" t="str">
        <f t="shared" si="4"/>
        <v/>
      </c>
      <c r="D20" s="143" t="str">
        <f t="shared" si="0"/>
        <v/>
      </c>
      <c r="E20" s="144" t="str">
        <f t="shared" si="1"/>
        <v/>
      </c>
      <c r="F20" s="145" t="str">
        <f t="shared" si="2"/>
        <v/>
      </c>
      <c r="G20" s="145" t="str">
        <f t="shared" si="3"/>
        <v/>
      </c>
      <c r="H20" s="146"/>
    </row>
    <row r="21" spans="1:8" ht="15" customHeight="1" x14ac:dyDescent="0.2">
      <c r="A21" s="140"/>
      <c r="B21" s="141"/>
      <c r="C21" s="142" t="str">
        <f t="shared" si="4"/>
        <v/>
      </c>
      <c r="D21" s="143" t="str">
        <f t="shared" si="0"/>
        <v/>
      </c>
      <c r="E21" s="144" t="str">
        <f t="shared" si="1"/>
        <v/>
      </c>
      <c r="F21" s="145" t="str">
        <f t="shared" si="2"/>
        <v/>
      </c>
      <c r="G21" s="145" t="str">
        <f t="shared" si="3"/>
        <v/>
      </c>
      <c r="H21" s="146"/>
    </row>
    <row r="22" spans="1:8" ht="15" customHeight="1" x14ac:dyDescent="0.2">
      <c r="A22" s="140"/>
      <c r="B22" s="141"/>
      <c r="C22" s="142" t="str">
        <f t="shared" si="4"/>
        <v/>
      </c>
      <c r="D22" s="143" t="str">
        <f t="shared" si="0"/>
        <v/>
      </c>
      <c r="E22" s="144" t="str">
        <f t="shared" si="1"/>
        <v/>
      </c>
      <c r="F22" s="145" t="str">
        <f t="shared" si="2"/>
        <v/>
      </c>
      <c r="G22" s="145" t="str">
        <f t="shared" si="3"/>
        <v/>
      </c>
      <c r="H22" s="146"/>
    </row>
    <row r="23" spans="1:8" ht="15" customHeight="1" x14ac:dyDescent="0.2">
      <c r="A23" s="140"/>
      <c r="B23" s="141"/>
      <c r="C23" s="142" t="str">
        <f t="shared" si="4"/>
        <v/>
      </c>
      <c r="D23" s="143" t="str">
        <f t="shared" si="0"/>
        <v/>
      </c>
      <c r="E23" s="144" t="str">
        <f t="shared" si="1"/>
        <v/>
      </c>
      <c r="F23" s="145" t="str">
        <f t="shared" si="2"/>
        <v/>
      </c>
      <c r="G23" s="145" t="str">
        <f t="shared" si="3"/>
        <v/>
      </c>
      <c r="H23" s="146"/>
    </row>
    <row r="24" spans="1:8" ht="15" customHeight="1" x14ac:dyDescent="0.2">
      <c r="A24" s="140"/>
      <c r="B24" s="141"/>
      <c r="C24" s="142" t="str">
        <f t="shared" si="4"/>
        <v/>
      </c>
      <c r="D24" s="143" t="str">
        <f t="shared" si="0"/>
        <v/>
      </c>
      <c r="E24" s="144" t="str">
        <f t="shared" si="1"/>
        <v/>
      </c>
      <c r="F24" s="145" t="str">
        <f t="shared" si="2"/>
        <v/>
      </c>
      <c r="G24" s="145" t="str">
        <f t="shared" si="3"/>
        <v/>
      </c>
      <c r="H24" s="146"/>
    </row>
    <row r="25" spans="1:8" ht="15" customHeight="1" x14ac:dyDescent="0.2">
      <c r="A25" s="140"/>
      <c r="B25" s="141"/>
      <c r="C25" s="142" t="str">
        <f t="shared" si="4"/>
        <v/>
      </c>
      <c r="D25" s="143" t="str">
        <f t="shared" si="0"/>
        <v/>
      </c>
      <c r="E25" s="144" t="str">
        <f t="shared" si="1"/>
        <v/>
      </c>
      <c r="F25" s="145" t="str">
        <f t="shared" si="2"/>
        <v/>
      </c>
      <c r="G25" s="145" t="str">
        <f t="shared" si="3"/>
        <v/>
      </c>
      <c r="H25" s="146"/>
    </row>
    <row r="26" spans="1:8" ht="15" customHeight="1" x14ac:dyDescent="0.2">
      <c r="A26" s="140"/>
      <c r="B26" s="141"/>
      <c r="C26" s="142" t="str">
        <f t="shared" si="4"/>
        <v/>
      </c>
      <c r="D26" s="143" t="str">
        <f t="shared" si="0"/>
        <v/>
      </c>
      <c r="E26" s="144" t="str">
        <f t="shared" si="1"/>
        <v/>
      </c>
      <c r="F26" s="145" t="str">
        <f t="shared" si="2"/>
        <v/>
      </c>
      <c r="G26" s="145" t="str">
        <f t="shared" si="3"/>
        <v/>
      </c>
      <c r="H26" s="146"/>
    </row>
    <row r="27" spans="1:8" ht="15" customHeight="1" x14ac:dyDescent="0.2">
      <c r="A27" s="140"/>
      <c r="B27" s="141"/>
      <c r="C27" s="142" t="str">
        <f t="shared" si="4"/>
        <v/>
      </c>
      <c r="D27" s="143" t="str">
        <f t="shared" si="0"/>
        <v/>
      </c>
      <c r="E27" s="144" t="str">
        <f t="shared" si="1"/>
        <v/>
      </c>
      <c r="F27" s="145" t="str">
        <f t="shared" si="2"/>
        <v/>
      </c>
      <c r="G27" s="145" t="str">
        <f t="shared" si="3"/>
        <v/>
      </c>
      <c r="H27" s="146"/>
    </row>
    <row r="28" spans="1:8" ht="15" customHeight="1" x14ac:dyDescent="0.2">
      <c r="A28" s="140"/>
      <c r="B28" s="141"/>
      <c r="C28" s="142" t="str">
        <f t="shared" si="4"/>
        <v/>
      </c>
      <c r="D28" s="143" t="str">
        <f t="shared" si="0"/>
        <v/>
      </c>
      <c r="E28" s="144" t="str">
        <f t="shared" si="1"/>
        <v/>
      </c>
      <c r="F28" s="145" t="str">
        <f t="shared" si="2"/>
        <v/>
      </c>
      <c r="G28" s="145" t="str">
        <f t="shared" si="3"/>
        <v/>
      </c>
      <c r="H28" s="146"/>
    </row>
    <row r="29" spans="1:8" ht="15" customHeight="1" x14ac:dyDescent="0.2">
      <c r="A29" s="140"/>
      <c r="B29" s="141"/>
      <c r="C29" s="142" t="str">
        <f t="shared" si="4"/>
        <v/>
      </c>
      <c r="D29" s="143" t="str">
        <f t="shared" si="0"/>
        <v/>
      </c>
      <c r="E29" s="144" t="str">
        <f t="shared" si="1"/>
        <v/>
      </c>
      <c r="F29" s="145" t="str">
        <f t="shared" si="2"/>
        <v/>
      </c>
      <c r="G29" s="145" t="str">
        <f t="shared" si="3"/>
        <v/>
      </c>
      <c r="H29" s="146"/>
    </row>
    <row r="30" spans="1:8" ht="15" customHeight="1" x14ac:dyDescent="0.2">
      <c r="A30" s="140"/>
      <c r="B30" s="141"/>
      <c r="C30" s="142" t="str">
        <f t="shared" si="4"/>
        <v/>
      </c>
      <c r="D30" s="143" t="str">
        <f t="shared" si="0"/>
        <v/>
      </c>
      <c r="E30" s="144" t="str">
        <f t="shared" si="1"/>
        <v/>
      </c>
      <c r="F30" s="145" t="str">
        <f t="shared" si="2"/>
        <v/>
      </c>
      <c r="G30" s="145" t="str">
        <f t="shared" si="3"/>
        <v/>
      </c>
      <c r="H30" s="146"/>
    </row>
    <row r="31" spans="1:8" ht="15" customHeight="1" x14ac:dyDescent="0.2">
      <c r="A31" s="140"/>
      <c r="B31" s="141"/>
      <c r="C31" s="142" t="str">
        <f t="shared" si="4"/>
        <v/>
      </c>
      <c r="D31" s="143" t="str">
        <f t="shared" si="0"/>
        <v/>
      </c>
      <c r="E31" s="144" t="str">
        <f t="shared" si="1"/>
        <v/>
      </c>
      <c r="F31" s="145" t="str">
        <f t="shared" si="2"/>
        <v/>
      </c>
      <c r="G31" s="145" t="str">
        <f t="shared" si="3"/>
        <v/>
      </c>
      <c r="H31" s="146"/>
    </row>
    <row r="32" spans="1:8" ht="15" customHeight="1" x14ac:dyDescent="0.2">
      <c r="A32" s="140"/>
      <c r="B32" s="141"/>
      <c r="C32" s="142" t="str">
        <f t="shared" si="4"/>
        <v/>
      </c>
      <c r="D32" s="143" t="str">
        <f t="shared" si="0"/>
        <v/>
      </c>
      <c r="E32" s="144" t="str">
        <f t="shared" si="1"/>
        <v/>
      </c>
      <c r="F32" s="145" t="str">
        <f t="shared" si="2"/>
        <v/>
      </c>
      <c r="G32" s="145" t="str">
        <f t="shared" si="3"/>
        <v/>
      </c>
      <c r="H32" s="146"/>
    </row>
    <row r="33" spans="1:8" ht="15" customHeight="1" x14ac:dyDescent="0.2">
      <c r="A33" s="140"/>
      <c r="B33" s="141"/>
      <c r="C33" s="142" t="str">
        <f t="shared" si="4"/>
        <v/>
      </c>
      <c r="D33" s="143" t="str">
        <f t="shared" si="0"/>
        <v/>
      </c>
      <c r="E33" s="144" t="str">
        <f t="shared" si="1"/>
        <v/>
      </c>
      <c r="F33" s="145" t="str">
        <f t="shared" si="2"/>
        <v/>
      </c>
      <c r="G33" s="145" t="str">
        <f t="shared" si="3"/>
        <v/>
      </c>
      <c r="H33" s="146"/>
    </row>
    <row r="34" spans="1:8" ht="15" customHeight="1" x14ac:dyDescent="0.2">
      <c r="A34" s="140"/>
      <c r="B34" s="141"/>
      <c r="C34" s="142" t="str">
        <f t="shared" si="4"/>
        <v/>
      </c>
      <c r="D34" s="143" t="str">
        <f t="shared" si="0"/>
        <v/>
      </c>
      <c r="E34" s="144" t="str">
        <f t="shared" si="1"/>
        <v/>
      </c>
      <c r="F34" s="145" t="str">
        <f t="shared" si="2"/>
        <v/>
      </c>
      <c r="G34" s="145" t="str">
        <f t="shared" si="3"/>
        <v/>
      </c>
      <c r="H34" s="146"/>
    </row>
    <row r="35" spans="1:8" ht="15" customHeight="1" x14ac:dyDescent="0.2">
      <c r="A35" s="140"/>
      <c r="B35" s="141"/>
      <c r="C35" s="142" t="str">
        <f t="shared" si="4"/>
        <v/>
      </c>
      <c r="D35" s="143" t="str">
        <f t="shared" si="0"/>
        <v/>
      </c>
      <c r="E35" s="144" t="str">
        <f t="shared" si="1"/>
        <v/>
      </c>
      <c r="F35" s="145" t="str">
        <f t="shared" si="2"/>
        <v/>
      </c>
      <c r="G35" s="145" t="str">
        <f t="shared" si="3"/>
        <v/>
      </c>
      <c r="H35" s="146"/>
    </row>
    <row r="36" spans="1:8" ht="15" customHeight="1" x14ac:dyDescent="0.2">
      <c r="A36" s="140"/>
      <c r="B36" s="141"/>
      <c r="C36" s="142" t="str">
        <f t="shared" si="4"/>
        <v/>
      </c>
      <c r="D36" s="143" t="str">
        <f t="shared" si="0"/>
        <v/>
      </c>
      <c r="E36" s="144" t="str">
        <f t="shared" si="1"/>
        <v/>
      </c>
      <c r="F36" s="145" t="str">
        <f t="shared" si="2"/>
        <v/>
      </c>
      <c r="G36" s="145" t="str">
        <f t="shared" si="3"/>
        <v/>
      </c>
      <c r="H36" s="146"/>
    </row>
    <row r="37" spans="1:8" ht="15" customHeight="1" x14ac:dyDescent="0.2">
      <c r="A37" s="140"/>
      <c r="B37" s="141"/>
      <c r="C37" s="142" t="str">
        <f t="shared" si="4"/>
        <v/>
      </c>
      <c r="D37" s="143" t="str">
        <f t="shared" si="0"/>
        <v/>
      </c>
      <c r="E37" s="144" t="str">
        <f t="shared" si="1"/>
        <v/>
      </c>
      <c r="F37" s="145" t="str">
        <f t="shared" si="2"/>
        <v/>
      </c>
      <c r="G37" s="145" t="str">
        <f t="shared" si="3"/>
        <v/>
      </c>
      <c r="H37" s="146"/>
    </row>
    <row r="38" spans="1:8" ht="15" customHeight="1" x14ac:dyDescent="0.2">
      <c r="A38" s="140"/>
      <c r="B38" s="141"/>
      <c r="C38" s="142" t="str">
        <f t="shared" si="4"/>
        <v/>
      </c>
      <c r="D38" s="143" t="str">
        <f t="shared" si="0"/>
        <v/>
      </c>
      <c r="E38" s="144" t="str">
        <f t="shared" si="1"/>
        <v/>
      </c>
      <c r="F38" s="145" t="str">
        <f t="shared" si="2"/>
        <v/>
      </c>
      <c r="G38" s="145" t="str">
        <f t="shared" si="3"/>
        <v/>
      </c>
      <c r="H38" s="146"/>
    </row>
    <row r="39" spans="1:8" ht="15" customHeight="1" x14ac:dyDescent="0.2">
      <c r="A39" s="140"/>
      <c r="B39" s="141"/>
      <c r="C39" s="142" t="str">
        <f t="shared" si="4"/>
        <v/>
      </c>
      <c r="D39" s="143" t="str">
        <f t="shared" si="0"/>
        <v/>
      </c>
      <c r="E39" s="144" t="str">
        <f t="shared" si="1"/>
        <v/>
      </c>
      <c r="F39" s="145" t="str">
        <f t="shared" si="2"/>
        <v/>
      </c>
      <c r="G39" s="145" t="str">
        <f t="shared" si="3"/>
        <v/>
      </c>
      <c r="H39" s="146"/>
    </row>
    <row r="40" spans="1:8" ht="15" customHeight="1" x14ac:dyDescent="0.2">
      <c r="A40" s="140"/>
      <c r="B40" s="141"/>
      <c r="C40" s="142" t="str">
        <f t="shared" si="4"/>
        <v/>
      </c>
      <c r="D40" s="143" t="str">
        <f t="shared" si="0"/>
        <v/>
      </c>
      <c r="E40" s="144" t="str">
        <f t="shared" si="1"/>
        <v/>
      </c>
      <c r="F40" s="145" t="str">
        <f t="shared" si="2"/>
        <v/>
      </c>
      <c r="G40" s="145" t="str">
        <f t="shared" si="3"/>
        <v/>
      </c>
      <c r="H40" s="146"/>
    </row>
    <row r="41" spans="1:8" ht="15" customHeight="1" x14ac:dyDescent="0.2">
      <c r="A41" s="140"/>
      <c r="B41" s="141"/>
      <c r="C41" s="142" t="str">
        <f t="shared" si="4"/>
        <v/>
      </c>
      <c r="D41" s="143" t="str">
        <f t="shared" si="0"/>
        <v/>
      </c>
      <c r="E41" s="144" t="str">
        <f t="shared" si="1"/>
        <v/>
      </c>
      <c r="F41" s="145" t="str">
        <f t="shared" si="2"/>
        <v/>
      </c>
      <c r="G41" s="145" t="str">
        <f t="shared" si="3"/>
        <v/>
      </c>
      <c r="H41" s="146"/>
    </row>
    <row r="42" spans="1:8" ht="15" customHeight="1" x14ac:dyDescent="0.2">
      <c r="A42" s="140"/>
      <c r="B42" s="141"/>
      <c r="C42" s="142" t="str">
        <f t="shared" si="4"/>
        <v/>
      </c>
      <c r="D42" s="143" t="str">
        <f t="shared" si="0"/>
        <v/>
      </c>
      <c r="E42" s="144" t="str">
        <f t="shared" si="1"/>
        <v/>
      </c>
      <c r="F42" s="145" t="str">
        <f t="shared" si="2"/>
        <v/>
      </c>
      <c r="G42" s="145" t="str">
        <f t="shared" si="3"/>
        <v/>
      </c>
      <c r="H42" s="146"/>
    </row>
  </sheetData>
  <mergeCells count="1">
    <mergeCell ref="A1:H1"/>
  </mergeCells>
  <conditionalFormatting sqref="E3:E42">
    <cfRule type="cellIs" dxfId="56" priority="2" operator="equal">
      <formula>"Normal"</formula>
    </cfRule>
    <cfRule type="cellIs" dxfId="55" priority="3" operator="equal">
      <formula>"Elevated"</formula>
    </cfRule>
    <cfRule type="cellIs" dxfId="54" priority="4" operator="equal">
      <formula>"Severe"</formula>
    </cfRule>
    <cfRule type="cellIs" dxfId="53" priority="5" operator="equal">
      <formula>"Critical"</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2"/>
  <sheetViews>
    <sheetView showGridLines="0" zoomScaleNormal="100" workbookViewId="0">
      <pane xSplit="1" ySplit="2" topLeftCell="B3" activePane="bottomRight" state="frozen"/>
      <selection pane="topRight" activeCell="B1" sqref="B1"/>
      <selection pane="bottomLeft" activeCell="A3" sqref="A3"/>
      <selection pane="bottomRight" activeCell="L11" sqref="L11"/>
    </sheetView>
  </sheetViews>
  <sheetFormatPr baseColWidth="10" defaultColWidth="8.6640625" defaultRowHeight="15" x14ac:dyDescent="0.2"/>
  <cols>
    <col min="1" max="1" width="9" customWidth="1"/>
    <col min="2" max="2" width="16" customWidth="1"/>
    <col min="3" max="3" width="13" customWidth="1"/>
    <col min="4" max="4" width="9" customWidth="1"/>
    <col min="5" max="6" width="8" customWidth="1"/>
    <col min="7" max="7" width="9.5" customWidth="1"/>
    <col min="8" max="8" width="12" customWidth="1"/>
    <col min="9" max="9" width="9.5" style="149" customWidth="1"/>
    <col min="10" max="10" width="9.33203125" customWidth="1"/>
    <col min="11" max="11" width="20" customWidth="1"/>
    <col min="12" max="12" width="90.1640625" customWidth="1"/>
    <col min="13" max="13" width="14" customWidth="1"/>
  </cols>
  <sheetData>
    <row r="1" spans="1:13" ht="21" customHeight="1" x14ac:dyDescent="0.2">
      <c r="A1" s="125" t="s">
        <v>474</v>
      </c>
      <c r="B1" s="125"/>
      <c r="C1" s="125"/>
      <c r="D1" s="125"/>
      <c r="E1" s="125"/>
      <c r="F1" s="125"/>
      <c r="G1" s="125"/>
      <c r="H1" s="125"/>
      <c r="I1" s="150"/>
      <c r="J1" s="125"/>
      <c r="K1" s="125"/>
      <c r="L1" s="125"/>
      <c r="M1" s="125"/>
    </row>
    <row r="2" spans="1:13" ht="45.75" customHeight="1" x14ac:dyDescent="0.2">
      <c r="A2" s="55" t="s">
        <v>81</v>
      </c>
      <c r="B2" s="55" t="s">
        <v>287</v>
      </c>
      <c r="C2" s="55" t="s">
        <v>475</v>
      </c>
      <c r="D2" s="55" t="s">
        <v>476</v>
      </c>
      <c r="E2" s="55" t="s">
        <v>477</v>
      </c>
      <c r="F2" s="55" t="s">
        <v>478</v>
      </c>
      <c r="G2" s="55" t="s">
        <v>479</v>
      </c>
      <c r="H2" s="55" t="s">
        <v>480</v>
      </c>
      <c r="I2" s="55" t="s">
        <v>481</v>
      </c>
      <c r="J2" s="55" t="s">
        <v>482</v>
      </c>
      <c r="K2" s="55" t="s">
        <v>483</v>
      </c>
      <c r="L2" s="55" t="s">
        <v>484</v>
      </c>
      <c r="M2" s="28" t="s">
        <v>485</v>
      </c>
    </row>
    <row r="3" spans="1:13" ht="104" x14ac:dyDescent="0.2">
      <c r="A3" s="106" t="s">
        <v>104</v>
      </c>
      <c r="B3" s="106" t="s">
        <v>105</v>
      </c>
      <c r="C3" s="106" t="s">
        <v>486</v>
      </c>
      <c r="D3" s="147">
        <v>46278</v>
      </c>
      <c r="E3" s="106">
        <v>63.4</v>
      </c>
      <c r="F3" s="106">
        <v>63.4</v>
      </c>
      <c r="G3" s="147">
        <v>46278</v>
      </c>
      <c r="H3" s="106" t="s">
        <v>213</v>
      </c>
      <c r="I3" s="217">
        <f t="shared" ref="I3:I22" si="0">IF(D3="","",D3+90)</f>
        <v>46368</v>
      </c>
      <c r="J3" s="148">
        <f t="shared" ref="J3:J22" ca="1" si="1">IF(I3="","",I3-TODAY())</f>
        <v>68</v>
      </c>
      <c r="K3" s="222" t="str">
        <f>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218" t="s">
        <v>487</v>
      </c>
      <c r="M3" s="220">
        <v>0</v>
      </c>
    </row>
    <row r="4" spans="1:13" ht="52" x14ac:dyDescent="0.2">
      <c r="A4" s="106" t="s">
        <v>165</v>
      </c>
      <c r="B4" s="106" t="s">
        <v>166</v>
      </c>
      <c r="C4" s="106" t="s">
        <v>486</v>
      </c>
      <c r="D4" s="147">
        <v>46278</v>
      </c>
      <c r="E4" s="106">
        <v>67.8</v>
      </c>
      <c r="F4" s="106">
        <v>67.8</v>
      </c>
      <c r="G4" s="147">
        <v>46278</v>
      </c>
      <c r="H4" s="106" t="s">
        <v>213</v>
      </c>
      <c r="I4" s="217">
        <f t="shared" si="0"/>
        <v>46368</v>
      </c>
      <c r="J4" s="148">
        <f t="shared" ca="1" si="1"/>
        <v>68</v>
      </c>
      <c r="K4" s="222" t="str">
        <f>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NO CREDIBLE PLAN — SELL WITHIN 30 DAYS</v>
      </c>
      <c r="L4" s="218" t="s">
        <v>488</v>
      </c>
      <c r="M4" s="221"/>
    </row>
    <row r="5" spans="1:13" ht="52" x14ac:dyDescent="0.2">
      <c r="A5" s="106" t="s">
        <v>167</v>
      </c>
      <c r="B5" s="106" t="s">
        <v>168</v>
      </c>
      <c r="C5" s="106" t="s">
        <v>486</v>
      </c>
      <c r="D5" s="147">
        <v>46278</v>
      </c>
      <c r="E5" s="106">
        <v>66.599999999999994</v>
      </c>
      <c r="F5" s="106">
        <v>66.599999999999994</v>
      </c>
      <c r="G5" s="147">
        <v>46278</v>
      </c>
      <c r="H5" s="106" t="s">
        <v>213</v>
      </c>
      <c r="I5" s="217">
        <f t="shared" si="0"/>
        <v>46368</v>
      </c>
      <c r="J5" s="148">
        <f t="shared" ca="1" si="1"/>
        <v>68</v>
      </c>
      <c r="K5" s="222" t="str">
        <f>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NO CREDIBLE PLAN — SELL WITHIN 30 DAYS</v>
      </c>
      <c r="L5" s="218" t="s">
        <v>488</v>
      </c>
      <c r="M5" s="221"/>
    </row>
    <row r="6" spans="1:13" ht="15" customHeight="1" x14ac:dyDescent="0.2">
      <c r="A6" s="106"/>
      <c r="B6" s="106"/>
      <c r="C6" s="106"/>
      <c r="D6" s="147"/>
      <c r="E6" s="106"/>
      <c r="F6" s="106"/>
      <c r="G6" s="147"/>
      <c r="H6" s="106"/>
      <c r="I6" s="217" t="str">
        <f t="shared" si="0"/>
        <v/>
      </c>
      <c r="J6" s="148" t="str">
        <f t="shared" ca="1" si="1"/>
        <v/>
      </c>
      <c r="K6" s="222" t="str">
        <f>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219"/>
      <c r="M6" s="221"/>
    </row>
    <row r="7" spans="1:13" ht="15" customHeight="1" x14ac:dyDescent="0.2">
      <c r="A7" s="106"/>
      <c r="B7" s="106"/>
      <c r="C7" s="106"/>
      <c r="D7" s="147"/>
      <c r="E7" s="106"/>
      <c r="F7" s="106"/>
      <c r="G7" s="147"/>
      <c r="H7" s="106"/>
      <c r="I7" s="217" t="str">
        <f t="shared" si="0"/>
        <v/>
      </c>
      <c r="J7" s="148" t="str">
        <f t="shared" ca="1" si="1"/>
        <v/>
      </c>
      <c r="K7" s="222" t="str">
        <f>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219"/>
      <c r="M7" s="221"/>
    </row>
    <row r="8" spans="1:13" ht="15" customHeight="1" x14ac:dyDescent="0.2">
      <c r="A8" s="106"/>
      <c r="B8" s="106"/>
      <c r="C8" s="106"/>
      <c r="D8" s="147"/>
      <c r="E8" s="106"/>
      <c r="F8" s="106"/>
      <c r="G8" s="147"/>
      <c r="H8" s="106"/>
      <c r="I8" s="217" t="str">
        <f t="shared" si="0"/>
        <v/>
      </c>
      <c r="J8" s="148" t="str">
        <f t="shared" ca="1" si="1"/>
        <v/>
      </c>
      <c r="K8" s="222" t="str">
        <f>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219"/>
      <c r="M8" s="221"/>
    </row>
    <row r="9" spans="1:13" ht="15" customHeight="1" x14ac:dyDescent="0.2">
      <c r="A9" s="106"/>
      <c r="B9" s="106"/>
      <c r="C9" s="106"/>
      <c r="D9" s="147"/>
      <c r="E9" s="106"/>
      <c r="F9" s="106"/>
      <c r="G9" s="147"/>
      <c r="H9" s="106"/>
      <c r="I9" s="217" t="str">
        <f t="shared" si="0"/>
        <v/>
      </c>
      <c r="J9" s="148" t="str">
        <f t="shared" ca="1" si="1"/>
        <v/>
      </c>
      <c r="K9" s="222" t="str">
        <f>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219"/>
      <c r="M9" s="221"/>
    </row>
    <row r="10" spans="1:13" ht="15" customHeight="1" x14ac:dyDescent="0.2">
      <c r="A10" s="106"/>
      <c r="B10" s="106"/>
      <c r="C10" s="106"/>
      <c r="D10" s="147"/>
      <c r="E10" s="106"/>
      <c r="F10" s="106"/>
      <c r="G10" s="147"/>
      <c r="H10" s="106"/>
      <c r="I10" s="217" t="str">
        <f t="shared" si="0"/>
        <v/>
      </c>
      <c r="J10" s="148" t="str">
        <f t="shared" ca="1" si="1"/>
        <v/>
      </c>
      <c r="K10" s="222" t="str">
        <f>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219"/>
      <c r="M10" s="221"/>
    </row>
    <row r="11" spans="1:13" ht="15" customHeight="1" x14ac:dyDescent="0.2">
      <c r="A11" s="106"/>
      <c r="B11" s="106"/>
      <c r="C11" s="106"/>
      <c r="D11" s="147"/>
      <c r="E11" s="106"/>
      <c r="F11" s="106"/>
      <c r="G11" s="147"/>
      <c r="H11" s="106"/>
      <c r="I11" s="217" t="str">
        <f t="shared" si="0"/>
        <v/>
      </c>
      <c r="J11" s="148" t="str">
        <f t="shared" ca="1" si="1"/>
        <v/>
      </c>
      <c r="K11" s="222" t="str">
        <f>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219"/>
      <c r="M11" s="221"/>
    </row>
    <row r="12" spans="1:13" ht="15" customHeight="1" x14ac:dyDescent="0.2">
      <c r="A12" s="106"/>
      <c r="B12" s="106"/>
      <c r="C12" s="106"/>
      <c r="D12" s="147"/>
      <c r="E12" s="106"/>
      <c r="F12" s="106"/>
      <c r="G12" s="147"/>
      <c r="H12" s="106"/>
      <c r="I12" s="217" t="str">
        <f t="shared" si="0"/>
        <v/>
      </c>
      <c r="J12" s="148" t="str">
        <f t="shared" ca="1" si="1"/>
        <v/>
      </c>
      <c r="K12" s="222" t="str">
        <f>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219"/>
      <c r="M12" s="221"/>
    </row>
    <row r="13" spans="1:13" ht="15" customHeight="1" x14ac:dyDescent="0.2">
      <c r="A13" s="106"/>
      <c r="B13" s="106"/>
      <c r="C13" s="106"/>
      <c r="D13" s="147"/>
      <c r="E13" s="106"/>
      <c r="F13" s="106"/>
      <c r="G13" s="147"/>
      <c r="H13" s="106"/>
      <c r="I13" s="217" t="str">
        <f t="shared" si="0"/>
        <v/>
      </c>
      <c r="J13" s="148" t="str">
        <f t="shared" ca="1" si="1"/>
        <v/>
      </c>
      <c r="K13" s="222" t="str">
        <f>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219"/>
      <c r="M13" s="221"/>
    </row>
    <row r="14" spans="1:13" ht="15" customHeight="1" x14ac:dyDescent="0.2">
      <c r="A14" s="106"/>
      <c r="B14" s="106"/>
      <c r="C14" s="106"/>
      <c r="D14" s="147"/>
      <c r="E14" s="106"/>
      <c r="F14" s="106"/>
      <c r="G14" s="147"/>
      <c r="H14" s="106"/>
      <c r="I14" s="217" t="str">
        <f t="shared" si="0"/>
        <v/>
      </c>
      <c r="J14" s="148" t="str">
        <f t="shared" ca="1" si="1"/>
        <v/>
      </c>
      <c r="K14" s="222" t="str">
        <f>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219"/>
      <c r="M14" s="221"/>
    </row>
    <row r="15" spans="1:13" ht="15" customHeight="1" x14ac:dyDescent="0.2">
      <c r="A15" s="106"/>
      <c r="B15" s="106"/>
      <c r="C15" s="106"/>
      <c r="D15" s="147"/>
      <c r="E15" s="106"/>
      <c r="F15" s="106"/>
      <c r="G15" s="147"/>
      <c r="H15" s="106"/>
      <c r="I15" s="217" t="str">
        <f t="shared" si="0"/>
        <v/>
      </c>
      <c r="J15" s="148" t="str">
        <f t="shared" ca="1" si="1"/>
        <v/>
      </c>
      <c r="K15" s="222" t="str">
        <f>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219"/>
      <c r="M15" s="221"/>
    </row>
    <row r="16" spans="1:13" ht="15" customHeight="1" x14ac:dyDescent="0.2">
      <c r="A16" s="106"/>
      <c r="B16" s="106"/>
      <c r="C16" s="106"/>
      <c r="D16" s="147"/>
      <c r="E16" s="106"/>
      <c r="F16" s="106"/>
      <c r="G16" s="147"/>
      <c r="H16" s="106"/>
      <c r="I16" s="217" t="str">
        <f t="shared" si="0"/>
        <v/>
      </c>
      <c r="J16" s="148" t="str">
        <f t="shared" ca="1" si="1"/>
        <v/>
      </c>
      <c r="K16" s="222" t="str">
        <f>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219"/>
      <c r="M16" s="221"/>
    </row>
    <row r="17" spans="1:13" ht="15" customHeight="1" x14ac:dyDescent="0.2">
      <c r="A17" s="106"/>
      <c r="B17" s="106"/>
      <c r="C17" s="106"/>
      <c r="D17" s="147"/>
      <c r="E17" s="106"/>
      <c r="F17" s="106"/>
      <c r="G17" s="147"/>
      <c r="H17" s="106"/>
      <c r="I17" s="217" t="str">
        <f t="shared" si="0"/>
        <v/>
      </c>
      <c r="J17" s="148" t="str">
        <f t="shared" ca="1" si="1"/>
        <v/>
      </c>
      <c r="K17" s="222" t="str">
        <f>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219"/>
      <c r="M17" s="221"/>
    </row>
    <row r="18" spans="1:13" ht="15" customHeight="1" x14ac:dyDescent="0.2">
      <c r="A18" s="106"/>
      <c r="B18" s="106"/>
      <c r="C18" s="106"/>
      <c r="D18" s="147"/>
      <c r="E18" s="106"/>
      <c r="F18" s="106"/>
      <c r="G18" s="147"/>
      <c r="H18" s="106"/>
      <c r="I18" s="217" t="str">
        <f t="shared" si="0"/>
        <v/>
      </c>
      <c r="J18" s="148" t="str">
        <f t="shared" ca="1" si="1"/>
        <v/>
      </c>
      <c r="K18" s="222" t="str">
        <f>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219"/>
      <c r="M18" s="221"/>
    </row>
    <row r="19" spans="1:13" ht="15" customHeight="1" x14ac:dyDescent="0.2">
      <c r="A19" s="106"/>
      <c r="B19" s="106"/>
      <c r="C19" s="106"/>
      <c r="D19" s="147"/>
      <c r="E19" s="106"/>
      <c r="F19" s="106"/>
      <c r="G19" s="147"/>
      <c r="H19" s="106"/>
      <c r="I19" s="217" t="str">
        <f t="shared" si="0"/>
        <v/>
      </c>
      <c r="J19" s="148" t="str">
        <f t="shared" ca="1" si="1"/>
        <v/>
      </c>
      <c r="K19" s="222" t="str">
        <f>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219"/>
      <c r="M19" s="221"/>
    </row>
    <row r="20" spans="1:13" ht="15" customHeight="1" x14ac:dyDescent="0.2">
      <c r="A20" s="106"/>
      <c r="B20" s="106"/>
      <c r="C20" s="106"/>
      <c r="D20" s="147"/>
      <c r="E20" s="106"/>
      <c r="F20" s="106"/>
      <c r="G20" s="147"/>
      <c r="H20" s="106"/>
      <c r="I20" s="217" t="str">
        <f t="shared" si="0"/>
        <v/>
      </c>
      <c r="J20" s="148" t="str">
        <f t="shared" ca="1" si="1"/>
        <v/>
      </c>
      <c r="K20" s="222" t="str">
        <f>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219"/>
      <c r="M20" s="221"/>
    </row>
    <row r="21" spans="1:13" ht="15" customHeight="1" x14ac:dyDescent="0.2">
      <c r="A21" s="106"/>
      <c r="B21" s="106"/>
      <c r="C21" s="106"/>
      <c r="D21" s="147"/>
      <c r="E21" s="106"/>
      <c r="F21" s="106"/>
      <c r="G21" s="147"/>
      <c r="H21" s="106"/>
      <c r="I21" s="217" t="str">
        <f t="shared" si="0"/>
        <v/>
      </c>
      <c r="J21" s="148" t="str">
        <f t="shared" ca="1" si="1"/>
        <v/>
      </c>
      <c r="K21" s="222" t="str">
        <f>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219"/>
      <c r="M21" s="221"/>
    </row>
    <row r="22" spans="1:13" ht="15" customHeight="1" x14ac:dyDescent="0.2">
      <c r="A22" s="106"/>
      <c r="B22" s="106"/>
      <c r="C22" s="106"/>
      <c r="D22" s="147"/>
      <c r="E22" s="106"/>
      <c r="F22" s="106"/>
      <c r="G22" s="147"/>
      <c r="H22" s="106"/>
      <c r="I22" s="217" t="str">
        <f t="shared" si="0"/>
        <v/>
      </c>
      <c r="J22" s="148" t="str">
        <f t="shared" ca="1" si="1"/>
        <v/>
      </c>
      <c r="K22" s="222" t="str">
        <f>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219"/>
      <c r="M22" s="221"/>
    </row>
  </sheetData>
  <conditionalFormatting sqref="K3:K22">
    <cfRule type="expression" dxfId="52" priority="2">
      <formula>ISNUMBER(SEARCH("RECOVERED",K3))</formula>
    </cfRule>
    <cfRule type="expression" dxfId="51" priority="3">
      <formula>ISNUMBER(SEARCH("ON TRACK",K3))</formula>
    </cfRule>
    <cfRule type="expression" dxfId="50" priority="4">
      <formula>ISNUMBER(SEARCH("DEADLINE APPROACHING",K3))</formula>
    </cfRule>
    <cfRule type="expression" dxfId="49" priority="5">
      <formula>ISNUMBER(SEARCH("SELL WITHIN 30 DAYS",K3))</formula>
    </cfRule>
  </conditionalFormatting>
  <dataValidations count="2">
    <dataValidation type="list" allowBlank="1" sqref="C3:C22" xr:uid="{00000000-0002-0000-0C00-000000000000}">
      <formula1>"Probationary Hold,Exit Review"</formula1>
      <formula2>0</formula2>
    </dataValidation>
    <dataValidation type="list" allowBlank="1" sqref="H3:H22" xr:uid="{00000000-0002-0000-0C00-000001000000}">
      <formula1>"Y,N"</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50"/>
  <sheetViews>
    <sheetView showGridLines="0" zoomScaleNormal="100" workbookViewId="0">
      <pane xSplit="3" ySplit="3" topLeftCell="D4" activePane="bottomRight" state="frozen"/>
      <selection pane="topRight" activeCell="D1" sqref="D1"/>
      <selection pane="bottomLeft" activeCell="A4" sqref="A4"/>
      <selection pane="bottomRight" activeCell="R35" sqref="R35"/>
    </sheetView>
  </sheetViews>
  <sheetFormatPr baseColWidth="10" defaultColWidth="8.6640625" defaultRowHeight="15" x14ac:dyDescent="0.2"/>
  <cols>
    <col min="1" max="1" width="8" style="149" customWidth="1"/>
    <col min="2" max="2" width="14" customWidth="1"/>
    <col min="3" max="21" width="9.5" customWidth="1"/>
  </cols>
  <sheetData>
    <row r="1" spans="1:21" ht="25.5" customHeight="1" x14ac:dyDescent="0.2">
      <c r="A1" s="150" t="s">
        <v>489</v>
      </c>
      <c r="B1" s="125"/>
      <c r="C1" s="125"/>
      <c r="D1" s="125"/>
      <c r="E1" s="125"/>
      <c r="F1" s="125"/>
      <c r="G1" s="125"/>
      <c r="H1" s="125"/>
      <c r="I1" s="125"/>
      <c r="J1" s="125"/>
      <c r="K1" s="125"/>
      <c r="L1" s="125"/>
      <c r="M1" s="125"/>
      <c r="N1" s="125"/>
      <c r="O1" s="125"/>
      <c r="P1" s="125"/>
      <c r="Q1" s="125"/>
      <c r="R1" s="125"/>
      <c r="S1" s="125"/>
      <c r="T1" s="125"/>
    </row>
    <row r="2" spans="1:21" ht="15.75" customHeight="1" x14ac:dyDescent="0.2">
      <c r="D2" s="183" t="s">
        <v>490</v>
      </c>
      <c r="E2" s="183"/>
      <c r="F2" s="183"/>
      <c r="G2" s="183"/>
      <c r="H2" s="183"/>
      <c r="I2" s="184" t="s">
        <v>491</v>
      </c>
      <c r="J2" s="184"/>
      <c r="K2" s="184"/>
      <c r="L2" s="184"/>
      <c r="M2" s="184"/>
      <c r="N2" s="185" t="s">
        <v>492</v>
      </c>
      <c r="O2" s="185"/>
      <c r="P2" s="185"/>
      <c r="Q2" s="185"/>
      <c r="R2" s="185"/>
      <c r="S2" s="186" t="s">
        <v>493</v>
      </c>
      <c r="T2" s="186"/>
      <c r="U2" s="186"/>
    </row>
    <row r="3" spans="1:21" ht="42.75" customHeight="1" x14ac:dyDescent="0.2">
      <c r="A3" s="98" t="s">
        <v>81</v>
      </c>
      <c r="B3" s="98" t="s">
        <v>287</v>
      </c>
      <c r="C3" s="98" t="s">
        <v>494</v>
      </c>
      <c r="D3" s="98" t="s">
        <v>495</v>
      </c>
      <c r="E3" s="98" t="s">
        <v>496</v>
      </c>
      <c r="F3" s="98" t="s">
        <v>497</v>
      </c>
      <c r="G3" s="98" t="s">
        <v>498</v>
      </c>
      <c r="H3" s="98" t="s">
        <v>499</v>
      </c>
      <c r="I3" s="98" t="s">
        <v>495</v>
      </c>
      <c r="J3" s="98" t="s">
        <v>496</v>
      </c>
      <c r="K3" s="98" t="s">
        <v>497</v>
      </c>
      <c r="L3" s="98" t="s">
        <v>498</v>
      </c>
      <c r="M3" s="98" t="s">
        <v>499</v>
      </c>
      <c r="N3" s="98" t="s">
        <v>495</v>
      </c>
      <c r="O3" s="98" t="s">
        <v>496</v>
      </c>
      <c r="P3" s="98" t="s">
        <v>497</v>
      </c>
      <c r="Q3" s="98" t="s">
        <v>498</v>
      </c>
      <c r="R3" s="98" t="s">
        <v>499</v>
      </c>
      <c r="S3" s="98" t="s">
        <v>500</v>
      </c>
      <c r="T3" s="98" t="s">
        <v>501</v>
      </c>
      <c r="U3" s="98" t="s">
        <v>502</v>
      </c>
    </row>
    <row r="4" spans="1:21" ht="15" customHeight="1" x14ac:dyDescent="0.2">
      <c r="A4" s="58"/>
      <c r="B4" s="59"/>
      <c r="C4" s="63"/>
      <c r="D4" s="63"/>
      <c r="E4" s="151"/>
      <c r="F4" s="63"/>
      <c r="G4" s="64" t="str">
        <f t="shared" ref="G4:G50" si="0">IF(OR(C4="",D4="",E4="",F4=""),"",IFERROR(((D4*E4+F4)/C4)^(1/5)-1,"n/a"))</f>
        <v/>
      </c>
      <c r="H4" s="59"/>
      <c r="I4" s="63"/>
      <c r="J4" s="151"/>
      <c r="K4" s="63"/>
      <c r="L4" s="64" t="str">
        <f t="shared" ref="L4:L50" si="1">IF(OR(C4="",I4="",J4="",K4=""),"",IFERROR(((I4*J4+K4)/C4)^(1/5)-1,"n/a"))</f>
        <v/>
      </c>
      <c r="M4" s="59"/>
      <c r="N4" s="63"/>
      <c r="O4" s="151"/>
      <c r="P4" s="63"/>
      <c r="Q4" s="64" t="str">
        <f t="shared" ref="Q4:Q50" si="2">IF(OR(C4="",N4="",O4="",P4=""),"",IFERROR(((N4*O4+P4)/C4)^(1/5)-1,"n/a"))</f>
        <v/>
      </c>
      <c r="R4" s="59"/>
      <c r="S4" s="68" t="str">
        <f t="shared" ref="S4:S50" si="3">IF(G4="","",IF(G4&gt;0.1,"PASS","FAIL"))</f>
        <v/>
      </c>
      <c r="T4" s="68" t="str">
        <f t="shared" ref="T4:T50" si="4">IF(L4="","",IF(L4&gt;=0,"PASS","FAIL"))</f>
        <v/>
      </c>
      <c r="U4" s="68" t="str">
        <f t="shared" ref="U4:U50" si="5">IF(COUNTA(H4,M4,R4)=0,"",IF((COUNTIF(H4,"Likely")+COUNTIF(M4,"Likely")+COUNTIF(R4,"Likely"))=1,"OK","CHECK TAGS"))</f>
        <v/>
      </c>
    </row>
    <row r="5" spans="1:21" ht="15" customHeight="1" x14ac:dyDescent="0.2">
      <c r="A5" s="58"/>
      <c r="B5" s="59"/>
      <c r="C5" s="63"/>
      <c r="D5" s="63"/>
      <c r="E5" s="151"/>
      <c r="F5" s="63"/>
      <c r="G5" s="64" t="str">
        <f t="shared" si="0"/>
        <v/>
      </c>
      <c r="H5" s="59"/>
      <c r="I5" s="63"/>
      <c r="J5" s="151"/>
      <c r="K5" s="63"/>
      <c r="L5" s="64" t="str">
        <f t="shared" si="1"/>
        <v/>
      </c>
      <c r="M5" s="59"/>
      <c r="N5" s="63"/>
      <c r="O5" s="151"/>
      <c r="P5" s="63"/>
      <c r="Q5" s="64" t="str">
        <f t="shared" si="2"/>
        <v/>
      </c>
      <c r="R5" s="59"/>
      <c r="S5" s="68" t="str">
        <f t="shared" si="3"/>
        <v/>
      </c>
      <c r="T5" s="68" t="str">
        <f t="shared" si="4"/>
        <v/>
      </c>
      <c r="U5" s="68" t="str">
        <f t="shared" si="5"/>
        <v/>
      </c>
    </row>
    <row r="6" spans="1:21" ht="15" customHeight="1" x14ac:dyDescent="0.2">
      <c r="A6" s="58"/>
      <c r="B6" s="59"/>
      <c r="C6" s="63"/>
      <c r="D6" s="63"/>
      <c r="E6" s="151"/>
      <c r="F6" s="63"/>
      <c r="G6" s="64" t="str">
        <f t="shared" si="0"/>
        <v/>
      </c>
      <c r="H6" s="59"/>
      <c r="I6" s="63"/>
      <c r="J6" s="151"/>
      <c r="K6" s="63"/>
      <c r="L6" s="64" t="str">
        <f t="shared" si="1"/>
        <v/>
      </c>
      <c r="M6" s="59"/>
      <c r="N6" s="63"/>
      <c r="O6" s="151"/>
      <c r="P6" s="63"/>
      <c r="Q6" s="64" t="str">
        <f t="shared" si="2"/>
        <v/>
      </c>
      <c r="R6" s="59"/>
      <c r="S6" s="68" t="str">
        <f t="shared" si="3"/>
        <v/>
      </c>
      <c r="T6" s="68" t="str">
        <f t="shared" si="4"/>
        <v/>
      </c>
      <c r="U6" s="68" t="str">
        <f t="shared" si="5"/>
        <v/>
      </c>
    </row>
    <row r="7" spans="1:21" ht="15" customHeight="1" x14ac:dyDescent="0.2">
      <c r="A7" s="58"/>
      <c r="B7" s="66"/>
      <c r="C7" s="63"/>
      <c r="D7" s="63"/>
      <c r="E7" s="151"/>
      <c r="F7" s="63"/>
      <c r="G7" s="64" t="str">
        <f t="shared" si="0"/>
        <v/>
      </c>
      <c r="H7" s="59"/>
      <c r="I7" s="63"/>
      <c r="J7" s="151"/>
      <c r="K7" s="63"/>
      <c r="L7" s="64" t="str">
        <f t="shared" si="1"/>
        <v/>
      </c>
      <c r="M7" s="59"/>
      <c r="N7" s="63"/>
      <c r="O7" s="151"/>
      <c r="P7" s="63"/>
      <c r="Q7" s="64" t="str">
        <f t="shared" si="2"/>
        <v/>
      </c>
      <c r="R7" s="59"/>
      <c r="S7" s="68" t="str">
        <f t="shared" si="3"/>
        <v/>
      </c>
      <c r="T7" s="68" t="str">
        <f t="shared" si="4"/>
        <v/>
      </c>
      <c r="U7" s="68" t="str">
        <f t="shared" si="5"/>
        <v/>
      </c>
    </row>
    <row r="8" spans="1:21" ht="15" customHeight="1" x14ac:dyDescent="0.2">
      <c r="A8" s="58"/>
      <c r="B8" s="66"/>
      <c r="C8" s="63"/>
      <c r="D8" s="63"/>
      <c r="E8" s="151"/>
      <c r="F8" s="63"/>
      <c r="G8" s="64" t="str">
        <f t="shared" si="0"/>
        <v/>
      </c>
      <c r="H8" s="59"/>
      <c r="I8" s="63"/>
      <c r="J8" s="151"/>
      <c r="K8" s="63"/>
      <c r="L8" s="64" t="str">
        <f t="shared" si="1"/>
        <v/>
      </c>
      <c r="M8" s="59"/>
      <c r="N8" s="63"/>
      <c r="O8" s="151"/>
      <c r="P8" s="63"/>
      <c r="Q8" s="64" t="str">
        <f t="shared" si="2"/>
        <v/>
      </c>
      <c r="R8" s="59"/>
      <c r="S8" s="68" t="str">
        <f t="shared" si="3"/>
        <v/>
      </c>
      <c r="T8" s="68" t="str">
        <f t="shared" si="4"/>
        <v/>
      </c>
      <c r="U8" s="68" t="str">
        <f t="shared" si="5"/>
        <v/>
      </c>
    </row>
    <row r="9" spans="1:21" ht="15" customHeight="1" x14ac:dyDescent="0.2">
      <c r="A9" s="58"/>
      <c r="B9" s="66"/>
      <c r="C9" s="63"/>
      <c r="D9" s="63"/>
      <c r="E9" s="151"/>
      <c r="F9" s="63"/>
      <c r="G9" s="64" t="str">
        <f t="shared" si="0"/>
        <v/>
      </c>
      <c r="H9" s="59"/>
      <c r="I9" s="63"/>
      <c r="J9" s="151"/>
      <c r="K9" s="63"/>
      <c r="L9" s="64" t="str">
        <f t="shared" si="1"/>
        <v/>
      </c>
      <c r="M9" s="59"/>
      <c r="N9" s="63"/>
      <c r="O9" s="151"/>
      <c r="P9" s="63"/>
      <c r="Q9" s="64" t="str">
        <f t="shared" si="2"/>
        <v/>
      </c>
      <c r="R9" s="59"/>
      <c r="S9" s="68" t="str">
        <f t="shared" si="3"/>
        <v/>
      </c>
      <c r="T9" s="68" t="str">
        <f t="shared" si="4"/>
        <v/>
      </c>
      <c r="U9" s="68" t="str">
        <f t="shared" si="5"/>
        <v/>
      </c>
    </row>
    <row r="10" spans="1:21" ht="15" customHeight="1" x14ac:dyDescent="0.2">
      <c r="A10" s="58"/>
      <c r="B10" s="66"/>
      <c r="C10" s="63"/>
      <c r="D10" s="63"/>
      <c r="E10" s="151"/>
      <c r="F10" s="63"/>
      <c r="G10" s="64" t="str">
        <f t="shared" si="0"/>
        <v/>
      </c>
      <c r="H10" s="59"/>
      <c r="I10" s="63"/>
      <c r="J10" s="151"/>
      <c r="K10" s="63"/>
      <c r="L10" s="64" t="str">
        <f t="shared" si="1"/>
        <v/>
      </c>
      <c r="M10" s="59"/>
      <c r="N10" s="63"/>
      <c r="O10" s="151"/>
      <c r="P10" s="63"/>
      <c r="Q10" s="64" t="str">
        <f t="shared" si="2"/>
        <v/>
      </c>
      <c r="R10" s="59"/>
      <c r="S10" s="68" t="str">
        <f t="shared" si="3"/>
        <v/>
      </c>
      <c r="T10" s="68" t="str">
        <f t="shared" si="4"/>
        <v/>
      </c>
      <c r="U10" s="68" t="str">
        <f t="shared" si="5"/>
        <v/>
      </c>
    </row>
    <row r="11" spans="1:21" ht="15" customHeight="1" x14ac:dyDescent="0.2">
      <c r="A11" s="58"/>
      <c r="B11" s="66"/>
      <c r="C11" s="63"/>
      <c r="D11" s="63"/>
      <c r="E11" s="151"/>
      <c r="F11" s="63"/>
      <c r="G11" s="64" t="str">
        <f t="shared" si="0"/>
        <v/>
      </c>
      <c r="H11" s="59"/>
      <c r="I11" s="63"/>
      <c r="J11" s="151"/>
      <c r="K11" s="63"/>
      <c r="L11" s="64" t="str">
        <f t="shared" si="1"/>
        <v/>
      </c>
      <c r="M11" s="59"/>
      <c r="N11" s="63"/>
      <c r="O11" s="151"/>
      <c r="P11" s="63"/>
      <c r="Q11" s="64" t="str">
        <f t="shared" si="2"/>
        <v/>
      </c>
      <c r="R11" s="59"/>
      <c r="S11" s="68" t="str">
        <f t="shared" si="3"/>
        <v/>
      </c>
      <c r="T11" s="68" t="str">
        <f t="shared" si="4"/>
        <v/>
      </c>
      <c r="U11" s="68" t="str">
        <f t="shared" si="5"/>
        <v/>
      </c>
    </row>
    <row r="12" spans="1:21" ht="15" customHeight="1" x14ac:dyDescent="0.2">
      <c r="A12" s="58"/>
      <c r="B12" s="66"/>
      <c r="C12" s="63"/>
      <c r="D12" s="63"/>
      <c r="E12" s="151"/>
      <c r="F12" s="63"/>
      <c r="G12" s="64" t="str">
        <f t="shared" si="0"/>
        <v/>
      </c>
      <c r="H12" s="59"/>
      <c r="I12" s="63"/>
      <c r="J12" s="151"/>
      <c r="K12" s="63"/>
      <c r="L12" s="64" t="str">
        <f t="shared" si="1"/>
        <v/>
      </c>
      <c r="M12" s="59"/>
      <c r="N12" s="63"/>
      <c r="O12" s="151"/>
      <c r="P12" s="63"/>
      <c r="Q12" s="64" t="str">
        <f t="shared" si="2"/>
        <v/>
      </c>
      <c r="R12" s="59"/>
      <c r="S12" s="68" t="str">
        <f t="shared" si="3"/>
        <v/>
      </c>
      <c r="T12" s="68" t="str">
        <f t="shared" si="4"/>
        <v/>
      </c>
      <c r="U12" s="68" t="str">
        <f t="shared" si="5"/>
        <v/>
      </c>
    </row>
    <row r="13" spans="1:21" ht="15" customHeight="1" x14ac:dyDescent="0.2">
      <c r="A13" s="58"/>
      <c r="B13" s="66"/>
      <c r="C13" s="63"/>
      <c r="D13" s="63"/>
      <c r="E13" s="151"/>
      <c r="F13" s="63"/>
      <c r="G13" s="64" t="str">
        <f t="shared" si="0"/>
        <v/>
      </c>
      <c r="H13" s="59"/>
      <c r="I13" s="63"/>
      <c r="J13" s="151"/>
      <c r="K13" s="63"/>
      <c r="L13" s="64" t="str">
        <f t="shared" si="1"/>
        <v/>
      </c>
      <c r="M13" s="59"/>
      <c r="N13" s="63"/>
      <c r="O13" s="151"/>
      <c r="P13" s="63"/>
      <c r="Q13" s="64" t="str">
        <f t="shared" si="2"/>
        <v/>
      </c>
      <c r="R13" s="59"/>
      <c r="S13" s="68" t="str">
        <f t="shared" si="3"/>
        <v/>
      </c>
      <c r="T13" s="68" t="str">
        <f t="shared" si="4"/>
        <v/>
      </c>
      <c r="U13" s="68" t="str">
        <f t="shared" si="5"/>
        <v/>
      </c>
    </row>
    <row r="14" spans="1:21" ht="15" customHeight="1" x14ac:dyDescent="0.2">
      <c r="A14" s="58"/>
      <c r="B14" s="66"/>
      <c r="C14" s="63"/>
      <c r="D14" s="63"/>
      <c r="E14" s="151"/>
      <c r="F14" s="63"/>
      <c r="G14" s="64" t="str">
        <f t="shared" si="0"/>
        <v/>
      </c>
      <c r="H14" s="59"/>
      <c r="I14" s="63"/>
      <c r="J14" s="151"/>
      <c r="K14" s="63"/>
      <c r="L14" s="64" t="str">
        <f t="shared" si="1"/>
        <v/>
      </c>
      <c r="M14" s="59"/>
      <c r="N14" s="63"/>
      <c r="O14" s="151"/>
      <c r="P14" s="63"/>
      <c r="Q14" s="64" t="str">
        <f t="shared" si="2"/>
        <v/>
      </c>
      <c r="R14" s="59"/>
      <c r="S14" s="68" t="str">
        <f t="shared" si="3"/>
        <v/>
      </c>
      <c r="T14" s="68" t="str">
        <f t="shared" si="4"/>
        <v/>
      </c>
      <c r="U14" s="68" t="str">
        <f t="shared" si="5"/>
        <v/>
      </c>
    </row>
    <row r="15" spans="1:21" ht="15" customHeight="1" x14ac:dyDescent="0.2">
      <c r="A15" s="58"/>
      <c r="B15" s="66"/>
      <c r="C15" s="63"/>
      <c r="D15" s="63"/>
      <c r="E15" s="151"/>
      <c r="F15" s="63"/>
      <c r="G15" s="64" t="str">
        <f t="shared" si="0"/>
        <v/>
      </c>
      <c r="H15" s="59"/>
      <c r="I15" s="63"/>
      <c r="J15" s="151"/>
      <c r="K15" s="63"/>
      <c r="L15" s="64" t="str">
        <f t="shared" si="1"/>
        <v/>
      </c>
      <c r="M15" s="59"/>
      <c r="N15" s="63"/>
      <c r="O15" s="151"/>
      <c r="P15" s="63"/>
      <c r="Q15" s="64" t="str">
        <f t="shared" si="2"/>
        <v/>
      </c>
      <c r="R15" s="59"/>
      <c r="S15" s="68" t="str">
        <f t="shared" si="3"/>
        <v/>
      </c>
      <c r="T15" s="68" t="str">
        <f t="shared" si="4"/>
        <v/>
      </c>
      <c r="U15" s="68" t="str">
        <f t="shared" si="5"/>
        <v/>
      </c>
    </row>
    <row r="16" spans="1:21" ht="15" customHeight="1" x14ac:dyDescent="0.2">
      <c r="A16" s="58"/>
      <c r="B16" s="66"/>
      <c r="C16" s="63"/>
      <c r="D16" s="63"/>
      <c r="E16" s="151"/>
      <c r="F16" s="63"/>
      <c r="G16" s="64" t="str">
        <f t="shared" si="0"/>
        <v/>
      </c>
      <c r="H16" s="59"/>
      <c r="I16" s="63"/>
      <c r="J16" s="151"/>
      <c r="K16" s="63"/>
      <c r="L16" s="64" t="str">
        <f t="shared" si="1"/>
        <v/>
      </c>
      <c r="M16" s="59"/>
      <c r="N16" s="63"/>
      <c r="O16" s="151"/>
      <c r="P16" s="63"/>
      <c r="Q16" s="64" t="str">
        <f t="shared" si="2"/>
        <v/>
      </c>
      <c r="R16" s="59"/>
      <c r="S16" s="68" t="str">
        <f t="shared" si="3"/>
        <v/>
      </c>
      <c r="T16" s="68" t="str">
        <f t="shared" si="4"/>
        <v/>
      </c>
      <c r="U16" s="68" t="str">
        <f t="shared" si="5"/>
        <v/>
      </c>
    </row>
    <row r="17" spans="1:21" ht="15" customHeight="1" x14ac:dyDescent="0.2">
      <c r="A17" s="58"/>
      <c r="B17" s="66"/>
      <c r="C17" s="63"/>
      <c r="D17" s="63"/>
      <c r="E17" s="151"/>
      <c r="F17" s="63"/>
      <c r="G17" s="64" t="str">
        <f t="shared" si="0"/>
        <v/>
      </c>
      <c r="H17" s="59"/>
      <c r="I17" s="63"/>
      <c r="J17" s="151"/>
      <c r="K17" s="63"/>
      <c r="L17" s="64" t="str">
        <f t="shared" si="1"/>
        <v/>
      </c>
      <c r="M17" s="59"/>
      <c r="N17" s="63"/>
      <c r="O17" s="151"/>
      <c r="P17" s="63"/>
      <c r="Q17" s="64" t="str">
        <f t="shared" si="2"/>
        <v/>
      </c>
      <c r="R17" s="59"/>
      <c r="S17" s="68" t="str">
        <f t="shared" si="3"/>
        <v/>
      </c>
      <c r="T17" s="68" t="str">
        <f t="shared" si="4"/>
        <v/>
      </c>
      <c r="U17" s="68" t="str">
        <f t="shared" si="5"/>
        <v/>
      </c>
    </row>
    <row r="18" spans="1:21" ht="15" customHeight="1" x14ac:dyDescent="0.2">
      <c r="A18" s="58"/>
      <c r="B18" s="66"/>
      <c r="C18" s="63"/>
      <c r="D18" s="63"/>
      <c r="E18" s="151"/>
      <c r="F18" s="63"/>
      <c r="G18" s="64" t="str">
        <f t="shared" si="0"/>
        <v/>
      </c>
      <c r="H18" s="59"/>
      <c r="I18" s="63"/>
      <c r="J18" s="151"/>
      <c r="K18" s="63"/>
      <c r="L18" s="64" t="str">
        <f t="shared" si="1"/>
        <v/>
      </c>
      <c r="M18" s="59"/>
      <c r="N18" s="63"/>
      <c r="O18" s="151"/>
      <c r="P18" s="63"/>
      <c r="Q18" s="64" t="str">
        <f t="shared" si="2"/>
        <v/>
      </c>
      <c r="R18" s="59"/>
      <c r="S18" s="68" t="str">
        <f t="shared" si="3"/>
        <v/>
      </c>
      <c r="T18" s="68" t="str">
        <f t="shared" si="4"/>
        <v/>
      </c>
      <c r="U18" s="68" t="str">
        <f t="shared" si="5"/>
        <v/>
      </c>
    </row>
    <row r="19" spans="1:21" ht="15" customHeight="1" x14ac:dyDescent="0.2">
      <c r="A19" s="58"/>
      <c r="B19" s="66"/>
      <c r="C19" s="63"/>
      <c r="D19" s="63"/>
      <c r="E19" s="151"/>
      <c r="F19" s="63"/>
      <c r="G19" s="64" t="str">
        <f t="shared" si="0"/>
        <v/>
      </c>
      <c r="H19" s="59"/>
      <c r="I19" s="63"/>
      <c r="J19" s="151"/>
      <c r="K19" s="63"/>
      <c r="L19" s="64" t="str">
        <f t="shared" si="1"/>
        <v/>
      </c>
      <c r="M19" s="59"/>
      <c r="N19" s="63"/>
      <c r="O19" s="151"/>
      <c r="P19" s="63"/>
      <c r="Q19" s="64" t="str">
        <f t="shared" si="2"/>
        <v/>
      </c>
      <c r="R19" s="59"/>
      <c r="S19" s="68" t="str">
        <f t="shared" si="3"/>
        <v/>
      </c>
      <c r="T19" s="68" t="str">
        <f t="shared" si="4"/>
        <v/>
      </c>
      <c r="U19" s="68" t="str">
        <f t="shared" si="5"/>
        <v/>
      </c>
    </row>
    <row r="20" spans="1:21" ht="15" customHeight="1" x14ac:dyDescent="0.2">
      <c r="A20" s="58" t="s">
        <v>233</v>
      </c>
      <c r="B20" s="66" t="s">
        <v>503</v>
      </c>
      <c r="C20" s="63">
        <v>967.17</v>
      </c>
      <c r="D20" s="63">
        <v>23.11</v>
      </c>
      <c r="E20" s="151">
        <v>61.48</v>
      </c>
      <c r="F20" s="63">
        <v>32</v>
      </c>
      <c r="G20" s="64">
        <f t="shared" si="0"/>
        <v>8.4777753732933281E-2</v>
      </c>
      <c r="H20" s="59" t="s">
        <v>504</v>
      </c>
      <c r="I20" s="63">
        <v>19.14</v>
      </c>
      <c r="J20" s="151">
        <v>50</v>
      </c>
      <c r="K20" s="63">
        <v>28</v>
      </c>
      <c r="L20" s="64">
        <f t="shared" si="1"/>
        <v>3.6601540081799833E-3</v>
      </c>
      <c r="M20" s="59" t="s">
        <v>504</v>
      </c>
      <c r="N20" s="63">
        <v>26.51</v>
      </c>
      <c r="O20" s="151">
        <v>61.48</v>
      </c>
      <c r="P20" s="63">
        <v>35</v>
      </c>
      <c r="Q20" s="64">
        <f t="shared" si="2"/>
        <v>0.11474020678495345</v>
      </c>
      <c r="R20" s="59" t="s">
        <v>505</v>
      </c>
      <c r="S20" s="68" t="str">
        <f t="shared" si="3"/>
        <v>FAIL</v>
      </c>
      <c r="T20" s="68" t="str">
        <f t="shared" si="4"/>
        <v>PASS</v>
      </c>
      <c r="U20" s="68" t="str">
        <f t="shared" si="5"/>
        <v>OK</v>
      </c>
    </row>
    <row r="21" spans="1:21" ht="15" customHeight="1" x14ac:dyDescent="0.2">
      <c r="A21" s="58" t="s">
        <v>118</v>
      </c>
      <c r="B21" s="66" t="s">
        <v>119</v>
      </c>
      <c r="C21" s="63">
        <v>380.63</v>
      </c>
      <c r="D21" s="63">
        <v>17.84</v>
      </c>
      <c r="E21" s="151">
        <v>34.36</v>
      </c>
      <c r="F21" s="63">
        <v>16</v>
      </c>
      <c r="G21" s="64">
        <f t="shared" si="0"/>
        <v>0.10567399598633798</v>
      </c>
      <c r="H21" s="59" t="s">
        <v>505</v>
      </c>
      <c r="I21" s="63">
        <v>14.14</v>
      </c>
      <c r="J21" s="151">
        <v>28</v>
      </c>
      <c r="K21" s="63">
        <v>14</v>
      </c>
      <c r="L21" s="64">
        <f t="shared" si="1"/>
        <v>1.4937311795212738E-2</v>
      </c>
      <c r="M21" s="59" t="s">
        <v>504</v>
      </c>
      <c r="N21" s="63">
        <v>21.33</v>
      </c>
      <c r="O21" s="151">
        <v>38</v>
      </c>
      <c r="P21" s="63">
        <v>18</v>
      </c>
      <c r="Q21" s="64">
        <f t="shared" si="2"/>
        <v>0.16832075792045109</v>
      </c>
      <c r="R21" s="59" t="s">
        <v>504</v>
      </c>
      <c r="S21" s="68" t="str">
        <f t="shared" si="3"/>
        <v>PASS</v>
      </c>
      <c r="T21" s="68" t="str">
        <f t="shared" si="4"/>
        <v>PASS</v>
      </c>
      <c r="U21" s="68" t="str">
        <f t="shared" si="5"/>
        <v>OK</v>
      </c>
    </row>
    <row r="22" spans="1:21" ht="15" customHeight="1" x14ac:dyDescent="0.2">
      <c r="A22" s="58"/>
      <c r="B22" s="66"/>
      <c r="C22" s="63"/>
      <c r="D22" s="63"/>
      <c r="E22" s="151"/>
      <c r="F22" s="63"/>
      <c r="G22" s="64" t="str">
        <f t="shared" si="0"/>
        <v/>
      </c>
      <c r="H22" s="59"/>
      <c r="I22" s="63"/>
      <c r="J22" s="151"/>
      <c r="K22" s="63"/>
      <c r="L22" s="64" t="str">
        <f t="shared" si="1"/>
        <v/>
      </c>
      <c r="M22" s="59"/>
      <c r="N22" s="63"/>
      <c r="O22" s="151"/>
      <c r="P22" s="63"/>
      <c r="Q22" s="64" t="str">
        <f t="shared" si="2"/>
        <v/>
      </c>
      <c r="R22" s="59"/>
      <c r="S22" s="68" t="str">
        <f t="shared" si="3"/>
        <v/>
      </c>
      <c r="T22" s="68" t="str">
        <f t="shared" si="4"/>
        <v/>
      </c>
      <c r="U22" s="68" t="str">
        <f t="shared" si="5"/>
        <v/>
      </c>
    </row>
    <row r="23" spans="1:21" ht="15" customHeight="1" x14ac:dyDescent="0.2">
      <c r="A23" s="58"/>
      <c r="B23" s="66"/>
      <c r="C23" s="63"/>
      <c r="D23" s="63"/>
      <c r="E23" s="151"/>
      <c r="F23" s="63"/>
      <c r="G23" s="64" t="str">
        <f t="shared" si="0"/>
        <v/>
      </c>
      <c r="H23" s="59"/>
      <c r="I23" s="63"/>
      <c r="J23" s="151"/>
      <c r="K23" s="63"/>
      <c r="L23" s="64" t="str">
        <f t="shared" si="1"/>
        <v/>
      </c>
      <c r="M23" s="59"/>
      <c r="N23" s="63"/>
      <c r="O23" s="151"/>
      <c r="P23" s="63"/>
      <c r="Q23" s="64" t="str">
        <f t="shared" si="2"/>
        <v/>
      </c>
      <c r="R23" s="59"/>
      <c r="S23" s="68" t="str">
        <f t="shared" si="3"/>
        <v/>
      </c>
      <c r="T23" s="68" t="str">
        <f t="shared" si="4"/>
        <v/>
      </c>
      <c r="U23" s="68" t="str">
        <f t="shared" si="5"/>
        <v/>
      </c>
    </row>
    <row r="24" spans="1:21" ht="15" customHeight="1" x14ac:dyDescent="0.2">
      <c r="A24" s="152"/>
      <c r="B24" s="153"/>
      <c r="C24" s="154"/>
      <c r="D24" s="154"/>
      <c r="E24" s="155"/>
      <c r="F24" s="154"/>
      <c r="G24" s="156" t="str">
        <f t="shared" si="0"/>
        <v/>
      </c>
      <c r="H24" s="157"/>
      <c r="I24" s="154"/>
      <c r="J24" s="155"/>
      <c r="K24" s="154"/>
      <c r="L24" s="156" t="str">
        <f t="shared" si="1"/>
        <v/>
      </c>
      <c r="M24" s="157"/>
      <c r="N24" s="154"/>
      <c r="O24" s="155"/>
      <c r="P24" s="154"/>
      <c r="Q24" s="156" t="str">
        <f t="shared" si="2"/>
        <v/>
      </c>
      <c r="R24" s="223"/>
      <c r="S24" s="68" t="str">
        <f t="shared" si="3"/>
        <v/>
      </c>
      <c r="T24" s="68" t="str">
        <f t="shared" si="4"/>
        <v/>
      </c>
      <c r="U24" s="68" t="str">
        <f t="shared" si="5"/>
        <v/>
      </c>
    </row>
    <row r="25" spans="1:21" ht="15" customHeight="1" x14ac:dyDescent="0.2">
      <c r="A25" s="152"/>
      <c r="B25" s="153"/>
      <c r="C25" s="154"/>
      <c r="D25" s="154"/>
      <c r="E25" s="155"/>
      <c r="F25" s="154"/>
      <c r="G25" s="156" t="str">
        <f t="shared" si="0"/>
        <v/>
      </c>
      <c r="H25" s="157"/>
      <c r="I25" s="154"/>
      <c r="J25" s="155"/>
      <c r="K25" s="154"/>
      <c r="L25" s="156" t="str">
        <f t="shared" si="1"/>
        <v/>
      </c>
      <c r="M25" s="157"/>
      <c r="N25" s="154"/>
      <c r="O25" s="155"/>
      <c r="P25" s="154"/>
      <c r="Q25" s="156" t="str">
        <f t="shared" si="2"/>
        <v/>
      </c>
      <c r="R25" s="223"/>
      <c r="S25" s="68" t="str">
        <f t="shared" si="3"/>
        <v/>
      </c>
      <c r="T25" s="68" t="str">
        <f t="shared" si="4"/>
        <v/>
      </c>
      <c r="U25" s="68" t="str">
        <f t="shared" si="5"/>
        <v/>
      </c>
    </row>
    <row r="26" spans="1:21" ht="15" customHeight="1" x14ac:dyDescent="0.2">
      <c r="A26" s="152"/>
      <c r="B26" s="153"/>
      <c r="C26" s="154"/>
      <c r="D26" s="154"/>
      <c r="E26" s="155"/>
      <c r="F26" s="154"/>
      <c r="G26" s="156" t="str">
        <f t="shared" si="0"/>
        <v/>
      </c>
      <c r="H26" s="157"/>
      <c r="I26" s="154"/>
      <c r="J26" s="155"/>
      <c r="K26" s="154"/>
      <c r="L26" s="156" t="str">
        <f t="shared" si="1"/>
        <v/>
      </c>
      <c r="M26" s="157"/>
      <c r="N26" s="154"/>
      <c r="O26" s="155"/>
      <c r="P26" s="154"/>
      <c r="Q26" s="156" t="str">
        <f t="shared" si="2"/>
        <v/>
      </c>
      <c r="R26" s="223"/>
      <c r="S26" s="68" t="str">
        <f t="shared" si="3"/>
        <v/>
      </c>
      <c r="T26" s="68" t="str">
        <f t="shared" si="4"/>
        <v/>
      </c>
      <c r="U26" s="68" t="str">
        <f t="shared" si="5"/>
        <v/>
      </c>
    </row>
    <row r="27" spans="1:21" ht="15" customHeight="1" x14ac:dyDescent="0.2">
      <c r="A27" s="152"/>
      <c r="B27" s="153"/>
      <c r="C27" s="154"/>
      <c r="D27" s="154"/>
      <c r="E27" s="155"/>
      <c r="F27" s="154"/>
      <c r="G27" s="156" t="str">
        <f t="shared" si="0"/>
        <v/>
      </c>
      <c r="H27" s="157"/>
      <c r="I27" s="154"/>
      <c r="J27" s="155"/>
      <c r="K27" s="154"/>
      <c r="L27" s="156" t="str">
        <f t="shared" si="1"/>
        <v/>
      </c>
      <c r="M27" s="157"/>
      <c r="N27" s="154"/>
      <c r="O27" s="155"/>
      <c r="P27" s="154"/>
      <c r="Q27" s="156" t="str">
        <f t="shared" si="2"/>
        <v/>
      </c>
      <c r="R27" s="223"/>
      <c r="S27" s="68" t="str">
        <f t="shared" si="3"/>
        <v/>
      </c>
      <c r="T27" s="68" t="str">
        <f t="shared" si="4"/>
        <v/>
      </c>
      <c r="U27" s="68" t="str">
        <f t="shared" si="5"/>
        <v/>
      </c>
    </row>
    <row r="28" spans="1:21" ht="15" customHeight="1" x14ac:dyDescent="0.2">
      <c r="A28" s="152"/>
      <c r="B28" s="153"/>
      <c r="C28" s="154"/>
      <c r="D28" s="154"/>
      <c r="E28" s="155"/>
      <c r="F28" s="154"/>
      <c r="G28" s="156" t="str">
        <f t="shared" si="0"/>
        <v/>
      </c>
      <c r="H28" s="157"/>
      <c r="I28" s="154"/>
      <c r="J28" s="155"/>
      <c r="K28" s="154"/>
      <c r="L28" s="156" t="str">
        <f t="shared" si="1"/>
        <v/>
      </c>
      <c r="M28" s="157"/>
      <c r="N28" s="154"/>
      <c r="O28" s="155"/>
      <c r="P28" s="154"/>
      <c r="Q28" s="156" t="str">
        <f t="shared" si="2"/>
        <v/>
      </c>
      <c r="R28" s="223"/>
      <c r="S28" s="68" t="str">
        <f t="shared" si="3"/>
        <v/>
      </c>
      <c r="T28" s="68" t="str">
        <f t="shared" si="4"/>
        <v/>
      </c>
      <c r="U28" s="68" t="str">
        <f t="shared" si="5"/>
        <v/>
      </c>
    </row>
    <row r="29" spans="1:21" ht="15" customHeight="1" x14ac:dyDescent="0.2">
      <c r="A29" s="152"/>
      <c r="B29" s="153"/>
      <c r="C29" s="154"/>
      <c r="D29" s="154"/>
      <c r="E29" s="155"/>
      <c r="F29" s="154"/>
      <c r="G29" s="156" t="str">
        <f t="shared" si="0"/>
        <v/>
      </c>
      <c r="H29" s="157"/>
      <c r="I29" s="154"/>
      <c r="J29" s="155"/>
      <c r="K29" s="154"/>
      <c r="L29" s="156" t="str">
        <f t="shared" si="1"/>
        <v/>
      </c>
      <c r="M29" s="157"/>
      <c r="N29" s="154"/>
      <c r="O29" s="155"/>
      <c r="P29" s="154"/>
      <c r="Q29" s="156" t="str">
        <f t="shared" si="2"/>
        <v/>
      </c>
      <c r="R29" s="223"/>
      <c r="S29" s="68" t="str">
        <f t="shared" si="3"/>
        <v/>
      </c>
      <c r="T29" s="68" t="str">
        <f t="shared" si="4"/>
        <v/>
      </c>
      <c r="U29" s="68" t="str">
        <f t="shared" si="5"/>
        <v/>
      </c>
    </row>
    <row r="30" spans="1:21" ht="15" customHeight="1" x14ac:dyDescent="0.2">
      <c r="A30" s="152"/>
      <c r="B30" s="153"/>
      <c r="C30" s="154"/>
      <c r="D30" s="154"/>
      <c r="E30" s="155"/>
      <c r="F30" s="154"/>
      <c r="G30" s="156" t="str">
        <f t="shared" si="0"/>
        <v/>
      </c>
      <c r="H30" s="157"/>
      <c r="I30" s="154"/>
      <c r="J30" s="155"/>
      <c r="K30" s="154"/>
      <c r="L30" s="156" t="str">
        <f t="shared" si="1"/>
        <v/>
      </c>
      <c r="M30" s="157"/>
      <c r="N30" s="154"/>
      <c r="O30" s="155"/>
      <c r="P30" s="154"/>
      <c r="Q30" s="156" t="str">
        <f t="shared" si="2"/>
        <v/>
      </c>
      <c r="R30" s="223"/>
      <c r="S30" s="68" t="str">
        <f t="shared" si="3"/>
        <v/>
      </c>
      <c r="T30" s="68" t="str">
        <f t="shared" si="4"/>
        <v/>
      </c>
      <c r="U30" s="68" t="str">
        <f t="shared" si="5"/>
        <v/>
      </c>
    </row>
    <row r="31" spans="1:21" ht="15" customHeight="1" x14ac:dyDescent="0.2">
      <c r="A31" s="152"/>
      <c r="B31" s="153"/>
      <c r="C31" s="154"/>
      <c r="D31" s="154"/>
      <c r="E31" s="155"/>
      <c r="F31" s="154"/>
      <c r="G31" s="156" t="str">
        <f t="shared" si="0"/>
        <v/>
      </c>
      <c r="H31" s="157"/>
      <c r="I31" s="154"/>
      <c r="J31" s="155"/>
      <c r="K31" s="154"/>
      <c r="L31" s="156" t="str">
        <f t="shared" si="1"/>
        <v/>
      </c>
      <c r="M31" s="157"/>
      <c r="N31" s="154"/>
      <c r="O31" s="155"/>
      <c r="P31" s="154"/>
      <c r="Q31" s="156" t="str">
        <f t="shared" si="2"/>
        <v/>
      </c>
      <c r="R31" s="223"/>
      <c r="S31" s="68" t="str">
        <f t="shared" si="3"/>
        <v/>
      </c>
      <c r="T31" s="68" t="str">
        <f t="shared" si="4"/>
        <v/>
      </c>
      <c r="U31" s="68" t="str">
        <f t="shared" si="5"/>
        <v/>
      </c>
    </row>
    <row r="32" spans="1:21" ht="15" customHeight="1" x14ac:dyDescent="0.2">
      <c r="A32" s="152"/>
      <c r="B32" s="153"/>
      <c r="C32" s="154"/>
      <c r="D32" s="154"/>
      <c r="E32" s="155"/>
      <c r="F32" s="154"/>
      <c r="G32" s="156" t="str">
        <f t="shared" si="0"/>
        <v/>
      </c>
      <c r="H32" s="157"/>
      <c r="I32" s="154"/>
      <c r="J32" s="155"/>
      <c r="K32" s="154"/>
      <c r="L32" s="156" t="str">
        <f t="shared" si="1"/>
        <v/>
      </c>
      <c r="M32" s="157"/>
      <c r="N32" s="154"/>
      <c r="O32" s="155"/>
      <c r="P32" s="154"/>
      <c r="Q32" s="156" t="str">
        <f t="shared" si="2"/>
        <v/>
      </c>
      <c r="R32" s="223"/>
      <c r="S32" s="68" t="str">
        <f t="shared" si="3"/>
        <v/>
      </c>
      <c r="T32" s="68" t="str">
        <f t="shared" si="4"/>
        <v/>
      </c>
      <c r="U32" s="68" t="str">
        <f t="shared" si="5"/>
        <v/>
      </c>
    </row>
    <row r="33" spans="1:21" ht="15" customHeight="1" x14ac:dyDescent="0.2">
      <c r="A33" s="152"/>
      <c r="B33" s="153"/>
      <c r="C33" s="154"/>
      <c r="D33" s="154"/>
      <c r="E33" s="155"/>
      <c r="F33" s="154"/>
      <c r="G33" s="156" t="str">
        <f t="shared" si="0"/>
        <v/>
      </c>
      <c r="H33" s="157"/>
      <c r="I33" s="154"/>
      <c r="J33" s="155"/>
      <c r="K33" s="154"/>
      <c r="L33" s="156" t="str">
        <f t="shared" si="1"/>
        <v/>
      </c>
      <c r="M33" s="157"/>
      <c r="N33" s="154"/>
      <c r="O33" s="155"/>
      <c r="P33" s="154"/>
      <c r="Q33" s="156" t="str">
        <f t="shared" si="2"/>
        <v/>
      </c>
      <c r="R33" s="223"/>
      <c r="S33" s="68" t="str">
        <f t="shared" si="3"/>
        <v/>
      </c>
      <c r="T33" s="68" t="str">
        <f t="shared" si="4"/>
        <v/>
      </c>
      <c r="U33" s="68" t="str">
        <f t="shared" si="5"/>
        <v/>
      </c>
    </row>
    <row r="34" spans="1:21" ht="15" customHeight="1" x14ac:dyDescent="0.2">
      <c r="A34" s="152"/>
      <c r="B34" s="153"/>
      <c r="C34" s="154"/>
      <c r="D34" s="154"/>
      <c r="E34" s="155"/>
      <c r="F34" s="154"/>
      <c r="G34" s="156" t="str">
        <f t="shared" si="0"/>
        <v/>
      </c>
      <c r="H34" s="157"/>
      <c r="I34" s="154"/>
      <c r="J34" s="155"/>
      <c r="K34" s="154"/>
      <c r="L34" s="156" t="str">
        <f t="shared" si="1"/>
        <v/>
      </c>
      <c r="M34" s="157"/>
      <c r="N34" s="154"/>
      <c r="O34" s="155"/>
      <c r="P34" s="154"/>
      <c r="Q34" s="156" t="str">
        <f t="shared" si="2"/>
        <v/>
      </c>
      <c r="R34" s="223"/>
      <c r="S34" s="68" t="str">
        <f t="shared" si="3"/>
        <v/>
      </c>
      <c r="T34" s="68" t="str">
        <f t="shared" si="4"/>
        <v/>
      </c>
      <c r="U34" s="68" t="str">
        <f t="shared" si="5"/>
        <v/>
      </c>
    </row>
    <row r="35" spans="1:21" ht="15" customHeight="1" x14ac:dyDescent="0.2">
      <c r="A35" s="152"/>
      <c r="B35" s="153"/>
      <c r="C35" s="154"/>
      <c r="D35" s="154"/>
      <c r="E35" s="155"/>
      <c r="F35" s="154"/>
      <c r="G35" s="156" t="str">
        <f t="shared" si="0"/>
        <v/>
      </c>
      <c r="H35" s="157"/>
      <c r="I35" s="154"/>
      <c r="J35" s="155"/>
      <c r="K35" s="154"/>
      <c r="L35" s="156" t="str">
        <f t="shared" si="1"/>
        <v/>
      </c>
      <c r="M35" s="157"/>
      <c r="N35" s="154"/>
      <c r="O35" s="155"/>
      <c r="P35" s="154"/>
      <c r="Q35" s="156" t="str">
        <f t="shared" si="2"/>
        <v/>
      </c>
      <c r="R35" s="223"/>
      <c r="S35" s="68" t="str">
        <f t="shared" si="3"/>
        <v/>
      </c>
      <c r="T35" s="68" t="str">
        <f t="shared" si="4"/>
        <v/>
      </c>
      <c r="U35" s="68" t="str">
        <f t="shared" si="5"/>
        <v/>
      </c>
    </row>
    <row r="36" spans="1:21" ht="15" customHeight="1" x14ac:dyDescent="0.2">
      <c r="A36" s="152"/>
      <c r="B36" s="153"/>
      <c r="C36" s="154"/>
      <c r="D36" s="154"/>
      <c r="E36" s="155"/>
      <c r="F36" s="154"/>
      <c r="G36" s="156" t="str">
        <f t="shared" si="0"/>
        <v/>
      </c>
      <c r="H36" s="157"/>
      <c r="I36" s="154"/>
      <c r="J36" s="155"/>
      <c r="K36" s="154"/>
      <c r="L36" s="156" t="str">
        <f t="shared" si="1"/>
        <v/>
      </c>
      <c r="M36" s="157"/>
      <c r="N36" s="154"/>
      <c r="O36" s="155"/>
      <c r="P36" s="154"/>
      <c r="Q36" s="156" t="str">
        <f t="shared" si="2"/>
        <v/>
      </c>
      <c r="R36" s="223"/>
      <c r="S36" s="68" t="str">
        <f t="shared" si="3"/>
        <v/>
      </c>
      <c r="T36" s="68" t="str">
        <f t="shared" si="4"/>
        <v/>
      </c>
      <c r="U36" s="68" t="str">
        <f t="shared" si="5"/>
        <v/>
      </c>
    </row>
    <row r="37" spans="1:21" ht="15" customHeight="1" x14ac:dyDescent="0.2">
      <c r="A37" s="152"/>
      <c r="B37" s="153"/>
      <c r="C37" s="154"/>
      <c r="D37" s="154"/>
      <c r="E37" s="155"/>
      <c r="F37" s="154"/>
      <c r="G37" s="156" t="str">
        <f t="shared" si="0"/>
        <v/>
      </c>
      <c r="H37" s="157"/>
      <c r="I37" s="154"/>
      <c r="J37" s="155"/>
      <c r="K37" s="154"/>
      <c r="L37" s="156" t="str">
        <f t="shared" si="1"/>
        <v/>
      </c>
      <c r="M37" s="157"/>
      <c r="N37" s="154"/>
      <c r="O37" s="155"/>
      <c r="P37" s="154"/>
      <c r="Q37" s="156" t="str">
        <f t="shared" si="2"/>
        <v/>
      </c>
      <c r="R37" s="223"/>
      <c r="S37" s="68" t="str">
        <f t="shared" si="3"/>
        <v/>
      </c>
      <c r="T37" s="68" t="str">
        <f t="shared" si="4"/>
        <v/>
      </c>
      <c r="U37" s="68" t="str">
        <f t="shared" si="5"/>
        <v/>
      </c>
    </row>
    <row r="38" spans="1:21" ht="15" customHeight="1" x14ac:dyDescent="0.2">
      <c r="A38" s="152"/>
      <c r="B38" s="153"/>
      <c r="C38" s="154"/>
      <c r="D38" s="154"/>
      <c r="E38" s="155"/>
      <c r="F38" s="154"/>
      <c r="G38" s="156" t="str">
        <f t="shared" si="0"/>
        <v/>
      </c>
      <c r="H38" s="157"/>
      <c r="I38" s="154"/>
      <c r="J38" s="155"/>
      <c r="K38" s="154"/>
      <c r="L38" s="156" t="str">
        <f t="shared" si="1"/>
        <v/>
      </c>
      <c r="M38" s="157"/>
      <c r="N38" s="154"/>
      <c r="O38" s="155"/>
      <c r="P38" s="154"/>
      <c r="Q38" s="156" t="str">
        <f t="shared" si="2"/>
        <v/>
      </c>
      <c r="R38" s="223"/>
      <c r="S38" s="68" t="str">
        <f t="shared" si="3"/>
        <v/>
      </c>
      <c r="T38" s="68" t="str">
        <f t="shared" si="4"/>
        <v/>
      </c>
      <c r="U38" s="68" t="str">
        <f t="shared" si="5"/>
        <v/>
      </c>
    </row>
    <row r="39" spans="1:21" ht="15" customHeight="1" x14ac:dyDescent="0.2">
      <c r="A39" s="152"/>
      <c r="B39" s="153"/>
      <c r="C39" s="154"/>
      <c r="D39" s="154"/>
      <c r="E39" s="155"/>
      <c r="F39" s="154"/>
      <c r="G39" s="156" t="str">
        <f t="shared" si="0"/>
        <v/>
      </c>
      <c r="H39" s="157"/>
      <c r="I39" s="154"/>
      <c r="J39" s="155"/>
      <c r="K39" s="154"/>
      <c r="L39" s="156" t="str">
        <f t="shared" si="1"/>
        <v/>
      </c>
      <c r="M39" s="157"/>
      <c r="N39" s="154"/>
      <c r="O39" s="155"/>
      <c r="P39" s="154"/>
      <c r="Q39" s="156" t="str">
        <f t="shared" si="2"/>
        <v/>
      </c>
      <c r="R39" s="223"/>
      <c r="S39" s="68" t="str">
        <f t="shared" si="3"/>
        <v/>
      </c>
      <c r="T39" s="68" t="str">
        <f t="shared" si="4"/>
        <v/>
      </c>
      <c r="U39" s="68" t="str">
        <f t="shared" si="5"/>
        <v/>
      </c>
    </row>
    <row r="40" spans="1:21" ht="15" customHeight="1" x14ac:dyDescent="0.2">
      <c r="A40" s="152"/>
      <c r="B40" s="153"/>
      <c r="C40" s="154"/>
      <c r="D40" s="154"/>
      <c r="E40" s="155"/>
      <c r="F40" s="154"/>
      <c r="G40" s="156" t="str">
        <f t="shared" si="0"/>
        <v/>
      </c>
      <c r="H40" s="157"/>
      <c r="I40" s="154"/>
      <c r="J40" s="155"/>
      <c r="K40" s="154"/>
      <c r="L40" s="156" t="str">
        <f t="shared" si="1"/>
        <v/>
      </c>
      <c r="M40" s="157"/>
      <c r="N40" s="154"/>
      <c r="O40" s="155"/>
      <c r="P40" s="154"/>
      <c r="Q40" s="156" t="str">
        <f t="shared" si="2"/>
        <v/>
      </c>
      <c r="R40" s="223"/>
      <c r="S40" s="68" t="str">
        <f t="shared" si="3"/>
        <v/>
      </c>
      <c r="T40" s="68" t="str">
        <f t="shared" si="4"/>
        <v/>
      </c>
      <c r="U40" s="68" t="str">
        <f t="shared" si="5"/>
        <v/>
      </c>
    </row>
    <row r="41" spans="1:21" ht="15" customHeight="1" x14ac:dyDescent="0.2">
      <c r="A41" s="152"/>
      <c r="B41" s="153"/>
      <c r="C41" s="154"/>
      <c r="D41" s="154"/>
      <c r="E41" s="155"/>
      <c r="F41" s="154"/>
      <c r="G41" s="156" t="str">
        <f t="shared" si="0"/>
        <v/>
      </c>
      <c r="H41" s="157"/>
      <c r="I41" s="154"/>
      <c r="J41" s="155"/>
      <c r="K41" s="154"/>
      <c r="L41" s="156" t="str">
        <f t="shared" si="1"/>
        <v/>
      </c>
      <c r="M41" s="157"/>
      <c r="N41" s="154"/>
      <c r="O41" s="155"/>
      <c r="P41" s="154"/>
      <c r="Q41" s="156" t="str">
        <f t="shared" si="2"/>
        <v/>
      </c>
      <c r="R41" s="223"/>
      <c r="S41" s="68" t="str">
        <f t="shared" si="3"/>
        <v/>
      </c>
      <c r="T41" s="68" t="str">
        <f t="shared" si="4"/>
        <v/>
      </c>
      <c r="U41" s="68" t="str">
        <f t="shared" si="5"/>
        <v/>
      </c>
    </row>
    <row r="42" spans="1:21" ht="15" customHeight="1" x14ac:dyDescent="0.2">
      <c r="A42" s="152"/>
      <c r="B42" s="153"/>
      <c r="C42" s="154"/>
      <c r="D42" s="154"/>
      <c r="E42" s="155"/>
      <c r="F42" s="154"/>
      <c r="G42" s="156" t="str">
        <f t="shared" si="0"/>
        <v/>
      </c>
      <c r="H42" s="157"/>
      <c r="I42" s="154"/>
      <c r="J42" s="155"/>
      <c r="K42" s="154"/>
      <c r="L42" s="156" t="str">
        <f t="shared" si="1"/>
        <v/>
      </c>
      <c r="M42" s="157"/>
      <c r="N42" s="154"/>
      <c r="O42" s="155"/>
      <c r="P42" s="154"/>
      <c r="Q42" s="156" t="str">
        <f t="shared" si="2"/>
        <v/>
      </c>
      <c r="R42" s="223"/>
      <c r="S42" s="68" t="str">
        <f t="shared" si="3"/>
        <v/>
      </c>
      <c r="T42" s="68" t="str">
        <f t="shared" si="4"/>
        <v/>
      </c>
      <c r="U42" s="68" t="str">
        <f t="shared" si="5"/>
        <v/>
      </c>
    </row>
    <row r="43" spans="1:21" ht="15" customHeight="1" x14ac:dyDescent="0.2">
      <c r="A43" s="152"/>
      <c r="B43" s="153"/>
      <c r="C43" s="154"/>
      <c r="D43" s="154"/>
      <c r="E43" s="155"/>
      <c r="F43" s="154"/>
      <c r="G43" s="156" t="str">
        <f t="shared" si="0"/>
        <v/>
      </c>
      <c r="H43" s="157"/>
      <c r="I43" s="154"/>
      <c r="J43" s="155"/>
      <c r="K43" s="154"/>
      <c r="L43" s="156" t="str">
        <f t="shared" si="1"/>
        <v/>
      </c>
      <c r="M43" s="157"/>
      <c r="N43" s="154"/>
      <c r="O43" s="155"/>
      <c r="P43" s="154"/>
      <c r="Q43" s="156" t="str">
        <f t="shared" si="2"/>
        <v/>
      </c>
      <c r="R43" s="223"/>
      <c r="S43" s="68" t="str">
        <f t="shared" si="3"/>
        <v/>
      </c>
      <c r="T43" s="68" t="str">
        <f t="shared" si="4"/>
        <v/>
      </c>
      <c r="U43" s="68" t="str">
        <f t="shared" si="5"/>
        <v/>
      </c>
    </row>
    <row r="44" spans="1:21" ht="15" customHeight="1" x14ac:dyDescent="0.2">
      <c r="A44" s="152"/>
      <c r="B44" s="153"/>
      <c r="C44" s="154"/>
      <c r="D44" s="154"/>
      <c r="E44" s="155"/>
      <c r="F44" s="154"/>
      <c r="G44" s="156" t="str">
        <f t="shared" si="0"/>
        <v/>
      </c>
      <c r="H44" s="157"/>
      <c r="I44" s="154"/>
      <c r="J44" s="155"/>
      <c r="K44" s="154"/>
      <c r="L44" s="156" t="str">
        <f t="shared" si="1"/>
        <v/>
      </c>
      <c r="M44" s="157"/>
      <c r="N44" s="154"/>
      <c r="O44" s="155"/>
      <c r="P44" s="154"/>
      <c r="Q44" s="156" t="str">
        <f t="shared" si="2"/>
        <v/>
      </c>
      <c r="R44" s="223"/>
      <c r="S44" s="68" t="str">
        <f t="shared" si="3"/>
        <v/>
      </c>
      <c r="T44" s="68" t="str">
        <f t="shared" si="4"/>
        <v/>
      </c>
      <c r="U44" s="68" t="str">
        <f t="shared" si="5"/>
        <v/>
      </c>
    </row>
    <row r="45" spans="1:21" ht="15" customHeight="1" x14ac:dyDescent="0.2">
      <c r="A45" s="152"/>
      <c r="B45" s="153"/>
      <c r="C45" s="154"/>
      <c r="D45" s="154"/>
      <c r="E45" s="155"/>
      <c r="F45" s="154"/>
      <c r="G45" s="156" t="str">
        <f t="shared" si="0"/>
        <v/>
      </c>
      <c r="H45" s="157"/>
      <c r="I45" s="154"/>
      <c r="J45" s="155"/>
      <c r="K45" s="154"/>
      <c r="L45" s="156" t="str">
        <f t="shared" si="1"/>
        <v/>
      </c>
      <c r="M45" s="157"/>
      <c r="N45" s="154"/>
      <c r="O45" s="155"/>
      <c r="P45" s="154"/>
      <c r="Q45" s="156" t="str">
        <f t="shared" si="2"/>
        <v/>
      </c>
      <c r="R45" s="223"/>
      <c r="S45" s="68" t="str">
        <f t="shared" si="3"/>
        <v/>
      </c>
      <c r="T45" s="68" t="str">
        <f t="shared" si="4"/>
        <v/>
      </c>
      <c r="U45" s="68" t="str">
        <f t="shared" si="5"/>
        <v/>
      </c>
    </row>
    <row r="46" spans="1:21" ht="15" customHeight="1" x14ac:dyDescent="0.2">
      <c r="A46" s="152"/>
      <c r="B46" s="153"/>
      <c r="C46" s="154"/>
      <c r="D46" s="154"/>
      <c r="E46" s="155"/>
      <c r="F46" s="154"/>
      <c r="G46" s="156" t="str">
        <f t="shared" si="0"/>
        <v/>
      </c>
      <c r="H46" s="157"/>
      <c r="I46" s="154"/>
      <c r="J46" s="155"/>
      <c r="K46" s="154"/>
      <c r="L46" s="156" t="str">
        <f t="shared" si="1"/>
        <v/>
      </c>
      <c r="M46" s="157"/>
      <c r="N46" s="154"/>
      <c r="O46" s="155"/>
      <c r="P46" s="154"/>
      <c r="Q46" s="156" t="str">
        <f t="shared" si="2"/>
        <v/>
      </c>
      <c r="R46" s="223"/>
      <c r="S46" s="68" t="str">
        <f t="shared" si="3"/>
        <v/>
      </c>
      <c r="T46" s="68" t="str">
        <f t="shared" si="4"/>
        <v/>
      </c>
      <c r="U46" s="68" t="str">
        <f t="shared" si="5"/>
        <v/>
      </c>
    </row>
    <row r="47" spans="1:21" ht="15" customHeight="1" x14ac:dyDescent="0.2">
      <c r="A47" s="152"/>
      <c r="B47" s="153"/>
      <c r="C47" s="154"/>
      <c r="D47" s="154"/>
      <c r="E47" s="155"/>
      <c r="F47" s="154"/>
      <c r="G47" s="156" t="str">
        <f t="shared" si="0"/>
        <v/>
      </c>
      <c r="H47" s="157"/>
      <c r="I47" s="154"/>
      <c r="J47" s="155"/>
      <c r="K47" s="154"/>
      <c r="L47" s="156" t="str">
        <f t="shared" si="1"/>
        <v/>
      </c>
      <c r="M47" s="157"/>
      <c r="N47" s="154"/>
      <c r="O47" s="155"/>
      <c r="P47" s="154"/>
      <c r="Q47" s="156" t="str">
        <f t="shared" si="2"/>
        <v/>
      </c>
      <c r="R47" s="223"/>
      <c r="S47" s="68" t="str">
        <f t="shared" si="3"/>
        <v/>
      </c>
      <c r="T47" s="68" t="str">
        <f t="shared" si="4"/>
        <v/>
      </c>
      <c r="U47" s="68" t="str">
        <f t="shared" si="5"/>
        <v/>
      </c>
    </row>
    <row r="48" spans="1:21" ht="15" customHeight="1" x14ac:dyDescent="0.2">
      <c r="A48" s="152"/>
      <c r="B48" s="153"/>
      <c r="C48" s="154"/>
      <c r="D48" s="154"/>
      <c r="E48" s="155"/>
      <c r="F48" s="154"/>
      <c r="G48" s="156" t="str">
        <f t="shared" si="0"/>
        <v/>
      </c>
      <c r="H48" s="157"/>
      <c r="I48" s="154"/>
      <c r="J48" s="155"/>
      <c r="K48" s="154"/>
      <c r="L48" s="156" t="str">
        <f t="shared" si="1"/>
        <v/>
      </c>
      <c r="M48" s="157"/>
      <c r="N48" s="154"/>
      <c r="O48" s="155"/>
      <c r="P48" s="154"/>
      <c r="Q48" s="156" t="str">
        <f t="shared" si="2"/>
        <v/>
      </c>
      <c r="R48" s="223"/>
      <c r="S48" s="68" t="str">
        <f t="shared" si="3"/>
        <v/>
      </c>
      <c r="T48" s="68" t="str">
        <f t="shared" si="4"/>
        <v/>
      </c>
      <c r="U48" s="68" t="str">
        <f t="shared" si="5"/>
        <v/>
      </c>
    </row>
    <row r="49" spans="1:21" ht="15" customHeight="1" x14ac:dyDescent="0.2">
      <c r="A49" s="152"/>
      <c r="B49" s="153"/>
      <c r="C49" s="154"/>
      <c r="D49" s="154"/>
      <c r="E49" s="155"/>
      <c r="F49" s="154"/>
      <c r="G49" s="156" t="str">
        <f t="shared" si="0"/>
        <v/>
      </c>
      <c r="H49" s="157"/>
      <c r="I49" s="154"/>
      <c r="J49" s="155"/>
      <c r="K49" s="154"/>
      <c r="L49" s="156" t="str">
        <f t="shared" si="1"/>
        <v/>
      </c>
      <c r="M49" s="157"/>
      <c r="N49" s="154"/>
      <c r="O49" s="155"/>
      <c r="P49" s="154"/>
      <c r="Q49" s="156" t="str">
        <f t="shared" si="2"/>
        <v/>
      </c>
      <c r="R49" s="223"/>
      <c r="S49" s="68" t="str">
        <f t="shared" si="3"/>
        <v/>
      </c>
      <c r="T49" s="68" t="str">
        <f t="shared" si="4"/>
        <v/>
      </c>
      <c r="U49" s="68" t="str">
        <f t="shared" si="5"/>
        <v/>
      </c>
    </row>
    <row r="50" spans="1:21" ht="15" customHeight="1" x14ac:dyDescent="0.2">
      <c r="A50" s="152"/>
      <c r="B50" s="153"/>
      <c r="C50" s="154"/>
      <c r="D50" s="154"/>
      <c r="E50" s="155"/>
      <c r="F50" s="154"/>
      <c r="G50" s="156" t="str">
        <f t="shared" si="0"/>
        <v/>
      </c>
      <c r="H50" s="157"/>
      <c r="I50" s="154"/>
      <c r="J50" s="155"/>
      <c r="K50" s="154"/>
      <c r="L50" s="156" t="str">
        <f t="shared" si="1"/>
        <v/>
      </c>
      <c r="M50" s="157"/>
      <c r="N50" s="154"/>
      <c r="O50" s="155"/>
      <c r="P50" s="154"/>
      <c r="Q50" s="156" t="str">
        <f t="shared" si="2"/>
        <v/>
      </c>
      <c r="R50" s="223"/>
      <c r="S50" s="68" t="str">
        <f t="shared" si="3"/>
        <v/>
      </c>
      <c r="T50" s="68" t="str">
        <f t="shared" si="4"/>
        <v/>
      </c>
      <c r="U50" s="68" t="str">
        <f t="shared" si="5"/>
        <v/>
      </c>
    </row>
  </sheetData>
  <mergeCells count="4">
    <mergeCell ref="D2:H2"/>
    <mergeCell ref="I2:M2"/>
    <mergeCell ref="N2:R2"/>
    <mergeCell ref="S2:U2"/>
  </mergeCells>
  <conditionalFormatting sqref="S4:T50">
    <cfRule type="cellIs" dxfId="15" priority="2" operator="equal">
      <formula>"PASS"</formula>
    </cfRule>
    <cfRule type="cellIs" dxfId="14" priority="3" operator="equal">
      <formula>"FAIL"</formula>
    </cfRule>
  </conditionalFormatting>
  <conditionalFormatting sqref="U4:U50">
    <cfRule type="cellIs" dxfId="13" priority="4" operator="equal">
      <formula>"OK"</formula>
    </cfRule>
    <cfRule type="cellIs" dxfId="12" priority="5" operator="equal">
      <formula>"CHECK TAGS"</formula>
    </cfRule>
  </conditionalFormatting>
  <dataValidations count="1">
    <dataValidation type="list" allowBlank="1" sqref="H4:H23 M4:M23 R4:R23" xr:uid="{00000000-0002-0000-0D00-000000000000}">
      <formula1>"Likely,Possible,Unlikely"</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3"/>
  <sheetViews>
    <sheetView showGridLines="0" zoomScaleNormal="100" workbookViewId="0">
      <pane xSplit="4" ySplit="3" topLeftCell="E4" activePane="bottomRight" state="frozen"/>
      <selection pane="topRight" activeCell="E1" sqref="E1"/>
      <selection pane="bottomLeft" activeCell="A4" sqref="A4"/>
      <selection pane="bottomRight" activeCell="E15" sqref="E15"/>
    </sheetView>
  </sheetViews>
  <sheetFormatPr baseColWidth="10" defaultColWidth="8.6640625" defaultRowHeight="15" x14ac:dyDescent="0.2"/>
  <cols>
    <col min="1" max="1" width="8" customWidth="1"/>
    <col min="2" max="2" width="14" customWidth="1"/>
    <col min="3" max="25" width="9" customWidth="1"/>
    <col min="26" max="26" width="8" customWidth="1"/>
    <col min="27" max="27" width="9" customWidth="1"/>
    <col min="28" max="28" width="20" customWidth="1"/>
  </cols>
  <sheetData>
    <row r="1" spans="1:28" ht="30" customHeight="1" x14ac:dyDescent="0.2">
      <c r="A1" s="187" t="s">
        <v>506</v>
      </c>
      <c r="B1" s="187"/>
      <c r="C1" s="187"/>
      <c r="D1" s="187"/>
      <c r="E1" s="187"/>
      <c r="F1" s="187"/>
      <c r="G1" s="187"/>
      <c r="H1" s="187"/>
      <c r="I1" s="187"/>
      <c r="J1" s="187"/>
      <c r="K1" s="187"/>
      <c r="L1" s="187"/>
      <c r="M1" s="187"/>
      <c r="N1" s="187"/>
      <c r="O1" s="187"/>
      <c r="P1" s="187"/>
      <c r="Q1" s="187"/>
      <c r="R1" s="187"/>
      <c r="S1" s="187"/>
      <c r="T1" s="187"/>
      <c r="U1" s="54"/>
      <c r="V1" s="54"/>
    </row>
    <row r="2" spans="1:28" ht="25.5" customHeight="1" x14ac:dyDescent="0.2">
      <c r="E2" s="178" t="s">
        <v>507</v>
      </c>
      <c r="F2" s="178"/>
      <c r="G2" s="178"/>
      <c r="H2" s="178"/>
      <c r="I2" s="178"/>
      <c r="J2" s="178"/>
      <c r="K2" s="178"/>
      <c r="L2" s="178"/>
      <c r="M2" s="178"/>
      <c r="N2" s="178"/>
      <c r="O2" s="178"/>
      <c r="P2" s="178"/>
      <c r="Q2" s="178"/>
      <c r="R2" s="178"/>
      <c r="S2" s="178"/>
      <c r="T2" s="188" t="s">
        <v>508</v>
      </c>
      <c r="U2" s="188"/>
      <c r="V2" s="188"/>
      <c r="W2" s="188"/>
      <c r="X2" s="188"/>
      <c r="Y2" s="188"/>
      <c r="Z2" s="188"/>
    </row>
    <row r="3" spans="1:28" ht="54" customHeight="1" x14ac:dyDescent="0.2">
      <c r="A3" s="96" t="s">
        <v>81</v>
      </c>
      <c r="B3" s="96" t="s">
        <v>287</v>
      </c>
      <c r="C3" s="96" t="s">
        <v>509</v>
      </c>
      <c r="D3" s="96" t="s">
        <v>510</v>
      </c>
      <c r="E3" s="96" t="s">
        <v>511</v>
      </c>
      <c r="F3" s="96" t="s">
        <v>512</v>
      </c>
      <c r="G3" s="96" t="s">
        <v>513</v>
      </c>
      <c r="H3" s="96" t="s">
        <v>514</v>
      </c>
      <c r="I3" s="96" t="s">
        <v>515</v>
      </c>
      <c r="J3" s="96" t="s">
        <v>513</v>
      </c>
      <c r="K3" s="96" t="s">
        <v>516</v>
      </c>
      <c r="L3" s="96" t="s">
        <v>517</v>
      </c>
      <c r="M3" s="96" t="s">
        <v>513</v>
      </c>
      <c r="N3" s="96" t="s">
        <v>518</v>
      </c>
      <c r="O3" s="96" t="s">
        <v>519</v>
      </c>
      <c r="P3" s="96" t="s">
        <v>513</v>
      </c>
      <c r="Q3" s="96" t="s">
        <v>520</v>
      </c>
      <c r="R3" s="96" t="s">
        <v>521</v>
      </c>
      <c r="S3" s="96" t="s">
        <v>513</v>
      </c>
      <c r="T3" s="96" t="s">
        <v>522</v>
      </c>
      <c r="U3" s="96" t="s">
        <v>523</v>
      </c>
      <c r="V3" s="96" t="s">
        <v>524</v>
      </c>
      <c r="W3" s="96" t="s">
        <v>525</v>
      </c>
      <c r="X3" s="96" t="s">
        <v>526</v>
      </c>
      <c r="Y3" s="96" t="s">
        <v>527</v>
      </c>
      <c r="Z3" s="96" t="s">
        <v>528</v>
      </c>
      <c r="AA3" s="96" t="s">
        <v>529</v>
      </c>
      <c r="AB3" s="96" t="s">
        <v>483</v>
      </c>
    </row>
    <row r="4" spans="1:28" ht="15" customHeight="1" x14ac:dyDescent="0.2">
      <c r="A4" s="158"/>
      <c r="B4" s="105"/>
      <c r="C4" s="159"/>
      <c r="D4" s="159"/>
      <c r="E4" s="105"/>
      <c r="F4" s="105"/>
      <c r="G4" s="160" t="str">
        <f t="shared" ref="G4:G23" si="0">IF(OR(E4="",F4=""),"",IF(AND(E4&lt;=2,F4&lt;=2),"TRIGGER","OK"))</f>
        <v/>
      </c>
      <c r="H4" s="105"/>
      <c r="I4" s="105"/>
      <c r="J4" s="160" t="str">
        <f t="shared" ref="J4:J23" si="1">IF(OR(H4="",I4=""),"",IF(AND(H4&lt;=2,I4&lt;=2),"TRIGGER","OK"))</f>
        <v/>
      </c>
      <c r="K4" s="105"/>
      <c r="L4" s="105"/>
      <c r="M4" s="160" t="str">
        <f t="shared" ref="M4:M23" si="2">IF(OR(K4="",L4=""),"",IF(AND(K4&lt;=2,L4&lt;=2),"TRIGGER","OK"))</f>
        <v/>
      </c>
      <c r="N4" s="105"/>
      <c r="O4" s="105"/>
      <c r="P4" s="160" t="str">
        <f t="shared" ref="P4:P23" si="3">IF(OR(N4="",O4=""),"",IF(AND(N4&lt;=2,O4&lt;=2),"TRIGGER","OK"))</f>
        <v/>
      </c>
      <c r="Q4" s="105"/>
      <c r="R4" s="105"/>
      <c r="S4" s="160" t="str">
        <f t="shared" ref="S4:S23" si="4">IF(OR(Q4="",R4=""),"",IF(AND(Q4&lt;=2,R4&lt;=2),"TRIGGER","OK"))</f>
        <v/>
      </c>
      <c r="T4" s="161"/>
      <c r="U4" s="161"/>
      <c r="V4" s="159"/>
      <c r="W4" s="159"/>
      <c r="X4" s="105"/>
      <c r="Y4" s="105"/>
      <c r="Z4" s="160" t="str">
        <f t="shared" ref="Z4:Z23" si="5">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05"/>
      <c r="AB4" s="110" t="str">
        <f t="shared" ref="AB4:AB23" si="6">IF(COUNTA(G4,J4,M4,P4,S4)=0,"",IF(AA4="Y","Hold Through applies — monitor only",IF(OR((COUNTIF(G4,"TRIGGER")+COUNTIF(J4,"TRIGGER")+COUNTIF(M4,"TRIGGER")+COUNTIF(P4,"TRIGGER")+COUNTIF(S4,"TRIGGER"))&gt;0,Z4&lt;&gt;"OK"),"ACTION REQUIRED WITHIN 30 DAYS","OK — no active trigger")))</f>
        <v>OK — no active trigger</v>
      </c>
    </row>
    <row r="5" spans="1:28" ht="15" customHeight="1" x14ac:dyDescent="0.2">
      <c r="A5" s="158"/>
      <c r="B5" s="105"/>
      <c r="C5" s="159"/>
      <c r="D5" s="159"/>
      <c r="E5" s="105"/>
      <c r="F5" s="105"/>
      <c r="G5" s="160" t="str">
        <f t="shared" si="0"/>
        <v/>
      </c>
      <c r="H5" s="105"/>
      <c r="I5" s="105"/>
      <c r="J5" s="160" t="str">
        <f t="shared" si="1"/>
        <v/>
      </c>
      <c r="K5" s="105"/>
      <c r="L5" s="105"/>
      <c r="M5" s="160" t="str">
        <f t="shared" si="2"/>
        <v/>
      </c>
      <c r="N5" s="105"/>
      <c r="O5" s="105"/>
      <c r="P5" s="160" t="str">
        <f t="shared" si="3"/>
        <v/>
      </c>
      <c r="Q5" s="105"/>
      <c r="R5" s="105"/>
      <c r="S5" s="160" t="str">
        <f t="shared" si="4"/>
        <v/>
      </c>
      <c r="T5" s="161"/>
      <c r="U5" s="161"/>
      <c r="V5" s="159"/>
      <c r="W5" s="159"/>
      <c r="X5" s="105"/>
      <c r="Y5" s="105"/>
      <c r="Z5" s="160" t="str">
        <f t="shared" si="5"/>
        <v>OK</v>
      </c>
      <c r="AA5" s="105"/>
      <c r="AB5" s="110" t="str">
        <f t="shared" si="6"/>
        <v>OK — no active trigger</v>
      </c>
    </row>
    <row r="6" spans="1:28" ht="15" customHeight="1" x14ac:dyDescent="0.2">
      <c r="A6" s="158"/>
      <c r="B6" s="105"/>
      <c r="C6" s="159"/>
      <c r="D6" s="159"/>
      <c r="E6" s="105"/>
      <c r="F6" s="105"/>
      <c r="G6" s="160" t="str">
        <f t="shared" si="0"/>
        <v/>
      </c>
      <c r="H6" s="105"/>
      <c r="I6" s="105"/>
      <c r="J6" s="160" t="str">
        <f t="shared" si="1"/>
        <v/>
      </c>
      <c r="K6" s="105"/>
      <c r="L6" s="105"/>
      <c r="M6" s="160" t="str">
        <f t="shared" si="2"/>
        <v/>
      </c>
      <c r="N6" s="105"/>
      <c r="O6" s="105"/>
      <c r="P6" s="160" t="str">
        <f t="shared" si="3"/>
        <v/>
      </c>
      <c r="Q6" s="105"/>
      <c r="R6" s="105"/>
      <c r="S6" s="160" t="str">
        <f t="shared" si="4"/>
        <v/>
      </c>
      <c r="T6" s="161"/>
      <c r="U6" s="161"/>
      <c r="V6" s="159"/>
      <c r="W6" s="159"/>
      <c r="X6" s="105"/>
      <c r="Y6" s="105"/>
      <c r="Z6" s="160" t="str">
        <f t="shared" si="5"/>
        <v>OK</v>
      </c>
      <c r="AA6" s="105"/>
      <c r="AB6" s="110" t="str">
        <f t="shared" si="6"/>
        <v>OK — no active trigger</v>
      </c>
    </row>
    <row r="7" spans="1:28" ht="15" customHeight="1" x14ac:dyDescent="0.2">
      <c r="A7" s="158"/>
      <c r="B7" s="105"/>
      <c r="C7" s="159"/>
      <c r="D7" s="159"/>
      <c r="E7" s="105"/>
      <c r="F7" s="105"/>
      <c r="G7" s="160" t="str">
        <f t="shared" si="0"/>
        <v/>
      </c>
      <c r="H7" s="105"/>
      <c r="I7" s="105"/>
      <c r="J7" s="160" t="str">
        <f t="shared" si="1"/>
        <v/>
      </c>
      <c r="K7" s="105"/>
      <c r="L7" s="105"/>
      <c r="M7" s="160" t="str">
        <f t="shared" si="2"/>
        <v/>
      </c>
      <c r="N7" s="105"/>
      <c r="O7" s="105"/>
      <c r="P7" s="160" t="str">
        <f t="shared" si="3"/>
        <v/>
      </c>
      <c r="Q7" s="105"/>
      <c r="R7" s="105"/>
      <c r="S7" s="160" t="str">
        <f t="shared" si="4"/>
        <v/>
      </c>
      <c r="T7" s="161"/>
      <c r="U7" s="161"/>
      <c r="V7" s="159"/>
      <c r="W7" s="159"/>
      <c r="X7" s="105"/>
      <c r="Y7" s="105"/>
      <c r="Z7" s="160" t="str">
        <f t="shared" si="5"/>
        <v>OK</v>
      </c>
      <c r="AA7" s="105"/>
      <c r="AB7" s="110" t="str">
        <f t="shared" si="6"/>
        <v>OK — no active trigger</v>
      </c>
    </row>
    <row r="8" spans="1:28" ht="15" customHeight="1" x14ac:dyDescent="0.2">
      <c r="A8" s="158"/>
      <c r="B8" s="105"/>
      <c r="C8" s="159"/>
      <c r="D8" s="159"/>
      <c r="E8" s="105"/>
      <c r="F8" s="105"/>
      <c r="G8" s="160" t="str">
        <f t="shared" si="0"/>
        <v/>
      </c>
      <c r="H8" s="105"/>
      <c r="I8" s="105"/>
      <c r="J8" s="160" t="str">
        <f t="shared" si="1"/>
        <v/>
      </c>
      <c r="K8" s="105"/>
      <c r="L8" s="105"/>
      <c r="M8" s="160" t="str">
        <f t="shared" si="2"/>
        <v/>
      </c>
      <c r="N8" s="105"/>
      <c r="O8" s="105"/>
      <c r="P8" s="160" t="str">
        <f t="shared" si="3"/>
        <v/>
      </c>
      <c r="Q8" s="105"/>
      <c r="R8" s="105"/>
      <c r="S8" s="160" t="str">
        <f t="shared" si="4"/>
        <v/>
      </c>
      <c r="T8" s="161"/>
      <c r="U8" s="161"/>
      <c r="V8" s="159"/>
      <c r="W8" s="159"/>
      <c r="X8" s="105"/>
      <c r="Y8" s="105"/>
      <c r="Z8" s="160" t="str">
        <f t="shared" si="5"/>
        <v>OK</v>
      </c>
      <c r="AA8" s="105"/>
      <c r="AB8" s="110" t="str">
        <f t="shared" si="6"/>
        <v>OK — no active trigger</v>
      </c>
    </row>
    <row r="9" spans="1:28" ht="15" customHeight="1" x14ac:dyDescent="0.2">
      <c r="A9" s="158"/>
      <c r="B9" s="105"/>
      <c r="C9" s="159"/>
      <c r="D9" s="159"/>
      <c r="E9" s="105"/>
      <c r="F9" s="105"/>
      <c r="G9" s="160" t="str">
        <f t="shared" si="0"/>
        <v/>
      </c>
      <c r="H9" s="105"/>
      <c r="I9" s="105"/>
      <c r="J9" s="160" t="str">
        <f t="shared" si="1"/>
        <v/>
      </c>
      <c r="K9" s="105"/>
      <c r="L9" s="105"/>
      <c r="M9" s="160" t="str">
        <f t="shared" si="2"/>
        <v/>
      </c>
      <c r="N9" s="105"/>
      <c r="O9" s="105"/>
      <c r="P9" s="160" t="str">
        <f t="shared" si="3"/>
        <v/>
      </c>
      <c r="Q9" s="105"/>
      <c r="R9" s="105"/>
      <c r="S9" s="160" t="str">
        <f t="shared" si="4"/>
        <v/>
      </c>
      <c r="T9" s="161"/>
      <c r="U9" s="161"/>
      <c r="V9" s="159"/>
      <c r="W9" s="159"/>
      <c r="X9" s="105"/>
      <c r="Y9" s="105"/>
      <c r="Z9" s="160" t="str">
        <f t="shared" si="5"/>
        <v>OK</v>
      </c>
      <c r="AA9" s="105"/>
      <c r="AB9" s="110" t="str">
        <f t="shared" si="6"/>
        <v>OK — no active trigger</v>
      </c>
    </row>
    <row r="10" spans="1:28" ht="15" customHeight="1" x14ac:dyDescent="0.2">
      <c r="A10" s="158"/>
      <c r="B10" s="105"/>
      <c r="C10" s="159"/>
      <c r="D10" s="159"/>
      <c r="E10" s="105"/>
      <c r="F10" s="105"/>
      <c r="G10" s="160" t="str">
        <f t="shared" si="0"/>
        <v/>
      </c>
      <c r="H10" s="105"/>
      <c r="I10" s="105"/>
      <c r="J10" s="160" t="str">
        <f t="shared" si="1"/>
        <v/>
      </c>
      <c r="K10" s="105"/>
      <c r="L10" s="105"/>
      <c r="M10" s="160" t="str">
        <f t="shared" si="2"/>
        <v/>
      </c>
      <c r="N10" s="105"/>
      <c r="O10" s="105"/>
      <c r="P10" s="160" t="str">
        <f t="shared" si="3"/>
        <v/>
      </c>
      <c r="Q10" s="105"/>
      <c r="R10" s="105"/>
      <c r="S10" s="160" t="str">
        <f t="shared" si="4"/>
        <v/>
      </c>
      <c r="T10" s="161"/>
      <c r="U10" s="161"/>
      <c r="V10" s="159"/>
      <c r="W10" s="159"/>
      <c r="X10" s="105"/>
      <c r="Y10" s="105"/>
      <c r="Z10" s="160" t="str">
        <f t="shared" si="5"/>
        <v>OK</v>
      </c>
      <c r="AA10" s="105"/>
      <c r="AB10" s="110" t="str">
        <f t="shared" si="6"/>
        <v>OK — no active trigger</v>
      </c>
    </row>
    <row r="11" spans="1:28" ht="15" customHeight="1" x14ac:dyDescent="0.2">
      <c r="A11" s="158"/>
      <c r="B11" s="105"/>
      <c r="C11" s="159"/>
      <c r="D11" s="159"/>
      <c r="E11" s="105"/>
      <c r="F11" s="105"/>
      <c r="G11" s="160" t="str">
        <f t="shared" si="0"/>
        <v/>
      </c>
      <c r="H11" s="105"/>
      <c r="I11" s="105"/>
      <c r="J11" s="160" t="str">
        <f t="shared" si="1"/>
        <v/>
      </c>
      <c r="K11" s="105"/>
      <c r="L11" s="105"/>
      <c r="M11" s="160" t="str">
        <f t="shared" si="2"/>
        <v/>
      </c>
      <c r="N11" s="105"/>
      <c r="O11" s="105"/>
      <c r="P11" s="160" t="str">
        <f t="shared" si="3"/>
        <v/>
      </c>
      <c r="Q11" s="105"/>
      <c r="R11" s="105"/>
      <c r="S11" s="160" t="str">
        <f t="shared" si="4"/>
        <v/>
      </c>
      <c r="T11" s="161"/>
      <c r="U11" s="161"/>
      <c r="V11" s="159"/>
      <c r="W11" s="159"/>
      <c r="X11" s="105"/>
      <c r="Y11" s="105"/>
      <c r="Z11" s="160" t="str">
        <f t="shared" si="5"/>
        <v>OK</v>
      </c>
      <c r="AA11" s="105"/>
      <c r="AB11" s="110" t="str">
        <f t="shared" si="6"/>
        <v>OK — no active trigger</v>
      </c>
    </row>
    <row r="12" spans="1:28" ht="15" customHeight="1" x14ac:dyDescent="0.2">
      <c r="A12" s="158"/>
      <c r="B12" s="105"/>
      <c r="C12" s="159"/>
      <c r="D12" s="159"/>
      <c r="E12" s="105"/>
      <c r="F12" s="105"/>
      <c r="G12" s="160" t="str">
        <f t="shared" si="0"/>
        <v/>
      </c>
      <c r="H12" s="105"/>
      <c r="I12" s="105"/>
      <c r="J12" s="160" t="str">
        <f t="shared" si="1"/>
        <v/>
      </c>
      <c r="K12" s="105"/>
      <c r="L12" s="105"/>
      <c r="M12" s="160" t="str">
        <f t="shared" si="2"/>
        <v/>
      </c>
      <c r="N12" s="105"/>
      <c r="O12" s="105"/>
      <c r="P12" s="160" t="str">
        <f t="shared" si="3"/>
        <v/>
      </c>
      <c r="Q12" s="105"/>
      <c r="R12" s="105"/>
      <c r="S12" s="160" t="str">
        <f t="shared" si="4"/>
        <v/>
      </c>
      <c r="T12" s="161"/>
      <c r="U12" s="161"/>
      <c r="V12" s="159"/>
      <c r="W12" s="159"/>
      <c r="X12" s="105"/>
      <c r="Y12" s="105"/>
      <c r="Z12" s="160" t="str">
        <f t="shared" si="5"/>
        <v>OK</v>
      </c>
      <c r="AA12" s="105"/>
      <c r="AB12" s="110" t="str">
        <f t="shared" si="6"/>
        <v>OK — no active trigger</v>
      </c>
    </row>
    <row r="13" spans="1:28" ht="15" customHeight="1" x14ac:dyDescent="0.2">
      <c r="A13" s="158"/>
      <c r="B13" s="105"/>
      <c r="C13" s="159"/>
      <c r="D13" s="159"/>
      <c r="E13" s="105"/>
      <c r="F13" s="105"/>
      <c r="G13" s="160" t="str">
        <f t="shared" si="0"/>
        <v/>
      </c>
      <c r="H13" s="105"/>
      <c r="I13" s="105"/>
      <c r="J13" s="160" t="str">
        <f t="shared" si="1"/>
        <v/>
      </c>
      <c r="K13" s="105"/>
      <c r="L13" s="105"/>
      <c r="M13" s="160" t="str">
        <f t="shared" si="2"/>
        <v/>
      </c>
      <c r="N13" s="105"/>
      <c r="O13" s="105"/>
      <c r="P13" s="160" t="str">
        <f t="shared" si="3"/>
        <v/>
      </c>
      <c r="Q13" s="105"/>
      <c r="R13" s="105"/>
      <c r="S13" s="160" t="str">
        <f t="shared" si="4"/>
        <v/>
      </c>
      <c r="T13" s="161"/>
      <c r="U13" s="161"/>
      <c r="V13" s="159"/>
      <c r="W13" s="159"/>
      <c r="X13" s="105"/>
      <c r="Y13" s="105"/>
      <c r="Z13" s="160" t="str">
        <f t="shared" si="5"/>
        <v>OK</v>
      </c>
      <c r="AA13" s="105"/>
      <c r="AB13" s="110" t="str">
        <f t="shared" si="6"/>
        <v>OK — no active trigger</v>
      </c>
    </row>
    <row r="14" spans="1:28" ht="15" customHeight="1" x14ac:dyDescent="0.2">
      <c r="A14" s="158"/>
      <c r="B14" s="105"/>
      <c r="C14" s="159"/>
      <c r="D14" s="159"/>
      <c r="E14" s="105"/>
      <c r="F14" s="105"/>
      <c r="G14" s="160" t="str">
        <f t="shared" si="0"/>
        <v/>
      </c>
      <c r="H14" s="105"/>
      <c r="I14" s="105"/>
      <c r="J14" s="160" t="str">
        <f t="shared" si="1"/>
        <v/>
      </c>
      <c r="K14" s="105"/>
      <c r="L14" s="105"/>
      <c r="M14" s="160" t="str">
        <f t="shared" si="2"/>
        <v/>
      </c>
      <c r="N14" s="105"/>
      <c r="O14" s="105"/>
      <c r="P14" s="160" t="str">
        <f t="shared" si="3"/>
        <v/>
      </c>
      <c r="Q14" s="105"/>
      <c r="R14" s="105"/>
      <c r="S14" s="160" t="str">
        <f t="shared" si="4"/>
        <v/>
      </c>
      <c r="T14" s="161"/>
      <c r="U14" s="161"/>
      <c r="V14" s="159"/>
      <c r="W14" s="159"/>
      <c r="X14" s="105"/>
      <c r="Y14" s="105"/>
      <c r="Z14" s="160" t="str">
        <f t="shared" si="5"/>
        <v>OK</v>
      </c>
      <c r="AA14" s="105"/>
      <c r="AB14" s="110" t="str">
        <f t="shared" si="6"/>
        <v>OK — no active trigger</v>
      </c>
    </row>
    <row r="15" spans="1:28" ht="15" customHeight="1" x14ac:dyDescent="0.2">
      <c r="A15" s="158"/>
      <c r="B15" s="105"/>
      <c r="C15" s="159"/>
      <c r="D15" s="159"/>
      <c r="E15" s="105"/>
      <c r="F15" s="105"/>
      <c r="G15" s="160" t="str">
        <f t="shared" si="0"/>
        <v/>
      </c>
      <c r="H15" s="105"/>
      <c r="I15" s="105"/>
      <c r="J15" s="160" t="str">
        <f t="shared" si="1"/>
        <v/>
      </c>
      <c r="K15" s="105"/>
      <c r="L15" s="105"/>
      <c r="M15" s="160" t="str">
        <f t="shared" si="2"/>
        <v/>
      </c>
      <c r="N15" s="105"/>
      <c r="O15" s="105"/>
      <c r="P15" s="160" t="str">
        <f t="shared" si="3"/>
        <v/>
      </c>
      <c r="Q15" s="105"/>
      <c r="R15" s="105"/>
      <c r="S15" s="160" t="str">
        <f t="shared" si="4"/>
        <v/>
      </c>
      <c r="T15" s="161"/>
      <c r="U15" s="161"/>
      <c r="V15" s="159"/>
      <c r="W15" s="159"/>
      <c r="X15" s="105"/>
      <c r="Y15" s="105"/>
      <c r="Z15" s="160" t="str">
        <f t="shared" si="5"/>
        <v>OK</v>
      </c>
      <c r="AA15" s="105"/>
      <c r="AB15" s="110" t="str">
        <f t="shared" si="6"/>
        <v>OK — no active trigger</v>
      </c>
    </row>
    <row r="16" spans="1:28" ht="15" customHeight="1" x14ac:dyDescent="0.2">
      <c r="A16" s="158"/>
      <c r="B16" s="105"/>
      <c r="C16" s="159"/>
      <c r="D16" s="159"/>
      <c r="E16" s="105"/>
      <c r="F16" s="105"/>
      <c r="G16" s="160" t="str">
        <f t="shared" si="0"/>
        <v/>
      </c>
      <c r="H16" s="105"/>
      <c r="I16" s="105"/>
      <c r="J16" s="160" t="str">
        <f t="shared" si="1"/>
        <v/>
      </c>
      <c r="K16" s="105"/>
      <c r="L16" s="105"/>
      <c r="M16" s="160" t="str">
        <f t="shared" si="2"/>
        <v/>
      </c>
      <c r="N16" s="105"/>
      <c r="O16" s="105"/>
      <c r="P16" s="160" t="str">
        <f t="shared" si="3"/>
        <v/>
      </c>
      <c r="Q16" s="105"/>
      <c r="R16" s="105"/>
      <c r="S16" s="160" t="str">
        <f t="shared" si="4"/>
        <v/>
      </c>
      <c r="T16" s="161"/>
      <c r="U16" s="161"/>
      <c r="V16" s="159"/>
      <c r="W16" s="159"/>
      <c r="X16" s="105"/>
      <c r="Y16" s="105"/>
      <c r="Z16" s="160" t="str">
        <f t="shared" si="5"/>
        <v>OK</v>
      </c>
      <c r="AA16" s="105"/>
      <c r="AB16" s="110" t="str">
        <f t="shared" si="6"/>
        <v>OK — no active trigger</v>
      </c>
    </row>
    <row r="17" spans="1:28" ht="15" customHeight="1" x14ac:dyDescent="0.2">
      <c r="A17" s="158"/>
      <c r="B17" s="105"/>
      <c r="C17" s="159"/>
      <c r="D17" s="159"/>
      <c r="E17" s="105"/>
      <c r="F17" s="105"/>
      <c r="G17" s="160" t="str">
        <f t="shared" si="0"/>
        <v/>
      </c>
      <c r="H17" s="105"/>
      <c r="I17" s="105"/>
      <c r="J17" s="160" t="str">
        <f t="shared" si="1"/>
        <v/>
      </c>
      <c r="K17" s="105"/>
      <c r="L17" s="105"/>
      <c r="M17" s="160" t="str">
        <f t="shared" si="2"/>
        <v/>
      </c>
      <c r="N17" s="105"/>
      <c r="O17" s="105"/>
      <c r="P17" s="160" t="str">
        <f t="shared" si="3"/>
        <v/>
      </c>
      <c r="Q17" s="105"/>
      <c r="R17" s="105"/>
      <c r="S17" s="160" t="str">
        <f t="shared" si="4"/>
        <v/>
      </c>
      <c r="T17" s="161"/>
      <c r="U17" s="161"/>
      <c r="V17" s="159"/>
      <c r="W17" s="159"/>
      <c r="X17" s="105"/>
      <c r="Y17" s="105"/>
      <c r="Z17" s="160" t="str">
        <f t="shared" si="5"/>
        <v>OK</v>
      </c>
      <c r="AA17" s="105"/>
      <c r="AB17" s="110" t="str">
        <f t="shared" si="6"/>
        <v>OK — no active trigger</v>
      </c>
    </row>
    <row r="18" spans="1:28" ht="15" customHeight="1" x14ac:dyDescent="0.2">
      <c r="A18" s="158"/>
      <c r="B18" s="105"/>
      <c r="C18" s="159"/>
      <c r="D18" s="159"/>
      <c r="E18" s="105"/>
      <c r="F18" s="105"/>
      <c r="G18" s="160" t="str">
        <f t="shared" si="0"/>
        <v/>
      </c>
      <c r="H18" s="105"/>
      <c r="I18" s="105"/>
      <c r="J18" s="160" t="str">
        <f t="shared" si="1"/>
        <v/>
      </c>
      <c r="K18" s="105"/>
      <c r="L18" s="105"/>
      <c r="M18" s="160" t="str">
        <f t="shared" si="2"/>
        <v/>
      </c>
      <c r="N18" s="105"/>
      <c r="O18" s="105"/>
      <c r="P18" s="160" t="str">
        <f t="shared" si="3"/>
        <v/>
      </c>
      <c r="Q18" s="105"/>
      <c r="R18" s="105"/>
      <c r="S18" s="160" t="str">
        <f t="shared" si="4"/>
        <v/>
      </c>
      <c r="T18" s="161"/>
      <c r="U18" s="161"/>
      <c r="V18" s="159"/>
      <c r="W18" s="159"/>
      <c r="X18" s="105"/>
      <c r="Y18" s="105"/>
      <c r="Z18" s="160" t="str">
        <f t="shared" si="5"/>
        <v>OK</v>
      </c>
      <c r="AA18" s="105"/>
      <c r="AB18" s="110" t="str">
        <f t="shared" si="6"/>
        <v>OK — no active trigger</v>
      </c>
    </row>
    <row r="19" spans="1:28" ht="15" customHeight="1" x14ac:dyDescent="0.2">
      <c r="A19" s="158"/>
      <c r="B19" s="105"/>
      <c r="C19" s="159"/>
      <c r="D19" s="159"/>
      <c r="E19" s="105"/>
      <c r="F19" s="105"/>
      <c r="G19" s="160" t="str">
        <f t="shared" si="0"/>
        <v/>
      </c>
      <c r="H19" s="105"/>
      <c r="I19" s="105"/>
      <c r="J19" s="160" t="str">
        <f t="shared" si="1"/>
        <v/>
      </c>
      <c r="K19" s="105"/>
      <c r="L19" s="105"/>
      <c r="M19" s="160" t="str">
        <f t="shared" si="2"/>
        <v/>
      </c>
      <c r="N19" s="105"/>
      <c r="O19" s="105"/>
      <c r="P19" s="160" t="str">
        <f t="shared" si="3"/>
        <v/>
      </c>
      <c r="Q19" s="105"/>
      <c r="R19" s="105"/>
      <c r="S19" s="160" t="str">
        <f t="shared" si="4"/>
        <v/>
      </c>
      <c r="T19" s="161"/>
      <c r="U19" s="161"/>
      <c r="V19" s="159"/>
      <c r="W19" s="159"/>
      <c r="X19" s="105"/>
      <c r="Y19" s="105"/>
      <c r="Z19" s="160" t="str">
        <f t="shared" si="5"/>
        <v>OK</v>
      </c>
      <c r="AA19" s="105"/>
      <c r="AB19" s="110" t="str">
        <f t="shared" si="6"/>
        <v>OK — no active trigger</v>
      </c>
    </row>
    <row r="20" spans="1:28" ht="15" customHeight="1" x14ac:dyDescent="0.2">
      <c r="A20" s="158"/>
      <c r="B20" s="105"/>
      <c r="C20" s="159"/>
      <c r="D20" s="159"/>
      <c r="E20" s="105"/>
      <c r="F20" s="105"/>
      <c r="G20" s="160" t="str">
        <f t="shared" si="0"/>
        <v/>
      </c>
      <c r="H20" s="105"/>
      <c r="I20" s="105"/>
      <c r="J20" s="160" t="str">
        <f t="shared" si="1"/>
        <v/>
      </c>
      <c r="K20" s="105"/>
      <c r="L20" s="105"/>
      <c r="M20" s="160" t="str">
        <f t="shared" si="2"/>
        <v/>
      </c>
      <c r="N20" s="105"/>
      <c r="O20" s="105"/>
      <c r="P20" s="160" t="str">
        <f t="shared" si="3"/>
        <v/>
      </c>
      <c r="Q20" s="105"/>
      <c r="R20" s="105"/>
      <c r="S20" s="160" t="str">
        <f t="shared" si="4"/>
        <v/>
      </c>
      <c r="T20" s="161"/>
      <c r="U20" s="161"/>
      <c r="V20" s="159"/>
      <c r="W20" s="159"/>
      <c r="X20" s="105"/>
      <c r="Y20" s="105"/>
      <c r="Z20" s="160" t="str">
        <f t="shared" si="5"/>
        <v>OK</v>
      </c>
      <c r="AA20" s="105"/>
      <c r="AB20" s="110" t="str">
        <f t="shared" si="6"/>
        <v>OK — no active trigger</v>
      </c>
    </row>
    <row r="21" spans="1:28" ht="15" customHeight="1" x14ac:dyDescent="0.2">
      <c r="A21" s="158"/>
      <c r="B21" s="105"/>
      <c r="C21" s="159"/>
      <c r="D21" s="159"/>
      <c r="E21" s="105"/>
      <c r="F21" s="105"/>
      <c r="G21" s="160" t="str">
        <f t="shared" si="0"/>
        <v/>
      </c>
      <c r="H21" s="105"/>
      <c r="I21" s="105"/>
      <c r="J21" s="160" t="str">
        <f t="shared" si="1"/>
        <v/>
      </c>
      <c r="K21" s="105"/>
      <c r="L21" s="105"/>
      <c r="M21" s="160" t="str">
        <f t="shared" si="2"/>
        <v/>
      </c>
      <c r="N21" s="105"/>
      <c r="O21" s="105"/>
      <c r="P21" s="160" t="str">
        <f t="shared" si="3"/>
        <v/>
      </c>
      <c r="Q21" s="105"/>
      <c r="R21" s="105"/>
      <c r="S21" s="160" t="str">
        <f t="shared" si="4"/>
        <v/>
      </c>
      <c r="T21" s="161"/>
      <c r="U21" s="161"/>
      <c r="V21" s="159"/>
      <c r="W21" s="159"/>
      <c r="X21" s="105"/>
      <c r="Y21" s="105"/>
      <c r="Z21" s="160" t="str">
        <f t="shared" si="5"/>
        <v>OK</v>
      </c>
      <c r="AA21" s="105"/>
      <c r="AB21" s="110" t="str">
        <f t="shared" si="6"/>
        <v>OK — no active trigger</v>
      </c>
    </row>
    <row r="22" spans="1:28" ht="15" customHeight="1" x14ac:dyDescent="0.2">
      <c r="A22" s="158"/>
      <c r="B22" s="105"/>
      <c r="C22" s="159"/>
      <c r="D22" s="159"/>
      <c r="E22" s="105"/>
      <c r="F22" s="105"/>
      <c r="G22" s="160" t="str">
        <f t="shared" si="0"/>
        <v/>
      </c>
      <c r="H22" s="105"/>
      <c r="I22" s="105"/>
      <c r="J22" s="160" t="str">
        <f t="shared" si="1"/>
        <v/>
      </c>
      <c r="K22" s="105"/>
      <c r="L22" s="105"/>
      <c r="M22" s="160" t="str">
        <f t="shared" si="2"/>
        <v/>
      </c>
      <c r="N22" s="105"/>
      <c r="O22" s="105"/>
      <c r="P22" s="160" t="str">
        <f t="shared" si="3"/>
        <v/>
      </c>
      <c r="Q22" s="105"/>
      <c r="R22" s="105"/>
      <c r="S22" s="160" t="str">
        <f t="shared" si="4"/>
        <v/>
      </c>
      <c r="T22" s="161"/>
      <c r="U22" s="161"/>
      <c r="V22" s="159"/>
      <c r="W22" s="159"/>
      <c r="X22" s="105"/>
      <c r="Y22" s="105"/>
      <c r="Z22" s="160" t="str">
        <f t="shared" si="5"/>
        <v>OK</v>
      </c>
      <c r="AA22" s="105"/>
      <c r="AB22" s="110" t="str">
        <f t="shared" si="6"/>
        <v>OK — no active trigger</v>
      </c>
    </row>
    <row r="23" spans="1:28" ht="15" customHeight="1" x14ac:dyDescent="0.2">
      <c r="A23" s="158"/>
      <c r="B23" s="105"/>
      <c r="C23" s="159"/>
      <c r="D23" s="159"/>
      <c r="E23" s="105"/>
      <c r="F23" s="105"/>
      <c r="G23" s="160" t="str">
        <f t="shared" si="0"/>
        <v/>
      </c>
      <c r="H23" s="105"/>
      <c r="I23" s="105"/>
      <c r="J23" s="160" t="str">
        <f t="shared" si="1"/>
        <v/>
      </c>
      <c r="K23" s="105"/>
      <c r="L23" s="105"/>
      <c r="M23" s="160" t="str">
        <f t="shared" si="2"/>
        <v/>
      </c>
      <c r="N23" s="105"/>
      <c r="O23" s="105"/>
      <c r="P23" s="160" t="str">
        <f t="shared" si="3"/>
        <v/>
      </c>
      <c r="Q23" s="105"/>
      <c r="R23" s="105"/>
      <c r="S23" s="160" t="str">
        <f t="shared" si="4"/>
        <v/>
      </c>
      <c r="T23" s="161"/>
      <c r="U23" s="161"/>
      <c r="V23" s="159"/>
      <c r="W23" s="159"/>
      <c r="X23" s="105"/>
      <c r="Y23" s="105"/>
      <c r="Z23" s="160" t="str">
        <f t="shared" si="5"/>
        <v>OK</v>
      </c>
      <c r="AA23" s="105"/>
      <c r="AB23" s="110" t="str">
        <f t="shared" si="6"/>
        <v>OK — no active trigger</v>
      </c>
    </row>
  </sheetData>
  <mergeCells count="3">
    <mergeCell ref="A1:T1"/>
    <mergeCell ref="E2:S2"/>
    <mergeCell ref="T2:Z2"/>
  </mergeCells>
  <conditionalFormatting sqref="G4:G23">
    <cfRule type="cellIs" dxfId="48" priority="2" operator="equal">
      <formula>"TRIGGER"</formula>
    </cfRule>
    <cfRule type="cellIs" dxfId="47" priority="3" operator="equal">
      <formula>"OK"</formula>
    </cfRule>
  </conditionalFormatting>
  <conditionalFormatting sqref="J4:J23">
    <cfRule type="cellIs" dxfId="46" priority="4" operator="equal">
      <formula>"TRIGGER"</formula>
    </cfRule>
    <cfRule type="cellIs" dxfId="45" priority="5" operator="equal">
      <formula>"OK"</formula>
    </cfRule>
  </conditionalFormatting>
  <conditionalFormatting sqref="M4:M23">
    <cfRule type="cellIs" dxfId="44" priority="6" operator="equal">
      <formula>"TRIGGER"</formula>
    </cfRule>
    <cfRule type="cellIs" dxfId="43" priority="7" operator="equal">
      <formula>"OK"</formula>
    </cfRule>
  </conditionalFormatting>
  <conditionalFormatting sqref="P4:P23">
    <cfRule type="cellIs" dxfId="42" priority="8" operator="equal">
      <formula>"TRIGGER"</formula>
    </cfRule>
    <cfRule type="cellIs" dxfId="41" priority="9" operator="equal">
      <formula>"OK"</formula>
    </cfRule>
  </conditionalFormatting>
  <conditionalFormatting sqref="S4:S23">
    <cfRule type="cellIs" dxfId="40" priority="10" operator="equal">
      <formula>"TRIGGER"</formula>
    </cfRule>
    <cfRule type="cellIs" dxfId="39" priority="11" operator="equal">
      <formula>"OK"</formula>
    </cfRule>
  </conditionalFormatting>
  <conditionalFormatting sqref="Z4:Z23">
    <cfRule type="expression" dxfId="38" priority="12">
      <formula>Z4&lt;&gt;"OK"</formula>
    </cfRule>
  </conditionalFormatting>
  <conditionalFormatting sqref="AB4:AB23">
    <cfRule type="expression" dxfId="37" priority="13">
      <formula>ISNUMBER(SEARCH("ACTION REQUIRED",AB4))</formula>
    </cfRule>
    <cfRule type="expression" dxfId="36" priority="14">
      <formula>ISNUMBER(SEARCH("OK",AB4))</formula>
    </cfRule>
    <cfRule type="expression" dxfId="35" priority="15">
      <formula>ISNUMBER(SEARCH("Hold Through",AB4))</formula>
    </cfRule>
  </conditionalFormatting>
  <dataValidations count="2">
    <dataValidation type="list" allowBlank="1" sqref="AA4:AA23" xr:uid="{00000000-0002-0000-0E00-000000000000}">
      <formula1>"Y,N"</formula1>
      <formula2>0</formula2>
    </dataValidation>
    <dataValidation type="list" allowBlank="1" sqref="X4:Y23" xr:uid="{00000000-0002-0000-0E00-000001000000}">
      <formula1>"Strong Buy,Buy,Watch List,Avoid,Pass"</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34"/>
  <sheetViews>
    <sheetView showGridLines="0" zoomScaleNormal="100" workbookViewId="0">
      <pane ySplit="15" topLeftCell="A16" activePane="bottomLeft" state="frozen"/>
      <selection pane="bottomLeft" activeCell="I23" sqref="I23"/>
    </sheetView>
  </sheetViews>
  <sheetFormatPr baseColWidth="10" defaultColWidth="8.6640625" defaultRowHeight="15" x14ac:dyDescent="0.2"/>
  <cols>
    <col min="1" max="1" width="6.83203125" customWidth="1"/>
    <col min="2" max="2" width="15" customWidth="1"/>
    <col min="3" max="3" width="9.1640625" customWidth="1"/>
    <col min="4" max="4" width="9" customWidth="1"/>
    <col min="5" max="5" width="8" customWidth="1"/>
    <col min="6" max="6" width="9.6640625" customWidth="1"/>
    <col min="7" max="7" width="9.33203125" customWidth="1"/>
    <col min="8" max="8" width="8.5" customWidth="1"/>
    <col min="9" max="9" width="8.1640625" customWidth="1"/>
    <col min="10" max="10" width="11" customWidth="1"/>
    <col min="11" max="11" width="9" customWidth="1"/>
    <col min="12" max="12" width="20" customWidth="1"/>
    <col min="13" max="13" width="7.83203125" customWidth="1"/>
    <col min="14" max="14" width="8.5" customWidth="1"/>
    <col min="15" max="15" width="10" customWidth="1"/>
    <col min="16" max="16" width="9.6640625" customWidth="1"/>
    <col min="17" max="17" width="8.6640625" customWidth="1"/>
  </cols>
  <sheetData>
    <row r="1" spans="1:17" ht="62.25" customHeight="1" x14ac:dyDescent="0.2">
      <c r="A1" s="189" t="s">
        <v>530</v>
      </c>
      <c r="B1" s="189"/>
      <c r="C1" s="189"/>
      <c r="D1" s="189"/>
      <c r="E1" s="189"/>
      <c r="F1" s="189"/>
      <c r="G1" s="189"/>
      <c r="H1" s="189"/>
      <c r="I1" s="189"/>
      <c r="J1" s="189"/>
      <c r="K1" s="189"/>
      <c r="L1" s="189"/>
      <c r="M1" s="189"/>
      <c r="N1" s="189"/>
      <c r="O1" s="189"/>
      <c r="P1" s="189"/>
      <c r="Q1" s="54"/>
    </row>
    <row r="2" spans="1:17" ht="42.75" customHeight="1" x14ac:dyDescent="0.2">
      <c r="A2" s="55" t="s">
        <v>81</v>
      </c>
      <c r="B2" s="55" t="s">
        <v>287</v>
      </c>
      <c r="C2" s="55" t="s">
        <v>531</v>
      </c>
      <c r="D2" s="55" t="s">
        <v>532</v>
      </c>
      <c r="E2" s="55" t="s">
        <v>477</v>
      </c>
      <c r="F2" s="55" t="s">
        <v>533</v>
      </c>
      <c r="G2" s="55" t="s">
        <v>534</v>
      </c>
      <c r="H2" s="55" t="s">
        <v>535</v>
      </c>
      <c r="I2" s="55" t="s">
        <v>861</v>
      </c>
      <c r="J2" s="55" t="s">
        <v>536</v>
      </c>
      <c r="K2" s="55" t="s">
        <v>537</v>
      </c>
      <c r="L2" s="55" t="s">
        <v>538</v>
      </c>
      <c r="M2" s="55" t="s">
        <v>862</v>
      </c>
      <c r="N2" s="55" t="s">
        <v>863</v>
      </c>
      <c r="O2" s="55" t="s">
        <v>539</v>
      </c>
      <c r="P2" s="55" t="s">
        <v>540</v>
      </c>
      <c r="Q2" s="55" t="s">
        <v>541</v>
      </c>
    </row>
    <row r="3" spans="1:17" ht="15" customHeight="1" x14ac:dyDescent="0.2">
      <c r="A3" s="158" t="s">
        <v>95</v>
      </c>
      <c r="B3" s="105" t="s">
        <v>96</v>
      </c>
      <c r="C3" s="162">
        <v>46241</v>
      </c>
      <c r="D3" s="163">
        <v>266.38</v>
      </c>
      <c r="E3" s="224">
        <v>85.8</v>
      </c>
      <c r="F3" s="105" t="s">
        <v>338</v>
      </c>
      <c r="G3" s="105" t="s">
        <v>542</v>
      </c>
      <c r="H3" s="163">
        <v>773.26</v>
      </c>
      <c r="I3" s="105" t="s">
        <v>543</v>
      </c>
      <c r="J3" s="162"/>
      <c r="K3" s="163"/>
      <c r="L3" s="105"/>
      <c r="M3" s="163">
        <v>259.32</v>
      </c>
      <c r="N3" s="163">
        <v>765.04</v>
      </c>
      <c r="O3" s="164">
        <f t="shared" ref="O3:O32" si="0">IF(OR(D3="",M3=""),"",M3/D3-1)</f>
        <v>-2.6503491253097033E-2</v>
      </c>
      <c r="P3" s="164">
        <f t="shared" ref="P3:P32" si="1">IF(OR(H3="",N3=""),"",N3/H3-1)</f>
        <v>-1.0630318392261362E-2</v>
      </c>
      <c r="Q3" s="164">
        <f t="shared" ref="Q3:Q32" si="2">IF(OR(O3="",P3=""),"",O3-P3)</f>
        <v>-1.5873172860835671E-2</v>
      </c>
    </row>
    <row r="4" spans="1:17" ht="15" customHeight="1" x14ac:dyDescent="0.2">
      <c r="A4" s="158" t="s">
        <v>167</v>
      </c>
      <c r="B4" s="105" t="s">
        <v>168</v>
      </c>
      <c r="C4" s="162">
        <v>46241</v>
      </c>
      <c r="D4" s="163">
        <v>488.77</v>
      </c>
      <c r="E4" s="224">
        <v>75.599999999999994</v>
      </c>
      <c r="F4" s="105" t="s">
        <v>338</v>
      </c>
      <c r="G4" s="105" t="s">
        <v>544</v>
      </c>
      <c r="H4" s="163">
        <v>773.26</v>
      </c>
      <c r="I4" s="105" t="s">
        <v>543</v>
      </c>
      <c r="J4" s="162"/>
      <c r="K4" s="163"/>
      <c r="L4" s="105"/>
      <c r="M4" s="163">
        <v>478.7</v>
      </c>
      <c r="N4" s="163">
        <v>765.04</v>
      </c>
      <c r="O4" s="164">
        <f t="shared" si="0"/>
        <v>-2.0602737483888078E-2</v>
      </c>
      <c r="P4" s="164">
        <f t="shared" si="1"/>
        <v>-1.0630318392261362E-2</v>
      </c>
      <c r="Q4" s="164">
        <f t="shared" si="2"/>
        <v>-9.9724190916267164E-3</v>
      </c>
    </row>
    <row r="5" spans="1:17" ht="15" customHeight="1" x14ac:dyDescent="0.2">
      <c r="A5" s="158" t="s">
        <v>170</v>
      </c>
      <c r="B5" s="105" t="s">
        <v>344</v>
      </c>
      <c r="C5" s="162">
        <v>46241</v>
      </c>
      <c r="D5" s="163">
        <v>139.91999999999999</v>
      </c>
      <c r="E5" s="224">
        <v>82</v>
      </c>
      <c r="F5" s="105" t="s">
        <v>338</v>
      </c>
      <c r="G5" s="105" t="s">
        <v>542</v>
      </c>
      <c r="H5" s="163">
        <v>773.26</v>
      </c>
      <c r="I5" s="105" t="s">
        <v>543</v>
      </c>
      <c r="J5" s="162"/>
      <c r="K5" s="163"/>
      <c r="L5" s="105"/>
      <c r="M5" s="163">
        <v>139.06</v>
      </c>
      <c r="N5" s="163">
        <v>765.04</v>
      </c>
      <c r="O5" s="164">
        <f t="shared" si="0"/>
        <v>-6.1463693539164366E-3</v>
      </c>
      <c r="P5" s="164">
        <f t="shared" si="1"/>
        <v>-1.0630318392261362E-2</v>
      </c>
      <c r="Q5" s="164">
        <f t="shared" si="2"/>
        <v>4.4839490383449254E-3</v>
      </c>
    </row>
    <row r="6" spans="1:17" ht="15" customHeight="1" x14ac:dyDescent="0.2">
      <c r="A6" s="158" t="s">
        <v>118</v>
      </c>
      <c r="B6" s="105" t="s">
        <v>119</v>
      </c>
      <c r="C6" s="162">
        <v>46273</v>
      </c>
      <c r="D6" s="163">
        <v>368.97</v>
      </c>
      <c r="E6" s="224">
        <v>86.4</v>
      </c>
      <c r="F6" s="105" t="s">
        <v>338</v>
      </c>
      <c r="G6" s="105" t="s">
        <v>542</v>
      </c>
      <c r="H6" s="163">
        <v>767.53</v>
      </c>
      <c r="I6" s="105" t="s">
        <v>543</v>
      </c>
      <c r="J6" s="162"/>
      <c r="K6" s="163"/>
      <c r="L6" s="105"/>
      <c r="M6" s="163">
        <v>367.68</v>
      </c>
      <c r="N6" s="163">
        <v>767.53</v>
      </c>
      <c r="O6" s="164">
        <f t="shared" si="0"/>
        <v>-3.4962192048134666E-3</v>
      </c>
      <c r="P6" s="164">
        <f t="shared" si="1"/>
        <v>0</v>
      </c>
      <c r="Q6" s="164">
        <f t="shared" si="2"/>
        <v>-3.4962192048134666E-3</v>
      </c>
    </row>
    <row r="7" spans="1:17" ht="15" customHeight="1" x14ac:dyDescent="0.2">
      <c r="A7" s="158" t="s">
        <v>140</v>
      </c>
      <c r="B7" s="105" t="s">
        <v>141</v>
      </c>
      <c r="C7" s="162">
        <v>46295</v>
      </c>
      <c r="D7" s="163">
        <v>314.70999999999998</v>
      </c>
      <c r="E7" s="224">
        <v>84.2</v>
      </c>
      <c r="F7" s="105" t="s">
        <v>338</v>
      </c>
      <c r="G7" s="105" t="s">
        <v>542</v>
      </c>
      <c r="H7" s="163">
        <v>766.29</v>
      </c>
      <c r="I7" s="105" t="s">
        <v>543</v>
      </c>
      <c r="J7" s="162"/>
      <c r="K7" s="163"/>
      <c r="L7" s="105"/>
      <c r="M7" s="163">
        <v>314.70999999999998</v>
      </c>
      <c r="N7" s="163">
        <v>766.29</v>
      </c>
      <c r="O7" s="164">
        <f t="shared" si="0"/>
        <v>0</v>
      </c>
      <c r="P7" s="164">
        <f t="shared" si="1"/>
        <v>0</v>
      </c>
      <c r="Q7" s="164">
        <f t="shared" si="2"/>
        <v>0</v>
      </c>
    </row>
    <row r="8" spans="1:17" ht="15" customHeight="1" x14ac:dyDescent="0.2">
      <c r="A8" s="158" t="s">
        <v>143</v>
      </c>
      <c r="B8" s="105" t="s">
        <v>144</v>
      </c>
      <c r="C8" s="162">
        <v>46295</v>
      </c>
      <c r="D8" s="163">
        <v>69.795000000000002</v>
      </c>
      <c r="E8" s="224">
        <v>83.8</v>
      </c>
      <c r="F8" s="105" t="s">
        <v>338</v>
      </c>
      <c r="G8" s="105" t="s">
        <v>542</v>
      </c>
      <c r="H8" s="163">
        <v>766.29</v>
      </c>
      <c r="I8" s="105" t="s">
        <v>543</v>
      </c>
      <c r="J8" s="162"/>
      <c r="K8" s="163"/>
      <c r="L8" s="105"/>
      <c r="M8" s="163">
        <v>69.795000000000002</v>
      </c>
      <c r="N8" s="163">
        <v>766.29</v>
      </c>
      <c r="O8" s="164">
        <f t="shared" si="0"/>
        <v>0</v>
      </c>
      <c r="P8" s="164">
        <f t="shared" si="1"/>
        <v>0</v>
      </c>
      <c r="Q8" s="164">
        <f t="shared" si="2"/>
        <v>0</v>
      </c>
    </row>
    <row r="9" spans="1:17" ht="15" customHeight="1" x14ac:dyDescent="0.2">
      <c r="A9" s="158"/>
      <c r="B9" s="105"/>
      <c r="C9" s="162"/>
      <c r="D9" s="163"/>
      <c r="E9" s="224"/>
      <c r="F9" s="105"/>
      <c r="G9" s="105"/>
      <c r="H9" s="163"/>
      <c r="I9" s="105"/>
      <c r="J9" s="162"/>
      <c r="K9" s="163"/>
      <c r="L9" s="105"/>
      <c r="M9" s="163"/>
      <c r="N9" s="163"/>
      <c r="O9" s="164" t="str">
        <f t="shared" si="0"/>
        <v/>
      </c>
      <c r="P9" s="164" t="str">
        <f t="shared" si="1"/>
        <v/>
      </c>
      <c r="Q9" s="164" t="str">
        <f t="shared" si="2"/>
        <v/>
      </c>
    </row>
    <row r="10" spans="1:17" ht="15" customHeight="1" x14ac:dyDescent="0.2">
      <c r="A10" s="158"/>
      <c r="B10" s="105"/>
      <c r="C10" s="162"/>
      <c r="D10" s="163"/>
      <c r="E10" s="224"/>
      <c r="F10" s="105"/>
      <c r="G10" s="105"/>
      <c r="H10" s="163"/>
      <c r="I10" s="105"/>
      <c r="J10" s="162"/>
      <c r="K10" s="163"/>
      <c r="L10" s="105"/>
      <c r="M10" s="163"/>
      <c r="N10" s="163"/>
      <c r="O10" s="164" t="str">
        <f t="shared" si="0"/>
        <v/>
      </c>
      <c r="P10" s="164" t="str">
        <f t="shared" si="1"/>
        <v/>
      </c>
      <c r="Q10" s="164" t="str">
        <f t="shared" si="2"/>
        <v/>
      </c>
    </row>
    <row r="11" spans="1:17" ht="15" customHeight="1" x14ac:dyDescent="0.2">
      <c r="A11" s="158"/>
      <c r="B11" s="105"/>
      <c r="C11" s="162"/>
      <c r="D11" s="163"/>
      <c r="E11" s="224"/>
      <c r="F11" s="105"/>
      <c r="G11" s="105"/>
      <c r="H11" s="163"/>
      <c r="I11" s="105"/>
      <c r="J11" s="162"/>
      <c r="K11" s="163"/>
      <c r="L11" s="105"/>
      <c r="M11" s="163"/>
      <c r="N11" s="163"/>
      <c r="O11" s="164" t="str">
        <f t="shared" si="0"/>
        <v/>
      </c>
      <c r="P11" s="164" t="str">
        <f t="shared" si="1"/>
        <v/>
      </c>
      <c r="Q11" s="164" t="str">
        <f t="shared" si="2"/>
        <v/>
      </c>
    </row>
    <row r="12" spans="1:17" ht="15" customHeight="1" x14ac:dyDescent="0.2">
      <c r="A12" s="158"/>
      <c r="B12" s="105"/>
      <c r="C12" s="162"/>
      <c r="D12" s="163"/>
      <c r="E12" s="224"/>
      <c r="F12" s="105"/>
      <c r="G12" s="105"/>
      <c r="H12" s="163"/>
      <c r="I12" s="105"/>
      <c r="J12" s="162"/>
      <c r="K12" s="163"/>
      <c r="L12" s="105"/>
      <c r="M12" s="163"/>
      <c r="N12" s="163"/>
      <c r="O12" s="164" t="str">
        <f t="shared" si="0"/>
        <v/>
      </c>
      <c r="P12" s="164" t="str">
        <f t="shared" si="1"/>
        <v/>
      </c>
      <c r="Q12" s="164" t="str">
        <f t="shared" si="2"/>
        <v/>
      </c>
    </row>
    <row r="13" spans="1:17" ht="15" customHeight="1" x14ac:dyDescent="0.2">
      <c r="A13" s="158"/>
      <c r="B13" s="105"/>
      <c r="C13" s="162"/>
      <c r="D13" s="163"/>
      <c r="E13" s="224"/>
      <c r="F13" s="105"/>
      <c r="G13" s="105"/>
      <c r="H13" s="163"/>
      <c r="I13" s="105"/>
      <c r="J13" s="162"/>
      <c r="K13" s="163"/>
      <c r="L13" s="105"/>
      <c r="M13" s="163"/>
      <c r="N13" s="163"/>
      <c r="O13" s="164" t="str">
        <f t="shared" si="0"/>
        <v/>
      </c>
      <c r="P13" s="164" t="str">
        <f t="shared" si="1"/>
        <v/>
      </c>
      <c r="Q13" s="164" t="str">
        <f t="shared" si="2"/>
        <v/>
      </c>
    </row>
    <row r="14" spans="1:17" ht="15" customHeight="1" x14ac:dyDescent="0.2">
      <c r="A14" s="158"/>
      <c r="B14" s="105"/>
      <c r="C14" s="162"/>
      <c r="D14" s="163"/>
      <c r="E14" s="224"/>
      <c r="F14" s="105"/>
      <c r="G14" s="105"/>
      <c r="H14" s="163"/>
      <c r="I14" s="105"/>
      <c r="J14" s="162"/>
      <c r="K14" s="163"/>
      <c r="L14" s="105"/>
      <c r="M14" s="163"/>
      <c r="N14" s="163"/>
      <c r="O14" s="164" t="str">
        <f t="shared" si="0"/>
        <v/>
      </c>
      <c r="P14" s="164" t="str">
        <f t="shared" si="1"/>
        <v/>
      </c>
      <c r="Q14" s="164" t="str">
        <f t="shared" si="2"/>
        <v/>
      </c>
    </row>
    <row r="15" spans="1:17" ht="15" customHeight="1" x14ac:dyDescent="0.2">
      <c r="A15" s="158"/>
      <c r="B15" s="105"/>
      <c r="C15" s="162"/>
      <c r="D15" s="163"/>
      <c r="E15" s="224"/>
      <c r="F15" s="105"/>
      <c r="G15" s="105"/>
      <c r="H15" s="163"/>
      <c r="I15" s="105"/>
      <c r="J15" s="162"/>
      <c r="K15" s="163"/>
      <c r="L15" s="105"/>
      <c r="M15" s="163"/>
      <c r="N15" s="163"/>
      <c r="O15" s="164" t="str">
        <f t="shared" si="0"/>
        <v/>
      </c>
      <c r="P15" s="164" t="str">
        <f t="shared" si="1"/>
        <v/>
      </c>
      <c r="Q15" s="164" t="str">
        <f t="shared" si="2"/>
        <v/>
      </c>
    </row>
    <row r="16" spans="1:17" ht="15" customHeight="1" x14ac:dyDescent="0.2">
      <c r="A16" s="158"/>
      <c r="B16" s="105"/>
      <c r="C16" s="162"/>
      <c r="D16" s="163"/>
      <c r="E16" s="224"/>
      <c r="F16" s="105"/>
      <c r="G16" s="105"/>
      <c r="H16" s="163"/>
      <c r="I16" s="105"/>
      <c r="J16" s="162"/>
      <c r="K16" s="163"/>
      <c r="L16" s="105"/>
      <c r="M16" s="163"/>
      <c r="N16" s="163"/>
      <c r="O16" s="164" t="str">
        <f t="shared" si="0"/>
        <v/>
      </c>
      <c r="P16" s="164" t="str">
        <f t="shared" si="1"/>
        <v/>
      </c>
      <c r="Q16" s="164" t="str">
        <f t="shared" si="2"/>
        <v/>
      </c>
    </row>
    <row r="17" spans="1:17" ht="15" customHeight="1" x14ac:dyDescent="0.2">
      <c r="A17" s="158"/>
      <c r="B17" s="105"/>
      <c r="C17" s="162"/>
      <c r="D17" s="163"/>
      <c r="E17" s="224"/>
      <c r="F17" s="105"/>
      <c r="G17" s="105"/>
      <c r="H17" s="163"/>
      <c r="I17" s="105"/>
      <c r="J17" s="162"/>
      <c r="K17" s="163"/>
      <c r="L17" s="105"/>
      <c r="M17" s="163"/>
      <c r="N17" s="163"/>
      <c r="O17" s="164" t="str">
        <f t="shared" si="0"/>
        <v/>
      </c>
      <c r="P17" s="164" t="str">
        <f t="shared" si="1"/>
        <v/>
      </c>
      <c r="Q17" s="164" t="str">
        <f t="shared" si="2"/>
        <v/>
      </c>
    </row>
    <row r="18" spans="1:17" ht="15" customHeight="1" x14ac:dyDescent="0.2">
      <c r="A18" s="158"/>
      <c r="B18" s="105"/>
      <c r="C18" s="162"/>
      <c r="D18" s="163"/>
      <c r="E18" s="224"/>
      <c r="F18" s="105"/>
      <c r="G18" s="105"/>
      <c r="H18" s="163"/>
      <c r="I18" s="105"/>
      <c r="J18" s="162"/>
      <c r="K18" s="163"/>
      <c r="L18" s="105"/>
      <c r="M18" s="163"/>
      <c r="N18" s="163"/>
      <c r="O18" s="164" t="str">
        <f t="shared" si="0"/>
        <v/>
      </c>
      <c r="P18" s="164" t="str">
        <f t="shared" si="1"/>
        <v/>
      </c>
      <c r="Q18" s="164" t="str">
        <f t="shared" si="2"/>
        <v/>
      </c>
    </row>
    <row r="19" spans="1:17" ht="15" customHeight="1" x14ac:dyDescent="0.2">
      <c r="A19" s="158"/>
      <c r="B19" s="105"/>
      <c r="C19" s="162"/>
      <c r="D19" s="163"/>
      <c r="E19" s="224"/>
      <c r="F19" s="105"/>
      <c r="G19" s="105"/>
      <c r="H19" s="163"/>
      <c r="I19" s="105"/>
      <c r="J19" s="162"/>
      <c r="K19" s="163"/>
      <c r="L19" s="105"/>
      <c r="M19" s="163"/>
      <c r="N19" s="163"/>
      <c r="O19" s="164" t="str">
        <f t="shared" si="0"/>
        <v/>
      </c>
      <c r="P19" s="164" t="str">
        <f t="shared" si="1"/>
        <v/>
      </c>
      <c r="Q19" s="164" t="str">
        <f t="shared" si="2"/>
        <v/>
      </c>
    </row>
    <row r="20" spans="1:17" ht="15" customHeight="1" x14ac:dyDescent="0.2">
      <c r="A20" s="158"/>
      <c r="B20" s="105"/>
      <c r="C20" s="162"/>
      <c r="D20" s="163"/>
      <c r="E20" s="224"/>
      <c r="F20" s="105"/>
      <c r="G20" s="105"/>
      <c r="H20" s="163"/>
      <c r="I20" s="105"/>
      <c r="J20" s="162"/>
      <c r="K20" s="163"/>
      <c r="L20" s="105"/>
      <c r="M20" s="163"/>
      <c r="N20" s="163"/>
      <c r="O20" s="164" t="str">
        <f t="shared" si="0"/>
        <v/>
      </c>
      <c r="P20" s="164" t="str">
        <f t="shared" si="1"/>
        <v/>
      </c>
      <c r="Q20" s="164" t="str">
        <f t="shared" si="2"/>
        <v/>
      </c>
    </row>
    <row r="21" spans="1:17" ht="15" customHeight="1" x14ac:dyDescent="0.2">
      <c r="A21" s="158"/>
      <c r="B21" s="105"/>
      <c r="C21" s="162"/>
      <c r="D21" s="163"/>
      <c r="E21" s="224"/>
      <c r="F21" s="105"/>
      <c r="G21" s="105"/>
      <c r="H21" s="163"/>
      <c r="I21" s="105"/>
      <c r="J21" s="162"/>
      <c r="K21" s="163"/>
      <c r="L21" s="105"/>
      <c r="M21" s="163"/>
      <c r="N21" s="163"/>
      <c r="O21" s="164" t="str">
        <f t="shared" si="0"/>
        <v/>
      </c>
      <c r="P21" s="164" t="str">
        <f t="shared" si="1"/>
        <v/>
      </c>
      <c r="Q21" s="164" t="str">
        <f t="shared" si="2"/>
        <v/>
      </c>
    </row>
    <row r="22" spans="1:17" ht="15" customHeight="1" x14ac:dyDescent="0.2">
      <c r="A22" s="158"/>
      <c r="B22" s="105"/>
      <c r="C22" s="162"/>
      <c r="D22" s="163"/>
      <c r="E22" s="224"/>
      <c r="F22" s="105"/>
      <c r="G22" s="105"/>
      <c r="H22" s="163"/>
      <c r="I22" s="105"/>
      <c r="J22" s="162"/>
      <c r="K22" s="163"/>
      <c r="L22" s="105"/>
      <c r="M22" s="163"/>
      <c r="N22" s="163"/>
      <c r="O22" s="164" t="str">
        <f t="shared" si="0"/>
        <v/>
      </c>
      <c r="P22" s="164" t="str">
        <f t="shared" si="1"/>
        <v/>
      </c>
      <c r="Q22" s="164" t="str">
        <f t="shared" si="2"/>
        <v/>
      </c>
    </row>
    <row r="23" spans="1:17" ht="15" customHeight="1" x14ac:dyDescent="0.2">
      <c r="A23" s="158"/>
      <c r="B23" s="105"/>
      <c r="C23" s="162"/>
      <c r="D23" s="163"/>
      <c r="E23" s="224"/>
      <c r="F23" s="105"/>
      <c r="G23" s="105"/>
      <c r="H23" s="163"/>
      <c r="I23" s="105"/>
      <c r="J23" s="162"/>
      <c r="K23" s="163"/>
      <c r="L23" s="105"/>
      <c r="M23" s="163"/>
      <c r="N23" s="163"/>
      <c r="O23" s="164" t="str">
        <f t="shared" si="0"/>
        <v/>
      </c>
      <c r="P23" s="164" t="str">
        <f t="shared" si="1"/>
        <v/>
      </c>
      <c r="Q23" s="164" t="str">
        <f t="shared" si="2"/>
        <v/>
      </c>
    </row>
    <row r="24" spans="1:17" ht="15" customHeight="1" x14ac:dyDescent="0.2">
      <c r="A24" s="158"/>
      <c r="B24" s="105"/>
      <c r="C24" s="162"/>
      <c r="D24" s="163"/>
      <c r="E24" s="224"/>
      <c r="F24" s="105"/>
      <c r="G24" s="105"/>
      <c r="H24" s="163"/>
      <c r="I24" s="105"/>
      <c r="J24" s="162"/>
      <c r="K24" s="163"/>
      <c r="L24" s="105"/>
      <c r="M24" s="163"/>
      <c r="N24" s="163"/>
      <c r="O24" s="164" t="str">
        <f t="shared" si="0"/>
        <v/>
      </c>
      <c r="P24" s="164" t="str">
        <f t="shared" si="1"/>
        <v/>
      </c>
      <c r="Q24" s="164" t="str">
        <f t="shared" si="2"/>
        <v/>
      </c>
    </row>
    <row r="25" spans="1:17" ht="15" customHeight="1" x14ac:dyDescent="0.2">
      <c r="A25" s="158"/>
      <c r="B25" s="105"/>
      <c r="C25" s="162"/>
      <c r="D25" s="163"/>
      <c r="E25" s="224"/>
      <c r="F25" s="105"/>
      <c r="G25" s="105"/>
      <c r="H25" s="163"/>
      <c r="I25" s="105"/>
      <c r="J25" s="162"/>
      <c r="K25" s="163"/>
      <c r="L25" s="105"/>
      <c r="M25" s="163"/>
      <c r="N25" s="163"/>
      <c r="O25" s="164" t="str">
        <f t="shared" si="0"/>
        <v/>
      </c>
      <c r="P25" s="164" t="str">
        <f t="shared" si="1"/>
        <v/>
      </c>
      <c r="Q25" s="164" t="str">
        <f t="shared" si="2"/>
        <v/>
      </c>
    </row>
    <row r="26" spans="1:17" ht="15" customHeight="1" x14ac:dyDescent="0.2">
      <c r="A26" s="158"/>
      <c r="B26" s="105"/>
      <c r="C26" s="162"/>
      <c r="D26" s="163"/>
      <c r="E26" s="224"/>
      <c r="F26" s="105"/>
      <c r="G26" s="105"/>
      <c r="H26" s="163"/>
      <c r="I26" s="105"/>
      <c r="J26" s="162"/>
      <c r="K26" s="163"/>
      <c r="L26" s="105"/>
      <c r="M26" s="163"/>
      <c r="N26" s="163"/>
      <c r="O26" s="164" t="str">
        <f t="shared" si="0"/>
        <v/>
      </c>
      <c r="P26" s="164" t="str">
        <f t="shared" si="1"/>
        <v/>
      </c>
      <c r="Q26" s="164" t="str">
        <f t="shared" si="2"/>
        <v/>
      </c>
    </row>
    <row r="27" spans="1:17" ht="15" customHeight="1" x14ac:dyDescent="0.2">
      <c r="A27" s="158"/>
      <c r="B27" s="105"/>
      <c r="C27" s="162"/>
      <c r="D27" s="163"/>
      <c r="E27" s="224"/>
      <c r="F27" s="105"/>
      <c r="G27" s="105"/>
      <c r="H27" s="163"/>
      <c r="I27" s="105"/>
      <c r="J27" s="162"/>
      <c r="K27" s="163"/>
      <c r="L27" s="105"/>
      <c r="M27" s="163"/>
      <c r="N27" s="163"/>
      <c r="O27" s="164" t="str">
        <f t="shared" si="0"/>
        <v/>
      </c>
      <c r="P27" s="164" t="str">
        <f t="shared" si="1"/>
        <v/>
      </c>
      <c r="Q27" s="164" t="str">
        <f t="shared" si="2"/>
        <v/>
      </c>
    </row>
    <row r="28" spans="1:17" ht="15" customHeight="1" x14ac:dyDescent="0.2">
      <c r="A28" s="158"/>
      <c r="B28" s="105"/>
      <c r="C28" s="162"/>
      <c r="D28" s="163"/>
      <c r="E28" s="224"/>
      <c r="F28" s="105"/>
      <c r="G28" s="105"/>
      <c r="H28" s="163"/>
      <c r="I28" s="105"/>
      <c r="J28" s="162"/>
      <c r="K28" s="163"/>
      <c r="L28" s="105"/>
      <c r="M28" s="163"/>
      <c r="N28" s="163"/>
      <c r="O28" s="164" t="str">
        <f t="shared" si="0"/>
        <v/>
      </c>
      <c r="P28" s="164" t="str">
        <f t="shared" si="1"/>
        <v/>
      </c>
      <c r="Q28" s="164" t="str">
        <f t="shared" si="2"/>
        <v/>
      </c>
    </row>
    <row r="29" spans="1:17" ht="15" customHeight="1" x14ac:dyDescent="0.2">
      <c r="A29" s="158"/>
      <c r="B29" s="105"/>
      <c r="C29" s="162"/>
      <c r="D29" s="163"/>
      <c r="E29" s="224"/>
      <c r="F29" s="105"/>
      <c r="G29" s="105"/>
      <c r="H29" s="163"/>
      <c r="I29" s="105"/>
      <c r="J29" s="162"/>
      <c r="K29" s="163"/>
      <c r="L29" s="105"/>
      <c r="M29" s="163"/>
      <c r="N29" s="163"/>
      <c r="O29" s="164" t="str">
        <f t="shared" si="0"/>
        <v/>
      </c>
      <c r="P29" s="164" t="str">
        <f t="shared" si="1"/>
        <v/>
      </c>
      <c r="Q29" s="164" t="str">
        <f t="shared" si="2"/>
        <v/>
      </c>
    </row>
    <row r="30" spans="1:17" ht="15" customHeight="1" x14ac:dyDescent="0.2">
      <c r="A30" s="158"/>
      <c r="B30" s="105"/>
      <c r="C30" s="162"/>
      <c r="D30" s="163"/>
      <c r="E30" s="224"/>
      <c r="F30" s="105"/>
      <c r="G30" s="105"/>
      <c r="H30" s="163"/>
      <c r="I30" s="105"/>
      <c r="J30" s="162"/>
      <c r="K30" s="163"/>
      <c r="L30" s="105"/>
      <c r="M30" s="163"/>
      <c r="N30" s="163"/>
      <c r="O30" s="164" t="str">
        <f t="shared" si="0"/>
        <v/>
      </c>
      <c r="P30" s="164" t="str">
        <f t="shared" si="1"/>
        <v/>
      </c>
      <c r="Q30" s="164" t="str">
        <f t="shared" si="2"/>
        <v/>
      </c>
    </row>
    <row r="31" spans="1:17" ht="15" customHeight="1" x14ac:dyDescent="0.2">
      <c r="A31" s="158"/>
      <c r="B31" s="105"/>
      <c r="C31" s="162"/>
      <c r="D31" s="163"/>
      <c r="E31" s="224"/>
      <c r="F31" s="105"/>
      <c r="G31" s="105"/>
      <c r="H31" s="163"/>
      <c r="I31" s="105"/>
      <c r="J31" s="162"/>
      <c r="K31" s="163"/>
      <c r="L31" s="105"/>
      <c r="M31" s="163"/>
      <c r="N31" s="163"/>
      <c r="O31" s="164" t="str">
        <f t="shared" si="0"/>
        <v/>
      </c>
      <c r="P31" s="164" t="str">
        <f t="shared" si="1"/>
        <v/>
      </c>
      <c r="Q31" s="164" t="str">
        <f t="shared" si="2"/>
        <v/>
      </c>
    </row>
    <row r="32" spans="1:17" ht="15" customHeight="1" x14ac:dyDescent="0.2">
      <c r="A32" s="158"/>
      <c r="B32" s="105"/>
      <c r="C32" s="162"/>
      <c r="D32" s="163"/>
      <c r="E32" s="224"/>
      <c r="F32" s="105"/>
      <c r="G32" s="105"/>
      <c r="H32" s="163"/>
      <c r="I32" s="105"/>
      <c r="J32" s="162"/>
      <c r="K32" s="163"/>
      <c r="L32" s="105"/>
      <c r="M32" s="163"/>
      <c r="N32" s="163"/>
      <c r="O32" s="164" t="str">
        <f t="shared" si="0"/>
        <v/>
      </c>
      <c r="P32" s="164" t="str">
        <f t="shared" si="1"/>
        <v/>
      </c>
      <c r="Q32" s="164" t="str">
        <f t="shared" si="2"/>
        <v/>
      </c>
    </row>
    <row r="34" spans="1:17" ht="25.5" customHeight="1" x14ac:dyDescent="0.2">
      <c r="A34" s="190" t="s">
        <v>545</v>
      </c>
      <c r="B34" s="190"/>
      <c r="C34" s="190"/>
      <c r="D34" s="190"/>
      <c r="E34" s="190"/>
      <c r="F34" s="190"/>
      <c r="G34" s="190"/>
      <c r="H34" s="190"/>
      <c r="I34" s="190"/>
      <c r="J34" s="190"/>
      <c r="K34" s="190"/>
      <c r="L34" s="190"/>
      <c r="M34" s="190"/>
      <c r="N34" s="190"/>
      <c r="O34" s="190"/>
      <c r="P34" s="190"/>
      <c r="Q34" s="190"/>
    </row>
  </sheetData>
  <mergeCells count="2">
    <mergeCell ref="A1:P1"/>
    <mergeCell ref="A34:Q34"/>
  </mergeCells>
  <conditionalFormatting sqref="Q3:Q32">
    <cfRule type="cellIs" dxfId="34" priority="6" operator="greaterThan">
      <formula>0</formula>
    </cfRule>
    <cfRule type="cellIs" dxfId="33" priority="7" operator="lessThan">
      <formula>0</formula>
    </cfRule>
  </conditionalFormatting>
  <conditionalFormatting sqref="P3:P32">
    <cfRule type="cellIs" dxfId="11" priority="3" operator="greaterThan">
      <formula>0</formula>
    </cfRule>
    <cfRule type="cellIs" dxfId="10" priority="4" operator="lessThan">
      <formula>0</formula>
    </cfRule>
  </conditionalFormatting>
  <conditionalFormatting sqref="O3:O32">
    <cfRule type="cellIs" dxfId="9" priority="1" operator="greaterThan">
      <formula>0</formula>
    </cfRule>
    <cfRule type="cellIs" dxfId="8" priority="2" operator="lessThan">
      <formula>0</formula>
    </cfRule>
  </conditionalFormatting>
  <dataValidations count="2">
    <dataValidation type="list" allowBlank="1" sqref="I3:I32" xr:uid="{00000000-0002-0000-0F00-000000000000}">
      <formula1>"Held,Exited"</formula1>
      <formula2>0</formula2>
    </dataValidation>
    <dataValidation type="list" allowBlank="1" sqref="G3:G32" xr:uid="{00000000-0002-0000-0F00-000001000000}">
      <formula1>"Strong Buy,Buy"</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302"/>
  <sheetViews>
    <sheetView showGridLines="0" zoomScaleNormal="100" workbookViewId="0">
      <pane ySplit="2" topLeftCell="A858" activePane="bottomLeft" state="frozen"/>
      <selection pane="bottomLeft" activeCell="C53" sqref="C53"/>
    </sheetView>
  </sheetViews>
  <sheetFormatPr baseColWidth="10" defaultColWidth="8.6640625" defaultRowHeight="15" x14ac:dyDescent="0.2"/>
  <cols>
    <col min="1" max="1" width="8.83203125" style="165" customWidth="1"/>
    <col min="2" max="2" width="15.33203125" style="165" customWidth="1"/>
    <col min="3" max="3" width="98.5" customWidth="1"/>
  </cols>
  <sheetData>
    <row r="1" spans="1:3" ht="27.75" customHeight="1" x14ac:dyDescent="0.2">
      <c r="A1" s="191" t="s">
        <v>546</v>
      </c>
      <c r="B1" s="191"/>
      <c r="C1" s="191"/>
    </row>
    <row r="2" spans="1:3" ht="18" customHeight="1" x14ac:dyDescent="0.2">
      <c r="A2" s="127" t="s">
        <v>465</v>
      </c>
      <c r="B2" s="127" t="s">
        <v>81</v>
      </c>
      <c r="C2" s="127" t="s">
        <v>210</v>
      </c>
    </row>
    <row r="3" spans="1:3" ht="27.75" customHeight="1" x14ac:dyDescent="0.2">
      <c r="A3" s="166">
        <v>46241</v>
      </c>
      <c r="B3" s="167" t="s">
        <v>173</v>
      </c>
      <c r="C3" s="168" t="s">
        <v>547</v>
      </c>
    </row>
    <row r="4" spans="1:3" ht="27.75" customHeight="1" x14ac:dyDescent="0.2">
      <c r="A4" s="166">
        <v>46241</v>
      </c>
      <c r="B4" s="167" t="s">
        <v>176</v>
      </c>
      <c r="C4" s="168" t="s">
        <v>548</v>
      </c>
    </row>
    <row r="5" spans="1:3" ht="15" customHeight="1" x14ac:dyDescent="0.2">
      <c r="A5" s="166">
        <v>46241</v>
      </c>
      <c r="B5" s="167" t="s">
        <v>184</v>
      </c>
      <c r="C5" s="168" t="s">
        <v>549</v>
      </c>
    </row>
    <row r="6" spans="1:3" ht="40.5" customHeight="1" x14ac:dyDescent="0.2">
      <c r="A6" s="166">
        <v>46241</v>
      </c>
      <c r="B6" s="167" t="s">
        <v>167</v>
      </c>
      <c r="C6" s="168" t="s">
        <v>550</v>
      </c>
    </row>
    <row r="7" spans="1:3" ht="27.75" customHeight="1" x14ac:dyDescent="0.2">
      <c r="A7" s="166">
        <v>46241</v>
      </c>
      <c r="B7" s="167" t="s">
        <v>551</v>
      </c>
      <c r="C7" s="168" t="s">
        <v>552</v>
      </c>
    </row>
    <row r="8" spans="1:3" ht="27.75" customHeight="1" x14ac:dyDescent="0.2">
      <c r="A8" s="166">
        <v>46241</v>
      </c>
      <c r="B8" s="167" t="s">
        <v>551</v>
      </c>
      <c r="C8" s="168" t="s">
        <v>553</v>
      </c>
    </row>
    <row r="9" spans="1:3" ht="27.75" customHeight="1" x14ac:dyDescent="0.2">
      <c r="A9" s="166">
        <v>46241</v>
      </c>
      <c r="B9" s="167" t="s">
        <v>554</v>
      </c>
      <c r="C9" s="168" t="s">
        <v>555</v>
      </c>
    </row>
    <row r="10" spans="1:3" ht="27.75" customHeight="1" x14ac:dyDescent="0.2">
      <c r="A10" s="166">
        <v>46241</v>
      </c>
      <c r="B10" s="167" t="s">
        <v>556</v>
      </c>
      <c r="C10" s="168" t="s">
        <v>557</v>
      </c>
    </row>
    <row r="11" spans="1:3" ht="27.75" customHeight="1" x14ac:dyDescent="0.2">
      <c r="A11" s="166">
        <v>46241</v>
      </c>
      <c r="B11" s="167" t="s">
        <v>129</v>
      </c>
      <c r="C11" s="168" t="s">
        <v>558</v>
      </c>
    </row>
    <row r="12" spans="1:3" ht="78.75" customHeight="1" x14ac:dyDescent="0.2">
      <c r="A12" s="166">
        <v>46273</v>
      </c>
      <c r="B12" s="167" t="s">
        <v>559</v>
      </c>
      <c r="C12" s="168" t="s">
        <v>560</v>
      </c>
    </row>
    <row r="13" spans="1:3" ht="53.25" customHeight="1" x14ac:dyDescent="0.2">
      <c r="A13" s="166">
        <v>46295</v>
      </c>
      <c r="B13" s="167" t="s">
        <v>561</v>
      </c>
      <c r="C13" s="168" t="s">
        <v>562</v>
      </c>
    </row>
    <row r="14" spans="1:3" ht="66" customHeight="1" x14ac:dyDescent="0.2">
      <c r="A14" s="166">
        <v>46302</v>
      </c>
      <c r="B14" s="167" t="s">
        <v>563</v>
      </c>
      <c r="C14" s="168" t="s">
        <v>564</v>
      </c>
    </row>
    <row r="15" spans="1:3" ht="91.5" customHeight="1" x14ac:dyDescent="0.2">
      <c r="A15" s="166">
        <v>46320</v>
      </c>
      <c r="B15" s="167" t="s">
        <v>565</v>
      </c>
      <c r="C15" s="168" t="s">
        <v>566</v>
      </c>
    </row>
    <row r="16" spans="1:3" ht="53.25" customHeight="1" x14ac:dyDescent="0.2">
      <c r="A16" s="166">
        <v>46335</v>
      </c>
      <c r="B16" s="167" t="s">
        <v>567</v>
      </c>
      <c r="C16" s="168" t="s">
        <v>568</v>
      </c>
    </row>
    <row r="17" spans="1:3" ht="27.75" customHeight="1" x14ac:dyDescent="0.2">
      <c r="A17" s="166">
        <v>46387</v>
      </c>
      <c r="B17" s="167" t="s">
        <v>569</v>
      </c>
      <c r="C17" s="168" t="s">
        <v>570</v>
      </c>
    </row>
    <row r="18" spans="1:3" ht="66" customHeight="1" x14ac:dyDescent="0.2">
      <c r="A18" s="166">
        <v>46412</v>
      </c>
      <c r="B18" s="167" t="s">
        <v>571</v>
      </c>
      <c r="C18" s="168" t="s">
        <v>572</v>
      </c>
    </row>
    <row r="19" spans="1:3" ht="91.5" customHeight="1" x14ac:dyDescent="0.2">
      <c r="A19" s="166">
        <v>46252</v>
      </c>
      <c r="B19" s="167" t="s">
        <v>573</v>
      </c>
      <c r="C19" s="168" t="s">
        <v>574</v>
      </c>
    </row>
    <row r="20" spans="1:3" ht="66" customHeight="1" x14ac:dyDescent="0.2">
      <c r="A20" s="166">
        <v>46258</v>
      </c>
      <c r="B20" s="167" t="s">
        <v>575</v>
      </c>
      <c r="C20" s="168" t="s">
        <v>576</v>
      </c>
    </row>
    <row r="21" spans="1:3" ht="104.25" customHeight="1" x14ac:dyDescent="0.2">
      <c r="A21" s="166">
        <v>46260</v>
      </c>
      <c r="B21" s="167" t="s">
        <v>577</v>
      </c>
      <c r="C21" s="168" t="s">
        <v>578</v>
      </c>
    </row>
    <row r="22" spans="1:3" ht="155.25" customHeight="1" x14ac:dyDescent="0.2">
      <c r="A22" s="166">
        <v>46272</v>
      </c>
      <c r="B22" s="167" t="s">
        <v>579</v>
      </c>
      <c r="C22" s="168" t="s">
        <v>580</v>
      </c>
    </row>
    <row r="23" spans="1:3" ht="53.25" customHeight="1" x14ac:dyDescent="0.2">
      <c r="A23" s="166">
        <v>46302</v>
      </c>
      <c r="B23" s="167" t="s">
        <v>581</v>
      </c>
      <c r="C23" s="168" t="s">
        <v>582</v>
      </c>
    </row>
    <row r="24" spans="1:3" ht="53.25" customHeight="1" x14ac:dyDescent="0.2">
      <c r="A24" s="166">
        <v>46310</v>
      </c>
      <c r="B24" s="167" t="s">
        <v>583</v>
      </c>
      <c r="C24" s="168" t="s">
        <v>582</v>
      </c>
    </row>
    <row r="25" spans="1:3" ht="53.25" customHeight="1" x14ac:dyDescent="0.2">
      <c r="A25" s="166">
        <v>46335</v>
      </c>
      <c r="B25" s="167" t="s">
        <v>584</v>
      </c>
      <c r="C25" s="168" t="s">
        <v>582</v>
      </c>
    </row>
    <row r="26" spans="1:3" ht="53.25" customHeight="1" x14ac:dyDescent="0.2">
      <c r="A26" s="166">
        <v>46342</v>
      </c>
      <c r="B26" s="167" t="s">
        <v>585</v>
      </c>
      <c r="C26" s="168" t="s">
        <v>582</v>
      </c>
    </row>
    <row r="27" spans="1:3" ht="53.25" customHeight="1" x14ac:dyDescent="0.2">
      <c r="A27" s="166">
        <v>46363</v>
      </c>
      <c r="B27" s="167" t="s">
        <v>586</v>
      </c>
      <c r="C27" s="168" t="s">
        <v>582</v>
      </c>
    </row>
    <row r="28" spans="1:3" ht="53.25" customHeight="1" x14ac:dyDescent="0.2">
      <c r="A28" s="166">
        <v>46371</v>
      </c>
      <c r="B28" s="167" t="s">
        <v>587</v>
      </c>
      <c r="C28" s="168" t="s">
        <v>582</v>
      </c>
    </row>
    <row r="29" spans="1:3" ht="53.25" customHeight="1" x14ac:dyDescent="0.2">
      <c r="A29" s="166">
        <v>46394</v>
      </c>
      <c r="B29" s="167" t="s">
        <v>588</v>
      </c>
      <c r="C29" s="168" t="s">
        <v>582</v>
      </c>
    </row>
    <row r="30" spans="1:3" ht="53.25" customHeight="1" x14ac:dyDescent="0.2">
      <c r="A30" s="166">
        <v>46402</v>
      </c>
      <c r="B30" s="167" t="s">
        <v>589</v>
      </c>
      <c r="C30" s="168" t="s">
        <v>582</v>
      </c>
    </row>
    <row r="31" spans="1:3" ht="53.25" customHeight="1" x14ac:dyDescent="0.2">
      <c r="A31" s="166">
        <v>46426</v>
      </c>
      <c r="B31" s="167" t="s">
        <v>590</v>
      </c>
      <c r="C31" s="168" t="s">
        <v>582</v>
      </c>
    </row>
    <row r="32" spans="1:3" ht="53.25" customHeight="1" x14ac:dyDescent="0.2">
      <c r="A32" s="166">
        <v>46434</v>
      </c>
      <c r="B32" s="167" t="s">
        <v>591</v>
      </c>
      <c r="C32" s="168" t="s">
        <v>582</v>
      </c>
    </row>
    <row r="33" spans="1:3" ht="53.25" customHeight="1" x14ac:dyDescent="0.2">
      <c r="A33" s="166">
        <v>46454</v>
      </c>
      <c r="B33" s="167" t="s">
        <v>592</v>
      </c>
      <c r="C33" s="168" t="s">
        <v>582</v>
      </c>
    </row>
    <row r="34" spans="1:3" ht="53.25" customHeight="1" x14ac:dyDescent="0.2">
      <c r="A34" s="166">
        <v>46461</v>
      </c>
      <c r="B34" s="167" t="s">
        <v>593</v>
      </c>
      <c r="C34" s="168" t="s">
        <v>594</v>
      </c>
    </row>
    <row r="35" spans="1:3" ht="117" customHeight="1" x14ac:dyDescent="0.2">
      <c r="A35" s="166">
        <v>46273</v>
      </c>
      <c r="B35" s="167" t="s">
        <v>595</v>
      </c>
      <c r="C35" s="168" t="s">
        <v>596</v>
      </c>
    </row>
    <row r="36" spans="1:3" ht="155.25" customHeight="1" x14ac:dyDescent="0.2">
      <c r="A36" s="166">
        <v>46276</v>
      </c>
      <c r="B36" s="167" t="s">
        <v>597</v>
      </c>
      <c r="C36" s="168" t="s">
        <v>598</v>
      </c>
    </row>
    <row r="37" spans="1:3" ht="91.5" customHeight="1" x14ac:dyDescent="0.2">
      <c r="A37" s="166">
        <v>46276</v>
      </c>
      <c r="B37" s="167" t="s">
        <v>599</v>
      </c>
      <c r="C37" s="168" t="s">
        <v>600</v>
      </c>
    </row>
    <row r="38" spans="1:3" ht="78.75" customHeight="1" x14ac:dyDescent="0.2">
      <c r="A38" s="166">
        <v>46276</v>
      </c>
      <c r="B38" s="167" t="s">
        <v>601</v>
      </c>
      <c r="C38" s="168" t="s">
        <v>602</v>
      </c>
    </row>
    <row r="39" spans="1:3" ht="168" customHeight="1" x14ac:dyDescent="0.2">
      <c r="A39" s="166">
        <v>46276</v>
      </c>
      <c r="B39" s="167" t="s">
        <v>603</v>
      </c>
      <c r="C39" s="168" t="s">
        <v>604</v>
      </c>
    </row>
    <row r="40" spans="1:3" ht="129.75" customHeight="1" x14ac:dyDescent="0.2">
      <c r="A40" s="166">
        <v>46276</v>
      </c>
      <c r="B40" s="167" t="s">
        <v>603</v>
      </c>
      <c r="C40" s="168" t="s">
        <v>605</v>
      </c>
    </row>
    <row r="41" spans="1:3" ht="129.75" customHeight="1" x14ac:dyDescent="0.2">
      <c r="A41" s="166">
        <v>46276</v>
      </c>
      <c r="B41" s="167" t="s">
        <v>167</v>
      </c>
      <c r="C41" s="168" t="s">
        <v>606</v>
      </c>
    </row>
    <row r="42" spans="1:3" ht="155.25" customHeight="1" x14ac:dyDescent="0.2">
      <c r="A42" s="166">
        <v>46276</v>
      </c>
      <c r="B42" s="167" t="s">
        <v>603</v>
      </c>
      <c r="C42" s="168" t="s">
        <v>607</v>
      </c>
    </row>
    <row r="43" spans="1:3" ht="168" customHeight="1" x14ac:dyDescent="0.2">
      <c r="A43" s="166">
        <v>46276</v>
      </c>
      <c r="B43" s="167" t="s">
        <v>608</v>
      </c>
      <c r="C43" s="168" t="s">
        <v>609</v>
      </c>
    </row>
    <row r="44" spans="1:3" ht="155.25" customHeight="1" x14ac:dyDescent="0.2">
      <c r="A44" s="166">
        <v>46276</v>
      </c>
      <c r="B44" s="167" t="s">
        <v>610</v>
      </c>
      <c r="C44" s="168" t="s">
        <v>611</v>
      </c>
    </row>
    <row r="45" spans="1:3" ht="27.75" customHeight="1" x14ac:dyDescent="0.2">
      <c r="A45" s="166">
        <v>46295</v>
      </c>
      <c r="B45" s="167" t="s">
        <v>612</v>
      </c>
      <c r="C45" s="168" t="s">
        <v>613</v>
      </c>
    </row>
    <row r="46" spans="1:3" ht="40.5" customHeight="1" x14ac:dyDescent="0.2">
      <c r="A46" s="166">
        <v>46302</v>
      </c>
      <c r="B46" s="167" t="s">
        <v>614</v>
      </c>
      <c r="C46" s="168" t="s">
        <v>615</v>
      </c>
    </row>
    <row r="47" spans="1:3" ht="15" customHeight="1" x14ac:dyDescent="0.2">
      <c r="A47" s="166">
        <v>46317</v>
      </c>
      <c r="B47" s="167" t="s">
        <v>616</v>
      </c>
      <c r="C47" s="168" t="s">
        <v>617</v>
      </c>
    </row>
    <row r="48" spans="1:3" ht="27.75" customHeight="1" x14ac:dyDescent="0.2">
      <c r="A48" s="166">
        <v>46335</v>
      </c>
      <c r="B48" s="167" t="s">
        <v>618</v>
      </c>
      <c r="C48" s="168" t="s">
        <v>619</v>
      </c>
    </row>
    <row r="49" spans="1:3" ht="27.75" customHeight="1" x14ac:dyDescent="0.2">
      <c r="A49" s="166">
        <v>46349</v>
      </c>
      <c r="B49" s="167" t="s">
        <v>620</v>
      </c>
      <c r="C49" s="168" t="s">
        <v>621</v>
      </c>
    </row>
    <row r="50" spans="1:3" ht="15" customHeight="1" x14ac:dyDescent="0.2">
      <c r="A50" s="166">
        <v>46363</v>
      </c>
      <c r="B50" s="167" t="s">
        <v>622</v>
      </c>
      <c r="C50" s="168" t="s">
        <v>617</v>
      </c>
    </row>
    <row r="51" spans="1:3" ht="15" customHeight="1" x14ac:dyDescent="0.2">
      <c r="A51" s="166">
        <v>46378</v>
      </c>
      <c r="B51" s="167" t="s">
        <v>623</v>
      </c>
      <c r="C51" s="168" t="s">
        <v>617</v>
      </c>
    </row>
    <row r="52" spans="1:3" ht="27.75" customHeight="1" x14ac:dyDescent="0.2">
      <c r="A52" s="166">
        <v>46394</v>
      </c>
      <c r="B52" s="167" t="s">
        <v>624</v>
      </c>
      <c r="C52" s="168" t="s">
        <v>625</v>
      </c>
    </row>
    <row r="53" spans="1:3" ht="295.5" customHeight="1" x14ac:dyDescent="0.2">
      <c r="A53" s="166">
        <v>46276</v>
      </c>
      <c r="B53" s="167" t="s">
        <v>626</v>
      </c>
      <c r="C53" s="168" t="s">
        <v>627</v>
      </c>
    </row>
    <row r="54" spans="1:3" ht="359.25" customHeight="1" x14ac:dyDescent="0.2">
      <c r="A54" s="166">
        <v>46278</v>
      </c>
      <c r="B54" s="167" t="s">
        <v>628</v>
      </c>
      <c r="C54" s="168" t="s">
        <v>629</v>
      </c>
    </row>
    <row r="55" spans="1:3" ht="270" customHeight="1" x14ac:dyDescent="0.2">
      <c r="A55" s="166">
        <v>46278</v>
      </c>
      <c r="B55" s="167" t="s">
        <v>630</v>
      </c>
      <c r="C55" s="168" t="s">
        <v>631</v>
      </c>
    </row>
    <row r="56" spans="1:3" ht="409.5" customHeight="1" x14ac:dyDescent="0.2">
      <c r="A56" s="166">
        <v>46278</v>
      </c>
      <c r="B56" s="167" t="s">
        <v>632</v>
      </c>
      <c r="C56" s="168" t="s">
        <v>633</v>
      </c>
    </row>
    <row r="57" spans="1:3" ht="193.5" customHeight="1" x14ac:dyDescent="0.2">
      <c r="A57" s="166">
        <v>46278</v>
      </c>
      <c r="B57" s="167" t="s">
        <v>634</v>
      </c>
      <c r="C57" s="168" t="s">
        <v>635</v>
      </c>
    </row>
    <row r="58" spans="1:3" ht="384.75" customHeight="1" x14ac:dyDescent="0.2">
      <c r="A58" s="166">
        <v>46278</v>
      </c>
      <c r="B58" s="167" t="s">
        <v>636</v>
      </c>
      <c r="C58" s="168" t="s">
        <v>637</v>
      </c>
    </row>
    <row r="59" spans="1:3" ht="409.5" customHeight="1" x14ac:dyDescent="0.2">
      <c r="A59" s="166">
        <v>46278</v>
      </c>
      <c r="B59" s="167" t="s">
        <v>638</v>
      </c>
      <c r="C59" s="168" t="s">
        <v>639</v>
      </c>
    </row>
    <row r="60" spans="1:3" ht="397.5" customHeight="1" x14ac:dyDescent="0.2">
      <c r="A60" s="166">
        <v>46278</v>
      </c>
      <c r="B60" s="167" t="s">
        <v>640</v>
      </c>
      <c r="C60" s="168" t="s">
        <v>641</v>
      </c>
    </row>
    <row r="61" spans="1:3" ht="409.5" customHeight="1" x14ac:dyDescent="0.2">
      <c r="A61" s="166">
        <v>46278</v>
      </c>
      <c r="B61" s="167" t="s">
        <v>642</v>
      </c>
      <c r="C61" s="168" t="s">
        <v>643</v>
      </c>
    </row>
    <row r="62" spans="1:3" ht="409.5" customHeight="1" x14ac:dyDescent="0.2">
      <c r="A62" s="166">
        <v>46294</v>
      </c>
      <c r="B62" s="167" t="s">
        <v>644</v>
      </c>
      <c r="C62" s="168" t="s">
        <v>645</v>
      </c>
    </row>
    <row r="63" spans="1:3" ht="129.75" customHeight="1" x14ac:dyDescent="0.2">
      <c r="A63" s="166">
        <v>46294</v>
      </c>
      <c r="B63" s="167" t="s">
        <v>646</v>
      </c>
      <c r="C63" s="168" t="s">
        <v>647</v>
      </c>
    </row>
    <row r="64" spans="1:3" ht="155.25" customHeight="1" x14ac:dyDescent="0.2">
      <c r="A64" s="166">
        <v>46295</v>
      </c>
      <c r="B64" s="167" t="s">
        <v>612</v>
      </c>
      <c r="C64" s="168" t="s">
        <v>648</v>
      </c>
    </row>
    <row r="65" spans="1:3" ht="104.25" customHeight="1" x14ac:dyDescent="0.2">
      <c r="A65" s="166">
        <v>46295</v>
      </c>
      <c r="B65" s="167" t="s">
        <v>649</v>
      </c>
      <c r="C65" s="168" t="s">
        <v>650</v>
      </c>
    </row>
    <row r="66" spans="1:3" ht="282.75" customHeight="1" x14ac:dyDescent="0.2">
      <c r="A66" s="166">
        <v>46295</v>
      </c>
      <c r="B66" s="167" t="s">
        <v>95</v>
      </c>
      <c r="C66" s="168" t="s">
        <v>651</v>
      </c>
    </row>
    <row r="67" spans="1:3" ht="155.25" customHeight="1" x14ac:dyDescent="0.2">
      <c r="A67" s="166">
        <v>46295</v>
      </c>
      <c r="B67" s="167"/>
      <c r="C67" s="168" t="s">
        <v>652</v>
      </c>
    </row>
    <row r="68" spans="1:3" ht="155.25" customHeight="1" x14ac:dyDescent="0.2">
      <c r="A68" s="166">
        <v>46295</v>
      </c>
      <c r="B68" s="167"/>
      <c r="C68" s="168" t="s">
        <v>653</v>
      </c>
    </row>
    <row r="69" spans="1:3" ht="219" customHeight="1" x14ac:dyDescent="0.2">
      <c r="A69" s="166">
        <v>46295</v>
      </c>
      <c r="B69" s="167" t="s">
        <v>654</v>
      </c>
      <c r="C69" s="168" t="s">
        <v>655</v>
      </c>
    </row>
    <row r="70" spans="1:3" ht="206.25" customHeight="1" x14ac:dyDescent="0.2">
      <c r="A70" s="166">
        <v>46295</v>
      </c>
      <c r="B70" s="167" t="s">
        <v>656</v>
      </c>
      <c r="C70" s="168" t="s">
        <v>657</v>
      </c>
    </row>
    <row r="71" spans="1:3" ht="409.5" customHeight="1" x14ac:dyDescent="0.2">
      <c r="A71" s="166">
        <v>46296</v>
      </c>
      <c r="B71" s="167" t="s">
        <v>143</v>
      </c>
      <c r="C71" s="168" t="s">
        <v>658</v>
      </c>
    </row>
    <row r="72" spans="1:3" ht="295.5" customHeight="1" x14ac:dyDescent="0.2">
      <c r="A72" s="166">
        <v>46296</v>
      </c>
      <c r="B72" s="167"/>
      <c r="C72" s="168" t="s">
        <v>659</v>
      </c>
    </row>
    <row r="73" spans="1:3" ht="282.75" customHeight="1" x14ac:dyDescent="0.2">
      <c r="A73" s="166">
        <v>46296</v>
      </c>
      <c r="B73" s="167" t="s">
        <v>660</v>
      </c>
      <c r="C73" s="168" t="s">
        <v>661</v>
      </c>
    </row>
    <row r="74" spans="1:3" ht="142.5" customHeight="1" x14ac:dyDescent="0.2">
      <c r="A74" s="166">
        <v>46296</v>
      </c>
      <c r="B74" s="167" t="s">
        <v>662</v>
      </c>
      <c r="C74" s="168" t="s">
        <v>663</v>
      </c>
    </row>
    <row r="75" spans="1:3" ht="117" customHeight="1" x14ac:dyDescent="0.2">
      <c r="A75" s="166">
        <v>46297</v>
      </c>
      <c r="B75" s="167" t="s">
        <v>664</v>
      </c>
      <c r="C75" s="168" t="s">
        <v>665</v>
      </c>
    </row>
    <row r="76" spans="1:3" ht="53.25" customHeight="1" x14ac:dyDescent="0.2">
      <c r="A76" s="166">
        <v>46297</v>
      </c>
      <c r="B76" s="167" t="s">
        <v>143</v>
      </c>
      <c r="C76" s="168" t="s">
        <v>666</v>
      </c>
    </row>
    <row r="77" spans="1:3" ht="155.25" customHeight="1" x14ac:dyDescent="0.2">
      <c r="A77" s="166">
        <v>46297</v>
      </c>
      <c r="B77" s="167" t="s">
        <v>667</v>
      </c>
      <c r="C77" s="168" t="s">
        <v>668</v>
      </c>
    </row>
    <row r="78" spans="1:3" ht="295.5" customHeight="1" x14ac:dyDescent="0.2">
      <c r="A78" s="166">
        <v>46297</v>
      </c>
      <c r="B78" s="167" t="s">
        <v>669</v>
      </c>
      <c r="C78" s="168" t="s">
        <v>670</v>
      </c>
    </row>
    <row r="79" spans="1:3" ht="282.75" customHeight="1" x14ac:dyDescent="0.2">
      <c r="A79" s="166">
        <v>46297</v>
      </c>
      <c r="B79" s="167" t="s">
        <v>671</v>
      </c>
      <c r="C79" s="168" t="s">
        <v>672</v>
      </c>
    </row>
    <row r="80" spans="1:3" ht="257.25" customHeight="1" x14ac:dyDescent="0.2">
      <c r="A80" s="166">
        <v>46297</v>
      </c>
      <c r="B80" s="167" t="s">
        <v>281</v>
      </c>
      <c r="C80" s="168" t="s">
        <v>673</v>
      </c>
    </row>
    <row r="81" spans="1:3" ht="282.75" customHeight="1" x14ac:dyDescent="0.2">
      <c r="A81" s="166">
        <v>46299</v>
      </c>
      <c r="B81" s="167" t="s">
        <v>674</v>
      </c>
      <c r="C81" s="168" t="s">
        <v>675</v>
      </c>
    </row>
    <row r="82" spans="1:3" ht="321" customHeight="1" x14ac:dyDescent="0.2">
      <c r="A82" s="166">
        <v>46299</v>
      </c>
      <c r="B82" s="167" t="s">
        <v>676</v>
      </c>
      <c r="C82" s="168" t="s">
        <v>677</v>
      </c>
    </row>
    <row r="83" spans="1:3" ht="129.75" customHeight="1" x14ac:dyDescent="0.2">
      <c r="A83" s="166">
        <v>46299</v>
      </c>
      <c r="B83" s="167" t="s">
        <v>676</v>
      </c>
      <c r="C83" s="168" t="s">
        <v>678</v>
      </c>
    </row>
    <row r="84" spans="1:3" ht="346.5" customHeight="1" x14ac:dyDescent="0.2">
      <c r="A84" s="166">
        <v>46299</v>
      </c>
      <c r="B84" s="167" t="s">
        <v>679</v>
      </c>
      <c r="C84" s="168" t="s">
        <v>680</v>
      </c>
    </row>
    <row r="85" spans="1:3" ht="168" customHeight="1" x14ac:dyDescent="0.2">
      <c r="A85" s="166">
        <v>46299</v>
      </c>
      <c r="B85" s="167" t="s">
        <v>681</v>
      </c>
      <c r="C85" s="168" t="s">
        <v>682</v>
      </c>
    </row>
    <row r="86" spans="1:3" ht="257.25" customHeight="1" x14ac:dyDescent="0.2">
      <c r="A86" s="166">
        <v>46299</v>
      </c>
      <c r="B86" s="167" t="s">
        <v>683</v>
      </c>
      <c r="C86" s="168" t="s">
        <v>684</v>
      </c>
    </row>
    <row r="87" spans="1:3" ht="155.25" customHeight="1" x14ac:dyDescent="0.2">
      <c r="A87" s="166">
        <v>46299</v>
      </c>
      <c r="B87" s="167" t="s">
        <v>685</v>
      </c>
      <c r="C87" s="168" t="s">
        <v>686</v>
      </c>
    </row>
    <row r="88" spans="1:3" ht="206.25" customHeight="1" x14ac:dyDescent="0.2">
      <c r="A88" s="166">
        <v>46299</v>
      </c>
      <c r="B88" s="167" t="s">
        <v>687</v>
      </c>
      <c r="C88" s="168" t="s">
        <v>688</v>
      </c>
    </row>
    <row r="89" spans="1:3" ht="270" customHeight="1" x14ac:dyDescent="0.2">
      <c r="A89" s="166">
        <v>46299</v>
      </c>
      <c r="B89" s="167" t="s">
        <v>689</v>
      </c>
      <c r="C89" s="168" t="s">
        <v>690</v>
      </c>
    </row>
    <row r="90" spans="1:3" ht="14.25" customHeight="1" x14ac:dyDescent="0.2">
      <c r="A90" s="166"/>
      <c r="B90" s="167"/>
      <c r="C90" s="168"/>
    </row>
    <row r="91" spans="1:3" ht="14.25" customHeight="1" x14ac:dyDescent="0.2">
      <c r="A91" s="166"/>
      <c r="B91" s="167"/>
      <c r="C91" s="168"/>
    </row>
    <row r="92" spans="1:3" ht="14.25" customHeight="1" x14ac:dyDescent="0.2">
      <c r="A92" s="166"/>
      <c r="B92" s="167"/>
      <c r="C92" s="168"/>
    </row>
    <row r="93" spans="1:3" ht="14.25" customHeight="1" x14ac:dyDescent="0.2">
      <c r="A93" s="166"/>
      <c r="B93" s="167"/>
      <c r="C93" s="168"/>
    </row>
    <row r="94" spans="1:3" ht="14.25" customHeight="1" x14ac:dyDescent="0.2">
      <c r="A94" s="166"/>
      <c r="B94" s="167"/>
      <c r="C94" s="168"/>
    </row>
    <row r="95" spans="1:3" ht="14.25" customHeight="1" x14ac:dyDescent="0.2">
      <c r="A95" s="166"/>
      <c r="B95" s="167"/>
      <c r="C95" s="168"/>
    </row>
    <row r="96" spans="1:3" ht="14.25" customHeight="1" x14ac:dyDescent="0.2">
      <c r="A96" s="166"/>
      <c r="B96" s="167"/>
      <c r="C96" s="168"/>
    </row>
    <row r="97" spans="1:3" ht="14.25" customHeight="1" x14ac:dyDescent="0.2">
      <c r="A97" s="166"/>
      <c r="B97" s="167"/>
      <c r="C97" s="168"/>
    </row>
    <row r="98" spans="1:3" ht="14.25" customHeight="1" x14ac:dyDescent="0.2">
      <c r="A98" s="166"/>
      <c r="B98" s="167"/>
      <c r="C98" s="168"/>
    </row>
    <row r="99" spans="1:3" ht="14.25" customHeight="1" x14ac:dyDescent="0.2">
      <c r="A99" s="166"/>
      <c r="B99" s="167"/>
      <c r="C99" s="168"/>
    </row>
    <row r="100" spans="1:3" ht="14.25" customHeight="1" x14ac:dyDescent="0.2">
      <c r="A100" s="166"/>
      <c r="B100" s="167"/>
      <c r="C100" s="168"/>
    </row>
    <row r="101" spans="1:3" ht="14.25" customHeight="1" x14ac:dyDescent="0.2">
      <c r="A101" s="166"/>
      <c r="B101" s="167"/>
      <c r="C101" s="168"/>
    </row>
    <row r="102" spans="1:3" ht="14.25" customHeight="1" x14ac:dyDescent="0.2">
      <c r="A102" s="166"/>
      <c r="B102" s="167"/>
      <c r="C102" s="168"/>
    </row>
    <row r="103" spans="1:3" ht="14.25" customHeight="1" x14ac:dyDescent="0.2">
      <c r="A103" s="166"/>
      <c r="B103" s="167"/>
      <c r="C103" s="168"/>
    </row>
    <row r="104" spans="1:3" ht="14.25" customHeight="1" x14ac:dyDescent="0.2">
      <c r="A104" s="166"/>
      <c r="B104" s="167"/>
      <c r="C104" s="168"/>
    </row>
    <row r="105" spans="1:3" ht="14.25" customHeight="1" x14ac:dyDescent="0.2">
      <c r="A105" s="166"/>
      <c r="B105" s="167"/>
      <c r="C105" s="168"/>
    </row>
    <row r="106" spans="1:3" ht="14.25" customHeight="1" x14ac:dyDescent="0.2">
      <c r="A106" s="166"/>
      <c r="B106" s="167"/>
      <c r="C106" s="168"/>
    </row>
    <row r="107" spans="1:3" ht="14.25" customHeight="1" x14ac:dyDescent="0.2">
      <c r="A107" s="166"/>
      <c r="B107" s="167"/>
      <c r="C107" s="168"/>
    </row>
    <row r="108" spans="1:3" ht="14.25" customHeight="1" x14ac:dyDescent="0.2">
      <c r="A108" s="166"/>
      <c r="B108" s="167"/>
      <c r="C108" s="168"/>
    </row>
    <row r="109" spans="1:3" ht="14.25" customHeight="1" x14ac:dyDescent="0.2">
      <c r="A109" s="166"/>
      <c r="B109" s="167"/>
      <c r="C109" s="168"/>
    </row>
    <row r="110" spans="1:3" ht="14.25" customHeight="1" x14ac:dyDescent="0.2">
      <c r="A110" s="166"/>
      <c r="B110" s="167"/>
      <c r="C110" s="168"/>
    </row>
    <row r="111" spans="1:3" ht="14.25" customHeight="1" x14ac:dyDescent="0.2">
      <c r="A111" s="166"/>
      <c r="B111" s="167"/>
      <c r="C111" s="168"/>
    </row>
    <row r="112" spans="1:3" ht="14.25" customHeight="1" x14ac:dyDescent="0.2">
      <c r="A112" s="166"/>
      <c r="B112" s="167"/>
      <c r="C112" s="168"/>
    </row>
    <row r="113" spans="1:3" ht="14.25" customHeight="1" x14ac:dyDescent="0.2">
      <c r="A113" s="166"/>
      <c r="B113" s="167"/>
      <c r="C113" s="168"/>
    </row>
    <row r="114" spans="1:3" ht="14.25" customHeight="1" x14ac:dyDescent="0.2">
      <c r="A114" s="166"/>
      <c r="B114" s="167"/>
      <c r="C114" s="168"/>
    </row>
    <row r="115" spans="1:3" ht="14.25" customHeight="1" x14ac:dyDescent="0.2">
      <c r="A115" s="166"/>
      <c r="B115" s="167"/>
      <c r="C115" s="168"/>
    </row>
    <row r="116" spans="1:3" ht="14.25" customHeight="1" x14ac:dyDescent="0.2">
      <c r="A116" s="166"/>
      <c r="B116" s="167"/>
      <c r="C116" s="168"/>
    </row>
    <row r="117" spans="1:3" ht="14.25" customHeight="1" x14ac:dyDescent="0.2">
      <c r="A117" s="166"/>
      <c r="B117" s="167"/>
      <c r="C117" s="168"/>
    </row>
    <row r="118" spans="1:3" ht="14.25" customHeight="1" x14ac:dyDescent="0.2">
      <c r="A118" s="166"/>
      <c r="B118" s="167"/>
      <c r="C118" s="168"/>
    </row>
    <row r="119" spans="1:3" ht="14.25" customHeight="1" x14ac:dyDescent="0.2">
      <c r="A119" s="166"/>
      <c r="B119" s="167"/>
      <c r="C119" s="168"/>
    </row>
    <row r="120" spans="1:3" ht="14.25" customHeight="1" x14ac:dyDescent="0.2">
      <c r="A120" s="166"/>
      <c r="B120" s="167"/>
      <c r="C120" s="168"/>
    </row>
    <row r="121" spans="1:3" ht="14.25" customHeight="1" x14ac:dyDescent="0.2">
      <c r="A121" s="166"/>
      <c r="B121" s="167"/>
      <c r="C121" s="168"/>
    </row>
    <row r="122" spans="1:3" ht="14.25" customHeight="1" x14ac:dyDescent="0.2">
      <c r="A122" s="166"/>
      <c r="B122" s="167"/>
      <c r="C122" s="168"/>
    </row>
    <row r="123" spans="1:3" ht="14.25" customHeight="1" x14ac:dyDescent="0.2">
      <c r="A123" s="166"/>
      <c r="B123" s="167"/>
      <c r="C123" s="168"/>
    </row>
    <row r="124" spans="1:3" ht="14.25" customHeight="1" x14ac:dyDescent="0.2">
      <c r="A124" s="166"/>
      <c r="B124" s="167"/>
      <c r="C124" s="168"/>
    </row>
    <row r="125" spans="1:3" ht="14.25" customHeight="1" x14ac:dyDescent="0.2">
      <c r="A125" s="166"/>
      <c r="B125" s="167"/>
      <c r="C125" s="168"/>
    </row>
    <row r="126" spans="1:3" ht="14.25" customHeight="1" x14ac:dyDescent="0.2">
      <c r="A126" s="166"/>
      <c r="B126" s="167"/>
      <c r="C126" s="168"/>
    </row>
    <row r="127" spans="1:3" ht="14.25" customHeight="1" x14ac:dyDescent="0.2">
      <c r="A127" s="166"/>
      <c r="B127" s="167"/>
      <c r="C127" s="168"/>
    </row>
    <row r="128" spans="1:3" ht="14.25" customHeight="1" x14ac:dyDescent="0.2">
      <c r="A128" s="166"/>
      <c r="B128" s="167"/>
      <c r="C128" s="168"/>
    </row>
    <row r="129" spans="1:3" ht="14.25" customHeight="1" x14ac:dyDescent="0.2">
      <c r="A129" s="166"/>
      <c r="B129" s="167"/>
      <c r="C129" s="168"/>
    </row>
    <row r="130" spans="1:3" ht="14.25" customHeight="1" x14ac:dyDescent="0.2">
      <c r="A130" s="166"/>
      <c r="B130" s="167"/>
      <c r="C130" s="168"/>
    </row>
    <row r="131" spans="1:3" ht="14.25" customHeight="1" x14ac:dyDescent="0.2">
      <c r="A131" s="166"/>
      <c r="B131" s="167"/>
      <c r="C131" s="168"/>
    </row>
    <row r="132" spans="1:3" ht="14.25" customHeight="1" x14ac:dyDescent="0.2">
      <c r="A132" s="166"/>
      <c r="B132" s="167"/>
      <c r="C132" s="168"/>
    </row>
    <row r="133" spans="1:3" ht="14.25" customHeight="1" x14ac:dyDescent="0.2">
      <c r="A133" s="166"/>
      <c r="B133" s="167"/>
      <c r="C133" s="168"/>
    </row>
    <row r="134" spans="1:3" ht="14.25" customHeight="1" x14ac:dyDescent="0.2">
      <c r="A134" s="166"/>
      <c r="B134" s="167"/>
      <c r="C134" s="168"/>
    </row>
    <row r="135" spans="1:3" ht="14.25" customHeight="1" x14ac:dyDescent="0.2">
      <c r="A135" s="166"/>
      <c r="B135" s="167"/>
      <c r="C135" s="168"/>
    </row>
    <row r="136" spans="1:3" ht="14.25" customHeight="1" x14ac:dyDescent="0.2">
      <c r="A136" s="166"/>
      <c r="B136" s="167"/>
      <c r="C136" s="168"/>
    </row>
    <row r="137" spans="1:3" ht="14.25" customHeight="1" x14ac:dyDescent="0.2">
      <c r="A137" s="166"/>
      <c r="B137" s="167"/>
      <c r="C137" s="168"/>
    </row>
    <row r="138" spans="1:3" ht="14.25" customHeight="1" x14ac:dyDescent="0.2">
      <c r="A138" s="166"/>
      <c r="B138" s="167"/>
      <c r="C138" s="168"/>
    </row>
    <row r="139" spans="1:3" ht="14.25" customHeight="1" x14ac:dyDescent="0.2">
      <c r="A139" s="166"/>
      <c r="B139" s="167"/>
      <c r="C139" s="168"/>
    </row>
    <row r="140" spans="1:3" ht="14.25" customHeight="1" x14ac:dyDescent="0.2">
      <c r="A140" s="166"/>
      <c r="B140" s="167"/>
      <c r="C140" s="168"/>
    </row>
    <row r="141" spans="1:3" ht="14.25" customHeight="1" x14ac:dyDescent="0.2">
      <c r="A141" s="166"/>
      <c r="B141" s="167"/>
      <c r="C141" s="168"/>
    </row>
    <row r="142" spans="1:3" ht="14.25" customHeight="1" x14ac:dyDescent="0.2">
      <c r="A142" s="166"/>
      <c r="B142" s="167"/>
      <c r="C142" s="168"/>
    </row>
    <row r="143" spans="1:3" ht="14.25" customHeight="1" x14ac:dyDescent="0.2">
      <c r="A143" s="166"/>
      <c r="B143" s="167"/>
      <c r="C143" s="168"/>
    </row>
    <row r="144" spans="1:3" ht="14.25" customHeight="1" x14ac:dyDescent="0.2">
      <c r="A144" s="166"/>
      <c r="B144" s="167"/>
      <c r="C144" s="168"/>
    </row>
    <row r="145" spans="1:3" ht="14.25" customHeight="1" x14ac:dyDescent="0.2">
      <c r="A145" s="166"/>
      <c r="B145" s="167"/>
      <c r="C145" s="168"/>
    </row>
    <row r="146" spans="1:3" ht="14.25" customHeight="1" x14ac:dyDescent="0.2">
      <c r="A146" s="166"/>
      <c r="B146" s="167"/>
      <c r="C146" s="168"/>
    </row>
    <row r="147" spans="1:3" ht="14.25" customHeight="1" x14ac:dyDescent="0.2">
      <c r="A147" s="166"/>
      <c r="B147" s="167"/>
      <c r="C147" s="168"/>
    </row>
    <row r="148" spans="1:3" ht="14.25" customHeight="1" x14ac:dyDescent="0.2">
      <c r="A148" s="166"/>
      <c r="B148" s="167"/>
      <c r="C148" s="168"/>
    </row>
    <row r="149" spans="1:3" ht="14.25" customHeight="1" x14ac:dyDescent="0.2">
      <c r="A149" s="166"/>
      <c r="B149" s="167"/>
      <c r="C149" s="168"/>
    </row>
    <row r="150" spans="1:3" ht="14.25" customHeight="1" x14ac:dyDescent="0.2">
      <c r="A150" s="166"/>
      <c r="B150" s="167"/>
      <c r="C150" s="168"/>
    </row>
    <row r="151" spans="1:3" ht="14.25" customHeight="1" x14ac:dyDescent="0.2">
      <c r="A151" s="166"/>
      <c r="B151" s="167"/>
      <c r="C151" s="168"/>
    </row>
    <row r="152" spans="1:3" ht="14.25" customHeight="1" x14ac:dyDescent="0.2">
      <c r="A152" s="166"/>
      <c r="B152" s="167"/>
      <c r="C152" s="168"/>
    </row>
    <row r="153" spans="1:3" ht="14.25" customHeight="1" x14ac:dyDescent="0.2">
      <c r="A153" s="166"/>
      <c r="B153" s="167"/>
      <c r="C153" s="168"/>
    </row>
    <row r="154" spans="1:3" ht="14.25" customHeight="1" x14ac:dyDescent="0.2">
      <c r="A154" s="166"/>
      <c r="B154" s="167"/>
      <c r="C154" s="168"/>
    </row>
    <row r="155" spans="1:3" ht="14.25" customHeight="1" x14ac:dyDescent="0.2">
      <c r="A155" s="166"/>
      <c r="B155" s="167"/>
      <c r="C155" s="168"/>
    </row>
    <row r="156" spans="1:3" ht="14.25" customHeight="1" x14ac:dyDescent="0.2">
      <c r="A156" s="166"/>
      <c r="B156" s="167"/>
      <c r="C156" s="168"/>
    </row>
    <row r="157" spans="1:3" ht="14.25" customHeight="1" x14ac:dyDescent="0.2">
      <c r="A157" s="166"/>
      <c r="B157" s="167"/>
      <c r="C157" s="168"/>
    </row>
    <row r="158" spans="1:3" ht="14.25" customHeight="1" x14ac:dyDescent="0.2">
      <c r="A158" s="166"/>
      <c r="B158" s="167"/>
      <c r="C158" s="168"/>
    </row>
    <row r="159" spans="1:3" ht="14.25" customHeight="1" x14ac:dyDescent="0.2">
      <c r="A159" s="166"/>
      <c r="B159" s="167"/>
      <c r="C159" s="168"/>
    </row>
    <row r="160" spans="1:3" ht="14.25" customHeight="1" x14ac:dyDescent="0.2">
      <c r="A160" s="166"/>
      <c r="B160" s="167"/>
      <c r="C160" s="168"/>
    </row>
    <row r="161" spans="1:3" ht="14.25" customHeight="1" x14ac:dyDescent="0.2">
      <c r="A161" s="166"/>
      <c r="B161" s="167"/>
      <c r="C161" s="168"/>
    </row>
    <row r="162" spans="1:3" ht="14.25" customHeight="1" x14ac:dyDescent="0.2">
      <c r="A162" s="166"/>
      <c r="B162" s="167"/>
      <c r="C162" s="168"/>
    </row>
    <row r="163" spans="1:3" ht="14.25" customHeight="1" x14ac:dyDescent="0.2">
      <c r="A163" s="166"/>
      <c r="B163" s="167"/>
      <c r="C163" s="168"/>
    </row>
    <row r="164" spans="1:3" ht="14.25" customHeight="1" x14ac:dyDescent="0.2">
      <c r="A164" s="166"/>
      <c r="B164" s="167"/>
      <c r="C164" s="168"/>
    </row>
    <row r="165" spans="1:3" ht="14.25" customHeight="1" x14ac:dyDescent="0.2">
      <c r="A165" s="166"/>
      <c r="B165" s="167"/>
      <c r="C165" s="168"/>
    </row>
    <row r="166" spans="1:3" ht="14.25" customHeight="1" x14ac:dyDescent="0.2">
      <c r="A166" s="166"/>
      <c r="B166" s="167"/>
      <c r="C166" s="168"/>
    </row>
    <row r="167" spans="1:3" ht="14.25" customHeight="1" x14ac:dyDescent="0.2">
      <c r="A167" s="166"/>
      <c r="B167" s="167"/>
      <c r="C167" s="168"/>
    </row>
    <row r="168" spans="1:3" ht="14.25" customHeight="1" x14ac:dyDescent="0.2">
      <c r="A168" s="166"/>
      <c r="B168" s="167"/>
      <c r="C168" s="168"/>
    </row>
    <row r="169" spans="1:3" ht="14.25" customHeight="1" x14ac:dyDescent="0.2">
      <c r="A169" s="166"/>
      <c r="B169" s="167"/>
      <c r="C169" s="168"/>
    </row>
    <row r="170" spans="1:3" ht="14.25" customHeight="1" x14ac:dyDescent="0.2">
      <c r="A170" s="166"/>
      <c r="B170" s="167"/>
      <c r="C170" s="168"/>
    </row>
    <row r="171" spans="1:3" ht="14.25" customHeight="1" x14ac:dyDescent="0.2">
      <c r="A171" s="166"/>
      <c r="B171" s="167"/>
      <c r="C171" s="168"/>
    </row>
    <row r="172" spans="1:3" ht="14.25" customHeight="1" x14ac:dyDescent="0.2">
      <c r="A172" s="166"/>
      <c r="B172" s="167"/>
      <c r="C172" s="168"/>
    </row>
    <row r="173" spans="1:3" ht="14.25" customHeight="1" x14ac:dyDescent="0.2">
      <c r="A173" s="166"/>
      <c r="B173" s="167"/>
      <c r="C173" s="168"/>
    </row>
    <row r="174" spans="1:3" ht="14.25" customHeight="1" x14ac:dyDescent="0.2">
      <c r="A174" s="166"/>
      <c r="B174" s="167"/>
      <c r="C174" s="168"/>
    </row>
    <row r="175" spans="1:3" ht="14.25" customHeight="1" x14ac:dyDescent="0.2">
      <c r="A175" s="166"/>
      <c r="B175" s="167"/>
      <c r="C175" s="168"/>
    </row>
    <row r="176" spans="1:3" ht="14.25" customHeight="1" x14ac:dyDescent="0.2">
      <c r="A176" s="166"/>
      <c r="B176" s="167"/>
      <c r="C176" s="168"/>
    </row>
    <row r="177" spans="1:3" ht="14.25" customHeight="1" x14ac:dyDescent="0.2">
      <c r="A177" s="166"/>
      <c r="B177" s="167"/>
      <c r="C177" s="168"/>
    </row>
    <row r="178" spans="1:3" ht="14.25" customHeight="1" x14ac:dyDescent="0.2">
      <c r="A178" s="166"/>
      <c r="B178" s="167"/>
      <c r="C178" s="168"/>
    </row>
    <row r="179" spans="1:3" ht="14.25" customHeight="1" x14ac:dyDescent="0.2">
      <c r="A179" s="166"/>
      <c r="B179" s="167"/>
      <c r="C179" s="168"/>
    </row>
    <row r="180" spans="1:3" ht="14.25" customHeight="1" x14ac:dyDescent="0.2">
      <c r="A180" s="166"/>
      <c r="B180" s="167"/>
      <c r="C180" s="168"/>
    </row>
    <row r="181" spans="1:3" ht="14.25" customHeight="1" x14ac:dyDescent="0.2">
      <c r="A181" s="166"/>
      <c r="B181" s="167"/>
      <c r="C181" s="168"/>
    </row>
    <row r="182" spans="1:3" ht="14.25" customHeight="1" x14ac:dyDescent="0.2">
      <c r="A182" s="166"/>
      <c r="B182" s="167"/>
      <c r="C182" s="168"/>
    </row>
    <row r="183" spans="1:3" ht="14.25" customHeight="1" x14ac:dyDescent="0.2">
      <c r="A183" s="166"/>
      <c r="B183" s="167"/>
      <c r="C183" s="168"/>
    </row>
    <row r="184" spans="1:3" ht="14.25" customHeight="1" x14ac:dyDescent="0.2">
      <c r="A184" s="166"/>
      <c r="B184" s="167"/>
      <c r="C184" s="168"/>
    </row>
    <row r="185" spans="1:3" ht="14.25" customHeight="1" x14ac:dyDescent="0.2">
      <c r="A185" s="166"/>
      <c r="B185" s="167"/>
      <c r="C185" s="168"/>
    </row>
    <row r="186" spans="1:3" ht="14.25" customHeight="1" x14ac:dyDescent="0.2">
      <c r="A186" s="166"/>
      <c r="B186" s="167"/>
      <c r="C186" s="168"/>
    </row>
    <row r="187" spans="1:3" ht="14.25" customHeight="1" x14ac:dyDescent="0.2">
      <c r="A187" s="166"/>
      <c r="B187" s="167"/>
      <c r="C187" s="168"/>
    </row>
    <row r="188" spans="1:3" ht="14.25" customHeight="1" x14ac:dyDescent="0.2">
      <c r="A188" s="166"/>
      <c r="B188" s="167"/>
      <c r="C188" s="168"/>
    </row>
    <row r="189" spans="1:3" ht="14.25" customHeight="1" x14ac:dyDescent="0.2">
      <c r="A189" s="166"/>
      <c r="B189" s="167"/>
      <c r="C189" s="168"/>
    </row>
    <row r="190" spans="1:3" ht="14.25" customHeight="1" x14ac:dyDescent="0.2">
      <c r="A190" s="166"/>
      <c r="B190" s="167"/>
      <c r="C190" s="168"/>
    </row>
    <row r="191" spans="1:3" ht="14.25" customHeight="1" x14ac:dyDescent="0.2">
      <c r="A191" s="166"/>
      <c r="B191" s="167"/>
      <c r="C191" s="168"/>
    </row>
    <row r="192" spans="1:3" ht="14.25" customHeight="1" x14ac:dyDescent="0.2">
      <c r="A192" s="166"/>
      <c r="B192" s="167"/>
      <c r="C192" s="168"/>
    </row>
    <row r="193" spans="1:3" ht="14.25" customHeight="1" x14ac:dyDescent="0.2">
      <c r="A193" s="166"/>
      <c r="B193" s="167"/>
      <c r="C193" s="168"/>
    </row>
    <row r="194" spans="1:3" ht="14.25" customHeight="1" x14ac:dyDescent="0.2">
      <c r="A194" s="166"/>
      <c r="B194" s="167"/>
      <c r="C194" s="168"/>
    </row>
    <row r="195" spans="1:3" ht="14.25" customHeight="1" x14ac:dyDescent="0.2">
      <c r="A195" s="166"/>
      <c r="B195" s="167"/>
      <c r="C195" s="168"/>
    </row>
    <row r="196" spans="1:3" ht="14.25" customHeight="1" x14ac:dyDescent="0.2">
      <c r="A196" s="166"/>
      <c r="B196" s="167"/>
      <c r="C196" s="168"/>
    </row>
    <row r="197" spans="1:3" ht="14.25" customHeight="1" x14ac:dyDescent="0.2">
      <c r="A197" s="166"/>
      <c r="B197" s="167"/>
      <c r="C197" s="168"/>
    </row>
    <row r="198" spans="1:3" ht="14.25" customHeight="1" x14ac:dyDescent="0.2">
      <c r="A198" s="166"/>
      <c r="B198" s="167"/>
      <c r="C198" s="168"/>
    </row>
    <row r="199" spans="1:3" ht="14.25" customHeight="1" x14ac:dyDescent="0.2">
      <c r="A199" s="166"/>
      <c r="B199" s="167"/>
      <c r="C199" s="168"/>
    </row>
    <row r="200" spans="1:3" ht="14.25" customHeight="1" x14ac:dyDescent="0.2">
      <c r="A200" s="166"/>
      <c r="B200" s="167"/>
      <c r="C200" s="168"/>
    </row>
    <row r="201" spans="1:3" ht="14.25" customHeight="1" x14ac:dyDescent="0.2">
      <c r="A201" s="166"/>
      <c r="B201" s="167"/>
      <c r="C201" s="168"/>
    </row>
    <row r="202" spans="1:3" ht="14.25" customHeight="1" x14ac:dyDescent="0.2">
      <c r="A202" s="166"/>
      <c r="B202" s="167"/>
      <c r="C202" s="168"/>
    </row>
    <row r="203" spans="1:3" ht="14.25" customHeight="1" x14ac:dyDescent="0.2">
      <c r="A203" s="166"/>
      <c r="B203" s="167"/>
      <c r="C203" s="168"/>
    </row>
    <row r="204" spans="1:3" ht="14.25" customHeight="1" x14ac:dyDescent="0.2">
      <c r="A204" s="166"/>
      <c r="B204" s="167"/>
      <c r="C204" s="168"/>
    </row>
    <row r="205" spans="1:3" ht="14.25" customHeight="1" x14ac:dyDescent="0.2">
      <c r="A205" s="166"/>
      <c r="B205" s="167"/>
      <c r="C205" s="168"/>
    </row>
    <row r="206" spans="1:3" ht="14.25" customHeight="1" x14ac:dyDescent="0.2">
      <c r="A206" s="166"/>
      <c r="B206" s="167"/>
      <c r="C206" s="168"/>
    </row>
    <row r="207" spans="1:3" ht="14.25" customHeight="1" x14ac:dyDescent="0.2">
      <c r="A207" s="166"/>
      <c r="B207" s="167"/>
      <c r="C207" s="168"/>
    </row>
    <row r="208" spans="1:3" ht="14.25" customHeight="1" x14ac:dyDescent="0.2">
      <c r="A208" s="166"/>
      <c r="B208" s="167"/>
      <c r="C208" s="168"/>
    </row>
    <row r="209" spans="1:3" ht="14.25" customHeight="1" x14ac:dyDescent="0.2">
      <c r="A209" s="166"/>
      <c r="B209" s="167"/>
      <c r="C209" s="168"/>
    </row>
    <row r="210" spans="1:3" ht="14.25" customHeight="1" x14ac:dyDescent="0.2">
      <c r="A210" s="166"/>
      <c r="B210" s="167"/>
      <c r="C210" s="168"/>
    </row>
    <row r="211" spans="1:3" ht="14.25" customHeight="1" x14ac:dyDescent="0.2">
      <c r="A211" s="166"/>
      <c r="B211" s="167"/>
      <c r="C211" s="168"/>
    </row>
    <row r="212" spans="1:3" ht="14.25" customHeight="1" x14ac:dyDescent="0.2">
      <c r="A212" s="166"/>
      <c r="B212" s="167"/>
      <c r="C212" s="168"/>
    </row>
    <row r="213" spans="1:3" ht="14.25" customHeight="1" x14ac:dyDescent="0.2">
      <c r="A213" s="166"/>
      <c r="B213" s="167"/>
      <c r="C213" s="168"/>
    </row>
    <row r="214" spans="1:3" ht="14.25" customHeight="1" x14ac:dyDescent="0.2">
      <c r="A214" s="166"/>
      <c r="B214" s="167"/>
      <c r="C214" s="168"/>
    </row>
    <row r="215" spans="1:3" ht="14.25" customHeight="1" x14ac:dyDescent="0.2">
      <c r="A215" s="166"/>
      <c r="B215" s="167"/>
      <c r="C215" s="168"/>
    </row>
    <row r="216" spans="1:3" ht="14.25" customHeight="1" x14ac:dyDescent="0.2">
      <c r="A216" s="166"/>
      <c r="B216" s="167"/>
      <c r="C216" s="168"/>
    </row>
    <row r="217" spans="1:3" ht="14.25" customHeight="1" x14ac:dyDescent="0.2">
      <c r="A217" s="166"/>
      <c r="B217" s="167"/>
      <c r="C217" s="168"/>
    </row>
    <row r="218" spans="1:3" ht="14.25" customHeight="1" x14ac:dyDescent="0.2">
      <c r="A218" s="166"/>
      <c r="B218" s="167"/>
      <c r="C218" s="168"/>
    </row>
    <row r="219" spans="1:3" ht="14.25" customHeight="1" x14ac:dyDescent="0.2">
      <c r="A219" s="166"/>
      <c r="B219" s="167"/>
      <c r="C219" s="168"/>
    </row>
    <row r="220" spans="1:3" ht="14.25" customHeight="1" x14ac:dyDescent="0.2">
      <c r="A220" s="166"/>
      <c r="B220" s="167"/>
      <c r="C220" s="168"/>
    </row>
    <row r="221" spans="1:3" ht="14.25" customHeight="1" x14ac:dyDescent="0.2">
      <c r="A221" s="166"/>
      <c r="B221" s="167"/>
      <c r="C221" s="168"/>
    </row>
    <row r="222" spans="1:3" ht="14.25" customHeight="1" x14ac:dyDescent="0.2">
      <c r="A222" s="166"/>
      <c r="B222" s="167"/>
      <c r="C222" s="168"/>
    </row>
    <row r="223" spans="1:3" ht="14.25" customHeight="1" x14ac:dyDescent="0.2">
      <c r="A223" s="166"/>
      <c r="B223" s="167"/>
      <c r="C223" s="168"/>
    </row>
    <row r="224" spans="1:3" ht="14.25" customHeight="1" x14ac:dyDescent="0.2">
      <c r="A224" s="166"/>
      <c r="B224" s="167"/>
      <c r="C224" s="168"/>
    </row>
    <row r="225" spans="1:3" ht="14.25" customHeight="1" x14ac:dyDescent="0.2">
      <c r="A225" s="166"/>
      <c r="B225" s="167"/>
      <c r="C225" s="168"/>
    </row>
    <row r="226" spans="1:3" ht="14.25" customHeight="1" x14ac:dyDescent="0.2">
      <c r="A226" s="166"/>
      <c r="B226" s="167"/>
      <c r="C226" s="168"/>
    </row>
    <row r="227" spans="1:3" ht="14.25" customHeight="1" x14ac:dyDescent="0.2">
      <c r="A227" s="166"/>
      <c r="B227" s="167"/>
      <c r="C227" s="168"/>
    </row>
    <row r="228" spans="1:3" ht="14.25" customHeight="1" x14ac:dyDescent="0.2">
      <c r="A228" s="166"/>
      <c r="B228" s="167"/>
      <c r="C228" s="168"/>
    </row>
    <row r="229" spans="1:3" ht="14.25" customHeight="1" x14ac:dyDescent="0.2">
      <c r="A229" s="166"/>
      <c r="B229" s="167"/>
      <c r="C229" s="168"/>
    </row>
    <row r="230" spans="1:3" ht="14.25" customHeight="1" x14ac:dyDescent="0.2">
      <c r="A230" s="166"/>
      <c r="B230" s="167"/>
      <c r="C230" s="168"/>
    </row>
    <row r="231" spans="1:3" ht="14.25" customHeight="1" x14ac:dyDescent="0.2">
      <c r="A231" s="166"/>
      <c r="B231" s="167"/>
      <c r="C231" s="168"/>
    </row>
    <row r="232" spans="1:3" ht="14.25" customHeight="1" x14ac:dyDescent="0.2">
      <c r="A232" s="166"/>
      <c r="B232" s="167"/>
      <c r="C232" s="168"/>
    </row>
    <row r="233" spans="1:3" ht="14.25" customHeight="1" x14ac:dyDescent="0.2">
      <c r="A233" s="166"/>
      <c r="B233" s="167"/>
      <c r="C233" s="168"/>
    </row>
    <row r="234" spans="1:3" ht="14.25" customHeight="1" x14ac:dyDescent="0.2">
      <c r="A234" s="166"/>
      <c r="B234" s="167"/>
      <c r="C234" s="168"/>
    </row>
    <row r="235" spans="1:3" ht="14.25" customHeight="1" x14ac:dyDescent="0.2">
      <c r="A235" s="166"/>
      <c r="B235" s="167"/>
      <c r="C235" s="168"/>
    </row>
    <row r="236" spans="1:3" ht="14.25" customHeight="1" x14ac:dyDescent="0.2">
      <c r="A236" s="166"/>
      <c r="B236" s="167"/>
      <c r="C236" s="168"/>
    </row>
    <row r="237" spans="1:3" ht="14.25" customHeight="1" x14ac:dyDescent="0.2">
      <c r="A237" s="166"/>
      <c r="B237" s="167"/>
      <c r="C237" s="168"/>
    </row>
    <row r="238" spans="1:3" ht="14.25" customHeight="1" x14ac:dyDescent="0.2">
      <c r="A238" s="166"/>
      <c r="B238" s="167"/>
      <c r="C238" s="168"/>
    </row>
    <row r="239" spans="1:3" ht="14.25" customHeight="1" x14ac:dyDescent="0.2">
      <c r="A239" s="166"/>
      <c r="B239" s="167"/>
      <c r="C239" s="168"/>
    </row>
    <row r="240" spans="1:3" ht="14.25" customHeight="1" x14ac:dyDescent="0.2">
      <c r="A240" s="166"/>
      <c r="B240" s="167"/>
      <c r="C240" s="168"/>
    </row>
    <row r="241" spans="1:3" ht="14.25" customHeight="1" x14ac:dyDescent="0.2">
      <c r="A241" s="166"/>
      <c r="B241" s="167"/>
      <c r="C241" s="168"/>
    </row>
    <row r="242" spans="1:3" ht="14.25" customHeight="1" x14ac:dyDescent="0.2">
      <c r="A242" s="166"/>
      <c r="B242" s="167"/>
      <c r="C242" s="168"/>
    </row>
    <row r="243" spans="1:3" ht="14.25" customHeight="1" x14ac:dyDescent="0.2">
      <c r="A243" s="166"/>
      <c r="B243" s="167"/>
      <c r="C243" s="168"/>
    </row>
    <row r="244" spans="1:3" ht="14.25" customHeight="1" x14ac:dyDescent="0.2">
      <c r="A244" s="166"/>
      <c r="B244" s="167"/>
      <c r="C244" s="168"/>
    </row>
    <row r="245" spans="1:3" ht="14.25" customHeight="1" x14ac:dyDescent="0.2">
      <c r="A245" s="166"/>
      <c r="B245" s="167"/>
      <c r="C245" s="168"/>
    </row>
    <row r="246" spans="1:3" ht="14.25" customHeight="1" x14ac:dyDescent="0.2">
      <c r="A246" s="166"/>
      <c r="B246" s="167"/>
      <c r="C246" s="168"/>
    </row>
    <row r="247" spans="1:3" ht="14.25" customHeight="1" x14ac:dyDescent="0.2">
      <c r="A247" s="166"/>
      <c r="B247" s="167"/>
      <c r="C247" s="168"/>
    </row>
    <row r="248" spans="1:3" ht="14.25" customHeight="1" x14ac:dyDescent="0.2">
      <c r="A248" s="166"/>
      <c r="B248" s="167"/>
      <c r="C248" s="168"/>
    </row>
    <row r="249" spans="1:3" ht="14.25" customHeight="1" x14ac:dyDescent="0.2">
      <c r="A249" s="166"/>
      <c r="B249" s="167"/>
      <c r="C249" s="168"/>
    </row>
    <row r="250" spans="1:3" ht="14.25" customHeight="1" x14ac:dyDescent="0.2">
      <c r="A250" s="166"/>
      <c r="B250" s="167"/>
      <c r="C250" s="168"/>
    </row>
    <row r="251" spans="1:3" ht="14.25" customHeight="1" x14ac:dyDescent="0.2">
      <c r="A251" s="166"/>
      <c r="B251" s="167"/>
      <c r="C251" s="168"/>
    </row>
    <row r="252" spans="1:3" ht="14.25" customHeight="1" x14ac:dyDescent="0.2">
      <c r="A252" s="166"/>
      <c r="B252" s="167"/>
      <c r="C252" s="168"/>
    </row>
    <row r="253" spans="1:3" ht="14.25" customHeight="1" x14ac:dyDescent="0.2">
      <c r="A253" s="166"/>
      <c r="B253" s="167"/>
      <c r="C253" s="168"/>
    </row>
    <row r="254" spans="1:3" ht="14.25" customHeight="1" x14ac:dyDescent="0.2">
      <c r="A254" s="166"/>
      <c r="B254" s="167"/>
      <c r="C254" s="168"/>
    </row>
    <row r="255" spans="1:3" ht="14.25" customHeight="1" x14ac:dyDescent="0.2">
      <c r="A255" s="166"/>
      <c r="B255" s="167"/>
      <c r="C255" s="168"/>
    </row>
    <row r="256" spans="1:3" ht="14.25" customHeight="1" x14ac:dyDescent="0.2">
      <c r="A256" s="166"/>
      <c r="B256" s="167"/>
      <c r="C256" s="168"/>
    </row>
    <row r="257" spans="1:3" ht="14.25" customHeight="1" x14ac:dyDescent="0.2">
      <c r="A257" s="166"/>
      <c r="B257" s="167"/>
      <c r="C257" s="168"/>
    </row>
    <row r="258" spans="1:3" ht="14.25" customHeight="1" x14ac:dyDescent="0.2">
      <c r="A258" s="166"/>
      <c r="B258" s="167"/>
      <c r="C258" s="168"/>
    </row>
    <row r="259" spans="1:3" ht="14.25" customHeight="1" x14ac:dyDescent="0.2">
      <c r="A259" s="166"/>
      <c r="B259" s="167"/>
      <c r="C259" s="168"/>
    </row>
    <row r="260" spans="1:3" ht="14.25" customHeight="1" x14ac:dyDescent="0.2">
      <c r="A260" s="166"/>
      <c r="B260" s="167"/>
      <c r="C260" s="168"/>
    </row>
    <row r="261" spans="1:3" ht="14.25" customHeight="1" x14ac:dyDescent="0.2">
      <c r="A261" s="166"/>
      <c r="B261" s="167"/>
      <c r="C261" s="168"/>
    </row>
    <row r="262" spans="1:3" ht="14.25" customHeight="1" x14ac:dyDescent="0.2">
      <c r="A262" s="166"/>
      <c r="B262" s="167"/>
      <c r="C262" s="168"/>
    </row>
    <row r="263" spans="1:3" ht="14.25" customHeight="1" x14ac:dyDescent="0.2">
      <c r="A263" s="166"/>
      <c r="B263" s="167"/>
      <c r="C263" s="168"/>
    </row>
    <row r="264" spans="1:3" ht="14.25" customHeight="1" x14ac:dyDescent="0.2">
      <c r="A264" s="166"/>
      <c r="B264" s="167"/>
      <c r="C264" s="168"/>
    </row>
    <row r="265" spans="1:3" ht="14.25" customHeight="1" x14ac:dyDescent="0.2">
      <c r="A265" s="166"/>
      <c r="B265" s="167"/>
      <c r="C265" s="168"/>
    </row>
    <row r="266" spans="1:3" ht="14.25" customHeight="1" x14ac:dyDescent="0.2">
      <c r="A266" s="166"/>
      <c r="B266" s="167"/>
      <c r="C266" s="168"/>
    </row>
    <row r="267" spans="1:3" ht="14.25" customHeight="1" x14ac:dyDescent="0.2">
      <c r="A267" s="166"/>
      <c r="B267" s="167"/>
      <c r="C267" s="168"/>
    </row>
    <row r="268" spans="1:3" ht="14.25" customHeight="1" x14ac:dyDescent="0.2">
      <c r="A268" s="166"/>
      <c r="B268" s="167"/>
      <c r="C268" s="168"/>
    </row>
    <row r="269" spans="1:3" ht="14.25" customHeight="1" x14ac:dyDescent="0.2">
      <c r="A269" s="166"/>
      <c r="B269" s="167"/>
      <c r="C269" s="168"/>
    </row>
    <row r="270" spans="1:3" ht="14.25" customHeight="1" x14ac:dyDescent="0.2">
      <c r="A270" s="166"/>
      <c r="B270" s="167"/>
      <c r="C270" s="168"/>
    </row>
    <row r="271" spans="1:3" ht="14.25" customHeight="1" x14ac:dyDescent="0.2">
      <c r="A271" s="166"/>
      <c r="B271" s="167"/>
      <c r="C271" s="168"/>
    </row>
    <row r="272" spans="1:3" ht="14.25" customHeight="1" x14ac:dyDescent="0.2">
      <c r="A272" s="166"/>
      <c r="B272" s="167"/>
      <c r="C272" s="168"/>
    </row>
    <row r="273" spans="1:3" ht="14.25" customHeight="1" x14ac:dyDescent="0.2">
      <c r="A273" s="166"/>
      <c r="B273" s="167"/>
      <c r="C273" s="168"/>
    </row>
    <row r="274" spans="1:3" ht="14.25" customHeight="1" x14ac:dyDescent="0.2">
      <c r="A274" s="166"/>
      <c r="B274" s="167"/>
      <c r="C274" s="168"/>
    </row>
    <row r="275" spans="1:3" ht="14.25" customHeight="1" x14ac:dyDescent="0.2">
      <c r="A275" s="166"/>
      <c r="B275" s="167"/>
      <c r="C275" s="168"/>
    </row>
    <row r="276" spans="1:3" ht="14.25" customHeight="1" x14ac:dyDescent="0.2">
      <c r="A276" s="166"/>
      <c r="B276" s="167"/>
      <c r="C276" s="168"/>
    </row>
    <row r="277" spans="1:3" ht="14.25" customHeight="1" x14ac:dyDescent="0.2">
      <c r="A277" s="166"/>
      <c r="B277" s="167"/>
      <c r="C277" s="168"/>
    </row>
    <row r="278" spans="1:3" ht="14.25" customHeight="1" x14ac:dyDescent="0.2">
      <c r="A278" s="166"/>
      <c r="B278" s="167"/>
      <c r="C278" s="168"/>
    </row>
    <row r="279" spans="1:3" ht="14.25" customHeight="1" x14ac:dyDescent="0.2">
      <c r="A279" s="166"/>
      <c r="B279" s="167"/>
      <c r="C279" s="168"/>
    </row>
    <row r="280" spans="1:3" ht="14.25" customHeight="1" x14ac:dyDescent="0.2">
      <c r="A280" s="166"/>
      <c r="B280" s="167"/>
      <c r="C280" s="168"/>
    </row>
    <row r="281" spans="1:3" ht="14.25" customHeight="1" x14ac:dyDescent="0.2">
      <c r="A281" s="166"/>
      <c r="B281" s="167"/>
      <c r="C281" s="168"/>
    </row>
    <row r="282" spans="1:3" ht="14.25" customHeight="1" x14ac:dyDescent="0.2">
      <c r="A282" s="166"/>
      <c r="B282" s="167"/>
      <c r="C282" s="168"/>
    </row>
    <row r="283" spans="1:3" ht="14.25" customHeight="1" x14ac:dyDescent="0.2">
      <c r="A283" s="166"/>
      <c r="B283" s="167"/>
      <c r="C283" s="168"/>
    </row>
    <row r="284" spans="1:3" ht="14.25" customHeight="1" x14ac:dyDescent="0.2">
      <c r="A284" s="166"/>
      <c r="B284" s="167"/>
      <c r="C284" s="168"/>
    </row>
    <row r="285" spans="1:3" ht="14.25" customHeight="1" x14ac:dyDescent="0.2">
      <c r="A285" s="166"/>
      <c r="B285" s="167"/>
      <c r="C285" s="168"/>
    </row>
    <row r="286" spans="1:3" ht="14.25" customHeight="1" x14ac:dyDescent="0.2">
      <c r="A286" s="166"/>
      <c r="B286" s="167"/>
      <c r="C286" s="168"/>
    </row>
    <row r="287" spans="1:3" ht="14.25" customHeight="1" x14ac:dyDescent="0.2">
      <c r="A287" s="166"/>
      <c r="B287" s="167"/>
      <c r="C287" s="168"/>
    </row>
    <row r="288" spans="1:3" ht="14.25" customHeight="1" x14ac:dyDescent="0.2">
      <c r="A288" s="166"/>
      <c r="B288" s="167"/>
      <c r="C288" s="168"/>
    </row>
    <row r="289" spans="1:3" ht="14.25" customHeight="1" x14ac:dyDescent="0.2">
      <c r="A289" s="166"/>
      <c r="B289" s="167"/>
      <c r="C289" s="168"/>
    </row>
    <row r="290" spans="1:3" ht="14.25" customHeight="1" x14ac:dyDescent="0.2">
      <c r="A290" s="166"/>
      <c r="B290" s="167"/>
      <c r="C290" s="168"/>
    </row>
    <row r="291" spans="1:3" ht="14.25" customHeight="1" x14ac:dyDescent="0.2">
      <c r="A291" s="166"/>
      <c r="B291" s="167"/>
      <c r="C291" s="168"/>
    </row>
    <row r="292" spans="1:3" ht="14.25" customHeight="1" x14ac:dyDescent="0.2">
      <c r="A292" s="166"/>
      <c r="B292" s="167"/>
      <c r="C292" s="168"/>
    </row>
    <row r="293" spans="1:3" ht="14.25" customHeight="1" x14ac:dyDescent="0.2">
      <c r="A293" s="166"/>
      <c r="B293" s="167"/>
      <c r="C293" s="168"/>
    </row>
    <row r="294" spans="1:3" ht="14.25" customHeight="1" x14ac:dyDescent="0.2">
      <c r="A294" s="166"/>
      <c r="B294" s="167"/>
      <c r="C294" s="168"/>
    </row>
    <row r="295" spans="1:3" ht="14.25" customHeight="1" x14ac:dyDescent="0.2">
      <c r="A295" s="166"/>
      <c r="B295" s="167"/>
      <c r="C295" s="168"/>
    </row>
    <row r="296" spans="1:3" ht="14.25" customHeight="1" x14ac:dyDescent="0.2">
      <c r="A296" s="166"/>
      <c r="B296" s="167"/>
      <c r="C296" s="168"/>
    </row>
    <row r="297" spans="1:3" ht="14.25" customHeight="1" x14ac:dyDescent="0.2">
      <c r="A297" s="166"/>
      <c r="B297" s="167"/>
      <c r="C297" s="168"/>
    </row>
    <row r="298" spans="1:3" ht="14.25" customHeight="1" x14ac:dyDescent="0.2">
      <c r="A298" s="166"/>
      <c r="B298" s="167"/>
      <c r="C298" s="168"/>
    </row>
    <row r="299" spans="1:3" ht="14.25" customHeight="1" x14ac:dyDescent="0.2">
      <c r="A299" s="166"/>
      <c r="B299" s="167"/>
      <c r="C299" s="168"/>
    </row>
    <row r="300" spans="1:3" ht="14.25" customHeight="1" x14ac:dyDescent="0.2">
      <c r="A300" s="166"/>
      <c r="B300" s="167"/>
      <c r="C300" s="168"/>
    </row>
    <row r="301" spans="1:3" ht="14.25" customHeight="1" x14ac:dyDescent="0.2">
      <c r="A301" s="166"/>
      <c r="B301" s="167"/>
      <c r="C301" s="168"/>
    </row>
    <row r="302" spans="1:3" ht="14.25" customHeight="1" x14ac:dyDescent="0.2">
      <c r="A302" s="166"/>
      <c r="B302" s="167"/>
      <c r="C302" s="168"/>
    </row>
  </sheetData>
  <mergeCells count="1">
    <mergeCell ref="A1:C1"/>
  </mergeCells>
  <pageMargins left="0.25" right="0.25" top="0.3" bottom="0.4" header="0.511811023622047" footer="0.17013888888888901"/>
  <pageSetup fitToHeight="0"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7"/>
  <sheetViews>
    <sheetView showGridLines="0" zoomScaleNormal="100" workbookViewId="0">
      <selection activeCell="C101" sqref="C101"/>
    </sheetView>
  </sheetViews>
  <sheetFormatPr baseColWidth="10" defaultColWidth="8.6640625" defaultRowHeight="15" x14ac:dyDescent="0.2"/>
  <cols>
    <col min="1" max="1" width="16" customWidth="1"/>
    <col min="2" max="2" width="95" customWidth="1"/>
    <col min="3" max="3" width="10" customWidth="1"/>
    <col min="4" max="4" width="15.5" customWidth="1"/>
    <col min="5" max="5" width="13" customWidth="1"/>
    <col min="6" max="6" width="11" customWidth="1"/>
  </cols>
  <sheetData>
    <row r="1" spans="1:6" ht="23.25" customHeight="1" x14ac:dyDescent="0.2">
      <c r="A1" s="192" t="s">
        <v>691</v>
      </c>
      <c r="B1" s="192"/>
      <c r="C1" s="192"/>
      <c r="D1" s="192"/>
      <c r="E1" s="192"/>
      <c r="F1" s="192"/>
    </row>
    <row r="2" spans="1:6" ht="15" customHeight="1" x14ac:dyDescent="0.2">
      <c r="A2" s="133" t="s">
        <v>692</v>
      </c>
      <c r="C2" s="169">
        <f ca="1">COUNTIF(F5:F500,"OVERDUE")</f>
        <v>6</v>
      </c>
    </row>
    <row r="4" spans="1:6" ht="27.75" customHeight="1" x14ac:dyDescent="0.2">
      <c r="A4" s="135" t="s">
        <v>693</v>
      </c>
      <c r="B4" s="135" t="s">
        <v>694</v>
      </c>
      <c r="C4" s="135" t="s">
        <v>695</v>
      </c>
      <c r="D4" s="135" t="s">
        <v>696</v>
      </c>
      <c r="E4" s="135" t="s">
        <v>697</v>
      </c>
      <c r="F4" s="135" t="s">
        <v>469</v>
      </c>
    </row>
    <row r="5" spans="1:6" ht="15" customHeight="1" x14ac:dyDescent="0.2">
      <c r="A5" s="139" t="s">
        <v>561</v>
      </c>
      <c r="B5" s="170" t="s">
        <v>698</v>
      </c>
      <c r="C5" s="139" t="s">
        <v>214</v>
      </c>
      <c r="D5" s="171">
        <v>46299</v>
      </c>
      <c r="E5" s="172">
        <f>IFERROR(INDEX(Journal!$A:$A,MATCH($A5,Journal!$B:$B,0)),"")</f>
        <v>46295</v>
      </c>
      <c r="F5" s="139" t="str">
        <f t="shared" ref="F5:F36" ca="1" si="0">IF(C5="Y","Done",IF(AND(E5&lt;&gt;"",TODAY()&gt;E5),"OVERDUE","Pending"))</f>
        <v>Done</v>
      </c>
    </row>
    <row r="6" spans="1:6" ht="15" customHeight="1" x14ac:dyDescent="0.2">
      <c r="A6" s="139" t="s">
        <v>561</v>
      </c>
      <c r="B6" s="170" t="s">
        <v>699</v>
      </c>
      <c r="C6" s="139"/>
      <c r="D6" s="139"/>
      <c r="E6" s="172">
        <f>IFERROR(INDEX(Journal!$A:$A,MATCH($A6,Journal!$B:$B,0)),"")</f>
        <v>46295</v>
      </c>
      <c r="F6" s="139" t="str">
        <f t="shared" ca="1" si="0"/>
        <v>OVERDUE</v>
      </c>
    </row>
    <row r="7" spans="1:6" ht="15" customHeight="1" x14ac:dyDescent="0.2">
      <c r="A7" s="139" t="s">
        <v>561</v>
      </c>
      <c r="B7" s="170" t="s">
        <v>700</v>
      </c>
      <c r="C7" s="139"/>
      <c r="D7" s="139"/>
      <c r="E7" s="172">
        <f>IFERROR(INDEX(Journal!$A:$A,MATCH($A7,Journal!$B:$B,0)),"")</f>
        <v>46295</v>
      </c>
      <c r="F7" s="139" t="str">
        <f t="shared" ca="1" si="0"/>
        <v>OVERDUE</v>
      </c>
    </row>
    <row r="8" spans="1:6" ht="42" x14ac:dyDescent="0.2">
      <c r="A8" s="139" t="s">
        <v>561</v>
      </c>
      <c r="B8" s="170" t="s">
        <v>701</v>
      </c>
      <c r="C8" s="139"/>
      <c r="D8" s="139"/>
      <c r="E8" s="172">
        <f>IFERROR(INDEX(Journal!$A:$A,MATCH($A8,Journal!$B:$B,0)),"")</f>
        <v>46295</v>
      </c>
      <c r="F8" s="139" t="str">
        <f t="shared" ca="1" si="0"/>
        <v>OVERDUE</v>
      </c>
    </row>
    <row r="9" spans="1:6" ht="15" customHeight="1" x14ac:dyDescent="0.2">
      <c r="A9" s="139" t="s">
        <v>561</v>
      </c>
      <c r="B9" s="170" t="s">
        <v>702</v>
      </c>
      <c r="C9" s="139"/>
      <c r="D9" s="139"/>
      <c r="E9" s="172">
        <f>IFERROR(INDEX(Journal!$A:$A,MATCH($A9,Journal!$B:$B,0)),"")</f>
        <v>46295</v>
      </c>
      <c r="F9" s="139" t="str">
        <f t="shared" ca="1" si="0"/>
        <v>OVERDUE</v>
      </c>
    </row>
    <row r="10" spans="1:6" ht="15" customHeight="1" x14ac:dyDescent="0.2">
      <c r="A10" s="139" t="s">
        <v>561</v>
      </c>
      <c r="B10" s="170" t="s">
        <v>703</v>
      </c>
      <c r="C10" s="139"/>
      <c r="D10" s="139"/>
      <c r="E10" s="172">
        <f>IFERROR(INDEX(Journal!$A:$A,MATCH($A10,Journal!$B:$B,0)),"")</f>
        <v>46295</v>
      </c>
      <c r="F10" s="139" t="str">
        <f t="shared" ca="1" si="0"/>
        <v>OVERDUE</v>
      </c>
    </row>
    <row r="11" spans="1:6" ht="15" customHeight="1" x14ac:dyDescent="0.2">
      <c r="A11" s="139" t="s">
        <v>561</v>
      </c>
      <c r="B11" s="170" t="s">
        <v>704</v>
      </c>
      <c r="C11" s="139"/>
      <c r="D11" s="139"/>
      <c r="E11" s="172">
        <f>IFERROR(INDEX(Journal!$A:$A,MATCH($A11,Journal!$B:$B,0)),"")</f>
        <v>46295</v>
      </c>
      <c r="F11" s="139" t="str">
        <f t="shared" ca="1" si="0"/>
        <v>OVERDUE</v>
      </c>
    </row>
    <row r="12" spans="1:6" ht="23.25" customHeight="1" x14ac:dyDescent="0.2">
      <c r="A12" s="139" t="s">
        <v>565</v>
      </c>
      <c r="B12" s="170" t="s">
        <v>705</v>
      </c>
      <c r="C12" s="139"/>
      <c r="D12" s="139"/>
      <c r="E12" s="172">
        <f>IFERROR(INDEX(Journal!$A:$A,MATCH($A12,Journal!$B:$B,0)),"")</f>
        <v>46320</v>
      </c>
      <c r="F12" s="139" t="str">
        <f t="shared" ca="1" si="0"/>
        <v>Pending</v>
      </c>
    </row>
    <row r="13" spans="1:6" ht="15" customHeight="1" x14ac:dyDescent="0.2">
      <c r="A13" s="139" t="s">
        <v>565</v>
      </c>
      <c r="B13" s="170" t="s">
        <v>706</v>
      </c>
      <c r="C13" s="139"/>
      <c r="D13" s="139"/>
      <c r="E13" s="172">
        <f>IFERROR(INDEX(Journal!$A:$A,MATCH($A13,Journal!$B:$B,0)),"")</f>
        <v>46320</v>
      </c>
      <c r="F13" s="139" t="str">
        <f t="shared" ca="1" si="0"/>
        <v>Pending</v>
      </c>
    </row>
    <row r="14" spans="1:6" ht="23.25" customHeight="1" x14ac:dyDescent="0.2">
      <c r="A14" s="139" t="s">
        <v>565</v>
      </c>
      <c r="B14" s="170" t="s">
        <v>707</v>
      </c>
      <c r="C14" s="139"/>
      <c r="D14" s="139"/>
      <c r="E14" s="172">
        <f>IFERROR(INDEX(Journal!$A:$A,MATCH($A14,Journal!$B:$B,0)),"")</f>
        <v>46320</v>
      </c>
      <c r="F14" s="139" t="str">
        <f t="shared" ca="1" si="0"/>
        <v>Pending</v>
      </c>
    </row>
    <row r="15" spans="1:6" ht="42" x14ac:dyDescent="0.2">
      <c r="A15" s="139" t="s">
        <v>565</v>
      </c>
      <c r="B15" s="170" t="s">
        <v>701</v>
      </c>
      <c r="C15" s="139"/>
      <c r="D15" s="139"/>
      <c r="E15" s="172">
        <f>IFERROR(INDEX(Journal!$A:$A,MATCH($A15,Journal!$B:$B,0)),"")</f>
        <v>46320</v>
      </c>
      <c r="F15" s="139" t="str">
        <f t="shared" ca="1" si="0"/>
        <v>Pending</v>
      </c>
    </row>
    <row r="16" spans="1:6" ht="15" customHeight="1" x14ac:dyDescent="0.2">
      <c r="A16" s="139" t="s">
        <v>565</v>
      </c>
      <c r="B16" s="170" t="s">
        <v>702</v>
      </c>
      <c r="C16" s="139"/>
      <c r="D16" s="139"/>
      <c r="E16" s="172">
        <f>IFERROR(INDEX(Journal!$A:$A,MATCH($A16,Journal!$B:$B,0)),"")</f>
        <v>46320</v>
      </c>
      <c r="F16" s="139" t="str">
        <f t="shared" ca="1" si="0"/>
        <v>Pending</v>
      </c>
    </row>
    <row r="17" spans="1:6" ht="15" customHeight="1" x14ac:dyDescent="0.2">
      <c r="A17" s="139" t="s">
        <v>565</v>
      </c>
      <c r="B17" s="170" t="s">
        <v>703</v>
      </c>
      <c r="C17" s="139"/>
      <c r="D17" s="139"/>
      <c r="E17" s="172">
        <f>IFERROR(INDEX(Journal!$A:$A,MATCH($A17,Journal!$B:$B,0)),"")</f>
        <v>46320</v>
      </c>
      <c r="F17" s="139" t="str">
        <f t="shared" ca="1" si="0"/>
        <v>Pending</v>
      </c>
    </row>
    <row r="18" spans="1:6" ht="15" customHeight="1" x14ac:dyDescent="0.2">
      <c r="A18" s="139" t="s">
        <v>565</v>
      </c>
      <c r="B18" s="170" t="s">
        <v>704</v>
      </c>
      <c r="C18" s="139"/>
      <c r="D18" s="139"/>
      <c r="E18" s="172">
        <f>IFERROR(INDEX(Journal!$A:$A,MATCH($A18,Journal!$B:$B,0)),"")</f>
        <v>46320</v>
      </c>
      <c r="F18" s="139" t="str">
        <f t="shared" ca="1" si="0"/>
        <v>Pending</v>
      </c>
    </row>
    <row r="19" spans="1:6" ht="15" customHeight="1" x14ac:dyDescent="0.2">
      <c r="A19" s="139" t="s">
        <v>569</v>
      </c>
      <c r="B19" s="170" t="s">
        <v>698</v>
      </c>
      <c r="C19" s="139"/>
      <c r="D19" s="139"/>
      <c r="E19" s="172">
        <f>IFERROR(INDEX(Journal!$A:$A,MATCH($A19,Journal!$B:$B,0)),"")</f>
        <v>46387</v>
      </c>
      <c r="F19" s="139" t="str">
        <f t="shared" ca="1" si="0"/>
        <v>Pending</v>
      </c>
    </row>
    <row r="20" spans="1:6" ht="15" customHeight="1" x14ac:dyDescent="0.2">
      <c r="A20" s="139" t="s">
        <v>569</v>
      </c>
      <c r="B20" s="170" t="s">
        <v>699</v>
      </c>
      <c r="C20" s="139"/>
      <c r="D20" s="139"/>
      <c r="E20" s="172">
        <f>IFERROR(INDEX(Journal!$A:$A,MATCH($A20,Journal!$B:$B,0)),"")</f>
        <v>46387</v>
      </c>
      <c r="F20" s="139" t="str">
        <f t="shared" ca="1" si="0"/>
        <v>Pending</v>
      </c>
    </row>
    <row r="21" spans="1:6" ht="15" customHeight="1" x14ac:dyDescent="0.2">
      <c r="A21" s="139" t="s">
        <v>569</v>
      </c>
      <c r="B21" s="170" t="s">
        <v>700</v>
      </c>
      <c r="C21" s="139"/>
      <c r="D21" s="139"/>
      <c r="E21" s="172">
        <f>IFERROR(INDEX(Journal!$A:$A,MATCH($A21,Journal!$B:$B,0)),"")</f>
        <v>46387</v>
      </c>
      <c r="F21" s="139" t="str">
        <f t="shared" ca="1" si="0"/>
        <v>Pending</v>
      </c>
    </row>
    <row r="22" spans="1:6" ht="42" x14ac:dyDescent="0.2">
      <c r="A22" s="139" t="s">
        <v>569</v>
      </c>
      <c r="B22" s="170" t="s">
        <v>701</v>
      </c>
      <c r="C22" s="139"/>
      <c r="D22" s="139"/>
      <c r="E22" s="172">
        <f>IFERROR(INDEX(Journal!$A:$A,MATCH($A22,Journal!$B:$B,0)),"")</f>
        <v>46387</v>
      </c>
      <c r="F22" s="139" t="str">
        <f t="shared" ca="1" si="0"/>
        <v>Pending</v>
      </c>
    </row>
    <row r="23" spans="1:6" ht="15" customHeight="1" x14ac:dyDescent="0.2">
      <c r="A23" s="139" t="s">
        <v>569</v>
      </c>
      <c r="B23" s="170" t="s">
        <v>702</v>
      </c>
      <c r="C23" s="139"/>
      <c r="D23" s="139"/>
      <c r="E23" s="172">
        <f>IFERROR(INDEX(Journal!$A:$A,MATCH($A23,Journal!$B:$B,0)),"")</f>
        <v>46387</v>
      </c>
      <c r="F23" s="139" t="str">
        <f t="shared" ca="1" si="0"/>
        <v>Pending</v>
      </c>
    </row>
    <row r="24" spans="1:6" ht="15" customHeight="1" x14ac:dyDescent="0.2">
      <c r="A24" s="139" t="s">
        <v>569</v>
      </c>
      <c r="B24" s="170" t="s">
        <v>703</v>
      </c>
      <c r="C24" s="139"/>
      <c r="D24" s="139"/>
      <c r="E24" s="172">
        <f>IFERROR(INDEX(Journal!$A:$A,MATCH($A24,Journal!$B:$B,0)),"")</f>
        <v>46387</v>
      </c>
      <c r="F24" s="139" t="str">
        <f t="shared" ca="1" si="0"/>
        <v>Pending</v>
      </c>
    </row>
    <row r="25" spans="1:6" ht="15" customHeight="1" x14ac:dyDescent="0.2">
      <c r="A25" s="139" t="s">
        <v>569</v>
      </c>
      <c r="B25" s="170" t="s">
        <v>704</v>
      </c>
      <c r="C25" s="139"/>
      <c r="D25" s="139"/>
      <c r="E25" s="172">
        <f>IFERROR(INDEX(Journal!$A:$A,MATCH($A25,Journal!$B:$B,0)),"")</f>
        <v>46387</v>
      </c>
      <c r="F25" s="139" t="str">
        <f t="shared" ca="1" si="0"/>
        <v>Pending</v>
      </c>
    </row>
    <row r="26" spans="1:6" ht="15" customHeight="1" x14ac:dyDescent="0.2">
      <c r="A26" s="139" t="s">
        <v>571</v>
      </c>
      <c r="B26" s="170" t="s">
        <v>708</v>
      </c>
      <c r="C26" s="139"/>
      <c r="D26" s="139"/>
      <c r="E26" s="172">
        <f>IFERROR(INDEX(Journal!$A:$A,MATCH($A26,Journal!$B:$B,0)),"")</f>
        <v>46412</v>
      </c>
      <c r="F26" s="139" t="str">
        <f t="shared" ca="1" si="0"/>
        <v>Pending</v>
      </c>
    </row>
    <row r="27" spans="1:6" ht="28" x14ac:dyDescent="0.2">
      <c r="A27" s="139" t="s">
        <v>571</v>
      </c>
      <c r="B27" s="170" t="s">
        <v>709</v>
      </c>
      <c r="C27" s="139"/>
      <c r="D27" s="139"/>
      <c r="E27" s="172">
        <f>IFERROR(INDEX(Journal!$A:$A,MATCH($A27,Journal!$B:$B,0)),"")</f>
        <v>46412</v>
      </c>
      <c r="F27" s="139" t="str">
        <f t="shared" ca="1" si="0"/>
        <v>Pending</v>
      </c>
    </row>
    <row r="28" spans="1:6" ht="42" x14ac:dyDescent="0.2">
      <c r="A28" s="139" t="s">
        <v>571</v>
      </c>
      <c r="B28" s="170" t="s">
        <v>701</v>
      </c>
      <c r="C28" s="139"/>
      <c r="D28" s="139"/>
      <c r="E28" s="172">
        <f>IFERROR(INDEX(Journal!$A:$A,MATCH($A28,Journal!$B:$B,0)),"")</f>
        <v>46412</v>
      </c>
      <c r="F28" s="139" t="str">
        <f t="shared" ca="1" si="0"/>
        <v>Pending</v>
      </c>
    </row>
    <row r="29" spans="1:6" ht="15" customHeight="1" x14ac:dyDescent="0.2">
      <c r="A29" s="139" t="s">
        <v>571</v>
      </c>
      <c r="B29" s="170" t="s">
        <v>702</v>
      </c>
      <c r="C29" s="139"/>
      <c r="D29" s="139"/>
      <c r="E29" s="172">
        <f>IFERROR(INDEX(Journal!$A:$A,MATCH($A29,Journal!$B:$B,0)),"")</f>
        <v>46412</v>
      </c>
      <c r="F29" s="139" t="str">
        <f t="shared" ca="1" si="0"/>
        <v>Pending</v>
      </c>
    </row>
    <row r="30" spans="1:6" ht="15" customHeight="1" x14ac:dyDescent="0.2">
      <c r="A30" s="139" t="s">
        <v>571</v>
      </c>
      <c r="B30" s="170" t="s">
        <v>703</v>
      </c>
      <c r="C30" s="139"/>
      <c r="D30" s="139"/>
      <c r="E30" s="172">
        <f>IFERROR(INDEX(Journal!$A:$A,MATCH($A30,Journal!$B:$B,0)),"")</f>
        <v>46412</v>
      </c>
      <c r="F30" s="139" t="str">
        <f t="shared" ca="1" si="0"/>
        <v>Pending</v>
      </c>
    </row>
    <row r="31" spans="1:6" ht="15" customHeight="1" x14ac:dyDescent="0.2">
      <c r="A31" s="139" t="s">
        <v>571</v>
      </c>
      <c r="B31" s="170" t="s">
        <v>704</v>
      </c>
      <c r="C31" s="139"/>
      <c r="D31" s="139"/>
      <c r="E31" s="172">
        <f>IFERROR(INDEX(Journal!$A:$A,MATCH($A31,Journal!$B:$B,0)),"")</f>
        <v>46412</v>
      </c>
      <c r="F31" s="139" t="str">
        <f t="shared" ca="1" si="0"/>
        <v>Pending</v>
      </c>
    </row>
    <row r="32" spans="1:6" ht="15" customHeight="1" x14ac:dyDescent="0.2">
      <c r="A32" s="139" t="s">
        <v>612</v>
      </c>
      <c r="B32" s="170" t="s">
        <v>710</v>
      </c>
      <c r="C32" s="139" t="s">
        <v>214</v>
      </c>
      <c r="D32" s="171">
        <v>46295</v>
      </c>
      <c r="E32" s="172">
        <f>IFERROR(INDEX(Journal!$A:$A,MATCH($A32,Journal!$B:$B,0)),"")</f>
        <v>46295</v>
      </c>
      <c r="F32" s="139" t="str">
        <f t="shared" ca="1" si="0"/>
        <v>Done</v>
      </c>
    </row>
    <row r="33" spans="1:6" ht="15" customHeight="1" x14ac:dyDescent="0.2">
      <c r="A33" s="139" t="s">
        <v>612</v>
      </c>
      <c r="B33" s="170" t="s">
        <v>711</v>
      </c>
      <c r="C33" s="139" t="s">
        <v>214</v>
      </c>
      <c r="D33" s="171">
        <v>46295</v>
      </c>
      <c r="E33" s="172">
        <f>IFERROR(INDEX(Journal!$A:$A,MATCH($A33,Journal!$B:$B,0)),"")</f>
        <v>46295</v>
      </c>
      <c r="F33" s="139" t="str">
        <f t="shared" ca="1" si="0"/>
        <v>Done</v>
      </c>
    </row>
    <row r="34" spans="1:6" ht="45.75" customHeight="1" x14ac:dyDescent="0.2">
      <c r="A34" s="139" t="s">
        <v>612</v>
      </c>
      <c r="B34" s="170" t="s">
        <v>712</v>
      </c>
      <c r="C34" s="139" t="s">
        <v>214</v>
      </c>
      <c r="D34" s="171">
        <v>46295</v>
      </c>
      <c r="E34" s="172">
        <f>IFERROR(INDEX(Journal!$A:$A,MATCH($A34,Journal!$B:$B,0)),"")</f>
        <v>46295</v>
      </c>
      <c r="F34" s="139" t="str">
        <f t="shared" ca="1" si="0"/>
        <v>Done</v>
      </c>
    </row>
    <row r="35" spans="1:6" ht="15" customHeight="1" x14ac:dyDescent="0.2">
      <c r="A35" s="139" t="s">
        <v>612</v>
      </c>
      <c r="B35" s="170" t="s">
        <v>713</v>
      </c>
      <c r="C35" s="139" t="s">
        <v>214</v>
      </c>
      <c r="D35" s="171">
        <v>46295</v>
      </c>
      <c r="E35" s="172">
        <f>IFERROR(INDEX(Journal!$A:$A,MATCH($A35,Journal!$B:$B,0)),"")</f>
        <v>46295</v>
      </c>
      <c r="F35" s="139" t="str">
        <f t="shared" ca="1" si="0"/>
        <v>Done</v>
      </c>
    </row>
    <row r="36" spans="1:6" ht="42" x14ac:dyDescent="0.2">
      <c r="A36" s="139" t="s">
        <v>612</v>
      </c>
      <c r="B36" s="170" t="s">
        <v>714</v>
      </c>
      <c r="C36" s="139" t="s">
        <v>214</v>
      </c>
      <c r="D36" s="171">
        <v>46295</v>
      </c>
      <c r="E36" s="172">
        <f>IFERROR(INDEX(Journal!$A:$A,MATCH($A36,Journal!$B:$B,0)),"")</f>
        <v>46295</v>
      </c>
      <c r="F36" s="139" t="str">
        <f t="shared" ca="1" si="0"/>
        <v>Done</v>
      </c>
    </row>
    <row r="37" spans="1:6" ht="15" customHeight="1" x14ac:dyDescent="0.2">
      <c r="A37" s="139" t="s">
        <v>612</v>
      </c>
      <c r="B37" s="170" t="s">
        <v>715</v>
      </c>
      <c r="C37" s="139" t="s">
        <v>214</v>
      </c>
      <c r="D37" s="171">
        <v>46295</v>
      </c>
      <c r="E37" s="172">
        <f>IFERROR(INDEX(Journal!$A:$A,MATCH($A37,Journal!$B:$B,0)),"")</f>
        <v>46295</v>
      </c>
      <c r="F37" s="139" t="str">
        <f t="shared" ref="F37:F68" ca="1" si="1">IF(C37="Y","Done",IF(AND(E37&lt;&gt;"",TODAY()&gt;E37),"OVERDUE","Pending"))</f>
        <v>Done</v>
      </c>
    </row>
    <row r="38" spans="1:6" ht="15" customHeight="1" x14ac:dyDescent="0.2">
      <c r="A38" s="139" t="s">
        <v>612</v>
      </c>
      <c r="B38" s="170" t="s">
        <v>702</v>
      </c>
      <c r="C38" s="139" t="s">
        <v>214</v>
      </c>
      <c r="D38" s="171">
        <v>46295</v>
      </c>
      <c r="E38" s="172">
        <f>IFERROR(INDEX(Journal!$A:$A,MATCH($A38,Journal!$B:$B,0)),"")</f>
        <v>46295</v>
      </c>
      <c r="F38" s="139" t="str">
        <f t="shared" ca="1" si="1"/>
        <v>Done</v>
      </c>
    </row>
    <row r="39" spans="1:6" ht="15" customHeight="1" x14ac:dyDescent="0.2">
      <c r="A39" s="139" t="s">
        <v>612</v>
      </c>
      <c r="B39" s="170" t="s">
        <v>703</v>
      </c>
      <c r="C39" s="139" t="s">
        <v>214</v>
      </c>
      <c r="D39" s="171">
        <v>46295</v>
      </c>
      <c r="E39" s="172">
        <f>IFERROR(INDEX(Journal!$A:$A,MATCH($A39,Journal!$B:$B,0)),"")</f>
        <v>46295</v>
      </c>
      <c r="F39" s="139" t="str">
        <f t="shared" ca="1" si="1"/>
        <v>Done</v>
      </c>
    </row>
    <row r="40" spans="1:6" ht="15" customHeight="1" x14ac:dyDescent="0.2">
      <c r="A40" s="139" t="s">
        <v>612</v>
      </c>
      <c r="B40" s="170" t="s">
        <v>704</v>
      </c>
      <c r="C40" s="139" t="s">
        <v>214</v>
      </c>
      <c r="D40" s="171">
        <v>46295</v>
      </c>
      <c r="E40" s="172">
        <f>IFERROR(INDEX(Journal!$A:$A,MATCH($A40,Journal!$B:$B,0)),"")</f>
        <v>46295</v>
      </c>
      <c r="F40" s="139" t="str">
        <f t="shared" ca="1" si="1"/>
        <v>Done</v>
      </c>
    </row>
    <row r="41" spans="1:6" ht="15" customHeight="1" x14ac:dyDescent="0.2">
      <c r="A41" s="139" t="s">
        <v>614</v>
      </c>
      <c r="B41" s="170" t="s">
        <v>710</v>
      </c>
      <c r="C41" s="139"/>
      <c r="D41" s="139"/>
      <c r="E41" s="172">
        <f>IFERROR(INDEX(Journal!$A:$A,MATCH($A41,Journal!$B:$B,0)),"")</f>
        <v>46302</v>
      </c>
      <c r="F41" s="139" t="str">
        <f t="shared" ca="1" si="1"/>
        <v>Pending</v>
      </c>
    </row>
    <row r="42" spans="1:6" ht="15" customHeight="1" x14ac:dyDescent="0.2">
      <c r="A42" s="139" t="s">
        <v>614</v>
      </c>
      <c r="B42" s="170" t="s">
        <v>711</v>
      </c>
      <c r="C42" s="139"/>
      <c r="D42" s="139"/>
      <c r="E42" s="172">
        <f>IFERROR(INDEX(Journal!$A:$A,MATCH($A42,Journal!$B:$B,0)),"")</f>
        <v>46302</v>
      </c>
      <c r="F42" s="139" t="str">
        <f t="shared" ca="1" si="1"/>
        <v>Pending</v>
      </c>
    </row>
    <row r="43" spans="1:6" ht="45.75" customHeight="1" x14ac:dyDescent="0.2">
      <c r="A43" s="139" t="s">
        <v>614</v>
      </c>
      <c r="B43" s="170" t="s">
        <v>712</v>
      </c>
      <c r="C43" s="139"/>
      <c r="D43" s="139"/>
      <c r="E43" s="172">
        <f>IFERROR(INDEX(Journal!$A:$A,MATCH($A43,Journal!$B:$B,0)),"")</f>
        <v>46302</v>
      </c>
      <c r="F43" s="139" t="str">
        <f t="shared" ca="1" si="1"/>
        <v>Pending</v>
      </c>
    </row>
    <row r="44" spans="1:6" ht="15" customHeight="1" x14ac:dyDescent="0.2">
      <c r="A44" s="139" t="s">
        <v>614</v>
      </c>
      <c r="B44" s="170" t="s">
        <v>713</v>
      </c>
      <c r="C44" s="139"/>
      <c r="D44" s="139"/>
      <c r="E44" s="172">
        <f>IFERROR(INDEX(Journal!$A:$A,MATCH($A44,Journal!$B:$B,0)),"")</f>
        <v>46302</v>
      </c>
      <c r="F44" s="139" t="str">
        <f t="shared" ca="1" si="1"/>
        <v>Pending</v>
      </c>
    </row>
    <row r="45" spans="1:6" ht="42" x14ac:dyDescent="0.2">
      <c r="A45" s="139" t="s">
        <v>614</v>
      </c>
      <c r="B45" s="170" t="s">
        <v>714</v>
      </c>
      <c r="C45" s="139"/>
      <c r="D45" s="139"/>
      <c r="E45" s="172">
        <f>IFERROR(INDEX(Journal!$A:$A,MATCH($A45,Journal!$B:$B,0)),"")</f>
        <v>46302</v>
      </c>
      <c r="F45" s="139" t="str">
        <f t="shared" ca="1" si="1"/>
        <v>Pending</v>
      </c>
    </row>
    <row r="46" spans="1:6" ht="42" x14ac:dyDescent="0.2">
      <c r="A46" s="139" t="s">
        <v>614</v>
      </c>
      <c r="B46" s="170" t="s">
        <v>716</v>
      </c>
      <c r="C46" s="139"/>
      <c r="D46" s="139"/>
      <c r="E46" s="172">
        <f>IFERROR(INDEX(Journal!$A:$A,MATCH($A46,Journal!$B:$B,0)),"")</f>
        <v>46302</v>
      </c>
      <c r="F46" s="139" t="str">
        <f t="shared" ca="1" si="1"/>
        <v>Pending</v>
      </c>
    </row>
    <row r="47" spans="1:6" ht="42" x14ac:dyDescent="0.2">
      <c r="A47" s="139" t="s">
        <v>614</v>
      </c>
      <c r="B47" s="170" t="s">
        <v>717</v>
      </c>
      <c r="C47" s="139"/>
      <c r="D47" s="139"/>
      <c r="E47" s="172">
        <f>IFERROR(INDEX(Journal!$A:$A,MATCH($A47,Journal!$B:$B,0)),"")</f>
        <v>46302</v>
      </c>
      <c r="F47" s="139" t="str">
        <f t="shared" ca="1" si="1"/>
        <v>Pending</v>
      </c>
    </row>
    <row r="48" spans="1:6" ht="15" customHeight="1" x14ac:dyDescent="0.2">
      <c r="A48" s="139" t="s">
        <v>614</v>
      </c>
      <c r="B48" s="170" t="s">
        <v>715</v>
      </c>
      <c r="C48" s="139"/>
      <c r="D48" s="139"/>
      <c r="E48" s="172">
        <f>IFERROR(INDEX(Journal!$A:$A,MATCH($A48,Journal!$B:$B,0)),"")</f>
        <v>46302</v>
      </c>
      <c r="F48" s="139" t="str">
        <f t="shared" ca="1" si="1"/>
        <v>Pending</v>
      </c>
    </row>
    <row r="49" spans="1:6" ht="15" customHeight="1" x14ac:dyDescent="0.2">
      <c r="A49" s="139" t="s">
        <v>614</v>
      </c>
      <c r="B49" s="170" t="s">
        <v>702</v>
      </c>
      <c r="C49" s="139"/>
      <c r="D49" s="139"/>
      <c r="E49" s="172">
        <f>IFERROR(INDEX(Journal!$A:$A,MATCH($A49,Journal!$B:$B,0)),"")</f>
        <v>46302</v>
      </c>
      <c r="F49" s="139" t="str">
        <f t="shared" ca="1" si="1"/>
        <v>Pending</v>
      </c>
    </row>
    <row r="50" spans="1:6" ht="15" customHeight="1" x14ac:dyDescent="0.2">
      <c r="A50" s="139" t="s">
        <v>614</v>
      </c>
      <c r="B50" s="170" t="s">
        <v>703</v>
      </c>
      <c r="C50" s="139"/>
      <c r="D50" s="139"/>
      <c r="E50" s="172">
        <f>IFERROR(INDEX(Journal!$A:$A,MATCH($A50,Journal!$B:$B,0)),"")</f>
        <v>46302</v>
      </c>
      <c r="F50" s="139" t="str">
        <f t="shared" ca="1" si="1"/>
        <v>Pending</v>
      </c>
    </row>
    <row r="51" spans="1:6" ht="15" customHeight="1" x14ac:dyDescent="0.2">
      <c r="A51" s="139" t="s">
        <v>614</v>
      </c>
      <c r="B51" s="170" t="s">
        <v>704</v>
      </c>
      <c r="C51" s="139"/>
      <c r="D51" s="139"/>
      <c r="E51" s="172">
        <f>IFERROR(INDEX(Journal!$A:$A,MATCH($A51,Journal!$B:$B,0)),"")</f>
        <v>46302</v>
      </c>
      <c r="F51" s="139" t="str">
        <f t="shared" ca="1" si="1"/>
        <v>Pending</v>
      </c>
    </row>
    <row r="52" spans="1:6" ht="15" customHeight="1" x14ac:dyDescent="0.2">
      <c r="A52" s="139" t="s">
        <v>616</v>
      </c>
      <c r="B52" s="170" t="s">
        <v>710</v>
      </c>
      <c r="C52" s="139"/>
      <c r="D52" s="139"/>
      <c r="E52" s="172">
        <f>IFERROR(INDEX(Journal!$A:$A,MATCH($A52,Journal!$B:$B,0)),"")</f>
        <v>46317</v>
      </c>
      <c r="F52" s="139" t="str">
        <f t="shared" ca="1" si="1"/>
        <v>Pending</v>
      </c>
    </row>
    <row r="53" spans="1:6" ht="15" customHeight="1" x14ac:dyDescent="0.2">
      <c r="A53" s="139" t="s">
        <v>616</v>
      </c>
      <c r="B53" s="170" t="s">
        <v>711</v>
      </c>
      <c r="C53" s="139"/>
      <c r="D53" s="139"/>
      <c r="E53" s="172">
        <f>IFERROR(INDEX(Journal!$A:$A,MATCH($A53,Journal!$B:$B,0)),"")</f>
        <v>46317</v>
      </c>
      <c r="F53" s="139" t="str">
        <f t="shared" ca="1" si="1"/>
        <v>Pending</v>
      </c>
    </row>
    <row r="54" spans="1:6" ht="45.75" customHeight="1" x14ac:dyDescent="0.2">
      <c r="A54" s="139" t="s">
        <v>616</v>
      </c>
      <c r="B54" s="170" t="s">
        <v>712</v>
      </c>
      <c r="C54" s="139"/>
      <c r="D54" s="139"/>
      <c r="E54" s="172">
        <f>IFERROR(INDEX(Journal!$A:$A,MATCH($A54,Journal!$B:$B,0)),"")</f>
        <v>46317</v>
      </c>
      <c r="F54" s="139" t="str">
        <f t="shared" ca="1" si="1"/>
        <v>Pending</v>
      </c>
    </row>
    <row r="55" spans="1:6" ht="15" customHeight="1" x14ac:dyDescent="0.2">
      <c r="A55" s="139" t="s">
        <v>616</v>
      </c>
      <c r="B55" s="170" t="s">
        <v>713</v>
      </c>
      <c r="C55" s="139"/>
      <c r="D55" s="139"/>
      <c r="E55" s="172">
        <f>IFERROR(INDEX(Journal!$A:$A,MATCH($A55,Journal!$B:$B,0)),"")</f>
        <v>46317</v>
      </c>
      <c r="F55" s="139" t="str">
        <f t="shared" ca="1" si="1"/>
        <v>Pending</v>
      </c>
    </row>
    <row r="56" spans="1:6" ht="42" x14ac:dyDescent="0.2">
      <c r="A56" s="139" t="s">
        <v>616</v>
      </c>
      <c r="B56" s="170" t="s">
        <v>714</v>
      </c>
      <c r="C56" s="139"/>
      <c r="D56" s="139"/>
      <c r="E56" s="172">
        <f>IFERROR(INDEX(Journal!$A:$A,MATCH($A56,Journal!$B:$B,0)),"")</f>
        <v>46317</v>
      </c>
      <c r="F56" s="139" t="str">
        <f t="shared" ca="1" si="1"/>
        <v>Pending</v>
      </c>
    </row>
    <row r="57" spans="1:6" ht="42" x14ac:dyDescent="0.2">
      <c r="A57" s="139" t="s">
        <v>616</v>
      </c>
      <c r="B57" s="170" t="s">
        <v>716</v>
      </c>
      <c r="C57" s="139"/>
      <c r="D57" s="139"/>
      <c r="E57" s="172">
        <f>IFERROR(INDEX(Journal!$A:$A,MATCH($A57,Journal!$B:$B,0)),"")</f>
        <v>46317</v>
      </c>
      <c r="F57" s="139" t="str">
        <f t="shared" ca="1" si="1"/>
        <v>Pending</v>
      </c>
    </row>
    <row r="58" spans="1:6" ht="42" x14ac:dyDescent="0.2">
      <c r="A58" s="139" t="s">
        <v>616</v>
      </c>
      <c r="B58" s="170" t="s">
        <v>717</v>
      </c>
      <c r="C58" s="139"/>
      <c r="D58" s="139"/>
      <c r="E58" s="172">
        <f>IFERROR(INDEX(Journal!$A:$A,MATCH($A58,Journal!$B:$B,0)),"")</f>
        <v>46317</v>
      </c>
      <c r="F58" s="139" t="str">
        <f t="shared" ca="1" si="1"/>
        <v>Pending</v>
      </c>
    </row>
    <row r="59" spans="1:6" ht="15" customHeight="1" x14ac:dyDescent="0.2">
      <c r="A59" s="139" t="s">
        <v>616</v>
      </c>
      <c r="B59" s="170" t="s">
        <v>715</v>
      </c>
      <c r="C59" s="139"/>
      <c r="D59" s="139"/>
      <c r="E59" s="172">
        <f>IFERROR(INDEX(Journal!$A:$A,MATCH($A59,Journal!$B:$B,0)),"")</f>
        <v>46317</v>
      </c>
      <c r="F59" s="139" t="str">
        <f t="shared" ca="1" si="1"/>
        <v>Pending</v>
      </c>
    </row>
    <row r="60" spans="1:6" ht="15" customHeight="1" x14ac:dyDescent="0.2">
      <c r="A60" s="139" t="s">
        <v>616</v>
      </c>
      <c r="B60" s="170" t="s">
        <v>702</v>
      </c>
      <c r="C60" s="139"/>
      <c r="D60" s="139"/>
      <c r="E60" s="172">
        <f>IFERROR(INDEX(Journal!$A:$A,MATCH($A60,Journal!$B:$B,0)),"")</f>
        <v>46317</v>
      </c>
      <c r="F60" s="139" t="str">
        <f t="shared" ca="1" si="1"/>
        <v>Pending</v>
      </c>
    </row>
    <row r="61" spans="1:6" ht="15" customHeight="1" x14ac:dyDescent="0.2">
      <c r="A61" s="139" t="s">
        <v>616</v>
      </c>
      <c r="B61" s="170" t="s">
        <v>703</v>
      </c>
      <c r="C61" s="139"/>
      <c r="D61" s="139"/>
      <c r="E61" s="172">
        <f>IFERROR(INDEX(Journal!$A:$A,MATCH($A61,Journal!$B:$B,0)),"")</f>
        <v>46317</v>
      </c>
      <c r="F61" s="139" t="str">
        <f t="shared" ca="1" si="1"/>
        <v>Pending</v>
      </c>
    </row>
    <row r="62" spans="1:6" ht="15" customHeight="1" x14ac:dyDescent="0.2">
      <c r="A62" s="139" t="s">
        <v>616</v>
      </c>
      <c r="B62" s="170" t="s">
        <v>704</v>
      </c>
      <c r="C62" s="139"/>
      <c r="D62" s="139"/>
      <c r="E62" s="172">
        <f>IFERROR(INDEX(Journal!$A:$A,MATCH($A62,Journal!$B:$B,0)),"")</f>
        <v>46317</v>
      </c>
      <c r="F62" s="139" t="str">
        <f t="shared" ca="1" si="1"/>
        <v>Pending</v>
      </c>
    </row>
    <row r="63" spans="1:6" ht="15" customHeight="1" x14ac:dyDescent="0.2">
      <c r="A63" s="139" t="s">
        <v>618</v>
      </c>
      <c r="B63" s="170" t="s">
        <v>710</v>
      </c>
      <c r="C63" s="139"/>
      <c r="D63" s="139"/>
      <c r="E63" s="172">
        <f>IFERROR(INDEX(Journal!$A:$A,MATCH($A63,Journal!$B:$B,0)),"")</f>
        <v>46335</v>
      </c>
      <c r="F63" s="139" t="str">
        <f t="shared" ca="1" si="1"/>
        <v>Pending</v>
      </c>
    </row>
    <row r="64" spans="1:6" ht="15" customHeight="1" x14ac:dyDescent="0.2">
      <c r="A64" s="139" t="s">
        <v>618</v>
      </c>
      <c r="B64" s="170" t="s">
        <v>711</v>
      </c>
      <c r="C64" s="139"/>
      <c r="D64" s="139"/>
      <c r="E64" s="172">
        <f>IFERROR(INDEX(Journal!$A:$A,MATCH($A64,Journal!$B:$B,0)),"")</f>
        <v>46335</v>
      </c>
      <c r="F64" s="139" t="str">
        <f t="shared" ca="1" si="1"/>
        <v>Pending</v>
      </c>
    </row>
    <row r="65" spans="1:6" ht="45.75" customHeight="1" x14ac:dyDescent="0.2">
      <c r="A65" s="139" t="s">
        <v>618</v>
      </c>
      <c r="B65" s="170" t="s">
        <v>712</v>
      </c>
      <c r="C65" s="139"/>
      <c r="D65" s="139"/>
      <c r="E65" s="172">
        <f>IFERROR(INDEX(Journal!$A:$A,MATCH($A65,Journal!$B:$B,0)),"")</f>
        <v>46335</v>
      </c>
      <c r="F65" s="139" t="str">
        <f t="shared" ca="1" si="1"/>
        <v>Pending</v>
      </c>
    </row>
    <row r="66" spans="1:6" ht="15" customHeight="1" x14ac:dyDescent="0.2">
      <c r="A66" s="139" t="s">
        <v>618</v>
      </c>
      <c r="B66" s="170" t="s">
        <v>713</v>
      </c>
      <c r="C66" s="139"/>
      <c r="D66" s="139"/>
      <c r="E66" s="172">
        <f>IFERROR(INDEX(Journal!$A:$A,MATCH($A66,Journal!$B:$B,0)),"")</f>
        <v>46335</v>
      </c>
      <c r="F66" s="139" t="str">
        <f t="shared" ca="1" si="1"/>
        <v>Pending</v>
      </c>
    </row>
    <row r="67" spans="1:6" ht="42" x14ac:dyDescent="0.2">
      <c r="A67" s="139" t="s">
        <v>618</v>
      </c>
      <c r="B67" s="170" t="s">
        <v>714</v>
      </c>
      <c r="C67" s="139"/>
      <c r="D67" s="139"/>
      <c r="E67" s="172">
        <f>IFERROR(INDEX(Journal!$A:$A,MATCH($A67,Journal!$B:$B,0)),"")</f>
        <v>46335</v>
      </c>
      <c r="F67" s="139" t="str">
        <f t="shared" ca="1" si="1"/>
        <v>Pending</v>
      </c>
    </row>
    <row r="68" spans="1:6" ht="42" x14ac:dyDescent="0.2">
      <c r="A68" s="139" t="s">
        <v>618</v>
      </c>
      <c r="B68" s="170" t="s">
        <v>716</v>
      </c>
      <c r="C68" s="139"/>
      <c r="D68" s="139"/>
      <c r="E68" s="172">
        <f>IFERROR(INDEX(Journal!$A:$A,MATCH($A68,Journal!$B:$B,0)),"")</f>
        <v>46335</v>
      </c>
      <c r="F68" s="139" t="str">
        <f t="shared" ca="1" si="1"/>
        <v>Pending</v>
      </c>
    </row>
    <row r="69" spans="1:6" ht="42" x14ac:dyDescent="0.2">
      <c r="A69" s="139" t="s">
        <v>618</v>
      </c>
      <c r="B69" s="170" t="s">
        <v>717</v>
      </c>
      <c r="C69" s="139"/>
      <c r="D69" s="139"/>
      <c r="E69" s="172">
        <f>IFERROR(INDEX(Journal!$A:$A,MATCH($A69,Journal!$B:$B,0)),"")</f>
        <v>46335</v>
      </c>
      <c r="F69" s="139" t="str">
        <f t="shared" ref="F69:F100" ca="1" si="2">IF(C69="Y","Done",IF(AND(E69&lt;&gt;"",TODAY()&gt;E69),"OVERDUE","Pending"))</f>
        <v>Pending</v>
      </c>
    </row>
    <row r="70" spans="1:6" ht="15" customHeight="1" x14ac:dyDescent="0.2">
      <c r="A70" s="139" t="s">
        <v>618</v>
      </c>
      <c r="B70" s="170" t="s">
        <v>715</v>
      </c>
      <c r="C70" s="139"/>
      <c r="D70" s="139"/>
      <c r="E70" s="172">
        <f>IFERROR(INDEX(Journal!$A:$A,MATCH($A70,Journal!$B:$B,0)),"")</f>
        <v>46335</v>
      </c>
      <c r="F70" s="139" t="str">
        <f t="shared" ca="1" si="2"/>
        <v>Pending</v>
      </c>
    </row>
    <row r="71" spans="1:6" ht="15" customHeight="1" x14ac:dyDescent="0.2">
      <c r="A71" s="139" t="s">
        <v>618</v>
      </c>
      <c r="B71" s="170" t="s">
        <v>702</v>
      </c>
      <c r="C71" s="139"/>
      <c r="D71" s="139"/>
      <c r="E71" s="172">
        <f>IFERROR(INDEX(Journal!$A:$A,MATCH($A71,Journal!$B:$B,0)),"")</f>
        <v>46335</v>
      </c>
      <c r="F71" s="139" t="str">
        <f t="shared" ca="1" si="2"/>
        <v>Pending</v>
      </c>
    </row>
    <row r="72" spans="1:6" ht="15" customHeight="1" x14ac:dyDescent="0.2">
      <c r="A72" s="139" t="s">
        <v>618</v>
      </c>
      <c r="B72" s="170" t="s">
        <v>703</v>
      </c>
      <c r="C72" s="139"/>
      <c r="D72" s="139"/>
      <c r="E72" s="172">
        <f>IFERROR(INDEX(Journal!$A:$A,MATCH($A72,Journal!$B:$B,0)),"")</f>
        <v>46335</v>
      </c>
      <c r="F72" s="139" t="str">
        <f t="shared" ca="1" si="2"/>
        <v>Pending</v>
      </c>
    </row>
    <row r="73" spans="1:6" ht="15" customHeight="1" x14ac:dyDescent="0.2">
      <c r="A73" s="139" t="s">
        <v>618</v>
      </c>
      <c r="B73" s="170" t="s">
        <v>704</v>
      </c>
      <c r="C73" s="139"/>
      <c r="D73" s="139"/>
      <c r="E73" s="172">
        <f>IFERROR(INDEX(Journal!$A:$A,MATCH($A73,Journal!$B:$B,0)),"")</f>
        <v>46335</v>
      </c>
      <c r="F73" s="139" t="str">
        <f t="shared" ca="1" si="2"/>
        <v>Pending</v>
      </c>
    </row>
    <row r="74" spans="1:6" ht="15" customHeight="1" x14ac:dyDescent="0.2">
      <c r="A74" s="139" t="s">
        <v>620</v>
      </c>
      <c r="B74" s="170" t="s">
        <v>710</v>
      </c>
      <c r="C74" s="139"/>
      <c r="D74" s="139"/>
      <c r="E74" s="172">
        <f>IFERROR(INDEX(Journal!$A:$A,MATCH($A74,Journal!$B:$B,0)),"")</f>
        <v>46349</v>
      </c>
      <c r="F74" s="139" t="str">
        <f t="shared" ca="1" si="2"/>
        <v>Pending</v>
      </c>
    </row>
    <row r="75" spans="1:6" ht="15" customHeight="1" x14ac:dyDescent="0.2">
      <c r="A75" s="139" t="s">
        <v>620</v>
      </c>
      <c r="B75" s="170" t="s">
        <v>711</v>
      </c>
      <c r="C75" s="139"/>
      <c r="D75" s="139"/>
      <c r="E75" s="172">
        <f>IFERROR(INDEX(Journal!$A:$A,MATCH($A75,Journal!$B:$B,0)),"")</f>
        <v>46349</v>
      </c>
      <c r="F75" s="139" t="str">
        <f t="shared" ca="1" si="2"/>
        <v>Pending</v>
      </c>
    </row>
    <row r="76" spans="1:6" ht="45.75" customHeight="1" x14ac:dyDescent="0.2">
      <c r="A76" s="139" t="s">
        <v>620</v>
      </c>
      <c r="B76" s="170" t="s">
        <v>712</v>
      </c>
      <c r="C76" s="139"/>
      <c r="D76" s="139"/>
      <c r="E76" s="172">
        <f>IFERROR(INDEX(Journal!$A:$A,MATCH($A76,Journal!$B:$B,0)),"")</f>
        <v>46349</v>
      </c>
      <c r="F76" s="139" t="str">
        <f t="shared" ca="1" si="2"/>
        <v>Pending</v>
      </c>
    </row>
    <row r="77" spans="1:6" ht="15" customHeight="1" x14ac:dyDescent="0.2">
      <c r="A77" s="139" t="s">
        <v>620</v>
      </c>
      <c r="B77" s="170" t="s">
        <v>713</v>
      </c>
      <c r="C77" s="139"/>
      <c r="D77" s="139"/>
      <c r="E77" s="172">
        <f>IFERROR(INDEX(Journal!$A:$A,MATCH($A77,Journal!$B:$B,0)),"")</f>
        <v>46349</v>
      </c>
      <c r="F77" s="139" t="str">
        <f t="shared" ca="1" si="2"/>
        <v>Pending</v>
      </c>
    </row>
    <row r="78" spans="1:6" ht="42" x14ac:dyDescent="0.2">
      <c r="A78" s="139" t="s">
        <v>620</v>
      </c>
      <c r="B78" s="170" t="s">
        <v>714</v>
      </c>
      <c r="C78" s="139"/>
      <c r="D78" s="139"/>
      <c r="E78" s="172">
        <f>IFERROR(INDEX(Journal!$A:$A,MATCH($A78,Journal!$B:$B,0)),"")</f>
        <v>46349</v>
      </c>
      <c r="F78" s="139" t="str">
        <f t="shared" ca="1" si="2"/>
        <v>Pending</v>
      </c>
    </row>
    <row r="79" spans="1:6" ht="42" x14ac:dyDescent="0.2">
      <c r="A79" s="139" t="s">
        <v>620</v>
      </c>
      <c r="B79" s="170" t="s">
        <v>716</v>
      </c>
      <c r="C79" s="139"/>
      <c r="D79" s="139"/>
      <c r="E79" s="172">
        <f>IFERROR(INDEX(Journal!$A:$A,MATCH($A79,Journal!$B:$B,0)),"")</f>
        <v>46349</v>
      </c>
      <c r="F79" s="139" t="str">
        <f t="shared" ca="1" si="2"/>
        <v>Pending</v>
      </c>
    </row>
    <row r="80" spans="1:6" ht="42" x14ac:dyDescent="0.2">
      <c r="A80" s="139" t="s">
        <v>620</v>
      </c>
      <c r="B80" s="170" t="s">
        <v>717</v>
      </c>
      <c r="C80" s="139"/>
      <c r="D80" s="139"/>
      <c r="E80" s="172">
        <f>IFERROR(INDEX(Journal!$A:$A,MATCH($A80,Journal!$B:$B,0)),"")</f>
        <v>46349</v>
      </c>
      <c r="F80" s="139" t="str">
        <f t="shared" ca="1" si="2"/>
        <v>Pending</v>
      </c>
    </row>
    <row r="81" spans="1:6" ht="15" customHeight="1" x14ac:dyDescent="0.2">
      <c r="A81" s="139" t="s">
        <v>620</v>
      </c>
      <c r="B81" s="170" t="s">
        <v>715</v>
      </c>
      <c r="C81" s="139"/>
      <c r="D81" s="139"/>
      <c r="E81" s="172">
        <f>IFERROR(INDEX(Journal!$A:$A,MATCH($A81,Journal!$B:$B,0)),"")</f>
        <v>46349</v>
      </c>
      <c r="F81" s="139" t="str">
        <f t="shared" ca="1" si="2"/>
        <v>Pending</v>
      </c>
    </row>
    <row r="82" spans="1:6" ht="15" customHeight="1" x14ac:dyDescent="0.2">
      <c r="A82" s="139" t="s">
        <v>620</v>
      </c>
      <c r="B82" s="170" t="s">
        <v>702</v>
      </c>
      <c r="C82" s="139"/>
      <c r="D82" s="139"/>
      <c r="E82" s="172">
        <f>IFERROR(INDEX(Journal!$A:$A,MATCH($A82,Journal!$B:$B,0)),"")</f>
        <v>46349</v>
      </c>
      <c r="F82" s="139" t="str">
        <f t="shared" ca="1" si="2"/>
        <v>Pending</v>
      </c>
    </row>
    <row r="83" spans="1:6" ht="15" customHeight="1" x14ac:dyDescent="0.2">
      <c r="A83" s="139" t="s">
        <v>620</v>
      </c>
      <c r="B83" s="170" t="s">
        <v>703</v>
      </c>
      <c r="C83" s="139"/>
      <c r="D83" s="139"/>
      <c r="E83" s="172">
        <f>IFERROR(INDEX(Journal!$A:$A,MATCH($A83,Journal!$B:$B,0)),"")</f>
        <v>46349</v>
      </c>
      <c r="F83" s="139" t="str">
        <f t="shared" ca="1" si="2"/>
        <v>Pending</v>
      </c>
    </row>
    <row r="84" spans="1:6" ht="15" customHeight="1" x14ac:dyDescent="0.2">
      <c r="A84" s="139" t="s">
        <v>620</v>
      </c>
      <c r="B84" s="170" t="s">
        <v>704</v>
      </c>
      <c r="C84" s="139"/>
      <c r="D84" s="139"/>
      <c r="E84" s="172">
        <f>IFERROR(INDEX(Journal!$A:$A,MATCH($A84,Journal!$B:$B,0)),"")</f>
        <v>46349</v>
      </c>
      <c r="F84" s="139" t="str">
        <f t="shared" ca="1" si="2"/>
        <v>Pending</v>
      </c>
    </row>
    <row r="85" spans="1:6" ht="15" customHeight="1" x14ac:dyDescent="0.2">
      <c r="A85" s="139" t="s">
        <v>622</v>
      </c>
      <c r="B85" s="170" t="s">
        <v>710</v>
      </c>
      <c r="C85" s="139"/>
      <c r="D85" s="139"/>
      <c r="E85" s="172">
        <f>IFERROR(INDEX(Journal!$A:$A,MATCH($A85,Journal!$B:$B,0)),"")</f>
        <v>46363</v>
      </c>
      <c r="F85" s="139" t="str">
        <f t="shared" ca="1" si="2"/>
        <v>Pending</v>
      </c>
    </row>
    <row r="86" spans="1:6" ht="15" customHeight="1" x14ac:dyDescent="0.2">
      <c r="A86" s="139" t="s">
        <v>622</v>
      </c>
      <c r="B86" s="170" t="s">
        <v>711</v>
      </c>
      <c r="C86" s="139"/>
      <c r="D86" s="139"/>
      <c r="E86" s="172">
        <f>IFERROR(INDEX(Journal!$A:$A,MATCH($A86,Journal!$B:$B,0)),"")</f>
        <v>46363</v>
      </c>
      <c r="F86" s="139" t="str">
        <f t="shared" ca="1" si="2"/>
        <v>Pending</v>
      </c>
    </row>
    <row r="87" spans="1:6" ht="45.75" customHeight="1" x14ac:dyDescent="0.2">
      <c r="A87" s="139" t="s">
        <v>622</v>
      </c>
      <c r="B87" s="170" t="s">
        <v>712</v>
      </c>
      <c r="C87" s="139"/>
      <c r="D87" s="139"/>
      <c r="E87" s="172">
        <f>IFERROR(INDEX(Journal!$A:$A,MATCH($A87,Journal!$B:$B,0)),"")</f>
        <v>46363</v>
      </c>
      <c r="F87" s="139" t="str">
        <f t="shared" ca="1" si="2"/>
        <v>Pending</v>
      </c>
    </row>
    <row r="88" spans="1:6" ht="15" customHeight="1" x14ac:dyDescent="0.2">
      <c r="A88" s="139" t="s">
        <v>622</v>
      </c>
      <c r="B88" s="170" t="s">
        <v>713</v>
      </c>
      <c r="C88" s="139"/>
      <c r="D88" s="139"/>
      <c r="E88" s="172">
        <f>IFERROR(INDEX(Journal!$A:$A,MATCH($A88,Journal!$B:$B,0)),"")</f>
        <v>46363</v>
      </c>
      <c r="F88" s="139" t="str">
        <f t="shared" ca="1" si="2"/>
        <v>Pending</v>
      </c>
    </row>
    <row r="89" spans="1:6" ht="34.5" customHeight="1" x14ac:dyDescent="0.2">
      <c r="A89" s="139" t="s">
        <v>622</v>
      </c>
      <c r="B89" s="170" t="s">
        <v>714</v>
      </c>
      <c r="C89" s="139"/>
      <c r="D89" s="139"/>
      <c r="E89" s="172">
        <f>IFERROR(INDEX(Journal!$A:$A,MATCH($A89,Journal!$B:$B,0)),"")</f>
        <v>46363</v>
      </c>
      <c r="F89" s="139" t="str">
        <f t="shared" ca="1" si="2"/>
        <v>Pending</v>
      </c>
    </row>
    <row r="90" spans="1:6" ht="42" x14ac:dyDescent="0.2">
      <c r="A90" s="139" t="s">
        <v>622</v>
      </c>
      <c r="B90" s="170" t="s">
        <v>716</v>
      </c>
      <c r="C90" s="139"/>
      <c r="D90" s="139"/>
      <c r="E90" s="172">
        <f>IFERROR(INDEX(Journal!$A:$A,MATCH($A90,Journal!$B:$B,0)),"")</f>
        <v>46363</v>
      </c>
      <c r="F90" s="139" t="str">
        <f t="shared" ca="1" si="2"/>
        <v>Pending</v>
      </c>
    </row>
    <row r="91" spans="1:6" ht="42" x14ac:dyDescent="0.2">
      <c r="A91" s="139" t="s">
        <v>622</v>
      </c>
      <c r="B91" s="170" t="s">
        <v>717</v>
      </c>
      <c r="C91" s="139"/>
      <c r="D91" s="139"/>
      <c r="E91" s="172">
        <f>IFERROR(INDEX(Journal!$A:$A,MATCH($A91,Journal!$B:$B,0)),"")</f>
        <v>46363</v>
      </c>
      <c r="F91" s="139" t="str">
        <f t="shared" ca="1" si="2"/>
        <v>Pending</v>
      </c>
    </row>
    <row r="92" spans="1:6" x14ac:dyDescent="0.2">
      <c r="A92" s="139" t="s">
        <v>622</v>
      </c>
      <c r="B92" s="170" t="s">
        <v>715</v>
      </c>
      <c r="C92" s="139"/>
      <c r="D92" s="139"/>
      <c r="E92" s="172">
        <f>IFERROR(INDEX(Journal!$A:$A,MATCH($A92,Journal!$B:$B,0)),"")</f>
        <v>46363</v>
      </c>
      <c r="F92" s="139" t="str">
        <f t="shared" ca="1" si="2"/>
        <v>Pending</v>
      </c>
    </row>
    <row r="93" spans="1:6" x14ac:dyDescent="0.2">
      <c r="A93" s="139" t="s">
        <v>622</v>
      </c>
      <c r="B93" s="170" t="s">
        <v>702</v>
      </c>
      <c r="C93" s="139"/>
      <c r="D93" s="139"/>
      <c r="E93" s="172">
        <f>IFERROR(INDEX(Journal!$A:$A,MATCH($A93,Journal!$B:$B,0)),"")</f>
        <v>46363</v>
      </c>
      <c r="F93" s="139" t="str">
        <f t="shared" ca="1" si="2"/>
        <v>Pending</v>
      </c>
    </row>
    <row r="94" spans="1:6" x14ac:dyDescent="0.2">
      <c r="A94" s="139" t="s">
        <v>622</v>
      </c>
      <c r="B94" s="170" t="s">
        <v>703</v>
      </c>
      <c r="C94" s="139"/>
      <c r="D94" s="139"/>
      <c r="E94" s="172">
        <f>IFERROR(INDEX(Journal!$A:$A,MATCH($A94,Journal!$B:$B,0)),"")</f>
        <v>46363</v>
      </c>
      <c r="F94" s="139" t="str">
        <f t="shared" ca="1" si="2"/>
        <v>Pending</v>
      </c>
    </row>
    <row r="95" spans="1:6" x14ac:dyDescent="0.2">
      <c r="A95" s="139" t="s">
        <v>622</v>
      </c>
      <c r="B95" s="170" t="s">
        <v>704</v>
      </c>
      <c r="C95" s="139"/>
      <c r="D95" s="139"/>
      <c r="E95" s="172">
        <f>IFERROR(INDEX(Journal!$A:$A,MATCH($A95,Journal!$B:$B,0)),"")</f>
        <v>46363</v>
      </c>
      <c r="F95" s="139" t="str">
        <f t="shared" ca="1" si="2"/>
        <v>Pending</v>
      </c>
    </row>
    <row r="96" spans="1:6" x14ac:dyDescent="0.2">
      <c r="A96" s="139" t="s">
        <v>623</v>
      </c>
      <c r="B96" s="170" t="s">
        <v>710</v>
      </c>
      <c r="C96" s="139"/>
      <c r="D96" s="139"/>
      <c r="E96" s="172">
        <f>IFERROR(INDEX(Journal!$A:$A,MATCH($A96,Journal!$B:$B,0)),"")</f>
        <v>46378</v>
      </c>
      <c r="F96" s="139" t="str">
        <f t="shared" ca="1" si="2"/>
        <v>Pending</v>
      </c>
    </row>
    <row r="97" spans="1:6" x14ac:dyDescent="0.2">
      <c r="A97" s="139" t="s">
        <v>623</v>
      </c>
      <c r="B97" s="170" t="s">
        <v>711</v>
      </c>
      <c r="C97" s="139"/>
      <c r="D97" s="139"/>
      <c r="E97" s="172">
        <f>IFERROR(INDEX(Journal!$A:$A,MATCH($A97,Journal!$B:$B,0)),"")</f>
        <v>46378</v>
      </c>
      <c r="F97" s="139" t="str">
        <f t="shared" ca="1" si="2"/>
        <v>Pending</v>
      </c>
    </row>
    <row r="98" spans="1:6" ht="42" x14ac:dyDescent="0.2">
      <c r="A98" s="139" t="s">
        <v>623</v>
      </c>
      <c r="B98" s="170" t="s">
        <v>712</v>
      </c>
      <c r="C98" s="139"/>
      <c r="D98" s="139"/>
      <c r="E98" s="172">
        <f>IFERROR(INDEX(Journal!$A:$A,MATCH($A98,Journal!$B:$B,0)),"")</f>
        <v>46378</v>
      </c>
      <c r="F98" s="139" t="str">
        <f t="shared" ca="1" si="2"/>
        <v>Pending</v>
      </c>
    </row>
    <row r="99" spans="1:6" x14ac:dyDescent="0.2">
      <c r="A99" s="139" t="s">
        <v>623</v>
      </c>
      <c r="B99" s="170" t="s">
        <v>713</v>
      </c>
      <c r="C99" s="139"/>
      <c r="D99" s="139"/>
      <c r="E99" s="172">
        <f>IFERROR(INDEX(Journal!$A:$A,MATCH($A99,Journal!$B:$B,0)),"")</f>
        <v>46378</v>
      </c>
      <c r="F99" s="139" t="str">
        <f t="shared" ca="1" si="2"/>
        <v>Pending</v>
      </c>
    </row>
    <row r="100" spans="1:6" ht="42" x14ac:dyDescent="0.2">
      <c r="A100" s="139" t="s">
        <v>623</v>
      </c>
      <c r="B100" s="170" t="s">
        <v>714</v>
      </c>
      <c r="C100" s="139"/>
      <c r="D100" s="139"/>
      <c r="E100" s="172">
        <f>IFERROR(INDEX(Journal!$A:$A,MATCH($A100,Journal!$B:$B,0)),"")</f>
        <v>46378</v>
      </c>
      <c r="F100" s="139" t="str">
        <f t="shared" ca="1" si="2"/>
        <v>Pending</v>
      </c>
    </row>
    <row r="101" spans="1:6" ht="42" x14ac:dyDescent="0.2">
      <c r="A101" s="139" t="s">
        <v>623</v>
      </c>
      <c r="B101" s="170" t="s">
        <v>716</v>
      </c>
      <c r="C101" s="139"/>
      <c r="D101" s="139"/>
      <c r="E101" s="172">
        <f>IFERROR(INDEX(Journal!$A:$A,MATCH($A101,Journal!$B:$B,0)),"")</f>
        <v>46378</v>
      </c>
      <c r="F101" s="139" t="str">
        <f t="shared" ref="F101:F132" ca="1" si="3">IF(C101="Y","Done",IF(AND(E101&lt;&gt;"",TODAY()&gt;E101),"OVERDUE","Pending"))</f>
        <v>Pending</v>
      </c>
    </row>
    <row r="102" spans="1:6" ht="42" x14ac:dyDescent="0.2">
      <c r="A102" s="139" t="s">
        <v>623</v>
      </c>
      <c r="B102" s="170" t="s">
        <v>717</v>
      </c>
      <c r="C102" s="139"/>
      <c r="D102" s="139"/>
      <c r="E102" s="172">
        <f>IFERROR(INDEX(Journal!$A:$A,MATCH($A102,Journal!$B:$B,0)),"")</f>
        <v>46378</v>
      </c>
      <c r="F102" s="139" t="str">
        <f t="shared" ca="1" si="3"/>
        <v>Pending</v>
      </c>
    </row>
    <row r="103" spans="1:6" x14ac:dyDescent="0.2">
      <c r="A103" s="139" t="s">
        <v>623</v>
      </c>
      <c r="B103" s="170" t="s">
        <v>715</v>
      </c>
      <c r="C103" s="139"/>
      <c r="D103" s="139"/>
      <c r="E103" s="172">
        <f>IFERROR(INDEX(Journal!$A:$A,MATCH($A103,Journal!$B:$B,0)),"")</f>
        <v>46378</v>
      </c>
      <c r="F103" s="139" t="str">
        <f t="shared" ca="1" si="3"/>
        <v>Pending</v>
      </c>
    </row>
    <row r="104" spans="1:6" x14ac:dyDescent="0.2">
      <c r="A104" s="139" t="s">
        <v>623</v>
      </c>
      <c r="B104" s="170" t="s">
        <v>702</v>
      </c>
      <c r="C104" s="139"/>
      <c r="D104" s="139"/>
      <c r="E104" s="172">
        <f>IFERROR(INDEX(Journal!$A:$A,MATCH($A104,Journal!$B:$B,0)),"")</f>
        <v>46378</v>
      </c>
      <c r="F104" s="139" t="str">
        <f t="shared" ca="1" si="3"/>
        <v>Pending</v>
      </c>
    </row>
    <row r="105" spans="1:6" x14ac:dyDescent="0.2">
      <c r="A105" s="139" t="s">
        <v>623</v>
      </c>
      <c r="B105" s="170" t="s">
        <v>703</v>
      </c>
      <c r="C105" s="139"/>
      <c r="D105" s="139"/>
      <c r="E105" s="172">
        <f>IFERROR(INDEX(Journal!$A:$A,MATCH($A105,Journal!$B:$B,0)),"")</f>
        <v>46378</v>
      </c>
      <c r="F105" s="139" t="str">
        <f t="shared" ca="1" si="3"/>
        <v>Pending</v>
      </c>
    </row>
    <row r="106" spans="1:6" x14ac:dyDescent="0.2">
      <c r="A106" s="139" t="s">
        <v>623</v>
      </c>
      <c r="B106" s="170" t="s">
        <v>704</v>
      </c>
      <c r="C106" s="139"/>
      <c r="D106" s="139"/>
      <c r="E106" s="172">
        <f>IFERROR(INDEX(Journal!$A:$A,MATCH($A106,Journal!$B:$B,0)),"")</f>
        <v>46378</v>
      </c>
      <c r="F106" s="139" t="str">
        <f t="shared" ca="1" si="3"/>
        <v>Pending</v>
      </c>
    </row>
    <row r="107" spans="1:6" x14ac:dyDescent="0.2">
      <c r="A107" s="139" t="s">
        <v>624</v>
      </c>
      <c r="B107" s="170" t="s">
        <v>710</v>
      </c>
      <c r="C107" s="139"/>
      <c r="D107" s="139"/>
      <c r="E107" s="172">
        <f>IFERROR(INDEX(Journal!$A:$A,MATCH($A107,Journal!$B:$B,0)),"")</f>
        <v>46394</v>
      </c>
      <c r="F107" s="139" t="str">
        <f t="shared" ca="1" si="3"/>
        <v>Pending</v>
      </c>
    </row>
    <row r="108" spans="1:6" x14ac:dyDescent="0.2">
      <c r="A108" s="139" t="s">
        <v>624</v>
      </c>
      <c r="B108" s="170" t="s">
        <v>711</v>
      </c>
      <c r="C108" s="139"/>
      <c r="D108" s="139"/>
      <c r="E108" s="172">
        <f>IFERROR(INDEX(Journal!$A:$A,MATCH($A108,Journal!$B:$B,0)),"")</f>
        <v>46394</v>
      </c>
      <c r="F108" s="139" t="str">
        <f t="shared" ca="1" si="3"/>
        <v>Pending</v>
      </c>
    </row>
    <row r="109" spans="1:6" ht="42" x14ac:dyDescent="0.2">
      <c r="A109" s="139" t="s">
        <v>624</v>
      </c>
      <c r="B109" s="170" t="s">
        <v>712</v>
      </c>
      <c r="C109" s="139"/>
      <c r="D109" s="139"/>
      <c r="E109" s="172">
        <f>IFERROR(INDEX(Journal!$A:$A,MATCH($A109,Journal!$B:$B,0)),"")</f>
        <v>46394</v>
      </c>
      <c r="F109" s="139" t="str">
        <f t="shared" ca="1" si="3"/>
        <v>Pending</v>
      </c>
    </row>
    <row r="110" spans="1:6" x14ac:dyDescent="0.2">
      <c r="A110" s="139" t="s">
        <v>624</v>
      </c>
      <c r="B110" s="170" t="s">
        <v>713</v>
      </c>
      <c r="C110" s="139"/>
      <c r="D110" s="139"/>
      <c r="E110" s="172">
        <f>IFERROR(INDEX(Journal!$A:$A,MATCH($A110,Journal!$B:$B,0)),"")</f>
        <v>46394</v>
      </c>
      <c r="F110" s="139" t="str">
        <f t="shared" ca="1" si="3"/>
        <v>Pending</v>
      </c>
    </row>
    <row r="111" spans="1:6" ht="42" x14ac:dyDescent="0.2">
      <c r="A111" s="139" t="s">
        <v>624</v>
      </c>
      <c r="B111" s="170" t="s">
        <v>714</v>
      </c>
      <c r="C111" s="139"/>
      <c r="D111" s="139"/>
      <c r="E111" s="172">
        <f>IFERROR(INDEX(Journal!$A:$A,MATCH($A111,Journal!$B:$B,0)),"")</f>
        <v>46394</v>
      </c>
      <c r="F111" s="139" t="str">
        <f t="shared" ca="1" si="3"/>
        <v>Pending</v>
      </c>
    </row>
    <row r="112" spans="1:6" ht="42" x14ac:dyDescent="0.2">
      <c r="A112" s="139" t="s">
        <v>624</v>
      </c>
      <c r="B112" s="170" t="s">
        <v>716</v>
      </c>
      <c r="C112" s="139"/>
      <c r="D112" s="139"/>
      <c r="E112" s="172">
        <f>IFERROR(INDEX(Journal!$A:$A,MATCH($A112,Journal!$B:$B,0)),"")</f>
        <v>46394</v>
      </c>
      <c r="F112" s="139" t="str">
        <f t="shared" ca="1" si="3"/>
        <v>Pending</v>
      </c>
    </row>
    <row r="113" spans="1:6" ht="42" x14ac:dyDescent="0.2">
      <c r="A113" s="139" t="s">
        <v>624</v>
      </c>
      <c r="B113" s="170" t="s">
        <v>717</v>
      </c>
      <c r="C113" s="139"/>
      <c r="D113" s="139"/>
      <c r="E113" s="172">
        <f>IFERROR(INDEX(Journal!$A:$A,MATCH($A113,Journal!$B:$B,0)),"")</f>
        <v>46394</v>
      </c>
      <c r="F113" s="139" t="str">
        <f t="shared" ca="1" si="3"/>
        <v>Pending</v>
      </c>
    </row>
    <row r="114" spans="1:6" x14ac:dyDescent="0.2">
      <c r="A114" s="139" t="s">
        <v>624</v>
      </c>
      <c r="B114" s="170" t="s">
        <v>715</v>
      </c>
      <c r="C114" s="139"/>
      <c r="D114" s="139"/>
      <c r="E114" s="172">
        <f>IFERROR(INDEX(Journal!$A:$A,MATCH($A114,Journal!$B:$B,0)),"")</f>
        <v>46394</v>
      </c>
      <c r="F114" s="139" t="str">
        <f t="shared" ca="1" si="3"/>
        <v>Pending</v>
      </c>
    </row>
    <row r="115" spans="1:6" x14ac:dyDescent="0.2">
      <c r="A115" s="139" t="s">
        <v>624</v>
      </c>
      <c r="B115" s="170" t="s">
        <v>702</v>
      </c>
      <c r="C115" s="139"/>
      <c r="D115" s="139"/>
      <c r="E115" s="172">
        <f>IFERROR(INDEX(Journal!$A:$A,MATCH($A115,Journal!$B:$B,0)),"")</f>
        <v>46394</v>
      </c>
      <c r="F115" s="139" t="str">
        <f t="shared" ca="1" si="3"/>
        <v>Pending</v>
      </c>
    </row>
    <row r="116" spans="1:6" x14ac:dyDescent="0.2">
      <c r="A116" s="139" t="s">
        <v>624</v>
      </c>
      <c r="B116" s="170" t="s">
        <v>703</v>
      </c>
      <c r="C116" s="139"/>
      <c r="D116" s="139"/>
      <c r="E116" s="172">
        <f>IFERROR(INDEX(Journal!$A:$A,MATCH($A116,Journal!$B:$B,0)),"")</f>
        <v>46394</v>
      </c>
      <c r="F116" s="139" t="str">
        <f t="shared" ca="1" si="3"/>
        <v>Pending</v>
      </c>
    </row>
    <row r="117" spans="1:6" x14ac:dyDescent="0.2">
      <c r="A117" s="139" t="s">
        <v>624</v>
      </c>
      <c r="B117" s="170" t="s">
        <v>704</v>
      </c>
      <c r="C117" s="139"/>
      <c r="D117" s="139"/>
      <c r="E117" s="172">
        <f>IFERROR(INDEX(Journal!$A:$A,MATCH($A117,Journal!$B:$B,0)),"")</f>
        <v>46394</v>
      </c>
      <c r="F117" s="139" t="str">
        <f t="shared" ca="1" si="3"/>
        <v>Pending</v>
      </c>
    </row>
  </sheetData>
  <mergeCells count="1">
    <mergeCell ref="A1:F1"/>
  </mergeCells>
  <conditionalFormatting sqref="C2">
    <cfRule type="cellIs" dxfId="32" priority="4" operator="greaterThan">
      <formula>0</formula>
    </cfRule>
  </conditionalFormatting>
  <conditionalFormatting sqref="F5:F117">
    <cfRule type="cellIs" dxfId="31" priority="2" operator="equal">
      <formula>"OVERDUE"</formula>
    </cfRule>
    <cfRule type="cellIs" dxfId="30" priority="3" operator="equal">
      <formula>"Done"</formula>
    </cfRule>
  </conditionalFormatting>
  <pageMargins left="0.25" right="0.25" top="0.3" bottom="0.4" header="0.511811023622047" footer="0.17013888888888901"/>
  <pageSetup orientation="portrait" horizontalDpi="300" verticalDpi="300"/>
  <headerFooter>
    <oddFooter>&amp;L&amp;"Arial Narrow,Regular"&amp;8 &amp;F&amp;C&amp;"Arial Narrow,Regular"&amp;8 &amp;A - &amp;D &amp;T&amp;R&amp;"Arial,Regular" &amp;P / &amp;N</oddFooter>
  </headerFooter>
  <legacyDrawing r:id="rId1"/>
  <tableParts count="1">
    <tablePart r:id="rId2"/>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305"/>
  <sheetViews>
    <sheetView showGridLines="0" zoomScaleNormal="100" workbookViewId="0">
      <pane xSplit="1" ySplit="4" topLeftCell="B5" activePane="bottomRight" state="frozen"/>
      <selection pane="topRight" activeCell="B1" sqref="B1"/>
      <selection pane="bottomLeft" activeCell="A8" sqref="A8"/>
      <selection pane="bottomRight" activeCell="E2" sqref="E1:E1048576"/>
    </sheetView>
  </sheetViews>
  <sheetFormatPr baseColWidth="10" defaultColWidth="8.6640625" defaultRowHeight="14" x14ac:dyDescent="0.15"/>
  <cols>
    <col min="1" max="1" width="5" style="226" customWidth="1"/>
    <col min="2" max="2" width="80" style="225" customWidth="1"/>
    <col min="3" max="3" width="9" style="225" customWidth="1"/>
    <col min="4" max="4" width="12" style="225" customWidth="1"/>
    <col min="5" max="5" width="16.83203125" style="226" customWidth="1"/>
    <col min="6" max="6" width="75.83203125" style="241" customWidth="1"/>
    <col min="7" max="16384" width="8.6640625" style="225"/>
  </cols>
  <sheetData>
    <row r="1" spans="1:6" x14ac:dyDescent="0.15">
      <c r="A1" s="235" t="s">
        <v>718</v>
      </c>
      <c r="B1" s="235"/>
      <c r="C1" s="235"/>
      <c r="D1" s="235"/>
      <c r="E1" s="235"/>
      <c r="F1" s="235"/>
    </row>
    <row r="2" spans="1:6" x14ac:dyDescent="0.15">
      <c r="A2" s="236" t="s">
        <v>719</v>
      </c>
      <c r="B2" s="237"/>
      <c r="C2" s="238">
        <f>SUMPRODUCT(($A$5:$A$200&lt;&gt;"")*($C$5:$C$200&lt;&gt;"Y"))</f>
        <v>23</v>
      </c>
      <c r="D2" s="237"/>
      <c r="F2" s="240"/>
    </row>
    <row r="3" spans="1:6" x14ac:dyDescent="0.15">
      <c r="A3" s="237"/>
      <c r="B3" s="237"/>
      <c r="C3" s="237"/>
      <c r="D3" s="237"/>
      <c r="F3" s="240"/>
    </row>
    <row r="4" spans="1:6" ht="34" x14ac:dyDescent="0.15">
      <c r="A4" s="227" t="s">
        <v>720</v>
      </c>
      <c r="B4" s="227" t="s">
        <v>721</v>
      </c>
      <c r="C4" s="227" t="s">
        <v>695</v>
      </c>
      <c r="D4" s="227" t="s">
        <v>722</v>
      </c>
      <c r="E4" s="227" t="s">
        <v>723</v>
      </c>
      <c r="F4" s="227" t="s">
        <v>210</v>
      </c>
    </row>
    <row r="5" spans="1:6" ht="28" x14ac:dyDescent="0.15">
      <c r="A5" s="228">
        <v>1</v>
      </c>
      <c r="B5" s="229" t="s">
        <v>724</v>
      </c>
      <c r="C5" s="228" t="s">
        <v>214</v>
      </c>
      <c r="D5" s="230">
        <v>46276</v>
      </c>
      <c r="E5" s="230">
        <v>46276</v>
      </c>
      <c r="F5" s="229" t="s">
        <v>725</v>
      </c>
    </row>
    <row r="6" spans="1:6" ht="28" x14ac:dyDescent="0.15">
      <c r="A6" s="228">
        <v>2</v>
      </c>
      <c r="B6" s="229" t="s">
        <v>726</v>
      </c>
      <c r="C6" s="228" t="s">
        <v>214</v>
      </c>
      <c r="D6" s="230">
        <v>46276</v>
      </c>
      <c r="E6" s="230">
        <v>46276</v>
      </c>
      <c r="F6" s="229" t="s">
        <v>727</v>
      </c>
    </row>
    <row r="7" spans="1:6" ht="28" x14ac:dyDescent="0.15">
      <c r="A7" s="228">
        <v>3</v>
      </c>
      <c r="B7" s="229" t="s">
        <v>728</v>
      </c>
      <c r="C7" s="228" t="s">
        <v>214</v>
      </c>
      <c r="D7" s="230">
        <v>46260</v>
      </c>
      <c r="E7" s="230">
        <v>46278</v>
      </c>
      <c r="F7" s="229" t="s">
        <v>729</v>
      </c>
    </row>
    <row r="8" spans="1:6" ht="28" x14ac:dyDescent="0.15">
      <c r="A8" s="228">
        <v>4</v>
      </c>
      <c r="B8" s="229" t="s">
        <v>730</v>
      </c>
      <c r="C8" s="228"/>
      <c r="D8" s="230">
        <v>46273</v>
      </c>
      <c r="E8" s="230"/>
      <c r="F8" s="229"/>
    </row>
    <row r="9" spans="1:6" ht="28" x14ac:dyDescent="0.15">
      <c r="A9" s="228">
        <v>5</v>
      </c>
      <c r="B9" s="229" t="s">
        <v>731</v>
      </c>
      <c r="C9" s="228"/>
      <c r="D9" s="230">
        <v>46273</v>
      </c>
      <c r="E9" s="230"/>
      <c r="F9" s="229"/>
    </row>
    <row r="10" spans="1:6" ht="28" x14ac:dyDescent="0.15">
      <c r="A10" s="228">
        <v>6</v>
      </c>
      <c r="B10" s="229" t="s">
        <v>732</v>
      </c>
      <c r="C10" s="228"/>
      <c r="D10" s="230">
        <v>46273</v>
      </c>
      <c r="E10" s="230"/>
      <c r="F10" s="229"/>
    </row>
    <row r="11" spans="1:6" ht="28" x14ac:dyDescent="0.15">
      <c r="A11" s="228">
        <v>7</v>
      </c>
      <c r="B11" s="229" t="s">
        <v>733</v>
      </c>
      <c r="C11" s="228" t="s">
        <v>214</v>
      </c>
      <c r="D11" s="230">
        <v>46258</v>
      </c>
      <c r="E11" s="230">
        <v>46278</v>
      </c>
      <c r="F11" s="229" t="s">
        <v>734</v>
      </c>
    </row>
    <row r="12" spans="1:6" ht="28" x14ac:dyDescent="0.15">
      <c r="A12" s="228">
        <v>8</v>
      </c>
      <c r="B12" s="229" t="s">
        <v>735</v>
      </c>
      <c r="C12" s="228"/>
      <c r="D12" s="230">
        <v>46252</v>
      </c>
      <c r="E12" s="230"/>
      <c r="F12" s="229"/>
    </row>
    <row r="13" spans="1:6" ht="42" x14ac:dyDescent="0.15">
      <c r="A13" s="228">
        <v>9</v>
      </c>
      <c r="B13" s="229" t="s">
        <v>736</v>
      </c>
      <c r="C13" s="228"/>
      <c r="D13" s="230">
        <v>46276</v>
      </c>
      <c r="E13" s="230"/>
      <c r="F13" s="229" t="s">
        <v>737</v>
      </c>
    </row>
    <row r="14" spans="1:6" ht="28" x14ac:dyDescent="0.15">
      <c r="A14" s="228">
        <v>10</v>
      </c>
      <c r="B14" s="229" t="s">
        <v>738</v>
      </c>
      <c r="C14" s="228"/>
      <c r="D14" s="230">
        <v>46260</v>
      </c>
      <c r="E14" s="230"/>
      <c r="F14" s="229"/>
    </row>
    <row r="15" spans="1:6" ht="56" x14ac:dyDescent="0.15">
      <c r="A15" s="228">
        <v>11</v>
      </c>
      <c r="B15" s="229" t="s">
        <v>739</v>
      </c>
      <c r="C15" s="228"/>
      <c r="D15" s="230">
        <v>46276</v>
      </c>
      <c r="E15" s="228"/>
      <c r="F15" s="229" t="s">
        <v>740</v>
      </c>
    </row>
    <row r="16" spans="1:6" ht="45" x14ac:dyDescent="0.15">
      <c r="A16" s="228">
        <v>12</v>
      </c>
      <c r="B16" s="229" t="s">
        <v>741</v>
      </c>
      <c r="C16" s="231" t="s">
        <v>214</v>
      </c>
      <c r="D16" s="232">
        <v>46278</v>
      </c>
      <c r="E16" s="233">
        <v>46278</v>
      </c>
      <c r="F16" s="239" t="s">
        <v>742</v>
      </c>
    </row>
    <row r="17" spans="1:6" ht="56" x14ac:dyDescent="0.15">
      <c r="A17" s="228">
        <v>13</v>
      </c>
      <c r="B17" s="229" t="s">
        <v>743</v>
      </c>
      <c r="C17" s="231"/>
      <c r="D17" s="232">
        <v>46294</v>
      </c>
      <c r="E17" s="234"/>
      <c r="F17" s="239"/>
    </row>
    <row r="18" spans="1:6" ht="105" x14ac:dyDescent="0.15">
      <c r="A18" s="228">
        <v>14</v>
      </c>
      <c r="B18" s="229" t="s">
        <v>744</v>
      </c>
      <c r="C18" s="231"/>
      <c r="D18" s="232">
        <v>46295</v>
      </c>
      <c r="E18" s="234"/>
      <c r="F18" s="239" t="s">
        <v>745</v>
      </c>
    </row>
    <row r="19" spans="1:6" ht="42" x14ac:dyDescent="0.15">
      <c r="A19" s="228">
        <v>15</v>
      </c>
      <c r="B19" s="229" t="s">
        <v>746</v>
      </c>
      <c r="C19" s="231"/>
      <c r="D19" s="232">
        <v>46295</v>
      </c>
      <c r="E19" s="234"/>
      <c r="F19" s="239" t="s">
        <v>747</v>
      </c>
    </row>
    <row r="20" spans="1:6" ht="28" x14ac:dyDescent="0.15">
      <c r="A20" s="228">
        <v>16</v>
      </c>
      <c r="B20" s="229" t="s">
        <v>748</v>
      </c>
      <c r="C20" s="231"/>
      <c r="D20" s="232">
        <v>46295</v>
      </c>
      <c r="E20" s="234"/>
      <c r="F20" s="239" t="s">
        <v>749</v>
      </c>
    </row>
    <row r="21" spans="1:6" ht="56" x14ac:dyDescent="0.15">
      <c r="A21" s="228">
        <v>17</v>
      </c>
      <c r="B21" s="229" t="s">
        <v>750</v>
      </c>
      <c r="C21" s="231"/>
      <c r="D21" s="232">
        <v>46296</v>
      </c>
      <c r="E21" s="234"/>
      <c r="F21" s="239" t="s">
        <v>751</v>
      </c>
    </row>
    <row r="22" spans="1:6" ht="70" x14ac:dyDescent="0.15">
      <c r="A22" s="228">
        <v>18</v>
      </c>
      <c r="B22" s="229" t="s">
        <v>752</v>
      </c>
      <c r="C22" s="231"/>
      <c r="D22" s="232">
        <v>46296</v>
      </c>
      <c r="E22" s="234"/>
      <c r="F22" s="239" t="s">
        <v>753</v>
      </c>
    </row>
    <row r="23" spans="1:6" ht="75" x14ac:dyDescent="0.15">
      <c r="A23" s="228">
        <v>19</v>
      </c>
      <c r="B23" s="229" t="s">
        <v>754</v>
      </c>
      <c r="C23" s="231"/>
      <c r="D23" s="232">
        <v>46297</v>
      </c>
      <c r="E23" s="234"/>
      <c r="F23" s="239" t="s">
        <v>755</v>
      </c>
    </row>
    <row r="24" spans="1:6" ht="165" x14ac:dyDescent="0.15">
      <c r="A24" s="228">
        <v>20</v>
      </c>
      <c r="B24" s="229" t="s">
        <v>756</v>
      </c>
      <c r="C24" s="231"/>
      <c r="D24" s="232">
        <v>46297</v>
      </c>
      <c r="E24" s="234"/>
      <c r="F24" s="239" t="s">
        <v>757</v>
      </c>
    </row>
    <row r="25" spans="1:6" ht="60" x14ac:dyDescent="0.15">
      <c r="A25" s="228">
        <v>21</v>
      </c>
      <c r="B25" s="229" t="s">
        <v>758</v>
      </c>
      <c r="C25" s="231"/>
      <c r="D25" s="232">
        <v>46297</v>
      </c>
      <c r="E25" s="234"/>
      <c r="F25" s="239" t="s">
        <v>759</v>
      </c>
    </row>
    <row r="26" spans="1:6" ht="56" x14ac:dyDescent="0.15">
      <c r="A26" s="228">
        <v>22</v>
      </c>
      <c r="B26" s="229" t="s">
        <v>760</v>
      </c>
      <c r="C26" s="231"/>
      <c r="D26" s="232">
        <v>46297</v>
      </c>
      <c r="E26" s="234"/>
      <c r="F26" s="239" t="s">
        <v>761</v>
      </c>
    </row>
    <row r="27" spans="1:6" ht="42" x14ac:dyDescent="0.15">
      <c r="A27" s="228">
        <v>23</v>
      </c>
      <c r="B27" s="229" t="s">
        <v>762</v>
      </c>
      <c r="C27" s="231"/>
      <c r="D27" s="232">
        <v>46297</v>
      </c>
      <c r="E27" s="234"/>
      <c r="F27" s="239" t="s">
        <v>763</v>
      </c>
    </row>
    <row r="28" spans="1:6" ht="60" x14ac:dyDescent="0.15">
      <c r="A28" s="228">
        <v>24</v>
      </c>
      <c r="B28" s="229" t="s">
        <v>764</v>
      </c>
      <c r="C28" s="231"/>
      <c r="D28" s="232">
        <v>46297</v>
      </c>
      <c r="E28" s="234"/>
      <c r="F28" s="239" t="s">
        <v>765</v>
      </c>
    </row>
    <row r="29" spans="1:6" ht="56" x14ac:dyDescent="0.15">
      <c r="A29" s="228">
        <v>25</v>
      </c>
      <c r="B29" s="229" t="s">
        <v>766</v>
      </c>
      <c r="C29" s="231"/>
      <c r="D29" s="232">
        <v>46299</v>
      </c>
      <c r="E29" s="234"/>
      <c r="F29" s="239" t="s">
        <v>767</v>
      </c>
    </row>
    <row r="30" spans="1:6" ht="30" x14ac:dyDescent="0.15">
      <c r="A30" s="228">
        <v>26</v>
      </c>
      <c r="B30" s="229" t="s">
        <v>768</v>
      </c>
      <c r="C30" s="231"/>
      <c r="D30" s="232">
        <v>46299</v>
      </c>
      <c r="E30" s="234"/>
      <c r="F30" s="239" t="s">
        <v>769</v>
      </c>
    </row>
    <row r="31" spans="1:6" ht="42" x14ac:dyDescent="0.15">
      <c r="A31" s="228">
        <v>27</v>
      </c>
      <c r="B31" s="229" t="s">
        <v>770</v>
      </c>
      <c r="C31" s="231"/>
      <c r="D31" s="232">
        <v>46299</v>
      </c>
      <c r="E31" s="234"/>
      <c r="F31" s="239" t="s">
        <v>771</v>
      </c>
    </row>
    <row r="32" spans="1:6" ht="70" x14ac:dyDescent="0.15">
      <c r="A32" s="228">
        <v>28</v>
      </c>
      <c r="B32" s="229" t="s">
        <v>772</v>
      </c>
      <c r="C32" s="231" t="s">
        <v>214</v>
      </c>
      <c r="D32" s="232">
        <v>46299</v>
      </c>
      <c r="E32" s="230">
        <v>46299</v>
      </c>
      <c r="F32" s="239" t="s">
        <v>773</v>
      </c>
    </row>
    <row r="33" spans="1:6" ht="182" x14ac:dyDescent="0.15">
      <c r="A33" s="228">
        <v>29</v>
      </c>
      <c r="B33" s="229" t="s">
        <v>774</v>
      </c>
      <c r="C33" s="231" t="s">
        <v>214</v>
      </c>
      <c r="D33" s="232">
        <v>46299</v>
      </c>
      <c r="E33" s="230">
        <v>46299</v>
      </c>
      <c r="F33" s="239" t="s">
        <v>775</v>
      </c>
    </row>
    <row r="34" spans="1:6" ht="70" x14ac:dyDescent="0.15">
      <c r="A34" s="228">
        <v>30</v>
      </c>
      <c r="B34" s="229" t="s">
        <v>776</v>
      </c>
      <c r="C34" s="231"/>
      <c r="D34" s="232">
        <v>46299</v>
      </c>
      <c r="E34" s="230"/>
      <c r="F34" s="239" t="s">
        <v>777</v>
      </c>
    </row>
    <row r="35" spans="1:6" x14ac:dyDescent="0.15">
      <c r="A35" s="234"/>
      <c r="B35" s="231"/>
      <c r="C35" s="231"/>
      <c r="D35" s="231"/>
      <c r="E35" s="234"/>
      <c r="F35" s="239"/>
    </row>
    <row r="36" spans="1:6" x14ac:dyDescent="0.15">
      <c r="A36" s="234"/>
      <c r="B36" s="231"/>
      <c r="C36" s="231"/>
      <c r="D36" s="231"/>
      <c r="E36" s="234"/>
      <c r="F36" s="239"/>
    </row>
    <row r="37" spans="1:6" x14ac:dyDescent="0.15">
      <c r="A37" s="234"/>
      <c r="B37" s="231"/>
      <c r="C37" s="231"/>
      <c r="D37" s="231"/>
      <c r="E37" s="234"/>
      <c r="F37" s="239"/>
    </row>
    <row r="38" spans="1:6" x14ac:dyDescent="0.15">
      <c r="A38" s="234"/>
      <c r="B38" s="231"/>
      <c r="C38" s="231"/>
      <c r="D38" s="231"/>
      <c r="E38" s="234"/>
      <c r="F38" s="239"/>
    </row>
    <row r="39" spans="1:6" x14ac:dyDescent="0.15">
      <c r="A39" s="234"/>
      <c r="B39" s="231"/>
      <c r="C39" s="231"/>
      <c r="D39" s="231"/>
      <c r="E39" s="234"/>
      <c r="F39" s="239"/>
    </row>
    <row r="40" spans="1:6" x14ac:dyDescent="0.15">
      <c r="A40" s="234"/>
      <c r="B40" s="231"/>
      <c r="C40" s="231"/>
      <c r="D40" s="231"/>
      <c r="E40" s="234"/>
      <c r="F40" s="239"/>
    </row>
    <row r="41" spans="1:6" x14ac:dyDescent="0.15">
      <c r="A41" s="234"/>
      <c r="B41" s="231"/>
      <c r="C41" s="231"/>
      <c r="D41" s="231"/>
      <c r="E41" s="234"/>
      <c r="F41" s="239"/>
    </row>
    <row r="42" spans="1:6" x14ac:dyDescent="0.15">
      <c r="A42" s="234"/>
      <c r="B42" s="231"/>
      <c r="C42" s="231"/>
      <c r="D42" s="231"/>
      <c r="E42" s="234"/>
      <c r="F42" s="239"/>
    </row>
    <row r="43" spans="1:6" x14ac:dyDescent="0.15">
      <c r="A43" s="234"/>
      <c r="B43" s="231"/>
      <c r="C43" s="231"/>
      <c r="D43" s="231"/>
      <c r="E43" s="234"/>
      <c r="F43" s="239"/>
    </row>
    <row r="44" spans="1:6" x14ac:dyDescent="0.15">
      <c r="A44" s="234"/>
      <c r="B44" s="231"/>
      <c r="C44" s="231"/>
      <c r="D44" s="231"/>
      <c r="E44" s="234"/>
      <c r="F44" s="239"/>
    </row>
    <row r="45" spans="1:6" x14ac:dyDescent="0.15">
      <c r="A45" s="234"/>
      <c r="B45" s="231"/>
      <c r="C45" s="231"/>
      <c r="D45" s="231"/>
      <c r="E45" s="234"/>
      <c r="F45" s="239"/>
    </row>
    <row r="46" spans="1:6" x14ac:dyDescent="0.15">
      <c r="A46" s="234"/>
      <c r="B46" s="231"/>
      <c r="C46" s="231"/>
      <c r="D46" s="231"/>
      <c r="E46" s="234"/>
      <c r="F46" s="239"/>
    </row>
    <row r="47" spans="1:6" x14ac:dyDescent="0.15">
      <c r="A47" s="234"/>
      <c r="B47" s="231"/>
      <c r="C47" s="231"/>
      <c r="D47" s="231"/>
      <c r="E47" s="234"/>
      <c r="F47" s="239"/>
    </row>
    <row r="48" spans="1:6" x14ac:dyDescent="0.15">
      <c r="A48" s="234"/>
      <c r="B48" s="231"/>
      <c r="C48" s="231"/>
      <c r="D48" s="231"/>
      <c r="E48" s="234"/>
      <c r="F48" s="239"/>
    </row>
    <row r="49" spans="1:6" x14ac:dyDescent="0.15">
      <c r="A49" s="234"/>
      <c r="B49" s="231"/>
      <c r="C49" s="231"/>
      <c r="D49" s="231"/>
      <c r="E49" s="234"/>
      <c r="F49" s="239"/>
    </row>
    <row r="50" spans="1:6" x14ac:dyDescent="0.15">
      <c r="A50" s="234"/>
      <c r="B50" s="231"/>
      <c r="C50" s="231"/>
      <c r="D50" s="231"/>
      <c r="E50" s="234"/>
      <c r="F50" s="239"/>
    </row>
    <row r="51" spans="1:6" x14ac:dyDescent="0.15">
      <c r="A51" s="234"/>
      <c r="B51" s="231"/>
      <c r="C51" s="231"/>
      <c r="D51" s="231"/>
      <c r="E51" s="234"/>
      <c r="F51" s="239"/>
    </row>
    <row r="52" spans="1:6" x14ac:dyDescent="0.15">
      <c r="A52" s="234"/>
      <c r="B52" s="231"/>
      <c r="C52" s="231"/>
      <c r="D52" s="231"/>
      <c r="E52" s="234"/>
      <c r="F52" s="239"/>
    </row>
    <row r="53" spans="1:6" x14ac:dyDescent="0.15">
      <c r="A53" s="234"/>
      <c r="B53" s="231"/>
      <c r="C53" s="231"/>
      <c r="D53" s="231"/>
      <c r="E53" s="234"/>
      <c r="F53" s="239"/>
    </row>
    <row r="54" spans="1:6" x14ac:dyDescent="0.15">
      <c r="A54" s="234"/>
      <c r="B54" s="231"/>
      <c r="C54" s="231"/>
      <c r="D54" s="231"/>
      <c r="E54" s="234"/>
      <c r="F54" s="239"/>
    </row>
    <row r="55" spans="1:6" x14ac:dyDescent="0.15">
      <c r="A55" s="234"/>
      <c r="B55" s="231"/>
      <c r="C55" s="231"/>
      <c r="D55" s="231"/>
      <c r="E55" s="234"/>
      <c r="F55" s="239"/>
    </row>
    <row r="56" spans="1:6" x14ac:dyDescent="0.15">
      <c r="A56" s="234"/>
      <c r="B56" s="231"/>
      <c r="C56" s="231"/>
      <c r="D56" s="231"/>
      <c r="E56" s="234"/>
      <c r="F56" s="239"/>
    </row>
    <row r="57" spans="1:6" x14ac:dyDescent="0.15">
      <c r="A57" s="234"/>
      <c r="B57" s="231"/>
      <c r="C57" s="231"/>
      <c r="D57" s="231"/>
      <c r="E57" s="234"/>
      <c r="F57" s="239"/>
    </row>
    <row r="58" spans="1:6" x14ac:dyDescent="0.15">
      <c r="A58" s="234"/>
      <c r="B58" s="231"/>
      <c r="C58" s="231"/>
      <c r="D58" s="231"/>
      <c r="E58" s="234"/>
      <c r="F58" s="239"/>
    </row>
    <row r="59" spans="1:6" x14ac:dyDescent="0.15">
      <c r="A59" s="234"/>
      <c r="B59" s="231"/>
      <c r="C59" s="231"/>
      <c r="D59" s="231"/>
      <c r="E59" s="234"/>
      <c r="F59" s="239"/>
    </row>
    <row r="60" spans="1:6" x14ac:dyDescent="0.15">
      <c r="A60" s="234"/>
      <c r="B60" s="231"/>
      <c r="C60" s="231"/>
      <c r="D60" s="231"/>
      <c r="E60" s="234"/>
      <c r="F60" s="239"/>
    </row>
    <row r="61" spans="1:6" x14ac:dyDescent="0.15">
      <c r="A61" s="234"/>
      <c r="B61" s="231"/>
      <c r="C61" s="231"/>
      <c r="D61" s="231"/>
      <c r="E61" s="234"/>
      <c r="F61" s="239"/>
    </row>
    <row r="62" spans="1:6" x14ac:dyDescent="0.15">
      <c r="A62" s="234"/>
      <c r="B62" s="231"/>
      <c r="C62" s="231"/>
      <c r="D62" s="231"/>
      <c r="E62" s="234"/>
      <c r="F62" s="239"/>
    </row>
    <row r="63" spans="1:6" x14ac:dyDescent="0.15">
      <c r="A63" s="234"/>
      <c r="B63" s="231"/>
      <c r="C63" s="231"/>
      <c r="D63" s="231"/>
      <c r="E63" s="234"/>
      <c r="F63" s="239"/>
    </row>
    <row r="64" spans="1:6" x14ac:dyDescent="0.15">
      <c r="A64" s="234"/>
      <c r="B64" s="231"/>
      <c r="C64" s="231"/>
      <c r="D64" s="231"/>
      <c r="E64" s="234"/>
      <c r="F64" s="239"/>
    </row>
    <row r="65" spans="1:6" x14ac:dyDescent="0.15">
      <c r="A65" s="234"/>
      <c r="B65" s="231"/>
      <c r="C65" s="231"/>
      <c r="D65" s="231"/>
      <c r="E65" s="234"/>
      <c r="F65" s="239"/>
    </row>
    <row r="66" spans="1:6" x14ac:dyDescent="0.15">
      <c r="A66" s="234"/>
      <c r="B66" s="231"/>
      <c r="C66" s="231"/>
      <c r="D66" s="231"/>
      <c r="E66" s="234"/>
      <c r="F66" s="239"/>
    </row>
    <row r="67" spans="1:6" x14ac:dyDescent="0.15">
      <c r="A67" s="234"/>
      <c r="B67" s="231"/>
      <c r="C67" s="231"/>
      <c r="D67" s="231"/>
      <c r="E67" s="234"/>
      <c r="F67" s="239"/>
    </row>
    <row r="68" spans="1:6" x14ac:dyDescent="0.15">
      <c r="A68" s="234"/>
      <c r="B68" s="231"/>
      <c r="C68" s="231"/>
      <c r="D68" s="231"/>
      <c r="E68" s="234"/>
      <c r="F68" s="239"/>
    </row>
    <row r="69" spans="1:6" x14ac:dyDescent="0.15">
      <c r="A69" s="234"/>
      <c r="B69" s="231"/>
      <c r="C69" s="231"/>
      <c r="D69" s="231"/>
      <c r="E69" s="234"/>
      <c r="F69" s="239"/>
    </row>
    <row r="70" spans="1:6" x14ac:dyDescent="0.15">
      <c r="A70" s="234"/>
      <c r="B70" s="231"/>
      <c r="C70" s="231"/>
      <c r="D70" s="231"/>
      <c r="E70" s="234"/>
      <c r="F70" s="239"/>
    </row>
    <row r="71" spans="1:6" x14ac:dyDescent="0.15">
      <c r="A71" s="234"/>
      <c r="B71" s="231"/>
      <c r="C71" s="231"/>
      <c r="D71" s="231"/>
      <c r="E71" s="234"/>
      <c r="F71" s="239"/>
    </row>
    <row r="72" spans="1:6" x14ac:dyDescent="0.15">
      <c r="A72" s="234"/>
      <c r="B72" s="231"/>
      <c r="C72" s="231"/>
      <c r="D72" s="231"/>
      <c r="E72" s="234"/>
      <c r="F72" s="239"/>
    </row>
    <row r="73" spans="1:6" x14ac:dyDescent="0.15">
      <c r="A73" s="234"/>
      <c r="B73" s="231"/>
      <c r="C73" s="231"/>
      <c r="D73" s="231"/>
      <c r="E73" s="234"/>
      <c r="F73" s="239"/>
    </row>
    <row r="74" spans="1:6" x14ac:dyDescent="0.15">
      <c r="A74" s="234"/>
      <c r="B74" s="231"/>
      <c r="C74" s="231"/>
      <c r="D74" s="231"/>
      <c r="E74" s="234"/>
      <c r="F74" s="239"/>
    </row>
    <row r="75" spans="1:6" x14ac:dyDescent="0.15">
      <c r="A75" s="234"/>
      <c r="B75" s="231"/>
      <c r="C75" s="231"/>
      <c r="D75" s="231"/>
      <c r="E75" s="234"/>
      <c r="F75" s="239"/>
    </row>
    <row r="76" spans="1:6" x14ac:dyDescent="0.15">
      <c r="A76" s="234"/>
      <c r="B76" s="231"/>
      <c r="C76" s="231"/>
      <c r="D76" s="231"/>
      <c r="E76" s="234"/>
      <c r="F76" s="239"/>
    </row>
    <row r="77" spans="1:6" x14ac:dyDescent="0.15">
      <c r="A77" s="234"/>
      <c r="B77" s="231"/>
      <c r="C77" s="231"/>
      <c r="D77" s="231"/>
      <c r="E77" s="234"/>
      <c r="F77" s="239"/>
    </row>
    <row r="78" spans="1:6" x14ac:dyDescent="0.15">
      <c r="A78" s="234"/>
      <c r="B78" s="231"/>
      <c r="C78" s="231"/>
      <c r="D78" s="231"/>
      <c r="E78" s="234"/>
      <c r="F78" s="239"/>
    </row>
    <row r="79" spans="1:6" x14ac:dyDescent="0.15">
      <c r="A79" s="234"/>
      <c r="B79" s="231"/>
      <c r="C79" s="231"/>
      <c r="D79" s="231"/>
      <c r="E79" s="234"/>
      <c r="F79" s="239"/>
    </row>
    <row r="80" spans="1:6" x14ac:dyDescent="0.15">
      <c r="A80" s="234"/>
      <c r="B80" s="231"/>
      <c r="C80" s="231"/>
      <c r="D80" s="231"/>
      <c r="E80" s="234"/>
      <c r="F80" s="239"/>
    </row>
    <row r="81" spans="1:6" x14ac:dyDescent="0.15">
      <c r="A81" s="234"/>
      <c r="B81" s="231"/>
      <c r="C81" s="231"/>
      <c r="D81" s="231"/>
      <c r="E81" s="234"/>
      <c r="F81" s="239"/>
    </row>
    <row r="82" spans="1:6" x14ac:dyDescent="0.15">
      <c r="A82" s="234"/>
      <c r="B82" s="231"/>
      <c r="C82" s="231"/>
      <c r="D82" s="231"/>
      <c r="E82" s="234"/>
      <c r="F82" s="239"/>
    </row>
    <row r="83" spans="1:6" x14ac:dyDescent="0.15">
      <c r="A83" s="234"/>
      <c r="B83" s="231"/>
      <c r="C83" s="231"/>
      <c r="D83" s="231"/>
      <c r="E83" s="234"/>
      <c r="F83" s="239"/>
    </row>
    <row r="84" spans="1:6" x14ac:dyDescent="0.15">
      <c r="A84" s="234"/>
      <c r="B84" s="231"/>
      <c r="C84" s="231"/>
      <c r="D84" s="231"/>
      <c r="E84" s="234"/>
      <c r="F84" s="239"/>
    </row>
    <row r="85" spans="1:6" x14ac:dyDescent="0.15">
      <c r="A85" s="234"/>
      <c r="B85" s="231"/>
      <c r="C85" s="231"/>
      <c r="D85" s="231"/>
      <c r="E85" s="234"/>
      <c r="F85" s="239"/>
    </row>
    <row r="86" spans="1:6" x14ac:dyDescent="0.15">
      <c r="A86" s="234"/>
      <c r="B86" s="231"/>
      <c r="C86" s="231"/>
      <c r="D86" s="231"/>
      <c r="E86" s="234"/>
      <c r="F86" s="239"/>
    </row>
    <row r="87" spans="1:6" x14ac:dyDescent="0.15">
      <c r="A87" s="234"/>
      <c r="B87" s="231"/>
      <c r="C87" s="231"/>
      <c r="D87" s="231"/>
      <c r="E87" s="234"/>
      <c r="F87" s="239"/>
    </row>
    <row r="88" spans="1:6" x14ac:dyDescent="0.15">
      <c r="A88" s="234"/>
      <c r="B88" s="231"/>
      <c r="C88" s="231"/>
      <c r="D88" s="231"/>
      <c r="E88" s="234"/>
      <c r="F88" s="239"/>
    </row>
    <row r="89" spans="1:6" x14ac:dyDescent="0.15">
      <c r="A89" s="234"/>
      <c r="B89" s="231"/>
      <c r="C89" s="231"/>
      <c r="D89" s="231"/>
      <c r="E89" s="234"/>
      <c r="F89" s="239"/>
    </row>
    <row r="90" spans="1:6" x14ac:dyDescent="0.15">
      <c r="A90" s="234"/>
      <c r="B90" s="231"/>
      <c r="C90" s="231"/>
      <c r="D90" s="231"/>
      <c r="E90" s="234"/>
      <c r="F90" s="239"/>
    </row>
    <row r="91" spans="1:6" x14ac:dyDescent="0.15">
      <c r="A91" s="234"/>
      <c r="B91" s="231"/>
      <c r="C91" s="231"/>
      <c r="D91" s="231"/>
      <c r="E91" s="234"/>
      <c r="F91" s="239"/>
    </row>
    <row r="92" spans="1:6" x14ac:dyDescent="0.15">
      <c r="A92" s="234"/>
      <c r="B92" s="231"/>
      <c r="C92" s="231"/>
      <c r="D92" s="231"/>
      <c r="E92" s="234"/>
      <c r="F92" s="239"/>
    </row>
    <row r="93" spans="1:6" x14ac:dyDescent="0.15">
      <c r="A93" s="234"/>
      <c r="B93" s="231"/>
      <c r="C93" s="231"/>
      <c r="D93" s="231"/>
      <c r="E93" s="234"/>
      <c r="F93" s="239"/>
    </row>
    <row r="94" spans="1:6" x14ac:dyDescent="0.15">
      <c r="A94" s="234"/>
      <c r="B94" s="231"/>
      <c r="C94" s="231"/>
      <c r="D94" s="231"/>
      <c r="E94" s="234"/>
      <c r="F94" s="239"/>
    </row>
    <row r="95" spans="1:6" x14ac:dyDescent="0.15">
      <c r="A95" s="234"/>
      <c r="B95" s="231"/>
      <c r="C95" s="231"/>
      <c r="D95" s="231"/>
      <c r="E95" s="234"/>
      <c r="F95" s="239"/>
    </row>
    <row r="96" spans="1:6" x14ac:dyDescent="0.15">
      <c r="A96" s="234"/>
      <c r="B96" s="231"/>
      <c r="C96" s="231"/>
      <c r="D96" s="231"/>
      <c r="E96" s="234"/>
      <c r="F96" s="239"/>
    </row>
    <row r="97" spans="1:6" x14ac:dyDescent="0.15">
      <c r="A97" s="234"/>
      <c r="B97" s="231"/>
      <c r="C97" s="231"/>
      <c r="D97" s="231"/>
      <c r="E97" s="234"/>
      <c r="F97" s="239"/>
    </row>
    <row r="98" spans="1:6" x14ac:dyDescent="0.15">
      <c r="A98" s="234"/>
      <c r="B98" s="231"/>
      <c r="C98" s="231"/>
      <c r="D98" s="231"/>
      <c r="E98" s="234"/>
      <c r="F98" s="239"/>
    </row>
    <row r="99" spans="1:6" x14ac:dyDescent="0.15">
      <c r="A99" s="234"/>
      <c r="B99" s="231"/>
      <c r="C99" s="231"/>
      <c r="D99" s="231"/>
      <c r="E99" s="234"/>
      <c r="F99" s="239"/>
    </row>
    <row r="100" spans="1:6" x14ac:dyDescent="0.15">
      <c r="A100" s="234"/>
      <c r="B100" s="231"/>
      <c r="C100" s="231"/>
      <c r="D100" s="231"/>
      <c r="E100" s="234"/>
      <c r="F100" s="239"/>
    </row>
    <row r="101" spans="1:6" x14ac:dyDescent="0.15">
      <c r="A101" s="234"/>
      <c r="B101" s="231"/>
      <c r="C101" s="231"/>
      <c r="D101" s="231"/>
      <c r="E101" s="234"/>
      <c r="F101" s="239"/>
    </row>
    <row r="102" spans="1:6" x14ac:dyDescent="0.15">
      <c r="A102" s="234"/>
      <c r="B102" s="231"/>
      <c r="C102" s="231"/>
      <c r="D102" s="231"/>
      <c r="E102" s="234"/>
      <c r="F102" s="239"/>
    </row>
    <row r="103" spans="1:6" x14ac:dyDescent="0.15">
      <c r="A103" s="234"/>
      <c r="B103" s="231"/>
      <c r="C103" s="231"/>
      <c r="D103" s="231"/>
      <c r="E103" s="234"/>
      <c r="F103" s="239"/>
    </row>
    <row r="104" spans="1:6" x14ac:dyDescent="0.15">
      <c r="A104" s="234"/>
      <c r="B104" s="231"/>
      <c r="C104" s="231"/>
      <c r="D104" s="231"/>
      <c r="E104" s="234"/>
      <c r="F104" s="239"/>
    </row>
    <row r="105" spans="1:6" x14ac:dyDescent="0.15">
      <c r="A105" s="234"/>
      <c r="B105" s="231"/>
      <c r="C105" s="231"/>
      <c r="D105" s="231"/>
      <c r="E105" s="234"/>
      <c r="F105" s="239"/>
    </row>
    <row r="106" spans="1:6" x14ac:dyDescent="0.15">
      <c r="A106" s="234"/>
      <c r="B106" s="231"/>
      <c r="C106" s="231"/>
      <c r="D106" s="231"/>
      <c r="E106" s="234"/>
      <c r="F106" s="239"/>
    </row>
    <row r="107" spans="1:6" x14ac:dyDescent="0.15">
      <c r="A107" s="234"/>
      <c r="B107" s="231"/>
      <c r="C107" s="231"/>
      <c r="D107" s="231"/>
      <c r="E107" s="234"/>
      <c r="F107" s="239"/>
    </row>
    <row r="108" spans="1:6" x14ac:dyDescent="0.15">
      <c r="A108" s="234"/>
      <c r="B108" s="231"/>
      <c r="C108" s="231"/>
      <c r="D108" s="231"/>
      <c r="E108" s="234"/>
      <c r="F108" s="239"/>
    </row>
    <row r="109" spans="1:6" x14ac:dyDescent="0.15">
      <c r="A109" s="234"/>
      <c r="B109" s="231"/>
      <c r="C109" s="231"/>
      <c r="D109" s="231"/>
      <c r="E109" s="234"/>
      <c r="F109" s="239"/>
    </row>
    <row r="110" spans="1:6" x14ac:dyDescent="0.15">
      <c r="A110" s="234"/>
      <c r="B110" s="231"/>
      <c r="C110" s="231"/>
      <c r="D110" s="231"/>
      <c r="E110" s="234"/>
      <c r="F110" s="239"/>
    </row>
    <row r="111" spans="1:6" x14ac:dyDescent="0.15">
      <c r="A111" s="234"/>
      <c r="B111" s="231"/>
      <c r="C111" s="231"/>
      <c r="D111" s="231"/>
      <c r="E111" s="234"/>
      <c r="F111" s="239"/>
    </row>
    <row r="112" spans="1:6" x14ac:dyDescent="0.15">
      <c r="A112" s="234"/>
      <c r="B112" s="231"/>
      <c r="C112" s="231"/>
      <c r="D112" s="231"/>
      <c r="E112" s="234"/>
      <c r="F112" s="239"/>
    </row>
    <row r="113" spans="1:6" x14ac:dyDescent="0.15">
      <c r="A113" s="234"/>
      <c r="B113" s="231"/>
      <c r="C113" s="231"/>
      <c r="D113" s="231"/>
      <c r="E113" s="234"/>
      <c r="F113" s="239"/>
    </row>
    <row r="114" spans="1:6" x14ac:dyDescent="0.15">
      <c r="A114" s="234"/>
      <c r="B114" s="231"/>
      <c r="C114" s="231"/>
      <c r="D114" s="231"/>
      <c r="E114" s="234"/>
      <c r="F114" s="239"/>
    </row>
    <row r="115" spans="1:6" x14ac:dyDescent="0.15">
      <c r="A115" s="234"/>
      <c r="B115" s="231"/>
      <c r="C115" s="231"/>
      <c r="D115" s="231"/>
      <c r="E115" s="234"/>
      <c r="F115" s="239"/>
    </row>
    <row r="116" spans="1:6" x14ac:dyDescent="0.15">
      <c r="A116" s="234"/>
      <c r="B116" s="231"/>
      <c r="C116" s="231"/>
      <c r="D116" s="231"/>
      <c r="E116" s="234"/>
      <c r="F116" s="239"/>
    </row>
    <row r="117" spans="1:6" x14ac:dyDescent="0.15">
      <c r="A117" s="234"/>
      <c r="B117" s="231"/>
      <c r="C117" s="231"/>
      <c r="D117" s="231"/>
      <c r="E117" s="234"/>
      <c r="F117" s="239"/>
    </row>
    <row r="118" spans="1:6" x14ac:dyDescent="0.15">
      <c r="A118" s="234"/>
      <c r="B118" s="231"/>
      <c r="C118" s="231"/>
      <c r="D118" s="231"/>
      <c r="E118" s="234"/>
      <c r="F118" s="239"/>
    </row>
    <row r="119" spans="1:6" x14ac:dyDescent="0.15">
      <c r="A119" s="234"/>
      <c r="B119" s="231"/>
      <c r="C119" s="231"/>
      <c r="D119" s="231"/>
      <c r="E119" s="234"/>
      <c r="F119" s="239"/>
    </row>
    <row r="120" spans="1:6" x14ac:dyDescent="0.15">
      <c r="A120" s="234"/>
      <c r="B120" s="231"/>
      <c r="C120" s="231"/>
      <c r="D120" s="231"/>
      <c r="E120" s="234"/>
      <c r="F120" s="239"/>
    </row>
    <row r="121" spans="1:6" x14ac:dyDescent="0.15">
      <c r="A121" s="234"/>
      <c r="B121" s="231"/>
      <c r="C121" s="231"/>
      <c r="D121" s="231"/>
      <c r="E121" s="234"/>
      <c r="F121" s="239"/>
    </row>
    <row r="122" spans="1:6" x14ac:dyDescent="0.15">
      <c r="A122" s="234"/>
      <c r="B122" s="231"/>
      <c r="C122" s="231"/>
      <c r="D122" s="231"/>
      <c r="E122" s="234"/>
      <c r="F122" s="239"/>
    </row>
    <row r="123" spans="1:6" x14ac:dyDescent="0.15">
      <c r="A123" s="234"/>
      <c r="B123" s="231"/>
      <c r="C123" s="231"/>
      <c r="D123" s="231"/>
      <c r="E123" s="234"/>
      <c r="F123" s="239"/>
    </row>
    <row r="124" spans="1:6" x14ac:dyDescent="0.15">
      <c r="A124" s="234"/>
      <c r="B124" s="231"/>
      <c r="C124" s="231"/>
      <c r="D124" s="231"/>
      <c r="E124" s="234"/>
      <c r="F124" s="239"/>
    </row>
    <row r="125" spans="1:6" x14ac:dyDescent="0.15">
      <c r="A125" s="234"/>
      <c r="B125" s="231"/>
      <c r="C125" s="231"/>
      <c r="D125" s="231"/>
      <c r="E125" s="234"/>
      <c r="F125" s="239"/>
    </row>
    <row r="126" spans="1:6" x14ac:dyDescent="0.15">
      <c r="A126" s="234"/>
      <c r="B126" s="231"/>
      <c r="C126" s="231"/>
      <c r="D126" s="231"/>
      <c r="E126" s="234"/>
      <c r="F126" s="239"/>
    </row>
    <row r="127" spans="1:6" x14ac:dyDescent="0.15">
      <c r="A127" s="234"/>
      <c r="B127" s="231"/>
      <c r="C127" s="231"/>
      <c r="D127" s="231"/>
      <c r="E127" s="234"/>
      <c r="F127" s="239"/>
    </row>
    <row r="128" spans="1:6" x14ac:dyDescent="0.15">
      <c r="A128" s="234"/>
      <c r="B128" s="231"/>
      <c r="C128" s="231"/>
      <c r="D128" s="231"/>
      <c r="E128" s="234"/>
      <c r="F128" s="239"/>
    </row>
    <row r="129" spans="1:6" x14ac:dyDescent="0.15">
      <c r="A129" s="234"/>
      <c r="B129" s="231"/>
      <c r="C129" s="231"/>
      <c r="D129" s="231"/>
      <c r="E129" s="234"/>
      <c r="F129" s="239"/>
    </row>
    <row r="130" spans="1:6" x14ac:dyDescent="0.15">
      <c r="A130" s="234"/>
      <c r="B130" s="231"/>
      <c r="C130" s="231"/>
      <c r="D130" s="231"/>
      <c r="E130" s="234"/>
      <c r="F130" s="239"/>
    </row>
    <row r="131" spans="1:6" x14ac:dyDescent="0.15">
      <c r="A131" s="234"/>
      <c r="B131" s="231"/>
      <c r="C131" s="231"/>
      <c r="D131" s="231"/>
      <c r="E131" s="234"/>
      <c r="F131" s="239"/>
    </row>
    <row r="132" spans="1:6" x14ac:dyDescent="0.15">
      <c r="A132" s="234"/>
      <c r="B132" s="231"/>
      <c r="C132" s="231"/>
      <c r="D132" s="231"/>
      <c r="E132" s="234"/>
      <c r="F132" s="239"/>
    </row>
    <row r="133" spans="1:6" x14ac:dyDescent="0.15">
      <c r="A133" s="234"/>
      <c r="B133" s="231"/>
      <c r="C133" s="231"/>
      <c r="D133" s="231"/>
      <c r="E133" s="234"/>
      <c r="F133" s="239"/>
    </row>
    <row r="134" spans="1:6" x14ac:dyDescent="0.15">
      <c r="A134" s="234"/>
      <c r="B134" s="231"/>
      <c r="C134" s="231"/>
      <c r="D134" s="231"/>
      <c r="E134" s="234"/>
      <c r="F134" s="239"/>
    </row>
    <row r="135" spans="1:6" x14ac:dyDescent="0.15">
      <c r="A135" s="234"/>
      <c r="B135" s="231"/>
      <c r="C135" s="231"/>
      <c r="D135" s="231"/>
      <c r="E135" s="234"/>
      <c r="F135" s="239"/>
    </row>
    <row r="136" spans="1:6" x14ac:dyDescent="0.15">
      <c r="A136" s="234"/>
      <c r="B136" s="231"/>
      <c r="C136" s="231"/>
      <c r="D136" s="231"/>
      <c r="E136" s="234"/>
      <c r="F136" s="239"/>
    </row>
    <row r="137" spans="1:6" x14ac:dyDescent="0.15">
      <c r="A137" s="234"/>
      <c r="B137" s="231"/>
      <c r="C137" s="231"/>
      <c r="D137" s="231"/>
      <c r="E137" s="234"/>
      <c r="F137" s="239"/>
    </row>
    <row r="138" spans="1:6" x14ac:dyDescent="0.15">
      <c r="A138" s="234"/>
      <c r="B138" s="231"/>
      <c r="C138" s="231"/>
      <c r="D138" s="231"/>
      <c r="E138" s="234"/>
      <c r="F138" s="239"/>
    </row>
    <row r="139" spans="1:6" x14ac:dyDescent="0.15">
      <c r="A139" s="234"/>
      <c r="B139" s="231"/>
      <c r="C139" s="231"/>
      <c r="D139" s="231"/>
      <c r="E139" s="234"/>
      <c r="F139" s="239"/>
    </row>
    <row r="140" spans="1:6" x14ac:dyDescent="0.15">
      <c r="A140" s="234"/>
      <c r="B140" s="231"/>
      <c r="C140" s="231"/>
      <c r="D140" s="231"/>
      <c r="E140" s="234"/>
      <c r="F140" s="239"/>
    </row>
    <row r="141" spans="1:6" x14ac:dyDescent="0.15">
      <c r="A141" s="234"/>
      <c r="B141" s="231"/>
      <c r="C141" s="231"/>
      <c r="D141" s="231"/>
      <c r="E141" s="234"/>
      <c r="F141" s="239"/>
    </row>
    <row r="142" spans="1:6" x14ac:dyDescent="0.15">
      <c r="A142" s="234"/>
      <c r="B142" s="231"/>
      <c r="C142" s="231"/>
      <c r="D142" s="231"/>
      <c r="E142" s="234"/>
      <c r="F142" s="239"/>
    </row>
    <row r="143" spans="1:6" x14ac:dyDescent="0.15">
      <c r="A143" s="234"/>
      <c r="B143" s="231"/>
      <c r="C143" s="231"/>
      <c r="D143" s="231"/>
      <c r="E143" s="234"/>
      <c r="F143" s="239"/>
    </row>
    <row r="144" spans="1:6" x14ac:dyDescent="0.15">
      <c r="A144" s="234"/>
      <c r="B144" s="231"/>
      <c r="C144" s="231"/>
      <c r="D144" s="231"/>
      <c r="E144" s="234"/>
      <c r="F144" s="239"/>
    </row>
    <row r="145" spans="1:6" x14ac:dyDescent="0.15">
      <c r="A145" s="234"/>
      <c r="B145" s="231"/>
      <c r="C145" s="231"/>
      <c r="D145" s="231"/>
      <c r="E145" s="234"/>
      <c r="F145" s="239"/>
    </row>
    <row r="146" spans="1:6" x14ac:dyDescent="0.15">
      <c r="A146" s="234"/>
      <c r="B146" s="231"/>
      <c r="C146" s="231"/>
      <c r="D146" s="231"/>
      <c r="E146" s="234"/>
      <c r="F146" s="239"/>
    </row>
    <row r="147" spans="1:6" x14ac:dyDescent="0.15">
      <c r="A147" s="234"/>
      <c r="B147" s="231"/>
      <c r="C147" s="231"/>
      <c r="D147" s="231"/>
      <c r="E147" s="234"/>
      <c r="F147" s="239"/>
    </row>
    <row r="148" spans="1:6" x14ac:dyDescent="0.15">
      <c r="A148" s="234"/>
      <c r="B148" s="231"/>
      <c r="C148" s="231"/>
      <c r="D148" s="231"/>
      <c r="E148" s="234"/>
      <c r="F148" s="239"/>
    </row>
    <row r="149" spans="1:6" x14ac:dyDescent="0.15">
      <c r="A149" s="234"/>
      <c r="B149" s="231"/>
      <c r="C149" s="231"/>
      <c r="D149" s="231"/>
      <c r="E149" s="234"/>
      <c r="F149" s="239"/>
    </row>
    <row r="150" spans="1:6" x14ac:dyDescent="0.15">
      <c r="A150" s="234"/>
      <c r="B150" s="231"/>
      <c r="C150" s="231"/>
      <c r="D150" s="231"/>
      <c r="E150" s="234"/>
      <c r="F150" s="239"/>
    </row>
    <row r="151" spans="1:6" x14ac:dyDescent="0.15">
      <c r="A151" s="234"/>
      <c r="B151" s="231"/>
      <c r="C151" s="231"/>
      <c r="D151" s="231"/>
      <c r="E151" s="234"/>
      <c r="F151" s="239"/>
    </row>
    <row r="152" spans="1:6" x14ac:dyDescent="0.15">
      <c r="A152" s="234"/>
      <c r="B152" s="231"/>
      <c r="C152" s="231"/>
      <c r="D152" s="231"/>
      <c r="E152" s="234"/>
      <c r="F152" s="239"/>
    </row>
    <row r="153" spans="1:6" x14ac:dyDescent="0.15">
      <c r="A153" s="234"/>
      <c r="B153" s="231"/>
      <c r="C153" s="231"/>
      <c r="D153" s="231"/>
      <c r="E153" s="234"/>
      <c r="F153" s="239"/>
    </row>
    <row r="154" spans="1:6" x14ac:dyDescent="0.15">
      <c r="A154" s="234"/>
      <c r="B154" s="231"/>
      <c r="C154" s="231"/>
      <c r="D154" s="231"/>
      <c r="E154" s="234"/>
      <c r="F154" s="239"/>
    </row>
    <row r="155" spans="1:6" x14ac:dyDescent="0.15">
      <c r="A155" s="234"/>
      <c r="B155" s="231"/>
      <c r="C155" s="231"/>
      <c r="D155" s="231"/>
      <c r="E155" s="234"/>
      <c r="F155" s="239"/>
    </row>
    <row r="156" spans="1:6" x14ac:dyDescent="0.15">
      <c r="A156" s="234"/>
      <c r="B156" s="231"/>
      <c r="C156" s="231"/>
      <c r="D156" s="231"/>
      <c r="E156" s="234"/>
      <c r="F156" s="239"/>
    </row>
    <row r="157" spans="1:6" x14ac:dyDescent="0.15">
      <c r="A157" s="234"/>
      <c r="B157" s="231"/>
      <c r="C157" s="231"/>
      <c r="D157" s="231"/>
      <c r="E157" s="234"/>
      <c r="F157" s="239"/>
    </row>
    <row r="158" spans="1:6" x14ac:dyDescent="0.15">
      <c r="A158" s="234"/>
      <c r="B158" s="231"/>
      <c r="C158" s="231"/>
      <c r="D158" s="231"/>
      <c r="E158" s="234"/>
      <c r="F158" s="239"/>
    </row>
    <row r="159" spans="1:6" x14ac:dyDescent="0.15">
      <c r="A159" s="234"/>
      <c r="B159" s="231"/>
      <c r="C159" s="231"/>
      <c r="D159" s="231"/>
      <c r="E159" s="234"/>
      <c r="F159" s="239"/>
    </row>
    <row r="160" spans="1:6" x14ac:dyDescent="0.15">
      <c r="A160" s="234"/>
      <c r="B160" s="231"/>
      <c r="C160" s="231"/>
      <c r="D160" s="231"/>
      <c r="E160" s="234"/>
      <c r="F160" s="239"/>
    </row>
    <row r="161" spans="1:6" x14ac:dyDescent="0.15">
      <c r="A161" s="234"/>
      <c r="B161" s="231"/>
      <c r="C161" s="231"/>
      <c r="D161" s="231"/>
      <c r="E161" s="234"/>
      <c r="F161" s="239"/>
    </row>
    <row r="162" spans="1:6" x14ac:dyDescent="0.15">
      <c r="A162" s="234"/>
      <c r="B162" s="231"/>
      <c r="C162" s="231"/>
      <c r="D162" s="231"/>
      <c r="E162" s="234"/>
      <c r="F162" s="239"/>
    </row>
    <row r="163" spans="1:6" x14ac:dyDescent="0.15">
      <c r="A163" s="234"/>
      <c r="B163" s="231"/>
      <c r="C163" s="231"/>
      <c r="D163" s="231"/>
      <c r="E163" s="234"/>
      <c r="F163" s="239"/>
    </row>
    <row r="164" spans="1:6" x14ac:dyDescent="0.15">
      <c r="A164" s="234"/>
      <c r="B164" s="231"/>
      <c r="C164" s="231"/>
      <c r="D164" s="231"/>
      <c r="E164" s="234"/>
      <c r="F164" s="239"/>
    </row>
    <row r="165" spans="1:6" x14ac:dyDescent="0.15">
      <c r="A165" s="234"/>
      <c r="B165" s="231"/>
      <c r="C165" s="231"/>
      <c r="D165" s="231"/>
      <c r="E165" s="234"/>
      <c r="F165" s="239"/>
    </row>
    <row r="166" spans="1:6" x14ac:dyDescent="0.15">
      <c r="A166" s="234"/>
      <c r="B166" s="231"/>
      <c r="C166" s="231"/>
      <c r="D166" s="231"/>
      <c r="E166" s="234"/>
      <c r="F166" s="239"/>
    </row>
    <row r="167" spans="1:6" x14ac:dyDescent="0.15">
      <c r="A167" s="234"/>
      <c r="B167" s="231"/>
      <c r="C167" s="231"/>
      <c r="D167" s="231"/>
      <c r="E167" s="234"/>
      <c r="F167" s="239"/>
    </row>
    <row r="168" spans="1:6" x14ac:dyDescent="0.15">
      <c r="A168" s="234"/>
      <c r="B168" s="231"/>
      <c r="C168" s="231"/>
      <c r="D168" s="231"/>
      <c r="E168" s="234"/>
      <c r="F168" s="239"/>
    </row>
    <row r="169" spans="1:6" x14ac:dyDescent="0.15">
      <c r="A169" s="234"/>
      <c r="B169" s="231"/>
      <c r="C169" s="231"/>
      <c r="D169" s="231"/>
      <c r="E169" s="234"/>
      <c r="F169" s="239"/>
    </row>
    <row r="170" spans="1:6" x14ac:dyDescent="0.15">
      <c r="A170" s="234"/>
      <c r="B170" s="231"/>
      <c r="C170" s="231"/>
      <c r="D170" s="231"/>
      <c r="E170" s="234"/>
      <c r="F170" s="239"/>
    </row>
    <row r="171" spans="1:6" x14ac:dyDescent="0.15">
      <c r="A171" s="234"/>
      <c r="B171" s="231"/>
      <c r="C171" s="231"/>
      <c r="D171" s="231"/>
      <c r="E171" s="234"/>
      <c r="F171" s="239"/>
    </row>
    <row r="172" spans="1:6" x14ac:dyDescent="0.15">
      <c r="A172" s="234"/>
      <c r="B172" s="231"/>
      <c r="C172" s="231"/>
      <c r="D172" s="231"/>
      <c r="E172" s="234"/>
      <c r="F172" s="239"/>
    </row>
    <row r="173" spans="1:6" x14ac:dyDescent="0.15">
      <c r="A173" s="234"/>
      <c r="B173" s="231"/>
      <c r="C173" s="231"/>
      <c r="D173" s="231"/>
      <c r="E173" s="234"/>
      <c r="F173" s="239"/>
    </row>
    <row r="174" spans="1:6" x14ac:dyDescent="0.15">
      <c r="A174" s="234"/>
      <c r="B174" s="231"/>
      <c r="C174" s="231"/>
      <c r="D174" s="231"/>
      <c r="E174" s="234"/>
      <c r="F174" s="239"/>
    </row>
    <row r="175" spans="1:6" x14ac:dyDescent="0.15">
      <c r="A175" s="234"/>
      <c r="B175" s="231"/>
      <c r="C175" s="231"/>
      <c r="D175" s="231"/>
      <c r="E175" s="234"/>
      <c r="F175" s="239"/>
    </row>
    <row r="176" spans="1:6" x14ac:dyDescent="0.15">
      <c r="A176" s="234"/>
      <c r="B176" s="231"/>
      <c r="C176" s="231"/>
      <c r="D176" s="231"/>
      <c r="E176" s="234"/>
      <c r="F176" s="239"/>
    </row>
    <row r="177" spans="1:6" x14ac:dyDescent="0.15">
      <c r="A177" s="234"/>
      <c r="B177" s="231"/>
      <c r="C177" s="231"/>
      <c r="D177" s="231"/>
      <c r="E177" s="234"/>
      <c r="F177" s="239"/>
    </row>
    <row r="178" spans="1:6" x14ac:dyDescent="0.15">
      <c r="A178" s="234"/>
      <c r="B178" s="231"/>
      <c r="C178" s="231"/>
      <c r="D178" s="231"/>
      <c r="E178" s="234"/>
      <c r="F178" s="239"/>
    </row>
    <row r="179" spans="1:6" x14ac:dyDescent="0.15">
      <c r="A179" s="234"/>
      <c r="B179" s="231"/>
      <c r="C179" s="231"/>
      <c r="D179" s="231"/>
      <c r="E179" s="234"/>
      <c r="F179" s="239"/>
    </row>
    <row r="180" spans="1:6" x14ac:dyDescent="0.15">
      <c r="A180" s="234"/>
      <c r="B180" s="231"/>
      <c r="C180" s="231"/>
      <c r="D180" s="231"/>
      <c r="E180" s="234"/>
      <c r="F180" s="239"/>
    </row>
    <row r="181" spans="1:6" x14ac:dyDescent="0.15">
      <c r="A181" s="234"/>
      <c r="B181" s="231"/>
      <c r="C181" s="231"/>
      <c r="D181" s="231"/>
      <c r="E181" s="234"/>
      <c r="F181" s="239"/>
    </row>
    <row r="182" spans="1:6" x14ac:dyDescent="0.15">
      <c r="A182" s="234"/>
      <c r="B182" s="231"/>
      <c r="C182" s="231"/>
      <c r="D182" s="231"/>
      <c r="E182" s="234"/>
      <c r="F182" s="239"/>
    </row>
    <row r="183" spans="1:6" x14ac:dyDescent="0.15">
      <c r="A183" s="234"/>
      <c r="B183" s="231"/>
      <c r="C183" s="231"/>
      <c r="D183" s="231"/>
      <c r="E183" s="234"/>
      <c r="F183" s="239"/>
    </row>
    <row r="184" spans="1:6" x14ac:dyDescent="0.15">
      <c r="A184" s="234"/>
      <c r="B184" s="231"/>
      <c r="C184" s="231"/>
      <c r="D184" s="231"/>
      <c r="E184" s="234"/>
      <c r="F184" s="239"/>
    </row>
    <row r="185" spans="1:6" x14ac:dyDescent="0.15">
      <c r="A185" s="234"/>
      <c r="B185" s="231"/>
      <c r="C185" s="231"/>
      <c r="D185" s="231"/>
      <c r="E185" s="234"/>
      <c r="F185" s="239"/>
    </row>
    <row r="186" spans="1:6" x14ac:dyDescent="0.15">
      <c r="A186" s="234"/>
      <c r="B186" s="231"/>
      <c r="C186" s="231"/>
      <c r="D186" s="231"/>
      <c r="E186" s="234"/>
      <c r="F186" s="239"/>
    </row>
    <row r="187" spans="1:6" x14ac:dyDescent="0.15">
      <c r="A187" s="234"/>
      <c r="B187" s="231"/>
      <c r="C187" s="231"/>
      <c r="D187" s="231"/>
      <c r="E187" s="234"/>
      <c r="F187" s="239"/>
    </row>
    <row r="188" spans="1:6" x14ac:dyDescent="0.15">
      <c r="A188" s="234"/>
      <c r="B188" s="231"/>
      <c r="C188" s="231"/>
      <c r="D188" s="231"/>
      <c r="E188" s="234"/>
      <c r="F188" s="239"/>
    </row>
    <row r="189" spans="1:6" x14ac:dyDescent="0.15">
      <c r="A189" s="234"/>
      <c r="B189" s="231"/>
      <c r="C189" s="231"/>
      <c r="D189" s="231"/>
      <c r="E189" s="234"/>
      <c r="F189" s="239"/>
    </row>
    <row r="190" spans="1:6" x14ac:dyDescent="0.15">
      <c r="A190" s="234"/>
      <c r="B190" s="231"/>
      <c r="C190" s="231"/>
      <c r="D190" s="231"/>
      <c r="E190" s="234"/>
      <c r="F190" s="239"/>
    </row>
    <row r="191" spans="1:6" x14ac:dyDescent="0.15">
      <c r="A191" s="234"/>
      <c r="B191" s="231"/>
      <c r="C191" s="231"/>
      <c r="D191" s="231"/>
      <c r="E191" s="234"/>
      <c r="F191" s="239"/>
    </row>
    <row r="192" spans="1:6" x14ac:dyDescent="0.15">
      <c r="A192" s="234"/>
      <c r="B192" s="231"/>
      <c r="C192" s="231"/>
      <c r="D192" s="231"/>
      <c r="E192" s="234"/>
      <c r="F192" s="239"/>
    </row>
    <row r="193" spans="1:6" x14ac:dyDescent="0.15">
      <c r="A193" s="234"/>
      <c r="B193" s="231"/>
      <c r="C193" s="231"/>
      <c r="D193" s="231"/>
      <c r="E193" s="234"/>
      <c r="F193" s="239"/>
    </row>
    <row r="194" spans="1:6" x14ac:dyDescent="0.15">
      <c r="A194" s="234"/>
      <c r="B194" s="231"/>
      <c r="C194" s="231"/>
      <c r="D194" s="231"/>
      <c r="E194" s="234"/>
      <c r="F194" s="239"/>
    </row>
    <row r="195" spans="1:6" x14ac:dyDescent="0.15">
      <c r="A195" s="234"/>
      <c r="B195" s="231"/>
      <c r="C195" s="231"/>
      <c r="D195" s="231"/>
      <c r="E195" s="234"/>
      <c r="F195" s="239"/>
    </row>
    <row r="196" spans="1:6" x14ac:dyDescent="0.15">
      <c r="A196" s="234"/>
      <c r="B196" s="231"/>
      <c r="C196" s="231"/>
      <c r="D196" s="231"/>
      <c r="E196" s="234"/>
      <c r="F196" s="239"/>
    </row>
    <row r="197" spans="1:6" x14ac:dyDescent="0.15">
      <c r="A197" s="234"/>
      <c r="B197" s="231"/>
      <c r="C197" s="231"/>
      <c r="D197" s="231"/>
      <c r="E197" s="234"/>
      <c r="F197" s="239"/>
    </row>
    <row r="198" spans="1:6" x14ac:dyDescent="0.15">
      <c r="A198" s="234"/>
      <c r="B198" s="231"/>
      <c r="C198" s="231"/>
      <c r="D198" s="231"/>
      <c r="E198" s="234"/>
      <c r="F198" s="239"/>
    </row>
    <row r="199" spans="1:6" x14ac:dyDescent="0.15">
      <c r="A199" s="234"/>
      <c r="B199" s="231"/>
      <c r="C199" s="231"/>
      <c r="D199" s="231"/>
      <c r="E199" s="234"/>
      <c r="F199" s="239"/>
    </row>
    <row r="200" spans="1:6" x14ac:dyDescent="0.15">
      <c r="A200" s="234"/>
      <c r="B200" s="231"/>
      <c r="C200" s="231"/>
      <c r="D200" s="231"/>
      <c r="E200" s="234"/>
      <c r="F200" s="239"/>
    </row>
    <row r="201" spans="1:6" x14ac:dyDescent="0.15">
      <c r="A201" s="234"/>
      <c r="B201" s="231"/>
      <c r="C201" s="231"/>
      <c r="D201" s="231"/>
      <c r="E201" s="234"/>
      <c r="F201" s="239"/>
    </row>
    <row r="202" spans="1:6" x14ac:dyDescent="0.15">
      <c r="A202" s="234"/>
      <c r="B202" s="231"/>
      <c r="C202" s="231"/>
      <c r="D202" s="231"/>
      <c r="E202" s="234"/>
      <c r="F202" s="239"/>
    </row>
    <row r="203" spans="1:6" x14ac:dyDescent="0.15">
      <c r="A203" s="234"/>
      <c r="B203" s="231"/>
      <c r="C203" s="231"/>
      <c r="D203" s="231"/>
      <c r="E203" s="234"/>
      <c r="F203" s="239"/>
    </row>
    <row r="204" spans="1:6" x14ac:dyDescent="0.15">
      <c r="A204" s="234"/>
      <c r="B204" s="231"/>
      <c r="C204" s="231"/>
      <c r="D204" s="231"/>
      <c r="E204" s="234"/>
      <c r="F204" s="239"/>
    </row>
    <row r="205" spans="1:6" x14ac:dyDescent="0.15">
      <c r="A205" s="234"/>
      <c r="B205" s="231"/>
      <c r="C205" s="231"/>
      <c r="D205" s="231"/>
      <c r="E205" s="234"/>
      <c r="F205" s="239"/>
    </row>
    <row r="206" spans="1:6" x14ac:dyDescent="0.15">
      <c r="A206" s="234"/>
      <c r="B206" s="231"/>
      <c r="C206" s="231"/>
      <c r="D206" s="231"/>
      <c r="E206" s="234"/>
      <c r="F206" s="239"/>
    </row>
    <row r="207" spans="1:6" x14ac:dyDescent="0.15">
      <c r="A207" s="234"/>
      <c r="B207" s="231"/>
      <c r="C207" s="231"/>
      <c r="D207" s="231"/>
      <c r="E207" s="234"/>
      <c r="F207" s="239"/>
    </row>
    <row r="208" spans="1:6" x14ac:dyDescent="0.15">
      <c r="A208" s="234"/>
      <c r="B208" s="231"/>
      <c r="C208" s="231"/>
      <c r="D208" s="231"/>
      <c r="E208" s="234"/>
      <c r="F208" s="239"/>
    </row>
    <row r="209" spans="1:6" x14ac:dyDescent="0.15">
      <c r="A209" s="234"/>
      <c r="B209" s="231"/>
      <c r="C209" s="231"/>
      <c r="D209" s="231"/>
      <c r="E209" s="234"/>
      <c r="F209" s="239"/>
    </row>
    <row r="210" spans="1:6" x14ac:dyDescent="0.15">
      <c r="A210" s="234"/>
      <c r="B210" s="231"/>
      <c r="C210" s="231"/>
      <c r="D210" s="231"/>
      <c r="E210" s="234"/>
      <c r="F210" s="239"/>
    </row>
    <row r="211" spans="1:6" x14ac:dyDescent="0.15">
      <c r="A211" s="234"/>
      <c r="B211" s="231"/>
      <c r="C211" s="231"/>
      <c r="D211" s="231"/>
      <c r="E211" s="234"/>
      <c r="F211" s="239"/>
    </row>
    <row r="212" spans="1:6" x14ac:dyDescent="0.15">
      <c r="A212" s="234"/>
      <c r="B212" s="231"/>
      <c r="C212" s="231"/>
      <c r="D212" s="231"/>
      <c r="E212" s="234"/>
      <c r="F212" s="239"/>
    </row>
    <row r="213" spans="1:6" x14ac:dyDescent="0.15">
      <c r="A213" s="234"/>
      <c r="B213" s="231"/>
      <c r="C213" s="231"/>
      <c r="D213" s="231"/>
      <c r="E213" s="234"/>
      <c r="F213" s="239"/>
    </row>
    <row r="214" spans="1:6" x14ac:dyDescent="0.15">
      <c r="A214" s="234"/>
      <c r="B214" s="231"/>
      <c r="C214" s="231"/>
      <c r="D214" s="231"/>
      <c r="E214" s="234"/>
      <c r="F214" s="239"/>
    </row>
    <row r="215" spans="1:6" x14ac:dyDescent="0.15">
      <c r="A215" s="234"/>
      <c r="B215" s="231"/>
      <c r="C215" s="231"/>
      <c r="D215" s="231"/>
      <c r="E215" s="234"/>
      <c r="F215" s="239"/>
    </row>
    <row r="216" spans="1:6" x14ac:dyDescent="0.15">
      <c r="A216" s="234"/>
      <c r="B216" s="231"/>
      <c r="C216" s="231"/>
      <c r="D216" s="231"/>
      <c r="E216" s="234"/>
      <c r="F216" s="239"/>
    </row>
    <row r="217" spans="1:6" x14ac:dyDescent="0.15">
      <c r="A217" s="234"/>
      <c r="B217" s="231"/>
      <c r="C217" s="231"/>
      <c r="D217" s="231"/>
      <c r="E217" s="234"/>
      <c r="F217" s="239"/>
    </row>
    <row r="218" spans="1:6" x14ac:dyDescent="0.15">
      <c r="A218" s="234"/>
      <c r="B218" s="231"/>
      <c r="C218" s="231"/>
      <c r="D218" s="231"/>
      <c r="E218" s="234"/>
      <c r="F218" s="239"/>
    </row>
    <row r="219" spans="1:6" x14ac:dyDescent="0.15">
      <c r="A219" s="234"/>
      <c r="B219" s="231"/>
      <c r="C219" s="231"/>
      <c r="D219" s="231"/>
      <c r="E219" s="234"/>
      <c r="F219" s="239"/>
    </row>
    <row r="220" spans="1:6" x14ac:dyDescent="0.15">
      <c r="A220" s="234"/>
      <c r="B220" s="231"/>
      <c r="C220" s="231"/>
      <c r="D220" s="231"/>
      <c r="E220" s="234"/>
      <c r="F220" s="239"/>
    </row>
    <row r="221" spans="1:6" x14ac:dyDescent="0.15">
      <c r="A221" s="234"/>
      <c r="B221" s="231"/>
      <c r="C221" s="231"/>
      <c r="D221" s="231"/>
      <c r="E221" s="234"/>
      <c r="F221" s="239"/>
    </row>
    <row r="222" spans="1:6" x14ac:dyDescent="0.15">
      <c r="A222" s="234"/>
      <c r="B222" s="231"/>
      <c r="C222" s="231"/>
      <c r="D222" s="231"/>
      <c r="E222" s="234"/>
      <c r="F222" s="239"/>
    </row>
    <row r="223" spans="1:6" x14ac:dyDescent="0.15">
      <c r="A223" s="234"/>
      <c r="B223" s="231"/>
      <c r="C223" s="231"/>
      <c r="D223" s="231"/>
      <c r="E223" s="234"/>
      <c r="F223" s="239"/>
    </row>
    <row r="224" spans="1:6" x14ac:dyDescent="0.15">
      <c r="A224" s="234"/>
      <c r="B224" s="231"/>
      <c r="C224" s="231"/>
      <c r="D224" s="231"/>
      <c r="E224" s="234"/>
      <c r="F224" s="239"/>
    </row>
    <row r="225" spans="1:6" x14ac:dyDescent="0.15">
      <c r="A225" s="234"/>
      <c r="B225" s="231"/>
      <c r="C225" s="231"/>
      <c r="D225" s="231"/>
      <c r="E225" s="234"/>
      <c r="F225" s="239"/>
    </row>
    <row r="226" spans="1:6" x14ac:dyDescent="0.15">
      <c r="A226" s="234"/>
      <c r="B226" s="231"/>
      <c r="C226" s="231"/>
      <c r="D226" s="231"/>
      <c r="E226" s="234"/>
      <c r="F226" s="239"/>
    </row>
    <row r="227" spans="1:6" x14ac:dyDescent="0.15">
      <c r="A227" s="234"/>
      <c r="B227" s="231"/>
      <c r="C227" s="231"/>
      <c r="D227" s="231"/>
      <c r="E227" s="234"/>
      <c r="F227" s="239"/>
    </row>
    <row r="228" spans="1:6" x14ac:dyDescent="0.15">
      <c r="A228" s="234"/>
      <c r="B228" s="231"/>
      <c r="C228" s="231"/>
      <c r="D228" s="231"/>
      <c r="E228" s="234"/>
      <c r="F228" s="239"/>
    </row>
    <row r="229" spans="1:6" x14ac:dyDescent="0.15">
      <c r="A229" s="234"/>
      <c r="B229" s="231"/>
      <c r="C229" s="231"/>
      <c r="D229" s="231"/>
      <c r="E229" s="234"/>
      <c r="F229" s="239"/>
    </row>
    <row r="230" spans="1:6" x14ac:dyDescent="0.15">
      <c r="A230" s="234"/>
      <c r="B230" s="231"/>
      <c r="C230" s="231"/>
      <c r="D230" s="231"/>
      <c r="E230" s="234"/>
      <c r="F230" s="239"/>
    </row>
    <row r="231" spans="1:6" x14ac:dyDescent="0.15">
      <c r="A231" s="234"/>
      <c r="B231" s="231"/>
      <c r="C231" s="231"/>
      <c r="D231" s="231"/>
      <c r="E231" s="234"/>
      <c r="F231" s="239"/>
    </row>
    <row r="232" spans="1:6" x14ac:dyDescent="0.15">
      <c r="A232" s="234"/>
      <c r="B232" s="231"/>
      <c r="C232" s="231"/>
      <c r="D232" s="231"/>
      <c r="E232" s="234"/>
      <c r="F232" s="239"/>
    </row>
    <row r="233" spans="1:6" x14ac:dyDescent="0.15">
      <c r="A233" s="234"/>
      <c r="B233" s="231"/>
      <c r="C233" s="231"/>
      <c r="D233" s="231"/>
      <c r="E233" s="234"/>
      <c r="F233" s="239"/>
    </row>
    <row r="234" spans="1:6" x14ac:dyDescent="0.15">
      <c r="A234" s="234"/>
      <c r="B234" s="231"/>
      <c r="C234" s="231"/>
      <c r="D234" s="231"/>
      <c r="E234" s="234"/>
      <c r="F234" s="239"/>
    </row>
    <row r="235" spans="1:6" x14ac:dyDescent="0.15">
      <c r="A235" s="234"/>
      <c r="B235" s="231"/>
      <c r="C235" s="231"/>
      <c r="D235" s="231"/>
      <c r="E235" s="234"/>
      <c r="F235" s="239"/>
    </row>
    <row r="236" spans="1:6" x14ac:dyDescent="0.15">
      <c r="A236" s="234"/>
      <c r="B236" s="231"/>
      <c r="C236" s="231"/>
      <c r="D236" s="231"/>
      <c r="E236" s="234"/>
      <c r="F236" s="239"/>
    </row>
    <row r="237" spans="1:6" x14ac:dyDescent="0.15">
      <c r="A237" s="234"/>
      <c r="B237" s="231"/>
      <c r="C237" s="231"/>
      <c r="D237" s="231"/>
      <c r="E237" s="234"/>
      <c r="F237" s="239"/>
    </row>
    <row r="238" spans="1:6" x14ac:dyDescent="0.15">
      <c r="A238" s="234"/>
      <c r="B238" s="231"/>
      <c r="C238" s="231"/>
      <c r="D238" s="231"/>
      <c r="E238" s="234"/>
      <c r="F238" s="239"/>
    </row>
    <row r="239" spans="1:6" x14ac:dyDescent="0.15">
      <c r="A239" s="234"/>
      <c r="B239" s="231"/>
      <c r="C239" s="231"/>
      <c r="D239" s="231"/>
      <c r="E239" s="234"/>
      <c r="F239" s="239"/>
    </row>
    <row r="240" spans="1:6" x14ac:dyDescent="0.15">
      <c r="A240" s="234"/>
      <c r="B240" s="231"/>
      <c r="C240" s="231"/>
      <c r="D240" s="231"/>
      <c r="E240" s="234"/>
      <c r="F240" s="239"/>
    </row>
    <row r="241" spans="1:6" x14ac:dyDescent="0.15">
      <c r="A241" s="234"/>
      <c r="B241" s="231"/>
      <c r="C241" s="231"/>
      <c r="D241" s="231"/>
      <c r="E241" s="234"/>
      <c r="F241" s="239"/>
    </row>
    <row r="242" spans="1:6" x14ac:dyDescent="0.15">
      <c r="A242" s="234"/>
      <c r="B242" s="231"/>
      <c r="C242" s="231"/>
      <c r="D242" s="231"/>
      <c r="E242" s="234"/>
      <c r="F242" s="239"/>
    </row>
    <row r="243" spans="1:6" x14ac:dyDescent="0.15">
      <c r="A243" s="234"/>
      <c r="B243" s="231"/>
      <c r="C243" s="231"/>
      <c r="D243" s="231"/>
      <c r="E243" s="234"/>
      <c r="F243" s="239"/>
    </row>
    <row r="244" spans="1:6" x14ac:dyDescent="0.15">
      <c r="A244" s="234"/>
      <c r="B244" s="231"/>
      <c r="C244" s="231"/>
      <c r="D244" s="231"/>
      <c r="E244" s="234"/>
      <c r="F244" s="239"/>
    </row>
    <row r="245" spans="1:6" x14ac:dyDescent="0.15">
      <c r="A245" s="234"/>
      <c r="B245" s="231"/>
      <c r="C245" s="231"/>
      <c r="D245" s="231"/>
      <c r="E245" s="234"/>
      <c r="F245" s="239"/>
    </row>
    <row r="246" spans="1:6" x14ac:dyDescent="0.15">
      <c r="A246" s="234"/>
      <c r="B246" s="231"/>
      <c r="C246" s="231"/>
      <c r="D246" s="231"/>
      <c r="E246" s="234"/>
      <c r="F246" s="239"/>
    </row>
    <row r="247" spans="1:6" x14ac:dyDescent="0.15">
      <c r="A247" s="234"/>
      <c r="B247" s="231"/>
      <c r="C247" s="231"/>
      <c r="D247" s="231"/>
      <c r="E247" s="234"/>
      <c r="F247" s="239"/>
    </row>
    <row r="248" spans="1:6" x14ac:dyDescent="0.15">
      <c r="A248" s="234"/>
      <c r="B248" s="231"/>
      <c r="C248" s="231"/>
      <c r="D248" s="231"/>
      <c r="E248" s="234"/>
      <c r="F248" s="239"/>
    </row>
    <row r="249" spans="1:6" x14ac:dyDescent="0.15">
      <c r="A249" s="234"/>
      <c r="B249" s="231"/>
      <c r="C249" s="231"/>
      <c r="D249" s="231"/>
      <c r="E249" s="234"/>
      <c r="F249" s="239"/>
    </row>
    <row r="250" spans="1:6" x14ac:dyDescent="0.15">
      <c r="A250" s="234"/>
      <c r="B250" s="231"/>
      <c r="C250" s="231"/>
      <c r="D250" s="231"/>
      <c r="E250" s="234"/>
      <c r="F250" s="239"/>
    </row>
    <row r="251" spans="1:6" x14ac:dyDescent="0.15">
      <c r="A251" s="234"/>
      <c r="B251" s="231"/>
      <c r="C251" s="231"/>
      <c r="D251" s="231"/>
      <c r="E251" s="234"/>
      <c r="F251" s="239"/>
    </row>
    <row r="252" spans="1:6" x14ac:dyDescent="0.15">
      <c r="A252" s="234"/>
      <c r="B252" s="231"/>
      <c r="C252" s="231"/>
      <c r="D252" s="231"/>
      <c r="E252" s="234"/>
      <c r="F252" s="239"/>
    </row>
    <row r="253" spans="1:6" x14ac:dyDescent="0.15">
      <c r="A253" s="234"/>
      <c r="B253" s="231"/>
      <c r="C253" s="231"/>
      <c r="D253" s="231"/>
      <c r="E253" s="234"/>
      <c r="F253" s="239"/>
    </row>
    <row r="254" spans="1:6" x14ac:dyDescent="0.15">
      <c r="A254" s="234"/>
      <c r="B254" s="231"/>
      <c r="C254" s="231"/>
      <c r="D254" s="231"/>
      <c r="E254" s="234"/>
      <c r="F254" s="239"/>
    </row>
    <row r="255" spans="1:6" x14ac:dyDescent="0.15">
      <c r="A255" s="234"/>
      <c r="B255" s="231"/>
      <c r="C255" s="231"/>
      <c r="D255" s="231"/>
      <c r="E255" s="234"/>
      <c r="F255" s="239"/>
    </row>
    <row r="256" spans="1:6" x14ac:dyDescent="0.15">
      <c r="A256" s="234"/>
      <c r="B256" s="231"/>
      <c r="C256" s="231"/>
      <c r="D256" s="231"/>
      <c r="E256" s="234"/>
      <c r="F256" s="239"/>
    </row>
    <row r="257" spans="1:6" x14ac:dyDescent="0.15">
      <c r="A257" s="234"/>
      <c r="B257" s="231"/>
      <c r="C257" s="231"/>
      <c r="D257" s="231"/>
      <c r="E257" s="234"/>
      <c r="F257" s="239"/>
    </row>
    <row r="258" spans="1:6" x14ac:dyDescent="0.15">
      <c r="A258" s="234"/>
      <c r="B258" s="231"/>
      <c r="C258" s="231"/>
      <c r="D258" s="231"/>
      <c r="E258" s="234"/>
      <c r="F258" s="239"/>
    </row>
    <row r="259" spans="1:6" x14ac:dyDescent="0.15">
      <c r="A259" s="234"/>
      <c r="B259" s="231"/>
      <c r="C259" s="231"/>
      <c r="D259" s="231"/>
      <c r="E259" s="234"/>
      <c r="F259" s="239"/>
    </row>
    <row r="260" spans="1:6" x14ac:dyDescent="0.15">
      <c r="A260" s="234"/>
      <c r="B260" s="231"/>
      <c r="C260" s="231"/>
      <c r="D260" s="231"/>
      <c r="E260" s="234"/>
      <c r="F260" s="239"/>
    </row>
    <row r="261" spans="1:6" x14ac:dyDescent="0.15">
      <c r="A261" s="234"/>
      <c r="B261" s="231"/>
      <c r="C261" s="231"/>
      <c r="D261" s="231"/>
      <c r="E261" s="234"/>
      <c r="F261" s="239"/>
    </row>
    <row r="262" spans="1:6" x14ac:dyDescent="0.15">
      <c r="A262" s="234"/>
      <c r="B262" s="231"/>
      <c r="C262" s="231"/>
      <c r="D262" s="231"/>
      <c r="E262" s="234"/>
      <c r="F262" s="239"/>
    </row>
    <row r="263" spans="1:6" x14ac:dyDescent="0.15">
      <c r="A263" s="234"/>
      <c r="B263" s="231"/>
      <c r="C263" s="231"/>
      <c r="D263" s="231"/>
      <c r="E263" s="234"/>
      <c r="F263" s="239"/>
    </row>
    <row r="264" spans="1:6" x14ac:dyDescent="0.15">
      <c r="A264" s="234"/>
      <c r="B264" s="231"/>
      <c r="C264" s="231"/>
      <c r="D264" s="231"/>
      <c r="E264" s="234"/>
      <c r="F264" s="239"/>
    </row>
    <row r="265" spans="1:6" x14ac:dyDescent="0.15">
      <c r="A265" s="234"/>
      <c r="B265" s="231"/>
      <c r="C265" s="231"/>
      <c r="D265" s="231"/>
      <c r="E265" s="234"/>
      <c r="F265" s="239"/>
    </row>
    <row r="266" spans="1:6" x14ac:dyDescent="0.15">
      <c r="A266" s="234"/>
      <c r="B266" s="231"/>
      <c r="C266" s="231"/>
      <c r="D266" s="231"/>
      <c r="E266" s="234"/>
      <c r="F266" s="239"/>
    </row>
    <row r="267" spans="1:6" x14ac:dyDescent="0.15">
      <c r="A267" s="234"/>
      <c r="B267" s="231"/>
      <c r="C267" s="231"/>
      <c r="D267" s="231"/>
      <c r="E267" s="234"/>
      <c r="F267" s="239"/>
    </row>
    <row r="268" spans="1:6" x14ac:dyDescent="0.15">
      <c r="A268" s="234"/>
      <c r="B268" s="231"/>
      <c r="C268" s="231"/>
      <c r="D268" s="231"/>
      <c r="E268" s="234"/>
      <c r="F268" s="239"/>
    </row>
    <row r="269" spans="1:6" x14ac:dyDescent="0.15">
      <c r="A269" s="234"/>
      <c r="B269" s="231"/>
      <c r="C269" s="231"/>
      <c r="D269" s="231"/>
      <c r="E269" s="234"/>
      <c r="F269" s="239"/>
    </row>
    <row r="270" spans="1:6" x14ac:dyDescent="0.15">
      <c r="A270" s="234"/>
      <c r="B270" s="231"/>
      <c r="C270" s="231"/>
      <c r="D270" s="231"/>
      <c r="E270" s="234"/>
      <c r="F270" s="239"/>
    </row>
    <row r="271" spans="1:6" x14ac:dyDescent="0.15">
      <c r="A271" s="234"/>
      <c r="B271" s="231"/>
      <c r="C271" s="231"/>
      <c r="D271" s="231"/>
      <c r="E271" s="234"/>
      <c r="F271" s="239"/>
    </row>
    <row r="272" spans="1:6" x14ac:dyDescent="0.15">
      <c r="A272" s="234"/>
      <c r="B272" s="231"/>
      <c r="C272" s="231"/>
      <c r="D272" s="231"/>
      <c r="E272" s="234"/>
      <c r="F272" s="239"/>
    </row>
    <row r="273" spans="1:6" x14ac:dyDescent="0.15">
      <c r="A273" s="234"/>
      <c r="B273" s="231"/>
      <c r="C273" s="231"/>
      <c r="D273" s="231"/>
      <c r="E273" s="234"/>
      <c r="F273" s="239"/>
    </row>
    <row r="274" spans="1:6" x14ac:dyDescent="0.15">
      <c r="A274" s="234"/>
      <c r="B274" s="231"/>
      <c r="C274" s="231"/>
      <c r="D274" s="231"/>
      <c r="E274" s="234"/>
      <c r="F274" s="239"/>
    </row>
    <row r="275" spans="1:6" x14ac:dyDescent="0.15">
      <c r="A275" s="234"/>
      <c r="B275" s="231"/>
      <c r="C275" s="231"/>
      <c r="D275" s="231"/>
      <c r="E275" s="234"/>
      <c r="F275" s="239"/>
    </row>
    <row r="276" spans="1:6" x14ac:dyDescent="0.15">
      <c r="A276" s="234"/>
      <c r="B276" s="231"/>
      <c r="C276" s="231"/>
      <c r="D276" s="231"/>
      <c r="E276" s="234"/>
      <c r="F276" s="239"/>
    </row>
    <row r="277" spans="1:6" x14ac:dyDescent="0.15">
      <c r="A277" s="234"/>
      <c r="B277" s="231"/>
      <c r="C277" s="231"/>
      <c r="D277" s="231"/>
      <c r="E277" s="234"/>
      <c r="F277" s="239"/>
    </row>
    <row r="278" spans="1:6" x14ac:dyDescent="0.15">
      <c r="A278" s="234"/>
      <c r="B278" s="231"/>
      <c r="C278" s="231"/>
      <c r="D278" s="231"/>
      <c r="E278" s="234"/>
      <c r="F278" s="239"/>
    </row>
    <row r="279" spans="1:6" x14ac:dyDescent="0.15">
      <c r="A279" s="234"/>
      <c r="B279" s="231"/>
      <c r="C279" s="231"/>
      <c r="D279" s="231"/>
      <c r="E279" s="234"/>
      <c r="F279" s="239"/>
    </row>
    <row r="280" spans="1:6" x14ac:dyDescent="0.15">
      <c r="A280" s="234"/>
      <c r="B280" s="231"/>
      <c r="C280" s="231"/>
      <c r="D280" s="231"/>
      <c r="E280" s="234"/>
      <c r="F280" s="239"/>
    </row>
    <row r="281" spans="1:6" x14ac:dyDescent="0.15">
      <c r="A281" s="234"/>
      <c r="B281" s="231"/>
      <c r="C281" s="231"/>
      <c r="D281" s="231"/>
      <c r="E281" s="234"/>
      <c r="F281" s="239"/>
    </row>
    <row r="282" spans="1:6" x14ac:dyDescent="0.15">
      <c r="A282" s="234"/>
      <c r="B282" s="231"/>
      <c r="C282" s="231"/>
      <c r="D282" s="231"/>
      <c r="E282" s="234"/>
      <c r="F282" s="239"/>
    </row>
    <row r="283" spans="1:6" x14ac:dyDescent="0.15">
      <c r="A283" s="234"/>
      <c r="B283" s="231"/>
      <c r="C283" s="231"/>
      <c r="D283" s="231"/>
      <c r="E283" s="234"/>
      <c r="F283" s="239"/>
    </row>
    <row r="284" spans="1:6" x14ac:dyDescent="0.15">
      <c r="A284" s="234"/>
      <c r="B284" s="231"/>
      <c r="C284" s="231"/>
      <c r="D284" s="231"/>
      <c r="E284" s="234"/>
      <c r="F284" s="239"/>
    </row>
    <row r="285" spans="1:6" x14ac:dyDescent="0.15">
      <c r="A285" s="234"/>
      <c r="B285" s="231"/>
      <c r="C285" s="231"/>
      <c r="D285" s="231"/>
      <c r="E285" s="234"/>
      <c r="F285" s="239"/>
    </row>
    <row r="286" spans="1:6" x14ac:dyDescent="0.15">
      <c r="A286" s="234"/>
      <c r="B286" s="231"/>
      <c r="C286" s="231"/>
      <c r="D286" s="231"/>
      <c r="E286" s="234"/>
      <c r="F286" s="239"/>
    </row>
    <row r="287" spans="1:6" x14ac:dyDescent="0.15">
      <c r="A287" s="234"/>
      <c r="B287" s="231"/>
      <c r="C287" s="231"/>
      <c r="D287" s="231"/>
      <c r="E287" s="234"/>
      <c r="F287" s="239"/>
    </row>
    <row r="288" spans="1:6" x14ac:dyDescent="0.15">
      <c r="A288" s="234"/>
      <c r="B288" s="231"/>
      <c r="C288" s="231"/>
      <c r="D288" s="231"/>
      <c r="E288" s="234"/>
      <c r="F288" s="239"/>
    </row>
    <row r="289" spans="1:6" x14ac:dyDescent="0.15">
      <c r="A289" s="234"/>
      <c r="B289" s="231"/>
      <c r="C289" s="231"/>
      <c r="D289" s="231"/>
      <c r="E289" s="234"/>
      <c r="F289" s="239"/>
    </row>
    <row r="290" spans="1:6" x14ac:dyDescent="0.15">
      <c r="A290" s="234"/>
      <c r="B290" s="231"/>
      <c r="C290" s="231"/>
      <c r="D290" s="231"/>
      <c r="E290" s="234"/>
      <c r="F290" s="239"/>
    </row>
    <row r="291" spans="1:6" x14ac:dyDescent="0.15">
      <c r="A291" s="234"/>
      <c r="B291" s="231"/>
      <c r="C291" s="231"/>
      <c r="D291" s="231"/>
      <c r="E291" s="234"/>
      <c r="F291" s="239"/>
    </row>
    <row r="292" spans="1:6" x14ac:dyDescent="0.15">
      <c r="A292" s="234"/>
      <c r="B292" s="231"/>
      <c r="C292" s="231"/>
      <c r="D292" s="231"/>
      <c r="E292" s="234"/>
      <c r="F292" s="239"/>
    </row>
    <row r="293" spans="1:6" x14ac:dyDescent="0.15">
      <c r="A293" s="234"/>
      <c r="B293" s="231"/>
      <c r="C293" s="231"/>
      <c r="D293" s="231"/>
      <c r="E293" s="234"/>
      <c r="F293" s="239"/>
    </row>
    <row r="294" spans="1:6" x14ac:dyDescent="0.15">
      <c r="A294" s="234"/>
      <c r="B294" s="231"/>
      <c r="C294" s="231"/>
      <c r="D294" s="231"/>
      <c r="E294" s="234"/>
      <c r="F294" s="239"/>
    </row>
    <row r="295" spans="1:6" x14ac:dyDescent="0.15">
      <c r="A295" s="234"/>
      <c r="B295" s="231"/>
      <c r="C295" s="231"/>
      <c r="D295" s="231"/>
      <c r="E295" s="234"/>
      <c r="F295" s="239"/>
    </row>
    <row r="296" spans="1:6" x14ac:dyDescent="0.15">
      <c r="A296" s="234"/>
      <c r="B296" s="231"/>
      <c r="C296" s="231"/>
      <c r="D296" s="231"/>
      <c r="E296" s="234"/>
      <c r="F296" s="239"/>
    </row>
    <row r="297" spans="1:6" x14ac:dyDescent="0.15">
      <c r="A297" s="234"/>
      <c r="B297" s="231"/>
      <c r="C297" s="231"/>
      <c r="D297" s="231"/>
      <c r="E297" s="234"/>
      <c r="F297" s="239"/>
    </row>
    <row r="298" spans="1:6" x14ac:dyDescent="0.15">
      <c r="A298" s="234"/>
      <c r="B298" s="231"/>
      <c r="C298" s="231"/>
      <c r="D298" s="231"/>
      <c r="E298" s="234"/>
      <c r="F298" s="239"/>
    </row>
    <row r="299" spans="1:6" x14ac:dyDescent="0.15">
      <c r="A299" s="234"/>
      <c r="B299" s="231"/>
      <c r="C299" s="231"/>
      <c r="D299" s="231"/>
      <c r="E299" s="234"/>
      <c r="F299" s="239"/>
    </row>
    <row r="300" spans="1:6" x14ac:dyDescent="0.15">
      <c r="A300" s="234"/>
      <c r="B300" s="231"/>
      <c r="C300" s="231"/>
      <c r="D300" s="231"/>
      <c r="E300" s="234"/>
      <c r="F300" s="239"/>
    </row>
    <row r="301" spans="1:6" x14ac:dyDescent="0.15">
      <c r="A301" s="234"/>
      <c r="B301" s="231"/>
      <c r="C301" s="231"/>
      <c r="D301" s="231"/>
      <c r="E301" s="234"/>
      <c r="F301" s="239"/>
    </row>
    <row r="302" spans="1:6" x14ac:dyDescent="0.15">
      <c r="A302" s="234"/>
      <c r="B302" s="231"/>
      <c r="C302" s="231"/>
      <c r="D302" s="231"/>
      <c r="E302" s="234"/>
      <c r="F302" s="239"/>
    </row>
    <row r="303" spans="1:6" x14ac:dyDescent="0.15">
      <c r="A303" s="234"/>
      <c r="B303" s="231"/>
      <c r="C303" s="231"/>
      <c r="D303" s="231"/>
      <c r="E303" s="234"/>
      <c r="F303" s="239"/>
    </row>
    <row r="304" spans="1:6" x14ac:dyDescent="0.15">
      <c r="A304" s="234"/>
      <c r="B304" s="231"/>
      <c r="C304" s="231"/>
      <c r="D304" s="231"/>
      <c r="E304" s="234"/>
      <c r="F304" s="239"/>
    </row>
    <row r="305" spans="1:6" x14ac:dyDescent="0.15">
      <c r="A305" s="234"/>
      <c r="B305" s="231"/>
      <c r="C305" s="231"/>
      <c r="D305" s="231"/>
      <c r="E305" s="234"/>
      <c r="F305" s="239"/>
    </row>
  </sheetData>
  <mergeCells count="1">
    <mergeCell ref="A1:F1"/>
  </mergeCells>
  <conditionalFormatting sqref="C5:C14">
    <cfRule type="cellIs" dxfId="29" priority="2" operator="equal">
      <formula>"Y"</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legacy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8"/>
  <sheetViews>
    <sheetView showGridLines="0" zoomScaleNormal="100" workbookViewId="0">
      <selection activeCell="A164" sqref="A1:XFD1048576"/>
    </sheetView>
  </sheetViews>
  <sheetFormatPr baseColWidth="10" defaultColWidth="8.6640625" defaultRowHeight="15" x14ac:dyDescent="0.2"/>
  <cols>
    <col min="1" max="1" width="26" customWidth="1"/>
    <col min="2" max="2" width="45" customWidth="1"/>
    <col min="3" max="3" width="59.83203125" customWidth="1"/>
    <col min="4" max="4" width="55" customWidth="1"/>
    <col min="5" max="5" width="1" customWidth="1"/>
  </cols>
  <sheetData>
    <row r="1" spans="1:6" ht="16" x14ac:dyDescent="0.2">
      <c r="A1" s="193" t="s">
        <v>778</v>
      </c>
      <c r="B1" s="193"/>
      <c r="C1" s="193"/>
      <c r="D1" s="193"/>
      <c r="E1" s="193"/>
      <c r="F1" s="193"/>
    </row>
    <row r="2" spans="1:6" x14ac:dyDescent="0.2">
      <c r="A2" s="194" t="s">
        <v>779</v>
      </c>
      <c r="B2" s="194"/>
      <c r="C2" s="194"/>
      <c r="D2" s="194"/>
      <c r="E2" s="194"/>
      <c r="F2" s="194"/>
    </row>
    <row r="4" spans="1:6" x14ac:dyDescent="0.2">
      <c r="A4" s="195" t="s">
        <v>780</v>
      </c>
      <c r="B4" s="195"/>
      <c r="C4" s="195"/>
      <c r="D4" s="195"/>
      <c r="E4" s="195"/>
      <c r="F4" s="195"/>
    </row>
    <row r="5" spans="1:6" x14ac:dyDescent="0.2">
      <c r="A5" s="173" t="s">
        <v>781</v>
      </c>
      <c r="B5" s="173" t="s">
        <v>782</v>
      </c>
      <c r="C5" s="173" t="s">
        <v>783</v>
      </c>
      <c r="D5" s="173" t="s">
        <v>784</v>
      </c>
    </row>
    <row r="6" spans="1:6" x14ac:dyDescent="0.2">
      <c r="A6" s="174" t="s">
        <v>785</v>
      </c>
      <c r="B6" s="174" t="s">
        <v>786</v>
      </c>
      <c r="C6" s="174" t="s">
        <v>786</v>
      </c>
      <c r="D6" s="196" t="s">
        <v>787</v>
      </c>
      <c r="E6" s="196"/>
      <c r="F6" s="196"/>
    </row>
    <row r="8" spans="1:6" x14ac:dyDescent="0.2">
      <c r="A8" s="195" t="s">
        <v>788</v>
      </c>
      <c r="B8" s="195"/>
      <c r="C8" s="195"/>
      <c r="D8" s="195"/>
      <c r="E8" s="195"/>
      <c r="F8" s="195"/>
    </row>
    <row r="9" spans="1:6" x14ac:dyDescent="0.2">
      <c r="A9" s="173" t="s">
        <v>781</v>
      </c>
      <c r="B9" s="173" t="s">
        <v>782</v>
      </c>
      <c r="C9" s="173" t="s">
        <v>783</v>
      </c>
      <c r="D9" s="173" t="s">
        <v>784</v>
      </c>
    </row>
    <row r="10" spans="1:6" x14ac:dyDescent="0.2">
      <c r="A10" s="174" t="s">
        <v>789</v>
      </c>
      <c r="B10" s="174" t="s">
        <v>786</v>
      </c>
      <c r="C10" s="174" t="s">
        <v>790</v>
      </c>
      <c r="D10" s="196" t="s">
        <v>791</v>
      </c>
      <c r="E10" s="196"/>
      <c r="F10" s="196"/>
    </row>
    <row r="12" spans="1:6" x14ac:dyDescent="0.2">
      <c r="A12" s="195" t="s">
        <v>792</v>
      </c>
      <c r="B12" s="195"/>
      <c r="C12" s="195"/>
      <c r="D12" s="195"/>
      <c r="E12" s="195"/>
      <c r="F12" s="195"/>
    </row>
    <row r="13" spans="1:6" x14ac:dyDescent="0.2">
      <c r="A13" s="173" t="s">
        <v>781</v>
      </c>
      <c r="B13" s="173" t="s">
        <v>782</v>
      </c>
      <c r="C13" s="173" t="s">
        <v>783</v>
      </c>
      <c r="D13" s="173" t="s">
        <v>784</v>
      </c>
    </row>
    <row r="14" spans="1:6" ht="84" x14ac:dyDescent="0.2">
      <c r="A14" s="174" t="s">
        <v>793</v>
      </c>
      <c r="B14" s="174" t="s">
        <v>794</v>
      </c>
      <c r="C14" s="174" t="s">
        <v>795</v>
      </c>
      <c r="D14" s="196" t="s">
        <v>796</v>
      </c>
      <c r="E14" s="196"/>
      <c r="F14" s="196"/>
    </row>
    <row r="16" spans="1:6" x14ac:dyDescent="0.2">
      <c r="A16" s="195" t="s">
        <v>797</v>
      </c>
      <c r="B16" s="195"/>
      <c r="C16" s="195"/>
      <c r="D16" s="195"/>
      <c r="E16" s="195"/>
      <c r="F16" s="195"/>
    </row>
    <row r="17" spans="1:6" x14ac:dyDescent="0.2">
      <c r="A17" s="173" t="s">
        <v>781</v>
      </c>
      <c r="B17" s="173" t="s">
        <v>782</v>
      </c>
      <c r="C17" s="173" t="s">
        <v>783</v>
      </c>
      <c r="D17" s="173" t="s">
        <v>784</v>
      </c>
    </row>
    <row r="18" spans="1:6" ht="36" x14ac:dyDescent="0.2">
      <c r="A18" s="174" t="s">
        <v>793</v>
      </c>
      <c r="B18" s="174" t="s">
        <v>798</v>
      </c>
      <c r="C18" s="174" t="s">
        <v>799</v>
      </c>
      <c r="D18" s="196" t="s">
        <v>800</v>
      </c>
      <c r="E18" s="196"/>
      <c r="F18" s="196"/>
    </row>
    <row r="20" spans="1:6" x14ac:dyDescent="0.2">
      <c r="A20" s="195" t="s">
        <v>801</v>
      </c>
      <c r="B20" s="195"/>
      <c r="C20" s="195"/>
      <c r="D20" s="195"/>
      <c r="E20" s="195"/>
      <c r="F20" s="195"/>
    </row>
    <row r="21" spans="1:6" x14ac:dyDescent="0.2">
      <c r="A21" s="173" t="s">
        <v>781</v>
      </c>
      <c r="B21" s="173" t="s">
        <v>782</v>
      </c>
      <c r="C21" s="173" t="s">
        <v>783</v>
      </c>
      <c r="D21" s="173" t="s">
        <v>784</v>
      </c>
    </row>
    <row r="22" spans="1:6" ht="96" x14ac:dyDescent="0.2">
      <c r="A22" s="174" t="s">
        <v>802</v>
      </c>
      <c r="B22" s="174" t="s">
        <v>786</v>
      </c>
      <c r="C22" s="174" t="s">
        <v>803</v>
      </c>
      <c r="D22" s="196" t="s">
        <v>804</v>
      </c>
      <c r="E22" s="196"/>
      <c r="F22" s="196"/>
    </row>
    <row r="24" spans="1:6" x14ac:dyDescent="0.2">
      <c r="A24" s="195" t="s">
        <v>805</v>
      </c>
      <c r="B24" s="195"/>
      <c r="C24" s="195"/>
      <c r="D24" s="195"/>
      <c r="E24" s="195"/>
      <c r="F24" s="195"/>
    </row>
    <row r="25" spans="1:6" x14ac:dyDescent="0.2">
      <c r="A25" s="173" t="s">
        <v>781</v>
      </c>
      <c r="B25" s="173" t="s">
        <v>782</v>
      </c>
      <c r="C25" s="173" t="s">
        <v>783</v>
      </c>
      <c r="D25" s="173" t="s">
        <v>784</v>
      </c>
    </row>
    <row r="26" spans="1:6" x14ac:dyDescent="0.2">
      <c r="A26" s="174" t="s">
        <v>793</v>
      </c>
      <c r="B26" s="174" t="s">
        <v>806</v>
      </c>
      <c r="C26" s="174" t="s">
        <v>807</v>
      </c>
      <c r="D26" s="196" t="s">
        <v>808</v>
      </c>
      <c r="E26" s="196"/>
      <c r="F26" s="196"/>
    </row>
    <row r="28" spans="1:6" x14ac:dyDescent="0.2">
      <c r="A28" s="195" t="s">
        <v>809</v>
      </c>
      <c r="B28" s="195"/>
      <c r="C28" s="195"/>
      <c r="D28" s="195"/>
      <c r="E28" s="195"/>
      <c r="F28" s="195"/>
    </row>
    <row r="29" spans="1:6" x14ac:dyDescent="0.2">
      <c r="A29" s="173" t="s">
        <v>781</v>
      </c>
      <c r="B29" s="173" t="s">
        <v>782</v>
      </c>
      <c r="C29" s="173" t="s">
        <v>783</v>
      </c>
      <c r="D29" s="173" t="s">
        <v>784</v>
      </c>
    </row>
    <row r="30" spans="1:6" ht="24" x14ac:dyDescent="0.2">
      <c r="A30" s="174" t="s">
        <v>810</v>
      </c>
      <c r="B30" s="174" t="s">
        <v>811</v>
      </c>
      <c r="C30" s="174" t="s">
        <v>812</v>
      </c>
      <c r="D30" s="196" t="s">
        <v>813</v>
      </c>
      <c r="E30" s="196"/>
      <c r="F30" s="196"/>
    </row>
    <row r="32" spans="1:6" x14ac:dyDescent="0.2">
      <c r="A32" s="195" t="s">
        <v>814</v>
      </c>
      <c r="B32" s="195"/>
      <c r="C32" s="195"/>
      <c r="D32" s="195"/>
      <c r="E32" s="195"/>
      <c r="F32" s="195"/>
    </row>
    <row r="33" spans="1:6" x14ac:dyDescent="0.2">
      <c r="A33" s="173" t="s">
        <v>781</v>
      </c>
      <c r="B33" s="173" t="s">
        <v>782</v>
      </c>
      <c r="C33" s="173" t="s">
        <v>783</v>
      </c>
      <c r="D33" s="173" t="s">
        <v>784</v>
      </c>
    </row>
    <row r="34" spans="1:6" x14ac:dyDescent="0.2">
      <c r="A34" s="174" t="s">
        <v>793</v>
      </c>
      <c r="B34" s="174" t="s">
        <v>815</v>
      </c>
      <c r="C34" s="174" t="s">
        <v>816</v>
      </c>
      <c r="D34" s="196" t="s">
        <v>817</v>
      </c>
      <c r="E34" s="196"/>
      <c r="F34" s="196"/>
    </row>
    <row r="36" spans="1:6" x14ac:dyDescent="0.2">
      <c r="A36" s="195" t="s">
        <v>818</v>
      </c>
      <c r="B36" s="195"/>
      <c r="C36" s="195"/>
      <c r="D36" s="195"/>
      <c r="E36" s="195"/>
      <c r="F36" s="195"/>
    </row>
    <row r="37" spans="1:6" x14ac:dyDescent="0.2">
      <c r="A37" s="173" t="s">
        <v>781</v>
      </c>
      <c r="B37" s="173" t="s">
        <v>782</v>
      </c>
      <c r="C37" s="173" t="s">
        <v>783</v>
      </c>
      <c r="D37" s="173" t="s">
        <v>784</v>
      </c>
    </row>
    <row r="38" spans="1:6" ht="36" x14ac:dyDescent="0.2">
      <c r="A38" s="174" t="s">
        <v>802</v>
      </c>
      <c r="B38" s="174" t="s">
        <v>786</v>
      </c>
      <c r="C38" s="174" t="s">
        <v>819</v>
      </c>
      <c r="D38" s="196" t="s">
        <v>820</v>
      </c>
      <c r="E38" s="196"/>
      <c r="F38" s="196"/>
    </row>
    <row r="40" spans="1:6" x14ac:dyDescent="0.2">
      <c r="A40" s="195" t="s">
        <v>821</v>
      </c>
      <c r="B40" s="195"/>
      <c r="C40" s="195"/>
      <c r="D40" s="195"/>
      <c r="E40" s="195"/>
      <c r="F40" s="195"/>
    </row>
    <row r="41" spans="1:6" x14ac:dyDescent="0.2">
      <c r="A41" s="173" t="s">
        <v>781</v>
      </c>
      <c r="B41" s="173" t="s">
        <v>782</v>
      </c>
      <c r="C41" s="173" t="s">
        <v>783</v>
      </c>
      <c r="D41" s="173" t="s">
        <v>784</v>
      </c>
    </row>
    <row r="42" spans="1:6" x14ac:dyDescent="0.2">
      <c r="A42" s="174" t="s">
        <v>822</v>
      </c>
      <c r="B42" s="174" t="s">
        <v>786</v>
      </c>
      <c r="C42" s="174" t="s">
        <v>823</v>
      </c>
      <c r="D42" s="196" t="s">
        <v>824</v>
      </c>
      <c r="E42" s="196"/>
      <c r="F42" s="196"/>
    </row>
    <row r="44" spans="1:6" x14ac:dyDescent="0.2">
      <c r="A44" s="195" t="s">
        <v>825</v>
      </c>
      <c r="B44" s="195"/>
      <c r="C44" s="195"/>
      <c r="D44" s="195"/>
      <c r="E44" s="195"/>
      <c r="F44" s="195"/>
    </row>
    <row r="45" spans="1:6" x14ac:dyDescent="0.2">
      <c r="A45" s="173" t="s">
        <v>781</v>
      </c>
      <c r="B45" s="173" t="s">
        <v>782</v>
      </c>
      <c r="C45" s="173" t="s">
        <v>783</v>
      </c>
      <c r="D45" s="173" t="s">
        <v>784</v>
      </c>
    </row>
    <row r="46" spans="1:6" x14ac:dyDescent="0.2">
      <c r="A46" s="174" t="s">
        <v>826</v>
      </c>
      <c r="B46" s="174" t="s">
        <v>786</v>
      </c>
      <c r="C46" s="174" t="s">
        <v>827</v>
      </c>
      <c r="D46" s="196" t="s">
        <v>828</v>
      </c>
      <c r="E46" s="196"/>
      <c r="F46" s="196"/>
    </row>
    <row r="48" spans="1:6" x14ac:dyDescent="0.2">
      <c r="A48" s="195" t="s">
        <v>829</v>
      </c>
      <c r="B48" s="195"/>
      <c r="C48" s="195"/>
      <c r="D48" s="195"/>
      <c r="E48" s="195"/>
      <c r="F48" s="195"/>
    </row>
    <row r="49" spans="1:6" x14ac:dyDescent="0.2">
      <c r="A49" s="173" t="s">
        <v>781</v>
      </c>
      <c r="B49" s="173" t="s">
        <v>782</v>
      </c>
      <c r="C49" s="173" t="s">
        <v>783</v>
      </c>
      <c r="D49" s="173" t="s">
        <v>784</v>
      </c>
    </row>
    <row r="50" spans="1:6" x14ac:dyDescent="0.2">
      <c r="A50" s="174" t="s">
        <v>793</v>
      </c>
      <c r="B50" s="174" t="s">
        <v>830</v>
      </c>
      <c r="C50" s="174" t="s">
        <v>831</v>
      </c>
      <c r="D50" s="196" t="s">
        <v>832</v>
      </c>
      <c r="E50" s="196"/>
      <c r="F50" s="196"/>
    </row>
    <row r="52" spans="1:6" x14ac:dyDescent="0.2">
      <c r="A52" s="195" t="s">
        <v>833</v>
      </c>
      <c r="B52" s="195"/>
      <c r="C52" s="195"/>
      <c r="D52" s="195"/>
      <c r="E52" s="195"/>
      <c r="F52" s="195"/>
    </row>
    <row r="53" spans="1:6" x14ac:dyDescent="0.2">
      <c r="A53" s="173" t="s">
        <v>781</v>
      </c>
      <c r="B53" s="173" t="s">
        <v>782</v>
      </c>
      <c r="C53" s="173" t="s">
        <v>783</v>
      </c>
      <c r="D53" s="173" t="s">
        <v>784</v>
      </c>
    </row>
    <row r="54" spans="1:6" x14ac:dyDescent="0.2">
      <c r="A54" s="174" t="s">
        <v>793</v>
      </c>
      <c r="B54" s="174" t="s">
        <v>834</v>
      </c>
      <c r="C54" s="174" t="s">
        <v>835</v>
      </c>
      <c r="D54" s="196" t="s">
        <v>836</v>
      </c>
      <c r="E54" s="196"/>
      <c r="F54" s="196"/>
    </row>
    <row r="56" spans="1:6" x14ac:dyDescent="0.2">
      <c r="A56" s="195" t="s">
        <v>837</v>
      </c>
      <c r="B56" s="195"/>
      <c r="C56" s="195"/>
      <c r="D56" s="195"/>
      <c r="E56" s="195"/>
      <c r="F56" s="195"/>
    </row>
    <row r="57" spans="1:6" x14ac:dyDescent="0.2">
      <c r="A57" s="173" t="s">
        <v>781</v>
      </c>
      <c r="B57" s="173" t="s">
        <v>782</v>
      </c>
      <c r="C57" s="173" t="s">
        <v>783</v>
      </c>
      <c r="D57" s="173" t="s">
        <v>784</v>
      </c>
    </row>
    <row r="58" spans="1:6" ht="60" x14ac:dyDescent="0.2">
      <c r="A58" s="174" t="s">
        <v>810</v>
      </c>
      <c r="B58" s="174" t="s">
        <v>838</v>
      </c>
      <c r="C58" s="174" t="s">
        <v>839</v>
      </c>
      <c r="D58" s="196" t="s">
        <v>840</v>
      </c>
      <c r="E58" s="196"/>
      <c r="F58" s="196"/>
    </row>
    <row r="60" spans="1:6" x14ac:dyDescent="0.2">
      <c r="A60" s="195" t="s">
        <v>841</v>
      </c>
      <c r="B60" s="195"/>
      <c r="C60" s="195"/>
      <c r="D60" s="195"/>
      <c r="E60" s="195"/>
      <c r="F60" s="195"/>
    </row>
    <row r="61" spans="1:6" x14ac:dyDescent="0.2">
      <c r="A61" s="173" t="s">
        <v>781</v>
      </c>
      <c r="B61" s="173" t="s">
        <v>782</v>
      </c>
      <c r="C61" s="173" t="s">
        <v>783</v>
      </c>
      <c r="D61" s="173" t="s">
        <v>784</v>
      </c>
    </row>
    <row r="62" spans="1:6" ht="96" x14ac:dyDescent="0.2">
      <c r="A62" s="174" t="s">
        <v>810</v>
      </c>
      <c r="B62" s="174" t="s">
        <v>842</v>
      </c>
      <c r="C62" s="174" t="s">
        <v>843</v>
      </c>
      <c r="D62" s="196" t="s">
        <v>844</v>
      </c>
      <c r="E62" s="196"/>
      <c r="F62" s="196"/>
    </row>
    <row r="64" spans="1:6" x14ac:dyDescent="0.2">
      <c r="A64" s="195" t="s">
        <v>845</v>
      </c>
      <c r="B64" s="195"/>
      <c r="C64" s="195"/>
      <c r="D64" s="195"/>
      <c r="E64" s="195"/>
      <c r="F64" s="195"/>
    </row>
    <row r="65" spans="1:6" x14ac:dyDescent="0.2">
      <c r="A65" s="173" t="s">
        <v>781</v>
      </c>
      <c r="B65" s="173" t="s">
        <v>782</v>
      </c>
      <c r="C65" s="173" t="s">
        <v>783</v>
      </c>
      <c r="D65" s="173" t="s">
        <v>784</v>
      </c>
    </row>
    <row r="66" spans="1:6" x14ac:dyDescent="0.2">
      <c r="A66" s="174" t="s">
        <v>793</v>
      </c>
      <c r="B66" s="174" t="s">
        <v>846</v>
      </c>
      <c r="C66" s="174" t="s">
        <v>847</v>
      </c>
      <c r="D66" s="196" t="s">
        <v>848</v>
      </c>
      <c r="E66" s="196"/>
      <c r="F66" s="196"/>
    </row>
    <row r="68" spans="1:6" x14ac:dyDescent="0.2">
      <c r="A68" s="195" t="s">
        <v>849</v>
      </c>
      <c r="B68" s="195"/>
      <c r="C68" s="195"/>
      <c r="D68" s="195"/>
      <c r="E68" s="195"/>
      <c r="F68" s="195"/>
    </row>
    <row r="69" spans="1:6" x14ac:dyDescent="0.2">
      <c r="A69" s="173" t="s">
        <v>781</v>
      </c>
      <c r="B69" s="173" t="s">
        <v>782</v>
      </c>
      <c r="C69" s="173" t="s">
        <v>783</v>
      </c>
      <c r="D69" s="173" t="s">
        <v>784</v>
      </c>
    </row>
    <row r="70" spans="1:6" x14ac:dyDescent="0.2">
      <c r="A70" s="174" t="s">
        <v>793</v>
      </c>
      <c r="B70" s="174" t="s">
        <v>850</v>
      </c>
      <c r="C70" s="174" t="s">
        <v>851</v>
      </c>
      <c r="D70" s="196" t="s">
        <v>852</v>
      </c>
      <c r="E70" s="196"/>
      <c r="F70" s="196"/>
    </row>
    <row r="72" spans="1:6" x14ac:dyDescent="0.2">
      <c r="A72" s="195" t="s">
        <v>853</v>
      </c>
      <c r="B72" s="195"/>
      <c r="C72" s="195"/>
      <c r="D72" s="195"/>
      <c r="E72" s="195"/>
      <c r="F72" s="195"/>
    </row>
    <row r="73" spans="1:6" x14ac:dyDescent="0.2">
      <c r="A73" s="173" t="s">
        <v>781</v>
      </c>
      <c r="B73" s="173" t="s">
        <v>782</v>
      </c>
      <c r="C73" s="173" t="s">
        <v>783</v>
      </c>
      <c r="D73" s="173" t="s">
        <v>784</v>
      </c>
    </row>
    <row r="74" spans="1:6" ht="60" x14ac:dyDescent="0.2">
      <c r="A74" s="174" t="s">
        <v>793</v>
      </c>
      <c r="B74" s="174" t="s">
        <v>854</v>
      </c>
      <c r="C74" s="174" t="s">
        <v>855</v>
      </c>
      <c r="D74" s="196" t="s">
        <v>856</v>
      </c>
      <c r="E74" s="196"/>
      <c r="F74" s="196"/>
    </row>
    <row r="76" spans="1:6" x14ac:dyDescent="0.2">
      <c r="A76" s="195" t="s">
        <v>857</v>
      </c>
      <c r="B76" s="195"/>
      <c r="C76" s="195"/>
      <c r="D76" s="195"/>
      <c r="E76" s="195"/>
      <c r="F76" s="195"/>
    </row>
    <row r="77" spans="1:6" x14ac:dyDescent="0.2">
      <c r="A77" s="173" t="s">
        <v>781</v>
      </c>
      <c r="B77" s="173" t="s">
        <v>782</v>
      </c>
      <c r="C77" s="173" t="s">
        <v>783</v>
      </c>
      <c r="D77" s="173" t="s">
        <v>784</v>
      </c>
    </row>
    <row r="78" spans="1:6" ht="24" x14ac:dyDescent="0.2">
      <c r="A78" s="174" t="s">
        <v>793</v>
      </c>
      <c r="B78" s="174" t="s">
        <v>858</v>
      </c>
      <c r="C78" s="174" t="s">
        <v>859</v>
      </c>
      <c r="D78" s="196" t="s">
        <v>860</v>
      </c>
      <c r="E78" s="196"/>
      <c r="F78" s="196"/>
    </row>
  </sheetData>
  <mergeCells count="40">
    <mergeCell ref="D70:F70"/>
    <mergeCell ref="A72:F72"/>
    <mergeCell ref="D74:F74"/>
    <mergeCell ref="A76:F76"/>
    <mergeCell ref="D78:F78"/>
    <mergeCell ref="A60:F60"/>
    <mergeCell ref="D62:F62"/>
    <mergeCell ref="A64:F64"/>
    <mergeCell ref="D66:F66"/>
    <mergeCell ref="A68:F68"/>
    <mergeCell ref="D50:F50"/>
    <mergeCell ref="A52:F52"/>
    <mergeCell ref="D54:F54"/>
    <mergeCell ref="A56:F56"/>
    <mergeCell ref="D58:F58"/>
    <mergeCell ref="A40:F40"/>
    <mergeCell ref="D42:F42"/>
    <mergeCell ref="A44:F44"/>
    <mergeCell ref="D46:F46"/>
    <mergeCell ref="A48:F48"/>
    <mergeCell ref="D30:F30"/>
    <mergeCell ref="A32:F32"/>
    <mergeCell ref="D34:F34"/>
    <mergeCell ref="A36:F36"/>
    <mergeCell ref="D38:F38"/>
    <mergeCell ref="A20:F20"/>
    <mergeCell ref="D22:F22"/>
    <mergeCell ref="A24:F24"/>
    <mergeCell ref="D26:F26"/>
    <mergeCell ref="A28:F28"/>
    <mergeCell ref="D10:F10"/>
    <mergeCell ref="A12:F12"/>
    <mergeCell ref="D14:F14"/>
    <mergeCell ref="A16:F16"/>
    <mergeCell ref="D18:F18"/>
    <mergeCell ref="A1:F1"/>
    <mergeCell ref="A2:F2"/>
    <mergeCell ref="A4:F4"/>
    <mergeCell ref="D6:F6"/>
    <mergeCell ref="A8:F8"/>
  </mergeCell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
  <sheetViews>
    <sheetView zoomScaleNormal="100" workbookViewId="0">
      <selection activeCell="F7" sqref="F7"/>
    </sheetView>
  </sheetViews>
  <sheetFormatPr baseColWidth="10" defaultColWidth="10.6640625" defaultRowHeight="15" x14ac:dyDescent="0.2"/>
  <sheetData/>
  <pageMargins left="0.7" right="0.7" top="0.75" bottom="0.75" header="0.511811023622047" footer="0.51180555555555596"/>
  <pageSetup orientation="portrait" horizontalDpi="300" verticalDpi="300"/>
  <headerFoot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21</vt:i4>
      </vt:variant>
      <vt:variant>
        <vt:lpstr>Named Ranges</vt:lpstr>
      </vt:variant>
      <vt:variant>
        <vt:i4>1</vt:i4>
      </vt:variant>
    </vt:vector>
  </HeadingPairs>
  <TitlesOfParts>
    <vt:vector size="22" baseType="lpstr">
      <vt:lpstr>Instructions</vt:lpstr>
      <vt:lpstr>Action Items</vt:lpstr>
      <vt:lpstr>Current Positions</vt:lpstr>
      <vt:lpstr>Monitor &amp; Recheck Triggers</vt:lpstr>
      <vt:lpstr>Price History</vt:lpstr>
      <vt:lpstr>Dashboard</vt:lpstr>
      <vt:lpstr>Scoring</vt:lpstr>
      <vt:lpstr>Entry Checklist</vt:lpstr>
      <vt:lpstr>Market Data</vt:lpstr>
      <vt:lpstr>Returns (Calc)</vt:lpstr>
      <vt:lpstr>Correlation Matrix</vt:lpstr>
      <vt:lpstr>Portfolio Drawdown Log</vt:lpstr>
      <vt:lpstr>Watch List Tracker</vt:lpstr>
      <vt:lpstr>Implied-Return Calculator</vt:lpstr>
      <vt:lpstr>Holding Monitor</vt:lpstr>
      <vt:lpstr>Performance Tracking</vt:lpstr>
      <vt:lpstr>Journal</vt:lpstr>
      <vt:lpstr>Process Checklist</vt:lpstr>
      <vt:lpstr>Open Items</vt:lpstr>
      <vt:lpstr>Schema Reference</vt:lpstr>
      <vt:lpstr>Scratchpad (disregard)</vt:lpstr>
      <vt:lpstr>Journal!Print_Area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Alan Landry</cp:lastModifiedBy>
  <cp:revision>237</cp:revision>
  <cp:lastPrinted>2026-09-13T01:05:49Z</cp:lastPrinted>
  <dcterms:created xsi:type="dcterms:W3CDTF">2026-08-05T19:31:08Z</dcterms:created>
  <dcterms:modified xsi:type="dcterms:W3CDTF">2026-10-05T14:21:06Z</dcterms:modified>
  <dc:language>en-US</dc:language>
</cp:coreProperties>
</file>