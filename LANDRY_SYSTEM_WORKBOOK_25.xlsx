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8.xml" ContentType="application/vnd.openxmlformats-officedocument.spreadsheetml.comments+xml"/>
  <Override PartName="/xl/comments11.xml" ContentType="application/vnd.openxmlformats-officedocument.spreadsheetml.comments+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9.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comments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Schema Reference" sheetId="19" state="visible" r:id="rId21"/>
    <sheet name="Scratchpad (disregard)" sheetId="20" state="visible" r:id="rId22"/>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sharedStrings.xml><?xml version="1.0" encoding="utf-8"?>
<sst xmlns="http://schemas.openxmlformats.org/spreadsheetml/2006/main" count="1896" uniqueCount="687">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</sst>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44081250"/>
        <c:axId val="98388154"/>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35425277"/>
        <c:axId val="28722201"/>
      </c:lineChart>
      <c:dateAx>
        <c:axId val="440812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88154"/>
        <c:auto val="1"/>
        <c:lblOffset val="100"/>
        <c:baseTimeUnit val="days"/>
      </c:dateAx>
      <c:valAx>
        <c:axId val="983881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81250"/>
        <c:crosses val="autoZero"/>
        <c:crossBetween val="between"/>
      </c:valAx>
      <c:dateAx>
        <c:axId val="354252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22201"/>
        <c:auto val="1"/>
        <c:lblOffset val="100"/>
        <c:baseTimeUnit val="days"/>
      </c:dateAx>
      <c:valAx>
        <c:axId val="287222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4252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13000708"/>
        <c:axId val="4862737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67435648"/>
        <c:axId val="88669221"/>
      </c:lineChart>
      <c:dateAx>
        <c:axId val="130007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627373"/>
        <c:auto val="1"/>
        <c:lblOffset val="100"/>
        <c:baseTimeUnit val="days"/>
      </c:dateAx>
      <c:valAx>
        <c:axId val="486273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000708"/>
        <c:crosses val="autoZero"/>
        <c:crossBetween val="between"/>
      </c:valAx>
      <c:dateAx>
        <c:axId val="674356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69221"/>
        <c:auto val="1"/>
        <c:lblOffset val="100"/>
        <c:baseTimeUnit val="days"/>
      </c:dateAx>
      <c:valAx>
        <c:axId val="886692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356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45344565"/>
        <c:axId val="3953498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99827176"/>
        <c:axId val="40857122"/>
      </c:lineChart>
      <c:dateAx>
        <c:axId val="453445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534982"/>
        <c:auto val="1"/>
        <c:lblOffset val="100"/>
        <c:baseTimeUnit val="days"/>
      </c:dateAx>
      <c:valAx>
        <c:axId val="395349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44565"/>
        <c:crosses val="autoZero"/>
        <c:crossBetween val="between"/>
      </c:valAx>
      <c:dateAx>
        <c:axId val="998271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857122"/>
        <c:auto val="1"/>
        <c:lblOffset val="100"/>
        <c:baseTimeUnit val="days"/>
      </c:dateAx>
      <c:valAx>
        <c:axId val="408571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8271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70569154"/>
        <c:axId val="7822853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7680167"/>
        <c:axId val="97056183"/>
      </c:lineChart>
      <c:dateAx>
        <c:axId val="705691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228536"/>
        <c:auto val="1"/>
        <c:lblOffset val="100"/>
        <c:baseTimeUnit val="days"/>
      </c:dateAx>
      <c:valAx>
        <c:axId val="782285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569154"/>
        <c:crosses val="autoZero"/>
        <c:crossBetween val="between"/>
      </c:valAx>
      <c:dateAx>
        <c:axId val="76801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056183"/>
        <c:auto val="1"/>
        <c:lblOffset val="100"/>
        <c:baseTimeUnit val="days"/>
      </c:dateAx>
      <c:valAx>
        <c:axId val="970561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01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49920875"/>
        <c:axId val="8871883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94084154"/>
        <c:axId val="17059524"/>
      </c:lineChart>
      <c:dateAx>
        <c:axId val="499208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18837"/>
        <c:auto val="1"/>
        <c:lblOffset val="100"/>
        <c:baseTimeUnit val="days"/>
      </c:dateAx>
      <c:valAx>
        <c:axId val="887188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920875"/>
        <c:crosses val="autoZero"/>
        <c:crossBetween val="between"/>
      </c:valAx>
      <c:dateAx>
        <c:axId val="940841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059524"/>
        <c:auto val="1"/>
        <c:lblOffset val="100"/>
        <c:baseTimeUnit val="days"/>
      </c:dateAx>
      <c:valAx>
        <c:axId val="170595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0841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34262334"/>
        <c:axId val="6546942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92337637"/>
        <c:axId val="82231084"/>
      </c:lineChart>
      <c:dateAx>
        <c:axId val="342623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69426"/>
        <c:auto val="1"/>
        <c:lblOffset val="100"/>
        <c:baseTimeUnit val="days"/>
      </c:dateAx>
      <c:valAx>
        <c:axId val="654694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62334"/>
        <c:crosses val="autoZero"/>
        <c:crossBetween val="between"/>
      </c:valAx>
      <c:dateAx>
        <c:axId val="923376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31084"/>
        <c:auto val="1"/>
        <c:lblOffset val="100"/>
        <c:baseTimeUnit val="days"/>
      </c:dateAx>
      <c:valAx>
        <c:axId val="822310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376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46845997"/>
        <c:axId val="249804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71297488"/>
        <c:axId val="10671351"/>
      </c:lineChart>
      <c:dateAx>
        <c:axId val="468459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8048"/>
        <c:auto val="1"/>
        <c:lblOffset val="100"/>
        <c:baseTimeUnit val="days"/>
      </c:dateAx>
      <c:valAx>
        <c:axId val="24980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845997"/>
        <c:crosses val="autoZero"/>
        <c:crossBetween val="between"/>
      </c:valAx>
      <c:dateAx>
        <c:axId val="712974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71351"/>
        <c:auto val="1"/>
        <c:lblOffset val="100"/>
        <c:baseTimeUnit val="days"/>
      </c:dateAx>
      <c:valAx>
        <c:axId val="106713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974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83481663"/>
        <c:axId val="4285708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87375219"/>
        <c:axId val="22632751"/>
      </c:lineChart>
      <c:dateAx>
        <c:axId val="834816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57089"/>
        <c:auto val="1"/>
        <c:lblOffset val="100"/>
        <c:baseTimeUnit val="days"/>
      </c:dateAx>
      <c:valAx>
        <c:axId val="428570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481663"/>
        <c:crosses val="autoZero"/>
        <c:crossBetween val="between"/>
      </c:valAx>
      <c:dateAx>
        <c:axId val="873752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632751"/>
        <c:auto val="1"/>
        <c:lblOffset val="100"/>
        <c:baseTimeUnit val="days"/>
      </c:dateAx>
      <c:valAx>
        <c:axId val="226327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3752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58346813"/>
        <c:axId val="4112008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83815389"/>
        <c:axId val="46911410"/>
      </c:lineChart>
      <c:dateAx>
        <c:axId val="583468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120085"/>
        <c:auto val="1"/>
        <c:lblOffset val="100"/>
        <c:baseTimeUnit val="days"/>
      </c:dateAx>
      <c:valAx>
        <c:axId val="411200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46813"/>
        <c:crosses val="autoZero"/>
        <c:crossBetween val="between"/>
      </c:valAx>
      <c:dateAx>
        <c:axId val="838153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911410"/>
        <c:auto val="1"/>
        <c:lblOffset val="100"/>
        <c:baseTimeUnit val="days"/>
      </c:dateAx>
      <c:valAx>
        <c:axId val="469114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153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23187199"/>
        <c:axId val="77046125"/>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37295415"/>
        <c:axId val="11633617"/>
      </c:lineChart>
      <c:dateAx>
        <c:axId val="231871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46125"/>
        <c:auto val="1"/>
        <c:lblOffset val="100"/>
        <c:baseTimeUnit val="days"/>
      </c:dateAx>
      <c:valAx>
        <c:axId val="770461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187199"/>
        <c:crosses val="autoZero"/>
        <c:crossBetween val="between"/>
      </c:valAx>
      <c:dateAx>
        <c:axId val="372954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33617"/>
        <c:auto val="1"/>
        <c:lblOffset val="100"/>
        <c:baseTimeUnit val="days"/>
      </c:dateAx>
      <c:valAx>
        <c:axId val="116336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954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40986419"/>
        <c:axId val="6712302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86704807"/>
        <c:axId val="32264807"/>
      </c:lineChart>
      <c:dateAx>
        <c:axId val="409864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23027"/>
        <c:auto val="1"/>
        <c:lblOffset val="100"/>
        <c:baseTimeUnit val="days"/>
      </c:dateAx>
      <c:valAx>
        <c:axId val="671230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986419"/>
        <c:crosses val="autoZero"/>
        <c:crossBetween val="between"/>
      </c:valAx>
      <c:dateAx>
        <c:axId val="867048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64807"/>
        <c:auto val="1"/>
        <c:lblOffset val="100"/>
        <c:baseTimeUnit val="days"/>
      </c:dateAx>
      <c:valAx>
        <c:axId val="322648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7048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82300215"/>
        <c:axId val="26062236"/>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30931000"/>
        <c:axId val="74376886"/>
      </c:lineChart>
      <c:dateAx>
        <c:axId val="823002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62236"/>
        <c:auto val="1"/>
        <c:lblOffset val="100"/>
        <c:baseTimeUnit val="days"/>
      </c:dateAx>
      <c:valAx>
        <c:axId val="260622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00215"/>
        <c:crosses val="autoZero"/>
        <c:crossBetween val="between"/>
      </c:valAx>
      <c:dateAx>
        <c:axId val="309310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76886"/>
        <c:auto val="1"/>
        <c:lblOffset val="100"/>
        <c:baseTimeUnit val="days"/>
      </c:dateAx>
      <c:valAx>
        <c:axId val="743768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310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86977182"/>
        <c:axId val="2306851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86101413"/>
        <c:axId val="61570920"/>
      </c:lineChart>
      <c:dateAx>
        <c:axId val="869771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68512"/>
        <c:auto val="1"/>
        <c:lblOffset val="100"/>
        <c:baseTimeUnit val="days"/>
      </c:dateAx>
      <c:valAx>
        <c:axId val="230685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77182"/>
        <c:crosses val="autoZero"/>
        <c:crossBetween val="between"/>
      </c:valAx>
      <c:dateAx>
        <c:axId val="861014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70920"/>
        <c:auto val="1"/>
        <c:lblOffset val="100"/>
        <c:baseTimeUnit val="days"/>
      </c:dateAx>
      <c:valAx>
        <c:axId val="615709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1014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98613184"/>
        <c:axId val="9062210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31509612"/>
        <c:axId val="6921901"/>
      </c:lineChart>
      <c:dateAx>
        <c:axId val="986131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22101"/>
        <c:auto val="1"/>
        <c:lblOffset val="100"/>
        <c:baseTimeUnit val="days"/>
      </c:dateAx>
      <c:valAx>
        <c:axId val="906221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13184"/>
        <c:crosses val="autoZero"/>
        <c:crossBetween val="between"/>
      </c:valAx>
      <c:dateAx>
        <c:axId val="315096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1901"/>
        <c:auto val="1"/>
        <c:lblOffset val="100"/>
        <c:baseTimeUnit val="days"/>
      </c:dateAx>
      <c:valAx>
        <c:axId val="69219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5096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2960382"/>
        <c:axId val="76293553"/>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66898314"/>
        <c:axId val="28316555"/>
      </c:lineChart>
      <c:dateAx>
        <c:axId val="29603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293553"/>
        <c:auto val="1"/>
        <c:lblOffset val="100"/>
        <c:baseTimeUnit val="days"/>
      </c:dateAx>
      <c:valAx>
        <c:axId val="762935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0382"/>
        <c:crosses val="autoZero"/>
        <c:crossBetween val="between"/>
      </c:valAx>
      <c:dateAx>
        <c:axId val="668983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316555"/>
        <c:auto val="1"/>
        <c:lblOffset val="100"/>
        <c:baseTimeUnit val="days"/>
      </c:dateAx>
      <c:valAx>
        <c:axId val="283165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983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94158090"/>
        <c:axId val="8707828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33538597"/>
        <c:axId val="32689328"/>
      </c:lineChart>
      <c:dateAx>
        <c:axId val="941580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78287"/>
        <c:auto val="1"/>
        <c:lblOffset val="100"/>
        <c:baseTimeUnit val="days"/>
      </c:dateAx>
      <c:valAx>
        <c:axId val="870782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58090"/>
        <c:crosses val="autoZero"/>
        <c:crossBetween val="between"/>
      </c:valAx>
      <c:dateAx>
        <c:axId val="335385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689328"/>
        <c:auto val="1"/>
        <c:lblOffset val="100"/>
        <c:baseTimeUnit val="days"/>
      </c:dateAx>
      <c:valAx>
        <c:axId val="326893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385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14080113"/>
        <c:axId val="2590174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4771556"/>
        <c:axId val="30636532"/>
      </c:lineChart>
      <c:dateAx>
        <c:axId val="140801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01741"/>
        <c:auto val="1"/>
        <c:lblOffset val="100"/>
        <c:baseTimeUnit val="days"/>
      </c:dateAx>
      <c:valAx>
        <c:axId val="259017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80113"/>
        <c:crosses val="autoZero"/>
        <c:crossBetween val="between"/>
      </c:valAx>
      <c:dateAx>
        <c:axId val="47715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36532"/>
        <c:auto val="1"/>
        <c:lblOffset val="100"/>
        <c:baseTimeUnit val="days"/>
      </c:dateAx>
      <c:valAx>
        <c:axId val="306365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715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47069262"/>
        <c:axId val="1961070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23233552"/>
        <c:axId val="10143129"/>
      </c:lineChart>
      <c:dateAx>
        <c:axId val="470692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610707"/>
        <c:auto val="1"/>
        <c:lblOffset val="100"/>
        <c:baseTimeUnit val="days"/>
      </c:dateAx>
      <c:valAx>
        <c:axId val="196107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69262"/>
        <c:crosses val="autoZero"/>
        <c:crossBetween val="between"/>
      </c:valAx>
      <c:dateAx>
        <c:axId val="232335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43129"/>
        <c:auto val="1"/>
        <c:lblOffset val="100"/>
        <c:baseTimeUnit val="days"/>
      </c:dateAx>
      <c:valAx>
        <c:axId val="101431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2335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37865249"/>
        <c:axId val="31718113"/>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51522469"/>
        <c:axId val="8221223"/>
      </c:lineChart>
      <c:dateAx>
        <c:axId val="378652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718113"/>
        <c:auto val="1"/>
        <c:lblOffset val="100"/>
        <c:baseTimeUnit val="days"/>
      </c:dateAx>
      <c:valAx>
        <c:axId val="317181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65249"/>
        <c:crosses val="autoZero"/>
        <c:crossBetween val="between"/>
      </c:valAx>
      <c:dateAx>
        <c:axId val="515224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1223"/>
        <c:auto val="1"/>
        <c:lblOffset val="100"/>
        <c:baseTimeUnit val="days"/>
      </c:dateAx>
      <c:valAx>
        <c:axId val="82212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5224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377280</xdr:colOff>
      <xdr:row>175</xdr:row>
      <xdr:rowOff>20520</xdr:rowOff>
    </xdr:to>
    <xdr:graphicFrame>
      <xdr:nvGraphicFramePr>
        <xdr:cNvPr id="1" name="Chart 1"/>
        <xdr:cNvGraphicFramePr/>
      </xdr:nvGraphicFramePr>
      <xdr:xfrm>
        <a:off x="0" y="31204080"/>
        <a:ext cx="2735640" cy="230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1440</xdr:colOff>
      <xdr:row>175</xdr:row>
      <xdr:rowOff>20520</xdr:rowOff>
    </xdr:to>
    <xdr:graphicFrame>
      <xdr:nvGraphicFramePr>
        <xdr:cNvPr id="2" name="Chart 2"/>
        <xdr:cNvGraphicFramePr/>
      </xdr:nvGraphicFramePr>
      <xdr:xfrm>
        <a:off x="3554640" y="31204080"/>
        <a:ext cx="2394360" cy="2306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164880</xdr:colOff>
      <xdr:row>175</xdr:row>
      <xdr:rowOff>20520</xdr:rowOff>
    </xdr:to>
    <xdr:graphicFrame>
      <xdr:nvGraphicFramePr>
        <xdr:cNvPr id="3" name="Chart 3"/>
        <xdr:cNvGraphicFramePr/>
      </xdr:nvGraphicFramePr>
      <xdr:xfrm>
        <a:off x="6744960" y="31204080"/>
        <a:ext cx="2452320" cy="2306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417240</xdr:colOff>
      <xdr:row>175</xdr:row>
      <xdr:rowOff>20520</xdr:rowOff>
    </xdr:to>
    <xdr:graphicFrame>
      <xdr:nvGraphicFramePr>
        <xdr:cNvPr id="4" name="Chart 4"/>
        <xdr:cNvGraphicFramePr/>
      </xdr:nvGraphicFramePr>
      <xdr:xfrm>
        <a:off x="10464840" y="31204080"/>
        <a:ext cx="4714920" cy="23065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377280</xdr:colOff>
      <xdr:row>191</xdr:row>
      <xdr:rowOff>20520</xdr:rowOff>
    </xdr:to>
    <xdr:graphicFrame>
      <xdr:nvGraphicFramePr>
        <xdr:cNvPr id="5" name="Chart 5"/>
        <xdr:cNvGraphicFramePr/>
      </xdr:nvGraphicFramePr>
      <xdr:xfrm>
        <a:off x="0" y="34251840"/>
        <a:ext cx="2735640" cy="23065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1440</xdr:colOff>
      <xdr:row>191</xdr:row>
      <xdr:rowOff>20520</xdr:rowOff>
    </xdr:to>
    <xdr:graphicFrame>
      <xdr:nvGraphicFramePr>
        <xdr:cNvPr id="6" name="Chart 6"/>
        <xdr:cNvGraphicFramePr/>
      </xdr:nvGraphicFramePr>
      <xdr:xfrm>
        <a:off x="3554640" y="34251840"/>
        <a:ext cx="2394360" cy="23065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164880</xdr:colOff>
      <xdr:row>191</xdr:row>
      <xdr:rowOff>20520</xdr:rowOff>
    </xdr:to>
    <xdr:graphicFrame>
      <xdr:nvGraphicFramePr>
        <xdr:cNvPr id="7" name="Chart 7"/>
        <xdr:cNvGraphicFramePr/>
      </xdr:nvGraphicFramePr>
      <xdr:xfrm>
        <a:off x="6744960" y="34251840"/>
        <a:ext cx="2452320" cy="2306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417240</xdr:colOff>
      <xdr:row>191</xdr:row>
      <xdr:rowOff>20520</xdr:rowOff>
    </xdr:to>
    <xdr:graphicFrame>
      <xdr:nvGraphicFramePr>
        <xdr:cNvPr id="8" name="Chart 8"/>
        <xdr:cNvGraphicFramePr/>
      </xdr:nvGraphicFramePr>
      <xdr:xfrm>
        <a:off x="10464840" y="34251840"/>
        <a:ext cx="4714920" cy="2306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377280</xdr:colOff>
      <xdr:row>207</xdr:row>
      <xdr:rowOff>20520</xdr:rowOff>
    </xdr:to>
    <xdr:graphicFrame>
      <xdr:nvGraphicFramePr>
        <xdr:cNvPr id="9" name="Chart 9"/>
        <xdr:cNvGraphicFramePr/>
      </xdr:nvGraphicFramePr>
      <xdr:xfrm>
        <a:off x="0" y="37299960"/>
        <a:ext cx="2735640" cy="23065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1440</xdr:colOff>
      <xdr:row>207</xdr:row>
      <xdr:rowOff>20520</xdr:rowOff>
    </xdr:to>
    <xdr:graphicFrame>
      <xdr:nvGraphicFramePr>
        <xdr:cNvPr id="10" name="Chart 10"/>
        <xdr:cNvGraphicFramePr/>
      </xdr:nvGraphicFramePr>
      <xdr:xfrm>
        <a:off x="3554640" y="37299960"/>
        <a:ext cx="2394360" cy="23065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164880</xdr:colOff>
      <xdr:row>207</xdr:row>
      <xdr:rowOff>20520</xdr:rowOff>
    </xdr:to>
    <xdr:graphicFrame>
      <xdr:nvGraphicFramePr>
        <xdr:cNvPr id="11" name="Chart 11"/>
        <xdr:cNvGraphicFramePr/>
      </xdr:nvGraphicFramePr>
      <xdr:xfrm>
        <a:off x="6744960" y="37299960"/>
        <a:ext cx="2452320" cy="23065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417240</xdr:colOff>
      <xdr:row>207</xdr:row>
      <xdr:rowOff>20520</xdr:rowOff>
    </xdr:to>
    <xdr:graphicFrame>
      <xdr:nvGraphicFramePr>
        <xdr:cNvPr id="12" name="Chart 12"/>
        <xdr:cNvGraphicFramePr/>
      </xdr:nvGraphicFramePr>
      <xdr:xfrm>
        <a:off x="10464840" y="37299960"/>
        <a:ext cx="4714920" cy="23065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377280</xdr:colOff>
      <xdr:row>223</xdr:row>
      <xdr:rowOff>20520</xdr:rowOff>
    </xdr:to>
    <xdr:graphicFrame>
      <xdr:nvGraphicFramePr>
        <xdr:cNvPr id="13" name="Chart 13"/>
        <xdr:cNvGraphicFramePr/>
      </xdr:nvGraphicFramePr>
      <xdr:xfrm>
        <a:off x="0" y="40348080"/>
        <a:ext cx="2735640" cy="23065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1440</xdr:colOff>
      <xdr:row>223</xdr:row>
      <xdr:rowOff>20520</xdr:rowOff>
    </xdr:to>
    <xdr:graphicFrame>
      <xdr:nvGraphicFramePr>
        <xdr:cNvPr id="14" name="Chart 14"/>
        <xdr:cNvGraphicFramePr/>
      </xdr:nvGraphicFramePr>
      <xdr:xfrm>
        <a:off x="3554640" y="40348080"/>
        <a:ext cx="2394360" cy="23065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164880</xdr:colOff>
      <xdr:row>223</xdr:row>
      <xdr:rowOff>20520</xdr:rowOff>
    </xdr:to>
    <xdr:graphicFrame>
      <xdr:nvGraphicFramePr>
        <xdr:cNvPr id="15" name="Chart 15"/>
        <xdr:cNvGraphicFramePr/>
      </xdr:nvGraphicFramePr>
      <xdr:xfrm>
        <a:off x="6744960" y="40348080"/>
        <a:ext cx="2452320" cy="23065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417240</xdr:colOff>
      <xdr:row>223</xdr:row>
      <xdr:rowOff>20520</xdr:rowOff>
    </xdr:to>
    <xdr:graphicFrame>
      <xdr:nvGraphicFramePr>
        <xdr:cNvPr id="16" name="Chart 16"/>
        <xdr:cNvGraphicFramePr/>
      </xdr:nvGraphicFramePr>
      <xdr:xfrm>
        <a:off x="10464840" y="40348080"/>
        <a:ext cx="4714920" cy="23065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377280</xdr:colOff>
      <xdr:row>239</xdr:row>
      <xdr:rowOff>20520</xdr:rowOff>
    </xdr:to>
    <xdr:graphicFrame>
      <xdr:nvGraphicFramePr>
        <xdr:cNvPr id="17" name="Chart 17"/>
        <xdr:cNvGraphicFramePr/>
      </xdr:nvGraphicFramePr>
      <xdr:xfrm>
        <a:off x="0" y="43395840"/>
        <a:ext cx="2735640" cy="23065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1440</xdr:colOff>
      <xdr:row>239</xdr:row>
      <xdr:rowOff>20520</xdr:rowOff>
    </xdr:to>
    <xdr:graphicFrame>
      <xdr:nvGraphicFramePr>
        <xdr:cNvPr id="18" name="Chart 18"/>
        <xdr:cNvGraphicFramePr/>
      </xdr:nvGraphicFramePr>
      <xdr:xfrm>
        <a:off x="3554640" y="43395840"/>
        <a:ext cx="2394360" cy="23065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36000</xdr:colOff>
      <xdr:row>253</xdr:row>
      <xdr:rowOff>20520</xdr:rowOff>
    </xdr:to>
    <xdr:graphicFrame>
      <xdr:nvGraphicFramePr>
        <xdr:cNvPr id="19" name="Chart 19"/>
        <xdr:cNvGraphicFramePr/>
      </xdr:nvGraphicFramePr>
      <xdr:xfrm>
        <a:off x="0" y="46063080"/>
        <a:ext cx="2394360" cy="23065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9.xml><?xml version="1.0" encoding="utf-8"?>
<table xmlns="http://schemas.openxmlformats.org/spreadsheetml/2006/main" id="9"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0" t="s">
        <v>397</v>
      </c>
      <c r="B1" s="90"/>
      <c r="C1" s="90"/>
      <c r="D1" s="90"/>
      <c r="E1" s="90"/>
      <c r="F1" s="90"/>
      <c r="G1" s="90"/>
      <c r="H1" s="90"/>
      <c r="I1" s="90"/>
      <c r="J1" s="90"/>
      <c r="K1" s="90"/>
      <c r="L1" s="90"/>
      <c r="M1" s="90"/>
      <c r="N1" s="90"/>
      <c r="O1" s="90"/>
      <c r="P1" s="90"/>
      <c r="Q1" s="90"/>
      <c r="R1" s="90"/>
      <c r="S1" s="90"/>
    </row>
    <row r="2" customFormat="false" ht="68.25" hidden="false" customHeight="true" outlineLevel="0" collapsed="false">
      <c r="A2" s="91"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91" t="s">
        <v>413</v>
      </c>
      <c r="S2" s="91" t="s">
        <v>414</v>
      </c>
    </row>
    <row r="3" customFormat="false" ht="15" hidden="false" customHeight="true" outlineLevel="0" collapsed="false">
      <c r="A3" s="92" t="str">
        <f aca="false">IF(Scoring!A3="","",Scoring!A3)</f>
        <v>MU</v>
      </c>
      <c r="B3" s="92" t="str">
        <f aca="false">IF(Scoring!B3="","",Scoring!B3)</f>
        <v>Micron Technology</v>
      </c>
      <c r="C3" s="92" t="str">
        <f aca="false">IF(Scoring!AG3="","",IF(OR(Scoring!AG3="STRONG BUY",Scoring!AG3="BUY"),"PASS","FAIL"))</f>
        <v>PASS</v>
      </c>
      <c r="D3" s="92" t="str">
        <f aca="false">IF(Scoring!AH3="","",IF(Scoring!AH3="OK","PASS","FAIL"))</f>
        <v>PASS</v>
      </c>
      <c r="E3" s="92" t="str">
        <f aca="false">IF(Scoring!AI3="","",IF(Scoring!AI3="OK","PASS","FAIL — mandatory review required"))</f>
        <v>PASS</v>
      </c>
      <c r="F3" s="92"/>
      <c r="G3" s="92"/>
      <c r="H3" s="92" t="str">
        <f aca="false">IF(OR(F3="",G3=""),"",IF(AND(F3="Y",G3="Y"),"Standard initial size","50% of normal initial size + 90-day technical review"))</f>
        <v/>
      </c>
      <c r="I3" s="92"/>
      <c r="J3" s="92"/>
      <c r="K3" s="92" t="str">
        <f aca="false">IF(I3="","",IF(I3="N","PASS",IF(J3="Y","PASS — risk documented in thesis","FAIL — undocumented binary risk")))</f>
        <v/>
      </c>
      <c r="L3" s="92" t="str">
        <f aca="false">IF('Implied-Return Calculator'!S4="","",'Implied-Return Calculator'!S4)</f>
        <v/>
      </c>
      <c r="M3" s="92" t="str">
        <f aca="false">IF('Implied-Return Calculator'!T4="","",'Implied-Return Calculator'!T4)</f>
        <v/>
      </c>
      <c r="N3" s="92" t="str">
        <f aca="false">IF('Implied-Return Calculator'!U4="","",'Implied-Return Calculator'!U4)</f>
        <v/>
      </c>
      <c r="O3" s="92"/>
      <c r="P3" s="92"/>
      <c r="Q3" s="92" t="str">
        <f aca="false">IF(OR(N3="",O3=""),"",IF(N3&lt;=50,"PASS — within ceiling",IF(AND(O3&gt;0.3,L3="PASS"),"PASS — growth+bear case exception met","FAIL — exceeds 50x, exception not met")))</f>
        <v/>
      </c>
      <c r="R3" s="92" t="str">
        <f aca="false">IF(OR(C3="",D3="",E3="",K3="",L3="",M3="",N3="",Q3=""),"",IF(AND(C3="PASS",D3="PASS",LEFT(E3,4)="PASS",LEFT(K3,4)="PASS",L3="PASS",M3="PASS",N3="OK",LEFT(Q3,4)="PASS"),"YES","NO — see failing rule(s)"))</f>
        <v/>
      </c>
      <c r="S3" s="92" t="str">
        <f aca="false">IF(R3="","",IF(R3="YES","Initiate: "&amp;H3,"DO NOT ENTER — resolve failing Entry Rule(s) above first"))</f>
        <v/>
      </c>
    </row>
    <row r="4" customFormat="false" ht="15" hidden="false" customHeight="true" outlineLevel="0" collapsed="false">
      <c r="A4" s="92" t="str">
        <f aca="false">IF(Scoring!A4="","",Scoring!A4)</f>
        <v>AVGO</v>
      </c>
      <c r="B4" s="92" t="str">
        <f aca="false">IF(Scoring!B4="","",Scoring!B4)</f>
        <v>Broadcom Inc.</v>
      </c>
      <c r="C4" s="92" t="str">
        <f aca="false">IF(Scoring!AG4="","",IF(OR(Scoring!AG4="STRONG BUY",Scoring!AG4="BUY"),"PASS","FAIL"))</f>
        <v>PASS</v>
      </c>
      <c r="D4" s="92" t="str">
        <f aca="false">IF(Scoring!AH4="","",IF(Scoring!AH4="OK","PASS","FAIL"))</f>
        <v>PASS</v>
      </c>
      <c r="E4" s="92" t="str">
        <f aca="false">IF(Scoring!AI4="","",IF(Scoring!AI4="OK","PASS","FAIL — mandatory review required"))</f>
        <v>PASS</v>
      </c>
      <c r="F4" s="92"/>
      <c r="G4" s="92"/>
      <c r="H4" s="92" t="str">
        <f aca="false">IF(OR(F4="",G4=""),"",IF(AND(F4="Y",G4="Y"),"Standard initial size","50% of normal initial size + 90-day technical review"))</f>
        <v/>
      </c>
      <c r="I4" s="92"/>
      <c r="J4" s="92"/>
      <c r="K4" s="92" t="str">
        <f aca="false">IF(I4="","",IF(I4="N","PASS",IF(J4="Y","PASS — risk documented in thesis","FAIL — undocumented binary risk")))</f>
        <v/>
      </c>
      <c r="L4" s="92" t="str">
        <f aca="false">IF('Implied-Return Calculator'!S5="","",'Implied-Return Calculator'!S5)</f>
        <v/>
      </c>
      <c r="M4" s="92" t="str">
        <f aca="false">IF('Implied-Return Calculator'!T5="","",'Implied-Return Calculator'!T5)</f>
        <v/>
      </c>
      <c r="N4" s="92" t="str">
        <f aca="false">IF('Implied-Return Calculator'!U5="","",'Implied-Return Calculator'!U5)</f>
        <v/>
      </c>
      <c r="O4" s="92"/>
      <c r="P4" s="92"/>
      <c r="Q4" s="92" t="str">
        <f aca="false">IF(OR(N4="",O4=""),"",IF(N4&lt;=50,"PASS — within ceiling",IF(AND(O4&gt;0.3,L4="PASS"),"PASS — growth+bear case exception met","FAIL — exceeds 50x, exception not met")))</f>
        <v/>
      </c>
      <c r="R4" s="92" t="str">
        <f aca="false">IF(OR(C4="",D4="",E4="",K4="",L4="",M4="",N4="",Q4=""),"",IF(AND(C4="PASS",D4="PASS",LEFT(E4,4)="PASS",LEFT(K4,4)="PASS",L4="PASS",M4="PASS",N4="OK",LEFT(Q4,4)="PASS"),"YES","NO — see failing rule(s)"))</f>
        <v/>
      </c>
      <c r="S4" s="92" t="str">
        <f aca="false">IF(R4="","",IF(R4="YES","Initiate: "&amp;H4,"DO NOT ENTER — resolve failing Entry Rule(s) above first"))</f>
        <v/>
      </c>
    </row>
    <row r="5" customFormat="false" ht="15" hidden="false" customHeight="true" outlineLevel="0" collapsed="false">
      <c r="A5" s="92" t="str">
        <f aca="false">IF(Scoring!A5="","",Scoring!A5)</f>
        <v>PLTR</v>
      </c>
      <c r="B5" s="92" t="str">
        <f aca="false">IF(Scoring!B5="","",Scoring!B5)</f>
        <v>Palantir Technologies</v>
      </c>
      <c r="C5" s="92" t="str">
        <f aca="false">IF(Scoring!AG5="","",IF(OR(Scoring!AG5="STRONG BUY",Scoring!AG5="BUY"),"PASS","FAIL"))</f>
        <v>PASS</v>
      </c>
      <c r="D5" s="92" t="str">
        <f aca="false">IF(Scoring!AH5="","",IF(Scoring!AH5="OK","PASS","FAIL"))</f>
        <v>PASS</v>
      </c>
      <c r="E5" s="92" t="str">
        <f aca="false">IF(Scoring!AI5="","",IF(Scoring!AI5="OK","PASS","FAIL — mandatory review required"))</f>
        <v>PASS</v>
      </c>
      <c r="F5" s="92"/>
      <c r="G5" s="92"/>
      <c r="H5" s="92" t="str">
        <f aca="false">IF(OR(F5="",G5=""),"",IF(AND(F5="Y",G5="Y"),"Standard initial size","50% of normal initial size + 90-day technical review"))</f>
        <v/>
      </c>
      <c r="I5" s="92"/>
      <c r="J5" s="92"/>
      <c r="K5" s="92" t="str">
        <f aca="false">IF(I5="","",IF(I5="N","PASS",IF(J5="Y","PASS — risk documented in thesis","FAIL — undocumented binary risk")))</f>
        <v/>
      </c>
      <c r="L5" s="92" t="str">
        <f aca="false">IF('Implied-Return Calculator'!S6="","",'Implied-Return Calculator'!S6)</f>
        <v/>
      </c>
      <c r="M5" s="92" t="str">
        <f aca="false">IF('Implied-Return Calculator'!T6="","",'Implied-Return Calculator'!T6)</f>
        <v/>
      </c>
      <c r="N5" s="92" t="str">
        <f aca="false">IF('Implied-Return Calculator'!U6="","",'Implied-Return Calculator'!U6)</f>
        <v/>
      </c>
      <c r="O5" s="92"/>
      <c r="P5" s="92"/>
      <c r="Q5" s="92" t="str">
        <f aca="false">IF(OR(N5="",O5=""),"",IF(N5&lt;=50,"PASS — within ceiling",IF(AND(O5&gt;0.3,L5="PASS"),"PASS — growth+bear case exception met","FAIL — exceeds 50x, exception not met")))</f>
        <v/>
      </c>
      <c r="R5" s="92" t="str">
        <f aca="false">IF(OR(C5="",D5="",E5="",K5="",L5="",M5="",N5="",Q5=""),"",IF(AND(C5="PASS",D5="PASS",LEFT(E5,4)="PASS",LEFT(K5,4)="PASS",L5="PASS",M5="PASS",N5="OK",LEFT(Q5,4)="PASS"),"YES","NO — see failing rule(s)"))</f>
        <v/>
      </c>
      <c r="S5" s="92" t="str">
        <f aca="false">IF(R5="","",IF(R5="YES","Initiate: "&amp;H5,"DO NOT ENTER — resolve failing Entry Rule(s) above first"))</f>
        <v/>
      </c>
    </row>
    <row r="6" customFormat="false" ht="15" hidden="false" customHeight="true" outlineLevel="0" collapsed="false">
      <c r="A6" s="92" t="str">
        <f aca="false">IF(Scoring!A6="","",Scoring!A6)</f>
        <v>NVDA</v>
      </c>
      <c r="B6" s="92" t="str">
        <f aca="false">IF(Scoring!B6="","",Scoring!B6)</f>
        <v>NVIDIA Corporation</v>
      </c>
      <c r="C6" s="92" t="str">
        <f aca="false">IF(Scoring!AG6="","",IF(OR(Scoring!AG6="STRONG BUY",Scoring!AG6="BUY"),"PASS","FAIL"))</f>
        <v>PASS</v>
      </c>
      <c r="D6" s="92" t="str">
        <f aca="false">IF(Scoring!AH6="","",IF(Scoring!AH6="OK","PASS","FAIL"))</f>
        <v>PASS</v>
      </c>
      <c r="E6" s="92" t="str">
        <f aca="false">IF(Scoring!AI6="","",IF(Scoring!AI6="OK","PASS","FAIL — mandatory review required"))</f>
        <v>PASS</v>
      </c>
      <c r="F6" s="92"/>
      <c r="G6" s="92"/>
      <c r="H6" s="92" t="str">
        <f aca="false">IF(OR(F6="",G6=""),"",IF(AND(F6="Y",G6="Y"),"Standard initial size","50% of normal initial size + 90-day technical review"))</f>
        <v/>
      </c>
      <c r="I6" s="92"/>
      <c r="J6" s="92"/>
      <c r="K6" s="92" t="str">
        <f aca="false">IF(I6="","",IF(I6="N","PASS",IF(J6="Y","PASS — risk documented in thesis","FAIL — undocumented binary risk")))</f>
        <v/>
      </c>
      <c r="L6" s="92" t="str">
        <f aca="false">IF('Implied-Return Calculator'!S7="","",'Implied-Return Calculator'!S7)</f>
        <v/>
      </c>
      <c r="M6" s="92" t="str">
        <f aca="false">IF('Implied-Return Calculator'!T7="","",'Implied-Return Calculator'!T7)</f>
        <v/>
      </c>
      <c r="N6" s="92" t="str">
        <f aca="false">IF('Implied-Return Calculator'!U7="","",'Implied-Return Calculator'!U7)</f>
        <v/>
      </c>
      <c r="O6" s="92"/>
      <c r="P6" s="92"/>
      <c r="Q6" s="92" t="str">
        <f aca="false">IF(OR(N6="",O6=""),"",IF(N6&lt;=50,"PASS — within ceiling",IF(AND(O6&gt;0.3,L6="PASS"),"PASS — growth+bear case exception met","FAIL — exceeds 50x, exception not met")))</f>
        <v/>
      </c>
      <c r="R6" s="92" t="str">
        <f aca="false">IF(OR(C6="",D6="",E6="",K6="",L6="",M6="",N6="",Q6=""),"",IF(AND(C6="PASS",D6="PASS",LEFT(E6,4)="PASS",LEFT(K6,4)="PASS",L6="PASS",M6="PASS",N6="OK",LEFT(Q6,4)="PASS"),"YES","NO — see failing rule(s)"))</f>
        <v/>
      </c>
      <c r="S6" s="92" t="str">
        <f aca="false">IF(R6="","",IF(R6="YES","Initiate: "&amp;H6,"DO NOT ENTER — resolve failing Entry Rule(s) above first"))</f>
        <v/>
      </c>
    </row>
    <row r="7" customFormat="false" ht="15" hidden="false" customHeight="true" outlineLevel="0" collapsed="false">
      <c r="A7" s="92" t="str">
        <f aca="false">IF(Scoring!A7="","",Scoring!A7)</f>
        <v>VRTX</v>
      </c>
      <c r="B7" s="92" t="str">
        <f aca="false">IF(Scoring!B7="","",Scoring!B7)</f>
        <v>Vertex Pharmaceuticals</v>
      </c>
      <c r="C7" s="92" t="str">
        <f aca="false">IF(Scoring!AG7="","",IF(OR(Scoring!AG7="STRONG BUY",Scoring!AG7="BUY"),"PASS","FAIL"))</f>
        <v>PASS</v>
      </c>
      <c r="D7" s="92" t="str">
        <f aca="false">IF(Scoring!AH7="","",IF(Scoring!AH7="OK","PASS","FAIL"))</f>
        <v>PASS</v>
      </c>
      <c r="E7" s="92" t="str">
        <f aca="false">IF(Scoring!AI7="","",IF(Scoring!AI7="OK","PASS","FAIL — mandatory review required"))</f>
        <v>PASS</v>
      </c>
      <c r="F7" s="92"/>
      <c r="G7" s="92"/>
      <c r="H7" s="92" t="str">
        <f aca="false">IF(OR(F7="",G7=""),"",IF(AND(F7="Y",G7="Y"),"Standard initial size","50% of normal initial size + 90-day technical review"))</f>
        <v/>
      </c>
      <c r="I7" s="92"/>
      <c r="J7" s="92"/>
      <c r="K7" s="92" t="str">
        <f aca="false">IF(I7="","",IF(I7="N","PASS",IF(J7="Y","PASS — risk documented in thesis","FAIL — undocumented binary risk")))</f>
        <v/>
      </c>
      <c r="L7" s="92" t="str">
        <f aca="false">IF('Implied-Return Calculator'!S8="","",'Implied-Return Calculator'!S8)</f>
        <v/>
      </c>
      <c r="M7" s="92" t="str">
        <f aca="false">IF('Implied-Return Calculator'!T8="","",'Implied-Return Calculator'!T8)</f>
        <v/>
      </c>
      <c r="N7" s="92" t="str">
        <f aca="false">IF('Implied-Return Calculator'!U8="","",'Implied-Return Calculator'!U8)</f>
        <v/>
      </c>
      <c r="O7" s="92"/>
      <c r="P7" s="92"/>
      <c r="Q7" s="92" t="str">
        <f aca="false">IF(OR(N7="",O7=""),"",IF(N7&lt;=50,"PASS — within ceiling",IF(AND(O7&gt;0.3,L7="PASS"),"PASS — growth+bear case exception met","FAIL — exceeds 50x, exception not met")))</f>
        <v/>
      </c>
      <c r="R7" s="92" t="str">
        <f aca="false">IF(OR(C7="",D7="",E7="",K7="",L7="",M7="",N7="",Q7=""),"",IF(AND(C7="PASS",D7="PASS",LEFT(E7,4)="PASS",LEFT(K7,4)="PASS",L7="PASS",M7="PASS",N7="OK",LEFT(Q7,4)="PASS"),"YES","NO — see failing rule(s)"))</f>
        <v/>
      </c>
      <c r="S7" s="92" t="str">
        <f aca="false">IF(R7="","",IF(R7="YES","Initiate: "&amp;H7,"DO NOT ENTER — resolve failing Entry Rule(s) above first"))</f>
        <v/>
      </c>
    </row>
    <row r="8" customFormat="false" ht="15" hidden="false" customHeight="true" outlineLevel="0" collapsed="false">
      <c r="A8" s="92" t="str">
        <f aca="false">IF(Scoring!A8="","",Scoring!A8)</f>
        <v>PLD</v>
      </c>
      <c r="B8" s="92" t="str">
        <f aca="false">IF(Scoring!B8="","",Scoring!B8)</f>
        <v>Prologis Inc. (REIT-adapted)</v>
      </c>
      <c r="C8" s="92" t="str">
        <f aca="false">IF(Scoring!AG8="","",IF(OR(Scoring!AG8="STRONG BUY",Scoring!AG8="BUY"),"PASS","FAIL"))</f>
        <v>PASS</v>
      </c>
      <c r="D8" s="92" t="str">
        <f aca="false">IF(Scoring!AH8="","",IF(Scoring!AH8="OK","PASS","FAIL"))</f>
        <v>PASS</v>
      </c>
      <c r="E8" s="92" t="str">
        <f aca="false">IF(Scoring!AI8="","",IF(Scoring!AI8="OK","PASS","FAIL — mandatory review required"))</f>
        <v>PASS</v>
      </c>
      <c r="F8" s="92"/>
      <c r="G8" s="92"/>
      <c r="H8" s="92" t="str">
        <f aca="false">IF(OR(F8="",G8=""),"",IF(AND(F8="Y",G8="Y"),"Standard initial size","50% of normal initial size + 90-day technical review"))</f>
        <v/>
      </c>
      <c r="I8" s="92"/>
      <c r="J8" s="92"/>
      <c r="K8" s="92" t="str">
        <f aca="false">IF(I8="","",IF(I8="N","PASS",IF(J8="Y","PASS — risk documented in thesis","FAIL — undocumented binary risk")))</f>
        <v/>
      </c>
      <c r="L8" s="92" t="str">
        <f aca="false">IF('Implied-Return Calculator'!S9="","",'Implied-Return Calculator'!S9)</f>
        <v/>
      </c>
      <c r="M8" s="92" t="str">
        <f aca="false">IF('Implied-Return Calculator'!T9="","",'Implied-Return Calculator'!T9)</f>
        <v/>
      </c>
      <c r="N8" s="92" t="str">
        <f aca="false">IF('Implied-Return Calculator'!U9="","",'Implied-Return Calculator'!U9)</f>
        <v/>
      </c>
      <c r="O8" s="92"/>
      <c r="P8" s="92"/>
      <c r="Q8" s="92" t="str">
        <f aca="false">IF(OR(N8="",O8=""),"",IF(N8&lt;=50,"PASS — within ceiling",IF(AND(O8&gt;0.3,L8="PASS"),"PASS — growth+bear case exception met","FAIL — exceeds 50x, exception not met")))</f>
        <v/>
      </c>
      <c r="R8" s="92" t="str">
        <f aca="false">IF(OR(C8="",D8="",E8="",K8="",L8="",M8="",N8="",Q8=""),"",IF(AND(C8="PASS",D8="PASS",LEFT(E8,4)="PASS",LEFT(K8,4)="PASS",L8="PASS",M8="PASS",N8="OK",LEFT(Q8,4)="PASS"),"YES","NO — see failing rule(s)"))</f>
        <v/>
      </c>
      <c r="S8" s="92" t="str">
        <f aca="false">IF(R8="","",IF(R8="YES","Initiate: "&amp;H8,"DO NOT ENTER — resolve failing Entry Rule(s) above first"))</f>
        <v/>
      </c>
    </row>
    <row r="9" customFormat="false" ht="15" hidden="false" customHeight="true" outlineLevel="0" collapsed="false">
      <c r="A9" s="92" t="str">
        <f aca="false">IF(Scoring!A9="","",Scoring!A9)</f>
        <v>SFM</v>
      </c>
      <c r="B9" s="92" t="str">
        <f aca="false">IF(Scoring!B9="","",Scoring!B9)</f>
        <v>Sprouts Farmers Market</v>
      </c>
      <c r="C9" s="92" t="str">
        <f aca="false">IF(Scoring!AG9="","",IF(OR(Scoring!AG9="STRONG BUY",Scoring!AG9="BUY"),"PASS","FAIL"))</f>
        <v/>
      </c>
      <c r="D9" s="92" t="str">
        <f aca="false">IF(Scoring!AH9="","",IF(Scoring!AH9="OK","PASS","FAIL"))</f>
        <v>FAIL</v>
      </c>
      <c r="E9" s="92" t="str">
        <f aca="false">IF(Scoring!AI9="","",IF(Scoring!AI9="OK","PASS","FAIL — mandatory review required"))</f>
        <v>FAIL — mandatory review required</v>
      </c>
      <c r="F9" s="92"/>
      <c r="G9" s="92"/>
      <c r="H9" s="92" t="str">
        <f aca="false">IF(OR(F9="",G9=""),"",IF(AND(F9="Y",G9="Y"),"Standard initial size","50% of normal initial size + 90-day technical review"))</f>
        <v/>
      </c>
      <c r="I9" s="92"/>
      <c r="J9" s="92"/>
      <c r="K9" s="92" t="str">
        <f aca="false">IF(I9="","",IF(I9="N","PASS",IF(J9="Y","PASS — risk documented in thesis","FAIL — undocumented binary risk")))</f>
        <v/>
      </c>
      <c r="L9" s="92" t="str">
        <f aca="false">IF('Implied-Return Calculator'!S10="","",'Implied-Return Calculator'!S10)</f>
        <v/>
      </c>
      <c r="M9" s="92" t="str">
        <f aca="false">IF('Implied-Return Calculator'!T10="","",'Implied-Return Calculator'!T10)</f>
        <v/>
      </c>
      <c r="N9" s="92" t="str">
        <f aca="false">IF('Implied-Return Calculator'!U10="","",'Implied-Return Calculator'!U10)</f>
        <v/>
      </c>
      <c r="O9" s="92"/>
      <c r="P9" s="92"/>
      <c r="Q9" s="92" t="str">
        <f aca="false">IF(OR(N9="",O9=""),"",IF(N9&lt;=50,"PASS — within ceiling",IF(AND(O9&gt;0.3,L9="PASS"),"PASS — growth+bear case exception met","FAIL — exceeds 50x, exception not met")))</f>
        <v/>
      </c>
      <c r="R9" s="92" t="str">
        <f aca="false">IF(OR(C9="",D9="",E9="",K9="",L9="",M9="",N9="",Q9=""),"",IF(AND(C9="PASS",D9="PASS",LEFT(E9,4)="PASS",LEFT(K9,4)="PASS",L9="PASS",M9="PASS",N9="OK",LEFT(Q9,4)="PASS"),"YES","NO — see failing rule(s)"))</f>
        <v/>
      </c>
      <c r="S9" s="92" t="str">
        <f aca="false">IF(R9="","",IF(R9="YES","Initiate: "&amp;H9,"DO NOT ENTER — resolve failing Entry Rule(s) above first"))</f>
        <v/>
      </c>
    </row>
    <row r="10" customFormat="false" ht="15" hidden="false" customHeight="true" outlineLevel="0" collapsed="false">
      <c r="A10" s="92" t="str">
        <f aca="false">IF(Scoring!A10="","",Scoring!A10)</f>
        <v>ONON</v>
      </c>
      <c r="B10" s="92" t="str">
        <f aca="false">IF(Scoring!B10="","",Scoring!B10)</f>
        <v>On Holding AG</v>
      </c>
      <c r="C10" s="92" t="str">
        <f aca="false">IF(Scoring!AG10="","",IF(OR(Scoring!AG10="STRONG BUY",Scoring!AG10="BUY"),"PASS","FAIL"))</f>
        <v/>
      </c>
      <c r="D10" s="92" t="str">
        <f aca="false">IF(Scoring!AH10="","",IF(Scoring!AH10="OK","PASS","FAIL"))</f>
        <v>FAIL</v>
      </c>
      <c r="E10" s="92" t="str">
        <f aca="false">IF(Scoring!AI10="","",IF(Scoring!AI10="OK","PASS","FAIL — mandatory review required"))</f>
        <v>PASS</v>
      </c>
      <c r="F10" s="92"/>
      <c r="G10" s="92"/>
      <c r="H10" s="92" t="str">
        <f aca="false">IF(OR(F10="",G10=""),"",IF(AND(F10="Y",G10="Y"),"Standard initial size","50% of normal initial size + 90-day technical review"))</f>
        <v/>
      </c>
      <c r="I10" s="92"/>
      <c r="J10" s="92"/>
      <c r="K10" s="92" t="str">
        <f aca="false">IF(I10="","",IF(I10="N","PASS",IF(J10="Y","PASS — risk documented in thesis","FAIL — undocumented binary risk")))</f>
        <v/>
      </c>
      <c r="L10" s="92" t="str">
        <f aca="false">IF('Implied-Return Calculator'!S11="","",'Implied-Return Calculator'!S11)</f>
        <v/>
      </c>
      <c r="M10" s="92" t="str">
        <f aca="false">IF('Implied-Return Calculator'!T11="","",'Implied-Return Calculator'!T11)</f>
        <v/>
      </c>
      <c r="N10" s="92" t="str">
        <f aca="false">IF('Implied-Return Calculator'!U11="","",'Implied-Return Calculator'!U11)</f>
        <v/>
      </c>
      <c r="O10" s="92"/>
      <c r="P10" s="92"/>
      <c r="Q10" s="92" t="str">
        <f aca="false">IF(OR(N10="",O10=""),"",IF(N10&lt;=50,"PASS — within ceiling",IF(AND(O10&gt;0.3,L10="PASS"),"PASS — growth+bear case exception met","FAIL — exceeds 50x, exception not met")))</f>
        <v/>
      </c>
      <c r="R10" s="92" t="str">
        <f aca="false">IF(OR(C10="",D10="",E10="",K10="",L10="",M10="",N10="",Q10=""),"",IF(AND(C10="PASS",D10="PASS",LEFT(E10,4)="PASS",LEFT(K10,4)="PASS",L10="PASS",M10="PASS",N10="OK",LEFT(Q10,4)="PASS"),"YES","NO — see failing rule(s)"))</f>
        <v/>
      </c>
      <c r="S10" s="92" t="str">
        <f aca="false">IF(R10="","",IF(R10="YES","Initiate: "&amp;H10,"DO NOT ENTER — resolve failing Entry Rule(s) above first"))</f>
        <v/>
      </c>
    </row>
    <row r="11" customFormat="false" ht="15" hidden="false" customHeight="true" outlineLevel="0" collapsed="false">
      <c r="A11" s="92" t="str">
        <f aca="false">IF(Scoring!A11="","",Scoring!A11)</f>
        <v>TSLA</v>
      </c>
      <c r="B11" s="92" t="str">
        <f aca="false">IF(Scoring!B11="","",Scoring!B11)</f>
        <v>Tesla Inc.</v>
      </c>
      <c r="C11" s="92" t="str">
        <f aca="false">IF(Scoring!AG11="","",IF(OR(Scoring!AG11="STRONG BUY",Scoring!AG11="BUY"),"PASS","FAIL"))</f>
        <v/>
      </c>
      <c r="D11" s="92" t="str">
        <f aca="false">IF(Scoring!AH11="","",IF(Scoring!AH11="OK","PASS","FAIL"))</f>
        <v>FAIL</v>
      </c>
      <c r="E11" s="92" t="str">
        <f aca="false">IF(Scoring!AI11="","",IF(Scoring!AI11="OK","PASS","FAIL — mandatory review required"))</f>
        <v>FAIL — mandatory review required</v>
      </c>
      <c r="F11" s="92"/>
      <c r="G11" s="92"/>
      <c r="H11" s="92" t="str">
        <f aca="false">IF(OR(F11="",G11=""),"",IF(AND(F11="Y",G11="Y"),"Standard initial size","50% of normal initial size + 90-day technical review"))</f>
        <v/>
      </c>
      <c r="I11" s="92"/>
      <c r="J11" s="92"/>
      <c r="K11" s="92" t="str">
        <f aca="false">IF(I11="","",IF(I11="N","PASS",IF(J11="Y","PASS — risk documented in thesis","FAIL — undocumented binary risk")))</f>
        <v/>
      </c>
      <c r="L11" s="92" t="str">
        <f aca="false">IF('Implied-Return Calculator'!S12="","",'Implied-Return Calculator'!S12)</f>
        <v/>
      </c>
      <c r="M11" s="92" t="str">
        <f aca="false">IF('Implied-Return Calculator'!T12="","",'Implied-Return Calculator'!T12)</f>
        <v/>
      </c>
      <c r="N11" s="92" t="str">
        <f aca="false">IF('Implied-Return Calculator'!U12="","",'Implied-Return Calculator'!U12)</f>
        <v/>
      </c>
      <c r="O11" s="92"/>
      <c r="P11" s="92"/>
      <c r="Q11" s="92" t="str">
        <f aca="false">IF(OR(N11="",O11=""),"",IF(N11&lt;=50,"PASS — within ceiling",IF(AND(O11&gt;0.3,L11="PASS"),"PASS — growth+bear case exception met","FAIL — exceeds 50x, exception not met")))</f>
        <v/>
      </c>
      <c r="R11" s="92" t="str">
        <f aca="false">IF(OR(C11="",D11="",E11="",K11="",L11="",M11="",N11="",Q11=""),"",IF(AND(C11="PASS",D11="PASS",LEFT(E11,4)="PASS",LEFT(K11,4)="PASS",L11="PASS",M11="PASS",N11="OK",LEFT(Q11,4)="PASS"),"YES","NO — see failing rule(s)"))</f>
        <v/>
      </c>
      <c r="S11" s="92" t="str">
        <f aca="false">IF(R11="","",IF(R11="YES","Initiate: "&amp;H11,"DO NOT ENTER — resolve failing Entry Rule(s) above first"))</f>
        <v/>
      </c>
    </row>
    <row r="12" customFormat="false" ht="15" hidden="false" customHeight="true" outlineLevel="0" collapsed="false">
      <c r="A12" s="92" t="str">
        <f aca="false">IF(Scoring!A12="","",Scoring!A12)</f>
        <v>ADBE</v>
      </c>
      <c r="B12" s="92" t="str">
        <f aca="false">IF(Scoring!B12="","",Scoring!B12)</f>
        <v>Adobe Inc.</v>
      </c>
      <c r="C12" s="92" t="str">
        <f aca="false">IF(Scoring!AG12="","",IF(OR(Scoring!AG12="STRONG BUY",Scoring!AG12="BUY"),"PASS","FAIL"))</f>
        <v>PASS</v>
      </c>
      <c r="D12" s="92" t="str">
        <f aca="false">IF(Scoring!AH12="","",IF(Scoring!AH12="OK","PASS","FAIL"))</f>
        <v>PASS</v>
      </c>
      <c r="E12" s="92" t="str">
        <f aca="false">IF(Scoring!AI12="","",IF(Scoring!AI12="OK","PASS","FAIL — mandatory review required"))</f>
        <v>PASS</v>
      </c>
      <c r="F12" s="92"/>
      <c r="G12" s="92"/>
      <c r="H12" s="92" t="str">
        <f aca="false">IF(OR(F12="",G12=""),"",IF(AND(F12="Y",G12="Y"),"Standard initial size","50% of normal initial size + 90-day technical review"))</f>
        <v/>
      </c>
      <c r="I12" s="92"/>
      <c r="J12" s="92"/>
      <c r="K12" s="92" t="str">
        <f aca="false">IF(I12="","",IF(I12="N","PASS",IF(J12="Y","PASS — risk documented in thesis","FAIL — undocumented binary risk")))</f>
        <v/>
      </c>
      <c r="L12" s="92" t="str">
        <f aca="false">IF('Implied-Return Calculator'!S13="","",'Implied-Return Calculator'!S13)</f>
        <v/>
      </c>
      <c r="M12" s="92" t="str">
        <f aca="false">IF('Implied-Return Calculator'!T13="","",'Implied-Return Calculator'!T13)</f>
        <v/>
      </c>
      <c r="N12" s="92" t="str">
        <f aca="false">IF('Implied-Return Calculator'!U13="","",'Implied-Return Calculator'!U13)</f>
        <v/>
      </c>
      <c r="O12" s="92"/>
      <c r="P12" s="92"/>
      <c r="Q12" s="92" t="str">
        <f aca="false">IF(OR(N12="",O12=""),"",IF(N12&lt;=50,"PASS — within ceiling",IF(AND(O12&gt;0.3,L12="PASS"),"PASS — growth+bear case exception met","FAIL — exceeds 50x, exception not met")))</f>
        <v/>
      </c>
      <c r="R12" s="92" t="str">
        <f aca="false">IF(OR(C12="",D12="",E12="",K12="",L12="",M12="",N12="",Q12=""),"",IF(AND(C12="PASS",D12="PASS",LEFT(E12,4)="PASS",LEFT(K12,4)="PASS",L12="PASS",M12="PASS",N12="OK",LEFT(Q12,4)="PASS"),"YES","NO — see failing rule(s)"))</f>
        <v/>
      </c>
      <c r="S12" s="92" t="str">
        <f aca="false">IF(R12="","",IF(R12="YES","Initiate: "&amp;H12,"DO NOT ENTER — resolve failing Entry Rule(s) above first"))</f>
        <v/>
      </c>
    </row>
    <row r="13" customFormat="false" ht="15" hidden="false" customHeight="true" outlineLevel="0" collapsed="false">
      <c r="A13" s="92" t="str">
        <f aca="false">IF(Scoring!A13="","",Scoring!A13)</f>
        <v>ANET</v>
      </c>
      <c r="B13" s="92" t="str">
        <f aca="false">IF(Scoring!B13="","",Scoring!B13)</f>
        <v>Arista Networks</v>
      </c>
      <c r="C13" s="92" t="str">
        <f aca="false">IF(Scoring!AG13="","",IF(OR(Scoring!AG13="STRONG BUY",Scoring!AG13="BUY"),"PASS","FAIL"))</f>
        <v>PASS</v>
      </c>
      <c r="D13" s="92" t="str">
        <f aca="false">IF(Scoring!AH13="","",IF(Scoring!AH13="OK","PASS","FAIL"))</f>
        <v>PASS</v>
      </c>
      <c r="E13" s="92" t="str">
        <f aca="false">IF(Scoring!AI13="","",IF(Scoring!AI13="OK","PASS","FAIL — mandatory review required"))</f>
        <v>PASS</v>
      </c>
      <c r="F13" s="92"/>
      <c r="G13" s="92"/>
      <c r="H13" s="92" t="str">
        <f aca="false">IF(OR(F13="",G13=""),"",IF(AND(F13="Y",G13="Y"),"Standard initial size","50% of normal initial size + 90-day technical review"))</f>
        <v/>
      </c>
      <c r="I13" s="92"/>
      <c r="J13" s="92"/>
      <c r="K13" s="92" t="str">
        <f aca="false">IF(I13="","",IF(I13="N","PASS",IF(J13="Y","PASS — risk documented in thesis","FAIL — undocumented binary risk")))</f>
        <v/>
      </c>
      <c r="L13" s="92" t="str">
        <f aca="false">IF('Implied-Return Calculator'!S14="","",'Implied-Return Calculator'!S14)</f>
        <v/>
      </c>
      <c r="M13" s="92" t="str">
        <f aca="false">IF('Implied-Return Calculator'!T14="","",'Implied-Return Calculator'!T14)</f>
        <v/>
      </c>
      <c r="N13" s="92" t="str">
        <f aca="false">IF('Implied-Return Calculator'!U14="","",'Implied-Return Calculator'!U14)</f>
        <v/>
      </c>
      <c r="O13" s="92"/>
      <c r="P13" s="92"/>
      <c r="Q13" s="92" t="str">
        <f aca="false">IF(OR(N13="",O13=""),"",IF(N13&lt;=50,"PASS — within ceiling",IF(AND(O13&gt;0.3,L13="PASS"),"PASS — growth+bear case exception met","FAIL — exceeds 50x, exception not met")))</f>
        <v/>
      </c>
      <c r="R13" s="92" t="str">
        <f aca="false">IF(OR(C13="",D13="",E13="",K13="",L13="",M13="",N13="",Q13=""),"",IF(AND(C13="PASS",D13="PASS",LEFT(E13,4)="PASS",LEFT(K13,4)="PASS",L13="PASS",M13="PASS",N13="OK",LEFT(Q13,4)="PASS"),"YES","NO — see failing rule(s)"))</f>
        <v/>
      </c>
      <c r="S13" s="92" t="str">
        <f aca="false">IF(R13="","",IF(R13="YES","Initiate: "&amp;H13,"DO NOT ENTER — resolve failing Entry Rule(s) above first"))</f>
        <v/>
      </c>
    </row>
    <row r="14" customFormat="false" ht="15" hidden="false" customHeight="true" outlineLevel="0" collapsed="false">
      <c r="A14" s="92" t="str">
        <f aca="false">IF(Scoring!A14="","",Scoring!A14)</f>
        <v>ASML</v>
      </c>
      <c r="B14" s="92" t="str">
        <f aca="false">IF(Scoring!B14="","",Scoring!B14)</f>
        <v>ASML Holding</v>
      </c>
      <c r="C14" s="92" t="str">
        <f aca="false">IF(Scoring!AG14="","",IF(OR(Scoring!AG14="STRONG BUY",Scoring!AG14="BUY"),"PASS","FAIL"))</f>
        <v>PASS</v>
      </c>
      <c r="D14" s="92" t="str">
        <f aca="false">IF(Scoring!AH14="","",IF(Scoring!AH14="OK","PASS","FAIL"))</f>
        <v>PASS</v>
      </c>
      <c r="E14" s="92" t="str">
        <f aca="false">IF(Scoring!AI14="","",IF(Scoring!AI14="OK","PASS","FAIL — mandatory review required"))</f>
        <v>PASS</v>
      </c>
      <c r="F14" s="92"/>
      <c r="G14" s="92"/>
      <c r="H14" s="92" t="str">
        <f aca="false">IF(OR(F14="",G14=""),"",IF(AND(F14="Y",G14="Y"),"Standard initial size","50% of normal initial size + 90-day technical review"))</f>
        <v/>
      </c>
      <c r="I14" s="92"/>
      <c r="J14" s="92"/>
      <c r="K14" s="92" t="str">
        <f aca="false">IF(I14="","",IF(I14="N","PASS",IF(J14="Y","PASS — risk documented in thesis","FAIL — undocumented binary risk")))</f>
        <v/>
      </c>
      <c r="L14" s="92" t="str">
        <f aca="false">IF('Implied-Return Calculator'!S15="","",'Implied-Return Calculator'!S15)</f>
        <v/>
      </c>
      <c r="M14" s="92" t="str">
        <f aca="false">IF('Implied-Return Calculator'!T15="","",'Implied-Return Calculator'!T15)</f>
        <v/>
      </c>
      <c r="N14" s="92" t="str">
        <f aca="false">IF('Implied-Return Calculator'!U15="","",'Implied-Return Calculator'!U15)</f>
        <v/>
      </c>
      <c r="O14" s="92"/>
      <c r="P14" s="92"/>
      <c r="Q14" s="92" t="str">
        <f aca="false">IF(OR(N14="",O14=""),"",IF(N14&lt;=50,"PASS — within ceiling",IF(AND(O14&gt;0.3,L14="PASS"),"PASS — growth+bear case exception met","FAIL — exceeds 50x, exception not met")))</f>
        <v/>
      </c>
      <c r="R14" s="92" t="str">
        <f aca="false">IF(OR(C14="",D14="",E14="",K14="",L14="",M14="",N14="",Q14=""),"",IF(AND(C14="PASS",D14="PASS",LEFT(E14,4)="PASS",LEFT(K14,4)="PASS",L14="PASS",M14="PASS",N14="OK",LEFT(Q14,4)="PASS"),"YES","NO — see failing rule(s)"))</f>
        <v/>
      </c>
      <c r="S14" s="92" t="str">
        <f aca="false">IF(R14="","",IF(R14="YES","Initiate: "&amp;H14,"DO NOT ENTER — resolve failing Entry Rule(s) above first"))</f>
        <v/>
      </c>
    </row>
    <row r="15" customFormat="false" ht="15" hidden="false" customHeight="true" outlineLevel="0" collapsed="false">
      <c r="A15" s="92" t="str">
        <f aca="false">IF(Scoring!A15="","",Scoring!A15)</f>
        <v>CRWD</v>
      </c>
      <c r="B15" s="92" t="str">
        <f aca="false">IF(Scoring!B15="","",Scoring!B15)</f>
        <v>CrowdStrike Holdings</v>
      </c>
      <c r="C15" s="92" t="str">
        <f aca="false">IF(Scoring!AG15="","",IF(OR(Scoring!AG15="STRONG BUY",Scoring!AG15="BUY"),"PASS","FAIL"))</f>
        <v>PASS</v>
      </c>
      <c r="D15" s="92" t="str">
        <f aca="false">IF(Scoring!AH15="","",IF(Scoring!AH15="OK","PASS","FAIL"))</f>
        <v>PASS</v>
      </c>
      <c r="E15" s="92" t="str">
        <f aca="false">IF(Scoring!AI15="","",IF(Scoring!AI15="OK","PASS","FAIL — mandatory review required"))</f>
        <v>PASS</v>
      </c>
      <c r="F15" s="92"/>
      <c r="G15" s="92"/>
      <c r="H15" s="92" t="str">
        <f aca="false">IF(OR(F15="",G15=""),"",IF(AND(F15="Y",G15="Y"),"Standard initial size","50% of normal initial size + 90-day technical review"))</f>
        <v/>
      </c>
      <c r="I15" s="92"/>
      <c r="J15" s="92"/>
      <c r="K15" s="92" t="str">
        <f aca="false">IF(I15="","",IF(I15="N","PASS",IF(J15="Y","PASS — risk documented in thesis","FAIL — undocumented binary risk")))</f>
        <v/>
      </c>
      <c r="L15" s="92" t="str">
        <f aca="false">IF('Implied-Return Calculator'!S16="","",'Implied-Return Calculator'!S16)</f>
        <v/>
      </c>
      <c r="M15" s="92" t="str">
        <f aca="false">IF('Implied-Return Calculator'!T16="","",'Implied-Return Calculator'!T16)</f>
        <v/>
      </c>
      <c r="N15" s="92" t="str">
        <f aca="false">IF('Implied-Return Calculator'!U16="","",'Implied-Return Calculator'!U16)</f>
        <v/>
      </c>
      <c r="O15" s="92"/>
      <c r="P15" s="92"/>
      <c r="Q15" s="92" t="str">
        <f aca="false">IF(OR(N15="",O15=""),"",IF(N15&lt;=50,"PASS — within ceiling",IF(AND(O15&gt;0.3,L15="PASS"),"PASS — growth+bear case exception met","FAIL — exceeds 50x, exception not met")))</f>
        <v/>
      </c>
      <c r="R15" s="92" t="str">
        <f aca="false">IF(OR(C15="",D15="",E15="",K15="",L15="",M15="",N15="",Q15=""),"",IF(AND(C15="PASS",D15="PASS",LEFT(E15,4)="PASS",LEFT(K15,4)="PASS",L15="PASS",M15="PASS",N15="OK",LEFT(Q15,4)="PASS"),"YES","NO — see failing rule(s)"))</f>
        <v/>
      </c>
      <c r="S15" s="92" t="str">
        <f aca="false">IF(R15="","",IF(R15="YES","Initiate: "&amp;H15,"DO NOT ENTER — resolve failing Entry Rule(s) above first"))</f>
        <v/>
      </c>
    </row>
    <row r="16" customFormat="false" ht="15" hidden="false" customHeight="true" outlineLevel="0" collapsed="false">
      <c r="A16" s="92" t="str">
        <f aca="false">IF(Scoring!A16="","",Scoring!A16)</f>
        <v>KLAC</v>
      </c>
      <c r="B16" s="92" t="str">
        <f aca="false">IF(Scoring!B16="","",Scoring!B16)</f>
        <v>KLA Corporation</v>
      </c>
      <c r="C16" s="92" t="str">
        <f aca="false">IF(Scoring!AG16="","",IF(OR(Scoring!AG16="STRONG BUY",Scoring!AG16="BUY"),"PASS","FAIL"))</f>
        <v>PASS</v>
      </c>
      <c r="D16" s="92" t="str">
        <f aca="false">IF(Scoring!AH16="","",IF(Scoring!AH16="OK","PASS","FAIL"))</f>
        <v>PASS</v>
      </c>
      <c r="E16" s="92" t="str">
        <f aca="false">IF(Scoring!AI16="","",IF(Scoring!AI16="OK","PASS","FAIL — mandatory review required"))</f>
        <v>PASS</v>
      </c>
      <c r="F16" s="92"/>
      <c r="G16" s="92"/>
      <c r="H16" s="92" t="str">
        <f aca="false">IF(OR(F16="",G16=""),"",IF(AND(F16="Y",G16="Y"),"Standard initial size","50% of normal initial size + 90-day technical review"))</f>
        <v/>
      </c>
      <c r="I16" s="92"/>
      <c r="J16" s="92"/>
      <c r="K16" s="92" t="str">
        <f aca="false">IF(I16="","",IF(I16="N","PASS",IF(J16="Y","PASS — risk documented in thesis","FAIL — undocumented binary risk")))</f>
        <v/>
      </c>
      <c r="L16" s="92" t="str">
        <f aca="false">IF('Implied-Return Calculator'!S17="","",'Implied-Return Calculator'!S17)</f>
        <v/>
      </c>
      <c r="M16" s="92" t="str">
        <f aca="false">IF('Implied-Return Calculator'!T17="","",'Implied-Return Calculator'!T17)</f>
        <v/>
      </c>
      <c r="N16" s="92" t="str">
        <f aca="false">IF('Implied-Return Calculator'!U17="","",'Implied-Return Calculator'!U17)</f>
        <v/>
      </c>
      <c r="O16" s="92"/>
      <c r="P16" s="92"/>
      <c r="Q16" s="92" t="str">
        <f aca="false">IF(OR(N16="",O16=""),"",IF(N16&lt;=50,"PASS — within ceiling",IF(AND(O16&gt;0.3,L16="PASS"),"PASS — growth+bear case exception met","FAIL — exceeds 50x, exception not met")))</f>
        <v/>
      </c>
      <c r="R16" s="92" t="str">
        <f aca="false">IF(OR(C16="",D16="",E16="",K16="",L16="",M16="",N16="",Q16=""),"",IF(AND(C16="PASS",D16="PASS",LEFT(E16,4)="PASS",LEFT(K16,4)="PASS",L16="PASS",M16="PASS",N16="OK",LEFT(Q16,4)="PASS"),"YES","NO — see failing rule(s)"))</f>
        <v/>
      </c>
      <c r="S16" s="92" t="str">
        <f aca="false">IF(R16="","",IF(R16="YES","Initiate: "&amp;H16,"DO NOT ENTER — resolve failing Entry Rule(s) above first"))</f>
        <v/>
      </c>
    </row>
    <row r="17" customFormat="false" ht="15" hidden="false" customHeight="true" outlineLevel="0" collapsed="false">
      <c r="A17" s="92" t="str">
        <f aca="false">IF(Scoring!A17="","",Scoring!A17)</f>
        <v>TSM</v>
      </c>
      <c r="B17" s="92" t="str">
        <f aca="false">IF(Scoring!B17="","",Scoring!B17)</f>
        <v>Taiwan Semiconductor Mfg.</v>
      </c>
      <c r="C17" s="92" t="str">
        <f aca="false">IF(Scoring!AG17="","",IF(OR(Scoring!AG17="STRONG BUY",Scoring!AG17="BUY"),"PASS","FAIL"))</f>
        <v>PASS</v>
      </c>
      <c r="D17" s="92" t="str">
        <f aca="false">IF(Scoring!AH17="","",IF(Scoring!AH17="OK","PASS","FAIL"))</f>
        <v>PASS</v>
      </c>
      <c r="E17" s="92" t="str">
        <f aca="false">IF(Scoring!AI17="","",IF(Scoring!AI17="OK","PASS","FAIL — mandatory review required"))</f>
        <v>PASS</v>
      </c>
      <c r="F17" s="92"/>
      <c r="G17" s="92"/>
      <c r="H17" s="92" t="str">
        <f aca="false">IF(OR(F17="",G17=""),"",IF(AND(F17="Y",G17="Y"),"Standard initial size","50% of normal initial size + 90-day technical review"))</f>
        <v/>
      </c>
      <c r="I17" s="92"/>
      <c r="J17" s="92"/>
      <c r="K17" s="92" t="str">
        <f aca="false">IF(I17="","",IF(I17="N","PASS",IF(J17="Y","PASS — risk documented in thesis","FAIL — undocumented binary risk")))</f>
        <v/>
      </c>
      <c r="L17" s="92" t="str">
        <f aca="false">IF('Implied-Return Calculator'!S18="","",'Implied-Return Calculator'!S18)</f>
        <v/>
      </c>
      <c r="M17" s="92" t="str">
        <f aca="false">IF('Implied-Return Calculator'!T18="","",'Implied-Return Calculator'!T18)</f>
        <v/>
      </c>
      <c r="N17" s="92" t="str">
        <f aca="false">IF('Implied-Return Calculator'!U18="","",'Implied-Return Calculator'!U18)</f>
        <v/>
      </c>
      <c r="O17" s="92"/>
      <c r="P17" s="92"/>
      <c r="Q17" s="92" t="str">
        <f aca="false">IF(OR(N17="",O17=""),"",IF(N17&lt;=50,"PASS — within ceiling",IF(AND(O17&gt;0.3,L17="PASS"),"PASS — growth+bear case exception met","FAIL — exceeds 50x, exception not met")))</f>
        <v/>
      </c>
      <c r="R17" s="92" t="str">
        <f aca="false">IF(OR(C17="",D17="",E17="",K17="",L17="",M17="",N17="",Q17=""),"",IF(AND(C17="PASS",D17="PASS",LEFT(E17,4)="PASS",LEFT(K17,4)="PASS",L17="PASS",M17="PASS",N17="OK",LEFT(Q17,4)="PASS"),"YES","NO — see failing rule(s)"))</f>
        <v/>
      </c>
      <c r="S17" s="92" t="str">
        <f aca="false">IF(R17="","",IF(R17="YES","Initiate: "&amp;H17,"DO NOT ENTER — resolve failing Entry Rule(s) above first"))</f>
        <v/>
      </c>
    </row>
    <row r="18" customFormat="false" ht="15" hidden="false" customHeight="true" outlineLevel="0" collapsed="false">
      <c r="A18" s="92" t="str">
        <f aca="false">IF(Scoring!A18="","",Scoring!A18)</f>
        <v>VRT</v>
      </c>
      <c r="B18" s="92" t="str">
        <f aca="false">IF(Scoring!B18="","",Scoring!B18)</f>
        <v>Vertiv Holdings</v>
      </c>
      <c r="C18" s="92" t="str">
        <f aca="false">IF(Scoring!AG18="","",IF(OR(Scoring!AG18="STRONG BUY",Scoring!AG18="BUY"),"PASS","FAIL"))</f>
        <v>PASS</v>
      </c>
      <c r="D18" s="92" t="str">
        <f aca="false">IF(Scoring!AH18="","",IF(Scoring!AH18="OK","PASS","FAIL"))</f>
        <v>PASS</v>
      </c>
      <c r="E18" s="92" t="str">
        <f aca="false">IF(Scoring!AI18="","",IF(Scoring!AI18="OK","PASS","FAIL — mandatory review required"))</f>
        <v>PASS</v>
      </c>
      <c r="F18" s="92"/>
      <c r="G18" s="92"/>
      <c r="H18" s="92" t="str">
        <f aca="false">IF(OR(F18="",G18=""),"",IF(AND(F18="Y",G18="Y"),"Standard initial size","50% of normal initial size + 90-day technical review"))</f>
        <v/>
      </c>
      <c r="I18" s="92"/>
      <c r="J18" s="92"/>
      <c r="K18" s="92" t="str">
        <f aca="false">IF(I18="","",IF(I18="N","PASS",IF(J18="Y","PASS — risk documented in thesis","FAIL — undocumented binary risk")))</f>
        <v/>
      </c>
      <c r="L18" s="92" t="str">
        <f aca="false">IF('Implied-Return Calculator'!S19="","",'Implied-Return Calculator'!S19)</f>
        <v/>
      </c>
      <c r="M18" s="92" t="str">
        <f aca="false">IF('Implied-Return Calculator'!T19="","",'Implied-Return Calculator'!T19)</f>
        <v/>
      </c>
      <c r="N18" s="92" t="str">
        <f aca="false">IF('Implied-Return Calculator'!U19="","",'Implied-Return Calculator'!U19)</f>
        <v/>
      </c>
      <c r="O18" s="92"/>
      <c r="P18" s="92"/>
      <c r="Q18" s="92" t="str">
        <f aca="false">IF(OR(N18="",O18=""),"",IF(N18&lt;=50,"PASS — within ceiling",IF(AND(O18&gt;0.3,L18="PASS"),"PASS — growth+bear case exception met","FAIL — exceeds 50x, exception not met")))</f>
        <v/>
      </c>
      <c r="R18" s="92" t="str">
        <f aca="false">IF(OR(C18="",D18="",E18="",K18="",L18="",M18="",N18="",Q18=""),"",IF(AND(C18="PASS",D18="PASS",LEFT(E18,4)="PASS",LEFT(K18,4)="PASS",L18="PASS",M18="PASS",N18="OK",LEFT(Q18,4)="PASS"),"YES","NO — see failing rule(s)"))</f>
        <v/>
      </c>
      <c r="S18" s="92" t="str">
        <f aca="false">IF(R18="","",IF(R18="YES","Initiate: "&amp;H18,"DO NOT ENTER — resolve failing Entry Rule(s) above first"))</f>
        <v/>
      </c>
    </row>
    <row r="19" customFormat="false" ht="15" hidden="false" customHeight="true" outlineLevel="0" collapsed="false">
      <c r="A19" s="92" t="str">
        <f aca="false">IF(Scoring!A19="","",Scoring!A19)</f>
        <v>COST</v>
      </c>
      <c r="B19" s="92" t="str">
        <f aca="false">IF(Scoring!B19="","",Scoring!B19)</f>
        <v>Costco Wholesale Corp.</v>
      </c>
      <c r="C19" s="92" t="str">
        <f aca="false">IF(Scoring!AG19="","",IF(OR(Scoring!AG19="STRONG BUY",Scoring!AG19="BUY"),"PASS","FAIL"))</f>
        <v>PASS</v>
      </c>
      <c r="D19" s="92" t="str">
        <f aca="false">IF(Scoring!AH19="","",IF(Scoring!AH19="OK","PASS","FAIL"))</f>
        <v>PASS</v>
      </c>
      <c r="E19" s="92" t="str">
        <f aca="false">IF(Scoring!AI19="","",IF(Scoring!AI19="OK","PASS","FAIL — mandatory review required"))</f>
        <v>PASS</v>
      </c>
      <c r="F19" s="92" t="s">
        <v>209</v>
      </c>
      <c r="G19" s="92" t="s">
        <v>209</v>
      </c>
      <c r="H19" s="92" t="str">
        <f aca="false">IF(OR(F19="",G19=""),"",IF(AND(F19="Y",G19="Y"),"Standard initial size","50% of normal initial size + 90-day technical review"))</f>
        <v>Standard initial size</v>
      </c>
      <c r="I19" s="92" t="s">
        <v>208</v>
      </c>
      <c r="J19" s="92"/>
      <c r="K19" s="92" t="str">
        <f aca="false">IF(I19="","",IF(I19="N","PASS",IF(J19="Y","PASS — risk documented in thesis","FAIL — undocumented binary risk")))</f>
        <v>PASS</v>
      </c>
      <c r="L19" s="92" t="str">
        <f aca="false">IF('Implied-Return Calculator'!S20="","",'Implied-Return Calculator'!S20)</f>
        <v>FAIL</v>
      </c>
      <c r="M19" s="92" t="str">
        <f aca="false">IF('Implied-Return Calculator'!T20="","",'Implied-Return Calculator'!T20)</f>
        <v>PASS</v>
      </c>
      <c r="N19" s="92" t="str">
        <f aca="false">IF('Implied-Return Calculator'!U20="","",'Implied-Return Calculator'!U20)</f>
        <v>OK</v>
      </c>
      <c r="O19" s="92" t="n">
        <v>61.48</v>
      </c>
      <c r="P19" s="92" t="n">
        <v>0.07</v>
      </c>
      <c r="Q19" s="92" t="str">
        <f aca="false">IF(OR(N19="",O19=""),"",IF(N19&lt;=50,"PASS — within ceiling",IF(AND(O19&gt;0.3,L19="PASS"),"PASS — growth+bear case exception met","FAIL — exceeds 50x, exception not met")))</f>
        <v>FAIL — exceeds 50x, exception not met</v>
      </c>
      <c r="R19" s="92" t="str">
        <f aca="false">IF(OR(C19="",D19="",E19="",K19="",L19="",M19="",N19="",Q19=""),"",IF(AND(C19="PASS",D19="PASS",LEFT(E19,4)="PASS",LEFT(K19,4)="PASS",L19="PASS",M19="PASS",N19="OK",LEFT(Q19,4)="PASS"),"YES","NO — see failing rule(s)"))</f>
        <v>NO — see failing rule(s)</v>
      </c>
      <c r="S19" s="92" t="str">
        <f aca="false">IF(R19="","",IF(R19="YES","Initiate: "&amp;H19,"DO NOT ENTER — resolve failing Entry Rule(s) above first"))</f>
        <v>DO NOT ENTER — resolve failing Entry Rule(s) above first</v>
      </c>
    </row>
    <row r="20" customFormat="false" ht="15" hidden="false" customHeight="true" outlineLevel="0" collapsed="false">
      <c r="A20" s="92" t="str">
        <f aca="false">IF(Scoring!A20="","",Scoring!A20)</f>
        <v>V</v>
      </c>
      <c r="B20" s="92" t="str">
        <f aca="false">IF(Scoring!B20="","",Scoring!B20)</f>
        <v>Visa Inc.</v>
      </c>
      <c r="C20" s="92" t="str">
        <f aca="false">IF(Scoring!AG20="","",IF(OR(Scoring!AG20="STRONG BUY",Scoring!AG20="BUY"),"PASS","FAIL"))</f>
        <v>PASS</v>
      </c>
      <c r="D20" s="92" t="str">
        <f aca="false">IF(Scoring!AH20="","",IF(Scoring!AH20="OK","PASS","FAIL"))</f>
        <v>PASS</v>
      </c>
      <c r="E20" s="92" t="str">
        <f aca="false">IF(Scoring!AI20="","",IF(Scoring!AI20="OK","PASS","FAIL — mandatory review required"))</f>
        <v>PASS</v>
      </c>
      <c r="F20" s="92" t="s">
        <v>209</v>
      </c>
      <c r="G20" s="92" t="s">
        <v>209</v>
      </c>
      <c r="H20" s="92" t="str">
        <f aca="false">IF(OR(F20="",G20=""),"",IF(AND(F20="Y",G20="Y"),"Standard initial size","50% of normal initial size + 90-day technical review"))</f>
        <v>Standard initial size</v>
      </c>
      <c r="I20" s="92" t="s">
        <v>209</v>
      </c>
      <c r="J20" s="92" t="s">
        <v>209</v>
      </c>
      <c r="K20" s="92" t="str">
        <f aca="false">IF(I20="","",IF(I20="N","PASS",IF(J20="Y","PASS — risk documented in thesis","FAIL — undocumented binary risk")))</f>
        <v>PASS — risk documented in thesis</v>
      </c>
      <c r="L20" s="92" t="str">
        <f aca="false">IF('Implied-Return Calculator'!S21="","",'Implied-Return Calculator'!S21)</f>
        <v>PASS</v>
      </c>
      <c r="M20" s="92" t="str">
        <f aca="false">IF('Implied-Return Calculator'!T21="","",'Implied-Return Calculator'!T21)</f>
        <v>PASS</v>
      </c>
      <c r="N20" s="92" t="str">
        <f aca="false">IF('Implied-Return Calculator'!U21="","",'Implied-Return Calculator'!U21)</f>
        <v>OK</v>
      </c>
      <c r="O20" s="92" t="n">
        <v>34.36</v>
      </c>
      <c r="P20" s="92" t="n">
        <v>0.11</v>
      </c>
      <c r="Q20" s="92" t="str">
        <f aca="false">IF(OR(N20="",O20=""),"",IF(N20&lt;=50,"PASS — within ceiling",IF(AND(O20&gt;0.3,L20="PASS"),"PASS — growth+bear case exception met","FAIL — exceeds 50x, exception not met")))</f>
        <v>PASS — growth+bear case exception met</v>
      </c>
      <c r="R20" s="92" t="str">
        <f aca="false">IF(OR(C20="",D20="",E20="",K20="",L20="",M20="",N20="",Q20=""),"",IF(AND(C20="PASS",D20="PASS",LEFT(E20,4)="PASS",LEFT(K20,4)="PASS",L20="PASS",M20="PASS",N20="OK",LEFT(Q20,4)="PASS"),"YES","NO — see failing rule(s)"))</f>
        <v>YES</v>
      </c>
      <c r="S20" s="92" t="str">
        <f aca="false">IF(R20="","",IF(R20="YES","Initiate: "&amp;H20,"DO NOT ENTER — resolve failing Entry Rule(s) above first"))</f>
        <v>Initiate: Standard initial size</v>
      </c>
    </row>
    <row r="21" customFormat="false" ht="15" hidden="false" customHeight="true" outlineLevel="0" collapsed="false">
      <c r="A21" s="92" t="str">
        <f aca="false">IF(Scoring!A21="","",Scoring!A21)</f>
        <v>NEE</v>
      </c>
      <c r="B21" s="92" t="str">
        <f aca="false">IF(Scoring!B21="","",Scoring!B21)</f>
        <v>NextEra Energy Inc.</v>
      </c>
      <c r="C21" s="92" t="str">
        <f aca="false">IF(Scoring!AG21="","",IF(OR(Scoring!AG21="STRONG BUY",Scoring!AG21="BUY"),"PASS","FAIL"))</f>
        <v/>
      </c>
      <c r="D21" s="92" t="str">
        <f aca="false">IF(Scoring!AH21="","",IF(Scoring!AH21="OK","PASS","FAIL"))</f>
        <v>FAIL</v>
      </c>
      <c r="E21" s="92" t="str">
        <f aca="false">IF(Scoring!AI21="","",IF(Scoring!AI21="OK","PASS","FAIL — mandatory review required"))</f>
        <v>FAIL — mandatory review required</v>
      </c>
      <c r="F21" s="92"/>
      <c r="G21" s="92"/>
      <c r="H21" s="92" t="str">
        <f aca="false">IF(OR(F21="",G21=""),"",IF(AND(F21="Y",G21="Y"),"Standard initial size","50% of normal initial size + 90-day technical review"))</f>
        <v/>
      </c>
      <c r="I21" s="92"/>
      <c r="J21" s="92"/>
      <c r="K21" s="92" t="str">
        <f aca="false">IF(I21="","",IF(I21="N","PASS",IF(J21="Y","PASS — risk documented in thesis","FAIL — undocumented binary risk")))</f>
        <v/>
      </c>
      <c r="L21" s="92" t="str">
        <f aca="false">IF('Implied-Return Calculator'!S22="","",'Implied-Return Calculator'!S22)</f>
        <v/>
      </c>
      <c r="M21" s="92" t="str">
        <f aca="false">IF('Implied-Return Calculator'!T22="","",'Implied-Return Calculator'!T22)</f>
        <v/>
      </c>
      <c r="N21" s="92" t="str">
        <f aca="false">IF('Implied-Return Calculator'!U22="","",'Implied-Return Calculator'!U22)</f>
        <v/>
      </c>
      <c r="O21" s="92"/>
      <c r="P21" s="92"/>
      <c r="Q21" s="92" t="str">
        <f aca="false">IF(OR(N21="",O21=""),"",IF(N21&lt;=50,"PASS — within ceiling",IF(AND(O21&gt;0.3,L21="PASS"),"PASS — growth+bear case exception met","FAIL — exceeds 50x, exception not met")))</f>
        <v/>
      </c>
      <c r="R21" s="92" t="str">
        <f aca="false">IF(OR(C21="",D21="",E21="",K21="",L21="",M21="",N21="",Q21=""),"",IF(AND(C21="PASS",D21="PASS",LEFT(E21,4)="PASS",LEFT(K21,4)="PASS",L21="PASS",M21="PASS",N21="OK",LEFT(Q21,4)="PASS"),"YES","NO — see failing rule(s)"))</f>
        <v/>
      </c>
      <c r="S21" s="92" t="str">
        <f aca="false">IF(R21="","",IF(R21="YES","Initiate: "&amp;H21,"DO NOT ENTER — resolve failing Entry Rule(s) above first"))</f>
        <v/>
      </c>
    </row>
    <row r="22" customFormat="false" ht="15" hidden="false" customHeight="true" outlineLevel="0" collapsed="false">
      <c r="A22" s="92" t="str">
        <f aca="false">IF(Scoring!A22="","",Scoring!A22)</f>
        <v>CRK</v>
      </c>
      <c r="B22" s="92" t="str">
        <f aca="false">IF(Scoring!B22="","",Scoring!B22)</f>
        <v>Comstock Resources Inc.</v>
      </c>
      <c r="C22" s="92" t="str">
        <f aca="false">IF(Scoring!AG22="","",IF(OR(Scoring!AG22="STRONG BUY",Scoring!AG22="BUY"),"PASS","FAIL"))</f>
        <v/>
      </c>
      <c r="D22" s="92" t="str">
        <f aca="false">IF(Scoring!AH22="","",IF(Scoring!AH22="OK","PASS","FAIL"))</f>
        <v>FAIL</v>
      </c>
      <c r="E22" s="92" t="str">
        <f aca="false">IF(Scoring!AI22="","",IF(Scoring!AI22="OK","PASS","FAIL — mandatory review required"))</f>
        <v>FAIL — mandatory review required</v>
      </c>
      <c r="F22" s="92"/>
      <c r="G22" s="92"/>
      <c r="H22" s="92" t="str">
        <f aca="false">IF(OR(F22="",G22=""),"",IF(AND(F22="Y",G22="Y"),"Standard initial size","50% of normal initial size + 90-day technical review"))</f>
        <v/>
      </c>
      <c r="I22" s="92"/>
      <c r="J22" s="92"/>
      <c r="K22" s="92" t="str">
        <f aca="false">IF(I22="","",IF(I22="N","PASS",IF(J22="Y","PASS — risk documented in thesis","FAIL — undocumented binary risk")))</f>
        <v/>
      </c>
      <c r="L22" s="92" t="str">
        <f aca="false">IF('Implied-Return Calculator'!S23="","",'Implied-Return Calculator'!S23)</f>
        <v/>
      </c>
      <c r="M22" s="92" t="str">
        <f aca="false">IF('Implied-Return Calculator'!T23="","",'Implied-Return Calculator'!T23)</f>
        <v/>
      </c>
      <c r="N22" s="92" t="str">
        <f aca="false">IF('Implied-Return Calculator'!U23="","",'Implied-Return Calculator'!U23)</f>
        <v/>
      </c>
      <c r="O22" s="92"/>
      <c r="P22" s="92"/>
      <c r="Q22" s="92" t="str">
        <f aca="false">IF(OR(N22="",O22=""),"",IF(N22&lt;=50,"PASS — within ceiling",IF(AND(O22&gt;0.3,L22="PASS"),"PASS — growth+bear case exception met","FAIL — exceeds 50x, exception not met")))</f>
        <v/>
      </c>
      <c r="R22" s="92" t="str">
        <f aca="false">IF(OR(C22="",D22="",E22="",K22="",L22="",M22="",N22="",Q22=""),"",IF(AND(C22="PASS",D22="PASS",LEFT(E22,4)="PASS",LEFT(K22,4)="PASS",L22="PASS",M22="PASS",N22="OK",LEFT(Q22,4)="PASS"),"YES","NO — see failing rule(s)"))</f>
        <v/>
      </c>
      <c r="S22" s="92" t="str">
        <f aca="false">IF(R22="","",IF(R22="YES","Initiate: "&amp;H22,"DO NOT ENTER — resolve failing Entry Rule(s) above first"))</f>
        <v/>
      </c>
    </row>
    <row r="23" customFormat="false" ht="15" hidden="false" customHeight="true" outlineLevel="0" collapsed="false">
      <c r="A23" s="92" t="str">
        <f aca="false">IF(Scoring!A23="","",Scoring!A23)</f>
        <v>ET</v>
      </c>
      <c r="B23" s="92" t="str">
        <f aca="false">IF(Scoring!B23="","",Scoring!B23)</f>
        <v>Energy Transfer LP</v>
      </c>
      <c r="C23" s="92" t="str">
        <f aca="false">IF(Scoring!AG23="","",IF(OR(Scoring!AG23="STRONG BUY",Scoring!AG23="BUY"),"PASS","FAIL"))</f>
        <v/>
      </c>
      <c r="D23" s="92" t="str">
        <f aca="false">IF(Scoring!AH23="","",IF(Scoring!AH23="OK","PASS","FAIL"))</f>
        <v>PASS</v>
      </c>
      <c r="E23" s="92" t="str">
        <f aca="false">IF(Scoring!AI23="","",IF(Scoring!AI23="OK","PASS","FAIL — mandatory review required"))</f>
        <v>PASS</v>
      </c>
      <c r="F23" s="92"/>
      <c r="G23" s="92"/>
      <c r="H23" s="92" t="str">
        <f aca="false">IF(OR(F23="",G23=""),"",IF(AND(F23="Y",G23="Y"),"Standard initial size","50% of normal initial size + 90-day technical review"))</f>
        <v/>
      </c>
      <c r="I23" s="92"/>
      <c r="J23" s="92"/>
      <c r="K23" s="92" t="str">
        <f aca="false">IF(I23="","",IF(I23="N","PASS",IF(J23="Y","PASS — risk documented in thesis","FAIL — undocumented binary risk")))</f>
        <v/>
      </c>
      <c r="L23" s="92" t="str">
        <f aca="false">IF('Implied-Return Calculator'!S24="","",'Implied-Return Calculator'!S24)</f>
        <v/>
      </c>
      <c r="M23" s="92" t="str">
        <f aca="false">IF('Implied-Return Calculator'!T24="","",'Implied-Return Calculator'!T24)</f>
        <v/>
      </c>
      <c r="N23" s="92" t="str">
        <f aca="false">IF('Implied-Return Calculator'!U24="","",'Implied-Return Calculator'!U24)</f>
        <v/>
      </c>
      <c r="O23" s="92"/>
      <c r="P23" s="92"/>
      <c r="Q23" s="92" t="str">
        <f aca="false">IF(OR(N23="",O23=""),"",IF(N23&lt;=50,"PASS — within ceiling",IF(AND(O23&gt;0.3,L23="PASS"),"PASS — growth+bear case exception met","FAIL — exceeds 50x, exception not met")))</f>
        <v/>
      </c>
      <c r="R23" s="92" t="str">
        <f aca="false">IF(OR(C23="",D23="",E23="",K23="",L23="",M23="",N23="",Q23=""),"",IF(AND(C23="PASS",D23="PASS",LEFT(E23,4)="PASS",LEFT(K23,4)="PASS",L23="PASS",M23="PASS",N23="OK",LEFT(Q23,4)="PASS"),"YES","NO — see failing rule(s)"))</f>
        <v/>
      </c>
      <c r="S23" s="92" t="str">
        <f aca="false">IF(R23="","",IF(R23="YES","Initiate: "&amp;H23,"DO NOT ENTER — resolve failing Entry Rule(s) above first"))</f>
        <v/>
      </c>
    </row>
    <row r="24" customFormat="false" ht="15" hidden="false" customHeight="true" outlineLevel="0" collapsed="false">
      <c r="A24" s="92" t="str">
        <f aca="false">IF(Scoring!A24="","",Scoring!A24)</f>
        <v>LBRT</v>
      </c>
      <c r="B24" s="92" t="str">
        <f aca="false">IF(Scoring!B24="","",Scoring!B24)</f>
        <v>Liberty Energy Inc.</v>
      </c>
      <c r="C24" s="92" t="str">
        <f aca="false">IF(Scoring!AG24="","",IF(OR(Scoring!AG24="STRONG BUY",Scoring!AG24="BUY"),"PASS","FAIL"))</f>
        <v/>
      </c>
      <c r="D24" s="92" t="str">
        <f aca="false">IF(Scoring!AH24="","",IF(Scoring!AH24="OK","PASS","FAIL"))</f>
        <v>FAIL</v>
      </c>
      <c r="E24" s="92" t="str">
        <f aca="false">IF(Scoring!AI24="","",IF(Scoring!AI24="OK","PASS","FAIL — mandatory review required"))</f>
        <v>FAIL — mandatory review required</v>
      </c>
      <c r="F24" s="92"/>
      <c r="G24" s="92"/>
      <c r="H24" s="92" t="str">
        <f aca="false">IF(OR(F24="",G24=""),"",IF(AND(F24="Y",G24="Y"),"Standard initial size","50% of normal initial size + 90-day technical review"))</f>
        <v/>
      </c>
      <c r="I24" s="92"/>
      <c r="J24" s="92"/>
      <c r="K24" s="92" t="str">
        <f aca="false">IF(I24="","",IF(I24="N","PASS",IF(J24="Y","PASS — risk documented in thesis","FAIL — undocumented binary risk")))</f>
        <v/>
      </c>
      <c r="L24" s="92" t="str">
        <f aca="false">IF('Implied-Return Calculator'!S25="","",'Implied-Return Calculator'!S25)</f>
        <v/>
      </c>
      <c r="M24" s="92" t="str">
        <f aca="false">IF('Implied-Return Calculator'!T25="","",'Implied-Return Calculator'!T25)</f>
        <v/>
      </c>
      <c r="N24" s="92" t="str">
        <f aca="false">IF('Implied-Return Calculator'!U25="","",'Implied-Return Calculator'!U25)</f>
        <v/>
      </c>
      <c r="O24" s="92"/>
      <c r="P24" s="92"/>
      <c r="Q24" s="92" t="str">
        <f aca="false">IF(OR(N24="",O24=""),"",IF(N24&lt;=50,"PASS — within ceiling",IF(AND(O24&gt;0.3,L24="PASS"),"PASS — growth+bear case exception met","FAIL — exceeds 50x, exception not met")))</f>
        <v/>
      </c>
      <c r="R24" s="92" t="str">
        <f aca="false">IF(OR(C24="",D24="",E24="",K24="",L24="",M24="",N24="",Q24=""),"",IF(AND(C24="PASS",D24="PASS",LEFT(E24,4)="PASS",LEFT(K24,4)="PASS",L24="PASS",M24="PASS",N24="OK",LEFT(Q24,4)="PASS"),"YES","NO — see failing rule(s)"))</f>
        <v/>
      </c>
      <c r="S24" s="92" t="str">
        <f aca="false">IF(R24="","",IF(R24="YES","Initiate: "&amp;H24,"DO NOT ENTER — resolve failing Entry Rule(s) above first"))</f>
        <v/>
      </c>
    </row>
    <row r="25" customFormat="false" ht="15" hidden="false" customHeight="true" outlineLevel="0" collapsed="false">
      <c r="A25" s="92" t="str">
        <f aca="false">IF(Scoring!A25="","",Scoring!A25)</f>
        <v>NOV</v>
      </c>
      <c r="B25" s="92" t="str">
        <f aca="false">IF(Scoring!B25="","",Scoring!B25)</f>
        <v>NOV Inc.</v>
      </c>
      <c r="C25" s="92" t="str">
        <f aca="false">IF(Scoring!AG25="","",IF(OR(Scoring!AG25="STRONG BUY",Scoring!AG25="BUY"),"PASS","FAIL"))</f>
        <v/>
      </c>
      <c r="D25" s="92" t="str">
        <f aca="false">IF(Scoring!AH25="","",IF(Scoring!AH25="OK","PASS","FAIL"))</f>
        <v>FAIL</v>
      </c>
      <c r="E25" s="92" t="str">
        <f aca="false">IF(Scoring!AI25="","",IF(Scoring!AI25="OK","PASS","FAIL — mandatory review required"))</f>
        <v>PASS</v>
      </c>
      <c r="F25" s="92"/>
      <c r="G25" s="92"/>
      <c r="H25" s="92" t="str">
        <f aca="false">IF(OR(F25="",G25=""),"",IF(AND(F25="Y",G25="Y"),"Standard initial size","50% of normal initial size + 90-day technical review"))</f>
        <v/>
      </c>
      <c r="I25" s="92"/>
      <c r="J25" s="92"/>
      <c r="K25" s="92" t="str">
        <f aca="false">IF(I25="","",IF(I25="N","PASS",IF(J25="Y","PASS — risk documented in thesis","FAIL — undocumented binary risk")))</f>
        <v/>
      </c>
      <c r="L25" s="92" t="str">
        <f aca="false">IF('Implied-Return Calculator'!S26="","",'Implied-Return Calculator'!S26)</f>
        <v/>
      </c>
      <c r="M25" s="92" t="str">
        <f aca="false">IF('Implied-Return Calculator'!T26="","",'Implied-Return Calculator'!T26)</f>
        <v/>
      </c>
      <c r="N25" s="92" t="str">
        <f aca="false">IF('Implied-Return Calculator'!U26="","",'Implied-Return Calculator'!U26)</f>
        <v/>
      </c>
      <c r="O25" s="92"/>
      <c r="P25" s="92"/>
      <c r="Q25" s="92" t="str">
        <f aca="false">IF(OR(N25="",O25=""),"",IF(N25&lt;=50,"PASS — within ceiling",IF(AND(O25&gt;0.3,L25="PASS"),"PASS — growth+bear case exception met","FAIL — exceeds 50x, exception not met")))</f>
        <v/>
      </c>
      <c r="R25" s="92" t="str">
        <f aca="false">IF(OR(C25="",D25="",E25="",K25="",L25="",M25="",N25="",Q25=""),"",IF(AND(C25="PASS",D25="PASS",LEFT(E25,4)="PASS",LEFT(K25,4)="PASS",L25="PASS",M25="PASS",N25="OK",LEFT(Q25,4)="PASS"),"YES","NO — see failing rule(s)"))</f>
        <v/>
      </c>
      <c r="S25" s="92" t="str">
        <f aca="false">IF(R25="","",IF(R25="YES","Initiate: "&amp;H25,"DO NOT ENTER — resolve failing Entry Rule(s) above first"))</f>
        <v/>
      </c>
    </row>
    <row r="26" customFormat="false" ht="15" hidden="false" customHeight="true" outlineLevel="0" collapsed="false">
      <c r="A26" s="92" t="str">
        <f aca="false">IF(Scoring!A26="","",Scoring!A26)</f>
        <v>CE</v>
      </c>
      <c r="B26" s="92" t="str">
        <f aca="false">IF(Scoring!B26="","",Scoring!B26)</f>
        <v>Celanese Corp.</v>
      </c>
      <c r="C26" s="92" t="str">
        <f aca="false">IF(Scoring!AG26="","",IF(OR(Scoring!AG26="STRONG BUY",Scoring!AG26="BUY"),"PASS","FAIL"))</f>
        <v/>
      </c>
      <c r="D26" s="92" t="str">
        <f aca="false">IF(Scoring!AH26="","",IF(Scoring!AH26="OK","PASS","FAIL"))</f>
        <v>FAIL</v>
      </c>
      <c r="E26" s="92" t="str">
        <f aca="false">IF(Scoring!AI26="","",IF(Scoring!AI26="OK","PASS","FAIL — mandatory review required"))</f>
        <v>FAIL — mandatory review required</v>
      </c>
      <c r="F26" s="92"/>
      <c r="G26" s="92"/>
      <c r="H26" s="92" t="str">
        <f aca="false">IF(OR(F26="",G26=""),"",IF(AND(F26="Y",G26="Y"),"Standard initial size","50% of normal initial size + 90-day technical review"))</f>
        <v/>
      </c>
      <c r="I26" s="92"/>
      <c r="J26" s="92"/>
      <c r="K26" s="92" t="str">
        <f aca="false">IF(I26="","",IF(I26="N","PASS",IF(J26="Y","PASS — risk documented in thesis","FAIL — undocumented binary risk")))</f>
        <v/>
      </c>
      <c r="L26" s="92" t="str">
        <f aca="false">IF('Implied-Return Calculator'!S27="","",'Implied-Return Calculator'!S27)</f>
        <v/>
      </c>
      <c r="M26" s="92" t="str">
        <f aca="false">IF('Implied-Return Calculator'!T27="","",'Implied-Return Calculator'!T27)</f>
        <v/>
      </c>
      <c r="N26" s="92" t="str">
        <f aca="false">IF('Implied-Return Calculator'!U27="","",'Implied-Return Calculator'!U27)</f>
        <v/>
      </c>
      <c r="O26" s="92"/>
      <c r="P26" s="92"/>
      <c r="Q26" s="92" t="str">
        <f aca="false">IF(OR(N26="",O26=""),"",IF(N26&lt;=50,"PASS — within ceiling",IF(AND(O26&gt;0.3,L26="PASS"),"PASS — growth+bear case exception met","FAIL — exceeds 50x, exception not met")))</f>
        <v/>
      </c>
      <c r="R26" s="92" t="str">
        <f aca="false">IF(OR(C26="",D26="",E26="",K26="",L26="",M26="",N26="",Q26=""),"",IF(AND(C26="PASS",D26="PASS",LEFT(E26,4)="PASS",LEFT(K26,4)="PASS",L26="PASS",M26="PASS",N26="OK",LEFT(Q26,4)="PASS"),"YES","NO — see failing rule(s)"))</f>
        <v/>
      </c>
      <c r="S26" s="92" t="str">
        <f aca="false">IF(R26="","",IF(R26="YES","Initiate: "&amp;H26,"DO NOT ENTER — resolve failing Entry Rule(s) above first"))</f>
        <v/>
      </c>
    </row>
    <row r="27" customFormat="false" ht="15" hidden="false" customHeight="true" outlineLevel="0" collapsed="false">
      <c r="A27" s="92" t="str">
        <f aca="false">IF(Scoring!A27="","",Scoring!A27)</f>
        <v>CLF</v>
      </c>
      <c r="B27" s="92" t="str">
        <f aca="false">IF(Scoring!B27="","",Scoring!B27)</f>
        <v>Cleveland-Cliffs Inc.</v>
      </c>
      <c r="C27" s="92" t="str">
        <f aca="false">IF(Scoring!AG27="","",IF(OR(Scoring!AG27="STRONG BUY",Scoring!AG27="BUY"),"PASS","FAIL"))</f>
        <v/>
      </c>
      <c r="D27" s="92" t="str">
        <f aca="false">IF(Scoring!AH27="","",IF(Scoring!AH27="OK","PASS","FAIL"))</f>
        <v>FAIL</v>
      </c>
      <c r="E27" s="92" t="str">
        <f aca="false">IF(Scoring!AI27="","",IF(Scoring!AI27="OK","PASS","FAIL — mandatory review required"))</f>
        <v>FAIL — mandatory review required</v>
      </c>
      <c r="F27" s="92"/>
      <c r="G27" s="92"/>
      <c r="H27" s="92" t="str">
        <f aca="false">IF(OR(F27="",G27=""),"",IF(AND(F27="Y",G27="Y"),"Standard initial size","50% of normal initial size + 90-day technical review"))</f>
        <v/>
      </c>
      <c r="I27" s="92"/>
      <c r="J27" s="92"/>
      <c r="K27" s="92" t="str">
        <f aca="false">IF(I27="","",IF(I27="N","PASS",IF(J27="Y","PASS — risk documented in thesis","FAIL — undocumented binary risk")))</f>
        <v/>
      </c>
      <c r="L27" s="92" t="str">
        <f aca="false">IF('Implied-Return Calculator'!S28="","",'Implied-Return Calculator'!S28)</f>
        <v/>
      </c>
      <c r="M27" s="92" t="str">
        <f aca="false">IF('Implied-Return Calculator'!T28="","",'Implied-Return Calculator'!T28)</f>
        <v/>
      </c>
      <c r="N27" s="92" t="str">
        <f aca="false">IF('Implied-Return Calculator'!U28="","",'Implied-Return Calculator'!U28)</f>
        <v/>
      </c>
      <c r="O27" s="92"/>
      <c r="P27" s="92"/>
      <c r="Q27" s="92" t="str">
        <f aca="false">IF(OR(N27="",O27=""),"",IF(N27&lt;=50,"PASS — within ceiling",IF(AND(O27&gt;0.3,L27="PASS"),"PASS — growth+bear case exception met","FAIL — exceeds 50x, exception not met")))</f>
        <v/>
      </c>
      <c r="R27" s="92" t="str">
        <f aca="false">IF(OR(C27="",D27="",E27="",K27="",L27="",M27="",N27="",Q27=""),"",IF(AND(C27="PASS",D27="PASS",LEFT(E27,4)="PASS",LEFT(K27,4)="PASS",L27="PASS",M27="PASS",N27="OK",LEFT(Q27,4)="PASS"),"YES","NO — see failing rule(s)"))</f>
        <v/>
      </c>
      <c r="S27" s="92" t="str">
        <f aca="false">IF(R27="","",IF(R27="YES","Initiate: "&amp;H27,"DO NOT ENTER — resolve failing Entry Rule(s) above first"))</f>
        <v/>
      </c>
    </row>
    <row r="28" customFormat="false" ht="15" hidden="false" customHeight="true" outlineLevel="0" collapsed="false">
      <c r="A28" s="92" t="str">
        <f aca="false">IF(Scoring!A28="","",Scoring!A28)</f>
        <v>LIN</v>
      </c>
      <c r="B28" s="92" t="str">
        <f aca="false">IF(Scoring!B28="","",Scoring!B28)</f>
        <v>Linde plc</v>
      </c>
      <c r="C28" s="92" t="str">
        <f aca="false">IF(Scoring!AG28="","",IF(OR(Scoring!AG28="STRONG BUY",Scoring!AG28="BUY"),"PASS","FAIL"))</f>
        <v/>
      </c>
      <c r="D28" s="92" t="str">
        <f aca="false">IF(Scoring!AH28="","",IF(Scoring!AH28="OK","PASS","FAIL"))</f>
        <v>PASS</v>
      </c>
      <c r="E28" s="92" t="str">
        <f aca="false">IF(Scoring!AI28="","",IF(Scoring!AI28="OK","PASS","FAIL — mandatory review required"))</f>
        <v>PASS</v>
      </c>
      <c r="F28" s="92"/>
      <c r="G28" s="92"/>
      <c r="H28" s="92" t="str">
        <f aca="false">IF(OR(F28="",G28=""),"",IF(AND(F28="Y",G28="Y"),"Standard initial size","50% of normal initial size + 90-day technical review"))</f>
        <v/>
      </c>
      <c r="I28" s="92"/>
      <c r="J28" s="92"/>
      <c r="K28" s="92" t="str">
        <f aca="false">IF(I28="","",IF(I28="N","PASS",IF(J28="Y","PASS — risk documented in thesis","FAIL — undocumented binary risk")))</f>
        <v/>
      </c>
      <c r="L28" s="92" t="str">
        <f aca="false">IF('Implied-Return Calculator'!S29="","",'Implied-Return Calculator'!S29)</f>
        <v/>
      </c>
      <c r="M28" s="92" t="str">
        <f aca="false">IF('Implied-Return Calculator'!T29="","",'Implied-Return Calculator'!T29)</f>
        <v/>
      </c>
      <c r="N28" s="92" t="str">
        <f aca="false">IF('Implied-Return Calculator'!U29="","",'Implied-Return Calculator'!U29)</f>
        <v/>
      </c>
      <c r="O28" s="92"/>
      <c r="P28" s="92"/>
      <c r="Q28" s="92" t="str">
        <f aca="false">IF(OR(N28="",O28=""),"",IF(N28&lt;=50,"PASS — within ceiling",IF(AND(O28&gt;0.3,L28="PASS"),"PASS — growth+bear case exception met","FAIL — exceeds 50x, exception not met")))</f>
        <v/>
      </c>
      <c r="R28" s="92" t="str">
        <f aca="false">IF(OR(C28="",D28="",E28="",K28="",L28="",M28="",N28="",Q28=""),"",IF(AND(C28="PASS",D28="PASS",LEFT(E28,4)="PASS",LEFT(K28,4)="PASS",L28="PASS",M28="PASS",N28="OK",LEFT(Q28,4)="PASS"),"YES","NO — see failing rule(s)"))</f>
        <v/>
      </c>
      <c r="S28" s="92" t="str">
        <f aca="false">IF(R28="","",IF(R28="YES","Initiate: "&amp;H28,"DO NOT ENTER — resolve failing Entry Rule(s) above first"))</f>
        <v/>
      </c>
    </row>
    <row r="29" customFormat="false" ht="15" hidden="false" customHeight="true" outlineLevel="0" collapsed="false">
      <c r="A29" s="92" t="str">
        <f aca="false">IF(Scoring!A29="","",Scoring!A29)</f>
        <v>DEO</v>
      </c>
      <c r="B29" s="92" t="str">
        <f aca="false">IF(Scoring!B29="","",Scoring!B29)</f>
        <v>Diageo plc</v>
      </c>
      <c r="C29" s="92" t="str">
        <f aca="false">IF(Scoring!AG29="","",IF(OR(Scoring!AG29="STRONG BUY",Scoring!AG29="BUY"),"PASS","FAIL"))</f>
        <v/>
      </c>
      <c r="D29" s="92" t="str">
        <f aca="false">IF(Scoring!AH29="","",IF(Scoring!AH29="OK","PASS","FAIL"))</f>
        <v>FAIL</v>
      </c>
      <c r="E29" s="92" t="str">
        <f aca="false">IF(Scoring!AI29="","",IF(Scoring!AI29="OK","PASS","FAIL — mandatory review required"))</f>
        <v>PASS</v>
      </c>
      <c r="F29" s="92"/>
      <c r="G29" s="92"/>
      <c r="H29" s="92" t="str">
        <f aca="false">IF(OR(F29="",G29=""),"",IF(AND(F29="Y",G29="Y"),"Standard initial size","50% of normal initial size + 90-day technical review"))</f>
        <v/>
      </c>
      <c r="I29" s="92"/>
      <c r="J29" s="92"/>
      <c r="K29" s="92" t="str">
        <f aca="false">IF(I29="","",IF(I29="N","PASS",IF(J29="Y","PASS — risk documented in thesis","FAIL — undocumented binary risk")))</f>
        <v/>
      </c>
      <c r="L29" s="92" t="str">
        <f aca="false">IF('Implied-Return Calculator'!S30="","",'Implied-Return Calculator'!S30)</f>
        <v/>
      </c>
      <c r="M29" s="92" t="str">
        <f aca="false">IF('Implied-Return Calculator'!T30="","",'Implied-Return Calculator'!T30)</f>
        <v/>
      </c>
      <c r="N29" s="92" t="str">
        <f aca="false">IF('Implied-Return Calculator'!U30="","",'Implied-Return Calculator'!U30)</f>
        <v/>
      </c>
      <c r="O29" s="92"/>
      <c r="P29" s="92"/>
      <c r="Q29" s="92" t="str">
        <f aca="false">IF(OR(N29="",O29=""),"",IF(N29&lt;=50,"PASS — within ceiling",IF(AND(O29&gt;0.3,L29="PASS"),"PASS — growth+bear case exception met","FAIL — exceeds 50x, exception not met")))</f>
        <v/>
      </c>
      <c r="R29" s="92" t="str">
        <f aca="false">IF(OR(C29="",D29="",E29="",K29="",L29="",M29="",N29="",Q29=""),"",IF(AND(C29="PASS",D29="PASS",LEFT(E29,4)="PASS",LEFT(K29,4)="PASS",L29="PASS",M29="PASS",N29="OK",LEFT(Q29,4)="PASS"),"YES","NO — see failing rule(s)"))</f>
        <v/>
      </c>
      <c r="S29" s="92" t="str">
        <f aca="false">IF(R29="","",IF(R29="YES","Initiate: "&amp;H29,"DO NOT ENTER — resolve failing Entry Rule(s) above first"))</f>
        <v/>
      </c>
    </row>
    <row r="30" customFormat="false" ht="15" hidden="false" customHeight="true" outlineLevel="0" collapsed="false">
      <c r="A30" s="92" t="str">
        <f aca="false">IF(Scoring!A30="","",Scoring!A30)</f>
        <v>EL</v>
      </c>
      <c r="B30" s="92" t="str">
        <f aca="false">IF(Scoring!B30="","",Scoring!B30)</f>
        <v>Estee Lauder Companies</v>
      </c>
      <c r="C30" s="92" t="str">
        <f aca="false">IF(Scoring!AG30="","",IF(OR(Scoring!AG30="STRONG BUY",Scoring!AG30="BUY"),"PASS","FAIL"))</f>
        <v/>
      </c>
      <c r="D30" s="92" t="str">
        <f aca="false">IF(Scoring!AH30="","",IF(Scoring!AH30="OK","PASS","FAIL"))</f>
        <v>FAIL</v>
      </c>
      <c r="E30" s="92" t="str">
        <f aca="false">IF(Scoring!AI30="","",IF(Scoring!AI30="OK","PASS","FAIL — mandatory review required"))</f>
        <v>FAIL — mandatory review required</v>
      </c>
      <c r="F30" s="92"/>
      <c r="G30" s="92"/>
      <c r="H30" s="92" t="str">
        <f aca="false">IF(OR(F30="",G30=""),"",IF(AND(F30="Y",G30="Y"),"Standard initial size","50% of normal initial size + 90-day technical review"))</f>
        <v/>
      </c>
      <c r="I30" s="92"/>
      <c r="J30" s="92"/>
      <c r="K30" s="92" t="str">
        <f aca="false">IF(I30="","",IF(I30="N","PASS",IF(J30="Y","PASS — risk documented in thesis","FAIL — undocumented binary risk")))</f>
        <v/>
      </c>
      <c r="L30" s="92" t="str">
        <f aca="false">IF('Implied-Return Calculator'!S31="","",'Implied-Return Calculator'!S31)</f>
        <v/>
      </c>
      <c r="M30" s="92" t="str">
        <f aca="false">IF('Implied-Return Calculator'!T31="","",'Implied-Return Calculator'!T31)</f>
        <v/>
      </c>
      <c r="N30" s="92" t="str">
        <f aca="false">IF('Implied-Return Calculator'!U31="","",'Implied-Return Calculator'!U31)</f>
        <v/>
      </c>
      <c r="O30" s="92"/>
      <c r="P30" s="92"/>
      <c r="Q30" s="92" t="str">
        <f aca="false">IF(OR(N30="",O30=""),"",IF(N30&lt;=50,"PASS — within ceiling",IF(AND(O30&gt;0.3,L30="PASS"),"PASS — growth+bear case exception met","FAIL — exceeds 50x, exception not met")))</f>
        <v/>
      </c>
      <c r="R30" s="92" t="str">
        <f aca="false">IF(OR(C30="",D30="",E30="",K30="",L30="",M30="",N30="",Q30=""),"",IF(AND(C30="PASS",D30="PASS",LEFT(E30,4)="PASS",LEFT(K30,4)="PASS",L30="PASS",M30="PASS",N30="OK",LEFT(Q30,4)="PASS"),"YES","NO — see failing rule(s)"))</f>
        <v/>
      </c>
      <c r="S30" s="92" t="str">
        <f aca="false">IF(R30="","",IF(R30="YES","Initiate: "&amp;H30,"DO NOT ENTER — resolve failing Entry Rule(s) above first"))</f>
        <v/>
      </c>
    </row>
    <row r="31" customFormat="false" ht="15" hidden="false" customHeight="true" outlineLevel="0" collapsed="false">
      <c r="A31" s="92" t="str">
        <f aca="false">IF(Scoring!A31="","",Scoring!A31)</f>
        <v>HRL</v>
      </c>
      <c r="B31" s="92" t="str">
        <f aca="false">IF(Scoring!B31="","",Scoring!B31)</f>
        <v>Hormel Foods Corp.</v>
      </c>
      <c r="C31" s="92" t="str">
        <f aca="false">IF(Scoring!AG31="","",IF(OR(Scoring!AG31="STRONG BUY",Scoring!AG31="BUY"),"PASS","FAIL"))</f>
        <v/>
      </c>
      <c r="D31" s="92" t="str">
        <f aca="false">IF(Scoring!AH31="","",IF(Scoring!AH31="OK","PASS","FAIL"))</f>
        <v>FAIL</v>
      </c>
      <c r="E31" s="92" t="str">
        <f aca="false">IF(Scoring!AI31="","",IF(Scoring!AI31="OK","PASS","FAIL — mandatory review required"))</f>
        <v>FAIL — mandatory review required</v>
      </c>
      <c r="F31" s="92"/>
      <c r="G31" s="92"/>
      <c r="H31" s="92" t="str">
        <f aca="false">IF(OR(F31="",G31=""),"",IF(AND(F31="Y",G31="Y"),"Standard initial size","50% of normal initial size + 90-day technical review"))</f>
        <v/>
      </c>
      <c r="I31" s="92"/>
      <c r="J31" s="92"/>
      <c r="K31" s="92" t="str">
        <f aca="false">IF(I31="","",IF(I31="N","PASS",IF(J31="Y","PASS — risk documented in thesis","FAIL — undocumented binary risk")))</f>
        <v/>
      </c>
      <c r="L31" s="92" t="str">
        <f aca="false">IF('Implied-Return Calculator'!S32="","",'Implied-Return Calculator'!S32)</f>
        <v/>
      </c>
      <c r="M31" s="92" t="str">
        <f aca="false">IF('Implied-Return Calculator'!T32="","",'Implied-Return Calculator'!T32)</f>
        <v/>
      </c>
      <c r="N31" s="92" t="str">
        <f aca="false">IF('Implied-Return Calculator'!U32="","",'Implied-Return Calculator'!U32)</f>
        <v/>
      </c>
      <c r="O31" s="92"/>
      <c r="P31" s="92"/>
      <c r="Q31" s="92" t="str">
        <f aca="false">IF(OR(N31="",O31=""),"",IF(N31&lt;=50,"PASS — within ceiling",IF(AND(O31&gt;0.3,L31="PASS"),"PASS — growth+bear case exception met","FAIL — exceeds 50x, exception not met")))</f>
        <v/>
      </c>
      <c r="R31" s="92" t="str">
        <f aca="false">IF(OR(C31="",D31="",E31="",K31="",L31="",M31="",N31="",Q31=""),"",IF(AND(C31="PASS",D31="PASS",LEFT(E31,4)="PASS",LEFT(K31,4)="PASS",L31="PASS",M31="PASS",N31="OK",LEFT(Q31,4)="PASS"),"YES","NO — see failing rule(s)"))</f>
        <v/>
      </c>
      <c r="S31" s="92" t="str">
        <f aca="false">IF(R31="","",IF(R31="YES","Initiate: "&amp;H31,"DO NOT ENTER — resolve failing Entry Rule(s) above first"))</f>
        <v/>
      </c>
    </row>
    <row r="32" customFormat="false" ht="15" hidden="false" customHeight="true" outlineLevel="0" collapsed="false">
      <c r="A32" s="92" t="str">
        <f aca="false">IF(Scoring!A32="","",Scoring!A32)</f>
        <v>PG</v>
      </c>
      <c r="B32" s="92" t="str">
        <f aca="false">IF(Scoring!B32="","",Scoring!B32)</f>
        <v>Procter &amp; Gamble Co.</v>
      </c>
      <c r="C32" s="92" t="str">
        <f aca="false">IF(Scoring!AG32="","",IF(OR(Scoring!AG32="STRONG BUY",Scoring!AG32="BUY"),"PASS","FAIL"))</f>
        <v/>
      </c>
      <c r="D32" s="92" t="str">
        <f aca="false">IF(Scoring!AH32="","",IF(Scoring!AH32="OK","PASS","FAIL"))</f>
        <v>PASS</v>
      </c>
      <c r="E32" s="92" t="str">
        <f aca="false">IF(Scoring!AI32="","",IF(Scoring!AI32="OK","PASS","FAIL — mandatory review required"))</f>
        <v>PASS</v>
      </c>
      <c r="F32" s="92"/>
      <c r="G32" s="92"/>
      <c r="H32" s="92" t="str">
        <f aca="false">IF(OR(F32="",G32=""),"",IF(AND(F32="Y",G32="Y"),"Standard initial size","50% of normal initial size + 90-day technical review"))</f>
        <v/>
      </c>
      <c r="I32" s="92"/>
      <c r="J32" s="92"/>
      <c r="K32" s="92" t="str">
        <f aca="false">IF(I32="","",IF(I32="N","PASS",IF(J32="Y","PASS — risk documented in thesis","FAIL — undocumented binary risk")))</f>
        <v/>
      </c>
      <c r="L32" s="92" t="str">
        <f aca="false">IF('Implied-Return Calculator'!S33="","",'Implied-Return Calculator'!S33)</f>
        <v/>
      </c>
      <c r="M32" s="92" t="str">
        <f aca="false">IF('Implied-Return Calculator'!T33="","",'Implied-Return Calculator'!T33)</f>
        <v/>
      </c>
      <c r="N32" s="92" t="str">
        <f aca="false">IF('Implied-Return Calculator'!U33="","",'Implied-Return Calculator'!U33)</f>
        <v/>
      </c>
      <c r="O32" s="92"/>
      <c r="P32" s="92"/>
      <c r="Q32" s="92" t="str">
        <f aca="false">IF(OR(N32="",O32=""),"",IF(N32&lt;=50,"PASS — within ceiling",IF(AND(O32&gt;0.3,L32="PASS"),"PASS — growth+bear case exception met","FAIL — exceeds 50x, exception not met")))</f>
        <v/>
      </c>
      <c r="R32" s="92" t="str">
        <f aca="false">IF(OR(C32="",D32="",E32="",K32="",L32="",M32="",N32="",Q32=""),"",IF(AND(C32="PASS",D32="PASS",LEFT(E32,4)="PASS",LEFT(K32,4)="PASS",L32="PASS",M32="PASS",N32="OK",LEFT(Q32,4)="PASS"),"YES","NO — see failing rule(s)"))</f>
        <v/>
      </c>
      <c r="S32" s="92" t="str">
        <f aca="false">IF(R32="","",IF(R32="YES","Initiate: "&amp;H32,"DO NOT ENTER — resolve failing Entry Rule(s) above first"))</f>
        <v/>
      </c>
    </row>
    <row r="33" customFormat="false" ht="15" hidden="false" customHeight="true" outlineLevel="0" collapsed="false">
      <c r="A33" s="92" t="str">
        <f aca="false">IF(Scoring!A33="","",Scoring!A33)</f>
        <v>CMG</v>
      </c>
      <c r="B33" s="92" t="str">
        <f aca="false">IF(Scoring!B33="","",Scoring!B33)</f>
        <v>Chipotle Mexican Grill</v>
      </c>
      <c r="C33" s="92" t="str">
        <f aca="false">IF(Scoring!AG33="","",IF(OR(Scoring!AG33="STRONG BUY",Scoring!AG33="BUY"),"PASS","FAIL"))</f>
        <v/>
      </c>
      <c r="D33" s="92" t="str">
        <f aca="false">IF(Scoring!AH33="","",IF(Scoring!AH33="OK","PASS","FAIL"))</f>
        <v>PASS</v>
      </c>
      <c r="E33" s="92" t="str">
        <f aca="false">IF(Scoring!AI33="","",IF(Scoring!AI33="OK","PASS","FAIL — mandatory review required"))</f>
        <v>PASS</v>
      </c>
      <c r="F33" s="92"/>
      <c r="G33" s="92"/>
      <c r="H33" s="92" t="str">
        <f aca="false">IF(OR(F33="",G33=""),"",IF(AND(F33="Y",G33="Y"),"Standard initial size","50% of normal initial size + 90-day technical review"))</f>
        <v/>
      </c>
      <c r="I33" s="92"/>
      <c r="J33" s="92"/>
      <c r="K33" s="92" t="str">
        <f aca="false">IF(I33="","",IF(I33="N","PASS",IF(J33="Y","PASS — risk documented in thesis","FAIL — undocumented binary risk")))</f>
        <v/>
      </c>
      <c r="L33" s="92" t="str">
        <f aca="false">IF('Implied-Return Calculator'!S34="","",'Implied-Return Calculator'!S34)</f>
        <v/>
      </c>
      <c r="M33" s="92" t="str">
        <f aca="false">IF('Implied-Return Calculator'!T34="","",'Implied-Return Calculator'!T34)</f>
        <v/>
      </c>
      <c r="N33" s="92" t="str">
        <f aca="false">IF('Implied-Return Calculator'!U34="","",'Implied-Return Calculator'!U34)</f>
        <v/>
      </c>
      <c r="O33" s="92"/>
      <c r="P33" s="92"/>
      <c r="Q33" s="92" t="str">
        <f aca="false">IF(OR(N33="",O33=""),"",IF(N33&lt;=50,"PASS — within ceiling",IF(AND(O33&gt;0.3,L33="PASS"),"PASS — growth+bear case exception met","FAIL — exceeds 50x, exception not met")))</f>
        <v/>
      </c>
      <c r="R33" s="92" t="str">
        <f aca="false">IF(OR(C33="",D33="",E33="",K33="",L33="",M33="",N33="",Q33=""),"",IF(AND(C33="PASS",D33="PASS",LEFT(E33,4)="PASS",LEFT(K33,4)="PASS",L33="PASS",M33="PASS",N33="OK",LEFT(Q33,4)="PASS"),"YES","NO — see failing rule(s)"))</f>
        <v/>
      </c>
      <c r="S33" s="92" t="str">
        <f aca="false">IF(R33="","",IF(R33="YES","Initiate: "&amp;H33,"DO NOT ENTER — resolve failing Entry Rule(s) above first"))</f>
        <v/>
      </c>
    </row>
    <row r="34" customFormat="false" ht="15" hidden="false" customHeight="true" outlineLevel="0" collapsed="false">
      <c r="A34" s="92" t="str">
        <f aca="false">IF(Scoring!A34="","",Scoring!A34)</f>
        <v>DPZ</v>
      </c>
      <c r="B34" s="92" t="str">
        <f aca="false">IF(Scoring!B34="","",Scoring!B34)</f>
        <v>Domino's Pizza Inc.</v>
      </c>
      <c r="C34" s="92" t="str">
        <f aca="false">IF(Scoring!AG34="","",IF(OR(Scoring!AG34="STRONG BUY",Scoring!AG34="BUY"),"PASS","FAIL"))</f>
        <v/>
      </c>
      <c r="D34" s="92" t="str">
        <f aca="false">IF(Scoring!AH34="","",IF(Scoring!AH34="OK","PASS","FAIL"))</f>
        <v>PASS</v>
      </c>
      <c r="E34" s="92" t="str">
        <f aca="false">IF(Scoring!AI34="","",IF(Scoring!AI34="OK","PASS","FAIL — mandatory review required"))</f>
        <v>PASS</v>
      </c>
      <c r="F34" s="92"/>
      <c r="G34" s="92"/>
      <c r="H34" s="92" t="str">
        <f aca="false">IF(OR(F34="",G34=""),"",IF(AND(F34="Y",G34="Y"),"Standard initial size","50% of normal initial size + 90-day technical review"))</f>
        <v/>
      </c>
      <c r="I34" s="92"/>
      <c r="J34" s="92"/>
      <c r="K34" s="92" t="str">
        <f aca="false">IF(I34="","",IF(I34="N","PASS",IF(J34="Y","PASS — risk documented in thesis","FAIL — undocumented binary risk")))</f>
        <v/>
      </c>
      <c r="L34" s="92" t="str">
        <f aca="false">IF('Implied-Return Calculator'!S35="","",'Implied-Return Calculator'!S35)</f>
        <v/>
      </c>
      <c r="M34" s="92" t="str">
        <f aca="false">IF('Implied-Return Calculator'!T35="","",'Implied-Return Calculator'!T35)</f>
        <v/>
      </c>
      <c r="N34" s="92" t="str">
        <f aca="false">IF('Implied-Return Calculator'!U35="","",'Implied-Return Calculator'!U35)</f>
        <v/>
      </c>
      <c r="O34" s="92"/>
      <c r="P34" s="92"/>
      <c r="Q34" s="92" t="str">
        <f aca="false">IF(OR(N34="",O34=""),"",IF(N34&lt;=50,"PASS — within ceiling",IF(AND(O34&gt;0.3,L34="PASS"),"PASS — growth+bear case exception met","FAIL — exceeds 50x, exception not met")))</f>
        <v/>
      </c>
      <c r="R34" s="92" t="str">
        <f aca="false">IF(OR(C34="",D34="",E34="",K34="",L34="",M34="",N34="",Q34=""),"",IF(AND(C34="PASS",D34="PASS",LEFT(E34,4)="PASS",LEFT(K34,4)="PASS",L34="PASS",M34="PASS",N34="OK",LEFT(Q34,4)="PASS"),"YES","NO — see failing rule(s)"))</f>
        <v/>
      </c>
      <c r="S34" s="92" t="str">
        <f aca="false">IF(R34="","",IF(R34="YES","Initiate: "&amp;H34,"DO NOT ENTER — resolve failing Entry Rule(s) above first"))</f>
        <v/>
      </c>
    </row>
    <row r="35" customFormat="false" ht="15" hidden="false" customHeight="true" outlineLevel="0" collapsed="false">
      <c r="A35" s="92" t="str">
        <f aca="false">IF(Scoring!A35="","",Scoring!A35)</f>
        <v>PZZA</v>
      </c>
      <c r="B35" s="92" t="str">
        <f aca="false">IF(Scoring!B35="","",Scoring!B35)</f>
        <v>Papa John's Intl.</v>
      </c>
      <c r="C35" s="92" t="str">
        <f aca="false">IF(Scoring!AG35="","",IF(OR(Scoring!AG35="STRONG BUY",Scoring!AG35="BUY"),"PASS","FAIL"))</f>
        <v/>
      </c>
      <c r="D35" s="92" t="str">
        <f aca="false">IF(Scoring!AH35="","",IF(Scoring!AH35="OK","PASS","FAIL"))</f>
        <v>FAIL</v>
      </c>
      <c r="E35" s="92" t="str">
        <f aca="false">IF(Scoring!AI35="","",IF(Scoring!AI35="OK","PASS","FAIL — mandatory review required"))</f>
        <v>FAIL — mandatory review required</v>
      </c>
      <c r="F35" s="92"/>
      <c r="G35" s="92"/>
      <c r="H35" s="92" t="str">
        <f aca="false">IF(OR(F35="",G35=""),"",IF(AND(F35="Y",G35="Y"),"Standard initial size","50% of normal initial size + 90-day technical review"))</f>
        <v/>
      </c>
      <c r="I35" s="92"/>
      <c r="J35" s="92"/>
      <c r="K35" s="92" t="str">
        <f aca="false">IF(I35="","",IF(I35="N","PASS",IF(J35="Y","PASS — risk documented in thesis","FAIL — undocumented binary risk")))</f>
        <v/>
      </c>
      <c r="L35" s="92" t="str">
        <f aca="false">IF('Implied-Return Calculator'!S36="","",'Implied-Return Calculator'!S36)</f>
        <v/>
      </c>
      <c r="M35" s="92" t="str">
        <f aca="false">IF('Implied-Return Calculator'!T36="","",'Implied-Return Calculator'!T36)</f>
        <v/>
      </c>
      <c r="N35" s="92" t="str">
        <f aca="false">IF('Implied-Return Calculator'!U36="","",'Implied-Return Calculator'!U36)</f>
        <v/>
      </c>
      <c r="O35" s="92"/>
      <c r="P35" s="92"/>
      <c r="Q35" s="92" t="str">
        <f aca="false">IF(OR(N35="",O35=""),"",IF(N35&lt;=50,"PASS — within ceiling",IF(AND(O35&gt;0.3,L35="PASS"),"PASS — growth+bear case exception met","FAIL — exceeds 50x, exception not met")))</f>
        <v/>
      </c>
      <c r="R35" s="92" t="str">
        <f aca="false">IF(OR(C35="",D35="",E35="",K35="",L35="",M35="",N35="",Q35=""),"",IF(AND(C35="PASS",D35="PASS",LEFT(E35,4)="PASS",LEFT(K35,4)="PASS",L35="PASS",M35="PASS",N35="OK",LEFT(Q35,4)="PASS"),"YES","NO — see failing rule(s)"))</f>
        <v/>
      </c>
      <c r="S35" s="92" t="str">
        <f aca="false">IF(R35="","",IF(R35="YES","Initiate: "&amp;H35,"DO NOT ENTER — resolve failing Entry Rule(s) above first"))</f>
        <v/>
      </c>
    </row>
    <row r="36" customFormat="false" ht="15" hidden="false" customHeight="true" outlineLevel="0" collapsed="false">
      <c r="A36" s="92" t="str">
        <f aca="false">IF(Scoring!A36="","",Scoring!A36)</f>
        <v>YUM</v>
      </c>
      <c r="B36" s="92" t="str">
        <f aca="false">IF(Scoring!B36="","",Scoring!B36)</f>
        <v>Yum! Brands Inc.</v>
      </c>
      <c r="C36" s="92" t="str">
        <f aca="false">IF(Scoring!AG36="","",IF(OR(Scoring!AG36="STRONG BUY",Scoring!AG36="BUY"),"PASS","FAIL"))</f>
        <v/>
      </c>
      <c r="D36" s="92" t="str">
        <f aca="false">IF(Scoring!AH36="","",IF(Scoring!AH36="OK","PASS","FAIL"))</f>
        <v>PASS</v>
      </c>
      <c r="E36" s="92" t="str">
        <f aca="false">IF(Scoring!AI36="","",IF(Scoring!AI36="OK","PASS","FAIL — mandatory review required"))</f>
        <v>PASS</v>
      </c>
      <c r="F36" s="92"/>
      <c r="G36" s="92"/>
      <c r="H36" s="92" t="str">
        <f aca="false">IF(OR(F36="",G36=""),"",IF(AND(F36="Y",G36="Y"),"Standard initial size","50% of normal initial size + 90-day technical review"))</f>
        <v/>
      </c>
      <c r="I36" s="92"/>
      <c r="J36" s="92"/>
      <c r="K36" s="92" t="str">
        <f aca="false">IF(I36="","",IF(I36="N","PASS",IF(J36="Y","PASS — risk documented in thesis","FAIL — undocumented binary risk")))</f>
        <v/>
      </c>
      <c r="L36" s="92" t="str">
        <f aca="false">IF('Implied-Return Calculator'!S37="","",'Implied-Return Calculator'!S37)</f>
        <v/>
      </c>
      <c r="M36" s="92" t="str">
        <f aca="false">IF('Implied-Return Calculator'!T37="","",'Implied-Return Calculator'!T37)</f>
        <v/>
      </c>
      <c r="N36" s="92" t="str">
        <f aca="false">IF('Implied-Return Calculator'!U37="","",'Implied-Return Calculator'!U37)</f>
        <v/>
      </c>
      <c r="O36" s="92"/>
      <c r="P36" s="92"/>
      <c r="Q36" s="92" t="str">
        <f aca="false">IF(OR(N36="",O36=""),"",IF(N36&lt;=50,"PASS — within ceiling",IF(AND(O36&gt;0.3,L36="PASS"),"PASS — growth+bear case exception met","FAIL — exceeds 50x, exception not met")))</f>
        <v/>
      </c>
      <c r="R36" s="92" t="str">
        <f aca="false">IF(OR(C36="",D36="",E36="",K36="",L36="",M36="",N36="",Q36=""),"",IF(AND(C36="PASS",D36="PASS",LEFT(E36,4)="PASS",LEFT(K36,4)="PASS",L36="PASS",M36="PASS",N36="OK",LEFT(Q36,4)="PASS"),"YES","NO — see failing rule(s)"))</f>
        <v/>
      </c>
      <c r="S36" s="92" t="str">
        <f aca="false">IF(R36="","",IF(R36="YES","Initiate: "&amp;H36,"DO NOT ENTER — resolve failing Entry Rule(s) above first"))</f>
        <v/>
      </c>
    </row>
    <row r="37" customFormat="false" ht="15" hidden="false" customHeight="true" outlineLevel="0" collapsed="false">
      <c r="A37" s="92" t="str">
        <f aca="false">IF(Scoring!A37="","",Scoring!A37)</f>
        <v>NKE</v>
      </c>
      <c r="B37" s="92" t="str">
        <f aca="false">IF(Scoring!B37="","",Scoring!B37)</f>
        <v>Nike Inc.</v>
      </c>
      <c r="C37" s="92" t="str">
        <f aca="false">IF(Scoring!AG37="","",IF(OR(Scoring!AG37="STRONG BUY",Scoring!AG37="BUY"),"PASS","FAIL"))</f>
        <v/>
      </c>
      <c r="D37" s="92" t="str">
        <f aca="false">IF(Scoring!AH37="","",IF(Scoring!AH37="OK","PASS","FAIL"))</f>
        <v>FAIL</v>
      </c>
      <c r="E37" s="92" t="str">
        <f aca="false">IF(Scoring!AI37="","",IF(Scoring!AI37="OK","PASS","FAIL — mandatory review required"))</f>
        <v>FAIL — mandatory review required</v>
      </c>
      <c r="F37" s="92"/>
      <c r="G37" s="92"/>
      <c r="H37" s="92" t="str">
        <f aca="false">IF(OR(F37="",G37=""),"",IF(AND(F37="Y",G37="Y"),"Standard initial size","50% of normal initial size + 90-day technical review"))</f>
        <v/>
      </c>
      <c r="I37" s="92"/>
      <c r="J37" s="92"/>
      <c r="K37" s="92" t="str">
        <f aca="false">IF(I37="","",IF(I37="N","PASS",IF(J37="Y","PASS — risk documented in thesis","FAIL — undocumented binary risk")))</f>
        <v/>
      </c>
      <c r="L37" s="92" t="str">
        <f aca="false">IF('Implied-Return Calculator'!S38="","",'Implied-Return Calculator'!S38)</f>
        <v/>
      </c>
      <c r="M37" s="92" t="str">
        <f aca="false">IF('Implied-Return Calculator'!T38="","",'Implied-Return Calculator'!T38)</f>
        <v/>
      </c>
      <c r="N37" s="92" t="str">
        <f aca="false">IF('Implied-Return Calculator'!U38="","",'Implied-Return Calculator'!U38)</f>
        <v/>
      </c>
      <c r="O37" s="92"/>
      <c r="P37" s="92"/>
      <c r="Q37" s="92" t="str">
        <f aca="false">IF(OR(N37="",O37=""),"",IF(N37&lt;=50,"PASS — within ceiling",IF(AND(O37&gt;0.3,L37="PASS"),"PASS — growth+bear case exception met","FAIL — exceeds 50x, exception not met")))</f>
        <v/>
      </c>
      <c r="R37" s="92" t="str">
        <f aca="false">IF(OR(C37="",D37="",E37="",K37="",L37="",M37="",N37="",Q37=""),"",IF(AND(C37="PASS",D37="PASS",LEFT(E37,4)="PASS",LEFT(K37,4)="PASS",L37="PASS",M37="PASS",N37="OK",LEFT(Q37,4)="PASS"),"YES","NO — see failing rule(s)"))</f>
        <v/>
      </c>
      <c r="S37" s="92" t="str">
        <f aca="false">IF(R37="","",IF(R37="YES","Initiate: "&amp;H37,"DO NOT ENTER — resolve failing Entry Rule(s) above first"))</f>
        <v/>
      </c>
    </row>
    <row r="38" customFormat="false" ht="15" hidden="false" customHeight="true" outlineLevel="0" collapsed="false">
      <c r="A38" s="92" t="str">
        <f aca="false">IF(Scoring!A38="","",Scoring!A38)</f>
        <v>VFC</v>
      </c>
      <c r="B38" s="92" t="str">
        <f aca="false">IF(Scoring!B38="","",Scoring!B38)</f>
        <v>V.F. Corporation</v>
      </c>
      <c r="C38" s="92" t="str">
        <f aca="false">IF(Scoring!AG38="","",IF(OR(Scoring!AG38="STRONG BUY",Scoring!AG38="BUY"),"PASS","FAIL"))</f>
        <v/>
      </c>
      <c r="D38" s="92" t="str">
        <f aca="false">IF(Scoring!AH38="","",IF(Scoring!AH38="OK","PASS","FAIL"))</f>
        <v>FAIL</v>
      </c>
      <c r="E38" s="92" t="str">
        <f aca="false">IF(Scoring!AI38="","",IF(Scoring!AI38="OK","PASS","FAIL — mandatory review required"))</f>
        <v>PASS</v>
      </c>
      <c r="F38" s="92"/>
      <c r="G38" s="92"/>
      <c r="H38" s="92" t="str">
        <f aca="false">IF(OR(F38="",G38=""),"",IF(AND(F38="Y",G38="Y"),"Standard initial size","50% of normal initial size + 90-day technical review"))</f>
        <v/>
      </c>
      <c r="I38" s="92"/>
      <c r="J38" s="92"/>
      <c r="K38" s="92" t="str">
        <f aca="false">IF(I38="","",IF(I38="N","PASS",IF(J38="Y","PASS — risk documented in thesis","FAIL — undocumented binary risk")))</f>
        <v/>
      </c>
      <c r="L38" s="92" t="str">
        <f aca="false">IF('Implied-Return Calculator'!S39="","",'Implied-Return Calculator'!S39)</f>
        <v/>
      </c>
      <c r="M38" s="92" t="str">
        <f aca="false">IF('Implied-Return Calculator'!T39="","",'Implied-Return Calculator'!T39)</f>
        <v/>
      </c>
      <c r="N38" s="92" t="str">
        <f aca="false">IF('Implied-Return Calculator'!U39="","",'Implied-Return Calculator'!U39)</f>
        <v/>
      </c>
      <c r="O38" s="92"/>
      <c r="P38" s="92"/>
      <c r="Q38" s="92" t="str">
        <f aca="false">IF(OR(N38="",O38=""),"",IF(N38&lt;=50,"PASS — within ceiling",IF(AND(O38&gt;0.3,L38="PASS"),"PASS — growth+bear case exception met","FAIL — exceeds 50x, exception not met")))</f>
        <v/>
      </c>
      <c r="R38" s="92" t="str">
        <f aca="false">IF(OR(C38="",D38="",E38="",K38="",L38="",M38="",N38="",Q38=""),"",IF(AND(C38="PASS",D38="PASS",LEFT(E38,4)="PASS",LEFT(K38,4)="PASS",L38="PASS",M38="PASS",N38="OK",LEFT(Q38,4)="PASS"),"YES","NO — see failing rule(s)"))</f>
        <v/>
      </c>
      <c r="S38" s="92" t="str">
        <f aca="false">IF(R38="","",IF(R38="YES","Initiate: "&amp;H38,"DO NOT ENTER — resolve failing Entry Rule(s) above first"))</f>
        <v/>
      </c>
    </row>
    <row r="39" customFormat="false" ht="15" hidden="false" customHeight="true" outlineLevel="0" collapsed="false">
      <c r="A39" s="92" t="str">
        <f aca="false">IF(Scoring!A39="","",Scoring!A39)</f>
        <v>GOOS</v>
      </c>
      <c r="B39" s="92" t="str">
        <f aca="false">IF(Scoring!B39="","",Scoring!B39)</f>
        <v>Canada Goose Holdings</v>
      </c>
      <c r="C39" s="92" t="str">
        <f aca="false">IF(Scoring!AG39="","",IF(OR(Scoring!AG39="STRONG BUY",Scoring!AG39="BUY"),"PASS","FAIL"))</f>
        <v/>
      </c>
      <c r="D39" s="92" t="str">
        <f aca="false">IF(Scoring!AH39="","",IF(Scoring!AH39="OK","PASS","FAIL"))</f>
        <v>FAIL</v>
      </c>
      <c r="E39" s="92" t="str">
        <f aca="false">IF(Scoring!AI39="","",IF(Scoring!AI39="OK","PASS","FAIL — mandatory review required"))</f>
        <v>FAIL — mandatory review required</v>
      </c>
      <c r="F39" s="92"/>
      <c r="G39" s="92"/>
      <c r="H39" s="92" t="str">
        <f aca="false">IF(OR(F39="",G39=""),"",IF(AND(F39="Y",G39="Y"),"Standard initial size","50% of normal initial size + 90-day technical review"))</f>
        <v/>
      </c>
      <c r="I39" s="92"/>
      <c r="J39" s="92"/>
      <c r="K39" s="92" t="str">
        <f aca="false">IF(I39="","",IF(I39="N","PASS",IF(J39="Y","PASS — risk documented in thesis","FAIL — undocumented binary risk")))</f>
        <v/>
      </c>
      <c r="L39" s="92" t="str">
        <f aca="false">IF('Implied-Return Calculator'!S40="","",'Implied-Return Calculator'!S40)</f>
        <v/>
      </c>
      <c r="M39" s="92" t="str">
        <f aca="false">IF('Implied-Return Calculator'!T40="","",'Implied-Return Calculator'!T40)</f>
        <v/>
      </c>
      <c r="N39" s="92" t="str">
        <f aca="false">IF('Implied-Return Calculator'!U40="","",'Implied-Return Calculator'!U40)</f>
        <v/>
      </c>
      <c r="O39" s="92"/>
      <c r="P39" s="92"/>
      <c r="Q39" s="92" t="str">
        <f aca="false">IF(OR(N39="",O39=""),"",IF(N39&lt;=50,"PASS — within ceiling",IF(AND(O39&gt;0.3,L39="PASS"),"PASS — growth+bear case exception met","FAIL — exceeds 50x, exception not met")))</f>
        <v/>
      </c>
      <c r="R39" s="92" t="str">
        <f aca="false">IF(OR(C39="",D39="",E39="",K39="",L39="",M39="",N39="",Q39=""),"",IF(AND(C39="PASS",D39="PASS",LEFT(E39,4)="PASS",LEFT(K39,4)="PASS",L39="PASS",M39="PASS",N39="OK",LEFT(Q39,4)="PASS"),"YES","NO — see failing rule(s)"))</f>
        <v/>
      </c>
      <c r="S39" s="92" t="str">
        <f aca="false">IF(R39="","",IF(R39="YES","Initiate: "&amp;H39,"DO NOT ENTER — resolve failing Entry Rule(s) above first"))</f>
        <v/>
      </c>
    </row>
    <row r="40" customFormat="false" ht="15" hidden="false" customHeight="true" outlineLevel="0" collapsed="false">
      <c r="A40" s="92" t="str">
        <f aca="false">IF(Scoring!A40="","",Scoring!A40)</f>
        <v>AAP</v>
      </c>
      <c r="B40" s="92" t="str">
        <f aca="false">IF(Scoring!B40="","",Scoring!B40)</f>
        <v>Advance Auto Parts Inc.</v>
      </c>
      <c r="C40" s="92" t="str">
        <f aca="false">IF(Scoring!AG40="","",IF(OR(Scoring!AG40="STRONG BUY",Scoring!AG40="BUY"),"PASS","FAIL"))</f>
        <v/>
      </c>
      <c r="D40" s="92" t="str">
        <f aca="false">IF(Scoring!AH40="","",IF(Scoring!AH40="OK","PASS","FAIL"))</f>
        <v>FAIL</v>
      </c>
      <c r="E40" s="92" t="str">
        <f aca="false">IF(Scoring!AI40="","",IF(Scoring!AI40="OK","PASS","FAIL — mandatory review required"))</f>
        <v>FAIL — mandatory review required</v>
      </c>
      <c r="F40" s="92"/>
      <c r="G40" s="92"/>
      <c r="H40" s="92" t="str">
        <f aca="false">IF(OR(F40="",G40=""),"",IF(AND(F40="Y",G40="Y"),"Standard initial size","50% of normal initial size + 90-day technical review"))</f>
        <v/>
      </c>
      <c r="I40" s="92"/>
      <c r="J40" s="92"/>
      <c r="K40" s="92" t="str">
        <f aca="false">IF(I40="","",IF(I40="N","PASS",IF(J40="Y","PASS — risk documented in thesis","FAIL — undocumented binary risk")))</f>
        <v/>
      </c>
      <c r="L40" s="92" t="str">
        <f aca="false">IF('Implied-Return Calculator'!S41="","",'Implied-Return Calculator'!S41)</f>
        <v/>
      </c>
      <c r="M40" s="92" t="str">
        <f aca="false">IF('Implied-Return Calculator'!T41="","",'Implied-Return Calculator'!T41)</f>
        <v/>
      </c>
      <c r="N40" s="92" t="str">
        <f aca="false">IF('Implied-Return Calculator'!U41="","",'Implied-Return Calculator'!U41)</f>
        <v/>
      </c>
      <c r="O40" s="92"/>
      <c r="P40" s="92"/>
      <c r="Q40" s="92" t="str">
        <f aca="false">IF(OR(N40="",O40=""),"",IF(N40&lt;=50,"PASS — within ceiling",IF(AND(O40&gt;0.3,L40="PASS"),"PASS — growth+bear case exception met","FAIL — exceeds 50x, exception not met")))</f>
        <v/>
      </c>
      <c r="R40" s="92" t="str">
        <f aca="false">IF(OR(C40="",D40="",E40="",K40="",L40="",M40="",N40="",Q40=""),"",IF(AND(C40="PASS",D40="PASS",LEFT(E40,4)="PASS",LEFT(K40,4)="PASS",L40="PASS",M40="PASS",N40="OK",LEFT(Q40,4)="PASS"),"YES","NO — see failing rule(s)"))</f>
        <v/>
      </c>
      <c r="S40" s="92" t="str">
        <f aca="false">IF(R40="","",IF(R40="YES","Initiate: "&amp;H40,"DO NOT ENTER — resolve failing Entry Rule(s) above first"))</f>
        <v/>
      </c>
    </row>
    <row r="41" customFormat="false" ht="15" hidden="false" customHeight="true" outlineLevel="0" collapsed="false">
      <c r="A41" s="92" t="str">
        <f aca="false">IF(Scoring!A41="","",Scoring!A41)</f>
        <v>BABA</v>
      </c>
      <c r="B41" s="92" t="str">
        <f aca="false">IF(Scoring!B41="","",Scoring!B41)</f>
        <v>Alibaba Group Holding Ltd.</v>
      </c>
      <c r="C41" s="92" t="str">
        <f aca="false">IF(Scoring!AG41="","",IF(OR(Scoring!AG41="STRONG BUY",Scoring!AG41="BUY"),"PASS","FAIL"))</f>
        <v/>
      </c>
      <c r="D41" s="92" t="str">
        <f aca="false">IF(Scoring!AH41="","",IF(Scoring!AH41="OK","PASS","FAIL"))</f>
        <v>FAIL</v>
      </c>
      <c r="E41" s="92" t="str">
        <f aca="false">IF(Scoring!AI41="","",IF(Scoring!AI41="OK","PASS","FAIL — mandatory review required"))</f>
        <v>PASS</v>
      </c>
      <c r="F41" s="92"/>
      <c r="G41" s="92"/>
      <c r="H41" s="92" t="str">
        <f aca="false">IF(OR(F41="",G41=""),"",IF(AND(F41="Y",G41="Y"),"Standard initial size","50% of normal initial size + 90-day technical review"))</f>
        <v/>
      </c>
      <c r="I41" s="92"/>
      <c r="J41" s="92"/>
      <c r="K41" s="92" t="str">
        <f aca="false">IF(I41="","",IF(I41="N","PASS",IF(J41="Y","PASS — risk documented in thesis","FAIL — undocumented binary risk")))</f>
        <v/>
      </c>
      <c r="L41" s="92" t="str">
        <f aca="false">IF('Implied-Return Calculator'!S42="","",'Implied-Return Calculator'!S42)</f>
        <v/>
      </c>
      <c r="M41" s="92" t="str">
        <f aca="false">IF('Implied-Return Calculator'!T42="","",'Implied-Return Calculator'!T42)</f>
        <v/>
      </c>
      <c r="N41" s="92" t="str">
        <f aca="false">IF('Implied-Return Calculator'!U42="","",'Implied-Return Calculator'!U42)</f>
        <v/>
      </c>
      <c r="O41" s="92"/>
      <c r="P41" s="92"/>
      <c r="Q41" s="92" t="str">
        <f aca="false">IF(OR(N41="",O41=""),"",IF(N41&lt;=50,"PASS — within ceiling",IF(AND(O41&gt;0.3,L41="PASS"),"PASS — growth+bear case exception met","FAIL — exceeds 50x, exception not met")))</f>
        <v/>
      </c>
      <c r="R41" s="92" t="str">
        <f aca="false">IF(OR(C41="",D41="",E41="",K41="",L41="",M41="",N41="",Q41=""),"",IF(AND(C41="PASS",D41="PASS",LEFT(E41,4)="PASS",LEFT(K41,4)="PASS",L41="PASS",M41="PASS",N41="OK",LEFT(Q41,4)="PASS"),"YES","NO — see failing rule(s)"))</f>
        <v/>
      </c>
      <c r="S41" s="92" t="str">
        <f aca="false">IF(R41="","",IF(R41="YES","Initiate: "&amp;H41,"DO NOT ENTER — resolve failing Entry Rule(s) above first"))</f>
        <v/>
      </c>
    </row>
    <row r="42" customFormat="false" ht="15" hidden="false" customHeight="true" outlineLevel="0" collapsed="false">
      <c r="A42" s="92" t="str">
        <f aca="false">IF(Scoring!A42="","",Scoring!A42)</f>
        <v>ETSY</v>
      </c>
      <c r="B42" s="92" t="str">
        <f aca="false">IF(Scoring!B42="","",Scoring!B42)</f>
        <v>Etsy Inc.</v>
      </c>
      <c r="C42" s="92" t="str">
        <f aca="false">IF(Scoring!AG42="","",IF(OR(Scoring!AG42="STRONG BUY",Scoring!AG42="BUY"),"PASS","FAIL"))</f>
        <v/>
      </c>
      <c r="D42" s="92" t="str">
        <f aca="false">IF(Scoring!AH42="","",IF(Scoring!AH42="OK","PASS","FAIL"))</f>
        <v>PASS</v>
      </c>
      <c r="E42" s="92" t="str">
        <f aca="false">IF(Scoring!AI42="","",IF(Scoring!AI42="OK","PASS","FAIL — mandatory review required"))</f>
        <v>PASS</v>
      </c>
      <c r="F42" s="92"/>
      <c r="G42" s="92"/>
      <c r="H42" s="92" t="str">
        <f aca="false">IF(OR(F42="",G42=""),"",IF(AND(F42="Y",G42="Y"),"Standard initial size","50% of normal initial size + 90-day technical review"))</f>
        <v/>
      </c>
      <c r="I42" s="92"/>
      <c r="J42" s="92"/>
      <c r="K42" s="92" t="str">
        <f aca="false">IF(I42="","",IF(I42="N","PASS",IF(J42="Y","PASS — risk documented in thesis","FAIL — undocumented binary risk")))</f>
        <v/>
      </c>
      <c r="L42" s="92" t="str">
        <f aca="false">IF('Implied-Return Calculator'!S43="","",'Implied-Return Calculator'!S43)</f>
        <v/>
      </c>
      <c r="M42" s="92" t="str">
        <f aca="false">IF('Implied-Return Calculator'!T43="","",'Implied-Return Calculator'!T43)</f>
        <v/>
      </c>
      <c r="N42" s="92" t="str">
        <f aca="false">IF('Implied-Return Calculator'!U43="","",'Implied-Return Calculator'!U43)</f>
        <v/>
      </c>
      <c r="O42" s="92"/>
      <c r="P42" s="92"/>
      <c r="Q42" s="92" t="str">
        <f aca="false">IF(OR(N42="",O42=""),"",IF(N42&lt;=50,"PASS — within ceiling",IF(AND(O42&gt;0.3,L42="PASS"),"PASS — growth+bear case exception met","FAIL — exceeds 50x, exception not met")))</f>
        <v/>
      </c>
      <c r="R42" s="92" t="str">
        <f aca="false">IF(OR(C42="",D42="",E42="",K42="",L42="",M42="",N42="",Q42=""),"",IF(AND(C42="PASS",D42="PASS",LEFT(E42,4)="PASS",LEFT(K42,4)="PASS",L42="PASS",M42="PASS",N42="OK",LEFT(Q42,4)="PASS"),"YES","NO — see failing rule(s)"))</f>
        <v/>
      </c>
      <c r="S42" s="92" t="str">
        <f aca="false">IF(R42="","",IF(R42="YES","Initiate: "&amp;H42,"DO NOT ENTER — resolve failing Entry Rule(s) above first"))</f>
        <v/>
      </c>
    </row>
    <row r="43" customFormat="false" ht="15" hidden="false" customHeight="true" outlineLevel="0" collapsed="false">
      <c r="A43" s="92" t="str">
        <f aca="false">IF(Scoring!A43="","",Scoring!A43)</f>
        <v>GE</v>
      </c>
      <c r="B43" s="92" t="str">
        <f aca="false">IF(Scoring!B43="","",Scoring!B43)</f>
        <v>GE Aerospace</v>
      </c>
      <c r="C43" s="92" t="str">
        <f aca="false">IF(Scoring!AG43="","",IF(OR(Scoring!AG43="STRONG BUY",Scoring!AG43="BUY"),"PASS","FAIL"))</f>
        <v/>
      </c>
      <c r="D43" s="92" t="str">
        <f aca="false">IF(Scoring!AH43="","",IF(Scoring!AH43="OK","PASS","FAIL"))</f>
        <v>PASS</v>
      </c>
      <c r="E43" s="92" t="str">
        <f aca="false">IF(Scoring!AI43="","",IF(Scoring!AI43="OK","PASS","FAIL — mandatory review required"))</f>
        <v>PASS</v>
      </c>
      <c r="F43" s="92"/>
      <c r="G43" s="92"/>
      <c r="H43" s="92" t="str">
        <f aca="false">IF(OR(F43="",G43=""),"",IF(AND(F43="Y",G43="Y"),"Standard initial size","50% of normal initial size + 90-day technical review"))</f>
        <v/>
      </c>
      <c r="I43" s="92"/>
      <c r="J43" s="92"/>
      <c r="K43" s="92" t="str">
        <f aca="false">IF(I43="","",IF(I43="N","PASS",IF(J43="Y","PASS — risk documented in thesis","FAIL — undocumented binary risk")))</f>
        <v/>
      </c>
      <c r="L43" s="92" t="str">
        <f aca="false">IF('Implied-Return Calculator'!S44="","",'Implied-Return Calculator'!S44)</f>
        <v/>
      </c>
      <c r="M43" s="92" t="str">
        <f aca="false">IF('Implied-Return Calculator'!T44="","",'Implied-Return Calculator'!T44)</f>
        <v/>
      </c>
      <c r="N43" s="92" t="str">
        <f aca="false">IF('Implied-Return Calculator'!U44="","",'Implied-Return Calculator'!U44)</f>
        <v/>
      </c>
      <c r="O43" s="92"/>
      <c r="P43" s="92"/>
      <c r="Q43" s="92" t="str">
        <f aca="false">IF(OR(N43="",O43=""),"",IF(N43&lt;=50,"PASS — within ceiling",IF(AND(O43&gt;0.3,L43="PASS"),"PASS — growth+bear case exception met","FAIL — exceeds 50x, exception not met")))</f>
        <v/>
      </c>
      <c r="R43" s="92" t="str">
        <f aca="false">IF(OR(C43="",D43="",E43="",K43="",L43="",M43="",N43="",Q43=""),"",IF(AND(C43="PASS",D43="PASS",LEFT(E43,4)="PASS",LEFT(K43,4)="PASS",L43="PASS",M43="PASS",N43="OK",LEFT(Q43,4)="PASS"),"YES","NO — see failing rule(s)"))</f>
        <v/>
      </c>
      <c r="S43" s="92" t="str">
        <f aca="false">IF(R43="","",IF(R43="YES","Initiate: "&amp;H43,"DO NOT ENTER — resolve failing Entry Rule(s) above first"))</f>
        <v/>
      </c>
    </row>
    <row r="44" customFormat="false" ht="15" hidden="false" customHeight="true" outlineLevel="0" collapsed="false">
      <c r="A44" s="92" t="str">
        <f aca="false">IF(Scoring!A44="","",Scoring!A44)</f>
        <v>PH</v>
      </c>
      <c r="B44" s="92" t="str">
        <f aca="false">IF(Scoring!B44="","",Scoring!B44)</f>
        <v>Parker-Hannifin Corporation</v>
      </c>
      <c r="C44" s="92" t="str">
        <f aca="false">IF(Scoring!AG44="","",IF(OR(Scoring!AG44="STRONG BUY",Scoring!AG44="BUY"),"PASS","FAIL"))</f>
        <v/>
      </c>
      <c r="D44" s="92" t="str">
        <f aca="false">IF(Scoring!AH44="","",IF(Scoring!AH44="OK","PASS","FAIL"))</f>
        <v>PASS</v>
      </c>
      <c r="E44" s="92" t="str">
        <f aca="false">IF(Scoring!AI44="","",IF(Scoring!AI44="OK","PASS","FAIL — mandatory review required"))</f>
        <v>PASS</v>
      </c>
      <c r="F44" s="92"/>
      <c r="G44" s="92"/>
      <c r="H44" s="92" t="str">
        <f aca="false">IF(OR(F44="",G44=""),"",IF(AND(F44="Y",G44="Y"),"Standard initial size","50% of normal initial size + 90-day technical review"))</f>
        <v/>
      </c>
      <c r="I44" s="92"/>
      <c r="J44" s="92"/>
      <c r="K44" s="92" t="str">
        <f aca="false">IF(I44="","",IF(I44="N","PASS",IF(J44="Y","PASS — risk documented in thesis","FAIL — undocumented binary risk")))</f>
        <v/>
      </c>
      <c r="L44" s="92" t="str">
        <f aca="false">IF('Implied-Return Calculator'!S45="","",'Implied-Return Calculator'!S45)</f>
        <v/>
      </c>
      <c r="M44" s="92" t="str">
        <f aca="false">IF('Implied-Return Calculator'!T45="","",'Implied-Return Calculator'!T45)</f>
        <v/>
      </c>
      <c r="N44" s="92" t="str">
        <f aca="false">IF('Implied-Return Calculator'!U45="","",'Implied-Return Calculator'!U45)</f>
        <v/>
      </c>
      <c r="O44" s="92"/>
      <c r="P44" s="92"/>
      <c r="Q44" s="92" t="str">
        <f aca="false">IF(OR(N44="",O44=""),"",IF(N44&lt;=50,"PASS — within ceiling",IF(AND(O44&gt;0.3,L44="PASS"),"PASS — growth+bear case exception met","FAIL — exceeds 50x, exception not met")))</f>
        <v/>
      </c>
      <c r="R44" s="92" t="str">
        <f aca="false">IF(OR(C44="",D44="",E44="",K44="",L44="",M44="",N44="",Q44=""),"",IF(AND(C44="PASS",D44="PASS",LEFT(E44,4)="PASS",LEFT(K44,4)="PASS",L44="PASS",M44="PASS",N44="OK",LEFT(Q44,4)="PASS"),"YES","NO — see failing rule(s)"))</f>
        <v/>
      </c>
      <c r="S44" s="92" t="str">
        <f aca="false">IF(R44="","",IF(R44="YES","Initiate: "&amp;H44,"DO NOT ENTER — resolve failing Entry Rule(s) above first"))</f>
        <v/>
      </c>
    </row>
    <row r="45" customFormat="false" ht="15" hidden="false" customHeight="true" outlineLevel="0" collapsed="false">
      <c r="A45" s="92" t="str">
        <f aca="false">IF(Scoring!A45="","",Scoring!A45)</f>
        <v>ETN</v>
      </c>
      <c r="B45" s="92" t="str">
        <f aca="false">IF(Scoring!B45="","",Scoring!B45)</f>
        <v>Eaton Corporation plc</v>
      </c>
      <c r="C45" s="92" t="str">
        <f aca="false">IF(Scoring!AG45="","",IF(OR(Scoring!AG45="STRONG BUY",Scoring!AG45="BUY"),"PASS","FAIL"))</f>
        <v/>
      </c>
      <c r="D45" s="92" t="str">
        <f aca="false">IF(Scoring!AH45="","",IF(Scoring!AH45="OK","PASS","FAIL"))</f>
        <v>PASS</v>
      </c>
      <c r="E45" s="92" t="str">
        <f aca="false">IF(Scoring!AI45="","",IF(Scoring!AI45="OK","PASS","FAIL — mandatory review required"))</f>
        <v>PASS</v>
      </c>
      <c r="F45" s="92"/>
      <c r="G45" s="92"/>
      <c r="H45" s="92" t="str">
        <f aca="false">IF(OR(F45="",G45=""),"",IF(AND(F45="Y",G45="Y"),"Standard initial size","50% of normal initial size + 90-day technical review"))</f>
        <v/>
      </c>
      <c r="I45" s="92"/>
      <c r="J45" s="92"/>
      <c r="K45" s="92" t="str">
        <f aca="false">IF(I45="","",IF(I45="N","PASS",IF(J45="Y","PASS — risk documented in thesis","FAIL — undocumented binary risk")))</f>
        <v/>
      </c>
      <c r="L45" s="92" t="str">
        <f aca="false">IF('Implied-Return Calculator'!S46="","",'Implied-Return Calculator'!S46)</f>
        <v/>
      </c>
      <c r="M45" s="92" t="str">
        <f aca="false">IF('Implied-Return Calculator'!T46="","",'Implied-Return Calculator'!T46)</f>
        <v/>
      </c>
      <c r="N45" s="92" t="str">
        <f aca="false">IF('Implied-Return Calculator'!U46="","",'Implied-Return Calculator'!U46)</f>
        <v/>
      </c>
      <c r="O45" s="92"/>
      <c r="P45" s="92"/>
      <c r="Q45" s="92" t="str">
        <f aca="false">IF(OR(N45="",O45=""),"",IF(N45&lt;=50,"PASS — within ceiling",IF(AND(O45&gt;0.3,L45="PASS"),"PASS — growth+bear case exception met","FAIL — exceeds 50x, exception not met")))</f>
        <v/>
      </c>
      <c r="R45" s="92" t="str">
        <f aca="false">IF(OR(C45="",D45="",E45="",K45="",L45="",M45="",N45="",Q45=""),"",IF(AND(C45="PASS",D45="PASS",LEFT(E45,4)="PASS",LEFT(K45,4)="PASS",L45="PASS",M45="PASS",N45="OK",LEFT(Q45,4)="PASS"),"YES","NO — see failing rule(s)"))</f>
        <v/>
      </c>
      <c r="S45" s="92" t="str">
        <f aca="false">IF(R45="","",IF(R45="YES","Initiate: "&amp;H45,"DO NOT ENTER — resolve failing Entry Rule(s) above first"))</f>
        <v/>
      </c>
    </row>
    <row r="46" customFormat="false" ht="15" hidden="false" customHeight="true" outlineLevel="0" collapsed="false">
      <c r="A46" s="92" t="str">
        <f aca="false">IF(Scoring!A46="","",Scoring!A46)</f>
        <v>DIS</v>
      </c>
      <c r="B46" s="92" t="str">
        <f aca="false">IF(Scoring!B46="","",Scoring!B46)</f>
        <v>The Walt Disney Company</v>
      </c>
      <c r="C46" s="92" t="str">
        <f aca="false">IF(Scoring!AG46="","",IF(OR(Scoring!AG46="STRONG BUY",Scoring!AG46="BUY"),"PASS","FAIL"))</f>
        <v/>
      </c>
      <c r="D46" s="92" t="str">
        <f aca="false">IF(Scoring!AH46="","",IF(Scoring!AH46="OK","PASS","FAIL"))</f>
        <v>FAIL</v>
      </c>
      <c r="E46" s="92" t="str">
        <f aca="false">IF(Scoring!AI46="","",IF(Scoring!AI46="OK","PASS","FAIL — mandatory review required"))</f>
        <v>PASS</v>
      </c>
      <c r="F46" s="92"/>
      <c r="G46" s="92"/>
      <c r="H46" s="92" t="str">
        <f aca="false">IF(OR(F46="",G46=""),"",IF(AND(F46="Y",G46="Y"),"Standard initial size","50% of normal initial size + 90-day technical review"))</f>
        <v/>
      </c>
      <c r="I46" s="92"/>
      <c r="J46" s="92"/>
      <c r="K46" s="92" t="str">
        <f aca="false">IF(I46="","",IF(I46="N","PASS",IF(J46="Y","PASS — risk documented in thesis","FAIL — undocumented binary risk")))</f>
        <v/>
      </c>
      <c r="L46" s="92" t="str">
        <f aca="false">IF('Implied-Return Calculator'!S47="","",'Implied-Return Calculator'!S47)</f>
        <v/>
      </c>
      <c r="M46" s="92" t="str">
        <f aca="false">IF('Implied-Return Calculator'!T47="","",'Implied-Return Calculator'!T47)</f>
        <v/>
      </c>
      <c r="N46" s="92" t="str">
        <f aca="false">IF('Implied-Return Calculator'!U47="","",'Implied-Return Calculator'!U47)</f>
        <v/>
      </c>
      <c r="O46" s="92"/>
      <c r="P46" s="92"/>
      <c r="Q46" s="92" t="str">
        <f aca="false">IF(OR(N46="",O46=""),"",IF(N46&lt;=50,"PASS — within ceiling",IF(AND(O46&gt;0.3,L46="PASS"),"PASS — growth+bear case exception met","FAIL — exceeds 50x, exception not met")))</f>
        <v/>
      </c>
      <c r="R46" s="92" t="str">
        <f aca="false">IF(OR(C46="",D46="",E46="",K46="",L46="",M46="",N46="",Q46=""),"",IF(AND(C46="PASS",D46="PASS",LEFT(E46,4)="PASS",LEFT(K46,4)="PASS",L46="PASS",M46="PASS",N46="OK",LEFT(Q46,4)="PASS"),"YES","NO — see failing rule(s)"))</f>
        <v/>
      </c>
      <c r="S46" s="92" t="str">
        <f aca="false">IF(R46="","",IF(R46="YES","Initiate: "&amp;H46,"DO NOT ENTER — resolve failing Entry Rule(s) above first"))</f>
        <v/>
      </c>
    </row>
    <row r="47" customFormat="false" ht="15" hidden="false" customHeight="true" outlineLevel="0" collapsed="false">
      <c r="A47" s="92" t="str">
        <f aca="false">IF(Scoring!A47="","",Scoring!A47)</f>
        <v>NFLX</v>
      </c>
      <c r="B47" s="92" t="str">
        <f aca="false">IF(Scoring!B47="","",Scoring!B47)</f>
        <v>Netflix, Inc.</v>
      </c>
      <c r="C47" s="92" t="str">
        <f aca="false">IF(Scoring!AG47="","",IF(OR(Scoring!AG47="STRONG BUY",Scoring!AG47="BUY"),"PASS","FAIL"))</f>
        <v/>
      </c>
      <c r="D47" s="92" t="str">
        <f aca="false">IF(Scoring!AH47="","",IF(Scoring!AH47="OK","PASS","FAIL"))</f>
        <v>PASS</v>
      </c>
      <c r="E47" s="92" t="str">
        <f aca="false">IF(Scoring!AI47="","",IF(Scoring!AI47="OK","PASS","FAIL — mandatory review required"))</f>
        <v>PASS</v>
      </c>
      <c r="F47" s="92"/>
      <c r="G47" s="92"/>
      <c r="H47" s="92" t="str">
        <f aca="false">IF(OR(F47="",G47=""),"",IF(AND(F47="Y",G47="Y"),"Standard initial size","50% of normal initial size + 90-day technical review"))</f>
        <v/>
      </c>
      <c r="I47" s="92"/>
      <c r="J47" s="92"/>
      <c r="K47" s="92" t="str">
        <f aca="false">IF(I47="","",IF(I47="N","PASS",IF(J47="Y","PASS — risk documented in thesis","FAIL — undocumented binary risk")))</f>
        <v/>
      </c>
      <c r="L47" s="92" t="str">
        <f aca="false">IF('Implied-Return Calculator'!S48="","",'Implied-Return Calculator'!S48)</f>
        <v/>
      </c>
      <c r="M47" s="92" t="str">
        <f aca="false">IF('Implied-Return Calculator'!T48="","",'Implied-Return Calculator'!T48)</f>
        <v/>
      </c>
      <c r="N47" s="92" t="str">
        <f aca="false">IF('Implied-Return Calculator'!U48="","",'Implied-Return Calculator'!U48)</f>
        <v/>
      </c>
      <c r="O47" s="92"/>
      <c r="P47" s="92"/>
      <c r="Q47" s="92" t="str">
        <f aca="false">IF(OR(N47="",O47=""),"",IF(N47&lt;=50,"PASS — within ceiling",IF(AND(O47&gt;0.3,L47="PASS"),"PASS — growth+bear case exception met","FAIL — exceeds 50x, exception not met")))</f>
        <v/>
      </c>
      <c r="R47" s="92" t="str">
        <f aca="false">IF(OR(C47="",D47="",E47="",K47="",L47="",M47="",N47="",Q47=""),"",IF(AND(C47="PASS",D47="PASS",LEFT(E47,4)="PASS",LEFT(K47,4)="PASS",L47="PASS",M47="PASS",N47="OK",LEFT(Q47,4)="PASS"),"YES","NO — see failing rule(s)"))</f>
        <v/>
      </c>
      <c r="S47" s="92"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3" t="s">
        <v>415</v>
      </c>
      <c r="B1" s="93"/>
      <c r="C1" s="93"/>
      <c r="D1" s="93"/>
      <c r="E1" s="93"/>
      <c r="F1" s="93"/>
      <c r="G1" s="93"/>
      <c r="H1" s="93"/>
      <c r="I1" s="93"/>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4" t="n">
        <v>257.26</v>
      </c>
      <c r="D3" s="95" t="n">
        <v>5338194</v>
      </c>
      <c r="E3" s="96" t="n">
        <v>102260.9</v>
      </c>
      <c r="F3" s="97" t="n">
        <v>14.717392</v>
      </c>
      <c r="G3" s="94" t="n">
        <v>190.12</v>
      </c>
      <c r="H3" s="94" t="n">
        <v>370.86</v>
      </c>
      <c r="I3" s="98"/>
    </row>
    <row r="4" customFormat="false" ht="15" hidden="false" customHeight="true" outlineLevel="0" collapsed="false">
      <c r="A4" s="80" t="s">
        <v>101</v>
      </c>
      <c r="B4" s="80" t="s">
        <v>102</v>
      </c>
      <c r="C4" s="94" t="n">
        <v>194.96</v>
      </c>
      <c r="D4" s="95" t="n">
        <v>4693298</v>
      </c>
      <c r="E4" s="96" t="n">
        <v>245888.4</v>
      </c>
      <c r="F4" s="97" t="n">
        <v>61.6962</v>
      </c>
      <c r="G4" s="94" t="n">
        <v>114.52</v>
      </c>
      <c r="H4" s="94" t="n">
        <v>214.89</v>
      </c>
      <c r="I4" s="98"/>
    </row>
    <row r="5" customFormat="false" ht="15" hidden="false" customHeight="true" outlineLevel="0" collapsed="false">
      <c r="A5" s="80" t="s">
        <v>103</v>
      </c>
      <c r="B5" s="80" t="s">
        <v>104</v>
      </c>
      <c r="C5" s="94" t="n">
        <v>1764.85</v>
      </c>
      <c r="D5" s="95" t="n">
        <v>1345523</v>
      </c>
      <c r="E5" s="96" t="n">
        <v>677878.9</v>
      </c>
      <c r="F5" s="97" t="n">
        <v>59.825424</v>
      </c>
      <c r="G5" s="94" t="n">
        <v>791.02</v>
      </c>
      <c r="H5" s="94" t="n">
        <v>1999.96</v>
      </c>
      <c r="I5" s="98" t="n">
        <v>0.53</v>
      </c>
    </row>
    <row r="6" customFormat="false" ht="15" hidden="false" customHeight="true" outlineLevel="0" collapsed="false">
      <c r="A6" s="80" t="s">
        <v>160</v>
      </c>
      <c r="B6" s="80" t="s">
        <v>161</v>
      </c>
      <c r="C6" s="94" t="n">
        <v>368.56</v>
      </c>
      <c r="D6" s="95" t="n">
        <v>29838709</v>
      </c>
      <c r="E6" s="96" t="n">
        <v>1753453.8</v>
      </c>
      <c r="F6" s="97" t="n">
        <v>47.010204</v>
      </c>
      <c r="G6" s="94" t="n">
        <v>289.96</v>
      </c>
      <c r="H6" s="94" t="n">
        <v>495</v>
      </c>
      <c r="I6" s="98" t="n">
        <v>0.73</v>
      </c>
    </row>
    <row r="7" customFormat="false" ht="15" hidden="false" customHeight="true" outlineLevel="0" collapsed="false">
      <c r="A7" s="80" t="s">
        <v>151</v>
      </c>
      <c r="B7" s="80" t="s">
        <v>152</v>
      </c>
      <c r="C7" s="94" t="n">
        <v>125.32</v>
      </c>
      <c r="D7" s="95" t="n">
        <v>1210096</v>
      </c>
      <c r="E7" s="96"/>
      <c r="F7" s="97" t="n">
        <v>12.4454</v>
      </c>
      <c r="G7" s="94" t="n">
        <v>93.87</v>
      </c>
      <c r="H7" s="94" t="n">
        <v>129.05</v>
      </c>
      <c r="I7" s="98" t="n">
        <v>1.25</v>
      </c>
    </row>
    <row r="8" customFormat="false" ht="15" hidden="false" customHeight="true" outlineLevel="0" collapsed="false">
      <c r="A8" s="80" t="s">
        <v>226</v>
      </c>
      <c r="B8" s="80" t="s">
        <v>374</v>
      </c>
      <c r="C8" s="94" t="n">
        <v>36.96</v>
      </c>
      <c r="D8" s="95" t="n">
        <v>9787856</v>
      </c>
      <c r="E8" s="96" t="n">
        <v>46769.8</v>
      </c>
      <c r="F8" s="97" t="n">
        <v>34.22222</v>
      </c>
      <c r="G8" s="94" t="n">
        <v>28.04</v>
      </c>
      <c r="H8" s="94" t="n">
        <v>42.82</v>
      </c>
      <c r="I8" s="98"/>
    </row>
    <row r="9" customFormat="false" ht="15" hidden="false" customHeight="true" outlineLevel="0" collapsed="false">
      <c r="A9" s="80" t="s">
        <v>228</v>
      </c>
      <c r="B9" s="80" t="s">
        <v>345</v>
      </c>
      <c r="C9" s="94" t="n">
        <v>910.18</v>
      </c>
      <c r="D9" s="95" t="n">
        <v>2225742</v>
      </c>
      <c r="E9" s="96" t="n">
        <v>403645.5</v>
      </c>
      <c r="F9" s="97" t="n">
        <v>45.80674</v>
      </c>
      <c r="G9" s="94" t="n">
        <v>844.06</v>
      </c>
      <c r="H9" s="94" t="n">
        <v>1096.5</v>
      </c>
      <c r="I9" s="98" t="n">
        <v>0.64</v>
      </c>
    </row>
    <row r="10" customFormat="false" ht="15" hidden="false" customHeight="true" outlineLevel="0" collapsed="false">
      <c r="A10" s="80" t="s">
        <v>105</v>
      </c>
      <c r="B10" s="80" t="s">
        <v>106</v>
      </c>
      <c r="C10" s="94" t="n">
        <v>210.02</v>
      </c>
      <c r="D10" s="95" t="n">
        <v>7862445</v>
      </c>
      <c r="E10" s="96" t="n">
        <v>215046.8</v>
      </c>
      <c r="F10" s="97" t="n">
        <v>5250.5</v>
      </c>
      <c r="G10" s="94" t="n">
        <v>85.68</v>
      </c>
      <c r="H10" s="94" t="n">
        <v>233.88</v>
      </c>
      <c r="I10" s="98"/>
    </row>
    <row r="11" customFormat="false" ht="15" hidden="false" customHeight="true" outlineLevel="0" collapsed="false">
      <c r="A11" s="80" t="s">
        <v>233</v>
      </c>
      <c r="B11" s="80" t="s">
        <v>376</v>
      </c>
      <c r="C11" s="94" t="n">
        <v>335.41</v>
      </c>
      <c r="D11" s="95" t="n">
        <v>556220</v>
      </c>
      <c r="E11" s="96" t="n">
        <v>11095.9</v>
      </c>
      <c r="F11" s="97" t="n">
        <v>19.024958</v>
      </c>
      <c r="G11" s="94" t="n">
        <v>282</v>
      </c>
      <c r="H11" s="94" t="n">
        <v>464.23</v>
      </c>
      <c r="I11" s="98" t="n">
        <v>2.33</v>
      </c>
    </row>
    <row r="12" customFormat="false" ht="15" hidden="false" customHeight="true" outlineLevel="0" collapsed="false">
      <c r="A12" s="80" t="s">
        <v>127</v>
      </c>
      <c r="B12" s="80" t="s">
        <v>128</v>
      </c>
      <c r="C12" s="94" t="n">
        <v>163.31</v>
      </c>
      <c r="D12" s="95" t="n">
        <v>283983</v>
      </c>
      <c r="E12" s="96"/>
      <c r="F12" s="97" t="n">
        <v>15.530593</v>
      </c>
      <c r="G12" s="94" t="n">
        <v>137.16</v>
      </c>
      <c r="H12" s="94" t="n">
        <v>167.06</v>
      </c>
      <c r="I12" s="98" t="n">
        <v>3.24</v>
      </c>
    </row>
    <row r="13" customFormat="false" ht="15" hidden="false" customHeight="true" outlineLevel="0" collapsed="false">
      <c r="A13" s="80" t="s">
        <v>236</v>
      </c>
      <c r="B13" s="80" t="s">
        <v>355</v>
      </c>
      <c r="C13" s="94" t="n">
        <v>21.51</v>
      </c>
      <c r="D13" s="95" t="n">
        <v>6978880</v>
      </c>
      <c r="E13" s="96" t="n">
        <v>74065.4</v>
      </c>
      <c r="F13" s="97" t="n">
        <v>14.732877</v>
      </c>
      <c r="G13" s="94" t="n">
        <v>16.18</v>
      </c>
      <c r="H13" s="94" t="n">
        <v>21.77</v>
      </c>
      <c r="I13" s="98" t="n">
        <v>6.33</v>
      </c>
    </row>
    <row r="14" customFormat="false" ht="15" hidden="false" customHeight="true" outlineLevel="0" collapsed="false">
      <c r="A14" s="80" t="s">
        <v>238</v>
      </c>
      <c r="B14" s="80" t="s">
        <v>392</v>
      </c>
      <c r="C14" s="94" t="n">
        <v>422.13</v>
      </c>
      <c r="D14" s="95" t="n">
        <v>2032961</v>
      </c>
      <c r="E14" s="96" t="n">
        <v>163955.3</v>
      </c>
      <c r="F14" s="97" t="n">
        <v>42.986763</v>
      </c>
      <c r="G14" s="94" t="n">
        <v>311.92</v>
      </c>
      <c r="H14" s="94" t="n">
        <v>478</v>
      </c>
      <c r="I14" s="98" t="n">
        <v>1.07</v>
      </c>
    </row>
    <row r="15" customFormat="false" ht="15" hidden="false" customHeight="true" outlineLevel="0" collapsed="false">
      <c r="A15" s="80" t="s">
        <v>240</v>
      </c>
      <c r="B15" s="80" t="s">
        <v>387</v>
      </c>
      <c r="C15" s="94" t="n">
        <v>72.82</v>
      </c>
      <c r="D15" s="95" t="n">
        <v>4895271</v>
      </c>
      <c r="E15" s="96" t="n">
        <v>6683.5</v>
      </c>
      <c r="F15" s="97" t="n">
        <v>23.044304</v>
      </c>
      <c r="G15" s="94" t="n">
        <v>44</v>
      </c>
      <c r="H15" s="94" t="n">
        <v>87.974</v>
      </c>
      <c r="I15" s="98" t="n">
        <v>0.54</v>
      </c>
    </row>
    <row r="16" customFormat="false" ht="15" hidden="false" customHeight="true" outlineLevel="0" collapsed="false">
      <c r="A16" s="80" t="s">
        <v>242</v>
      </c>
      <c r="B16" s="80" t="s">
        <v>388</v>
      </c>
      <c r="C16" s="94" t="n">
        <v>334.91</v>
      </c>
      <c r="D16" s="95" t="n">
        <v>3059378</v>
      </c>
      <c r="E16" s="96" t="n">
        <v>347490.1</v>
      </c>
      <c r="F16" s="97" t="n">
        <v>39.401176</v>
      </c>
      <c r="G16" s="94" t="n">
        <v>268.91</v>
      </c>
      <c r="H16" s="94" t="n">
        <v>388.84</v>
      </c>
      <c r="I16" s="98" t="n">
        <v>0.56</v>
      </c>
    </row>
    <row r="17" customFormat="false" ht="15" hidden="false" customHeight="true" outlineLevel="0" collapsed="false">
      <c r="A17" s="80" t="s">
        <v>157</v>
      </c>
      <c r="B17" s="80" t="s">
        <v>158</v>
      </c>
      <c r="C17" s="94" t="n">
        <v>69.39</v>
      </c>
      <c r="D17" s="95" t="n">
        <v>203268</v>
      </c>
      <c r="E17" s="96"/>
      <c r="F17" s="97" t="n">
        <v>24.4576</v>
      </c>
      <c r="G17" s="94" t="n">
        <v>63.24</v>
      </c>
      <c r="H17" s="94" t="n">
        <v>70.23</v>
      </c>
      <c r="I17" s="98" t="n">
        <v>0.62</v>
      </c>
    </row>
    <row r="18" customFormat="false" ht="15" hidden="false" customHeight="true" outlineLevel="0" collapsed="false">
      <c r="A18" s="80" t="s">
        <v>182</v>
      </c>
      <c r="B18" s="80" t="s">
        <v>183</v>
      </c>
      <c r="C18" s="94" t="n">
        <v>56.87</v>
      </c>
      <c r="D18" s="95" t="n">
        <v>4759638</v>
      </c>
      <c r="E18" s="96"/>
      <c r="F18" s="97" t="n">
        <v>25.282299</v>
      </c>
      <c r="G18" s="94" t="n">
        <v>55.1</v>
      </c>
      <c r="H18" s="94" t="n">
        <v>59.9</v>
      </c>
      <c r="I18" s="98" t="n">
        <v>7.97</v>
      </c>
    </row>
    <row r="19" customFormat="false" ht="15" hidden="false" customHeight="true" outlineLevel="0" collapsed="false">
      <c r="A19" s="80" t="s">
        <v>147</v>
      </c>
      <c r="B19" s="80" t="s">
        <v>148</v>
      </c>
      <c r="C19" s="94" t="n">
        <v>59.85</v>
      </c>
      <c r="D19" s="95" t="n">
        <v>5120618</v>
      </c>
      <c r="E19" s="96" t="n">
        <v>225986.3</v>
      </c>
      <c r="F19" s="97" t="n">
        <v>28.95007</v>
      </c>
      <c r="G19" s="94" t="n">
        <v>53.51</v>
      </c>
      <c r="H19" s="94" t="n">
        <v>61.72</v>
      </c>
      <c r="I19" s="98" t="n">
        <v>10.84</v>
      </c>
    </row>
    <row r="20" customFormat="false" ht="15" hidden="false" customHeight="true" outlineLevel="0" collapsed="false">
      <c r="A20" s="80" t="s">
        <v>107</v>
      </c>
      <c r="B20" s="80" t="s">
        <v>108</v>
      </c>
      <c r="C20" s="94" t="n">
        <v>188.98</v>
      </c>
      <c r="D20" s="95" t="n">
        <v>12158445</v>
      </c>
      <c r="E20" s="96" t="n">
        <v>246911.2</v>
      </c>
      <c r="F20" s="97" t="n">
        <v>51.633877</v>
      </c>
      <c r="G20" s="94" t="n">
        <v>91.023</v>
      </c>
      <c r="H20" s="94" t="n">
        <v>307.37</v>
      </c>
      <c r="I20" s="98" t="n">
        <v>0.5</v>
      </c>
    </row>
    <row r="21" customFormat="false" ht="15" hidden="false" customHeight="true" outlineLevel="0" collapsed="false">
      <c r="A21" s="80" t="s">
        <v>248</v>
      </c>
      <c r="B21" s="80" t="s">
        <v>365</v>
      </c>
      <c r="C21" s="94" t="n">
        <v>468.38</v>
      </c>
      <c r="D21" s="95" t="n">
        <v>2533696</v>
      </c>
      <c r="E21" s="96" t="n">
        <v>215913.9</v>
      </c>
      <c r="F21" s="97" t="n">
        <v>30.179123</v>
      </c>
      <c r="G21" s="94" t="n">
        <v>387.78</v>
      </c>
      <c r="H21" s="94" t="n">
        <v>548.2</v>
      </c>
      <c r="I21" s="98" t="n">
        <v>1.34</v>
      </c>
    </row>
    <row r="22" customFormat="false" ht="15" hidden="false" customHeight="true" outlineLevel="0" collapsed="false">
      <c r="A22" s="80" t="s">
        <v>137</v>
      </c>
      <c r="B22" s="80" t="s">
        <v>138</v>
      </c>
      <c r="C22" s="94" t="n">
        <v>54.93</v>
      </c>
      <c r="D22" s="95" t="n">
        <v>350807</v>
      </c>
      <c r="E22" s="96"/>
      <c r="F22" s="97" t="n">
        <v>18.950302</v>
      </c>
      <c r="G22" s="94" t="n">
        <v>49.15</v>
      </c>
      <c r="H22" s="94" t="n">
        <v>58.47</v>
      </c>
      <c r="I22" s="98" t="n">
        <v>0.47</v>
      </c>
    </row>
    <row r="23" customFormat="false" ht="15" hidden="false" customHeight="true" outlineLevel="0" collapsed="false">
      <c r="A23" s="80" t="s">
        <v>109</v>
      </c>
      <c r="B23" s="80" t="s">
        <v>110</v>
      </c>
      <c r="C23" s="94" t="n">
        <v>1000.26</v>
      </c>
      <c r="D23" s="95" t="n">
        <v>26248193</v>
      </c>
      <c r="E23" s="96" t="n">
        <v>1129686.8</v>
      </c>
      <c r="F23" s="97" t="n">
        <v>22.62008</v>
      </c>
      <c r="G23" s="94" t="n">
        <v>131.56</v>
      </c>
      <c r="H23" s="94" t="n">
        <v>1255</v>
      </c>
      <c r="I23" s="98" t="n">
        <v>0.05</v>
      </c>
    </row>
    <row r="24" customFormat="false" ht="15" hidden="false" customHeight="true" outlineLevel="0" collapsed="false">
      <c r="A24" s="80" t="s">
        <v>251</v>
      </c>
      <c r="B24" s="80" t="s">
        <v>396</v>
      </c>
      <c r="C24" s="94" t="n">
        <v>76.77</v>
      </c>
      <c r="D24" s="95" t="n">
        <v>33613528</v>
      </c>
      <c r="E24" s="96" t="n">
        <v>319665.6</v>
      </c>
      <c r="F24" s="97" t="n">
        <v>24.141508</v>
      </c>
      <c r="G24" s="94" t="n">
        <v>65.08</v>
      </c>
      <c r="H24" s="94" t="n">
        <v>126.7</v>
      </c>
      <c r="I24" s="98" t="n">
        <v>0.79</v>
      </c>
    </row>
    <row r="25" customFormat="false" ht="15" hidden="false" customHeight="true" outlineLevel="0" collapsed="false">
      <c r="A25" s="80" t="s">
        <v>111</v>
      </c>
      <c r="B25" s="80" t="s">
        <v>112</v>
      </c>
      <c r="C25" s="94" t="n">
        <v>225.73</v>
      </c>
      <c r="D25" s="95" t="n">
        <v>118354258</v>
      </c>
      <c r="E25" s="96" t="n">
        <v>5450702</v>
      </c>
      <c r="F25" s="97" t="n">
        <v>28.573418</v>
      </c>
      <c r="G25" s="94" t="n">
        <v>164.27</v>
      </c>
      <c r="H25" s="94" t="n">
        <v>236.54</v>
      </c>
      <c r="I25" s="98" t="n">
        <v>0.43</v>
      </c>
    </row>
    <row r="26" customFormat="false" ht="15" hidden="false" customHeight="true" outlineLevel="0" collapsed="false">
      <c r="A26" s="80" t="s">
        <v>260</v>
      </c>
      <c r="B26" s="80" t="s">
        <v>373</v>
      </c>
      <c r="C26" s="94" t="n">
        <v>145.58</v>
      </c>
      <c r="D26" s="95" t="n">
        <v>6281928</v>
      </c>
      <c r="E26" s="96" t="n">
        <v>338134.7</v>
      </c>
      <c r="F26" s="97" t="n">
        <v>21.990936</v>
      </c>
      <c r="G26" s="94" t="n">
        <v>137.62</v>
      </c>
      <c r="H26" s="94" t="n">
        <v>167.25</v>
      </c>
      <c r="I26" s="98" t="n">
        <v>2.97</v>
      </c>
    </row>
    <row r="27" customFormat="false" ht="15" hidden="false" customHeight="true" outlineLevel="0" collapsed="false">
      <c r="A27" s="80" t="s">
        <v>262</v>
      </c>
      <c r="B27" s="80" t="s">
        <v>390</v>
      </c>
      <c r="C27" s="94" t="n">
        <v>955.87</v>
      </c>
      <c r="D27" s="95" t="n">
        <v>437579</v>
      </c>
      <c r="E27" s="96" t="n">
        <v>120485</v>
      </c>
      <c r="F27" s="97" t="n">
        <v>33.55107</v>
      </c>
      <c r="G27" s="94" t="n">
        <v>715.37</v>
      </c>
      <c r="H27" s="94" t="n">
        <v>1099.94</v>
      </c>
      <c r="I27" s="98" t="n">
        <v>0.83</v>
      </c>
    </row>
    <row r="28" customFormat="false" ht="15" hidden="false" customHeight="true" outlineLevel="0" collapsed="false">
      <c r="A28" s="99" t="s">
        <v>165</v>
      </c>
      <c r="B28" s="99" t="s">
        <v>331</v>
      </c>
      <c r="C28" s="100" t="n">
        <v>138.48</v>
      </c>
      <c r="D28" s="101" t="n">
        <v>2505273</v>
      </c>
      <c r="E28" s="102" t="n">
        <v>134615.2</v>
      </c>
      <c r="F28" s="103" t="n">
        <v>30.841871</v>
      </c>
      <c r="G28" s="100" t="n">
        <v>110.6</v>
      </c>
      <c r="H28" s="100" t="n">
        <v>153.35</v>
      </c>
      <c r="I28" s="104" t="n">
        <v>3.12</v>
      </c>
    </row>
    <row r="29" customFormat="false" ht="15" hidden="false" customHeight="true" outlineLevel="0" collapsed="false">
      <c r="A29" s="99" t="s">
        <v>113</v>
      </c>
      <c r="B29" s="99" t="s">
        <v>114</v>
      </c>
      <c r="C29" s="100" t="n">
        <v>170.3</v>
      </c>
      <c r="D29" s="101" t="n">
        <v>24103759</v>
      </c>
      <c r="E29" s="102" t="n">
        <v>409240.9</v>
      </c>
      <c r="F29" s="103" t="n">
        <v>145.55556</v>
      </c>
      <c r="G29" s="100" t="n">
        <v>106.37</v>
      </c>
      <c r="H29" s="100" t="n">
        <v>207.52</v>
      </c>
      <c r="I29" s="104" t="n">
        <v>0.7</v>
      </c>
    </row>
    <row r="30" customFormat="false" ht="15" hidden="false" customHeight="true" outlineLevel="0" collapsed="false">
      <c r="A30" s="99" t="s">
        <v>133</v>
      </c>
      <c r="B30" s="99" t="s">
        <v>134</v>
      </c>
      <c r="C30" s="100" t="n">
        <v>34.41</v>
      </c>
      <c r="D30" s="101" t="n">
        <v>31697581</v>
      </c>
      <c r="E30" s="102"/>
      <c r="F30" s="103" t="n">
        <v>18.989983</v>
      </c>
      <c r="G30" s="100" t="n">
        <v>26.32</v>
      </c>
      <c r="H30" s="100" t="n">
        <v>35.31</v>
      </c>
      <c r="I30" s="104" t="n">
        <v>3</v>
      </c>
    </row>
    <row r="31" customFormat="false" ht="15" hidden="false" customHeight="true" outlineLevel="0" collapsed="false">
      <c r="A31" s="99" t="s">
        <v>139</v>
      </c>
      <c r="B31" s="99" t="s">
        <v>140</v>
      </c>
      <c r="C31" s="100" t="n">
        <v>150.47</v>
      </c>
      <c r="D31" s="101" t="n">
        <v>1584554</v>
      </c>
      <c r="E31" s="102" t="n">
        <v>100824.6</v>
      </c>
      <c r="F31" s="103" t="n">
        <v>27.783249</v>
      </c>
      <c r="G31" s="100" t="n">
        <v>107.24</v>
      </c>
      <c r="H31" s="100" t="n">
        <v>162.3</v>
      </c>
      <c r="I31" s="104" t="n">
        <v>0.71</v>
      </c>
    </row>
    <row r="32" customFormat="false" ht="15" hidden="false" customHeight="true" outlineLevel="0" collapsed="false">
      <c r="A32" s="99" t="s">
        <v>115</v>
      </c>
      <c r="B32" s="99" t="s">
        <v>342</v>
      </c>
      <c r="C32" s="100" t="n">
        <v>439</v>
      </c>
      <c r="D32" s="101" t="n">
        <v>13005540</v>
      </c>
      <c r="E32" s="102" t="n">
        <v>2276862.2</v>
      </c>
      <c r="F32" s="103" t="n">
        <v>32.590942</v>
      </c>
      <c r="G32" s="100" t="n">
        <v>246.93</v>
      </c>
      <c r="H32" s="100" t="n">
        <v>479</v>
      </c>
      <c r="I32" s="104" t="n">
        <v>0.95</v>
      </c>
    </row>
    <row r="33" customFormat="false" ht="15" hidden="false" customHeight="true" outlineLevel="0" collapsed="false">
      <c r="A33" s="99" t="s">
        <v>119</v>
      </c>
      <c r="B33" s="99" t="s">
        <v>120</v>
      </c>
      <c r="C33" s="100" t="n">
        <v>368.64</v>
      </c>
      <c r="D33" s="101" t="n">
        <v>4906741</v>
      </c>
      <c r="E33" s="102" t="n">
        <v>688268.3</v>
      </c>
      <c r="F33" s="103" t="n">
        <v>31.400343</v>
      </c>
      <c r="G33" s="100" t="n">
        <v>293.89</v>
      </c>
      <c r="H33" s="100" t="n">
        <v>385.57</v>
      </c>
      <c r="I33" s="104" t="n">
        <v>0.71</v>
      </c>
    </row>
    <row r="34" customFormat="false" ht="15" hidden="false" customHeight="true" outlineLevel="0" collapsed="false">
      <c r="A34" s="99" t="s">
        <v>130</v>
      </c>
      <c r="B34" s="99" t="s">
        <v>131</v>
      </c>
      <c r="C34" s="100" t="n">
        <v>54.08</v>
      </c>
      <c r="D34" s="101" t="n">
        <v>2336695</v>
      </c>
      <c r="E34" s="102"/>
      <c r="F34" s="103" t="n">
        <v>17.17579</v>
      </c>
      <c r="G34" s="100" t="n">
        <v>36.56</v>
      </c>
      <c r="H34" s="100" t="n">
        <v>56.44</v>
      </c>
      <c r="I34" s="104" t="n">
        <v>1.01</v>
      </c>
    </row>
    <row r="35" customFormat="false" ht="15" hidden="false" customHeight="true" outlineLevel="0" collapsed="false">
      <c r="A35" s="99" t="s">
        <v>117</v>
      </c>
      <c r="B35" s="99" t="s">
        <v>118</v>
      </c>
      <c r="C35" s="100" t="n">
        <v>290.83</v>
      </c>
      <c r="D35" s="101" t="n">
        <v>4668881</v>
      </c>
      <c r="E35" s="102" t="n">
        <v>111966.1</v>
      </c>
      <c r="F35" s="103" t="n">
        <v>65.650116</v>
      </c>
      <c r="G35" s="100" t="n">
        <v>120.83</v>
      </c>
      <c r="H35" s="100" t="n">
        <v>379.935</v>
      </c>
      <c r="I35" s="104" t="n">
        <v>0.09</v>
      </c>
    </row>
    <row r="36" customFormat="false" ht="15" hidden="false" customHeight="true" outlineLevel="0" collapsed="false">
      <c r="A36" s="99" t="s">
        <v>162</v>
      </c>
      <c r="B36" s="99" t="s">
        <v>163</v>
      </c>
      <c r="C36" s="100" t="n">
        <v>528.9</v>
      </c>
      <c r="D36" s="101" t="n">
        <v>1090748</v>
      </c>
      <c r="E36" s="102" t="n">
        <v>134055.5</v>
      </c>
      <c r="F36" s="103" t="n">
        <v>30.839653</v>
      </c>
      <c r="G36" s="100" t="n">
        <v>374.17</v>
      </c>
      <c r="H36" s="100" t="n">
        <v>560.25</v>
      </c>
      <c r="I36" s="104"/>
    </row>
    <row r="37" customFormat="false" ht="15" hidden="false" customHeight="true" outlineLevel="0" collapsed="false">
      <c r="A37" s="99" t="s">
        <v>135</v>
      </c>
      <c r="B37" s="99" t="s">
        <v>136</v>
      </c>
      <c r="C37" s="100" t="n">
        <v>163.52</v>
      </c>
      <c r="D37" s="101" t="n">
        <v>1232607</v>
      </c>
      <c r="E37" s="102"/>
      <c r="F37" s="103" t="n">
        <v>21.198973</v>
      </c>
      <c r="G37" s="100" t="n">
        <v>137.42</v>
      </c>
      <c r="H37" s="100" t="n">
        <v>167.61</v>
      </c>
      <c r="I37" s="104" t="n">
        <v>2.22</v>
      </c>
    </row>
    <row r="38" customFormat="false" ht="15" hidden="false" customHeight="true" outlineLevel="0" collapsed="false">
      <c r="A38" s="99" t="s">
        <v>270</v>
      </c>
      <c r="B38" s="99" t="s">
        <v>378</v>
      </c>
      <c r="C38" s="100" t="n">
        <v>149.51</v>
      </c>
      <c r="D38" s="101" t="n">
        <v>1616462</v>
      </c>
      <c r="E38" s="102" t="n">
        <v>40801.4</v>
      </c>
      <c r="F38" s="103" t="n">
        <v>18.829973</v>
      </c>
      <c r="G38" s="100" t="n">
        <v>137.33</v>
      </c>
      <c r="H38" s="100" t="n">
        <v>170.14</v>
      </c>
      <c r="I38" s="104"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5" t="s">
        <v>423</v>
      </c>
      <c r="B1" s="105"/>
      <c r="C1" s="105"/>
      <c r="D1" s="105"/>
      <c r="E1" s="105"/>
      <c r="F1" s="105"/>
      <c r="G1" s="105"/>
      <c r="H1" s="105"/>
      <c r="I1" s="105"/>
      <c r="J1" s="105"/>
      <c r="K1" s="105"/>
      <c r="L1" s="105"/>
      <c r="M1" s="105"/>
      <c r="N1" s="105"/>
      <c r="O1" s="105"/>
      <c r="P1" s="105"/>
      <c r="Q1" s="105"/>
      <c r="R1" s="105"/>
      <c r="S1" s="105"/>
      <c r="T1" s="105"/>
      <c r="U1" s="105"/>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6" t="str">
        <f aca="false">'Price History'!V2</f>
        <v>V</v>
      </c>
      <c r="W2" s="107" t="s">
        <v>424</v>
      </c>
      <c r="X2" s="107" t="s">
        <v>425</v>
      </c>
      <c r="Y2" s="107" t="s">
        <v>426</v>
      </c>
      <c r="Z2" s="107" t="s">
        <v>427</v>
      </c>
      <c r="AA2" s="107" t="s">
        <v>428</v>
      </c>
      <c r="AB2" s="107" t="s">
        <v>429</v>
      </c>
      <c r="AC2" s="107" t="s">
        <v>430</v>
      </c>
      <c r="AD2" s="107" t="s">
        <v>431</v>
      </c>
      <c r="AE2" s="107" t="s">
        <v>432</v>
      </c>
      <c r="AF2" s="107" t="s">
        <v>433</v>
      </c>
      <c r="AG2" s="107" t="s">
        <v>434</v>
      </c>
      <c r="AH2" s="107" t="s">
        <v>435</v>
      </c>
      <c r="AI2" s="107" t="s">
        <v>436</v>
      </c>
      <c r="AJ2" s="107" t="s">
        <v>437</v>
      </c>
      <c r="AK2" s="107" t="s">
        <v>438</v>
      </c>
      <c r="AL2" s="107" t="s">
        <v>439</v>
      </c>
      <c r="AM2" s="107" t="s">
        <v>440</v>
      </c>
      <c r="AN2" s="107" t="s">
        <v>441</v>
      </c>
      <c r="AO2" s="106" t="s">
        <v>442</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V3" s="110" t="str">
        <f aca="false">IFERROR(IF(OR(NOT(ISNUMBER('Price History'!V4)),NOT(ISNUMBER('Price History'!V3)),'Price History'!V3=0),"",'Price History'!V4/'Price History'!V3-1),"")</f>
        <v/>
      </c>
      <c r="W3" s="111" t="n">
        <f aca="false">IFERROR('Price History'!B3+(INDEX('Price History'!B:B,MATCH(9.99E+307,'Price History'!$A:$A))-'Price History'!B3)*(ROW()-3)/(MATCH(9.99E+307,'Returns (Calc)'!$A:$A)-3),"")</f>
        <v>508.45</v>
      </c>
      <c r="X3" s="111" t="n">
        <f aca="false">IFERROR('Price History'!C3+(INDEX('Price History'!C:C,MATCH(9.99E+307,'Price History'!$A:$A))-'Price History'!C3)*(ROW()-3)/(MATCH(9.99E+307,'Returns (Calc)'!$A:$A)-3),"")</f>
        <v>43.74</v>
      </c>
      <c r="Y3" s="111" t="n">
        <f aca="false">IFERROR('Price History'!D3+(INDEX('Price History'!D:D,MATCH(9.99E+307,'Price History'!$A:$A))-'Price History'!D3)*(ROW()-3)/(MATCH(9.99E+307,'Returns (Calc)'!$A:$A)-3),"")</f>
        <v>661.78</v>
      </c>
      <c r="Z3" s="111" t="n">
        <f aca="false">IFERROR('Price History'!E3+(INDEX('Price History'!E:E,MATCH(9.99E+307,'Price History'!$A:$A))-'Price History'!E3)*(ROW()-3)/(MATCH(9.99E+307,'Returns (Calc)'!$A:$A)-3),"")</f>
        <v>82.98</v>
      </c>
      <c r="AA3" s="111" t="n">
        <f aca="false">IFERROR('Price History'!F3+(INDEX('Price History'!F:F,MATCH(9.99E+307,'Price History'!$A:$A))-'Price History'!F3)*(ROW()-3)/(MATCH(9.99E+307,'Returns (Calc)'!$A:$A)-3),"")</f>
        <v>37.06</v>
      </c>
      <c r="AB3" s="111" t="n">
        <f aca="false">IFERROR('Price History'!G3+(INDEX('Price History'!G:G,MATCH(9.99E+307,'Price History'!$A:$A))-'Price History'!G3)*(ROW()-3)/(MATCH(9.99E+307,'Returns (Calc)'!$A:$A)-3),"")</f>
        <v>47.9</v>
      </c>
      <c r="AC3" s="111" t="n">
        <f aca="false">IFERROR('Price History'!H3+(INDEX('Price History'!H:H,MATCH(9.99E+307,'Price History'!$A:$A))-'Price History'!H3)*(ROW()-3)/(MATCH(9.99E+307,'Returns (Calc)'!$A:$A)-3),"")</f>
        <v>64.37</v>
      </c>
      <c r="AD3" s="111" t="n">
        <f aca="false">IFERROR('Price History'!I3+(INDEX('Price History'!I:I,MATCH(9.99E+307,'Price History'!$A:$A))-'Price History'!I3)*(ROW()-3)/(MATCH(9.99E+307,'Returns (Calc)'!$A:$A)-3),"")</f>
        <v>40.85</v>
      </c>
      <c r="AE3" s="111" t="n">
        <f aca="false">IFERROR('Price History'!J3+(INDEX('Price History'!J:J,MATCH(9.99E+307,'Price History'!$A:$A))-'Price History'!J3)*(ROW()-3)/(MATCH(9.99E+307,'Returns (Calc)'!$A:$A)-3),"")</f>
        <v>123.51</v>
      </c>
      <c r="AF3" s="111" t="n">
        <f aca="false">IFERROR('Price History'!K3+(INDEX('Price History'!K:K,MATCH(9.99E+307,'Price History'!$A:$A))-'Price History'!K3)*(ROW()-3)/(MATCH(9.99E+307,'Returns (Calc)'!$A:$A)-3),"")</f>
        <v>15.41</v>
      </c>
      <c r="AG3" s="111" t="n">
        <f aca="false">IFERROR('Price History'!L3+(INDEX('Price History'!L:L,MATCH(9.99E+307,'Price History'!$A:$A))-'Price History'!L3)*(ROW()-3)/(MATCH(9.99E+307,'Returns (Calc)'!$A:$A)-3),"")</f>
        <v>91.99</v>
      </c>
      <c r="AH3" s="111" t="n">
        <f aca="false">IFERROR('Price History'!M3+(INDEX('Price History'!M:M,MATCH(9.99E+307,'Price History'!$A:$A))-'Price History'!M3)*(ROW()-3)/(MATCH(9.99E+307,'Returns (Calc)'!$A:$A)-3),"")</f>
        <v>33.51</v>
      </c>
      <c r="AI3" s="111" t="n">
        <f aca="false">IFERROR('Price History'!N3+(INDEX('Price History'!N:N,MATCH(9.99E+307,'Price History'!$A:$A))-'Price History'!N3)*(ROW()-3)/(MATCH(9.99E+307,'Returns (Calc)'!$A:$A)-3),"")</f>
        <v>349.86</v>
      </c>
      <c r="AJ3" s="111" t="n">
        <f aca="false">IFERROR('Price History'!O3+(INDEX('Price History'!O:O,MATCH(9.99E+307,'Price History'!$A:$A))-'Price History'!O3)*(ROW()-3)/(MATCH(9.99E+307,'Returns (Calc)'!$A:$A)-3),"")</f>
        <v>82.85</v>
      </c>
      <c r="AK3" s="111" t="n">
        <f aca="false">IFERROR('Price History'!Q3+(INDEX('Price History'!Q:Q,MATCH(9.99E+307,'Price History'!$A:$A))-'Price History'!Q3)*(ROW()-3)/(MATCH(9.99E+307,'Returns (Calc)'!$A:$A)-3),"")</f>
        <v>49.84</v>
      </c>
      <c r="AL3" s="111" t="n">
        <f aca="false">IFERROR('Price History'!R3+(INDEX('Price History'!R:R,MATCH(9.99E+307,'Price History'!$A:$A))-'Price History'!R3)*(ROW()-3)/(MATCH(9.99E+307,'Returns (Calc)'!$A:$A)-3),"")</f>
        <v>47.82</v>
      </c>
      <c r="AM3" s="111" t="n">
        <f aca="false">IFERROR('Price History'!S3+(INDEX('Price History'!S:S,MATCH(9.99E+307,'Price History'!$A:$A))-'Price History'!S3)*(ROW()-3)/(MATCH(9.99E+307,'Returns (Calc)'!$A:$A)-3),"")</f>
        <v>58.54</v>
      </c>
      <c r="AN3" s="111" t="n">
        <f aca="false">IFERROR('Price History'!T3+(INDEX('Price History'!T:T,MATCH(9.99E+307,'Price History'!$A:$A))-'Price History'!T3)*(ROW()-3)/(MATCH(9.99E+307,'Returns (Calc)'!$A:$A)-3),"")</f>
        <v>26.91</v>
      </c>
      <c r="AO3" s="112" t="n">
        <f aca="false">IFERROR('Price History'!V3+(INDEX('Price History'!V:V,MATCH(9.99E+307,'Price History'!$A:$A))-'Price History'!V3)*(ROW()-3)/(MATCH(9.99E+307,'Returns (Calc)'!$A:$A)-3),"")</f>
        <v>0</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V4" s="110" t="str">
        <f aca="false">IFERROR(IF(OR(NOT(ISNUMBER('Price History'!V5)),NOT(ISNUMBER('Price History'!V4)),'Price History'!V4=0),"",'Price History'!V5/'Price History'!V4-1),"")</f>
        <v/>
      </c>
      <c r="W4" s="111" t="n">
        <f aca="false">IFERROR('Price History'!B3+(INDEX('Price History'!B:B,MATCH(9.99E+307,'Price History'!$A:$A))-'Price History'!B3)*(ROW()-3)/(MATCH(9.99E+307,'Returns (Calc)'!$A:$A)-3),"")</f>
        <v>506.928364779874</v>
      </c>
      <c r="X4" s="111" t="n">
        <f aca="false">IFERROR('Price History'!C3+(INDEX('Price History'!C:C,MATCH(9.99E+307,'Price History'!$A:$A))-'Price History'!C3)*(ROW()-3)/(MATCH(9.99E+307,'Returns (Calc)'!$A:$A)-3),"")</f>
        <v>44.6836477987421</v>
      </c>
      <c r="Y4" s="111" t="n">
        <f aca="false">IFERROR('Price History'!D3+(INDEX('Price History'!D:D,MATCH(9.99E+307,'Price History'!$A:$A))-'Price History'!D3)*(ROW()-3)/(MATCH(9.99E+307,'Returns (Calc)'!$A:$A)-3),"")</f>
        <v>668.403270440252</v>
      </c>
      <c r="Z4" s="111" t="n">
        <f aca="false">IFERROR('Price History'!E3+(INDEX('Price History'!E:E,MATCH(9.99E+307,'Price History'!$A:$A))-'Price History'!E3)*(ROW()-3)/(MATCH(9.99E+307,'Returns (Calc)'!$A:$A)-3),"")</f>
        <v>84.7090566037736</v>
      </c>
      <c r="AA4" s="111" t="n">
        <f aca="false">IFERROR('Price History'!F3+(INDEX('Price History'!F:F,MATCH(9.99E+307,'Price History'!$A:$A))-'Price History'!F3)*(ROW()-3)/(MATCH(9.99E+307,'Returns (Calc)'!$A:$A)-3),"")</f>
        <v>38.1671698113208</v>
      </c>
      <c r="AB4" s="111" t="n">
        <f aca="false">IFERROR('Price History'!G3+(INDEX('Price History'!G:G,MATCH(9.99E+307,'Price History'!$A:$A))-'Price History'!G3)*(ROW()-3)/(MATCH(9.99E+307,'Returns (Calc)'!$A:$A)-3),"")</f>
        <v>48.7660377358491</v>
      </c>
      <c r="AC4" s="111" t="n">
        <f aca="false">IFERROR('Price History'!H3+(INDEX('Price History'!H:H,MATCH(9.99E+307,'Price History'!$A:$A))-'Price History'!H3)*(ROW()-3)/(MATCH(9.99E+307,'Returns (Calc)'!$A:$A)-3),"")</f>
        <v>70.3588050314466</v>
      </c>
      <c r="AD4" s="111" t="n">
        <f aca="false">IFERROR('Price History'!I3+(INDEX('Price History'!I:I,MATCH(9.99E+307,'Price History'!$A:$A))-'Price History'!I3)*(ROW()-3)/(MATCH(9.99E+307,'Returns (Calc)'!$A:$A)-3),"")</f>
        <v>42.0418867924528</v>
      </c>
      <c r="AE4" s="111" t="n">
        <f aca="false">IFERROR('Price History'!J3+(INDEX('Price History'!J:J,MATCH(9.99E+307,'Price History'!$A:$A))-'Price History'!J3)*(ROW()-3)/(MATCH(9.99E+307,'Returns (Calc)'!$A:$A)-3),"")</f>
        <v>123.596981132075</v>
      </c>
      <c r="AF4" s="111" t="n">
        <f aca="false">IFERROR('Price History'!K3+(INDEX('Price History'!K:K,MATCH(9.99E+307,'Price History'!$A:$A))-'Price History'!K3)*(ROW()-3)/(MATCH(9.99E+307,'Returns (Calc)'!$A:$A)-3),"")</f>
        <v>16.4094968553459</v>
      </c>
      <c r="AG4" s="111" t="n">
        <f aca="false">IFERROR('Price History'!L3+(INDEX('Price History'!L:L,MATCH(9.99E+307,'Price History'!$A:$A))-'Price History'!L3)*(ROW()-3)/(MATCH(9.99E+307,'Returns (Calc)'!$A:$A)-3),"")</f>
        <v>94.1089937106918</v>
      </c>
      <c r="AH4" s="111" t="n">
        <f aca="false">IFERROR('Price History'!M3+(INDEX('Price History'!M:M,MATCH(9.99E+307,'Price History'!$A:$A))-'Price History'!M3)*(ROW()-3)/(MATCH(9.99E+307,'Returns (Calc)'!$A:$A)-3),"")</f>
        <v>35.0635849056604</v>
      </c>
      <c r="AI4" s="111" t="n">
        <f aca="false">IFERROR('Price History'!N3+(INDEX('Price History'!N:N,MATCH(9.99E+307,'Price History'!$A:$A))-'Price History'!N3)*(ROW()-3)/(MATCH(9.99E+307,'Returns (Calc)'!$A:$A)-3),"")</f>
        <v>351.094339622642</v>
      </c>
      <c r="AJ4" s="111" t="n">
        <f aca="false">IFERROR('Price History'!O3+(INDEX('Price History'!O:O,MATCH(9.99E+307,'Price History'!$A:$A))-'Price History'!O3)*(ROW()-3)/(MATCH(9.99E+307,'Returns (Calc)'!$A:$A)-3),"")</f>
        <v>83.1272327044025</v>
      </c>
      <c r="AK4" s="111" t="n">
        <f aca="false">IFERROR('Price History'!Q3+(INDEX('Price History'!Q:Q,MATCH(9.99E+307,'Price History'!$A:$A))-'Price History'!Q3)*(ROW()-3)/(MATCH(9.99E+307,'Returns (Calc)'!$A:$A)-3),"")</f>
        <v>49.9650314465409</v>
      </c>
      <c r="AL4" s="111" t="n">
        <f aca="false">IFERROR('Price History'!R3+(INDEX('Price History'!R:R,MATCH(9.99E+307,'Price History'!$A:$A))-'Price History'!R3)*(ROW()-3)/(MATCH(9.99E+307,'Returns (Calc)'!$A:$A)-3),"")</f>
        <v>47.895786163522</v>
      </c>
      <c r="AM4" s="111" t="n">
        <f aca="false">IFERROR('Price History'!S3+(INDEX('Price History'!S:S,MATCH(9.99E+307,'Price History'!$A:$A))-'Price History'!S3)*(ROW()-3)/(MATCH(9.99E+307,'Returns (Calc)'!$A:$A)-3),"")</f>
        <v>59.1134591194969</v>
      </c>
      <c r="AN4" s="111" t="n">
        <f aca="false">IFERROR('Price History'!T3+(INDEX('Price History'!T:T,MATCH(9.99E+307,'Price History'!$A:$A))-'Price History'!T3)*(ROW()-3)/(MATCH(9.99E+307,'Returns (Calc)'!$A:$A)-3),"")</f>
        <v>27.0884905660377</v>
      </c>
      <c r="AO4" s="112" t="n">
        <f aca="false">IFERROR('Price History'!V3+(INDEX('Price History'!V:V,MATCH(9.99E+307,'Price History'!$A:$A))-'Price History'!V3)*(ROW()-3)/(MATCH(9.99E+307,'Returns (Calc)'!$A:$A)-3),"")</f>
        <v>2.35893081761006</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V5" s="110" t="str">
        <f aca="false">IFERROR(IF(OR(NOT(ISNUMBER('Price History'!V6)),NOT(ISNUMBER('Price History'!V5)),'Price History'!V5=0),"",'Price History'!V6/'Price History'!V5-1),"")</f>
        <v/>
      </c>
      <c r="W5" s="111" t="n">
        <f aca="false">IFERROR('Price History'!B3+(INDEX('Price History'!B:B,MATCH(9.99E+307,'Price History'!$A:$A))-'Price History'!B3)*(ROW()-3)/(MATCH(9.99E+307,'Returns (Calc)'!$A:$A)-3),"")</f>
        <v>505.406729559748</v>
      </c>
      <c r="X5" s="111" t="n">
        <f aca="false">IFERROR('Price History'!C3+(INDEX('Price History'!C:C,MATCH(9.99E+307,'Price History'!$A:$A))-'Price History'!C3)*(ROW()-3)/(MATCH(9.99E+307,'Returns (Calc)'!$A:$A)-3),"")</f>
        <v>45.6272955974843</v>
      </c>
      <c r="Y5" s="111" t="n">
        <f aca="false">IFERROR('Price History'!D3+(INDEX('Price History'!D:D,MATCH(9.99E+307,'Price History'!$A:$A))-'Price History'!D3)*(ROW()-3)/(MATCH(9.99E+307,'Returns (Calc)'!$A:$A)-3),"")</f>
        <v>675.026540880503</v>
      </c>
      <c r="Z5" s="111" t="n">
        <f aca="false">IFERROR('Price History'!E3+(INDEX('Price History'!E:E,MATCH(9.99E+307,'Price History'!$A:$A))-'Price History'!E3)*(ROW()-3)/(MATCH(9.99E+307,'Returns (Calc)'!$A:$A)-3),"")</f>
        <v>86.4381132075472</v>
      </c>
      <c r="AA5" s="111" t="n">
        <f aca="false">IFERROR('Price History'!F3+(INDEX('Price History'!F:F,MATCH(9.99E+307,'Price History'!$A:$A))-'Price History'!F3)*(ROW()-3)/(MATCH(9.99E+307,'Returns (Calc)'!$A:$A)-3),"")</f>
        <v>39.2743396226415</v>
      </c>
      <c r="AB5" s="111" t="n">
        <f aca="false">IFERROR('Price History'!G3+(INDEX('Price History'!G:G,MATCH(9.99E+307,'Price History'!$A:$A))-'Price History'!G3)*(ROW()-3)/(MATCH(9.99E+307,'Returns (Calc)'!$A:$A)-3),"")</f>
        <v>49.6320754716981</v>
      </c>
      <c r="AC5" s="111" t="n">
        <f aca="false">IFERROR('Price History'!H3+(INDEX('Price History'!H:H,MATCH(9.99E+307,'Price History'!$A:$A))-'Price History'!H3)*(ROW()-3)/(MATCH(9.99E+307,'Returns (Calc)'!$A:$A)-3),"")</f>
        <v>76.3476100628931</v>
      </c>
      <c r="AD5" s="111" t="n">
        <f aca="false">IFERROR('Price History'!I3+(INDEX('Price History'!I:I,MATCH(9.99E+307,'Price History'!$A:$A))-'Price History'!I3)*(ROW()-3)/(MATCH(9.99E+307,'Returns (Calc)'!$A:$A)-3),"")</f>
        <v>43.2337735849057</v>
      </c>
      <c r="AE5" s="111" t="n">
        <f aca="false">IFERROR('Price History'!J3+(INDEX('Price History'!J:J,MATCH(9.99E+307,'Price History'!$A:$A))-'Price History'!J3)*(ROW()-3)/(MATCH(9.99E+307,'Returns (Calc)'!$A:$A)-3),"")</f>
        <v>123.683962264151</v>
      </c>
      <c r="AF5" s="111" t="n">
        <f aca="false">IFERROR('Price History'!K3+(INDEX('Price History'!K:K,MATCH(9.99E+307,'Price History'!$A:$A))-'Price History'!K3)*(ROW()-3)/(MATCH(9.99E+307,'Returns (Calc)'!$A:$A)-3),"")</f>
        <v>17.4089937106918</v>
      </c>
      <c r="AG5" s="111" t="n">
        <f aca="false">IFERROR('Price History'!L3+(INDEX('Price History'!L:L,MATCH(9.99E+307,'Price History'!$A:$A))-'Price History'!L3)*(ROW()-3)/(MATCH(9.99E+307,'Returns (Calc)'!$A:$A)-3),"")</f>
        <v>96.2279874213837</v>
      </c>
      <c r="AH5" s="111" t="n">
        <f aca="false">IFERROR('Price History'!M3+(INDEX('Price History'!M:M,MATCH(9.99E+307,'Price History'!$A:$A))-'Price History'!M3)*(ROW()-3)/(MATCH(9.99E+307,'Returns (Calc)'!$A:$A)-3),"")</f>
        <v>36.6171698113208</v>
      </c>
      <c r="AI5" s="111" t="n">
        <f aca="false">IFERROR('Price History'!N3+(INDEX('Price History'!N:N,MATCH(9.99E+307,'Price History'!$A:$A))-'Price History'!N3)*(ROW()-3)/(MATCH(9.99E+307,'Returns (Calc)'!$A:$A)-3),"")</f>
        <v>352.328679245283</v>
      </c>
      <c r="AJ5" s="111" t="n">
        <f aca="false">IFERROR('Price History'!O3+(INDEX('Price History'!O:O,MATCH(9.99E+307,'Price History'!$A:$A))-'Price History'!O3)*(ROW()-3)/(MATCH(9.99E+307,'Returns (Calc)'!$A:$A)-3),"")</f>
        <v>83.404465408805</v>
      </c>
      <c r="AK5" s="111" t="n">
        <f aca="false">IFERROR('Price History'!Q3+(INDEX('Price History'!Q:Q,MATCH(9.99E+307,'Price History'!$A:$A))-'Price History'!Q3)*(ROW()-3)/(MATCH(9.99E+307,'Returns (Calc)'!$A:$A)-3),"")</f>
        <v>50.0900628930818</v>
      </c>
      <c r="AL5" s="111" t="n">
        <f aca="false">IFERROR('Price History'!R3+(INDEX('Price History'!R:R,MATCH(9.99E+307,'Price History'!$A:$A))-'Price History'!R3)*(ROW()-3)/(MATCH(9.99E+307,'Returns (Calc)'!$A:$A)-3),"")</f>
        <v>47.971572327044</v>
      </c>
      <c r="AM5" s="111" t="n">
        <f aca="false">IFERROR('Price History'!S3+(INDEX('Price History'!S:S,MATCH(9.99E+307,'Price History'!$A:$A))-'Price History'!S3)*(ROW()-3)/(MATCH(9.99E+307,'Returns (Calc)'!$A:$A)-3),"")</f>
        <v>59.6869182389937</v>
      </c>
      <c r="AN5" s="111" t="n">
        <f aca="false">IFERROR('Price History'!T3+(INDEX('Price History'!T:T,MATCH(9.99E+307,'Price History'!$A:$A))-'Price History'!T3)*(ROW()-3)/(MATCH(9.99E+307,'Returns (Calc)'!$A:$A)-3),"")</f>
        <v>27.2669811320755</v>
      </c>
      <c r="AO5" s="112" t="n">
        <f aca="false">IFERROR('Price History'!V3+(INDEX('Price History'!V:V,MATCH(9.99E+307,'Price History'!$A:$A))-'Price History'!V3)*(ROW()-3)/(MATCH(9.99E+307,'Returns (Calc)'!$A:$A)-3),"")</f>
        <v>4.71786163522013</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V6" s="110" t="str">
        <f aca="false">IFERROR(IF(OR(NOT(ISNUMBER('Price History'!V7)),NOT(ISNUMBER('Price History'!V6)),'Price History'!V6=0),"",'Price History'!V7/'Price History'!V6-1),"")</f>
        <v/>
      </c>
      <c r="W6" s="111" t="n">
        <f aca="false">IFERROR('Price History'!B3+(INDEX('Price History'!B:B,MATCH(9.99E+307,'Price History'!$A:$A))-'Price History'!B3)*(ROW()-3)/(MATCH(9.99E+307,'Returns (Calc)'!$A:$A)-3),"")</f>
        <v>503.885094339623</v>
      </c>
      <c r="X6" s="111" t="n">
        <f aca="false">IFERROR('Price History'!C3+(INDEX('Price History'!C:C,MATCH(9.99E+307,'Price History'!$A:$A))-'Price History'!C3)*(ROW()-3)/(MATCH(9.99E+307,'Returns (Calc)'!$A:$A)-3),"")</f>
        <v>46.5709433962264</v>
      </c>
      <c r="Y6" s="111" t="n">
        <f aca="false">IFERROR('Price History'!D3+(INDEX('Price History'!D:D,MATCH(9.99E+307,'Price History'!$A:$A))-'Price History'!D3)*(ROW()-3)/(MATCH(9.99E+307,'Returns (Calc)'!$A:$A)-3),"")</f>
        <v>681.649811320755</v>
      </c>
      <c r="Z6" s="111" t="n">
        <f aca="false">IFERROR('Price History'!E3+(INDEX('Price History'!E:E,MATCH(9.99E+307,'Price History'!$A:$A))-'Price History'!E3)*(ROW()-3)/(MATCH(9.99E+307,'Returns (Calc)'!$A:$A)-3),"")</f>
        <v>88.1671698113208</v>
      </c>
      <c r="AA6" s="111" t="n">
        <f aca="false">IFERROR('Price History'!F3+(INDEX('Price History'!F:F,MATCH(9.99E+307,'Price History'!$A:$A))-'Price History'!F3)*(ROW()-3)/(MATCH(9.99E+307,'Returns (Calc)'!$A:$A)-3),"")</f>
        <v>40.3815094339623</v>
      </c>
      <c r="AB6" s="111" t="n">
        <f aca="false">IFERROR('Price History'!G3+(INDEX('Price History'!G:G,MATCH(9.99E+307,'Price History'!$A:$A))-'Price History'!G3)*(ROW()-3)/(MATCH(9.99E+307,'Returns (Calc)'!$A:$A)-3),"")</f>
        <v>50.4981132075472</v>
      </c>
      <c r="AC6" s="111" t="n">
        <f aca="false">IFERROR('Price History'!H3+(INDEX('Price History'!H:H,MATCH(9.99E+307,'Price History'!$A:$A))-'Price History'!H3)*(ROW()-3)/(MATCH(9.99E+307,'Returns (Calc)'!$A:$A)-3),"")</f>
        <v>82.3364150943396</v>
      </c>
      <c r="AD6" s="111" t="n">
        <f aca="false">IFERROR('Price History'!I3+(INDEX('Price History'!I:I,MATCH(9.99E+307,'Price History'!$A:$A))-'Price History'!I3)*(ROW()-3)/(MATCH(9.99E+307,'Returns (Calc)'!$A:$A)-3),"")</f>
        <v>44.4256603773585</v>
      </c>
      <c r="AE6" s="111" t="n">
        <f aca="false">IFERROR('Price History'!J3+(INDEX('Price History'!J:J,MATCH(9.99E+307,'Price History'!$A:$A))-'Price History'!J3)*(ROW()-3)/(MATCH(9.99E+307,'Returns (Calc)'!$A:$A)-3),"")</f>
        <v>123.770943396226</v>
      </c>
      <c r="AF6" s="111" t="n">
        <f aca="false">IFERROR('Price History'!K3+(INDEX('Price History'!K:K,MATCH(9.99E+307,'Price History'!$A:$A))-'Price History'!K3)*(ROW()-3)/(MATCH(9.99E+307,'Returns (Calc)'!$A:$A)-3),"")</f>
        <v>18.4084905660377</v>
      </c>
      <c r="AG6" s="111" t="n">
        <f aca="false">IFERROR('Price History'!L3+(INDEX('Price History'!L:L,MATCH(9.99E+307,'Price History'!$A:$A))-'Price History'!L3)*(ROW()-3)/(MATCH(9.99E+307,'Returns (Calc)'!$A:$A)-3),"")</f>
        <v>98.3469811320755</v>
      </c>
      <c r="AH6" s="111" t="n">
        <f aca="false">IFERROR('Price History'!M3+(INDEX('Price History'!M:M,MATCH(9.99E+307,'Price History'!$A:$A))-'Price History'!M3)*(ROW()-3)/(MATCH(9.99E+307,'Returns (Calc)'!$A:$A)-3),"")</f>
        <v>38.1707547169811</v>
      </c>
      <c r="AI6" s="111" t="n">
        <f aca="false">IFERROR('Price History'!N3+(INDEX('Price History'!N:N,MATCH(9.99E+307,'Price History'!$A:$A))-'Price History'!N3)*(ROW()-3)/(MATCH(9.99E+307,'Returns (Calc)'!$A:$A)-3),"")</f>
        <v>353.563018867925</v>
      </c>
      <c r="AJ6" s="111" t="n">
        <f aca="false">IFERROR('Price History'!O3+(INDEX('Price History'!O:O,MATCH(9.99E+307,'Price History'!$A:$A))-'Price History'!O3)*(ROW()-3)/(MATCH(9.99E+307,'Returns (Calc)'!$A:$A)-3),"")</f>
        <v>83.6816981132076</v>
      </c>
      <c r="AK6" s="111" t="n">
        <f aca="false">IFERROR('Price History'!Q3+(INDEX('Price History'!Q:Q,MATCH(9.99E+307,'Price History'!$A:$A))-'Price History'!Q3)*(ROW()-3)/(MATCH(9.99E+307,'Returns (Calc)'!$A:$A)-3),"")</f>
        <v>50.2150943396226</v>
      </c>
      <c r="AL6" s="111" t="n">
        <f aca="false">IFERROR('Price History'!R3+(INDEX('Price History'!R:R,MATCH(9.99E+307,'Price History'!$A:$A))-'Price History'!R3)*(ROW()-3)/(MATCH(9.99E+307,'Returns (Calc)'!$A:$A)-3),"")</f>
        <v>48.047358490566</v>
      </c>
      <c r="AM6" s="111" t="n">
        <f aca="false">IFERROR('Price History'!S3+(INDEX('Price History'!S:S,MATCH(9.99E+307,'Price History'!$A:$A))-'Price History'!S3)*(ROW()-3)/(MATCH(9.99E+307,'Returns (Calc)'!$A:$A)-3),"")</f>
        <v>60.2603773584906</v>
      </c>
      <c r="AN6" s="111" t="n">
        <f aca="false">IFERROR('Price History'!T3+(INDEX('Price History'!T:T,MATCH(9.99E+307,'Price History'!$A:$A))-'Price History'!T3)*(ROW()-3)/(MATCH(9.99E+307,'Returns (Calc)'!$A:$A)-3),"")</f>
        <v>27.4454716981132</v>
      </c>
      <c r="AO6" s="112" t="n">
        <f aca="false">IFERROR('Price History'!V3+(INDEX('Price History'!V:V,MATCH(9.99E+307,'Price History'!$A:$A))-'Price History'!V3)*(ROW()-3)/(MATCH(9.99E+307,'Returns (Calc)'!$A:$A)-3),"")</f>
        <v>7.07679245283019</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V7" s="110" t="n">
        <f aca="false">IFERROR(IF(OR(NOT(ISNUMBER('Price History'!V8)),NOT(ISNUMBER('Price History'!V7)),'Price History'!V7=0),"",'Price History'!V8/'Price History'!V7-1),"")</f>
        <v>-0.025154110297464</v>
      </c>
      <c r="W7" s="111" t="n">
        <f aca="false">IFERROR('Price History'!B3+(INDEX('Price History'!B:B,MATCH(9.99E+307,'Price History'!$A:$A))-'Price History'!B3)*(ROW()-3)/(MATCH(9.99E+307,'Returns (Calc)'!$A:$A)-3),"")</f>
        <v>502.363459119497</v>
      </c>
      <c r="X7" s="111" t="n">
        <f aca="false">IFERROR('Price History'!C3+(INDEX('Price History'!C:C,MATCH(9.99E+307,'Price History'!$A:$A))-'Price History'!C3)*(ROW()-3)/(MATCH(9.99E+307,'Returns (Calc)'!$A:$A)-3),"")</f>
        <v>47.5145911949686</v>
      </c>
      <c r="Y7" s="111" t="n">
        <f aca="false">IFERROR('Price History'!D3+(INDEX('Price History'!D:D,MATCH(9.99E+307,'Price History'!$A:$A))-'Price History'!D3)*(ROW()-3)/(MATCH(9.99E+307,'Returns (Calc)'!$A:$A)-3),"")</f>
        <v>688.273081761006</v>
      </c>
      <c r="Z7" s="111" t="n">
        <f aca="false">IFERROR('Price History'!E3+(INDEX('Price History'!E:E,MATCH(9.99E+307,'Price History'!$A:$A))-'Price History'!E3)*(ROW()-3)/(MATCH(9.99E+307,'Returns (Calc)'!$A:$A)-3),"")</f>
        <v>89.8962264150944</v>
      </c>
      <c r="AA7" s="111" t="n">
        <f aca="false">IFERROR('Price History'!F3+(INDEX('Price History'!F:F,MATCH(9.99E+307,'Price History'!$A:$A))-'Price History'!F3)*(ROW()-3)/(MATCH(9.99E+307,'Returns (Calc)'!$A:$A)-3),"")</f>
        <v>41.488679245283</v>
      </c>
      <c r="AB7" s="111" t="n">
        <f aca="false">IFERROR('Price History'!G3+(INDEX('Price History'!G:G,MATCH(9.99E+307,'Price History'!$A:$A))-'Price History'!G3)*(ROW()-3)/(MATCH(9.99E+307,'Returns (Calc)'!$A:$A)-3),"")</f>
        <v>51.3641509433962</v>
      </c>
      <c r="AC7" s="111" t="n">
        <f aca="false">IFERROR('Price History'!H3+(INDEX('Price History'!H:H,MATCH(9.99E+307,'Price History'!$A:$A))-'Price History'!H3)*(ROW()-3)/(MATCH(9.99E+307,'Returns (Calc)'!$A:$A)-3),"")</f>
        <v>88.3252201257862</v>
      </c>
      <c r="AD7" s="111" t="n">
        <f aca="false">IFERROR('Price History'!I3+(INDEX('Price History'!I:I,MATCH(9.99E+307,'Price History'!$A:$A))-'Price History'!I3)*(ROW()-3)/(MATCH(9.99E+307,'Returns (Calc)'!$A:$A)-3),"")</f>
        <v>45.6175471698113</v>
      </c>
      <c r="AE7" s="111" t="n">
        <f aca="false">IFERROR('Price History'!J3+(INDEX('Price History'!J:J,MATCH(9.99E+307,'Price History'!$A:$A))-'Price History'!J3)*(ROW()-3)/(MATCH(9.99E+307,'Returns (Calc)'!$A:$A)-3),"")</f>
        <v>123.857924528302</v>
      </c>
      <c r="AF7" s="111" t="n">
        <f aca="false">IFERROR('Price History'!K3+(INDEX('Price History'!K:K,MATCH(9.99E+307,'Price History'!$A:$A))-'Price History'!K3)*(ROW()-3)/(MATCH(9.99E+307,'Returns (Calc)'!$A:$A)-3),"")</f>
        <v>19.4079874213837</v>
      </c>
      <c r="AG7" s="111" t="n">
        <f aca="false">IFERROR('Price History'!L3+(INDEX('Price History'!L:L,MATCH(9.99E+307,'Price History'!$A:$A))-'Price History'!L3)*(ROW()-3)/(MATCH(9.99E+307,'Returns (Calc)'!$A:$A)-3),"")</f>
        <v>100.465974842767</v>
      </c>
      <c r="AH7" s="111" t="n">
        <f aca="false">IFERROR('Price History'!M3+(INDEX('Price History'!M:M,MATCH(9.99E+307,'Price History'!$A:$A))-'Price History'!M3)*(ROW()-3)/(MATCH(9.99E+307,'Returns (Calc)'!$A:$A)-3),"")</f>
        <v>39.7243396226415</v>
      </c>
      <c r="AI7" s="111" t="n">
        <f aca="false">IFERROR('Price History'!N3+(INDEX('Price History'!N:N,MATCH(9.99E+307,'Price History'!$A:$A))-'Price History'!N3)*(ROW()-3)/(MATCH(9.99E+307,'Returns (Calc)'!$A:$A)-3),"")</f>
        <v>354.797358490566</v>
      </c>
      <c r="AJ7" s="111" t="n">
        <f aca="false">IFERROR('Price History'!O3+(INDEX('Price History'!O:O,MATCH(9.99E+307,'Price History'!$A:$A))-'Price History'!O3)*(ROW()-3)/(MATCH(9.99E+307,'Returns (Calc)'!$A:$A)-3),"")</f>
        <v>83.9589308176101</v>
      </c>
      <c r="AK7" s="111" t="n">
        <f aca="false">IFERROR('Price History'!Q3+(INDEX('Price History'!Q:Q,MATCH(9.99E+307,'Price History'!$A:$A))-'Price History'!Q3)*(ROW()-3)/(MATCH(9.99E+307,'Returns (Calc)'!$A:$A)-3),"")</f>
        <v>50.3401257861635</v>
      </c>
      <c r="AL7" s="111" t="n">
        <f aca="false">IFERROR('Price History'!R3+(INDEX('Price History'!R:R,MATCH(9.99E+307,'Price History'!$A:$A))-'Price History'!R3)*(ROW()-3)/(MATCH(9.99E+307,'Returns (Calc)'!$A:$A)-3),"")</f>
        <v>48.1231446540881</v>
      </c>
      <c r="AM7" s="111" t="n">
        <f aca="false">IFERROR('Price History'!S3+(INDEX('Price History'!S:S,MATCH(9.99E+307,'Price History'!$A:$A))-'Price History'!S3)*(ROW()-3)/(MATCH(9.99E+307,'Returns (Calc)'!$A:$A)-3),"")</f>
        <v>60.8338364779874</v>
      </c>
      <c r="AN7" s="111" t="n">
        <f aca="false">IFERROR('Price History'!T3+(INDEX('Price History'!T:T,MATCH(9.99E+307,'Price History'!$A:$A))-'Price History'!T3)*(ROW()-3)/(MATCH(9.99E+307,'Returns (Calc)'!$A:$A)-3),"")</f>
        <v>27.6239622641509</v>
      </c>
      <c r="AO7" s="112" t="n">
        <f aca="false">IFERROR('Price History'!V3+(INDEX('Price History'!V:V,MATCH(9.99E+307,'Price History'!$A:$A))-'Price History'!V3)*(ROW()-3)/(MATCH(9.99E+307,'Returns (Calc)'!$A:$A)-3),"")</f>
        <v>9.43572327044025</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V8" s="110" t="n">
        <f aca="false">IFERROR(IF(OR(NOT(ISNUMBER('Price History'!V9)),NOT(ISNUMBER('Price History'!V8)),'Price History'!V8=0),"",'Price History'!V9/'Price History'!V8-1),"")</f>
        <v>-0.0248270593727454</v>
      </c>
      <c r="W8" s="111" t="n">
        <f aca="false">IFERROR('Price History'!B3+(INDEX('Price History'!B:B,MATCH(9.99E+307,'Price History'!$A:$A))-'Price History'!B3)*(ROW()-3)/(MATCH(9.99E+307,'Returns (Calc)'!$A:$A)-3),"")</f>
        <v>500.841823899371</v>
      </c>
      <c r="X8" s="111" t="n">
        <f aca="false">IFERROR('Price History'!C3+(INDEX('Price History'!C:C,MATCH(9.99E+307,'Price History'!$A:$A))-'Price History'!C3)*(ROW()-3)/(MATCH(9.99E+307,'Returns (Calc)'!$A:$A)-3),"")</f>
        <v>48.4582389937107</v>
      </c>
      <c r="Y8" s="111" t="n">
        <f aca="false">IFERROR('Price History'!D3+(INDEX('Price History'!D:D,MATCH(9.99E+307,'Price History'!$A:$A))-'Price History'!D3)*(ROW()-3)/(MATCH(9.99E+307,'Returns (Calc)'!$A:$A)-3),"")</f>
        <v>694.896352201258</v>
      </c>
      <c r="Z8" s="111" t="n">
        <f aca="false">IFERROR('Price History'!E3+(INDEX('Price History'!E:E,MATCH(9.99E+307,'Price History'!$A:$A))-'Price History'!E3)*(ROW()-3)/(MATCH(9.99E+307,'Returns (Calc)'!$A:$A)-3),"")</f>
        <v>91.6252830188679</v>
      </c>
      <c r="AA8" s="111" t="n">
        <f aca="false">IFERROR('Price History'!F3+(INDEX('Price History'!F:F,MATCH(9.99E+307,'Price History'!$A:$A))-'Price History'!F3)*(ROW()-3)/(MATCH(9.99E+307,'Returns (Calc)'!$A:$A)-3),"")</f>
        <v>42.5958490566038</v>
      </c>
      <c r="AB8" s="111" t="n">
        <f aca="false">IFERROR('Price History'!G3+(INDEX('Price History'!G:G,MATCH(9.99E+307,'Price History'!$A:$A))-'Price History'!G3)*(ROW()-3)/(MATCH(9.99E+307,'Returns (Calc)'!$A:$A)-3),"")</f>
        <v>52.2301886792453</v>
      </c>
      <c r="AC8" s="111" t="n">
        <f aca="false">IFERROR('Price History'!H3+(INDEX('Price History'!H:H,MATCH(9.99E+307,'Price History'!$A:$A))-'Price History'!H3)*(ROW()-3)/(MATCH(9.99E+307,'Returns (Calc)'!$A:$A)-3),"")</f>
        <v>94.3140251572327</v>
      </c>
      <c r="AD8" s="111" t="n">
        <f aca="false">IFERROR('Price History'!I3+(INDEX('Price History'!I:I,MATCH(9.99E+307,'Price History'!$A:$A))-'Price History'!I3)*(ROW()-3)/(MATCH(9.99E+307,'Returns (Calc)'!$A:$A)-3),"")</f>
        <v>46.8094339622642</v>
      </c>
      <c r="AE8" s="111" t="n">
        <f aca="false">IFERROR('Price History'!J3+(INDEX('Price History'!J:J,MATCH(9.99E+307,'Price History'!$A:$A))-'Price History'!J3)*(ROW()-3)/(MATCH(9.99E+307,'Returns (Calc)'!$A:$A)-3),"")</f>
        <v>123.944905660377</v>
      </c>
      <c r="AF8" s="111" t="n">
        <f aca="false">IFERROR('Price History'!K3+(INDEX('Price History'!K:K,MATCH(9.99E+307,'Price History'!$A:$A))-'Price History'!K3)*(ROW()-3)/(MATCH(9.99E+307,'Returns (Calc)'!$A:$A)-3),"")</f>
        <v>20.4074842767296</v>
      </c>
      <c r="AG8" s="111" t="n">
        <f aca="false">IFERROR('Price History'!L3+(INDEX('Price History'!L:L,MATCH(9.99E+307,'Price History'!$A:$A))-'Price History'!L3)*(ROW()-3)/(MATCH(9.99E+307,'Returns (Calc)'!$A:$A)-3),"")</f>
        <v>102.584968553459</v>
      </c>
      <c r="AH8" s="111" t="n">
        <f aca="false">IFERROR('Price History'!M3+(INDEX('Price History'!M:M,MATCH(9.99E+307,'Price History'!$A:$A))-'Price History'!M3)*(ROW()-3)/(MATCH(9.99E+307,'Returns (Calc)'!$A:$A)-3),"")</f>
        <v>41.2779245283019</v>
      </c>
      <c r="AI8" s="111" t="n">
        <f aca="false">IFERROR('Price History'!N3+(INDEX('Price History'!N:N,MATCH(9.99E+307,'Price History'!$A:$A))-'Price History'!N3)*(ROW()-3)/(MATCH(9.99E+307,'Returns (Calc)'!$A:$A)-3),"")</f>
        <v>356.031698113208</v>
      </c>
      <c r="AJ8" s="111" t="n">
        <f aca="false">IFERROR('Price History'!O3+(INDEX('Price History'!O:O,MATCH(9.99E+307,'Price History'!$A:$A))-'Price History'!O3)*(ROW()-3)/(MATCH(9.99E+307,'Returns (Calc)'!$A:$A)-3),"")</f>
        <v>84.2361635220126</v>
      </c>
      <c r="AK8" s="111" t="n">
        <f aca="false">IFERROR('Price History'!Q3+(INDEX('Price History'!Q:Q,MATCH(9.99E+307,'Price History'!$A:$A))-'Price History'!Q3)*(ROW()-3)/(MATCH(9.99E+307,'Returns (Calc)'!$A:$A)-3),"")</f>
        <v>50.4651572327044</v>
      </c>
      <c r="AL8" s="111" t="n">
        <f aca="false">IFERROR('Price History'!R3+(INDEX('Price History'!R:R,MATCH(9.99E+307,'Price History'!$A:$A))-'Price History'!R3)*(ROW()-3)/(MATCH(9.99E+307,'Returns (Calc)'!$A:$A)-3),"")</f>
        <v>48.1989308176101</v>
      </c>
      <c r="AM8" s="111" t="n">
        <f aca="false">IFERROR('Price History'!S3+(INDEX('Price History'!S:S,MATCH(9.99E+307,'Price History'!$A:$A))-'Price History'!S3)*(ROW()-3)/(MATCH(9.99E+307,'Returns (Calc)'!$A:$A)-3),"")</f>
        <v>61.4072955974843</v>
      </c>
      <c r="AN8" s="111" t="n">
        <f aca="false">IFERROR('Price History'!T3+(INDEX('Price History'!T:T,MATCH(9.99E+307,'Price History'!$A:$A))-'Price History'!T3)*(ROW()-3)/(MATCH(9.99E+307,'Returns (Calc)'!$A:$A)-3),"")</f>
        <v>27.8024528301887</v>
      </c>
      <c r="AO8" s="112" t="n">
        <f aca="false">IFERROR('Price History'!V3+(INDEX('Price History'!V:V,MATCH(9.99E+307,'Price History'!$A:$A))-'Price History'!V3)*(ROW()-3)/(MATCH(9.99E+307,'Returns (Calc)'!$A:$A)-3),"")</f>
        <v>11.7946540880503</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V9" s="110" t="n">
        <f aca="false">IFERROR(IF(OR(NOT(ISNUMBER('Price History'!V10)),NOT(ISNUMBER('Price History'!V9)),'Price History'!V9=0),"",'Price History'!V10/'Price History'!V9-1),"")</f>
        <v>-0.0215858647401863</v>
      </c>
      <c r="W9" s="111" t="n">
        <f aca="false">IFERROR('Price History'!B3+(INDEX('Price History'!B:B,MATCH(9.99E+307,'Price History'!$A:$A))-'Price History'!B3)*(ROW()-3)/(MATCH(9.99E+307,'Returns (Calc)'!$A:$A)-3),"")</f>
        <v>499.320188679245</v>
      </c>
      <c r="X9" s="111" t="n">
        <f aca="false">IFERROR('Price History'!C3+(INDEX('Price History'!C:C,MATCH(9.99E+307,'Price History'!$A:$A))-'Price History'!C3)*(ROW()-3)/(MATCH(9.99E+307,'Returns (Calc)'!$A:$A)-3),"")</f>
        <v>49.4018867924528</v>
      </c>
      <c r="Y9" s="111" t="n">
        <f aca="false">IFERROR('Price History'!D3+(INDEX('Price History'!D:D,MATCH(9.99E+307,'Price History'!$A:$A))-'Price History'!D3)*(ROW()-3)/(MATCH(9.99E+307,'Returns (Calc)'!$A:$A)-3),"")</f>
        <v>701.519622641509</v>
      </c>
      <c r="Z9" s="111" t="n">
        <f aca="false">IFERROR('Price History'!E3+(INDEX('Price History'!E:E,MATCH(9.99E+307,'Price History'!$A:$A))-'Price History'!E3)*(ROW()-3)/(MATCH(9.99E+307,'Returns (Calc)'!$A:$A)-3),"")</f>
        <v>93.3543396226415</v>
      </c>
      <c r="AA9" s="111" t="n">
        <f aca="false">IFERROR('Price History'!F3+(INDEX('Price History'!F:F,MATCH(9.99E+307,'Price History'!$A:$A))-'Price History'!F3)*(ROW()-3)/(MATCH(9.99E+307,'Returns (Calc)'!$A:$A)-3),"")</f>
        <v>43.7030188679245</v>
      </c>
      <c r="AB9" s="111" t="n">
        <f aca="false">IFERROR('Price History'!G3+(INDEX('Price History'!G:G,MATCH(9.99E+307,'Price History'!$A:$A))-'Price History'!G3)*(ROW()-3)/(MATCH(9.99E+307,'Returns (Calc)'!$A:$A)-3),"")</f>
        <v>53.0962264150943</v>
      </c>
      <c r="AC9" s="111" t="n">
        <f aca="false">IFERROR('Price History'!H3+(INDEX('Price History'!H:H,MATCH(9.99E+307,'Price History'!$A:$A))-'Price History'!H3)*(ROW()-3)/(MATCH(9.99E+307,'Returns (Calc)'!$A:$A)-3),"")</f>
        <v>100.302830188679</v>
      </c>
      <c r="AD9" s="111" t="n">
        <f aca="false">IFERROR('Price History'!I3+(INDEX('Price History'!I:I,MATCH(9.99E+307,'Price History'!$A:$A))-'Price History'!I3)*(ROW()-3)/(MATCH(9.99E+307,'Returns (Calc)'!$A:$A)-3),"")</f>
        <v>48.001320754717</v>
      </c>
      <c r="AE9" s="111" t="n">
        <f aca="false">IFERROR('Price History'!J3+(INDEX('Price History'!J:J,MATCH(9.99E+307,'Price History'!$A:$A))-'Price History'!J3)*(ROW()-3)/(MATCH(9.99E+307,'Returns (Calc)'!$A:$A)-3),"")</f>
        <v>124.031886792453</v>
      </c>
      <c r="AF9" s="111" t="n">
        <f aca="false">IFERROR('Price History'!K3+(INDEX('Price History'!K:K,MATCH(9.99E+307,'Price History'!$A:$A))-'Price History'!K3)*(ROW()-3)/(MATCH(9.99E+307,'Returns (Calc)'!$A:$A)-3),"")</f>
        <v>21.4069811320755</v>
      </c>
      <c r="AG9" s="111" t="n">
        <f aca="false">IFERROR('Price History'!L3+(INDEX('Price History'!L:L,MATCH(9.99E+307,'Price History'!$A:$A))-'Price History'!L3)*(ROW()-3)/(MATCH(9.99E+307,'Returns (Calc)'!$A:$A)-3),"")</f>
        <v>104.703962264151</v>
      </c>
      <c r="AH9" s="111" t="n">
        <f aca="false">IFERROR('Price History'!M3+(INDEX('Price History'!M:M,MATCH(9.99E+307,'Price History'!$A:$A))-'Price History'!M3)*(ROW()-3)/(MATCH(9.99E+307,'Returns (Calc)'!$A:$A)-3),"")</f>
        <v>42.8315094339623</v>
      </c>
      <c r="AI9" s="111" t="n">
        <f aca="false">IFERROR('Price History'!N3+(INDEX('Price History'!N:N,MATCH(9.99E+307,'Price History'!$A:$A))-'Price History'!N3)*(ROW()-3)/(MATCH(9.99E+307,'Returns (Calc)'!$A:$A)-3),"")</f>
        <v>357.266037735849</v>
      </c>
      <c r="AJ9" s="111" t="n">
        <f aca="false">IFERROR('Price History'!O3+(INDEX('Price History'!O:O,MATCH(9.99E+307,'Price History'!$A:$A))-'Price History'!O3)*(ROW()-3)/(MATCH(9.99E+307,'Returns (Calc)'!$A:$A)-3),"")</f>
        <v>84.5133962264151</v>
      </c>
      <c r="AK9" s="111" t="n">
        <f aca="false">IFERROR('Price History'!Q3+(INDEX('Price History'!Q:Q,MATCH(9.99E+307,'Price History'!$A:$A))-'Price History'!Q3)*(ROW()-3)/(MATCH(9.99E+307,'Returns (Calc)'!$A:$A)-3),"")</f>
        <v>50.5901886792453</v>
      </c>
      <c r="AL9" s="111" t="n">
        <f aca="false">IFERROR('Price History'!R3+(INDEX('Price History'!R:R,MATCH(9.99E+307,'Price History'!$A:$A))-'Price History'!R3)*(ROW()-3)/(MATCH(9.99E+307,'Returns (Calc)'!$A:$A)-3),"")</f>
        <v>48.2747169811321</v>
      </c>
      <c r="AM9" s="111" t="n">
        <f aca="false">IFERROR('Price History'!S3+(INDEX('Price History'!S:S,MATCH(9.99E+307,'Price History'!$A:$A))-'Price History'!S3)*(ROW()-3)/(MATCH(9.99E+307,'Returns (Calc)'!$A:$A)-3),"")</f>
        <v>61.9807547169811</v>
      </c>
      <c r="AN9" s="111" t="n">
        <f aca="false">IFERROR('Price History'!T3+(INDEX('Price History'!T:T,MATCH(9.99E+307,'Price History'!$A:$A))-'Price History'!T3)*(ROW()-3)/(MATCH(9.99E+307,'Returns (Calc)'!$A:$A)-3),"")</f>
        <v>27.9809433962264</v>
      </c>
      <c r="AO9" s="112" t="n">
        <f aca="false">IFERROR('Price History'!V3+(INDEX('Price History'!V:V,MATCH(9.99E+307,'Price History'!$A:$A))-'Price History'!V3)*(ROW()-3)/(MATCH(9.99E+307,'Returns (Calc)'!$A:$A)-3),"")</f>
        <v>14.1535849056604</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V10" s="110" t="n">
        <f aca="false">IFERROR(IF(OR(NOT(ISNUMBER('Price History'!V11)),NOT(ISNUMBER('Price History'!V10)),'Price History'!V10=0),"",'Price History'!V11/'Price History'!V10-1),"")</f>
        <v>0.0218841740058715</v>
      </c>
      <c r="W10" s="111" t="n">
        <f aca="false">IFERROR('Price History'!B3+(INDEX('Price History'!B:B,MATCH(9.99E+307,'Price History'!$A:$A))-'Price History'!B3)*(ROW()-3)/(MATCH(9.99E+307,'Returns (Calc)'!$A:$A)-3),"")</f>
        <v>497.79855345912</v>
      </c>
      <c r="X10" s="111" t="n">
        <f aca="false">IFERROR('Price History'!C3+(INDEX('Price History'!C:C,MATCH(9.99E+307,'Price History'!$A:$A))-'Price History'!C3)*(ROW()-3)/(MATCH(9.99E+307,'Returns (Calc)'!$A:$A)-3),"")</f>
        <v>50.345534591195</v>
      </c>
      <c r="Y10" s="111" t="n">
        <f aca="false">IFERROR('Price History'!D3+(INDEX('Price History'!D:D,MATCH(9.99E+307,'Price History'!$A:$A))-'Price History'!D3)*(ROW()-3)/(MATCH(9.99E+307,'Returns (Calc)'!$A:$A)-3),"")</f>
        <v>708.142893081761</v>
      </c>
      <c r="Z10" s="111" t="n">
        <f aca="false">IFERROR('Price History'!E3+(INDEX('Price History'!E:E,MATCH(9.99E+307,'Price History'!$A:$A))-'Price History'!E3)*(ROW()-3)/(MATCH(9.99E+307,'Returns (Calc)'!$A:$A)-3),"")</f>
        <v>95.0833962264151</v>
      </c>
      <c r="AA10" s="111" t="n">
        <f aca="false">IFERROR('Price History'!F3+(INDEX('Price History'!F:F,MATCH(9.99E+307,'Price History'!$A:$A))-'Price History'!F3)*(ROW()-3)/(MATCH(9.99E+307,'Returns (Calc)'!$A:$A)-3),"")</f>
        <v>44.8101886792453</v>
      </c>
      <c r="AB10" s="111" t="n">
        <f aca="false">IFERROR('Price History'!G3+(INDEX('Price History'!G:G,MATCH(9.99E+307,'Price History'!$A:$A))-'Price History'!G3)*(ROW()-3)/(MATCH(9.99E+307,'Returns (Calc)'!$A:$A)-3),"")</f>
        <v>53.9622641509434</v>
      </c>
      <c r="AC10" s="111" t="n">
        <f aca="false">IFERROR('Price History'!H3+(INDEX('Price History'!H:H,MATCH(9.99E+307,'Price History'!$A:$A))-'Price History'!H3)*(ROW()-3)/(MATCH(9.99E+307,'Returns (Calc)'!$A:$A)-3),"")</f>
        <v>106.291635220126</v>
      </c>
      <c r="AD10" s="111" t="n">
        <f aca="false">IFERROR('Price History'!I3+(INDEX('Price History'!I:I,MATCH(9.99E+307,'Price History'!$A:$A))-'Price History'!I3)*(ROW()-3)/(MATCH(9.99E+307,'Returns (Calc)'!$A:$A)-3),"")</f>
        <v>49.1932075471698</v>
      </c>
      <c r="AE10" s="111" t="n">
        <f aca="false">IFERROR('Price History'!J3+(INDEX('Price History'!J:J,MATCH(9.99E+307,'Price History'!$A:$A))-'Price History'!J3)*(ROW()-3)/(MATCH(9.99E+307,'Returns (Calc)'!$A:$A)-3),"")</f>
        <v>124.118867924528</v>
      </c>
      <c r="AF10" s="111" t="n">
        <f aca="false">IFERROR('Price History'!K3+(INDEX('Price History'!K:K,MATCH(9.99E+307,'Price History'!$A:$A))-'Price History'!K3)*(ROW()-3)/(MATCH(9.99E+307,'Returns (Calc)'!$A:$A)-3),"")</f>
        <v>22.4064779874214</v>
      </c>
      <c r="AG10" s="111" t="n">
        <f aca="false">IFERROR('Price History'!L3+(INDEX('Price History'!L:L,MATCH(9.99E+307,'Price History'!$A:$A))-'Price History'!L3)*(ROW()-3)/(MATCH(9.99E+307,'Returns (Calc)'!$A:$A)-3),"")</f>
        <v>106.822955974843</v>
      </c>
      <c r="AH10" s="111" t="n">
        <f aca="false">IFERROR('Price History'!M3+(INDEX('Price History'!M:M,MATCH(9.99E+307,'Price History'!$A:$A))-'Price History'!M3)*(ROW()-3)/(MATCH(9.99E+307,'Returns (Calc)'!$A:$A)-3),"")</f>
        <v>44.3850943396226</v>
      </c>
      <c r="AI10" s="111" t="n">
        <f aca="false">IFERROR('Price History'!N3+(INDEX('Price History'!N:N,MATCH(9.99E+307,'Price History'!$A:$A))-'Price History'!N3)*(ROW()-3)/(MATCH(9.99E+307,'Returns (Calc)'!$A:$A)-3),"")</f>
        <v>358.500377358491</v>
      </c>
      <c r="AJ10" s="111" t="n">
        <f aca="false">IFERROR('Price History'!O3+(INDEX('Price History'!O:O,MATCH(9.99E+307,'Price History'!$A:$A))-'Price History'!O3)*(ROW()-3)/(MATCH(9.99E+307,'Returns (Calc)'!$A:$A)-3),"")</f>
        <v>84.7906289308176</v>
      </c>
      <c r="AK10" s="111" t="n">
        <f aca="false">IFERROR('Price History'!Q3+(INDEX('Price History'!Q:Q,MATCH(9.99E+307,'Price History'!$A:$A))-'Price History'!Q3)*(ROW()-3)/(MATCH(9.99E+307,'Returns (Calc)'!$A:$A)-3),"")</f>
        <v>50.7152201257862</v>
      </c>
      <c r="AL10" s="111" t="n">
        <f aca="false">IFERROR('Price History'!R3+(INDEX('Price History'!R:R,MATCH(9.99E+307,'Price History'!$A:$A))-'Price History'!R3)*(ROW()-3)/(MATCH(9.99E+307,'Returns (Calc)'!$A:$A)-3),"")</f>
        <v>48.3505031446541</v>
      </c>
      <c r="AM10" s="111" t="n">
        <f aca="false">IFERROR('Price History'!S3+(INDEX('Price History'!S:S,MATCH(9.99E+307,'Price History'!$A:$A))-'Price History'!S3)*(ROW()-3)/(MATCH(9.99E+307,'Returns (Calc)'!$A:$A)-3),"")</f>
        <v>62.554213836478</v>
      </c>
      <c r="AN10" s="111" t="n">
        <f aca="false">IFERROR('Price History'!T3+(INDEX('Price History'!T:T,MATCH(9.99E+307,'Price History'!$A:$A))-'Price History'!T3)*(ROW()-3)/(MATCH(9.99E+307,'Returns (Calc)'!$A:$A)-3),"")</f>
        <v>28.1594339622642</v>
      </c>
      <c r="AO10" s="112" t="n">
        <f aca="false">IFERROR('Price History'!V3+(INDEX('Price History'!V:V,MATCH(9.99E+307,'Price History'!$A:$A))-'Price History'!V3)*(ROW()-3)/(MATCH(9.99E+307,'Returns (Calc)'!$A:$A)-3),"")</f>
        <v>16.5125157232704</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V11" s="110" t="n">
        <f aca="false">IFERROR(IF(OR(NOT(ISNUMBER('Price History'!V12)),NOT(ISNUMBER('Price History'!V11)),'Price History'!V11=0),"",'Price History'!V12/'Price History'!V11-1),"")</f>
        <v>0.0111865587185513</v>
      </c>
      <c r="W11" s="111" t="n">
        <f aca="false">IFERROR('Price History'!B3+(INDEX('Price History'!B:B,MATCH(9.99E+307,'Price History'!$A:$A))-'Price History'!B3)*(ROW()-3)/(MATCH(9.99E+307,'Returns (Calc)'!$A:$A)-3),"")</f>
        <v>496.276918238994</v>
      </c>
      <c r="X11" s="111" t="n">
        <f aca="false">IFERROR('Price History'!C3+(INDEX('Price History'!C:C,MATCH(9.99E+307,'Price History'!$A:$A))-'Price History'!C3)*(ROW()-3)/(MATCH(9.99E+307,'Returns (Calc)'!$A:$A)-3),"")</f>
        <v>51.2891823899371</v>
      </c>
      <c r="Y11" s="111" t="n">
        <f aca="false">IFERROR('Price History'!D3+(INDEX('Price History'!D:D,MATCH(9.99E+307,'Price History'!$A:$A))-'Price History'!D3)*(ROW()-3)/(MATCH(9.99E+307,'Returns (Calc)'!$A:$A)-3),"")</f>
        <v>714.766163522013</v>
      </c>
      <c r="Z11" s="111" t="n">
        <f aca="false">IFERROR('Price History'!E3+(INDEX('Price History'!E:E,MATCH(9.99E+307,'Price History'!$A:$A))-'Price History'!E3)*(ROW()-3)/(MATCH(9.99E+307,'Returns (Calc)'!$A:$A)-3),"")</f>
        <v>96.8124528301887</v>
      </c>
      <c r="AA11" s="111" t="n">
        <f aca="false">IFERROR('Price History'!F3+(INDEX('Price History'!F:F,MATCH(9.99E+307,'Price History'!$A:$A))-'Price History'!F3)*(ROW()-3)/(MATCH(9.99E+307,'Returns (Calc)'!$A:$A)-3),"")</f>
        <v>45.917358490566</v>
      </c>
      <c r="AB11" s="111" t="n">
        <f aca="false">IFERROR('Price History'!G3+(INDEX('Price History'!G:G,MATCH(9.99E+307,'Price History'!$A:$A))-'Price History'!G3)*(ROW()-3)/(MATCH(9.99E+307,'Returns (Calc)'!$A:$A)-3),"")</f>
        <v>54.8283018867925</v>
      </c>
      <c r="AC11" s="111" t="n">
        <f aca="false">IFERROR('Price History'!H3+(INDEX('Price History'!H:H,MATCH(9.99E+307,'Price History'!$A:$A))-'Price History'!H3)*(ROW()-3)/(MATCH(9.99E+307,'Returns (Calc)'!$A:$A)-3),"")</f>
        <v>112.280440251572</v>
      </c>
      <c r="AD11" s="111" t="n">
        <f aca="false">IFERROR('Price History'!I3+(INDEX('Price History'!I:I,MATCH(9.99E+307,'Price History'!$A:$A))-'Price History'!I3)*(ROW()-3)/(MATCH(9.99E+307,'Returns (Calc)'!$A:$A)-3),"")</f>
        <v>50.3850943396226</v>
      </c>
      <c r="AE11" s="111" t="n">
        <f aca="false">IFERROR('Price History'!J3+(INDEX('Price History'!J:J,MATCH(9.99E+307,'Price History'!$A:$A))-'Price History'!J3)*(ROW()-3)/(MATCH(9.99E+307,'Returns (Calc)'!$A:$A)-3),"")</f>
        <v>124.205849056604</v>
      </c>
      <c r="AF11" s="111" t="n">
        <f aca="false">IFERROR('Price History'!K3+(INDEX('Price History'!K:K,MATCH(9.99E+307,'Price History'!$A:$A))-'Price History'!K3)*(ROW()-3)/(MATCH(9.99E+307,'Returns (Calc)'!$A:$A)-3),"")</f>
        <v>23.4059748427673</v>
      </c>
      <c r="AG11" s="111" t="n">
        <f aca="false">IFERROR('Price History'!L3+(INDEX('Price History'!L:L,MATCH(9.99E+307,'Price History'!$A:$A))-'Price History'!L3)*(ROW()-3)/(MATCH(9.99E+307,'Returns (Calc)'!$A:$A)-3),"")</f>
        <v>108.941949685535</v>
      </c>
      <c r="AH11" s="111" t="n">
        <f aca="false">IFERROR('Price History'!M3+(INDEX('Price History'!M:M,MATCH(9.99E+307,'Price History'!$A:$A))-'Price History'!M3)*(ROW()-3)/(MATCH(9.99E+307,'Returns (Calc)'!$A:$A)-3),"")</f>
        <v>45.938679245283</v>
      </c>
      <c r="AI11" s="111" t="n">
        <f aca="false">IFERROR('Price History'!N3+(INDEX('Price History'!N:N,MATCH(9.99E+307,'Price History'!$A:$A))-'Price History'!N3)*(ROW()-3)/(MATCH(9.99E+307,'Returns (Calc)'!$A:$A)-3),"")</f>
        <v>359.734716981132</v>
      </c>
      <c r="AJ11" s="111" t="n">
        <f aca="false">IFERROR('Price History'!O3+(INDEX('Price History'!O:O,MATCH(9.99E+307,'Price History'!$A:$A))-'Price History'!O3)*(ROW()-3)/(MATCH(9.99E+307,'Returns (Calc)'!$A:$A)-3),"")</f>
        <v>85.0678616352201</v>
      </c>
      <c r="AK11" s="111" t="n">
        <f aca="false">IFERROR('Price History'!Q3+(INDEX('Price History'!Q:Q,MATCH(9.99E+307,'Price History'!$A:$A))-'Price History'!Q3)*(ROW()-3)/(MATCH(9.99E+307,'Returns (Calc)'!$A:$A)-3),"")</f>
        <v>50.8402515723271</v>
      </c>
      <c r="AL11" s="111" t="n">
        <f aca="false">IFERROR('Price History'!R3+(INDEX('Price History'!R:R,MATCH(9.99E+307,'Price History'!$A:$A))-'Price History'!R3)*(ROW()-3)/(MATCH(9.99E+307,'Returns (Calc)'!$A:$A)-3),"")</f>
        <v>48.4262893081761</v>
      </c>
      <c r="AM11" s="111" t="n">
        <f aca="false">IFERROR('Price History'!S3+(INDEX('Price History'!S:S,MATCH(9.99E+307,'Price History'!$A:$A))-'Price History'!S3)*(ROW()-3)/(MATCH(9.99E+307,'Returns (Calc)'!$A:$A)-3),"")</f>
        <v>63.1276729559748</v>
      </c>
      <c r="AN11" s="111" t="n">
        <f aca="false">IFERROR('Price History'!T3+(INDEX('Price History'!T:T,MATCH(9.99E+307,'Price History'!$A:$A))-'Price History'!T3)*(ROW()-3)/(MATCH(9.99E+307,'Returns (Calc)'!$A:$A)-3),"")</f>
        <v>28.3379245283019</v>
      </c>
      <c r="AO11" s="112" t="n">
        <f aca="false">IFERROR('Price History'!V3+(INDEX('Price History'!V:V,MATCH(9.99E+307,'Price History'!$A:$A))-'Price History'!V3)*(ROW()-3)/(MATCH(9.99E+307,'Returns (Calc)'!$A:$A)-3),"")</f>
        <v>18.8714465408805</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V12" s="110" t="n">
        <f aca="false">IFERROR(IF(OR(NOT(ISNUMBER('Price History'!V13)),NOT(ISNUMBER('Price History'!V12)),'Price History'!V12=0),"",'Price History'!V13/'Price History'!V12-1),"")</f>
        <v>-0.0180362446730662</v>
      </c>
      <c r="W12" s="111" t="n">
        <f aca="false">IFERROR('Price History'!B3+(INDEX('Price History'!B:B,MATCH(9.99E+307,'Price History'!$A:$A))-'Price History'!B3)*(ROW()-3)/(MATCH(9.99E+307,'Returns (Calc)'!$A:$A)-3),"")</f>
        <v>494.755283018868</v>
      </c>
      <c r="X12" s="111" t="n">
        <f aca="false">IFERROR('Price History'!C3+(INDEX('Price History'!C:C,MATCH(9.99E+307,'Price History'!$A:$A))-'Price History'!C3)*(ROW()-3)/(MATCH(9.99E+307,'Returns (Calc)'!$A:$A)-3),"")</f>
        <v>52.2328301886792</v>
      </c>
      <c r="Y12" s="111" t="n">
        <f aca="false">IFERROR('Price History'!D3+(INDEX('Price History'!D:D,MATCH(9.99E+307,'Price History'!$A:$A))-'Price History'!D3)*(ROW()-3)/(MATCH(9.99E+307,'Returns (Calc)'!$A:$A)-3),"")</f>
        <v>721.389433962264</v>
      </c>
      <c r="Z12" s="111" t="n">
        <f aca="false">IFERROR('Price History'!E3+(INDEX('Price History'!E:E,MATCH(9.99E+307,'Price History'!$A:$A))-'Price History'!E3)*(ROW()-3)/(MATCH(9.99E+307,'Returns (Calc)'!$A:$A)-3),"")</f>
        <v>98.5415094339623</v>
      </c>
      <c r="AA12" s="111" t="n">
        <f aca="false">IFERROR('Price History'!F3+(INDEX('Price History'!F:F,MATCH(9.99E+307,'Price History'!$A:$A))-'Price History'!F3)*(ROW()-3)/(MATCH(9.99E+307,'Returns (Calc)'!$A:$A)-3),"")</f>
        <v>47.0245283018868</v>
      </c>
      <c r="AB12" s="111" t="n">
        <f aca="false">IFERROR('Price History'!G3+(INDEX('Price History'!G:G,MATCH(9.99E+307,'Price History'!$A:$A))-'Price History'!G3)*(ROW()-3)/(MATCH(9.99E+307,'Returns (Calc)'!$A:$A)-3),"")</f>
        <v>55.6943396226415</v>
      </c>
      <c r="AC12" s="111" t="n">
        <f aca="false">IFERROR('Price History'!H3+(INDEX('Price History'!H:H,MATCH(9.99E+307,'Price History'!$A:$A))-'Price History'!H3)*(ROW()-3)/(MATCH(9.99E+307,'Returns (Calc)'!$A:$A)-3),"")</f>
        <v>118.269245283019</v>
      </c>
      <c r="AD12" s="111" t="n">
        <f aca="false">IFERROR('Price History'!I3+(INDEX('Price History'!I:I,MATCH(9.99E+307,'Price History'!$A:$A))-'Price History'!I3)*(ROW()-3)/(MATCH(9.99E+307,'Returns (Calc)'!$A:$A)-3),"")</f>
        <v>51.5769811320755</v>
      </c>
      <c r="AE12" s="111" t="n">
        <f aca="false">IFERROR('Price History'!J3+(INDEX('Price History'!J:J,MATCH(9.99E+307,'Price History'!$A:$A))-'Price History'!J3)*(ROW()-3)/(MATCH(9.99E+307,'Returns (Calc)'!$A:$A)-3),"")</f>
        <v>124.292830188679</v>
      </c>
      <c r="AF12" s="111" t="n">
        <f aca="false">IFERROR('Price History'!K3+(INDEX('Price History'!K:K,MATCH(9.99E+307,'Price History'!$A:$A))-'Price History'!K3)*(ROW()-3)/(MATCH(9.99E+307,'Returns (Calc)'!$A:$A)-3),"")</f>
        <v>24.4054716981132</v>
      </c>
      <c r="AG12" s="111" t="n">
        <f aca="false">IFERROR('Price History'!L3+(INDEX('Price History'!L:L,MATCH(9.99E+307,'Price History'!$A:$A))-'Price History'!L3)*(ROW()-3)/(MATCH(9.99E+307,'Returns (Calc)'!$A:$A)-3),"")</f>
        <v>111.060943396226</v>
      </c>
      <c r="AH12" s="111" t="n">
        <f aca="false">IFERROR('Price History'!M3+(INDEX('Price History'!M:M,MATCH(9.99E+307,'Price History'!$A:$A))-'Price History'!M3)*(ROW()-3)/(MATCH(9.99E+307,'Returns (Calc)'!$A:$A)-3),"")</f>
        <v>47.4922641509434</v>
      </c>
      <c r="AI12" s="111" t="n">
        <f aca="false">IFERROR('Price History'!N3+(INDEX('Price History'!N:N,MATCH(9.99E+307,'Price History'!$A:$A))-'Price History'!N3)*(ROW()-3)/(MATCH(9.99E+307,'Returns (Calc)'!$A:$A)-3),"")</f>
        <v>360.969056603774</v>
      </c>
      <c r="AJ12" s="111" t="n">
        <f aca="false">IFERROR('Price History'!O3+(INDEX('Price History'!O:O,MATCH(9.99E+307,'Price History'!$A:$A))-'Price History'!O3)*(ROW()-3)/(MATCH(9.99E+307,'Returns (Calc)'!$A:$A)-3),"")</f>
        <v>85.3450943396226</v>
      </c>
      <c r="AK12" s="111" t="n">
        <f aca="false">IFERROR('Price History'!Q3+(INDEX('Price History'!Q:Q,MATCH(9.99E+307,'Price History'!$A:$A))-'Price History'!Q3)*(ROW()-3)/(MATCH(9.99E+307,'Returns (Calc)'!$A:$A)-3),"")</f>
        <v>50.9652830188679</v>
      </c>
      <c r="AL12" s="111" t="n">
        <f aca="false">IFERROR('Price History'!R3+(INDEX('Price History'!R:R,MATCH(9.99E+307,'Price History'!$A:$A))-'Price History'!R3)*(ROW()-3)/(MATCH(9.99E+307,'Returns (Calc)'!$A:$A)-3),"")</f>
        <v>48.5020754716981</v>
      </c>
      <c r="AM12" s="111" t="n">
        <f aca="false">IFERROR('Price History'!S3+(INDEX('Price History'!S:S,MATCH(9.99E+307,'Price History'!$A:$A))-'Price History'!S3)*(ROW()-3)/(MATCH(9.99E+307,'Returns (Calc)'!$A:$A)-3),"")</f>
        <v>63.7011320754717</v>
      </c>
      <c r="AN12" s="111" t="n">
        <f aca="false">IFERROR('Price History'!T3+(INDEX('Price History'!T:T,MATCH(9.99E+307,'Price History'!$A:$A))-'Price History'!T3)*(ROW()-3)/(MATCH(9.99E+307,'Returns (Calc)'!$A:$A)-3),"")</f>
        <v>28.5164150943396</v>
      </c>
      <c r="AO12" s="112" t="n">
        <f aca="false">IFERROR('Price History'!V3+(INDEX('Price History'!V:V,MATCH(9.99E+307,'Price History'!$A:$A))-'Price History'!V3)*(ROW()-3)/(MATCH(9.99E+307,'Returns (Calc)'!$A:$A)-3),"")</f>
        <v>21.2303773584906</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V13" s="110" t="n">
        <f aca="false">IFERROR(IF(OR(NOT(ISNUMBER('Price History'!V14)),NOT(ISNUMBER('Price History'!V13)),'Price History'!V13=0),"",'Price History'!V14/'Price History'!V13-1),"")</f>
        <v>-0.0176223040504998</v>
      </c>
      <c r="W13" s="111" t="n">
        <f aca="false">IFERROR('Price History'!B3+(INDEX('Price History'!B:B,MATCH(9.99E+307,'Price History'!$A:$A))-'Price History'!B3)*(ROW()-3)/(MATCH(9.99E+307,'Returns (Calc)'!$A:$A)-3),"")</f>
        <v>493.233647798742</v>
      </c>
      <c r="X13" s="111" t="n">
        <f aca="false">IFERROR('Price History'!C3+(INDEX('Price History'!C:C,MATCH(9.99E+307,'Price History'!$A:$A))-'Price History'!C3)*(ROW()-3)/(MATCH(9.99E+307,'Returns (Calc)'!$A:$A)-3),"")</f>
        <v>53.1764779874214</v>
      </c>
      <c r="Y13" s="111" t="n">
        <f aca="false">IFERROR('Price History'!D3+(INDEX('Price History'!D:D,MATCH(9.99E+307,'Price History'!$A:$A))-'Price History'!D3)*(ROW()-3)/(MATCH(9.99E+307,'Returns (Calc)'!$A:$A)-3),"")</f>
        <v>728.012704402516</v>
      </c>
      <c r="Z13" s="111" t="n">
        <f aca="false">IFERROR('Price History'!E3+(INDEX('Price History'!E:E,MATCH(9.99E+307,'Price History'!$A:$A))-'Price History'!E3)*(ROW()-3)/(MATCH(9.99E+307,'Returns (Calc)'!$A:$A)-3),"")</f>
        <v>100.270566037736</v>
      </c>
      <c r="AA13" s="111" t="n">
        <f aca="false">IFERROR('Price History'!F3+(INDEX('Price History'!F:F,MATCH(9.99E+307,'Price History'!$A:$A))-'Price History'!F3)*(ROW()-3)/(MATCH(9.99E+307,'Returns (Calc)'!$A:$A)-3),"")</f>
        <v>48.1316981132076</v>
      </c>
      <c r="AB13" s="111" t="n">
        <f aca="false">IFERROR('Price History'!G3+(INDEX('Price History'!G:G,MATCH(9.99E+307,'Price History'!$A:$A))-'Price History'!G3)*(ROW()-3)/(MATCH(9.99E+307,'Returns (Calc)'!$A:$A)-3),"")</f>
        <v>56.5603773584906</v>
      </c>
      <c r="AC13" s="111" t="n">
        <f aca="false">IFERROR('Price History'!H3+(INDEX('Price History'!H:H,MATCH(9.99E+307,'Price History'!$A:$A))-'Price History'!H3)*(ROW()-3)/(MATCH(9.99E+307,'Returns (Calc)'!$A:$A)-3),"")</f>
        <v>124.258050314465</v>
      </c>
      <c r="AD13" s="111" t="n">
        <f aca="false">IFERROR('Price History'!I3+(INDEX('Price History'!I:I,MATCH(9.99E+307,'Price History'!$A:$A))-'Price History'!I3)*(ROW()-3)/(MATCH(9.99E+307,'Returns (Calc)'!$A:$A)-3),"")</f>
        <v>52.7688679245283</v>
      </c>
      <c r="AE13" s="111" t="n">
        <f aca="false">IFERROR('Price History'!J3+(INDEX('Price History'!J:J,MATCH(9.99E+307,'Price History'!$A:$A))-'Price History'!J3)*(ROW()-3)/(MATCH(9.99E+307,'Returns (Calc)'!$A:$A)-3),"")</f>
        <v>124.379811320755</v>
      </c>
      <c r="AF13" s="111" t="n">
        <f aca="false">IFERROR('Price History'!K3+(INDEX('Price History'!K:K,MATCH(9.99E+307,'Price History'!$A:$A))-'Price History'!K3)*(ROW()-3)/(MATCH(9.99E+307,'Returns (Calc)'!$A:$A)-3),"")</f>
        <v>25.4049685534591</v>
      </c>
      <c r="AG13" s="111" t="n">
        <f aca="false">IFERROR('Price History'!L3+(INDEX('Price History'!L:L,MATCH(9.99E+307,'Price History'!$A:$A))-'Price History'!L3)*(ROW()-3)/(MATCH(9.99E+307,'Returns (Calc)'!$A:$A)-3),"")</f>
        <v>113.179937106918</v>
      </c>
      <c r="AH13" s="111" t="n">
        <f aca="false">IFERROR('Price History'!M3+(INDEX('Price History'!M:M,MATCH(9.99E+307,'Price History'!$A:$A))-'Price History'!M3)*(ROW()-3)/(MATCH(9.99E+307,'Returns (Calc)'!$A:$A)-3),"")</f>
        <v>49.0458490566038</v>
      </c>
      <c r="AI13" s="111" t="n">
        <f aca="false">IFERROR('Price History'!N3+(INDEX('Price History'!N:N,MATCH(9.99E+307,'Price History'!$A:$A))-'Price History'!N3)*(ROW()-3)/(MATCH(9.99E+307,'Returns (Calc)'!$A:$A)-3),"")</f>
        <v>362.203396226415</v>
      </c>
      <c r="AJ13" s="111" t="n">
        <f aca="false">IFERROR('Price History'!O3+(INDEX('Price History'!O:O,MATCH(9.99E+307,'Price History'!$A:$A))-'Price History'!O3)*(ROW()-3)/(MATCH(9.99E+307,'Returns (Calc)'!$A:$A)-3),"")</f>
        <v>85.6223270440252</v>
      </c>
      <c r="AK13" s="111" t="n">
        <f aca="false">IFERROR('Price History'!Q3+(INDEX('Price History'!Q:Q,MATCH(9.99E+307,'Price History'!$A:$A))-'Price History'!Q3)*(ROW()-3)/(MATCH(9.99E+307,'Returns (Calc)'!$A:$A)-3),"")</f>
        <v>51.0903144654088</v>
      </c>
      <c r="AL13" s="111" t="n">
        <f aca="false">IFERROR('Price History'!R3+(INDEX('Price History'!R:R,MATCH(9.99E+307,'Price History'!$A:$A))-'Price History'!R3)*(ROW()-3)/(MATCH(9.99E+307,'Returns (Calc)'!$A:$A)-3),"")</f>
        <v>48.5778616352201</v>
      </c>
      <c r="AM13" s="111" t="n">
        <f aca="false">IFERROR('Price History'!S3+(INDEX('Price History'!S:S,MATCH(9.99E+307,'Price History'!$A:$A))-'Price History'!S3)*(ROW()-3)/(MATCH(9.99E+307,'Returns (Calc)'!$A:$A)-3),"")</f>
        <v>64.2745911949686</v>
      </c>
      <c r="AN13" s="111" t="n">
        <f aca="false">IFERROR('Price History'!T3+(INDEX('Price History'!T:T,MATCH(9.99E+307,'Price History'!$A:$A))-'Price History'!T3)*(ROW()-3)/(MATCH(9.99E+307,'Returns (Calc)'!$A:$A)-3),"")</f>
        <v>28.6949056603774</v>
      </c>
      <c r="AO13" s="112" t="n">
        <f aca="false">IFERROR('Price History'!V3+(INDEX('Price History'!V:V,MATCH(9.99E+307,'Price History'!$A:$A))-'Price History'!V3)*(ROW()-3)/(MATCH(9.99E+307,'Returns (Calc)'!$A:$A)-3),"")</f>
        <v>23.5893081761006</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V14" s="110" t="n">
        <f aca="false">IFERROR(IF(OR(NOT(ISNUMBER('Price History'!V15)),NOT(ISNUMBER('Price History'!V14)),'Price History'!V14=0),"",'Price History'!V15/'Price History'!V14-1),"")</f>
        <v>0.062516733601071</v>
      </c>
      <c r="W14" s="111" t="n">
        <f aca="false">IFERROR('Price History'!B3+(INDEX('Price History'!B:B,MATCH(9.99E+307,'Price History'!$A:$A))-'Price History'!B3)*(ROW()-3)/(MATCH(9.99E+307,'Returns (Calc)'!$A:$A)-3),"")</f>
        <v>491.712012578616</v>
      </c>
      <c r="X14" s="111" t="n">
        <f aca="false">IFERROR('Price History'!C3+(INDEX('Price History'!C:C,MATCH(9.99E+307,'Price History'!$A:$A))-'Price History'!C3)*(ROW()-3)/(MATCH(9.99E+307,'Returns (Calc)'!$A:$A)-3),"")</f>
        <v>54.1201257861635</v>
      </c>
      <c r="Y14" s="111" t="n">
        <f aca="false">IFERROR('Price History'!D3+(INDEX('Price History'!D:D,MATCH(9.99E+307,'Price History'!$A:$A))-'Price History'!D3)*(ROW()-3)/(MATCH(9.99E+307,'Returns (Calc)'!$A:$A)-3),"")</f>
        <v>734.635974842767</v>
      </c>
      <c r="Z14" s="111" t="n">
        <f aca="false">IFERROR('Price History'!E3+(INDEX('Price History'!E:E,MATCH(9.99E+307,'Price History'!$A:$A))-'Price History'!E3)*(ROW()-3)/(MATCH(9.99E+307,'Returns (Calc)'!$A:$A)-3),"")</f>
        <v>101.999622641509</v>
      </c>
      <c r="AA14" s="111" t="n">
        <f aca="false">IFERROR('Price History'!F3+(INDEX('Price History'!F:F,MATCH(9.99E+307,'Price History'!$A:$A))-'Price History'!F3)*(ROW()-3)/(MATCH(9.99E+307,'Returns (Calc)'!$A:$A)-3),"")</f>
        <v>49.2388679245283</v>
      </c>
      <c r="AB14" s="111" t="n">
        <f aca="false">IFERROR('Price History'!G3+(INDEX('Price History'!G:G,MATCH(9.99E+307,'Price History'!$A:$A))-'Price History'!G3)*(ROW()-3)/(MATCH(9.99E+307,'Returns (Calc)'!$A:$A)-3),"")</f>
        <v>57.4264150943396</v>
      </c>
      <c r="AC14" s="111" t="n">
        <f aca="false">IFERROR('Price History'!H3+(INDEX('Price History'!H:H,MATCH(9.99E+307,'Price History'!$A:$A))-'Price History'!H3)*(ROW()-3)/(MATCH(9.99E+307,'Returns (Calc)'!$A:$A)-3),"")</f>
        <v>130.246855345912</v>
      </c>
      <c r="AD14" s="111" t="n">
        <f aca="false">IFERROR('Price History'!I3+(INDEX('Price History'!I:I,MATCH(9.99E+307,'Price History'!$A:$A))-'Price History'!I3)*(ROW()-3)/(MATCH(9.99E+307,'Returns (Calc)'!$A:$A)-3),"")</f>
        <v>53.9607547169811</v>
      </c>
      <c r="AE14" s="111" t="n">
        <f aca="false">IFERROR('Price History'!J3+(INDEX('Price History'!J:J,MATCH(9.99E+307,'Price History'!$A:$A))-'Price History'!J3)*(ROW()-3)/(MATCH(9.99E+307,'Returns (Calc)'!$A:$A)-3),"")</f>
        <v>124.46679245283</v>
      </c>
      <c r="AF14" s="111" t="n">
        <f aca="false">IFERROR('Price History'!K3+(INDEX('Price History'!K:K,MATCH(9.99E+307,'Price History'!$A:$A))-'Price History'!K3)*(ROW()-3)/(MATCH(9.99E+307,'Returns (Calc)'!$A:$A)-3),"")</f>
        <v>26.404465408805</v>
      </c>
      <c r="AG14" s="111" t="n">
        <f aca="false">IFERROR('Price History'!L3+(INDEX('Price History'!L:L,MATCH(9.99E+307,'Price History'!$A:$A))-'Price History'!L3)*(ROW()-3)/(MATCH(9.99E+307,'Returns (Calc)'!$A:$A)-3),"")</f>
        <v>115.29893081761</v>
      </c>
      <c r="AH14" s="111" t="n">
        <f aca="false">IFERROR('Price History'!M3+(INDEX('Price History'!M:M,MATCH(9.99E+307,'Price History'!$A:$A))-'Price History'!M3)*(ROW()-3)/(MATCH(9.99E+307,'Returns (Calc)'!$A:$A)-3),"")</f>
        <v>50.5994339622641</v>
      </c>
      <c r="AI14" s="111" t="n">
        <f aca="false">IFERROR('Price History'!N3+(INDEX('Price History'!N:N,MATCH(9.99E+307,'Price History'!$A:$A))-'Price History'!N3)*(ROW()-3)/(MATCH(9.99E+307,'Returns (Calc)'!$A:$A)-3),"")</f>
        <v>363.437735849057</v>
      </c>
      <c r="AJ14" s="111" t="n">
        <f aca="false">IFERROR('Price History'!O3+(INDEX('Price History'!O:O,MATCH(9.99E+307,'Price History'!$A:$A))-'Price History'!O3)*(ROW()-3)/(MATCH(9.99E+307,'Returns (Calc)'!$A:$A)-3),"")</f>
        <v>85.8995597484277</v>
      </c>
      <c r="AK14" s="111" t="n">
        <f aca="false">IFERROR('Price History'!Q3+(INDEX('Price History'!Q:Q,MATCH(9.99E+307,'Price History'!$A:$A))-'Price History'!Q3)*(ROW()-3)/(MATCH(9.99E+307,'Returns (Calc)'!$A:$A)-3),"")</f>
        <v>51.2153459119497</v>
      </c>
      <c r="AL14" s="111" t="n">
        <f aca="false">IFERROR('Price History'!R3+(INDEX('Price History'!R:R,MATCH(9.99E+307,'Price History'!$A:$A))-'Price History'!R3)*(ROW()-3)/(MATCH(9.99E+307,'Returns (Calc)'!$A:$A)-3),"")</f>
        <v>48.6536477987421</v>
      </c>
      <c r="AM14" s="111" t="n">
        <f aca="false">IFERROR('Price History'!S3+(INDEX('Price History'!S:S,MATCH(9.99E+307,'Price History'!$A:$A))-'Price History'!S3)*(ROW()-3)/(MATCH(9.99E+307,'Returns (Calc)'!$A:$A)-3),"")</f>
        <v>64.8480503144654</v>
      </c>
      <c r="AN14" s="111" t="n">
        <f aca="false">IFERROR('Price History'!T3+(INDEX('Price History'!T:T,MATCH(9.99E+307,'Price History'!$A:$A))-'Price History'!T3)*(ROW()-3)/(MATCH(9.99E+307,'Returns (Calc)'!$A:$A)-3),"")</f>
        <v>28.8733962264151</v>
      </c>
      <c r="AO14" s="112" t="n">
        <f aca="false">IFERROR('Price History'!V3+(INDEX('Price History'!V:V,MATCH(9.99E+307,'Price History'!$A:$A))-'Price History'!V3)*(ROW()-3)/(MATCH(9.99E+307,'Returns (Calc)'!$A:$A)-3),"")</f>
        <v>25.9482389937107</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V15" s="110" t="n">
        <f aca="false">IFERROR(IF(OR(NOT(ISNUMBER('Price History'!V16)),NOT(ISNUMBER('Price History'!V15)),'Price History'!V15=0),"",'Price History'!V16/'Price History'!V15-1),"")</f>
        <v>0.00890344798622467</v>
      </c>
      <c r="W15" s="111" t="n">
        <f aca="false">IFERROR('Price History'!B3+(INDEX('Price History'!B:B,MATCH(9.99E+307,'Price History'!$A:$A))-'Price History'!B3)*(ROW()-3)/(MATCH(9.99E+307,'Returns (Calc)'!$A:$A)-3),"")</f>
        <v>490.190377358491</v>
      </c>
      <c r="X15" s="111" t="n">
        <f aca="false">IFERROR('Price History'!C3+(INDEX('Price History'!C:C,MATCH(9.99E+307,'Price History'!$A:$A))-'Price History'!C3)*(ROW()-3)/(MATCH(9.99E+307,'Returns (Calc)'!$A:$A)-3),"")</f>
        <v>55.0637735849057</v>
      </c>
      <c r="Y15" s="111" t="n">
        <f aca="false">IFERROR('Price History'!D3+(INDEX('Price History'!D:D,MATCH(9.99E+307,'Price History'!$A:$A))-'Price History'!D3)*(ROW()-3)/(MATCH(9.99E+307,'Returns (Calc)'!$A:$A)-3),"")</f>
        <v>741.259245283019</v>
      </c>
      <c r="Z15" s="111" t="n">
        <f aca="false">IFERROR('Price History'!E3+(INDEX('Price History'!E:E,MATCH(9.99E+307,'Price History'!$A:$A))-'Price History'!E3)*(ROW()-3)/(MATCH(9.99E+307,'Returns (Calc)'!$A:$A)-3),"")</f>
        <v>103.728679245283</v>
      </c>
      <c r="AA15" s="111" t="n">
        <f aca="false">IFERROR('Price History'!F3+(INDEX('Price History'!F:F,MATCH(9.99E+307,'Price History'!$A:$A))-'Price History'!F3)*(ROW()-3)/(MATCH(9.99E+307,'Returns (Calc)'!$A:$A)-3),"")</f>
        <v>50.3460377358491</v>
      </c>
      <c r="AB15" s="111" t="n">
        <f aca="false">IFERROR('Price History'!G3+(INDEX('Price History'!G:G,MATCH(9.99E+307,'Price History'!$A:$A))-'Price History'!G3)*(ROW()-3)/(MATCH(9.99E+307,'Returns (Calc)'!$A:$A)-3),"")</f>
        <v>58.2924528301887</v>
      </c>
      <c r="AC15" s="111" t="n">
        <f aca="false">IFERROR('Price History'!H3+(INDEX('Price History'!H:H,MATCH(9.99E+307,'Price History'!$A:$A))-'Price History'!H3)*(ROW()-3)/(MATCH(9.99E+307,'Returns (Calc)'!$A:$A)-3),"")</f>
        <v>136.235660377359</v>
      </c>
      <c r="AD15" s="111" t="n">
        <f aca="false">IFERROR('Price History'!I3+(INDEX('Price History'!I:I,MATCH(9.99E+307,'Price History'!$A:$A))-'Price History'!I3)*(ROW()-3)/(MATCH(9.99E+307,'Returns (Calc)'!$A:$A)-3),"")</f>
        <v>55.152641509434</v>
      </c>
      <c r="AE15" s="111" t="n">
        <f aca="false">IFERROR('Price History'!J3+(INDEX('Price History'!J:J,MATCH(9.99E+307,'Price History'!$A:$A))-'Price History'!J3)*(ROW()-3)/(MATCH(9.99E+307,'Returns (Calc)'!$A:$A)-3),"")</f>
        <v>124.553773584906</v>
      </c>
      <c r="AF15" s="111" t="n">
        <f aca="false">IFERROR('Price History'!K3+(INDEX('Price History'!K:K,MATCH(9.99E+307,'Price History'!$A:$A))-'Price History'!K3)*(ROW()-3)/(MATCH(9.99E+307,'Returns (Calc)'!$A:$A)-3),"")</f>
        <v>27.4039622641509</v>
      </c>
      <c r="AG15" s="111" t="n">
        <f aca="false">IFERROR('Price History'!L3+(INDEX('Price History'!L:L,MATCH(9.99E+307,'Price History'!$A:$A))-'Price History'!L3)*(ROW()-3)/(MATCH(9.99E+307,'Returns (Calc)'!$A:$A)-3),"")</f>
        <v>117.417924528302</v>
      </c>
      <c r="AH15" s="111" t="n">
        <f aca="false">IFERROR('Price History'!M3+(INDEX('Price History'!M:M,MATCH(9.99E+307,'Price History'!$A:$A))-'Price History'!M3)*(ROW()-3)/(MATCH(9.99E+307,'Returns (Calc)'!$A:$A)-3),"")</f>
        <v>52.1530188679245</v>
      </c>
      <c r="AI15" s="111" t="n">
        <f aca="false">IFERROR('Price History'!N3+(INDEX('Price History'!N:N,MATCH(9.99E+307,'Price History'!$A:$A))-'Price History'!N3)*(ROW()-3)/(MATCH(9.99E+307,'Returns (Calc)'!$A:$A)-3),"")</f>
        <v>364.672075471698</v>
      </c>
      <c r="AJ15" s="111" t="n">
        <f aca="false">IFERROR('Price History'!O3+(INDEX('Price History'!O:O,MATCH(9.99E+307,'Price History'!$A:$A))-'Price History'!O3)*(ROW()-3)/(MATCH(9.99E+307,'Returns (Calc)'!$A:$A)-3),"")</f>
        <v>86.1767924528302</v>
      </c>
      <c r="AK15" s="111" t="n">
        <f aca="false">IFERROR('Price History'!Q3+(INDEX('Price History'!Q:Q,MATCH(9.99E+307,'Price History'!$A:$A))-'Price History'!Q3)*(ROW()-3)/(MATCH(9.99E+307,'Returns (Calc)'!$A:$A)-3),"")</f>
        <v>51.3403773584906</v>
      </c>
      <c r="AL15" s="111" t="n">
        <f aca="false">IFERROR('Price History'!R3+(INDEX('Price History'!R:R,MATCH(9.99E+307,'Price History'!$A:$A))-'Price History'!R3)*(ROW()-3)/(MATCH(9.99E+307,'Returns (Calc)'!$A:$A)-3),"")</f>
        <v>48.7294339622642</v>
      </c>
      <c r="AM15" s="111" t="n">
        <f aca="false">IFERROR('Price History'!S3+(INDEX('Price History'!S:S,MATCH(9.99E+307,'Price History'!$A:$A))-'Price History'!S3)*(ROW()-3)/(MATCH(9.99E+307,'Returns (Calc)'!$A:$A)-3),"")</f>
        <v>65.4215094339623</v>
      </c>
      <c r="AN15" s="111" t="n">
        <f aca="false">IFERROR('Price History'!T3+(INDEX('Price History'!T:T,MATCH(9.99E+307,'Price History'!$A:$A))-'Price History'!T3)*(ROW()-3)/(MATCH(9.99E+307,'Returns (Calc)'!$A:$A)-3),"")</f>
        <v>29.0518867924528</v>
      </c>
      <c r="AO15" s="112" t="n">
        <f aca="false">IFERROR('Price History'!V3+(INDEX('Price History'!V:V,MATCH(9.99E+307,'Price History'!$A:$A))-'Price History'!V3)*(ROW()-3)/(MATCH(9.99E+307,'Returns (Calc)'!$A:$A)-3),"")</f>
        <v>28.3071698113208</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V16" s="110" t="n">
        <f aca="false">IFERROR(IF(OR(NOT(ISNUMBER('Price History'!V17)),NOT(ISNUMBER('Price History'!V16)),'Price History'!V16=0),"",'Price History'!V17/'Price History'!V16-1),"")</f>
        <v>0.0175664987720101</v>
      </c>
      <c r="W16" s="111" t="n">
        <f aca="false">IFERROR('Price History'!B3+(INDEX('Price History'!B:B,MATCH(9.99E+307,'Price History'!$A:$A))-'Price History'!B3)*(ROW()-3)/(MATCH(9.99E+307,'Returns (Calc)'!$A:$A)-3),"")</f>
        <v>488.668742138365</v>
      </c>
      <c r="X16" s="111" t="n">
        <f aca="false">IFERROR('Price History'!C3+(INDEX('Price History'!C:C,MATCH(9.99E+307,'Price History'!$A:$A))-'Price History'!C3)*(ROW()-3)/(MATCH(9.99E+307,'Returns (Calc)'!$A:$A)-3),"")</f>
        <v>56.0074213836478</v>
      </c>
      <c r="Y16" s="111" t="n">
        <f aca="false">IFERROR('Price History'!D3+(INDEX('Price History'!D:D,MATCH(9.99E+307,'Price History'!$A:$A))-'Price History'!D3)*(ROW()-3)/(MATCH(9.99E+307,'Returns (Calc)'!$A:$A)-3),"")</f>
        <v>747.88251572327</v>
      </c>
      <c r="Z16" s="111" t="n">
        <f aca="false">IFERROR('Price History'!E3+(INDEX('Price History'!E:E,MATCH(9.99E+307,'Price History'!$A:$A))-'Price History'!E3)*(ROW()-3)/(MATCH(9.99E+307,'Returns (Calc)'!$A:$A)-3),"")</f>
        <v>105.457735849057</v>
      </c>
      <c r="AA16" s="111" t="n">
        <f aca="false">IFERROR('Price History'!F3+(INDEX('Price History'!F:F,MATCH(9.99E+307,'Price History'!$A:$A))-'Price History'!F3)*(ROW()-3)/(MATCH(9.99E+307,'Returns (Calc)'!$A:$A)-3),"")</f>
        <v>51.4532075471698</v>
      </c>
      <c r="AB16" s="111" t="n">
        <f aca="false">IFERROR('Price History'!G3+(INDEX('Price History'!G:G,MATCH(9.99E+307,'Price History'!$A:$A))-'Price History'!G3)*(ROW()-3)/(MATCH(9.99E+307,'Returns (Calc)'!$A:$A)-3),"")</f>
        <v>59.1584905660377</v>
      </c>
      <c r="AC16" s="111" t="n">
        <f aca="false">IFERROR('Price History'!H3+(INDEX('Price History'!H:H,MATCH(9.99E+307,'Price History'!$A:$A))-'Price History'!H3)*(ROW()-3)/(MATCH(9.99E+307,'Returns (Calc)'!$A:$A)-3),"")</f>
        <v>142.224465408805</v>
      </c>
      <c r="AD16" s="111" t="n">
        <f aca="false">IFERROR('Price History'!I3+(INDEX('Price History'!I:I,MATCH(9.99E+307,'Price History'!$A:$A))-'Price History'!I3)*(ROW()-3)/(MATCH(9.99E+307,'Returns (Calc)'!$A:$A)-3),"")</f>
        <v>56.3445283018868</v>
      </c>
      <c r="AE16" s="111" t="n">
        <f aca="false">IFERROR('Price History'!J3+(INDEX('Price History'!J:J,MATCH(9.99E+307,'Price History'!$A:$A))-'Price History'!J3)*(ROW()-3)/(MATCH(9.99E+307,'Returns (Calc)'!$A:$A)-3),"")</f>
        <v>124.640754716981</v>
      </c>
      <c r="AF16" s="111" t="n">
        <f aca="false">IFERROR('Price History'!K3+(INDEX('Price History'!K:K,MATCH(9.99E+307,'Price History'!$A:$A))-'Price History'!K3)*(ROW()-3)/(MATCH(9.99E+307,'Returns (Calc)'!$A:$A)-3),"")</f>
        <v>28.4034591194969</v>
      </c>
      <c r="AG16" s="111" t="n">
        <f aca="false">IFERROR('Price History'!L3+(INDEX('Price History'!L:L,MATCH(9.99E+307,'Price History'!$A:$A))-'Price History'!L3)*(ROW()-3)/(MATCH(9.99E+307,'Returns (Calc)'!$A:$A)-3),"")</f>
        <v>119.536918238994</v>
      </c>
      <c r="AH16" s="111" t="n">
        <f aca="false">IFERROR('Price History'!M3+(INDEX('Price History'!M:M,MATCH(9.99E+307,'Price History'!$A:$A))-'Price History'!M3)*(ROW()-3)/(MATCH(9.99E+307,'Returns (Calc)'!$A:$A)-3),"")</f>
        <v>53.7066037735849</v>
      </c>
      <c r="AI16" s="111" t="n">
        <f aca="false">IFERROR('Price History'!N3+(INDEX('Price History'!N:N,MATCH(9.99E+307,'Price History'!$A:$A))-'Price History'!N3)*(ROW()-3)/(MATCH(9.99E+307,'Returns (Calc)'!$A:$A)-3),"")</f>
        <v>365.90641509434</v>
      </c>
      <c r="AJ16" s="111" t="n">
        <f aca="false">IFERROR('Price History'!O3+(INDEX('Price History'!O:O,MATCH(9.99E+307,'Price History'!$A:$A))-'Price History'!O3)*(ROW()-3)/(MATCH(9.99E+307,'Returns (Calc)'!$A:$A)-3),"")</f>
        <v>86.4540251572327</v>
      </c>
      <c r="AK16" s="111" t="n">
        <f aca="false">IFERROR('Price History'!Q3+(INDEX('Price History'!Q:Q,MATCH(9.99E+307,'Price History'!$A:$A))-'Price History'!Q3)*(ROW()-3)/(MATCH(9.99E+307,'Returns (Calc)'!$A:$A)-3),"")</f>
        <v>51.4654088050315</v>
      </c>
      <c r="AL16" s="111" t="n">
        <f aca="false">IFERROR('Price History'!R3+(INDEX('Price History'!R:R,MATCH(9.99E+307,'Price History'!$A:$A))-'Price History'!R3)*(ROW()-3)/(MATCH(9.99E+307,'Returns (Calc)'!$A:$A)-3),"")</f>
        <v>48.8052201257862</v>
      </c>
      <c r="AM16" s="111" t="n">
        <f aca="false">IFERROR('Price History'!S3+(INDEX('Price History'!S:S,MATCH(9.99E+307,'Price History'!$A:$A))-'Price History'!S3)*(ROW()-3)/(MATCH(9.99E+307,'Returns (Calc)'!$A:$A)-3),"")</f>
        <v>65.9949685534591</v>
      </c>
      <c r="AN16" s="111" t="n">
        <f aca="false">IFERROR('Price History'!T3+(INDEX('Price History'!T:T,MATCH(9.99E+307,'Price History'!$A:$A))-'Price History'!T3)*(ROW()-3)/(MATCH(9.99E+307,'Returns (Calc)'!$A:$A)-3),"")</f>
        <v>29.2303773584906</v>
      </c>
      <c r="AO16" s="112" t="n">
        <f aca="false">IFERROR('Price History'!V3+(INDEX('Price History'!V:V,MATCH(9.99E+307,'Price History'!$A:$A))-'Price History'!V3)*(ROW()-3)/(MATCH(9.99E+307,'Returns (Calc)'!$A:$A)-3),"")</f>
        <v>30.6661006289308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V17" s="110" t="n">
        <f aca="false">IFERROR(IF(OR(NOT(ISNUMBER('Price History'!V18)),NOT(ISNUMBER('Price History'!V17)),'Price History'!V17=0),"",'Price History'!V18/'Price History'!V17-1),"")</f>
        <v>0.019022294947842</v>
      </c>
      <c r="W17" s="111" t="n">
        <f aca="false">IFERROR('Price History'!B3+(INDEX('Price History'!B:B,MATCH(9.99E+307,'Price History'!$A:$A))-'Price History'!B3)*(ROW()-3)/(MATCH(9.99E+307,'Returns (Calc)'!$A:$A)-3),"")</f>
        <v>487.147106918239</v>
      </c>
      <c r="X17" s="111" t="n">
        <f aca="false">IFERROR('Price History'!C3+(INDEX('Price History'!C:C,MATCH(9.99E+307,'Price History'!$A:$A))-'Price History'!C3)*(ROW()-3)/(MATCH(9.99E+307,'Returns (Calc)'!$A:$A)-3),"")</f>
        <v>56.9510691823899</v>
      </c>
      <c r="Y17" s="111" t="n">
        <f aca="false">IFERROR('Price History'!D3+(INDEX('Price History'!D:D,MATCH(9.99E+307,'Price History'!$A:$A))-'Price History'!D3)*(ROW()-3)/(MATCH(9.99E+307,'Returns (Calc)'!$A:$A)-3),"")</f>
        <v>754.505786163522</v>
      </c>
      <c r="Z17" s="111" t="n">
        <f aca="false">IFERROR('Price History'!E3+(INDEX('Price History'!E:E,MATCH(9.99E+307,'Price History'!$A:$A))-'Price History'!E3)*(ROW()-3)/(MATCH(9.99E+307,'Returns (Calc)'!$A:$A)-3),"")</f>
        <v>107.18679245283</v>
      </c>
      <c r="AA17" s="111" t="n">
        <f aca="false">IFERROR('Price History'!F3+(INDEX('Price History'!F:F,MATCH(9.99E+307,'Price History'!$A:$A))-'Price History'!F3)*(ROW()-3)/(MATCH(9.99E+307,'Returns (Calc)'!$A:$A)-3),"")</f>
        <v>52.5603773584906</v>
      </c>
      <c r="AB17" s="111" t="n">
        <f aca="false">IFERROR('Price History'!G3+(INDEX('Price History'!G:G,MATCH(9.99E+307,'Price History'!$A:$A))-'Price History'!G3)*(ROW()-3)/(MATCH(9.99E+307,'Returns (Calc)'!$A:$A)-3),"")</f>
        <v>60.0245283018868</v>
      </c>
      <c r="AC17" s="111" t="n">
        <f aca="false">IFERROR('Price History'!H3+(INDEX('Price History'!H:H,MATCH(9.99E+307,'Price History'!$A:$A))-'Price History'!H3)*(ROW()-3)/(MATCH(9.99E+307,'Returns (Calc)'!$A:$A)-3),"")</f>
        <v>148.213270440252</v>
      </c>
      <c r="AD17" s="111" t="n">
        <f aca="false">IFERROR('Price History'!I3+(INDEX('Price History'!I:I,MATCH(9.99E+307,'Price History'!$A:$A))-'Price History'!I3)*(ROW()-3)/(MATCH(9.99E+307,'Returns (Calc)'!$A:$A)-3),"")</f>
        <v>57.5364150943396</v>
      </c>
      <c r="AE17" s="111" t="n">
        <f aca="false">IFERROR('Price History'!J3+(INDEX('Price History'!J:J,MATCH(9.99E+307,'Price History'!$A:$A))-'Price History'!J3)*(ROW()-3)/(MATCH(9.99E+307,'Returns (Calc)'!$A:$A)-3),"")</f>
        <v>124.727735849057</v>
      </c>
      <c r="AF17" s="111" t="n">
        <f aca="false">IFERROR('Price History'!K3+(INDEX('Price History'!K:K,MATCH(9.99E+307,'Price History'!$A:$A))-'Price History'!K3)*(ROW()-3)/(MATCH(9.99E+307,'Returns (Calc)'!$A:$A)-3),"")</f>
        <v>29.4029559748428</v>
      </c>
      <c r="AG17" s="111" t="n">
        <f aca="false">IFERROR('Price History'!L3+(INDEX('Price History'!L:L,MATCH(9.99E+307,'Price History'!$A:$A))-'Price History'!L3)*(ROW()-3)/(MATCH(9.99E+307,'Returns (Calc)'!$A:$A)-3),"")</f>
        <v>121.655911949686</v>
      </c>
      <c r="AH17" s="111" t="n">
        <f aca="false">IFERROR('Price History'!M3+(INDEX('Price History'!M:M,MATCH(9.99E+307,'Price History'!$A:$A))-'Price History'!M3)*(ROW()-3)/(MATCH(9.99E+307,'Returns (Calc)'!$A:$A)-3),"")</f>
        <v>55.2601886792453</v>
      </c>
      <c r="AI17" s="111" t="n">
        <f aca="false">IFERROR('Price History'!N3+(INDEX('Price History'!N:N,MATCH(9.99E+307,'Price History'!$A:$A))-'Price History'!N3)*(ROW()-3)/(MATCH(9.99E+307,'Returns (Calc)'!$A:$A)-3),"")</f>
        <v>367.140754716981</v>
      </c>
      <c r="AJ17" s="111" t="n">
        <f aca="false">IFERROR('Price History'!O3+(INDEX('Price History'!O:O,MATCH(9.99E+307,'Price History'!$A:$A))-'Price History'!O3)*(ROW()-3)/(MATCH(9.99E+307,'Returns (Calc)'!$A:$A)-3),"")</f>
        <v>86.7312578616352</v>
      </c>
      <c r="AK17" s="111" t="n">
        <f aca="false">IFERROR('Price History'!Q3+(INDEX('Price History'!Q:Q,MATCH(9.99E+307,'Price History'!$A:$A))-'Price History'!Q3)*(ROW()-3)/(MATCH(9.99E+307,'Returns (Calc)'!$A:$A)-3),"")</f>
        <v>51.5904402515723</v>
      </c>
      <c r="AL17" s="111" t="n">
        <f aca="false">IFERROR('Price History'!R3+(INDEX('Price History'!R:R,MATCH(9.99E+307,'Price History'!$A:$A))-'Price History'!R3)*(ROW()-3)/(MATCH(9.99E+307,'Returns (Calc)'!$A:$A)-3),"")</f>
        <v>48.8810062893082</v>
      </c>
      <c r="AM17" s="111" t="n">
        <f aca="false">IFERROR('Price History'!S3+(INDEX('Price History'!S:S,MATCH(9.99E+307,'Price History'!$A:$A))-'Price History'!S3)*(ROW()-3)/(MATCH(9.99E+307,'Returns (Calc)'!$A:$A)-3),"")</f>
        <v>66.568427672956</v>
      </c>
      <c r="AN17" s="111" t="n">
        <f aca="false">IFERROR('Price History'!T3+(INDEX('Price History'!T:T,MATCH(9.99E+307,'Price History'!$A:$A))-'Price History'!T3)*(ROW()-3)/(MATCH(9.99E+307,'Returns (Calc)'!$A:$A)-3),"")</f>
        <v>29.4088679245283</v>
      </c>
      <c r="AO17" s="112" t="n">
        <f aca="false">IFERROR('Price History'!V3+(INDEX('Price History'!V:V,MATCH(9.99E+307,'Price History'!$A:$A))-'Price History'!V3)*(ROW()-3)/(MATCH(9.99E+307,'Returns (Calc)'!$A:$A)-3),"")</f>
        <v>33.0250314465409</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V18" s="110" t="n">
        <f aca="false">IFERROR(IF(OR(NOT(ISNUMBER('Price History'!V19)),NOT(ISNUMBER('Price History'!V18)),'Price History'!V18=0),"",'Price History'!V19/'Price History'!V18-1),"")</f>
        <v>0.00843034925732633</v>
      </c>
      <c r="W18" s="111" t="n">
        <f aca="false">IFERROR('Price History'!B3+(INDEX('Price History'!B:B,MATCH(9.99E+307,'Price History'!$A:$A))-'Price History'!B3)*(ROW()-3)/(MATCH(9.99E+307,'Returns (Calc)'!$A:$A)-3),"")</f>
        <v>485.625471698113</v>
      </c>
      <c r="X18" s="111" t="n">
        <f aca="false">IFERROR('Price History'!C3+(INDEX('Price History'!C:C,MATCH(9.99E+307,'Price History'!$A:$A))-'Price History'!C3)*(ROW()-3)/(MATCH(9.99E+307,'Returns (Calc)'!$A:$A)-3),"")</f>
        <v>57.8947169811321</v>
      </c>
      <c r="Y18" s="111" t="n">
        <f aca="false">IFERROR('Price History'!D3+(INDEX('Price History'!D:D,MATCH(9.99E+307,'Price History'!$A:$A))-'Price History'!D3)*(ROW()-3)/(MATCH(9.99E+307,'Returns (Calc)'!$A:$A)-3),"")</f>
        <v>761.129056603774</v>
      </c>
      <c r="Z18" s="111" t="n">
        <f aca="false">IFERROR('Price History'!E3+(INDEX('Price History'!E:E,MATCH(9.99E+307,'Price History'!$A:$A))-'Price History'!E3)*(ROW()-3)/(MATCH(9.99E+307,'Returns (Calc)'!$A:$A)-3),"")</f>
        <v>108.915849056604</v>
      </c>
      <c r="AA18" s="111" t="n">
        <f aca="false">IFERROR('Price History'!F3+(INDEX('Price History'!F:F,MATCH(9.99E+307,'Price History'!$A:$A))-'Price History'!F3)*(ROW()-3)/(MATCH(9.99E+307,'Returns (Calc)'!$A:$A)-3),"")</f>
        <v>53.6675471698113</v>
      </c>
      <c r="AB18" s="111" t="n">
        <f aca="false">IFERROR('Price History'!G3+(INDEX('Price History'!G:G,MATCH(9.99E+307,'Price History'!$A:$A))-'Price History'!G3)*(ROW()-3)/(MATCH(9.99E+307,'Returns (Calc)'!$A:$A)-3),"")</f>
        <v>60.8905660377359</v>
      </c>
      <c r="AC18" s="111" t="n">
        <f aca="false">IFERROR('Price History'!H3+(INDEX('Price History'!H:H,MATCH(9.99E+307,'Price History'!$A:$A))-'Price History'!H3)*(ROW()-3)/(MATCH(9.99E+307,'Returns (Calc)'!$A:$A)-3),"")</f>
        <v>154.202075471698</v>
      </c>
      <c r="AD18" s="111" t="n">
        <f aca="false">IFERROR('Price History'!I3+(INDEX('Price History'!I:I,MATCH(9.99E+307,'Price History'!$A:$A))-'Price History'!I3)*(ROW()-3)/(MATCH(9.99E+307,'Returns (Calc)'!$A:$A)-3),"")</f>
        <v>58.7283018867925</v>
      </c>
      <c r="AE18" s="111" t="n">
        <f aca="false">IFERROR('Price History'!J3+(INDEX('Price History'!J:J,MATCH(9.99E+307,'Price History'!$A:$A))-'Price History'!J3)*(ROW()-3)/(MATCH(9.99E+307,'Returns (Calc)'!$A:$A)-3),"")</f>
        <v>124.814716981132</v>
      </c>
      <c r="AF18" s="111" t="n">
        <f aca="false">IFERROR('Price History'!K3+(INDEX('Price History'!K:K,MATCH(9.99E+307,'Price History'!$A:$A))-'Price History'!K3)*(ROW()-3)/(MATCH(9.99E+307,'Returns (Calc)'!$A:$A)-3),"")</f>
        <v>30.4024528301887</v>
      </c>
      <c r="AG18" s="111" t="n">
        <f aca="false">IFERROR('Price History'!L3+(INDEX('Price History'!L:L,MATCH(9.99E+307,'Price History'!$A:$A))-'Price History'!L3)*(ROW()-3)/(MATCH(9.99E+307,'Returns (Calc)'!$A:$A)-3),"")</f>
        <v>123.774905660377</v>
      </c>
      <c r="AH18" s="111" t="n">
        <f aca="false">IFERROR('Price History'!M3+(INDEX('Price History'!M:M,MATCH(9.99E+307,'Price History'!$A:$A))-'Price History'!M3)*(ROW()-3)/(MATCH(9.99E+307,'Returns (Calc)'!$A:$A)-3),"")</f>
        <v>56.8137735849057</v>
      </c>
      <c r="AI18" s="111" t="n">
        <f aca="false">IFERROR('Price History'!N3+(INDEX('Price History'!N:N,MATCH(9.99E+307,'Price History'!$A:$A))-'Price History'!N3)*(ROW()-3)/(MATCH(9.99E+307,'Returns (Calc)'!$A:$A)-3),"")</f>
        <v>368.375094339623</v>
      </c>
      <c r="AJ18" s="111" t="n">
        <f aca="false">IFERROR('Price History'!O3+(INDEX('Price History'!O:O,MATCH(9.99E+307,'Price History'!$A:$A))-'Price History'!O3)*(ROW()-3)/(MATCH(9.99E+307,'Returns (Calc)'!$A:$A)-3),"")</f>
        <v>87.0084905660377</v>
      </c>
      <c r="AK18" s="111" t="n">
        <f aca="false">IFERROR('Price History'!Q3+(INDEX('Price History'!Q:Q,MATCH(9.99E+307,'Price History'!$A:$A))-'Price History'!Q3)*(ROW()-3)/(MATCH(9.99E+307,'Returns (Calc)'!$A:$A)-3),"")</f>
        <v>51.7154716981132</v>
      </c>
      <c r="AL18" s="111" t="n">
        <f aca="false">IFERROR('Price History'!R3+(INDEX('Price History'!R:R,MATCH(9.99E+307,'Price History'!$A:$A))-'Price History'!R3)*(ROW()-3)/(MATCH(9.99E+307,'Returns (Calc)'!$A:$A)-3),"")</f>
        <v>48.9567924528302</v>
      </c>
      <c r="AM18" s="111" t="n">
        <f aca="false">IFERROR('Price History'!S3+(INDEX('Price History'!S:S,MATCH(9.99E+307,'Price History'!$A:$A))-'Price History'!S3)*(ROW()-3)/(MATCH(9.99E+307,'Returns (Calc)'!$A:$A)-3),"")</f>
        <v>67.1418867924528</v>
      </c>
      <c r="AN18" s="111" t="n">
        <f aca="false">IFERROR('Price History'!T3+(INDEX('Price History'!T:T,MATCH(9.99E+307,'Price History'!$A:$A))-'Price History'!T3)*(ROW()-3)/(MATCH(9.99E+307,'Returns (Calc)'!$A:$A)-3),"")</f>
        <v>29.587358490566</v>
      </c>
      <c r="AO18" s="112" t="n">
        <f aca="false">IFERROR('Price History'!V3+(INDEX('Price History'!V:V,MATCH(9.99E+307,'Price History'!$A:$A))-'Price History'!V3)*(ROW()-3)/(MATCH(9.99E+307,'Returns (Calc)'!$A:$A)-3),"")</f>
        <v>35.3839622641509</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V19" s="110" t="n">
        <f aca="false">IFERROR(IF(OR(NOT(ISNUMBER('Price History'!V20)),NOT(ISNUMBER('Price History'!V19)),'Price History'!V19=0),"",'Price History'!V20/'Price History'!V19-1),"")</f>
        <v>-0.00274681528662424</v>
      </c>
      <c r="W19" s="111" t="n">
        <f aca="false">IFERROR('Price History'!B3+(INDEX('Price History'!B:B,MATCH(9.99E+307,'Price History'!$A:$A))-'Price History'!B3)*(ROW()-3)/(MATCH(9.99E+307,'Returns (Calc)'!$A:$A)-3),"")</f>
        <v>484.103836477987</v>
      </c>
      <c r="X19" s="111" t="n">
        <f aca="false">IFERROR('Price History'!C3+(INDEX('Price History'!C:C,MATCH(9.99E+307,'Price History'!$A:$A))-'Price History'!C3)*(ROW()-3)/(MATCH(9.99E+307,'Returns (Calc)'!$A:$A)-3),"")</f>
        <v>58.8383647798742</v>
      </c>
      <c r="Y19" s="111" t="n">
        <f aca="false">IFERROR('Price History'!D3+(INDEX('Price History'!D:D,MATCH(9.99E+307,'Price History'!$A:$A))-'Price History'!D3)*(ROW()-3)/(MATCH(9.99E+307,'Returns (Calc)'!$A:$A)-3),"")</f>
        <v>767.752327044025</v>
      </c>
      <c r="Z19" s="111" t="n">
        <f aca="false">IFERROR('Price History'!E3+(INDEX('Price History'!E:E,MATCH(9.99E+307,'Price History'!$A:$A))-'Price History'!E3)*(ROW()-3)/(MATCH(9.99E+307,'Returns (Calc)'!$A:$A)-3),"")</f>
        <v>110.644905660377</v>
      </c>
      <c r="AA19" s="111" t="n">
        <f aca="false">IFERROR('Price History'!F3+(INDEX('Price History'!F:F,MATCH(9.99E+307,'Price History'!$A:$A))-'Price History'!F3)*(ROW()-3)/(MATCH(9.99E+307,'Returns (Calc)'!$A:$A)-3),"")</f>
        <v>54.7747169811321</v>
      </c>
      <c r="AB19" s="111" t="n">
        <f aca="false">IFERROR('Price History'!G3+(INDEX('Price History'!G:G,MATCH(9.99E+307,'Price History'!$A:$A))-'Price History'!G3)*(ROW()-3)/(MATCH(9.99E+307,'Returns (Calc)'!$A:$A)-3),"")</f>
        <v>61.7566037735849</v>
      </c>
      <c r="AC19" s="111" t="n">
        <f aca="false">IFERROR('Price History'!H3+(INDEX('Price History'!H:H,MATCH(9.99E+307,'Price History'!$A:$A))-'Price History'!H3)*(ROW()-3)/(MATCH(9.99E+307,'Returns (Calc)'!$A:$A)-3),"")</f>
        <v>160.190880503145</v>
      </c>
      <c r="AD19" s="111" t="n">
        <f aca="false">IFERROR('Price History'!I3+(INDEX('Price History'!I:I,MATCH(9.99E+307,'Price History'!$A:$A))-'Price History'!I3)*(ROW()-3)/(MATCH(9.99E+307,'Returns (Calc)'!$A:$A)-3),"")</f>
        <v>59.9201886792453</v>
      </c>
      <c r="AE19" s="111" t="n">
        <f aca="false">IFERROR('Price History'!J3+(INDEX('Price History'!J:J,MATCH(9.99E+307,'Price History'!$A:$A))-'Price History'!J3)*(ROW()-3)/(MATCH(9.99E+307,'Returns (Calc)'!$A:$A)-3),"")</f>
        <v>124.901698113208</v>
      </c>
      <c r="AF19" s="111" t="n">
        <f aca="false">IFERROR('Price History'!K3+(INDEX('Price History'!K:K,MATCH(9.99E+307,'Price History'!$A:$A))-'Price History'!K3)*(ROW()-3)/(MATCH(9.99E+307,'Returns (Calc)'!$A:$A)-3),"")</f>
        <v>31.4019496855346</v>
      </c>
      <c r="AG19" s="111" t="n">
        <f aca="false">IFERROR('Price History'!L3+(INDEX('Price History'!L:L,MATCH(9.99E+307,'Price History'!$A:$A))-'Price History'!L3)*(ROW()-3)/(MATCH(9.99E+307,'Returns (Calc)'!$A:$A)-3),"")</f>
        <v>125.893899371069</v>
      </c>
      <c r="AH19" s="111" t="n">
        <f aca="false">IFERROR('Price History'!M3+(INDEX('Price History'!M:M,MATCH(9.99E+307,'Price History'!$A:$A))-'Price History'!M3)*(ROW()-3)/(MATCH(9.99E+307,'Returns (Calc)'!$A:$A)-3),"")</f>
        <v>58.367358490566</v>
      </c>
      <c r="AI19" s="111" t="n">
        <f aca="false">IFERROR('Price History'!N3+(INDEX('Price History'!N:N,MATCH(9.99E+307,'Price History'!$A:$A))-'Price History'!N3)*(ROW()-3)/(MATCH(9.99E+307,'Returns (Calc)'!$A:$A)-3),"")</f>
        <v>369.609433962264</v>
      </c>
      <c r="AJ19" s="111" t="n">
        <f aca="false">IFERROR('Price History'!O3+(INDEX('Price History'!O:O,MATCH(9.99E+307,'Price History'!$A:$A))-'Price History'!O3)*(ROW()-3)/(MATCH(9.99E+307,'Returns (Calc)'!$A:$A)-3),"")</f>
        <v>87.2857232704402</v>
      </c>
      <c r="AK19" s="111" t="n">
        <f aca="false">IFERROR('Price History'!Q3+(INDEX('Price History'!Q:Q,MATCH(9.99E+307,'Price History'!$A:$A))-'Price History'!Q3)*(ROW()-3)/(MATCH(9.99E+307,'Returns (Calc)'!$A:$A)-3),"")</f>
        <v>51.8405031446541</v>
      </c>
      <c r="AL19" s="111" t="n">
        <f aca="false">IFERROR('Price History'!R3+(INDEX('Price History'!R:R,MATCH(9.99E+307,'Price History'!$A:$A))-'Price History'!R3)*(ROW()-3)/(MATCH(9.99E+307,'Returns (Calc)'!$A:$A)-3),"")</f>
        <v>49.0325786163522</v>
      </c>
      <c r="AM19" s="111" t="n">
        <f aca="false">IFERROR('Price History'!S3+(INDEX('Price History'!S:S,MATCH(9.99E+307,'Price History'!$A:$A))-'Price History'!S3)*(ROW()-3)/(MATCH(9.99E+307,'Returns (Calc)'!$A:$A)-3),"")</f>
        <v>67.7153459119497</v>
      </c>
      <c r="AN19" s="111" t="n">
        <f aca="false">IFERROR('Price History'!T3+(INDEX('Price History'!T:T,MATCH(9.99E+307,'Price History'!$A:$A))-'Price History'!T3)*(ROW()-3)/(MATCH(9.99E+307,'Returns (Calc)'!$A:$A)-3),"")</f>
        <v>29.7658490566038</v>
      </c>
      <c r="AO19" s="112" t="n">
        <f aca="false">IFERROR('Price History'!V3+(INDEX('Price History'!V:V,MATCH(9.99E+307,'Price History'!$A:$A))-'Price History'!V3)*(ROW()-3)/(MATCH(9.99E+307,'Returns (Calc)'!$A:$A)-3),"")</f>
        <v>37.742893081761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V20" s="110" t="n">
        <f aca="false">IFERROR(IF(OR(NOT(ISNUMBER('Price History'!V21)),NOT(ISNUMBER('Price History'!V20)),'Price History'!V20=0),"",'Price History'!V21/'Price History'!V20-1),"")</f>
        <v>0.00894175881202353</v>
      </c>
      <c r="W20" s="111" t="n">
        <f aca="false">IFERROR('Price History'!B3+(INDEX('Price History'!B:B,MATCH(9.99E+307,'Price History'!$A:$A))-'Price History'!B3)*(ROW()-3)/(MATCH(9.99E+307,'Returns (Calc)'!$A:$A)-3),"")</f>
        <v>482.582201257862</v>
      </c>
      <c r="X20" s="111" t="n">
        <f aca="false">IFERROR('Price History'!C3+(INDEX('Price History'!C:C,MATCH(9.99E+307,'Price History'!$A:$A))-'Price History'!C3)*(ROW()-3)/(MATCH(9.99E+307,'Returns (Calc)'!$A:$A)-3),"")</f>
        <v>59.7820125786164</v>
      </c>
      <c r="Y20" s="111" t="n">
        <f aca="false">IFERROR('Price History'!D3+(INDEX('Price History'!D:D,MATCH(9.99E+307,'Price History'!$A:$A))-'Price History'!D3)*(ROW()-3)/(MATCH(9.99E+307,'Returns (Calc)'!$A:$A)-3),"")</f>
        <v>774.375597484277</v>
      </c>
      <c r="Z20" s="111" t="n">
        <f aca="false">IFERROR('Price History'!E3+(INDEX('Price History'!E:E,MATCH(9.99E+307,'Price History'!$A:$A))-'Price History'!E3)*(ROW()-3)/(MATCH(9.99E+307,'Returns (Calc)'!$A:$A)-3),"")</f>
        <v>112.373962264151</v>
      </c>
      <c r="AA20" s="111" t="n">
        <f aca="false">IFERROR('Price History'!F3+(INDEX('Price History'!F:F,MATCH(9.99E+307,'Price History'!$A:$A))-'Price History'!F3)*(ROW()-3)/(MATCH(9.99E+307,'Returns (Calc)'!$A:$A)-3),"")</f>
        <v>55.8818867924528</v>
      </c>
      <c r="AB20" s="111" t="n">
        <f aca="false">IFERROR('Price History'!G3+(INDEX('Price History'!G:G,MATCH(9.99E+307,'Price History'!$A:$A))-'Price History'!G3)*(ROW()-3)/(MATCH(9.99E+307,'Returns (Calc)'!$A:$A)-3),"")</f>
        <v>62.622641509434</v>
      </c>
      <c r="AC20" s="111" t="n">
        <f aca="false">IFERROR('Price History'!H3+(INDEX('Price History'!H:H,MATCH(9.99E+307,'Price History'!$A:$A))-'Price History'!H3)*(ROW()-3)/(MATCH(9.99E+307,'Returns (Calc)'!$A:$A)-3),"")</f>
        <v>166.179685534591</v>
      </c>
      <c r="AD20" s="111" t="n">
        <f aca="false">IFERROR('Price History'!I3+(INDEX('Price History'!I:I,MATCH(9.99E+307,'Price History'!$A:$A))-'Price History'!I3)*(ROW()-3)/(MATCH(9.99E+307,'Returns (Calc)'!$A:$A)-3),"")</f>
        <v>61.1120754716981</v>
      </c>
      <c r="AE20" s="111" t="n">
        <f aca="false">IFERROR('Price History'!J3+(INDEX('Price History'!J:J,MATCH(9.99E+307,'Price History'!$A:$A))-'Price History'!J3)*(ROW()-3)/(MATCH(9.99E+307,'Returns (Calc)'!$A:$A)-3),"")</f>
        <v>124.988679245283</v>
      </c>
      <c r="AF20" s="111" t="n">
        <f aca="false">IFERROR('Price History'!K3+(INDEX('Price History'!K:K,MATCH(9.99E+307,'Price History'!$A:$A))-'Price History'!K3)*(ROW()-3)/(MATCH(9.99E+307,'Returns (Calc)'!$A:$A)-3),"")</f>
        <v>32.4014465408805</v>
      </c>
      <c r="AG20" s="111" t="n">
        <f aca="false">IFERROR('Price History'!L3+(INDEX('Price History'!L:L,MATCH(9.99E+307,'Price History'!$A:$A))-'Price History'!L3)*(ROW()-3)/(MATCH(9.99E+307,'Returns (Calc)'!$A:$A)-3),"")</f>
        <v>128.012893081761</v>
      </c>
      <c r="AH20" s="111" t="n">
        <f aca="false">IFERROR('Price History'!M3+(INDEX('Price History'!M:M,MATCH(9.99E+307,'Price History'!$A:$A))-'Price History'!M3)*(ROW()-3)/(MATCH(9.99E+307,'Returns (Calc)'!$A:$A)-3),"")</f>
        <v>59.9209433962264</v>
      </c>
      <c r="AI20" s="111" t="n">
        <f aca="false">IFERROR('Price History'!N3+(INDEX('Price History'!N:N,MATCH(9.99E+307,'Price History'!$A:$A))-'Price History'!N3)*(ROW()-3)/(MATCH(9.99E+307,'Returns (Calc)'!$A:$A)-3),"")</f>
        <v>370.843773584906</v>
      </c>
      <c r="AJ20" s="111" t="n">
        <f aca="false">IFERROR('Price History'!O3+(INDEX('Price History'!O:O,MATCH(9.99E+307,'Price History'!$A:$A))-'Price History'!O3)*(ROW()-3)/(MATCH(9.99E+307,'Returns (Calc)'!$A:$A)-3),"")</f>
        <v>87.5629559748428</v>
      </c>
      <c r="AK20" s="111" t="n">
        <f aca="false">IFERROR('Price History'!Q3+(INDEX('Price History'!Q:Q,MATCH(9.99E+307,'Price History'!$A:$A))-'Price History'!Q3)*(ROW()-3)/(MATCH(9.99E+307,'Returns (Calc)'!$A:$A)-3),"")</f>
        <v>51.965534591195</v>
      </c>
      <c r="AL20" s="111" t="n">
        <f aca="false">IFERROR('Price History'!R3+(INDEX('Price History'!R:R,MATCH(9.99E+307,'Price History'!$A:$A))-'Price History'!R3)*(ROW()-3)/(MATCH(9.99E+307,'Returns (Calc)'!$A:$A)-3),"")</f>
        <v>49.1083647798742</v>
      </c>
      <c r="AM20" s="111" t="n">
        <f aca="false">IFERROR('Price History'!S3+(INDEX('Price History'!S:S,MATCH(9.99E+307,'Price History'!$A:$A))-'Price History'!S3)*(ROW()-3)/(MATCH(9.99E+307,'Returns (Calc)'!$A:$A)-3),"")</f>
        <v>68.2888050314465</v>
      </c>
      <c r="AN20" s="111" t="n">
        <f aca="false">IFERROR('Price History'!T3+(INDEX('Price History'!T:T,MATCH(9.99E+307,'Price History'!$A:$A))-'Price History'!T3)*(ROW()-3)/(MATCH(9.99E+307,'Returns (Calc)'!$A:$A)-3),"")</f>
        <v>29.9443396226415</v>
      </c>
      <c r="AO20" s="112" t="n">
        <f aca="false">IFERROR('Price History'!V3+(INDEX('Price History'!V:V,MATCH(9.99E+307,'Price History'!$A:$A))-'Price History'!V3)*(ROW()-3)/(MATCH(9.99E+307,'Returns (Calc)'!$A:$A)-3),"")</f>
        <v>40.1018238993711</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V21" s="110" t="n">
        <f aca="false">IFERROR(IF(OR(NOT(ISNUMBER('Price History'!V22)),NOT(ISNUMBER('Price History'!V21)),'Price History'!V21=0),"",'Price History'!V22/'Price History'!V21-1),"")</f>
        <v>0.0015430267062313</v>
      </c>
      <c r="W21" s="111" t="n">
        <f aca="false">IFERROR('Price History'!B3+(INDEX('Price History'!B:B,MATCH(9.99E+307,'Price History'!$A:$A))-'Price History'!B3)*(ROW()-3)/(MATCH(9.99E+307,'Returns (Calc)'!$A:$A)-3),"")</f>
        <v>481.060566037736</v>
      </c>
      <c r="X21" s="111" t="n">
        <f aca="false">IFERROR('Price History'!C3+(INDEX('Price History'!C:C,MATCH(9.99E+307,'Price History'!$A:$A))-'Price History'!C3)*(ROW()-3)/(MATCH(9.99E+307,'Returns (Calc)'!$A:$A)-3),"")</f>
        <v>60.7256603773585</v>
      </c>
      <c r="Y21" s="111" t="n">
        <f aca="false">IFERROR('Price History'!D3+(INDEX('Price History'!D:D,MATCH(9.99E+307,'Price History'!$A:$A))-'Price History'!D3)*(ROW()-3)/(MATCH(9.99E+307,'Returns (Calc)'!$A:$A)-3),"")</f>
        <v>780.998867924528</v>
      </c>
      <c r="Z21" s="111" t="n">
        <f aca="false">IFERROR('Price History'!E3+(INDEX('Price History'!E:E,MATCH(9.99E+307,'Price History'!$A:$A))-'Price History'!E3)*(ROW()-3)/(MATCH(9.99E+307,'Returns (Calc)'!$A:$A)-3),"")</f>
        <v>114.103018867925</v>
      </c>
      <c r="AA21" s="111" t="n">
        <f aca="false">IFERROR('Price History'!F3+(INDEX('Price History'!F:F,MATCH(9.99E+307,'Price History'!$A:$A))-'Price History'!F3)*(ROW()-3)/(MATCH(9.99E+307,'Returns (Calc)'!$A:$A)-3),"")</f>
        <v>56.9890566037736</v>
      </c>
      <c r="AB21" s="111" t="n">
        <f aca="false">IFERROR('Price History'!G3+(INDEX('Price History'!G:G,MATCH(9.99E+307,'Price History'!$A:$A))-'Price History'!G3)*(ROW()-3)/(MATCH(9.99E+307,'Returns (Calc)'!$A:$A)-3),"")</f>
        <v>63.488679245283</v>
      </c>
      <c r="AC21" s="111" t="n">
        <f aca="false">IFERROR('Price History'!H3+(INDEX('Price History'!H:H,MATCH(9.99E+307,'Price History'!$A:$A))-'Price History'!H3)*(ROW()-3)/(MATCH(9.99E+307,'Returns (Calc)'!$A:$A)-3),"")</f>
        <v>172.168490566038</v>
      </c>
      <c r="AD21" s="111" t="n">
        <f aca="false">IFERROR('Price History'!I3+(INDEX('Price History'!I:I,MATCH(9.99E+307,'Price History'!$A:$A))-'Price History'!I3)*(ROW()-3)/(MATCH(9.99E+307,'Returns (Calc)'!$A:$A)-3),"")</f>
        <v>62.303962264151</v>
      </c>
      <c r="AE21" s="111" t="n">
        <f aca="false">IFERROR('Price History'!J3+(INDEX('Price History'!J:J,MATCH(9.99E+307,'Price History'!$A:$A))-'Price History'!J3)*(ROW()-3)/(MATCH(9.99E+307,'Returns (Calc)'!$A:$A)-3),"")</f>
        <v>125.075660377358</v>
      </c>
      <c r="AF21" s="111" t="n">
        <f aca="false">IFERROR('Price History'!K3+(INDEX('Price History'!K:K,MATCH(9.99E+307,'Price History'!$A:$A))-'Price History'!K3)*(ROW()-3)/(MATCH(9.99E+307,'Returns (Calc)'!$A:$A)-3),"")</f>
        <v>33.4009433962264</v>
      </c>
      <c r="AG21" s="111" t="n">
        <f aca="false">IFERROR('Price History'!L3+(INDEX('Price History'!L:L,MATCH(9.99E+307,'Price History'!$A:$A))-'Price History'!L3)*(ROW()-3)/(MATCH(9.99E+307,'Returns (Calc)'!$A:$A)-3),"")</f>
        <v>130.131886792453</v>
      </c>
      <c r="AH21" s="111" t="n">
        <f aca="false">IFERROR('Price History'!M3+(INDEX('Price History'!M:M,MATCH(9.99E+307,'Price History'!$A:$A))-'Price History'!M3)*(ROW()-3)/(MATCH(9.99E+307,'Returns (Calc)'!$A:$A)-3),"")</f>
        <v>61.4745283018868</v>
      </c>
      <c r="AI21" s="111" t="n">
        <f aca="false">IFERROR('Price History'!N3+(INDEX('Price History'!N:N,MATCH(9.99E+307,'Price History'!$A:$A))-'Price History'!N3)*(ROW()-3)/(MATCH(9.99E+307,'Returns (Calc)'!$A:$A)-3),"")</f>
        <v>372.078113207547</v>
      </c>
      <c r="AJ21" s="111" t="n">
        <f aca="false">IFERROR('Price History'!O3+(INDEX('Price History'!O:O,MATCH(9.99E+307,'Price History'!$A:$A))-'Price History'!O3)*(ROW()-3)/(MATCH(9.99E+307,'Returns (Calc)'!$A:$A)-3),"")</f>
        <v>87.8401886792453</v>
      </c>
      <c r="AK21" s="111" t="n">
        <f aca="false">IFERROR('Price History'!Q3+(INDEX('Price History'!Q:Q,MATCH(9.99E+307,'Price History'!$A:$A))-'Price History'!Q3)*(ROW()-3)/(MATCH(9.99E+307,'Returns (Calc)'!$A:$A)-3),"")</f>
        <v>52.0905660377359</v>
      </c>
      <c r="AL21" s="111" t="n">
        <f aca="false">IFERROR('Price History'!R3+(INDEX('Price History'!R:R,MATCH(9.99E+307,'Price History'!$A:$A))-'Price History'!R3)*(ROW()-3)/(MATCH(9.99E+307,'Returns (Calc)'!$A:$A)-3),"")</f>
        <v>49.1841509433962</v>
      </c>
      <c r="AM21" s="111" t="n">
        <f aca="false">IFERROR('Price History'!S3+(INDEX('Price History'!S:S,MATCH(9.99E+307,'Price History'!$A:$A))-'Price History'!S3)*(ROW()-3)/(MATCH(9.99E+307,'Returns (Calc)'!$A:$A)-3),"")</f>
        <v>68.8622641509434</v>
      </c>
      <c r="AN21" s="111" t="n">
        <f aca="false">IFERROR('Price History'!T3+(INDEX('Price History'!T:T,MATCH(9.99E+307,'Price History'!$A:$A))-'Price History'!T3)*(ROW()-3)/(MATCH(9.99E+307,'Returns (Calc)'!$A:$A)-3),"")</f>
        <v>30.1228301886792</v>
      </c>
      <c r="AO21" s="112" t="n">
        <f aca="false">IFERROR('Price History'!V3+(INDEX('Price History'!V:V,MATCH(9.99E+307,'Price History'!$A:$A))-'Price History'!V3)*(ROW()-3)/(MATCH(9.99E+307,'Returns (Calc)'!$A:$A)-3),"")</f>
        <v>42.4607547169811</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V22" s="110" t="n">
        <f aca="false">IFERROR(IF(OR(NOT(ISNUMBER('Price History'!V23)),NOT(ISNUMBER('Price History'!V22)),'Price History'!V22=0),"",'Price History'!V23/'Price History'!V22-1),"")</f>
        <v>0.00742672039187808</v>
      </c>
      <c r="W22" s="111" t="n">
        <f aca="false">IFERROR('Price History'!B3+(INDEX('Price History'!B:B,MATCH(9.99E+307,'Price History'!$A:$A))-'Price History'!B3)*(ROW()-3)/(MATCH(9.99E+307,'Returns (Calc)'!$A:$A)-3),"")</f>
        <v>479.53893081761</v>
      </c>
      <c r="X22" s="111" t="n">
        <f aca="false">IFERROR('Price History'!C3+(INDEX('Price History'!C:C,MATCH(9.99E+307,'Price History'!$A:$A))-'Price History'!C3)*(ROW()-3)/(MATCH(9.99E+307,'Returns (Calc)'!$A:$A)-3),"")</f>
        <v>61.6693081761006</v>
      </c>
      <c r="Y22" s="111" t="n">
        <f aca="false">IFERROR('Price History'!D3+(INDEX('Price History'!D:D,MATCH(9.99E+307,'Price History'!$A:$A))-'Price History'!D3)*(ROW()-3)/(MATCH(9.99E+307,'Returns (Calc)'!$A:$A)-3),"")</f>
        <v>787.62213836478</v>
      </c>
      <c r="Z22" s="111" t="n">
        <f aca="false">IFERROR('Price History'!E3+(INDEX('Price History'!E:E,MATCH(9.99E+307,'Price History'!$A:$A))-'Price History'!E3)*(ROW()-3)/(MATCH(9.99E+307,'Returns (Calc)'!$A:$A)-3),"")</f>
        <v>115.832075471698</v>
      </c>
      <c r="AA22" s="111" t="n">
        <f aca="false">IFERROR('Price History'!F3+(INDEX('Price History'!F:F,MATCH(9.99E+307,'Price History'!$A:$A))-'Price History'!F3)*(ROW()-3)/(MATCH(9.99E+307,'Returns (Calc)'!$A:$A)-3),"")</f>
        <v>58.0962264150943</v>
      </c>
      <c r="AB22" s="111" t="n">
        <f aca="false">IFERROR('Price History'!G3+(INDEX('Price History'!G:G,MATCH(9.99E+307,'Price History'!$A:$A))-'Price History'!G3)*(ROW()-3)/(MATCH(9.99E+307,'Returns (Calc)'!$A:$A)-3),"")</f>
        <v>64.3547169811321</v>
      </c>
      <c r="AC22" s="111" t="n">
        <f aca="false">IFERROR('Price History'!H3+(INDEX('Price History'!H:H,MATCH(9.99E+307,'Price History'!$A:$A))-'Price History'!H3)*(ROW()-3)/(MATCH(9.99E+307,'Returns (Calc)'!$A:$A)-3),"")</f>
        <v>178.157295597484</v>
      </c>
      <c r="AD22" s="111" t="n">
        <f aca="false">IFERROR('Price History'!I3+(INDEX('Price History'!I:I,MATCH(9.99E+307,'Price History'!$A:$A))-'Price History'!I3)*(ROW()-3)/(MATCH(9.99E+307,'Returns (Calc)'!$A:$A)-3),"")</f>
        <v>63.4958490566038</v>
      </c>
      <c r="AE22" s="111" t="n">
        <f aca="false">IFERROR('Price History'!J3+(INDEX('Price History'!J:J,MATCH(9.99E+307,'Price History'!$A:$A))-'Price History'!J3)*(ROW()-3)/(MATCH(9.99E+307,'Returns (Calc)'!$A:$A)-3),"")</f>
        <v>125.162641509434</v>
      </c>
      <c r="AF22" s="111" t="n">
        <f aca="false">IFERROR('Price History'!K3+(INDEX('Price History'!K:K,MATCH(9.99E+307,'Price History'!$A:$A))-'Price History'!K3)*(ROW()-3)/(MATCH(9.99E+307,'Returns (Calc)'!$A:$A)-3),"")</f>
        <v>34.4004402515723</v>
      </c>
      <c r="AG22" s="111" t="n">
        <f aca="false">IFERROR('Price History'!L3+(INDEX('Price History'!L:L,MATCH(9.99E+307,'Price History'!$A:$A))-'Price History'!L3)*(ROW()-3)/(MATCH(9.99E+307,'Returns (Calc)'!$A:$A)-3),"")</f>
        <v>132.250880503145</v>
      </c>
      <c r="AH22" s="111" t="n">
        <f aca="false">IFERROR('Price History'!M3+(INDEX('Price History'!M:M,MATCH(9.99E+307,'Price History'!$A:$A))-'Price History'!M3)*(ROW()-3)/(MATCH(9.99E+307,'Returns (Calc)'!$A:$A)-3),"")</f>
        <v>63.0281132075472</v>
      </c>
      <c r="AI22" s="111" t="n">
        <f aca="false">IFERROR('Price History'!N3+(INDEX('Price History'!N:N,MATCH(9.99E+307,'Price History'!$A:$A))-'Price History'!N3)*(ROW()-3)/(MATCH(9.99E+307,'Returns (Calc)'!$A:$A)-3),"")</f>
        <v>373.312452830189</v>
      </c>
      <c r="AJ22" s="111" t="n">
        <f aca="false">IFERROR('Price History'!O3+(INDEX('Price History'!O:O,MATCH(9.99E+307,'Price History'!$A:$A))-'Price History'!O3)*(ROW()-3)/(MATCH(9.99E+307,'Returns (Calc)'!$A:$A)-3),"")</f>
        <v>88.1174213836478</v>
      </c>
      <c r="AK22" s="111" t="n">
        <f aca="false">IFERROR('Price History'!Q3+(INDEX('Price History'!Q:Q,MATCH(9.99E+307,'Price History'!$A:$A))-'Price History'!Q3)*(ROW()-3)/(MATCH(9.99E+307,'Returns (Calc)'!$A:$A)-3),"")</f>
        <v>52.2155974842767</v>
      </c>
      <c r="AL22" s="111" t="n">
        <f aca="false">IFERROR('Price History'!R3+(INDEX('Price History'!R:R,MATCH(9.99E+307,'Price History'!$A:$A))-'Price History'!R3)*(ROW()-3)/(MATCH(9.99E+307,'Returns (Calc)'!$A:$A)-3),"")</f>
        <v>49.2599371069182</v>
      </c>
      <c r="AM22" s="111" t="n">
        <f aca="false">IFERROR('Price History'!S3+(INDEX('Price History'!S:S,MATCH(9.99E+307,'Price History'!$A:$A))-'Price History'!S3)*(ROW()-3)/(MATCH(9.99E+307,'Returns (Calc)'!$A:$A)-3),"")</f>
        <v>69.4357232704403</v>
      </c>
      <c r="AN22" s="111" t="n">
        <f aca="false">IFERROR('Price History'!T3+(INDEX('Price History'!T:T,MATCH(9.99E+307,'Price History'!$A:$A))-'Price History'!T3)*(ROW()-3)/(MATCH(9.99E+307,'Returns (Calc)'!$A:$A)-3),"")</f>
        <v>30.301320754717</v>
      </c>
      <c r="AO22" s="112" t="n">
        <f aca="false">IFERROR('Price History'!V3+(INDEX('Price History'!V:V,MATCH(9.99E+307,'Price History'!$A:$A))-'Price History'!V3)*(ROW()-3)/(MATCH(9.99E+307,'Returns (Calc)'!$A:$A)-3),"")</f>
        <v>44.8196855345912</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V23" s="110" t="n">
        <f aca="false">IFERROR(IF(OR(NOT(ISNUMBER('Price History'!V24)),NOT(ISNUMBER('Price History'!V23)),'Price History'!V23=0),"",'Price History'!V24/'Price History'!V23-1),"")</f>
        <v>-0.00254881970041565</v>
      </c>
      <c r="W23" s="111" t="n">
        <f aca="false">IFERROR('Price History'!B3+(INDEX('Price History'!B:B,MATCH(9.99E+307,'Price History'!$A:$A))-'Price History'!B3)*(ROW()-3)/(MATCH(9.99E+307,'Returns (Calc)'!$A:$A)-3),"")</f>
        <v>478.017295597484</v>
      </c>
      <c r="X23" s="111" t="n">
        <f aca="false">IFERROR('Price History'!C3+(INDEX('Price History'!C:C,MATCH(9.99E+307,'Price History'!$A:$A))-'Price History'!C3)*(ROW()-3)/(MATCH(9.99E+307,'Returns (Calc)'!$A:$A)-3),"")</f>
        <v>62.6129559748428</v>
      </c>
      <c r="Y23" s="111" t="n">
        <f aca="false">IFERROR('Price History'!D3+(INDEX('Price History'!D:D,MATCH(9.99E+307,'Price History'!$A:$A))-'Price History'!D3)*(ROW()-3)/(MATCH(9.99E+307,'Returns (Calc)'!$A:$A)-3),"")</f>
        <v>794.245408805032</v>
      </c>
      <c r="Z23" s="111" t="n">
        <f aca="false">IFERROR('Price History'!E3+(INDEX('Price History'!E:E,MATCH(9.99E+307,'Price History'!$A:$A))-'Price History'!E3)*(ROW()-3)/(MATCH(9.99E+307,'Returns (Calc)'!$A:$A)-3),"")</f>
        <v>117.561132075472</v>
      </c>
      <c r="AA23" s="111" t="n">
        <f aca="false">IFERROR('Price History'!F3+(INDEX('Price History'!F:F,MATCH(9.99E+307,'Price History'!$A:$A))-'Price History'!F3)*(ROW()-3)/(MATCH(9.99E+307,'Returns (Calc)'!$A:$A)-3),"")</f>
        <v>59.2033962264151</v>
      </c>
      <c r="AB23" s="111" t="n">
        <f aca="false">IFERROR('Price History'!G3+(INDEX('Price History'!G:G,MATCH(9.99E+307,'Price History'!$A:$A))-'Price History'!G3)*(ROW()-3)/(MATCH(9.99E+307,'Returns (Calc)'!$A:$A)-3),"")</f>
        <v>65.2207547169811</v>
      </c>
      <c r="AC23" s="111" t="n">
        <f aca="false">IFERROR('Price History'!H3+(INDEX('Price History'!H:H,MATCH(9.99E+307,'Price History'!$A:$A))-'Price History'!H3)*(ROW()-3)/(MATCH(9.99E+307,'Returns (Calc)'!$A:$A)-3),"")</f>
        <v>184.146100628931</v>
      </c>
      <c r="AD23" s="111" t="n">
        <f aca="false">IFERROR('Price History'!I3+(INDEX('Price History'!I:I,MATCH(9.99E+307,'Price History'!$A:$A))-'Price History'!I3)*(ROW()-3)/(MATCH(9.99E+307,'Returns (Calc)'!$A:$A)-3),"")</f>
        <v>64.6877358490566</v>
      </c>
      <c r="AE23" s="111" t="n">
        <f aca="false">IFERROR('Price History'!J3+(INDEX('Price History'!J:J,MATCH(9.99E+307,'Price History'!$A:$A))-'Price History'!J3)*(ROW()-3)/(MATCH(9.99E+307,'Returns (Calc)'!$A:$A)-3),"")</f>
        <v>125.249622641509</v>
      </c>
      <c r="AF23" s="111" t="n">
        <f aca="false">IFERROR('Price History'!K3+(INDEX('Price History'!K:K,MATCH(9.99E+307,'Price History'!$A:$A))-'Price History'!K3)*(ROW()-3)/(MATCH(9.99E+307,'Returns (Calc)'!$A:$A)-3),"")</f>
        <v>35.3999371069182</v>
      </c>
      <c r="AG23" s="111" t="n">
        <f aca="false">IFERROR('Price History'!L3+(INDEX('Price History'!L:L,MATCH(9.99E+307,'Price History'!$A:$A))-'Price History'!L3)*(ROW()-3)/(MATCH(9.99E+307,'Returns (Calc)'!$A:$A)-3),"")</f>
        <v>134.369874213836</v>
      </c>
      <c r="AH23" s="111" t="n">
        <f aca="false">IFERROR('Price History'!M3+(INDEX('Price History'!M:M,MATCH(9.99E+307,'Price History'!$A:$A))-'Price History'!M3)*(ROW()-3)/(MATCH(9.99E+307,'Returns (Calc)'!$A:$A)-3),"")</f>
        <v>64.5816981132076</v>
      </c>
      <c r="AI23" s="111" t="n">
        <f aca="false">IFERROR('Price History'!N3+(INDEX('Price History'!N:N,MATCH(9.99E+307,'Price History'!$A:$A))-'Price History'!N3)*(ROW()-3)/(MATCH(9.99E+307,'Returns (Calc)'!$A:$A)-3),"")</f>
        <v>374.54679245283</v>
      </c>
      <c r="AJ23" s="111" t="n">
        <f aca="false">IFERROR('Price History'!O3+(INDEX('Price History'!O:O,MATCH(9.99E+307,'Price History'!$A:$A))-'Price History'!O3)*(ROW()-3)/(MATCH(9.99E+307,'Returns (Calc)'!$A:$A)-3),"")</f>
        <v>88.3946540880503</v>
      </c>
      <c r="AK23" s="111" t="n">
        <f aca="false">IFERROR('Price History'!Q3+(INDEX('Price History'!Q:Q,MATCH(9.99E+307,'Price History'!$A:$A))-'Price History'!Q3)*(ROW()-3)/(MATCH(9.99E+307,'Returns (Calc)'!$A:$A)-3),"")</f>
        <v>52.3406289308176</v>
      </c>
      <c r="AL23" s="111" t="n">
        <f aca="false">IFERROR('Price History'!R3+(INDEX('Price History'!R:R,MATCH(9.99E+307,'Price History'!$A:$A))-'Price History'!R3)*(ROW()-3)/(MATCH(9.99E+307,'Returns (Calc)'!$A:$A)-3),"")</f>
        <v>49.3357232704403</v>
      </c>
      <c r="AM23" s="111" t="n">
        <f aca="false">IFERROR('Price History'!S3+(INDEX('Price History'!S:S,MATCH(9.99E+307,'Price History'!$A:$A))-'Price History'!S3)*(ROW()-3)/(MATCH(9.99E+307,'Returns (Calc)'!$A:$A)-3),"")</f>
        <v>70.0091823899371</v>
      </c>
      <c r="AN23" s="111" t="n">
        <f aca="false">IFERROR('Price History'!T3+(INDEX('Price History'!T:T,MATCH(9.99E+307,'Price History'!$A:$A))-'Price History'!T3)*(ROW()-3)/(MATCH(9.99E+307,'Returns (Calc)'!$A:$A)-3),"")</f>
        <v>30.4798113207547</v>
      </c>
      <c r="AO23" s="112" t="n">
        <f aca="false">IFERROR('Price History'!V3+(INDEX('Price History'!V:V,MATCH(9.99E+307,'Price History'!$A:$A))-'Price History'!V3)*(ROW()-3)/(MATCH(9.99E+307,'Returns (Calc)'!$A:$A)-3),"")</f>
        <v>47.1786163522013</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V24" s="110" t="n">
        <f aca="false">IFERROR(IF(OR(NOT(ISNUMBER('Price History'!V25)),NOT(ISNUMBER('Price History'!V24)),'Price History'!V24=0),"",'Price History'!V25/'Price History'!V24-1),"")</f>
        <v>0.0172583244879505</v>
      </c>
      <c r="W24" s="111" t="n">
        <f aca="false">IFERROR('Price History'!B3+(INDEX('Price History'!B:B,MATCH(9.99E+307,'Price History'!$A:$A))-'Price History'!B3)*(ROW()-3)/(MATCH(9.99E+307,'Returns (Calc)'!$A:$A)-3),"")</f>
        <v>476.495660377359</v>
      </c>
      <c r="X24" s="111" t="n">
        <f aca="false">IFERROR('Price History'!C3+(INDEX('Price History'!C:C,MATCH(9.99E+307,'Price History'!$A:$A))-'Price History'!C3)*(ROW()-3)/(MATCH(9.99E+307,'Returns (Calc)'!$A:$A)-3),"")</f>
        <v>63.5566037735849</v>
      </c>
      <c r="Y24" s="111" t="n">
        <f aca="false">IFERROR('Price History'!D3+(INDEX('Price History'!D:D,MATCH(9.99E+307,'Price History'!$A:$A))-'Price History'!D3)*(ROW()-3)/(MATCH(9.99E+307,'Returns (Calc)'!$A:$A)-3),"")</f>
        <v>800.868679245283</v>
      </c>
      <c r="Z24" s="111" t="n">
        <f aca="false">IFERROR('Price History'!E3+(INDEX('Price History'!E:E,MATCH(9.99E+307,'Price History'!$A:$A))-'Price History'!E3)*(ROW()-3)/(MATCH(9.99E+307,'Returns (Calc)'!$A:$A)-3),"")</f>
        <v>119.290188679245</v>
      </c>
      <c r="AA24" s="111" t="n">
        <f aca="false">IFERROR('Price History'!F3+(INDEX('Price History'!F:F,MATCH(9.99E+307,'Price History'!$A:$A))-'Price History'!F3)*(ROW()-3)/(MATCH(9.99E+307,'Returns (Calc)'!$A:$A)-3),"")</f>
        <v>60.3105660377359</v>
      </c>
      <c r="AB24" s="111" t="n">
        <f aca="false">IFERROR('Price History'!G3+(INDEX('Price History'!G:G,MATCH(9.99E+307,'Price History'!$A:$A))-'Price History'!G3)*(ROW()-3)/(MATCH(9.99E+307,'Returns (Calc)'!$A:$A)-3),"")</f>
        <v>66.0867924528302</v>
      </c>
      <c r="AC24" s="111" t="n">
        <f aca="false">IFERROR('Price History'!H3+(INDEX('Price History'!H:H,MATCH(9.99E+307,'Price History'!$A:$A))-'Price History'!H3)*(ROW()-3)/(MATCH(9.99E+307,'Returns (Calc)'!$A:$A)-3),"")</f>
        <v>190.134905660377</v>
      </c>
      <c r="AD24" s="111" t="n">
        <f aca="false">IFERROR('Price History'!I3+(INDEX('Price History'!I:I,MATCH(9.99E+307,'Price History'!$A:$A))-'Price History'!I3)*(ROW()-3)/(MATCH(9.99E+307,'Returns (Calc)'!$A:$A)-3),"")</f>
        <v>65.8796226415094</v>
      </c>
      <c r="AE24" s="111" t="n">
        <f aca="false">IFERROR('Price History'!J3+(INDEX('Price History'!J:J,MATCH(9.99E+307,'Price History'!$A:$A))-'Price History'!J3)*(ROW()-3)/(MATCH(9.99E+307,'Returns (Calc)'!$A:$A)-3),"")</f>
        <v>125.336603773585</v>
      </c>
      <c r="AF24" s="111" t="n">
        <f aca="false">IFERROR('Price History'!K3+(INDEX('Price History'!K:K,MATCH(9.99E+307,'Price History'!$A:$A))-'Price History'!K3)*(ROW()-3)/(MATCH(9.99E+307,'Returns (Calc)'!$A:$A)-3),"")</f>
        <v>36.3994339622642</v>
      </c>
      <c r="AG24" s="111" t="n">
        <f aca="false">IFERROR('Price History'!L3+(INDEX('Price History'!L:L,MATCH(9.99E+307,'Price History'!$A:$A))-'Price History'!L3)*(ROW()-3)/(MATCH(9.99E+307,'Returns (Calc)'!$A:$A)-3),"")</f>
        <v>136.488867924528</v>
      </c>
      <c r="AH24" s="111" t="n">
        <f aca="false">IFERROR('Price History'!M3+(INDEX('Price History'!M:M,MATCH(9.99E+307,'Price History'!$A:$A))-'Price History'!M3)*(ROW()-3)/(MATCH(9.99E+307,'Returns (Calc)'!$A:$A)-3),"")</f>
        <v>66.1352830188679</v>
      </c>
      <c r="AI24" s="111" t="n">
        <f aca="false">IFERROR('Price History'!N3+(INDEX('Price History'!N:N,MATCH(9.99E+307,'Price History'!$A:$A))-'Price History'!N3)*(ROW()-3)/(MATCH(9.99E+307,'Returns (Calc)'!$A:$A)-3),"")</f>
        <v>375.781132075472</v>
      </c>
      <c r="AJ24" s="111" t="n">
        <f aca="false">IFERROR('Price History'!O3+(INDEX('Price History'!O:O,MATCH(9.99E+307,'Price History'!$A:$A))-'Price History'!O3)*(ROW()-3)/(MATCH(9.99E+307,'Returns (Calc)'!$A:$A)-3),"")</f>
        <v>88.6718867924528</v>
      </c>
      <c r="AK24" s="111" t="n">
        <f aca="false">IFERROR('Price History'!Q3+(INDEX('Price History'!Q:Q,MATCH(9.99E+307,'Price History'!$A:$A))-'Price History'!Q3)*(ROW()-3)/(MATCH(9.99E+307,'Returns (Calc)'!$A:$A)-3),"")</f>
        <v>52.4656603773585</v>
      </c>
      <c r="AL24" s="111" t="n">
        <f aca="false">IFERROR('Price History'!R3+(INDEX('Price History'!R:R,MATCH(9.99E+307,'Price History'!$A:$A))-'Price History'!R3)*(ROW()-3)/(MATCH(9.99E+307,'Returns (Calc)'!$A:$A)-3),"")</f>
        <v>49.4115094339623</v>
      </c>
      <c r="AM24" s="111" t="n">
        <f aca="false">IFERROR('Price History'!S3+(INDEX('Price History'!S:S,MATCH(9.99E+307,'Price History'!$A:$A))-'Price History'!S3)*(ROW()-3)/(MATCH(9.99E+307,'Returns (Calc)'!$A:$A)-3),"")</f>
        <v>70.582641509434</v>
      </c>
      <c r="AN24" s="111" t="n">
        <f aca="false">IFERROR('Price History'!T3+(INDEX('Price History'!T:T,MATCH(9.99E+307,'Price History'!$A:$A))-'Price History'!T3)*(ROW()-3)/(MATCH(9.99E+307,'Returns (Calc)'!$A:$A)-3),"")</f>
        <v>30.6583018867925</v>
      </c>
      <c r="AO24" s="112" t="n">
        <f aca="false">IFERROR('Price History'!V3+(INDEX('Price History'!V:V,MATCH(9.99E+307,'Price History'!$A:$A))-'Price History'!V3)*(ROW()-3)/(MATCH(9.99E+307,'Returns (Calc)'!$A:$A)-3),"")</f>
        <v>49.5375471698113</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V25" s="110" t="n">
        <f aca="false">IFERROR(IF(OR(NOT(ISNUMBER('Price History'!V26)),NOT(ISNUMBER('Price History'!V25)),'Price History'!V25=0),"",'Price History'!V26/'Price History'!V25-1),"")</f>
        <v>0.0255062606276086</v>
      </c>
      <c r="W25" s="111" t="n">
        <f aca="false">IFERROR('Price History'!B3+(INDEX('Price History'!B:B,MATCH(9.99E+307,'Price History'!$A:$A))-'Price History'!B3)*(ROW()-3)/(MATCH(9.99E+307,'Returns (Calc)'!$A:$A)-3),"")</f>
        <v>474.974025157233</v>
      </c>
      <c r="X25" s="111" t="n">
        <f aca="false">IFERROR('Price History'!C3+(INDEX('Price History'!C:C,MATCH(9.99E+307,'Price History'!$A:$A))-'Price History'!C3)*(ROW()-3)/(MATCH(9.99E+307,'Returns (Calc)'!$A:$A)-3),"")</f>
        <v>64.500251572327</v>
      </c>
      <c r="Y25" s="111" t="n">
        <f aca="false">IFERROR('Price History'!D3+(INDEX('Price History'!D:D,MATCH(9.99E+307,'Price History'!$A:$A))-'Price History'!D3)*(ROW()-3)/(MATCH(9.99E+307,'Returns (Calc)'!$A:$A)-3),"")</f>
        <v>807.491949685535</v>
      </c>
      <c r="Z25" s="111" t="n">
        <f aca="false">IFERROR('Price History'!E3+(INDEX('Price History'!E:E,MATCH(9.99E+307,'Price History'!$A:$A))-'Price History'!E3)*(ROW()-3)/(MATCH(9.99E+307,'Returns (Calc)'!$A:$A)-3),"")</f>
        <v>121.019245283019</v>
      </c>
      <c r="AA25" s="111" t="n">
        <f aca="false">IFERROR('Price History'!F3+(INDEX('Price History'!F:F,MATCH(9.99E+307,'Price History'!$A:$A))-'Price History'!F3)*(ROW()-3)/(MATCH(9.99E+307,'Returns (Calc)'!$A:$A)-3),"")</f>
        <v>61.4177358490566</v>
      </c>
      <c r="AB25" s="111" t="n">
        <f aca="false">IFERROR('Price History'!G3+(INDEX('Price History'!G:G,MATCH(9.99E+307,'Price History'!$A:$A))-'Price History'!G3)*(ROW()-3)/(MATCH(9.99E+307,'Returns (Calc)'!$A:$A)-3),"")</f>
        <v>66.9528301886792</v>
      </c>
      <c r="AC25" s="111" t="n">
        <f aca="false">IFERROR('Price History'!H3+(INDEX('Price History'!H:H,MATCH(9.99E+307,'Price History'!$A:$A))-'Price History'!H3)*(ROW()-3)/(MATCH(9.99E+307,'Returns (Calc)'!$A:$A)-3),"")</f>
        <v>196.123710691824</v>
      </c>
      <c r="AD25" s="111" t="n">
        <f aca="false">IFERROR('Price History'!I3+(INDEX('Price History'!I:I,MATCH(9.99E+307,'Price History'!$A:$A))-'Price History'!I3)*(ROW()-3)/(MATCH(9.99E+307,'Returns (Calc)'!$A:$A)-3),"")</f>
        <v>67.0715094339623</v>
      </c>
      <c r="AE25" s="111" t="n">
        <f aca="false">IFERROR('Price History'!J3+(INDEX('Price History'!J:J,MATCH(9.99E+307,'Price History'!$A:$A))-'Price History'!J3)*(ROW()-3)/(MATCH(9.99E+307,'Returns (Calc)'!$A:$A)-3),"")</f>
        <v>125.42358490566</v>
      </c>
      <c r="AF25" s="111" t="n">
        <f aca="false">IFERROR('Price History'!K3+(INDEX('Price History'!K:K,MATCH(9.99E+307,'Price History'!$A:$A))-'Price History'!K3)*(ROW()-3)/(MATCH(9.99E+307,'Returns (Calc)'!$A:$A)-3),"")</f>
        <v>37.3989308176101</v>
      </c>
      <c r="AG25" s="111" t="n">
        <f aca="false">IFERROR('Price History'!L3+(INDEX('Price History'!L:L,MATCH(9.99E+307,'Price History'!$A:$A))-'Price History'!L3)*(ROW()-3)/(MATCH(9.99E+307,'Returns (Calc)'!$A:$A)-3),"")</f>
        <v>138.60786163522</v>
      </c>
      <c r="AH25" s="111" t="n">
        <f aca="false">IFERROR('Price History'!M3+(INDEX('Price History'!M:M,MATCH(9.99E+307,'Price History'!$A:$A))-'Price History'!M3)*(ROW()-3)/(MATCH(9.99E+307,'Returns (Calc)'!$A:$A)-3),"")</f>
        <v>67.6888679245283</v>
      </c>
      <c r="AI25" s="111" t="n">
        <f aca="false">IFERROR('Price History'!N3+(INDEX('Price History'!N:N,MATCH(9.99E+307,'Price History'!$A:$A))-'Price History'!N3)*(ROW()-3)/(MATCH(9.99E+307,'Returns (Calc)'!$A:$A)-3),"")</f>
        <v>377.015471698113</v>
      </c>
      <c r="AJ25" s="111" t="n">
        <f aca="false">IFERROR('Price History'!O3+(INDEX('Price History'!O:O,MATCH(9.99E+307,'Price History'!$A:$A))-'Price History'!O3)*(ROW()-3)/(MATCH(9.99E+307,'Returns (Calc)'!$A:$A)-3),"")</f>
        <v>88.9491194968554</v>
      </c>
      <c r="AK25" s="111" t="n">
        <f aca="false">IFERROR('Price History'!Q3+(INDEX('Price History'!Q:Q,MATCH(9.99E+307,'Price History'!$A:$A))-'Price History'!Q3)*(ROW()-3)/(MATCH(9.99E+307,'Returns (Calc)'!$A:$A)-3),"")</f>
        <v>52.5906918238994</v>
      </c>
      <c r="AL25" s="111" t="n">
        <f aca="false">IFERROR('Price History'!R3+(INDEX('Price History'!R:R,MATCH(9.99E+307,'Price History'!$A:$A))-'Price History'!R3)*(ROW()-3)/(MATCH(9.99E+307,'Returns (Calc)'!$A:$A)-3),"")</f>
        <v>49.4872955974843</v>
      </c>
      <c r="AM25" s="111" t="n">
        <f aca="false">IFERROR('Price History'!S3+(INDEX('Price History'!S:S,MATCH(9.99E+307,'Price History'!$A:$A))-'Price History'!S3)*(ROW()-3)/(MATCH(9.99E+307,'Returns (Calc)'!$A:$A)-3),"")</f>
        <v>71.1561006289308</v>
      </c>
      <c r="AN25" s="111" t="n">
        <f aca="false">IFERROR('Price History'!T3+(INDEX('Price History'!T:T,MATCH(9.99E+307,'Price History'!$A:$A))-'Price History'!T3)*(ROW()-3)/(MATCH(9.99E+307,'Returns (Calc)'!$A:$A)-3),"")</f>
        <v>30.8367924528302</v>
      </c>
      <c r="AO25" s="112" t="n">
        <f aca="false">IFERROR('Price History'!V3+(INDEX('Price History'!V:V,MATCH(9.99E+307,'Price History'!$A:$A))-'Price History'!V3)*(ROW()-3)/(MATCH(9.99E+307,'Returns (Calc)'!$A:$A)-3),"")</f>
        <v>51.8964779874214</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V26" s="110" t="n">
        <f aca="false">IFERROR(IF(OR(NOT(ISNUMBER('Price History'!V27)),NOT(ISNUMBER('Price History'!V26)),'Price History'!V26=0),"",'Price History'!V27/'Price History'!V26-1),"")</f>
        <v>-0.0109285498944831</v>
      </c>
      <c r="W26" s="111" t="n">
        <f aca="false">IFERROR('Price History'!B3+(INDEX('Price History'!B:B,MATCH(9.99E+307,'Price History'!$A:$A))-'Price History'!B3)*(ROW()-3)/(MATCH(9.99E+307,'Returns (Calc)'!$A:$A)-3),"")</f>
        <v>473.452389937107</v>
      </c>
      <c r="X26" s="111" t="n">
        <f aca="false">IFERROR('Price History'!C3+(INDEX('Price History'!C:C,MATCH(9.99E+307,'Price History'!$A:$A))-'Price History'!C3)*(ROW()-3)/(MATCH(9.99E+307,'Returns (Calc)'!$A:$A)-3),"")</f>
        <v>65.4438993710692</v>
      </c>
      <c r="Y26" s="111" t="n">
        <f aca="false">IFERROR('Price History'!D3+(INDEX('Price History'!D:D,MATCH(9.99E+307,'Price History'!$A:$A))-'Price History'!D3)*(ROW()-3)/(MATCH(9.99E+307,'Returns (Calc)'!$A:$A)-3),"")</f>
        <v>814.115220125786</v>
      </c>
      <c r="Z26" s="111" t="n">
        <f aca="false">IFERROR('Price History'!E3+(INDEX('Price History'!E:E,MATCH(9.99E+307,'Price History'!$A:$A))-'Price History'!E3)*(ROW()-3)/(MATCH(9.99E+307,'Returns (Calc)'!$A:$A)-3),"")</f>
        <v>122.748301886792</v>
      </c>
      <c r="AA26" s="111" t="n">
        <f aca="false">IFERROR('Price History'!F3+(INDEX('Price History'!F:F,MATCH(9.99E+307,'Price History'!$A:$A))-'Price History'!F3)*(ROW()-3)/(MATCH(9.99E+307,'Returns (Calc)'!$A:$A)-3),"")</f>
        <v>62.5249056603774</v>
      </c>
      <c r="AB26" s="111" t="n">
        <f aca="false">IFERROR('Price History'!G3+(INDEX('Price History'!G:G,MATCH(9.99E+307,'Price History'!$A:$A))-'Price History'!G3)*(ROW()-3)/(MATCH(9.99E+307,'Returns (Calc)'!$A:$A)-3),"")</f>
        <v>67.8188679245283</v>
      </c>
      <c r="AC26" s="111" t="n">
        <f aca="false">IFERROR('Price History'!H3+(INDEX('Price History'!H:H,MATCH(9.99E+307,'Price History'!$A:$A))-'Price History'!H3)*(ROW()-3)/(MATCH(9.99E+307,'Returns (Calc)'!$A:$A)-3),"")</f>
        <v>202.11251572327</v>
      </c>
      <c r="AD26" s="111" t="n">
        <f aca="false">IFERROR('Price History'!I3+(INDEX('Price History'!I:I,MATCH(9.99E+307,'Price History'!$A:$A))-'Price History'!I3)*(ROW()-3)/(MATCH(9.99E+307,'Returns (Calc)'!$A:$A)-3),"")</f>
        <v>68.2633962264151</v>
      </c>
      <c r="AE26" s="111" t="n">
        <f aca="false">IFERROR('Price History'!J3+(INDEX('Price History'!J:J,MATCH(9.99E+307,'Price History'!$A:$A))-'Price History'!J3)*(ROW()-3)/(MATCH(9.99E+307,'Returns (Calc)'!$A:$A)-3),"")</f>
        <v>125.510566037736</v>
      </c>
      <c r="AF26" s="111" t="n">
        <f aca="false">IFERROR('Price History'!K3+(INDEX('Price History'!K:K,MATCH(9.99E+307,'Price History'!$A:$A))-'Price History'!K3)*(ROW()-3)/(MATCH(9.99E+307,'Returns (Calc)'!$A:$A)-3),"")</f>
        <v>38.398427672956</v>
      </c>
      <c r="AG26" s="111" t="n">
        <f aca="false">IFERROR('Price History'!L3+(INDEX('Price History'!L:L,MATCH(9.99E+307,'Price History'!$A:$A))-'Price History'!L3)*(ROW()-3)/(MATCH(9.99E+307,'Returns (Calc)'!$A:$A)-3),"")</f>
        <v>140.726855345912</v>
      </c>
      <c r="AH26" s="111" t="n">
        <f aca="false">IFERROR('Price History'!M3+(INDEX('Price History'!M:M,MATCH(9.99E+307,'Price History'!$A:$A))-'Price History'!M3)*(ROW()-3)/(MATCH(9.99E+307,'Returns (Calc)'!$A:$A)-3),"")</f>
        <v>69.2424528301887</v>
      </c>
      <c r="AI26" s="111" t="n">
        <f aca="false">IFERROR('Price History'!N3+(INDEX('Price History'!N:N,MATCH(9.99E+307,'Price History'!$A:$A))-'Price History'!N3)*(ROW()-3)/(MATCH(9.99E+307,'Returns (Calc)'!$A:$A)-3),"")</f>
        <v>378.249811320755</v>
      </c>
      <c r="AJ26" s="111" t="n">
        <f aca="false">IFERROR('Price History'!O3+(INDEX('Price History'!O:O,MATCH(9.99E+307,'Price History'!$A:$A))-'Price History'!O3)*(ROW()-3)/(MATCH(9.99E+307,'Returns (Calc)'!$A:$A)-3),"")</f>
        <v>89.2263522012579</v>
      </c>
      <c r="AK26" s="111" t="n">
        <f aca="false">IFERROR('Price History'!Q3+(INDEX('Price History'!Q:Q,MATCH(9.99E+307,'Price History'!$A:$A))-'Price History'!Q3)*(ROW()-3)/(MATCH(9.99E+307,'Returns (Calc)'!$A:$A)-3),"")</f>
        <v>52.7157232704403</v>
      </c>
      <c r="AL26" s="111" t="n">
        <f aca="false">IFERROR('Price History'!R3+(INDEX('Price History'!R:R,MATCH(9.99E+307,'Price History'!$A:$A))-'Price History'!R3)*(ROW()-3)/(MATCH(9.99E+307,'Returns (Calc)'!$A:$A)-3),"")</f>
        <v>49.5630817610063</v>
      </c>
      <c r="AM26" s="111" t="n">
        <f aca="false">IFERROR('Price History'!S3+(INDEX('Price History'!S:S,MATCH(9.99E+307,'Price History'!$A:$A))-'Price History'!S3)*(ROW()-3)/(MATCH(9.99E+307,'Returns (Calc)'!$A:$A)-3),"")</f>
        <v>71.7295597484277</v>
      </c>
      <c r="AN26" s="111" t="n">
        <f aca="false">IFERROR('Price History'!T3+(INDEX('Price History'!T:T,MATCH(9.99E+307,'Price History'!$A:$A))-'Price History'!T3)*(ROW()-3)/(MATCH(9.99E+307,'Returns (Calc)'!$A:$A)-3),"")</f>
        <v>31.0152830188679</v>
      </c>
      <c r="AO26" s="112" t="n">
        <f aca="false">IFERROR('Price History'!V3+(INDEX('Price History'!V:V,MATCH(9.99E+307,'Price History'!$A:$A))-'Price History'!V3)*(ROW()-3)/(MATCH(9.99E+307,'Returns (Calc)'!$A:$A)-3),"")</f>
        <v>54.2554088050315</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V27" s="110" t="n">
        <f aca="false">IFERROR(IF(OR(NOT(ISNUMBER('Price History'!V28)),NOT(ISNUMBER('Price History'!V27)),'Price History'!V27=0),"",'Price History'!V28/'Price History'!V27-1),"")</f>
        <v>0.0344814447915873</v>
      </c>
      <c r="W27" s="111" t="n">
        <f aca="false">IFERROR('Price History'!B3+(INDEX('Price History'!B:B,MATCH(9.99E+307,'Price History'!$A:$A))-'Price History'!B3)*(ROW()-3)/(MATCH(9.99E+307,'Returns (Calc)'!$A:$A)-3),"")</f>
        <v>471.930754716981</v>
      </c>
      <c r="X27" s="111" t="n">
        <f aca="false">IFERROR('Price History'!C3+(INDEX('Price History'!C:C,MATCH(9.99E+307,'Price History'!$A:$A))-'Price History'!C3)*(ROW()-3)/(MATCH(9.99E+307,'Returns (Calc)'!$A:$A)-3),"")</f>
        <v>66.3875471698113</v>
      </c>
      <c r="Y27" s="111" t="n">
        <f aca="false">IFERROR('Price History'!D3+(INDEX('Price History'!D:D,MATCH(9.99E+307,'Price History'!$A:$A))-'Price History'!D3)*(ROW()-3)/(MATCH(9.99E+307,'Returns (Calc)'!$A:$A)-3),"")</f>
        <v>820.738490566038</v>
      </c>
      <c r="Z27" s="111" t="n">
        <f aca="false">IFERROR('Price History'!E3+(INDEX('Price History'!E:E,MATCH(9.99E+307,'Price History'!$A:$A))-'Price History'!E3)*(ROW()-3)/(MATCH(9.99E+307,'Returns (Calc)'!$A:$A)-3),"")</f>
        <v>124.477358490566</v>
      </c>
      <c r="AA27" s="111" t="n">
        <f aca="false">IFERROR('Price History'!F3+(INDEX('Price History'!F:F,MATCH(9.99E+307,'Price History'!$A:$A))-'Price History'!F3)*(ROW()-3)/(MATCH(9.99E+307,'Returns (Calc)'!$A:$A)-3),"")</f>
        <v>63.6320754716981</v>
      </c>
      <c r="AB27" s="111" t="n">
        <f aca="false">IFERROR('Price History'!G3+(INDEX('Price History'!G:G,MATCH(9.99E+307,'Price History'!$A:$A))-'Price History'!G3)*(ROW()-3)/(MATCH(9.99E+307,'Returns (Calc)'!$A:$A)-3),"")</f>
        <v>68.6849056603774</v>
      </c>
      <c r="AC27" s="111" t="n">
        <f aca="false">IFERROR('Price History'!H3+(INDEX('Price History'!H:H,MATCH(9.99E+307,'Price History'!$A:$A))-'Price History'!H3)*(ROW()-3)/(MATCH(9.99E+307,'Returns (Calc)'!$A:$A)-3),"")</f>
        <v>208.101320754717</v>
      </c>
      <c r="AD27" s="111" t="n">
        <f aca="false">IFERROR('Price History'!I3+(INDEX('Price History'!I:I,MATCH(9.99E+307,'Price History'!$A:$A))-'Price History'!I3)*(ROW()-3)/(MATCH(9.99E+307,'Returns (Calc)'!$A:$A)-3),"")</f>
        <v>69.4552830188679</v>
      </c>
      <c r="AE27" s="111" t="n">
        <f aca="false">IFERROR('Price History'!J3+(INDEX('Price History'!J:J,MATCH(9.99E+307,'Price History'!$A:$A))-'Price History'!J3)*(ROW()-3)/(MATCH(9.99E+307,'Returns (Calc)'!$A:$A)-3),"")</f>
        <v>125.597547169811</v>
      </c>
      <c r="AF27" s="111" t="n">
        <f aca="false">IFERROR('Price History'!K3+(INDEX('Price History'!K:K,MATCH(9.99E+307,'Price History'!$A:$A))-'Price History'!K3)*(ROW()-3)/(MATCH(9.99E+307,'Returns (Calc)'!$A:$A)-3),"")</f>
        <v>39.3979245283019</v>
      </c>
      <c r="AG27" s="111" t="n">
        <f aca="false">IFERROR('Price History'!L3+(INDEX('Price History'!L:L,MATCH(9.99E+307,'Price History'!$A:$A))-'Price History'!L3)*(ROW()-3)/(MATCH(9.99E+307,'Returns (Calc)'!$A:$A)-3),"")</f>
        <v>142.845849056604</v>
      </c>
      <c r="AH27" s="111" t="n">
        <f aca="false">IFERROR('Price History'!M3+(INDEX('Price History'!M:M,MATCH(9.99E+307,'Price History'!$A:$A))-'Price History'!M3)*(ROW()-3)/(MATCH(9.99E+307,'Returns (Calc)'!$A:$A)-3),"")</f>
        <v>70.7960377358491</v>
      </c>
      <c r="AI27" s="111" t="n">
        <f aca="false">IFERROR('Price History'!N3+(INDEX('Price History'!N:N,MATCH(9.99E+307,'Price History'!$A:$A))-'Price History'!N3)*(ROW()-3)/(MATCH(9.99E+307,'Returns (Calc)'!$A:$A)-3),"")</f>
        <v>379.484150943396</v>
      </c>
      <c r="AJ27" s="111" t="n">
        <f aca="false">IFERROR('Price History'!O3+(INDEX('Price History'!O:O,MATCH(9.99E+307,'Price History'!$A:$A))-'Price History'!O3)*(ROW()-3)/(MATCH(9.99E+307,'Returns (Calc)'!$A:$A)-3),"")</f>
        <v>89.5035849056604</v>
      </c>
      <c r="AK27" s="111" t="n">
        <f aca="false">IFERROR('Price History'!Q3+(INDEX('Price History'!Q:Q,MATCH(9.99E+307,'Price History'!$A:$A))-'Price History'!Q3)*(ROW()-3)/(MATCH(9.99E+307,'Returns (Calc)'!$A:$A)-3),"")</f>
        <v>52.8407547169811</v>
      </c>
      <c r="AL27" s="111" t="n">
        <f aca="false">IFERROR('Price History'!R3+(INDEX('Price History'!R:R,MATCH(9.99E+307,'Price History'!$A:$A))-'Price History'!R3)*(ROW()-3)/(MATCH(9.99E+307,'Returns (Calc)'!$A:$A)-3),"")</f>
        <v>49.6388679245283</v>
      </c>
      <c r="AM27" s="111" t="n">
        <f aca="false">IFERROR('Price History'!S3+(INDEX('Price History'!S:S,MATCH(9.99E+307,'Price History'!$A:$A))-'Price History'!S3)*(ROW()-3)/(MATCH(9.99E+307,'Returns (Calc)'!$A:$A)-3),"")</f>
        <v>72.3030188679245</v>
      </c>
      <c r="AN27" s="111" t="n">
        <f aca="false">IFERROR('Price History'!T3+(INDEX('Price History'!T:T,MATCH(9.99E+307,'Price History'!$A:$A))-'Price History'!T3)*(ROW()-3)/(MATCH(9.99E+307,'Returns (Calc)'!$A:$A)-3),"")</f>
        <v>31.1937735849057</v>
      </c>
      <c r="AO27" s="112" t="n">
        <f aca="false">IFERROR('Price History'!V3+(INDEX('Price History'!V:V,MATCH(9.99E+307,'Price History'!$A:$A))-'Price History'!V3)*(ROW()-3)/(MATCH(9.99E+307,'Returns (Calc)'!$A:$A)-3),"")</f>
        <v>56.6143396226415</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V28" s="110" t="n">
        <f aca="false">IFERROR(IF(OR(NOT(ISNUMBER('Price History'!V29)),NOT(ISNUMBER('Price History'!V28)),'Price History'!V28=0),"",'Price History'!V29/'Price History'!V28-1),"")</f>
        <v>-0.000847114286766648</v>
      </c>
      <c r="W28" s="111" t="n">
        <f aca="false">IFERROR('Price History'!B3+(INDEX('Price History'!B:B,MATCH(9.99E+307,'Price History'!$A:$A))-'Price History'!B3)*(ROW()-3)/(MATCH(9.99E+307,'Returns (Calc)'!$A:$A)-3),"")</f>
        <v>470.409119496855</v>
      </c>
      <c r="X28" s="111" t="n">
        <f aca="false">IFERROR('Price History'!C3+(INDEX('Price History'!C:C,MATCH(9.99E+307,'Price History'!$A:$A))-'Price History'!C3)*(ROW()-3)/(MATCH(9.99E+307,'Returns (Calc)'!$A:$A)-3),"")</f>
        <v>67.3311949685535</v>
      </c>
      <c r="Y28" s="111" t="n">
        <f aca="false">IFERROR('Price History'!D3+(INDEX('Price History'!D:D,MATCH(9.99E+307,'Price History'!$A:$A))-'Price History'!D3)*(ROW()-3)/(MATCH(9.99E+307,'Returns (Calc)'!$A:$A)-3),"")</f>
        <v>827.361761006289</v>
      </c>
      <c r="Z28" s="111" t="n">
        <f aca="false">IFERROR('Price History'!E3+(INDEX('Price History'!E:E,MATCH(9.99E+307,'Price History'!$A:$A))-'Price History'!E3)*(ROW()-3)/(MATCH(9.99E+307,'Returns (Calc)'!$A:$A)-3),"")</f>
        <v>126.20641509434</v>
      </c>
      <c r="AA28" s="111" t="n">
        <f aca="false">IFERROR('Price History'!F3+(INDEX('Price History'!F:F,MATCH(9.99E+307,'Price History'!$A:$A))-'Price History'!F3)*(ROW()-3)/(MATCH(9.99E+307,'Returns (Calc)'!$A:$A)-3),"")</f>
        <v>64.7392452830189</v>
      </c>
      <c r="AB28" s="111" t="n">
        <f aca="false">IFERROR('Price History'!G3+(INDEX('Price History'!G:G,MATCH(9.99E+307,'Price History'!$A:$A))-'Price History'!G3)*(ROW()-3)/(MATCH(9.99E+307,'Returns (Calc)'!$A:$A)-3),"")</f>
        <v>69.5509433962264</v>
      </c>
      <c r="AC28" s="111" t="n">
        <f aca="false">IFERROR('Price History'!H3+(INDEX('Price History'!H:H,MATCH(9.99E+307,'Price History'!$A:$A))-'Price History'!H3)*(ROW()-3)/(MATCH(9.99E+307,'Returns (Calc)'!$A:$A)-3),"")</f>
        <v>214.090125786164</v>
      </c>
      <c r="AD28" s="111" t="n">
        <f aca="false">IFERROR('Price History'!I3+(INDEX('Price History'!I:I,MATCH(9.99E+307,'Price History'!$A:$A))-'Price History'!I3)*(ROW()-3)/(MATCH(9.99E+307,'Returns (Calc)'!$A:$A)-3),"")</f>
        <v>70.6471698113208</v>
      </c>
      <c r="AE28" s="111" t="n">
        <f aca="false">IFERROR('Price History'!J3+(INDEX('Price History'!J:J,MATCH(9.99E+307,'Price History'!$A:$A))-'Price History'!J3)*(ROW()-3)/(MATCH(9.99E+307,'Returns (Calc)'!$A:$A)-3),"")</f>
        <v>125.684528301887</v>
      </c>
      <c r="AF28" s="111" t="n">
        <f aca="false">IFERROR('Price History'!K3+(INDEX('Price History'!K:K,MATCH(9.99E+307,'Price History'!$A:$A))-'Price History'!K3)*(ROW()-3)/(MATCH(9.99E+307,'Returns (Calc)'!$A:$A)-3),"")</f>
        <v>40.3974213836478</v>
      </c>
      <c r="AG28" s="111" t="n">
        <f aca="false">IFERROR('Price History'!L3+(INDEX('Price History'!L:L,MATCH(9.99E+307,'Price History'!$A:$A))-'Price History'!L3)*(ROW()-3)/(MATCH(9.99E+307,'Returns (Calc)'!$A:$A)-3),"")</f>
        <v>144.964842767296</v>
      </c>
      <c r="AH28" s="111" t="n">
        <f aca="false">IFERROR('Price History'!M3+(INDEX('Price History'!M:M,MATCH(9.99E+307,'Price History'!$A:$A))-'Price History'!M3)*(ROW()-3)/(MATCH(9.99E+307,'Returns (Calc)'!$A:$A)-3),"")</f>
        <v>72.3496226415094</v>
      </c>
      <c r="AI28" s="111" t="n">
        <f aca="false">IFERROR('Price History'!N3+(INDEX('Price History'!N:N,MATCH(9.99E+307,'Price History'!$A:$A))-'Price History'!N3)*(ROW()-3)/(MATCH(9.99E+307,'Returns (Calc)'!$A:$A)-3),"")</f>
        <v>380.718490566038</v>
      </c>
      <c r="AJ28" s="111" t="n">
        <f aca="false">IFERROR('Price History'!O3+(INDEX('Price History'!O:O,MATCH(9.99E+307,'Price History'!$A:$A))-'Price History'!O3)*(ROW()-3)/(MATCH(9.99E+307,'Returns (Calc)'!$A:$A)-3),"")</f>
        <v>89.7808176100629</v>
      </c>
      <c r="AK28" s="111" t="n">
        <f aca="false">IFERROR('Price History'!Q3+(INDEX('Price History'!Q:Q,MATCH(9.99E+307,'Price History'!$A:$A))-'Price History'!Q3)*(ROW()-3)/(MATCH(9.99E+307,'Returns (Calc)'!$A:$A)-3),"")</f>
        <v>52.965786163522</v>
      </c>
      <c r="AL28" s="111" t="n">
        <f aca="false">IFERROR('Price History'!R3+(INDEX('Price History'!R:R,MATCH(9.99E+307,'Price History'!$A:$A))-'Price History'!R3)*(ROW()-3)/(MATCH(9.99E+307,'Returns (Calc)'!$A:$A)-3),"")</f>
        <v>49.7146540880503</v>
      </c>
      <c r="AM28" s="111" t="n">
        <f aca="false">IFERROR('Price History'!S3+(INDEX('Price History'!S:S,MATCH(9.99E+307,'Price History'!$A:$A))-'Price History'!S3)*(ROW()-3)/(MATCH(9.99E+307,'Returns (Calc)'!$A:$A)-3),"")</f>
        <v>72.8764779874214</v>
      </c>
      <c r="AN28" s="111" t="n">
        <f aca="false">IFERROR('Price History'!T3+(INDEX('Price History'!T:T,MATCH(9.99E+307,'Price History'!$A:$A))-'Price History'!T3)*(ROW()-3)/(MATCH(9.99E+307,'Returns (Calc)'!$A:$A)-3),"")</f>
        <v>31.3722641509434</v>
      </c>
      <c r="AO28" s="112" t="n">
        <f aca="false">IFERROR('Price History'!V3+(INDEX('Price History'!V:V,MATCH(9.99E+307,'Price History'!$A:$A))-'Price History'!V3)*(ROW()-3)/(MATCH(9.99E+307,'Returns (Calc)'!$A:$A)-3),"")</f>
        <v>58.9732704402516</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V29" s="110" t="n">
        <f aca="false">IFERROR(IF(OR(NOT(ISNUMBER('Price History'!V30)),NOT(ISNUMBER('Price History'!V29)),'Price History'!V29=0),"",'Price History'!V30/'Price History'!V29-1),"")</f>
        <v>0.00770421704511959</v>
      </c>
      <c r="W29" s="111" t="n">
        <f aca="false">IFERROR('Price History'!B3+(INDEX('Price History'!B:B,MATCH(9.99E+307,'Price History'!$A:$A))-'Price History'!B3)*(ROW()-3)/(MATCH(9.99E+307,'Returns (Calc)'!$A:$A)-3),"")</f>
        <v>468.88748427673</v>
      </c>
      <c r="X29" s="111" t="n">
        <f aca="false">IFERROR('Price History'!C3+(INDEX('Price History'!C:C,MATCH(9.99E+307,'Price History'!$A:$A))-'Price History'!C3)*(ROW()-3)/(MATCH(9.99E+307,'Returns (Calc)'!$A:$A)-3),"")</f>
        <v>68.2748427672956</v>
      </c>
      <c r="Y29" s="111" t="n">
        <f aca="false">IFERROR('Price History'!D3+(INDEX('Price History'!D:D,MATCH(9.99E+307,'Price History'!$A:$A))-'Price History'!D3)*(ROW()-3)/(MATCH(9.99E+307,'Returns (Calc)'!$A:$A)-3),"")</f>
        <v>833.985031446541</v>
      </c>
      <c r="Z29" s="111" t="n">
        <f aca="false">IFERROR('Price History'!E3+(INDEX('Price History'!E:E,MATCH(9.99E+307,'Price History'!$A:$A))-'Price History'!E3)*(ROW()-3)/(MATCH(9.99E+307,'Returns (Calc)'!$A:$A)-3),"")</f>
        <v>127.935471698113</v>
      </c>
      <c r="AA29" s="111" t="n">
        <f aca="false">IFERROR('Price History'!F3+(INDEX('Price History'!F:F,MATCH(9.99E+307,'Price History'!$A:$A))-'Price History'!F3)*(ROW()-3)/(MATCH(9.99E+307,'Returns (Calc)'!$A:$A)-3),"")</f>
        <v>65.8464150943396</v>
      </c>
      <c r="AB29" s="111" t="n">
        <f aca="false">IFERROR('Price History'!G3+(INDEX('Price History'!G:G,MATCH(9.99E+307,'Price History'!$A:$A))-'Price History'!G3)*(ROW()-3)/(MATCH(9.99E+307,'Returns (Calc)'!$A:$A)-3),"")</f>
        <v>70.4169811320755</v>
      </c>
      <c r="AC29" s="111" t="n">
        <f aca="false">IFERROR('Price History'!H3+(INDEX('Price History'!H:H,MATCH(9.99E+307,'Price History'!$A:$A))-'Price History'!H3)*(ROW()-3)/(MATCH(9.99E+307,'Returns (Calc)'!$A:$A)-3),"")</f>
        <v>220.07893081761</v>
      </c>
      <c r="AD29" s="111" t="n">
        <f aca="false">IFERROR('Price History'!I3+(INDEX('Price History'!I:I,MATCH(9.99E+307,'Price History'!$A:$A))-'Price History'!I3)*(ROW()-3)/(MATCH(9.99E+307,'Returns (Calc)'!$A:$A)-3),"")</f>
        <v>71.8390566037736</v>
      </c>
      <c r="AE29" s="111" t="n">
        <f aca="false">IFERROR('Price History'!J3+(INDEX('Price History'!J:J,MATCH(9.99E+307,'Price History'!$A:$A))-'Price History'!J3)*(ROW()-3)/(MATCH(9.99E+307,'Returns (Calc)'!$A:$A)-3),"")</f>
        <v>125.771509433962</v>
      </c>
      <c r="AF29" s="111" t="n">
        <f aca="false">IFERROR('Price History'!K3+(INDEX('Price History'!K:K,MATCH(9.99E+307,'Price History'!$A:$A))-'Price History'!K3)*(ROW()-3)/(MATCH(9.99E+307,'Returns (Calc)'!$A:$A)-3),"")</f>
        <v>41.3969182389937</v>
      </c>
      <c r="AG29" s="111" t="n">
        <f aca="false">IFERROR('Price History'!L3+(INDEX('Price History'!L:L,MATCH(9.99E+307,'Price History'!$A:$A))-'Price History'!L3)*(ROW()-3)/(MATCH(9.99E+307,'Returns (Calc)'!$A:$A)-3),"")</f>
        <v>147.083836477987</v>
      </c>
      <c r="AH29" s="111" t="n">
        <f aca="false">IFERROR('Price History'!M3+(INDEX('Price History'!M:M,MATCH(9.99E+307,'Price History'!$A:$A))-'Price History'!M3)*(ROW()-3)/(MATCH(9.99E+307,'Returns (Calc)'!$A:$A)-3),"")</f>
        <v>73.9032075471698</v>
      </c>
      <c r="AI29" s="111" t="n">
        <f aca="false">IFERROR('Price History'!N3+(INDEX('Price History'!N:N,MATCH(9.99E+307,'Price History'!$A:$A))-'Price History'!N3)*(ROW()-3)/(MATCH(9.99E+307,'Returns (Calc)'!$A:$A)-3),"")</f>
        <v>381.952830188679</v>
      </c>
      <c r="AJ29" s="111" t="n">
        <f aca="false">IFERROR('Price History'!O3+(INDEX('Price History'!O:O,MATCH(9.99E+307,'Price History'!$A:$A))-'Price History'!O3)*(ROW()-3)/(MATCH(9.99E+307,'Returns (Calc)'!$A:$A)-3),"")</f>
        <v>90.0580503144654</v>
      </c>
      <c r="AK29" s="111" t="n">
        <f aca="false">IFERROR('Price History'!Q3+(INDEX('Price History'!Q:Q,MATCH(9.99E+307,'Price History'!$A:$A))-'Price History'!Q3)*(ROW()-3)/(MATCH(9.99E+307,'Returns (Calc)'!$A:$A)-3),"")</f>
        <v>53.0908176100629</v>
      </c>
      <c r="AL29" s="111" t="n">
        <f aca="false">IFERROR('Price History'!R3+(INDEX('Price History'!R:R,MATCH(9.99E+307,'Price History'!$A:$A))-'Price History'!R3)*(ROW()-3)/(MATCH(9.99E+307,'Returns (Calc)'!$A:$A)-3),"")</f>
        <v>49.7904402515723</v>
      </c>
      <c r="AM29" s="111" t="n">
        <f aca="false">IFERROR('Price History'!S3+(INDEX('Price History'!S:S,MATCH(9.99E+307,'Price History'!$A:$A))-'Price History'!S3)*(ROW()-3)/(MATCH(9.99E+307,'Returns (Calc)'!$A:$A)-3),"")</f>
        <v>73.4499371069182</v>
      </c>
      <c r="AN29" s="111" t="n">
        <f aca="false">IFERROR('Price History'!T3+(INDEX('Price History'!T:T,MATCH(9.99E+307,'Price History'!$A:$A))-'Price History'!T3)*(ROW()-3)/(MATCH(9.99E+307,'Returns (Calc)'!$A:$A)-3),"")</f>
        <v>31.5507547169811</v>
      </c>
      <c r="AO29" s="112" t="n">
        <f aca="false">IFERROR('Price History'!V3+(INDEX('Price History'!V:V,MATCH(9.99E+307,'Price History'!$A:$A))-'Price History'!V3)*(ROW()-3)/(MATCH(9.99E+307,'Returns (Calc)'!$A:$A)-3),"")</f>
        <v>61.3322012578616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V30" s="110" t="n">
        <f aca="false">IFERROR(IF(OR(NOT(ISNUMBER('Price History'!V31)),NOT(ISNUMBER('Price History'!V30)),'Price History'!V30=0),"",'Price History'!V31/'Price History'!V30-1),"")</f>
        <v>0.0180707466071623</v>
      </c>
      <c r="W30" s="111" t="n">
        <f aca="false">IFERROR('Price History'!B3+(INDEX('Price History'!B:B,MATCH(9.99E+307,'Price History'!$A:$A))-'Price History'!B3)*(ROW()-3)/(MATCH(9.99E+307,'Returns (Calc)'!$A:$A)-3),"")</f>
        <v>467.365849056604</v>
      </c>
      <c r="X30" s="111" t="n">
        <f aca="false">IFERROR('Price History'!C3+(INDEX('Price History'!C:C,MATCH(9.99E+307,'Price History'!$A:$A))-'Price History'!C3)*(ROW()-3)/(MATCH(9.99E+307,'Returns (Calc)'!$A:$A)-3),"")</f>
        <v>69.2184905660377</v>
      </c>
      <c r="Y30" s="111" t="n">
        <f aca="false">IFERROR('Price History'!D3+(INDEX('Price History'!D:D,MATCH(9.99E+307,'Price History'!$A:$A))-'Price History'!D3)*(ROW()-3)/(MATCH(9.99E+307,'Returns (Calc)'!$A:$A)-3),"")</f>
        <v>840.608301886792</v>
      </c>
      <c r="Z30" s="111" t="n">
        <f aca="false">IFERROR('Price History'!E3+(INDEX('Price History'!E:E,MATCH(9.99E+307,'Price History'!$A:$A))-'Price History'!E3)*(ROW()-3)/(MATCH(9.99E+307,'Returns (Calc)'!$A:$A)-3),"")</f>
        <v>129.664528301887</v>
      </c>
      <c r="AA30" s="111" t="n">
        <f aca="false">IFERROR('Price History'!F3+(INDEX('Price History'!F:F,MATCH(9.99E+307,'Price History'!$A:$A))-'Price History'!F3)*(ROW()-3)/(MATCH(9.99E+307,'Returns (Calc)'!$A:$A)-3),"")</f>
        <v>66.9535849056604</v>
      </c>
      <c r="AB30" s="111" t="n">
        <f aca="false">IFERROR('Price History'!G3+(INDEX('Price History'!G:G,MATCH(9.99E+307,'Price History'!$A:$A))-'Price History'!G3)*(ROW()-3)/(MATCH(9.99E+307,'Returns (Calc)'!$A:$A)-3),"")</f>
        <v>71.2830188679245</v>
      </c>
      <c r="AC30" s="111" t="n">
        <f aca="false">IFERROR('Price History'!H3+(INDEX('Price History'!H:H,MATCH(9.99E+307,'Price History'!$A:$A))-'Price History'!H3)*(ROW()-3)/(MATCH(9.99E+307,'Returns (Calc)'!$A:$A)-3),"")</f>
        <v>226.067735849057</v>
      </c>
      <c r="AD30" s="111" t="n">
        <f aca="false">IFERROR('Price History'!I3+(INDEX('Price History'!I:I,MATCH(9.99E+307,'Price History'!$A:$A))-'Price History'!I3)*(ROW()-3)/(MATCH(9.99E+307,'Returns (Calc)'!$A:$A)-3),"")</f>
        <v>73.0309433962264</v>
      </c>
      <c r="AE30" s="111" t="n">
        <f aca="false">IFERROR('Price History'!J3+(INDEX('Price History'!J:J,MATCH(9.99E+307,'Price History'!$A:$A))-'Price History'!J3)*(ROW()-3)/(MATCH(9.99E+307,'Returns (Calc)'!$A:$A)-3),"")</f>
        <v>125.858490566038</v>
      </c>
      <c r="AF30" s="111" t="n">
        <f aca="false">IFERROR('Price History'!K3+(INDEX('Price History'!K:K,MATCH(9.99E+307,'Price History'!$A:$A))-'Price History'!K3)*(ROW()-3)/(MATCH(9.99E+307,'Returns (Calc)'!$A:$A)-3),"")</f>
        <v>42.3964150943396</v>
      </c>
      <c r="AG30" s="111" t="n">
        <f aca="false">IFERROR('Price History'!L3+(INDEX('Price History'!L:L,MATCH(9.99E+307,'Price History'!$A:$A))-'Price History'!L3)*(ROW()-3)/(MATCH(9.99E+307,'Returns (Calc)'!$A:$A)-3),"")</f>
        <v>149.202830188679</v>
      </c>
      <c r="AH30" s="111" t="n">
        <f aca="false">IFERROR('Price History'!M3+(INDEX('Price History'!M:M,MATCH(9.99E+307,'Price History'!$A:$A))-'Price History'!M3)*(ROW()-3)/(MATCH(9.99E+307,'Returns (Calc)'!$A:$A)-3),"")</f>
        <v>75.4567924528302</v>
      </c>
      <c r="AI30" s="111" t="n">
        <f aca="false">IFERROR('Price History'!N3+(INDEX('Price History'!N:N,MATCH(9.99E+307,'Price History'!$A:$A))-'Price History'!N3)*(ROW()-3)/(MATCH(9.99E+307,'Returns (Calc)'!$A:$A)-3),"")</f>
        <v>383.187169811321</v>
      </c>
      <c r="AJ30" s="111" t="n">
        <f aca="false">IFERROR('Price History'!O3+(INDEX('Price History'!O:O,MATCH(9.99E+307,'Price History'!$A:$A))-'Price History'!O3)*(ROW()-3)/(MATCH(9.99E+307,'Returns (Calc)'!$A:$A)-3),"")</f>
        <v>90.3352830188679</v>
      </c>
      <c r="AK30" s="111" t="n">
        <f aca="false">IFERROR('Price History'!Q3+(INDEX('Price History'!Q:Q,MATCH(9.99E+307,'Price History'!$A:$A))-'Price History'!Q3)*(ROW()-3)/(MATCH(9.99E+307,'Returns (Calc)'!$A:$A)-3),"")</f>
        <v>53.2158490566038</v>
      </c>
      <c r="AL30" s="111" t="n">
        <f aca="false">IFERROR('Price History'!R3+(INDEX('Price History'!R:R,MATCH(9.99E+307,'Price History'!$A:$A))-'Price History'!R3)*(ROW()-3)/(MATCH(9.99E+307,'Returns (Calc)'!$A:$A)-3),"")</f>
        <v>49.8662264150943</v>
      </c>
      <c r="AM30" s="111" t="n">
        <f aca="false">IFERROR('Price History'!S3+(INDEX('Price History'!S:S,MATCH(9.99E+307,'Price History'!$A:$A))-'Price History'!S3)*(ROW()-3)/(MATCH(9.99E+307,'Returns (Calc)'!$A:$A)-3),"")</f>
        <v>74.0233962264151</v>
      </c>
      <c r="AN30" s="111" t="n">
        <f aca="false">IFERROR('Price History'!T3+(INDEX('Price History'!T:T,MATCH(9.99E+307,'Price History'!$A:$A))-'Price History'!T3)*(ROW()-3)/(MATCH(9.99E+307,'Returns (Calc)'!$A:$A)-3),"")</f>
        <v>31.7292452830189</v>
      </c>
      <c r="AO30" s="112" t="n">
        <f aca="false">IFERROR('Price History'!V3+(INDEX('Price History'!V:V,MATCH(9.99E+307,'Price History'!$A:$A))-'Price History'!V3)*(ROW()-3)/(MATCH(9.99E+307,'Returns (Calc)'!$A:$A)-3),"")</f>
        <v>63.6911320754717</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V31" s="110" t="n">
        <f aca="false">IFERROR(IF(OR(NOT(ISNUMBER('Price History'!V32)),NOT(ISNUMBER('Price History'!V31)),'Price History'!V31=0),"",'Price History'!V32/'Price History'!V31-1),"")</f>
        <v>-0.00154503970392728</v>
      </c>
      <c r="W31" s="111" t="n">
        <f aca="false">IFERROR('Price History'!B3+(INDEX('Price History'!B:B,MATCH(9.99E+307,'Price History'!$A:$A))-'Price History'!B3)*(ROW()-3)/(MATCH(9.99E+307,'Returns (Calc)'!$A:$A)-3),"")</f>
        <v>465.844213836478</v>
      </c>
      <c r="X31" s="111" t="n">
        <f aca="false">IFERROR('Price History'!C3+(INDEX('Price History'!C:C,MATCH(9.99E+307,'Price History'!$A:$A))-'Price History'!C3)*(ROW()-3)/(MATCH(9.99E+307,'Returns (Calc)'!$A:$A)-3),"")</f>
        <v>70.1621383647799</v>
      </c>
      <c r="Y31" s="111" t="n">
        <f aca="false">IFERROR('Price History'!D3+(INDEX('Price History'!D:D,MATCH(9.99E+307,'Price History'!$A:$A))-'Price History'!D3)*(ROW()-3)/(MATCH(9.99E+307,'Returns (Calc)'!$A:$A)-3),"")</f>
        <v>847.231572327044</v>
      </c>
      <c r="Z31" s="111" t="n">
        <f aca="false">IFERROR('Price History'!E3+(INDEX('Price History'!E:E,MATCH(9.99E+307,'Price History'!$A:$A))-'Price History'!E3)*(ROW()-3)/(MATCH(9.99E+307,'Returns (Calc)'!$A:$A)-3),"")</f>
        <v>131.39358490566</v>
      </c>
      <c r="AA31" s="111" t="n">
        <f aca="false">IFERROR('Price History'!F3+(INDEX('Price History'!F:F,MATCH(9.99E+307,'Price History'!$A:$A))-'Price History'!F3)*(ROW()-3)/(MATCH(9.99E+307,'Returns (Calc)'!$A:$A)-3),"")</f>
        <v>68.0607547169811</v>
      </c>
      <c r="AB31" s="111" t="n">
        <f aca="false">IFERROR('Price History'!G3+(INDEX('Price History'!G:G,MATCH(9.99E+307,'Price History'!$A:$A))-'Price History'!G3)*(ROW()-3)/(MATCH(9.99E+307,'Returns (Calc)'!$A:$A)-3),"")</f>
        <v>72.1490566037736</v>
      </c>
      <c r="AC31" s="111" t="n">
        <f aca="false">IFERROR('Price History'!H3+(INDEX('Price History'!H:H,MATCH(9.99E+307,'Price History'!$A:$A))-'Price History'!H3)*(ROW()-3)/(MATCH(9.99E+307,'Returns (Calc)'!$A:$A)-3),"")</f>
        <v>232.056540880503</v>
      </c>
      <c r="AD31" s="111" t="n">
        <f aca="false">IFERROR('Price History'!I3+(INDEX('Price History'!I:I,MATCH(9.99E+307,'Price History'!$A:$A))-'Price History'!I3)*(ROW()-3)/(MATCH(9.99E+307,'Returns (Calc)'!$A:$A)-3),"")</f>
        <v>74.2228301886793</v>
      </c>
      <c r="AE31" s="111" t="n">
        <f aca="false">IFERROR('Price History'!J3+(INDEX('Price History'!J:J,MATCH(9.99E+307,'Price History'!$A:$A))-'Price History'!J3)*(ROW()-3)/(MATCH(9.99E+307,'Returns (Calc)'!$A:$A)-3),"")</f>
        <v>125.945471698113</v>
      </c>
      <c r="AF31" s="111" t="n">
        <f aca="false">IFERROR('Price History'!K3+(INDEX('Price History'!K:K,MATCH(9.99E+307,'Price History'!$A:$A))-'Price History'!K3)*(ROW()-3)/(MATCH(9.99E+307,'Returns (Calc)'!$A:$A)-3),"")</f>
        <v>43.3959119496855</v>
      </c>
      <c r="AG31" s="111" t="n">
        <f aca="false">IFERROR('Price History'!L3+(INDEX('Price History'!L:L,MATCH(9.99E+307,'Price History'!$A:$A))-'Price History'!L3)*(ROW()-3)/(MATCH(9.99E+307,'Returns (Calc)'!$A:$A)-3),"")</f>
        <v>151.321823899371</v>
      </c>
      <c r="AH31" s="111" t="n">
        <f aca="false">IFERROR('Price History'!M3+(INDEX('Price History'!M:M,MATCH(9.99E+307,'Price History'!$A:$A))-'Price History'!M3)*(ROW()-3)/(MATCH(9.99E+307,'Returns (Calc)'!$A:$A)-3),"")</f>
        <v>77.0103773584906</v>
      </c>
      <c r="AI31" s="111" t="n">
        <f aca="false">IFERROR('Price History'!N3+(INDEX('Price History'!N:N,MATCH(9.99E+307,'Price History'!$A:$A))-'Price History'!N3)*(ROW()-3)/(MATCH(9.99E+307,'Returns (Calc)'!$A:$A)-3),"")</f>
        <v>384.421509433962</v>
      </c>
      <c r="AJ31" s="111" t="n">
        <f aca="false">IFERROR('Price History'!O3+(INDEX('Price History'!O:O,MATCH(9.99E+307,'Price History'!$A:$A))-'Price History'!O3)*(ROW()-3)/(MATCH(9.99E+307,'Returns (Calc)'!$A:$A)-3),"")</f>
        <v>90.6125157232704</v>
      </c>
      <c r="AK31" s="111" t="n">
        <f aca="false">IFERROR('Price History'!Q3+(INDEX('Price History'!Q:Q,MATCH(9.99E+307,'Price History'!$A:$A))-'Price History'!Q3)*(ROW()-3)/(MATCH(9.99E+307,'Returns (Calc)'!$A:$A)-3),"")</f>
        <v>53.3408805031447</v>
      </c>
      <c r="AL31" s="111" t="n">
        <f aca="false">IFERROR('Price History'!R3+(INDEX('Price History'!R:R,MATCH(9.99E+307,'Price History'!$A:$A))-'Price History'!R3)*(ROW()-3)/(MATCH(9.99E+307,'Returns (Calc)'!$A:$A)-3),"")</f>
        <v>49.9420125786164</v>
      </c>
      <c r="AM31" s="111" t="n">
        <f aca="false">IFERROR('Price History'!S3+(INDEX('Price History'!S:S,MATCH(9.99E+307,'Price History'!$A:$A))-'Price History'!S3)*(ROW()-3)/(MATCH(9.99E+307,'Returns (Calc)'!$A:$A)-3),"")</f>
        <v>74.596855345912</v>
      </c>
      <c r="AN31" s="111" t="n">
        <f aca="false">IFERROR('Price History'!T3+(INDEX('Price History'!T:T,MATCH(9.99E+307,'Price History'!$A:$A))-'Price History'!T3)*(ROW()-3)/(MATCH(9.99E+307,'Returns (Calc)'!$A:$A)-3),"")</f>
        <v>31.9077358490566</v>
      </c>
      <c r="AO31" s="112" t="n">
        <f aca="false">IFERROR('Price History'!V3+(INDEX('Price History'!V:V,MATCH(9.99E+307,'Price History'!$A:$A))-'Price History'!V3)*(ROW()-3)/(MATCH(9.99E+307,'Returns (Calc)'!$A:$A)-3),"")</f>
        <v>66.0500628930818</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V32" s="110" t="n">
        <f aca="false">IFERROR(IF(OR(NOT(ISNUMBER('Price History'!V33)),NOT(ISNUMBER('Price History'!V32)),'Price History'!V32=0),"",'Price History'!V33/'Price History'!V32-1),"")</f>
        <v>-0.0110119476032819</v>
      </c>
      <c r="W32" s="111" t="n">
        <f aca="false">IFERROR('Price History'!B3+(INDEX('Price History'!B:B,MATCH(9.99E+307,'Price History'!$A:$A))-'Price History'!B3)*(ROW()-3)/(MATCH(9.99E+307,'Returns (Calc)'!$A:$A)-3),"")</f>
        <v>464.322578616352</v>
      </c>
      <c r="X32" s="111" t="n">
        <f aca="false">IFERROR('Price History'!C3+(INDEX('Price History'!C:C,MATCH(9.99E+307,'Price History'!$A:$A))-'Price History'!C3)*(ROW()-3)/(MATCH(9.99E+307,'Returns (Calc)'!$A:$A)-3),"")</f>
        <v>71.105786163522</v>
      </c>
      <c r="Y32" s="111" t="n">
        <f aca="false">IFERROR('Price History'!D3+(INDEX('Price History'!D:D,MATCH(9.99E+307,'Price History'!$A:$A))-'Price History'!D3)*(ROW()-3)/(MATCH(9.99E+307,'Returns (Calc)'!$A:$A)-3),"")</f>
        <v>853.854842767296</v>
      </c>
      <c r="Z32" s="111" t="n">
        <f aca="false">IFERROR('Price History'!E3+(INDEX('Price History'!E:E,MATCH(9.99E+307,'Price History'!$A:$A))-'Price History'!E3)*(ROW()-3)/(MATCH(9.99E+307,'Returns (Calc)'!$A:$A)-3),"")</f>
        <v>133.122641509434</v>
      </c>
      <c r="AA32" s="111" t="n">
        <f aca="false">IFERROR('Price History'!F3+(INDEX('Price History'!F:F,MATCH(9.99E+307,'Price History'!$A:$A))-'Price History'!F3)*(ROW()-3)/(MATCH(9.99E+307,'Returns (Calc)'!$A:$A)-3),"")</f>
        <v>69.1679245283019</v>
      </c>
      <c r="AB32" s="111" t="n">
        <f aca="false">IFERROR('Price History'!G3+(INDEX('Price History'!G:G,MATCH(9.99E+307,'Price History'!$A:$A))-'Price History'!G3)*(ROW()-3)/(MATCH(9.99E+307,'Returns (Calc)'!$A:$A)-3),"")</f>
        <v>73.0150943396226</v>
      </c>
      <c r="AC32" s="111" t="n">
        <f aca="false">IFERROR('Price History'!H3+(INDEX('Price History'!H:H,MATCH(9.99E+307,'Price History'!$A:$A))-'Price History'!H3)*(ROW()-3)/(MATCH(9.99E+307,'Returns (Calc)'!$A:$A)-3),"")</f>
        <v>238.04534591195</v>
      </c>
      <c r="AD32" s="111" t="n">
        <f aca="false">IFERROR('Price History'!I3+(INDEX('Price History'!I:I,MATCH(9.99E+307,'Price History'!$A:$A))-'Price History'!I3)*(ROW()-3)/(MATCH(9.99E+307,'Returns (Calc)'!$A:$A)-3),"")</f>
        <v>75.4147169811321</v>
      </c>
      <c r="AE32" s="111" t="n">
        <f aca="false">IFERROR('Price History'!J3+(INDEX('Price History'!J:J,MATCH(9.99E+307,'Price History'!$A:$A))-'Price History'!J3)*(ROW()-3)/(MATCH(9.99E+307,'Returns (Calc)'!$A:$A)-3),"")</f>
        <v>126.032452830189</v>
      </c>
      <c r="AF32" s="111" t="n">
        <f aca="false">IFERROR('Price History'!K3+(INDEX('Price History'!K:K,MATCH(9.99E+307,'Price History'!$A:$A))-'Price History'!K3)*(ROW()-3)/(MATCH(9.99E+307,'Returns (Calc)'!$A:$A)-3),"")</f>
        <v>44.3954088050315</v>
      </c>
      <c r="AG32" s="111" t="n">
        <f aca="false">IFERROR('Price History'!L3+(INDEX('Price History'!L:L,MATCH(9.99E+307,'Price History'!$A:$A))-'Price History'!L3)*(ROW()-3)/(MATCH(9.99E+307,'Returns (Calc)'!$A:$A)-3),"")</f>
        <v>153.440817610063</v>
      </c>
      <c r="AH32" s="111" t="n">
        <f aca="false">IFERROR('Price History'!M3+(INDEX('Price History'!M:M,MATCH(9.99E+307,'Price History'!$A:$A))-'Price History'!M3)*(ROW()-3)/(MATCH(9.99E+307,'Returns (Calc)'!$A:$A)-3),"")</f>
        <v>78.5639622641509</v>
      </c>
      <c r="AI32" s="111" t="n">
        <f aca="false">IFERROR('Price History'!N3+(INDEX('Price History'!N:N,MATCH(9.99E+307,'Price History'!$A:$A))-'Price History'!N3)*(ROW()-3)/(MATCH(9.99E+307,'Returns (Calc)'!$A:$A)-3),"")</f>
        <v>385.655849056604</v>
      </c>
      <c r="AJ32" s="111" t="n">
        <f aca="false">IFERROR('Price History'!O3+(INDEX('Price History'!O:O,MATCH(9.99E+307,'Price History'!$A:$A))-'Price History'!O3)*(ROW()-3)/(MATCH(9.99E+307,'Returns (Calc)'!$A:$A)-3),"")</f>
        <v>90.889748427673</v>
      </c>
      <c r="AK32" s="111" t="n">
        <f aca="false">IFERROR('Price History'!Q3+(INDEX('Price History'!Q:Q,MATCH(9.99E+307,'Price History'!$A:$A))-'Price History'!Q3)*(ROW()-3)/(MATCH(9.99E+307,'Returns (Calc)'!$A:$A)-3),"")</f>
        <v>53.4659119496855</v>
      </c>
      <c r="AL32" s="111" t="n">
        <f aca="false">IFERROR('Price History'!R3+(INDEX('Price History'!R:R,MATCH(9.99E+307,'Price History'!$A:$A))-'Price History'!R3)*(ROW()-3)/(MATCH(9.99E+307,'Returns (Calc)'!$A:$A)-3),"")</f>
        <v>50.0177987421384</v>
      </c>
      <c r="AM32" s="111" t="n">
        <f aca="false">IFERROR('Price History'!S3+(INDEX('Price History'!S:S,MATCH(9.99E+307,'Price History'!$A:$A))-'Price History'!S3)*(ROW()-3)/(MATCH(9.99E+307,'Returns (Calc)'!$A:$A)-3),"")</f>
        <v>75.1703144654088</v>
      </c>
      <c r="AN32" s="111" t="n">
        <f aca="false">IFERROR('Price History'!T3+(INDEX('Price History'!T:T,MATCH(9.99E+307,'Price History'!$A:$A))-'Price History'!T3)*(ROW()-3)/(MATCH(9.99E+307,'Returns (Calc)'!$A:$A)-3),"")</f>
        <v>32.0862264150943</v>
      </c>
      <c r="AO32" s="112" t="n">
        <f aca="false">IFERROR('Price History'!V3+(INDEX('Price History'!V:V,MATCH(9.99E+307,'Price History'!$A:$A))-'Price History'!V3)*(ROW()-3)/(MATCH(9.99E+307,'Returns (Calc)'!$A:$A)-3),"")</f>
        <v>68.4089937106918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V33" s="110" t="n">
        <f aca="false">IFERROR(IF(OR(NOT(ISNUMBER('Price History'!V34)),NOT(ISNUMBER('Price History'!V33)),'Price History'!V33=0),"",'Price History'!V34/'Price History'!V33-1),"")</f>
        <v>0.0106979113601631</v>
      </c>
      <c r="W33" s="111" t="n">
        <f aca="false">IFERROR('Price History'!B3+(INDEX('Price History'!B:B,MATCH(9.99E+307,'Price History'!$A:$A))-'Price History'!B3)*(ROW()-3)/(MATCH(9.99E+307,'Returns (Calc)'!$A:$A)-3),"")</f>
        <v>462.800943396226</v>
      </c>
      <c r="X33" s="111" t="n">
        <f aca="false">IFERROR('Price History'!C3+(INDEX('Price History'!C:C,MATCH(9.99E+307,'Price History'!$A:$A))-'Price History'!C3)*(ROW()-3)/(MATCH(9.99E+307,'Returns (Calc)'!$A:$A)-3),"")</f>
        <v>72.0494339622642</v>
      </c>
      <c r="Y33" s="111" t="n">
        <f aca="false">IFERROR('Price History'!D3+(INDEX('Price History'!D:D,MATCH(9.99E+307,'Price History'!$A:$A))-'Price History'!D3)*(ROW()-3)/(MATCH(9.99E+307,'Returns (Calc)'!$A:$A)-3),"")</f>
        <v>860.478113207547</v>
      </c>
      <c r="Z33" s="111" t="n">
        <f aca="false">IFERROR('Price History'!E3+(INDEX('Price History'!E:E,MATCH(9.99E+307,'Price History'!$A:$A))-'Price History'!E3)*(ROW()-3)/(MATCH(9.99E+307,'Returns (Calc)'!$A:$A)-3),"")</f>
        <v>134.851698113208</v>
      </c>
      <c r="AA33" s="111" t="n">
        <f aca="false">IFERROR('Price History'!F3+(INDEX('Price History'!F:F,MATCH(9.99E+307,'Price History'!$A:$A))-'Price History'!F3)*(ROW()-3)/(MATCH(9.99E+307,'Returns (Calc)'!$A:$A)-3),"")</f>
        <v>70.2750943396226</v>
      </c>
      <c r="AB33" s="111" t="n">
        <f aca="false">IFERROR('Price History'!G3+(INDEX('Price History'!G:G,MATCH(9.99E+307,'Price History'!$A:$A))-'Price History'!G3)*(ROW()-3)/(MATCH(9.99E+307,'Returns (Calc)'!$A:$A)-3),"")</f>
        <v>73.8811320754717</v>
      </c>
      <c r="AC33" s="111" t="n">
        <f aca="false">IFERROR('Price History'!H3+(INDEX('Price History'!H:H,MATCH(9.99E+307,'Price History'!$A:$A))-'Price History'!H3)*(ROW()-3)/(MATCH(9.99E+307,'Returns (Calc)'!$A:$A)-3),"")</f>
        <v>244.034150943396</v>
      </c>
      <c r="AD33" s="111" t="n">
        <f aca="false">IFERROR('Price History'!I3+(INDEX('Price History'!I:I,MATCH(9.99E+307,'Price History'!$A:$A))-'Price History'!I3)*(ROW()-3)/(MATCH(9.99E+307,'Returns (Calc)'!$A:$A)-3),"")</f>
        <v>76.6066037735849</v>
      </c>
      <c r="AE33" s="111" t="n">
        <f aca="false">IFERROR('Price History'!J3+(INDEX('Price History'!J:J,MATCH(9.99E+307,'Price History'!$A:$A))-'Price History'!J3)*(ROW()-3)/(MATCH(9.99E+307,'Returns (Calc)'!$A:$A)-3),"")</f>
        <v>126.119433962264</v>
      </c>
      <c r="AF33" s="111" t="n">
        <f aca="false">IFERROR('Price History'!K3+(INDEX('Price History'!K:K,MATCH(9.99E+307,'Price History'!$A:$A))-'Price History'!K3)*(ROW()-3)/(MATCH(9.99E+307,'Returns (Calc)'!$A:$A)-3),"")</f>
        <v>45.3949056603774</v>
      </c>
      <c r="AG33" s="111" t="n">
        <f aca="false">IFERROR('Price History'!L3+(INDEX('Price History'!L:L,MATCH(9.99E+307,'Price History'!$A:$A))-'Price History'!L3)*(ROW()-3)/(MATCH(9.99E+307,'Returns (Calc)'!$A:$A)-3),"")</f>
        <v>155.559811320755</v>
      </c>
      <c r="AH33" s="111" t="n">
        <f aca="false">IFERROR('Price History'!M3+(INDEX('Price History'!M:M,MATCH(9.99E+307,'Price History'!$A:$A))-'Price History'!M3)*(ROW()-3)/(MATCH(9.99E+307,'Returns (Calc)'!$A:$A)-3),"")</f>
        <v>80.1175471698113</v>
      </c>
      <c r="AI33" s="111" t="n">
        <f aca="false">IFERROR('Price History'!N3+(INDEX('Price History'!N:N,MATCH(9.99E+307,'Price History'!$A:$A))-'Price History'!N3)*(ROW()-3)/(MATCH(9.99E+307,'Returns (Calc)'!$A:$A)-3),"")</f>
        <v>386.890188679245</v>
      </c>
      <c r="AJ33" s="111" t="n">
        <f aca="false">IFERROR('Price History'!O3+(INDEX('Price History'!O:O,MATCH(9.99E+307,'Price History'!$A:$A))-'Price History'!O3)*(ROW()-3)/(MATCH(9.99E+307,'Returns (Calc)'!$A:$A)-3),"")</f>
        <v>91.1669811320755</v>
      </c>
      <c r="AK33" s="111" t="n">
        <f aca="false">IFERROR('Price History'!Q3+(INDEX('Price History'!Q:Q,MATCH(9.99E+307,'Price History'!$A:$A))-'Price History'!Q3)*(ROW()-3)/(MATCH(9.99E+307,'Returns (Calc)'!$A:$A)-3),"")</f>
        <v>53.5909433962264</v>
      </c>
      <c r="AL33" s="111" t="n">
        <f aca="false">IFERROR('Price History'!R3+(INDEX('Price History'!R:R,MATCH(9.99E+307,'Price History'!$A:$A))-'Price History'!R3)*(ROW()-3)/(MATCH(9.99E+307,'Returns (Calc)'!$A:$A)-3),"")</f>
        <v>50.0935849056604</v>
      </c>
      <c r="AM33" s="111" t="n">
        <f aca="false">IFERROR('Price History'!S3+(INDEX('Price History'!S:S,MATCH(9.99E+307,'Price History'!$A:$A))-'Price History'!S3)*(ROW()-3)/(MATCH(9.99E+307,'Returns (Calc)'!$A:$A)-3),"")</f>
        <v>75.7437735849057</v>
      </c>
      <c r="AN33" s="111" t="n">
        <f aca="false">IFERROR('Price History'!T3+(INDEX('Price History'!T:T,MATCH(9.99E+307,'Price History'!$A:$A))-'Price History'!T3)*(ROW()-3)/(MATCH(9.99E+307,'Returns (Calc)'!$A:$A)-3),"")</f>
        <v>32.2647169811321</v>
      </c>
      <c r="AO33" s="112" t="n">
        <f aca="false">IFERROR('Price History'!V3+(INDEX('Price History'!V:V,MATCH(9.99E+307,'Price History'!$A:$A))-'Price History'!V3)*(ROW()-3)/(MATCH(9.99E+307,'Returns (Calc)'!$A:$A)-3),"")</f>
        <v>70.7679245283019</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V34" s="110" t="n">
        <f aca="false">IFERROR(IF(OR(NOT(ISNUMBER('Price History'!V35)),NOT(ISNUMBER('Price History'!V34)),'Price History'!V34=0),"",'Price History'!V35/'Price History'!V34-1),"")</f>
        <v>0.000792050691244439</v>
      </c>
      <c r="W34" s="111" t="n">
        <f aca="false">IFERROR('Price History'!B3+(INDEX('Price History'!B:B,MATCH(9.99E+307,'Price History'!$A:$A))-'Price History'!B3)*(ROW()-3)/(MATCH(9.99E+307,'Returns (Calc)'!$A:$A)-3),"")</f>
        <v>461.279308176101</v>
      </c>
      <c r="X34" s="111" t="n">
        <f aca="false">IFERROR('Price History'!C3+(INDEX('Price History'!C:C,MATCH(9.99E+307,'Price History'!$A:$A))-'Price History'!C3)*(ROW()-3)/(MATCH(9.99E+307,'Returns (Calc)'!$A:$A)-3),"")</f>
        <v>72.9930817610063</v>
      </c>
      <c r="Y34" s="111" t="n">
        <f aca="false">IFERROR('Price History'!D3+(INDEX('Price History'!D:D,MATCH(9.99E+307,'Price History'!$A:$A))-'Price History'!D3)*(ROW()-3)/(MATCH(9.99E+307,'Returns (Calc)'!$A:$A)-3),"")</f>
        <v>867.101383647799</v>
      </c>
      <c r="Z34" s="111" t="n">
        <f aca="false">IFERROR('Price History'!E3+(INDEX('Price History'!E:E,MATCH(9.99E+307,'Price History'!$A:$A))-'Price History'!E3)*(ROW()-3)/(MATCH(9.99E+307,'Returns (Calc)'!$A:$A)-3),"")</f>
        <v>136.580754716981</v>
      </c>
      <c r="AA34" s="111" t="n">
        <f aca="false">IFERROR('Price History'!F3+(INDEX('Price History'!F:F,MATCH(9.99E+307,'Price History'!$A:$A))-'Price History'!F3)*(ROW()-3)/(MATCH(9.99E+307,'Returns (Calc)'!$A:$A)-3),"")</f>
        <v>71.3822641509434</v>
      </c>
      <c r="AB34" s="111" t="n">
        <f aca="false">IFERROR('Price History'!G3+(INDEX('Price History'!G:G,MATCH(9.99E+307,'Price History'!$A:$A))-'Price History'!G3)*(ROW()-3)/(MATCH(9.99E+307,'Returns (Calc)'!$A:$A)-3),"")</f>
        <v>74.7471698113208</v>
      </c>
      <c r="AC34" s="111" t="n">
        <f aca="false">IFERROR('Price History'!H3+(INDEX('Price History'!H:H,MATCH(9.99E+307,'Price History'!$A:$A))-'Price History'!H3)*(ROW()-3)/(MATCH(9.99E+307,'Returns (Calc)'!$A:$A)-3),"")</f>
        <v>250.022955974843</v>
      </c>
      <c r="AD34" s="111" t="n">
        <f aca="false">IFERROR('Price History'!I3+(INDEX('Price History'!I:I,MATCH(9.99E+307,'Price History'!$A:$A))-'Price History'!I3)*(ROW()-3)/(MATCH(9.99E+307,'Returns (Calc)'!$A:$A)-3),"")</f>
        <v>77.7984905660377</v>
      </c>
      <c r="AE34" s="111" t="n">
        <f aca="false">IFERROR('Price History'!J3+(INDEX('Price History'!J:J,MATCH(9.99E+307,'Price History'!$A:$A))-'Price History'!J3)*(ROW()-3)/(MATCH(9.99E+307,'Returns (Calc)'!$A:$A)-3),"")</f>
        <v>126.20641509434</v>
      </c>
      <c r="AF34" s="111" t="n">
        <f aca="false">IFERROR('Price History'!K3+(INDEX('Price History'!K:K,MATCH(9.99E+307,'Price History'!$A:$A))-'Price History'!K3)*(ROW()-3)/(MATCH(9.99E+307,'Returns (Calc)'!$A:$A)-3),"")</f>
        <v>46.3944025157233</v>
      </c>
      <c r="AG34" s="111" t="n">
        <f aca="false">IFERROR('Price History'!L3+(INDEX('Price History'!L:L,MATCH(9.99E+307,'Price History'!$A:$A))-'Price History'!L3)*(ROW()-3)/(MATCH(9.99E+307,'Returns (Calc)'!$A:$A)-3),"")</f>
        <v>157.678805031447</v>
      </c>
      <c r="AH34" s="111" t="n">
        <f aca="false">IFERROR('Price History'!M3+(INDEX('Price History'!M:M,MATCH(9.99E+307,'Price History'!$A:$A))-'Price History'!M3)*(ROW()-3)/(MATCH(9.99E+307,'Returns (Calc)'!$A:$A)-3),"")</f>
        <v>81.6711320754717</v>
      </c>
      <c r="AI34" s="111" t="n">
        <f aca="false">IFERROR('Price History'!N3+(INDEX('Price History'!N:N,MATCH(9.99E+307,'Price History'!$A:$A))-'Price History'!N3)*(ROW()-3)/(MATCH(9.99E+307,'Returns (Calc)'!$A:$A)-3),"")</f>
        <v>388.124528301887</v>
      </c>
      <c r="AJ34" s="111" t="n">
        <f aca="false">IFERROR('Price History'!O3+(INDEX('Price History'!O:O,MATCH(9.99E+307,'Price History'!$A:$A))-'Price History'!O3)*(ROW()-3)/(MATCH(9.99E+307,'Returns (Calc)'!$A:$A)-3),"")</f>
        <v>91.444213836478</v>
      </c>
      <c r="AK34" s="111" t="n">
        <f aca="false">IFERROR('Price History'!Q3+(INDEX('Price History'!Q:Q,MATCH(9.99E+307,'Price History'!$A:$A))-'Price History'!Q3)*(ROW()-3)/(MATCH(9.99E+307,'Returns (Calc)'!$A:$A)-3),"")</f>
        <v>53.7159748427673</v>
      </c>
      <c r="AL34" s="111" t="n">
        <f aca="false">IFERROR('Price History'!R3+(INDEX('Price History'!R:R,MATCH(9.99E+307,'Price History'!$A:$A))-'Price History'!R3)*(ROW()-3)/(MATCH(9.99E+307,'Returns (Calc)'!$A:$A)-3),"")</f>
        <v>50.1693710691824</v>
      </c>
      <c r="AM34" s="111" t="n">
        <f aca="false">IFERROR('Price History'!S3+(INDEX('Price History'!S:S,MATCH(9.99E+307,'Price History'!$A:$A))-'Price History'!S3)*(ROW()-3)/(MATCH(9.99E+307,'Returns (Calc)'!$A:$A)-3),"")</f>
        <v>76.3172327044025</v>
      </c>
      <c r="AN34" s="111" t="n">
        <f aca="false">IFERROR('Price History'!T3+(INDEX('Price History'!T:T,MATCH(9.99E+307,'Price History'!$A:$A))-'Price History'!T3)*(ROW()-3)/(MATCH(9.99E+307,'Returns (Calc)'!$A:$A)-3),"")</f>
        <v>32.4432075471698</v>
      </c>
      <c r="AO34" s="112" t="n">
        <f aca="false">IFERROR('Price History'!V3+(INDEX('Price History'!V:V,MATCH(9.99E+307,'Price History'!$A:$A))-'Price History'!V3)*(ROW()-3)/(MATCH(9.99E+307,'Returns (Calc)'!$A:$A)-3),"")</f>
        <v>73.126855345912</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V35" s="110" t="str">
        <f aca="false">IFERROR(IF(OR(NOT(ISNUMBER('Price History'!V36)),NOT(ISNUMBER('Price History'!V35)),'Price History'!V35=0),"",'Price History'!V36/'Price History'!V35-1),"")</f>
        <v/>
      </c>
      <c r="W35" s="111" t="n">
        <f aca="false">IFERROR('Price History'!B3+(INDEX('Price History'!B:B,MATCH(9.99E+307,'Price History'!$A:$A))-'Price History'!B3)*(ROW()-3)/(MATCH(9.99E+307,'Returns (Calc)'!$A:$A)-3),"")</f>
        <v>459.757672955975</v>
      </c>
      <c r="X35" s="111" t="n">
        <f aca="false">IFERROR('Price History'!C3+(INDEX('Price History'!C:C,MATCH(9.99E+307,'Price History'!$A:$A))-'Price History'!C3)*(ROW()-3)/(MATCH(9.99E+307,'Returns (Calc)'!$A:$A)-3),"")</f>
        <v>73.9367295597484</v>
      </c>
      <c r="Y35" s="111" t="n">
        <f aca="false">IFERROR('Price History'!D3+(INDEX('Price History'!D:D,MATCH(9.99E+307,'Price History'!$A:$A))-'Price History'!D3)*(ROW()-3)/(MATCH(9.99E+307,'Returns (Calc)'!$A:$A)-3),"")</f>
        <v>873.72465408805</v>
      </c>
      <c r="Z35" s="111" t="n">
        <f aca="false">IFERROR('Price History'!E3+(INDEX('Price History'!E:E,MATCH(9.99E+307,'Price History'!$A:$A))-'Price History'!E3)*(ROW()-3)/(MATCH(9.99E+307,'Returns (Calc)'!$A:$A)-3),"")</f>
        <v>138.309811320755</v>
      </c>
      <c r="AA35" s="111" t="n">
        <f aca="false">IFERROR('Price History'!F3+(INDEX('Price History'!F:F,MATCH(9.99E+307,'Price History'!$A:$A))-'Price History'!F3)*(ROW()-3)/(MATCH(9.99E+307,'Returns (Calc)'!$A:$A)-3),"")</f>
        <v>72.4894339622641</v>
      </c>
      <c r="AB35" s="111" t="n">
        <f aca="false">IFERROR('Price History'!G3+(INDEX('Price History'!G:G,MATCH(9.99E+307,'Price History'!$A:$A))-'Price History'!G3)*(ROW()-3)/(MATCH(9.99E+307,'Returns (Calc)'!$A:$A)-3),"")</f>
        <v>75.6132075471698</v>
      </c>
      <c r="AC35" s="111" t="n">
        <f aca="false">IFERROR('Price History'!H3+(INDEX('Price History'!H:H,MATCH(9.99E+307,'Price History'!$A:$A))-'Price History'!H3)*(ROW()-3)/(MATCH(9.99E+307,'Returns (Calc)'!$A:$A)-3),"")</f>
        <v>256.011761006289</v>
      </c>
      <c r="AD35" s="111" t="n">
        <f aca="false">IFERROR('Price History'!I3+(INDEX('Price History'!I:I,MATCH(9.99E+307,'Price History'!$A:$A))-'Price History'!I3)*(ROW()-3)/(MATCH(9.99E+307,'Returns (Calc)'!$A:$A)-3),"")</f>
        <v>78.9903773584906</v>
      </c>
      <c r="AE35" s="111" t="n">
        <f aca="false">IFERROR('Price History'!J3+(INDEX('Price History'!J:J,MATCH(9.99E+307,'Price History'!$A:$A))-'Price History'!J3)*(ROW()-3)/(MATCH(9.99E+307,'Returns (Calc)'!$A:$A)-3),"")</f>
        <v>126.293396226415</v>
      </c>
      <c r="AF35" s="111" t="n">
        <f aca="false">IFERROR('Price History'!K3+(INDEX('Price History'!K:K,MATCH(9.99E+307,'Price History'!$A:$A))-'Price History'!K3)*(ROW()-3)/(MATCH(9.99E+307,'Returns (Calc)'!$A:$A)-3),"")</f>
        <v>47.3938993710692</v>
      </c>
      <c r="AG35" s="111" t="n">
        <f aca="false">IFERROR('Price History'!L3+(INDEX('Price History'!L:L,MATCH(9.99E+307,'Price History'!$A:$A))-'Price History'!L3)*(ROW()-3)/(MATCH(9.99E+307,'Returns (Calc)'!$A:$A)-3),"")</f>
        <v>159.797798742138</v>
      </c>
      <c r="AH35" s="111" t="n">
        <f aca="false">IFERROR('Price History'!M3+(INDEX('Price History'!M:M,MATCH(9.99E+307,'Price History'!$A:$A))-'Price History'!M3)*(ROW()-3)/(MATCH(9.99E+307,'Returns (Calc)'!$A:$A)-3),"")</f>
        <v>83.2247169811321</v>
      </c>
      <c r="AI35" s="111" t="n">
        <f aca="false">IFERROR('Price History'!N3+(INDEX('Price History'!N:N,MATCH(9.99E+307,'Price History'!$A:$A))-'Price History'!N3)*(ROW()-3)/(MATCH(9.99E+307,'Returns (Calc)'!$A:$A)-3),"")</f>
        <v>389.358867924528</v>
      </c>
      <c r="AJ35" s="111" t="n">
        <f aca="false">IFERROR('Price History'!O3+(INDEX('Price History'!O:O,MATCH(9.99E+307,'Price History'!$A:$A))-'Price History'!O3)*(ROW()-3)/(MATCH(9.99E+307,'Returns (Calc)'!$A:$A)-3),"")</f>
        <v>91.7214465408805</v>
      </c>
      <c r="AK35" s="111" t="n">
        <f aca="false">IFERROR('Price History'!Q3+(INDEX('Price History'!Q:Q,MATCH(9.99E+307,'Price History'!$A:$A))-'Price History'!Q3)*(ROW()-3)/(MATCH(9.99E+307,'Returns (Calc)'!$A:$A)-3),"")</f>
        <v>53.8410062893082</v>
      </c>
      <c r="AL35" s="111" t="n">
        <f aca="false">IFERROR('Price History'!R3+(INDEX('Price History'!R:R,MATCH(9.99E+307,'Price History'!$A:$A))-'Price History'!R3)*(ROW()-3)/(MATCH(9.99E+307,'Returns (Calc)'!$A:$A)-3),"")</f>
        <v>50.2451572327044</v>
      </c>
      <c r="AM35" s="111" t="n">
        <f aca="false">IFERROR('Price History'!S3+(INDEX('Price History'!S:S,MATCH(9.99E+307,'Price History'!$A:$A))-'Price History'!S3)*(ROW()-3)/(MATCH(9.99E+307,'Returns (Calc)'!$A:$A)-3),"")</f>
        <v>76.8906918238994</v>
      </c>
      <c r="AN35" s="111" t="n">
        <f aca="false">IFERROR('Price History'!T3+(INDEX('Price History'!T:T,MATCH(9.99E+307,'Price History'!$A:$A))-'Price History'!T3)*(ROW()-3)/(MATCH(9.99E+307,'Returns (Calc)'!$A:$A)-3),"")</f>
        <v>32.6216981132075</v>
      </c>
      <c r="AO35" s="112" t="n">
        <f aca="false">IFERROR('Price History'!V3+(INDEX('Price History'!V:V,MATCH(9.99E+307,'Price History'!$A:$A))-'Price History'!V3)*(ROW()-3)/(MATCH(9.99E+307,'Returns (Calc)'!$A:$A)-3),"")</f>
        <v>75.485786163522</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V36" s="110" t="str">
        <f aca="false">IFERROR(IF(OR(NOT(ISNUMBER('Price History'!V37)),NOT(ISNUMBER('Price History'!V36)),'Price History'!V36=0),"",'Price History'!V37/'Price History'!V36-1),"")</f>
        <v/>
      </c>
      <c r="W36" s="111" t="n">
        <f aca="false">IFERROR('Price History'!B3+(INDEX('Price History'!B:B,MATCH(9.99E+307,'Price History'!$A:$A))-'Price History'!B3)*(ROW()-3)/(MATCH(9.99E+307,'Returns (Calc)'!$A:$A)-3),"")</f>
        <v>458.236037735849</v>
      </c>
      <c r="X36" s="111" t="n">
        <f aca="false">IFERROR('Price History'!C3+(INDEX('Price History'!C:C,MATCH(9.99E+307,'Price History'!$A:$A))-'Price History'!C3)*(ROW()-3)/(MATCH(9.99E+307,'Returns (Calc)'!$A:$A)-3),"")</f>
        <v>74.8803773584906</v>
      </c>
      <c r="Y36" s="111" t="n">
        <f aca="false">IFERROR('Price History'!D3+(INDEX('Price History'!D:D,MATCH(9.99E+307,'Price History'!$A:$A))-'Price History'!D3)*(ROW()-3)/(MATCH(9.99E+307,'Returns (Calc)'!$A:$A)-3),"")</f>
        <v>880.347924528302</v>
      </c>
      <c r="Z36" s="111" t="n">
        <f aca="false">IFERROR('Price History'!E3+(INDEX('Price History'!E:E,MATCH(9.99E+307,'Price History'!$A:$A))-'Price History'!E3)*(ROW()-3)/(MATCH(9.99E+307,'Returns (Calc)'!$A:$A)-3),"")</f>
        <v>140.038867924528</v>
      </c>
      <c r="AA36" s="111" t="n">
        <f aca="false">IFERROR('Price History'!F3+(INDEX('Price History'!F:F,MATCH(9.99E+307,'Price History'!$A:$A))-'Price History'!F3)*(ROW()-3)/(MATCH(9.99E+307,'Returns (Calc)'!$A:$A)-3),"")</f>
        <v>73.5966037735849</v>
      </c>
      <c r="AB36" s="111" t="n">
        <f aca="false">IFERROR('Price History'!G3+(INDEX('Price History'!G:G,MATCH(9.99E+307,'Price History'!$A:$A))-'Price History'!G3)*(ROW()-3)/(MATCH(9.99E+307,'Returns (Calc)'!$A:$A)-3),"")</f>
        <v>76.4792452830189</v>
      </c>
      <c r="AC36" s="111" t="n">
        <f aca="false">IFERROR('Price History'!H3+(INDEX('Price History'!H:H,MATCH(9.99E+307,'Price History'!$A:$A))-'Price History'!H3)*(ROW()-3)/(MATCH(9.99E+307,'Returns (Calc)'!$A:$A)-3),"")</f>
        <v>262.000566037736</v>
      </c>
      <c r="AD36" s="111" t="n">
        <f aca="false">IFERROR('Price History'!I3+(INDEX('Price History'!I:I,MATCH(9.99E+307,'Price History'!$A:$A))-'Price History'!I3)*(ROW()-3)/(MATCH(9.99E+307,'Returns (Calc)'!$A:$A)-3),"")</f>
        <v>80.1822641509434</v>
      </c>
      <c r="AE36" s="111" t="n">
        <f aca="false">IFERROR('Price History'!J3+(INDEX('Price History'!J:J,MATCH(9.99E+307,'Price History'!$A:$A))-'Price History'!J3)*(ROW()-3)/(MATCH(9.99E+307,'Returns (Calc)'!$A:$A)-3),"")</f>
        <v>126.380377358491</v>
      </c>
      <c r="AF36" s="111" t="n">
        <f aca="false">IFERROR('Price History'!K3+(INDEX('Price History'!K:K,MATCH(9.99E+307,'Price History'!$A:$A))-'Price History'!K3)*(ROW()-3)/(MATCH(9.99E+307,'Returns (Calc)'!$A:$A)-3),"")</f>
        <v>48.3933962264151</v>
      </c>
      <c r="AG36" s="111" t="n">
        <f aca="false">IFERROR('Price History'!L3+(INDEX('Price History'!L:L,MATCH(9.99E+307,'Price History'!$A:$A))-'Price History'!L3)*(ROW()-3)/(MATCH(9.99E+307,'Returns (Calc)'!$A:$A)-3),"")</f>
        <v>161.91679245283</v>
      </c>
      <c r="AH36" s="111" t="n">
        <f aca="false">IFERROR('Price History'!M3+(INDEX('Price History'!M:M,MATCH(9.99E+307,'Price History'!$A:$A))-'Price History'!M3)*(ROW()-3)/(MATCH(9.99E+307,'Returns (Calc)'!$A:$A)-3),"")</f>
        <v>84.7783018867925</v>
      </c>
      <c r="AI36" s="111" t="n">
        <f aca="false">IFERROR('Price History'!N3+(INDEX('Price History'!N:N,MATCH(9.99E+307,'Price History'!$A:$A))-'Price History'!N3)*(ROW()-3)/(MATCH(9.99E+307,'Returns (Calc)'!$A:$A)-3),"")</f>
        <v>390.59320754717</v>
      </c>
      <c r="AJ36" s="111" t="n">
        <f aca="false">IFERROR('Price History'!O3+(INDEX('Price History'!O:O,MATCH(9.99E+307,'Price History'!$A:$A))-'Price History'!O3)*(ROW()-3)/(MATCH(9.99E+307,'Returns (Calc)'!$A:$A)-3),"")</f>
        <v>91.998679245283</v>
      </c>
      <c r="AK36" s="111" t="n">
        <f aca="false">IFERROR('Price History'!Q3+(INDEX('Price History'!Q:Q,MATCH(9.99E+307,'Price History'!$A:$A))-'Price History'!Q3)*(ROW()-3)/(MATCH(9.99E+307,'Returns (Calc)'!$A:$A)-3),"")</f>
        <v>53.9660377358491</v>
      </c>
      <c r="AL36" s="111" t="n">
        <f aca="false">IFERROR('Price History'!R3+(INDEX('Price History'!R:R,MATCH(9.99E+307,'Price History'!$A:$A))-'Price History'!R3)*(ROW()-3)/(MATCH(9.99E+307,'Returns (Calc)'!$A:$A)-3),"")</f>
        <v>50.3209433962264</v>
      </c>
      <c r="AM36" s="111" t="n">
        <f aca="false">IFERROR('Price History'!S3+(INDEX('Price History'!S:S,MATCH(9.99E+307,'Price History'!$A:$A))-'Price History'!S3)*(ROW()-3)/(MATCH(9.99E+307,'Returns (Calc)'!$A:$A)-3),"")</f>
        <v>77.4641509433962</v>
      </c>
      <c r="AN36" s="111" t="n">
        <f aca="false">IFERROR('Price History'!T3+(INDEX('Price History'!T:T,MATCH(9.99E+307,'Price History'!$A:$A))-'Price History'!T3)*(ROW()-3)/(MATCH(9.99E+307,'Returns (Calc)'!$A:$A)-3),"")</f>
        <v>32.8001886792453</v>
      </c>
      <c r="AO36" s="112" t="n">
        <f aca="false">IFERROR('Price History'!V3+(INDEX('Price History'!V:V,MATCH(9.99E+307,'Price History'!$A:$A))-'Price History'!V3)*(ROW()-3)/(MATCH(9.99E+307,'Returns (Calc)'!$A:$A)-3),"")</f>
        <v>77.8447169811321</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V37" s="110" t="n">
        <f aca="false">IFERROR(IF(OR(NOT(ISNUMBER('Price History'!V38)),NOT(ISNUMBER('Price History'!V37)),'Price History'!V37=0),"",'Price History'!V38/'Price History'!V37-1),"")</f>
        <v>-0.00422840754494991</v>
      </c>
      <c r="W37" s="111" t="n">
        <f aca="false">IFERROR('Price History'!B3+(INDEX('Price History'!B:B,MATCH(9.99E+307,'Price History'!$A:$A))-'Price History'!B3)*(ROW()-3)/(MATCH(9.99E+307,'Returns (Calc)'!$A:$A)-3),"")</f>
        <v>456.714402515723</v>
      </c>
      <c r="X37" s="111" t="n">
        <f aca="false">IFERROR('Price History'!C3+(INDEX('Price History'!C:C,MATCH(9.99E+307,'Price History'!$A:$A))-'Price History'!C3)*(ROW()-3)/(MATCH(9.99E+307,'Returns (Calc)'!$A:$A)-3),"")</f>
        <v>75.8240251572327</v>
      </c>
      <c r="Y37" s="111" t="n">
        <f aca="false">IFERROR('Price History'!D3+(INDEX('Price History'!D:D,MATCH(9.99E+307,'Price History'!$A:$A))-'Price History'!D3)*(ROW()-3)/(MATCH(9.99E+307,'Returns (Calc)'!$A:$A)-3),"")</f>
        <v>886.971194968553</v>
      </c>
      <c r="Z37" s="111" t="n">
        <f aca="false">IFERROR('Price History'!E3+(INDEX('Price History'!E:E,MATCH(9.99E+307,'Price History'!$A:$A))-'Price History'!E3)*(ROW()-3)/(MATCH(9.99E+307,'Returns (Calc)'!$A:$A)-3),"")</f>
        <v>141.767924528302</v>
      </c>
      <c r="AA37" s="111" t="n">
        <f aca="false">IFERROR('Price History'!F3+(INDEX('Price History'!F:F,MATCH(9.99E+307,'Price History'!$A:$A))-'Price History'!F3)*(ROW()-3)/(MATCH(9.99E+307,'Returns (Calc)'!$A:$A)-3),"")</f>
        <v>74.7037735849057</v>
      </c>
      <c r="AB37" s="111" t="n">
        <f aca="false">IFERROR('Price History'!G3+(INDEX('Price History'!G:G,MATCH(9.99E+307,'Price History'!$A:$A))-'Price History'!G3)*(ROW()-3)/(MATCH(9.99E+307,'Returns (Calc)'!$A:$A)-3),"")</f>
        <v>77.3452830188679</v>
      </c>
      <c r="AC37" s="111" t="n">
        <f aca="false">IFERROR('Price History'!H3+(INDEX('Price History'!H:H,MATCH(9.99E+307,'Price History'!$A:$A))-'Price History'!H3)*(ROW()-3)/(MATCH(9.99E+307,'Returns (Calc)'!$A:$A)-3),"")</f>
        <v>267.989371069182</v>
      </c>
      <c r="AD37" s="111" t="n">
        <f aca="false">IFERROR('Price History'!I3+(INDEX('Price History'!I:I,MATCH(9.99E+307,'Price History'!$A:$A))-'Price History'!I3)*(ROW()-3)/(MATCH(9.99E+307,'Returns (Calc)'!$A:$A)-3),"")</f>
        <v>81.3741509433962</v>
      </c>
      <c r="AE37" s="111" t="n">
        <f aca="false">IFERROR('Price History'!J3+(INDEX('Price History'!J:J,MATCH(9.99E+307,'Price History'!$A:$A))-'Price History'!J3)*(ROW()-3)/(MATCH(9.99E+307,'Returns (Calc)'!$A:$A)-3),"")</f>
        <v>126.467358490566</v>
      </c>
      <c r="AF37" s="111" t="n">
        <f aca="false">IFERROR('Price History'!K3+(INDEX('Price History'!K:K,MATCH(9.99E+307,'Price History'!$A:$A))-'Price History'!K3)*(ROW()-3)/(MATCH(9.99E+307,'Returns (Calc)'!$A:$A)-3),"")</f>
        <v>49.392893081761</v>
      </c>
      <c r="AG37" s="111" t="n">
        <f aca="false">IFERROR('Price History'!L3+(INDEX('Price History'!L:L,MATCH(9.99E+307,'Price History'!$A:$A))-'Price History'!L3)*(ROW()-3)/(MATCH(9.99E+307,'Returns (Calc)'!$A:$A)-3),"")</f>
        <v>164.035786163522</v>
      </c>
      <c r="AH37" s="111" t="n">
        <f aca="false">IFERROR('Price History'!M3+(INDEX('Price History'!M:M,MATCH(9.99E+307,'Price History'!$A:$A))-'Price History'!M3)*(ROW()-3)/(MATCH(9.99E+307,'Returns (Calc)'!$A:$A)-3),"")</f>
        <v>86.3318867924528</v>
      </c>
      <c r="AI37" s="111" t="n">
        <f aca="false">IFERROR('Price History'!N3+(INDEX('Price History'!N:N,MATCH(9.99E+307,'Price History'!$A:$A))-'Price History'!N3)*(ROW()-3)/(MATCH(9.99E+307,'Returns (Calc)'!$A:$A)-3),"")</f>
        <v>391.827547169811</v>
      </c>
      <c r="AJ37" s="111" t="n">
        <f aca="false">IFERROR('Price History'!O3+(INDEX('Price History'!O:O,MATCH(9.99E+307,'Price History'!$A:$A))-'Price History'!O3)*(ROW()-3)/(MATCH(9.99E+307,'Returns (Calc)'!$A:$A)-3),"")</f>
        <v>92.2759119496855</v>
      </c>
      <c r="AK37" s="111" t="n">
        <f aca="false">IFERROR('Price History'!Q3+(INDEX('Price History'!Q:Q,MATCH(9.99E+307,'Price History'!$A:$A))-'Price History'!Q3)*(ROW()-3)/(MATCH(9.99E+307,'Returns (Calc)'!$A:$A)-3),"")</f>
        <v>54.0910691823899</v>
      </c>
      <c r="AL37" s="111" t="n">
        <f aca="false">IFERROR('Price History'!R3+(INDEX('Price History'!R:R,MATCH(9.99E+307,'Price History'!$A:$A))-'Price History'!R3)*(ROW()-3)/(MATCH(9.99E+307,'Returns (Calc)'!$A:$A)-3),"")</f>
        <v>50.3967295597484</v>
      </c>
      <c r="AM37" s="111" t="n">
        <f aca="false">IFERROR('Price History'!S3+(INDEX('Price History'!S:S,MATCH(9.99E+307,'Price History'!$A:$A))-'Price History'!S3)*(ROW()-3)/(MATCH(9.99E+307,'Returns (Calc)'!$A:$A)-3),"")</f>
        <v>78.0376100628931</v>
      </c>
      <c r="AN37" s="111" t="n">
        <f aca="false">IFERROR('Price History'!T3+(INDEX('Price History'!T:T,MATCH(9.99E+307,'Price History'!$A:$A))-'Price History'!T3)*(ROW()-3)/(MATCH(9.99E+307,'Returns (Calc)'!$A:$A)-3),"")</f>
        <v>32.978679245283</v>
      </c>
      <c r="AO37" s="112" t="n">
        <f aca="false">IFERROR('Price History'!V3+(INDEX('Price History'!V:V,MATCH(9.99E+307,'Price History'!$A:$A))-'Price History'!V3)*(ROW()-3)/(MATCH(9.99E+307,'Returns (Calc)'!$A:$A)-3),"")</f>
        <v>80.2036477987421</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V38" s="110" t="n">
        <f aca="false">IFERROR(IF(OR(NOT(ISNUMBER('Price History'!V39)),NOT(ISNUMBER('Price History'!V38)),'Price History'!V38=0),"",'Price History'!V39/'Price History'!V38-1),"")</f>
        <v>-0.0224134111217783</v>
      </c>
      <c r="W38" s="111" t="n">
        <f aca="false">IFERROR('Price History'!B3+(INDEX('Price History'!B:B,MATCH(9.99E+307,'Price History'!$A:$A))-'Price History'!B3)*(ROW()-3)/(MATCH(9.99E+307,'Returns (Calc)'!$A:$A)-3),"")</f>
        <v>455.192767295598</v>
      </c>
      <c r="X38" s="111" t="n">
        <f aca="false">IFERROR('Price History'!C3+(INDEX('Price History'!C:C,MATCH(9.99E+307,'Price History'!$A:$A))-'Price History'!C3)*(ROW()-3)/(MATCH(9.99E+307,'Returns (Calc)'!$A:$A)-3),"")</f>
        <v>76.7676729559749</v>
      </c>
      <c r="Y38" s="111" t="n">
        <f aca="false">IFERROR('Price History'!D3+(INDEX('Price History'!D:D,MATCH(9.99E+307,'Price History'!$A:$A))-'Price History'!D3)*(ROW()-3)/(MATCH(9.99E+307,'Returns (Calc)'!$A:$A)-3),"")</f>
        <v>893.594465408805</v>
      </c>
      <c r="Z38" s="111" t="n">
        <f aca="false">IFERROR('Price History'!E3+(INDEX('Price History'!E:E,MATCH(9.99E+307,'Price History'!$A:$A))-'Price History'!E3)*(ROW()-3)/(MATCH(9.99E+307,'Returns (Calc)'!$A:$A)-3),"")</f>
        <v>143.496981132075</v>
      </c>
      <c r="AA38" s="111" t="n">
        <f aca="false">IFERROR('Price History'!F3+(INDEX('Price History'!F:F,MATCH(9.99E+307,'Price History'!$A:$A))-'Price History'!F3)*(ROW()-3)/(MATCH(9.99E+307,'Returns (Calc)'!$A:$A)-3),"")</f>
        <v>75.8109433962264</v>
      </c>
      <c r="AB38" s="111" t="n">
        <f aca="false">IFERROR('Price History'!G3+(INDEX('Price History'!G:G,MATCH(9.99E+307,'Price History'!$A:$A))-'Price History'!G3)*(ROW()-3)/(MATCH(9.99E+307,'Returns (Calc)'!$A:$A)-3),"")</f>
        <v>78.211320754717</v>
      </c>
      <c r="AC38" s="111" t="n">
        <f aca="false">IFERROR('Price History'!H3+(INDEX('Price History'!H:H,MATCH(9.99E+307,'Price History'!$A:$A))-'Price History'!H3)*(ROW()-3)/(MATCH(9.99E+307,'Returns (Calc)'!$A:$A)-3),"")</f>
        <v>273.978176100629</v>
      </c>
      <c r="AD38" s="111" t="n">
        <f aca="false">IFERROR('Price History'!I3+(INDEX('Price History'!I:I,MATCH(9.99E+307,'Price History'!$A:$A))-'Price History'!I3)*(ROW()-3)/(MATCH(9.99E+307,'Returns (Calc)'!$A:$A)-3),"")</f>
        <v>82.5660377358491</v>
      </c>
      <c r="AE38" s="111" t="n">
        <f aca="false">IFERROR('Price History'!J3+(INDEX('Price History'!J:J,MATCH(9.99E+307,'Price History'!$A:$A))-'Price History'!J3)*(ROW()-3)/(MATCH(9.99E+307,'Returns (Calc)'!$A:$A)-3),"")</f>
        <v>126.554339622642</v>
      </c>
      <c r="AF38" s="111" t="n">
        <f aca="false">IFERROR('Price History'!K3+(INDEX('Price History'!K:K,MATCH(9.99E+307,'Price History'!$A:$A))-'Price History'!K3)*(ROW()-3)/(MATCH(9.99E+307,'Returns (Calc)'!$A:$A)-3),"")</f>
        <v>50.3923899371069</v>
      </c>
      <c r="AG38" s="111" t="n">
        <f aca="false">IFERROR('Price History'!L3+(INDEX('Price History'!L:L,MATCH(9.99E+307,'Price History'!$A:$A))-'Price History'!L3)*(ROW()-3)/(MATCH(9.99E+307,'Returns (Calc)'!$A:$A)-3),"")</f>
        <v>166.154779874214</v>
      </c>
      <c r="AH38" s="111" t="n">
        <f aca="false">IFERROR('Price History'!M3+(INDEX('Price History'!M:M,MATCH(9.99E+307,'Price History'!$A:$A))-'Price History'!M3)*(ROW()-3)/(MATCH(9.99E+307,'Returns (Calc)'!$A:$A)-3),"")</f>
        <v>87.8854716981132</v>
      </c>
      <c r="AI38" s="111" t="n">
        <f aca="false">IFERROR('Price History'!N3+(INDEX('Price History'!N:N,MATCH(9.99E+307,'Price History'!$A:$A))-'Price History'!N3)*(ROW()-3)/(MATCH(9.99E+307,'Returns (Calc)'!$A:$A)-3),"")</f>
        <v>393.061886792453</v>
      </c>
      <c r="AJ38" s="111" t="n">
        <f aca="false">IFERROR('Price History'!O3+(INDEX('Price History'!O:O,MATCH(9.99E+307,'Price History'!$A:$A))-'Price History'!O3)*(ROW()-3)/(MATCH(9.99E+307,'Returns (Calc)'!$A:$A)-3),"")</f>
        <v>92.553144654088</v>
      </c>
      <c r="AK38" s="111" t="n">
        <f aca="false">IFERROR('Price History'!Q3+(INDEX('Price History'!Q:Q,MATCH(9.99E+307,'Price History'!$A:$A))-'Price History'!Q3)*(ROW()-3)/(MATCH(9.99E+307,'Returns (Calc)'!$A:$A)-3),"")</f>
        <v>54.2161006289308</v>
      </c>
      <c r="AL38" s="111" t="n">
        <f aca="false">IFERROR('Price History'!R3+(INDEX('Price History'!R:R,MATCH(9.99E+307,'Price History'!$A:$A))-'Price History'!R3)*(ROW()-3)/(MATCH(9.99E+307,'Returns (Calc)'!$A:$A)-3),"")</f>
        <v>50.4725157232704</v>
      </c>
      <c r="AM38" s="111" t="n">
        <f aca="false">IFERROR('Price History'!S3+(INDEX('Price History'!S:S,MATCH(9.99E+307,'Price History'!$A:$A))-'Price History'!S3)*(ROW()-3)/(MATCH(9.99E+307,'Returns (Calc)'!$A:$A)-3),"")</f>
        <v>78.6110691823899</v>
      </c>
      <c r="AN38" s="111" t="n">
        <f aca="false">IFERROR('Price History'!T3+(INDEX('Price History'!T:T,MATCH(9.99E+307,'Price History'!$A:$A))-'Price History'!T3)*(ROW()-3)/(MATCH(9.99E+307,'Returns (Calc)'!$A:$A)-3),"")</f>
        <v>33.1571698113208</v>
      </c>
      <c r="AO38" s="112" t="n">
        <f aca="false">IFERROR('Price History'!V3+(INDEX('Price History'!V:V,MATCH(9.99E+307,'Price History'!$A:$A))-'Price History'!V3)*(ROW()-3)/(MATCH(9.99E+307,'Returns (Calc)'!$A:$A)-3),"")</f>
        <v>82.5625786163522</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V39" s="110" t="n">
        <f aca="false">IFERROR(IF(OR(NOT(ISNUMBER('Price History'!V40)),NOT(ISNUMBER('Price History'!V39)),'Price History'!V39=0),"",'Price History'!V40/'Price History'!V39-1),"")</f>
        <v>0.0175637393767705</v>
      </c>
      <c r="W39" s="111" t="n">
        <f aca="false">IFERROR('Price History'!B3+(INDEX('Price History'!B:B,MATCH(9.99E+307,'Price History'!$A:$A))-'Price History'!B3)*(ROW()-3)/(MATCH(9.99E+307,'Returns (Calc)'!$A:$A)-3),"")</f>
        <v>453.671132075472</v>
      </c>
      <c r="X39" s="111" t="n">
        <f aca="false">IFERROR('Price History'!C3+(INDEX('Price History'!C:C,MATCH(9.99E+307,'Price History'!$A:$A))-'Price History'!C3)*(ROW()-3)/(MATCH(9.99E+307,'Returns (Calc)'!$A:$A)-3),"")</f>
        <v>77.711320754717</v>
      </c>
      <c r="Y39" s="111" t="n">
        <f aca="false">IFERROR('Price History'!D3+(INDEX('Price History'!D:D,MATCH(9.99E+307,'Price History'!$A:$A))-'Price History'!D3)*(ROW()-3)/(MATCH(9.99E+307,'Returns (Calc)'!$A:$A)-3),"")</f>
        <v>900.217735849057</v>
      </c>
      <c r="Z39" s="111" t="n">
        <f aca="false">IFERROR('Price History'!E3+(INDEX('Price History'!E:E,MATCH(9.99E+307,'Price History'!$A:$A))-'Price History'!E3)*(ROW()-3)/(MATCH(9.99E+307,'Returns (Calc)'!$A:$A)-3),"")</f>
        <v>145.226037735849</v>
      </c>
      <c r="AA39" s="111" t="n">
        <f aca="false">IFERROR('Price History'!F3+(INDEX('Price History'!F:F,MATCH(9.99E+307,'Price History'!$A:$A))-'Price History'!F3)*(ROW()-3)/(MATCH(9.99E+307,'Returns (Calc)'!$A:$A)-3),"")</f>
        <v>76.9181132075472</v>
      </c>
      <c r="AB39" s="111" t="n">
        <f aca="false">IFERROR('Price History'!G3+(INDEX('Price History'!G:G,MATCH(9.99E+307,'Price History'!$A:$A))-'Price History'!G3)*(ROW()-3)/(MATCH(9.99E+307,'Returns (Calc)'!$A:$A)-3),"")</f>
        <v>79.077358490566</v>
      </c>
      <c r="AC39" s="111" t="n">
        <f aca="false">IFERROR('Price History'!H3+(INDEX('Price History'!H:H,MATCH(9.99E+307,'Price History'!$A:$A))-'Price History'!H3)*(ROW()-3)/(MATCH(9.99E+307,'Returns (Calc)'!$A:$A)-3),"")</f>
        <v>279.966981132076</v>
      </c>
      <c r="AD39" s="111" t="n">
        <f aca="false">IFERROR('Price History'!I3+(INDEX('Price History'!I:I,MATCH(9.99E+307,'Price History'!$A:$A))-'Price History'!I3)*(ROW()-3)/(MATCH(9.99E+307,'Returns (Calc)'!$A:$A)-3),"")</f>
        <v>83.7579245283019</v>
      </c>
      <c r="AE39" s="111" t="n">
        <f aca="false">IFERROR('Price History'!J3+(INDEX('Price History'!J:J,MATCH(9.99E+307,'Price History'!$A:$A))-'Price History'!J3)*(ROW()-3)/(MATCH(9.99E+307,'Returns (Calc)'!$A:$A)-3),"")</f>
        <v>126.641320754717</v>
      </c>
      <c r="AF39" s="111" t="n">
        <f aca="false">IFERROR('Price History'!K3+(INDEX('Price History'!K:K,MATCH(9.99E+307,'Price History'!$A:$A))-'Price History'!K3)*(ROW()-3)/(MATCH(9.99E+307,'Returns (Calc)'!$A:$A)-3),"")</f>
        <v>51.3918867924528</v>
      </c>
      <c r="AG39" s="111" t="n">
        <f aca="false">IFERROR('Price History'!L3+(INDEX('Price History'!L:L,MATCH(9.99E+307,'Price History'!$A:$A))-'Price History'!L3)*(ROW()-3)/(MATCH(9.99E+307,'Returns (Calc)'!$A:$A)-3),"")</f>
        <v>168.273773584906</v>
      </c>
      <c r="AH39" s="111" t="n">
        <f aca="false">IFERROR('Price History'!M3+(INDEX('Price History'!M:M,MATCH(9.99E+307,'Price History'!$A:$A))-'Price History'!M3)*(ROW()-3)/(MATCH(9.99E+307,'Returns (Calc)'!$A:$A)-3),"")</f>
        <v>89.4390566037736</v>
      </c>
      <c r="AI39" s="111" t="n">
        <f aca="false">IFERROR('Price History'!N3+(INDEX('Price History'!N:N,MATCH(9.99E+307,'Price History'!$A:$A))-'Price History'!N3)*(ROW()-3)/(MATCH(9.99E+307,'Returns (Calc)'!$A:$A)-3),"")</f>
        <v>394.296226415094</v>
      </c>
      <c r="AJ39" s="111" t="n">
        <f aca="false">IFERROR('Price History'!O3+(INDEX('Price History'!O:O,MATCH(9.99E+307,'Price History'!$A:$A))-'Price History'!O3)*(ROW()-3)/(MATCH(9.99E+307,'Returns (Calc)'!$A:$A)-3),"")</f>
        <v>92.8303773584906</v>
      </c>
      <c r="AK39" s="111" t="n">
        <f aca="false">IFERROR('Price History'!Q3+(INDEX('Price History'!Q:Q,MATCH(9.99E+307,'Price History'!$A:$A))-'Price History'!Q3)*(ROW()-3)/(MATCH(9.99E+307,'Returns (Calc)'!$A:$A)-3),"")</f>
        <v>54.3411320754717</v>
      </c>
      <c r="AL39" s="111" t="n">
        <f aca="false">IFERROR('Price History'!R3+(INDEX('Price History'!R:R,MATCH(9.99E+307,'Price History'!$A:$A))-'Price History'!R3)*(ROW()-3)/(MATCH(9.99E+307,'Returns (Calc)'!$A:$A)-3),"")</f>
        <v>50.5483018867925</v>
      </c>
      <c r="AM39" s="111" t="n">
        <f aca="false">IFERROR('Price History'!S3+(INDEX('Price History'!S:S,MATCH(9.99E+307,'Price History'!$A:$A))-'Price History'!S3)*(ROW()-3)/(MATCH(9.99E+307,'Returns (Calc)'!$A:$A)-3),"")</f>
        <v>79.1845283018868</v>
      </c>
      <c r="AN39" s="111" t="n">
        <f aca="false">IFERROR('Price History'!T3+(INDEX('Price History'!T:T,MATCH(9.99E+307,'Price History'!$A:$A))-'Price History'!T3)*(ROW()-3)/(MATCH(9.99E+307,'Returns (Calc)'!$A:$A)-3),"")</f>
        <v>33.3356603773585</v>
      </c>
      <c r="AO39" s="112" t="n">
        <f aca="false">IFERROR('Price History'!V3+(INDEX('Price History'!V:V,MATCH(9.99E+307,'Price History'!$A:$A))-'Price History'!V3)*(ROW()-3)/(MATCH(9.99E+307,'Returns (Calc)'!$A:$A)-3),"")</f>
        <v>84.9215094339623</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V40" s="110" t="n">
        <f aca="false">IFERROR(IF(OR(NOT(ISNUMBER('Price History'!V41)),NOT(ISNUMBER('Price History'!V40)),'Price History'!V40=0),"",'Price History'!V41/'Price History'!V40-1),"")</f>
        <v>-0.0219376391982181</v>
      </c>
      <c r="W40" s="111" t="n">
        <f aca="false">IFERROR('Price History'!B3+(INDEX('Price History'!B:B,MATCH(9.99E+307,'Price History'!$A:$A))-'Price History'!B3)*(ROW()-3)/(MATCH(9.99E+307,'Returns (Calc)'!$A:$A)-3),"")</f>
        <v>452.149496855346</v>
      </c>
      <c r="X40" s="111" t="n">
        <f aca="false">IFERROR('Price History'!C3+(INDEX('Price History'!C:C,MATCH(9.99E+307,'Price History'!$A:$A))-'Price History'!C3)*(ROW()-3)/(MATCH(9.99E+307,'Returns (Calc)'!$A:$A)-3),"")</f>
        <v>78.6549685534591</v>
      </c>
      <c r="Y40" s="111" t="n">
        <f aca="false">IFERROR('Price History'!D3+(INDEX('Price History'!D:D,MATCH(9.99E+307,'Price History'!$A:$A))-'Price History'!D3)*(ROW()-3)/(MATCH(9.99E+307,'Returns (Calc)'!$A:$A)-3),"")</f>
        <v>906.841006289308</v>
      </c>
      <c r="Z40" s="111" t="n">
        <f aca="false">IFERROR('Price History'!E3+(INDEX('Price History'!E:E,MATCH(9.99E+307,'Price History'!$A:$A))-'Price History'!E3)*(ROW()-3)/(MATCH(9.99E+307,'Returns (Calc)'!$A:$A)-3),"")</f>
        <v>146.955094339623</v>
      </c>
      <c r="AA40" s="111" t="n">
        <f aca="false">IFERROR('Price History'!F3+(INDEX('Price History'!F:F,MATCH(9.99E+307,'Price History'!$A:$A))-'Price History'!F3)*(ROW()-3)/(MATCH(9.99E+307,'Returns (Calc)'!$A:$A)-3),"")</f>
        <v>78.0252830188679</v>
      </c>
      <c r="AB40" s="111" t="n">
        <f aca="false">IFERROR('Price History'!G3+(INDEX('Price History'!G:G,MATCH(9.99E+307,'Price History'!$A:$A))-'Price History'!G3)*(ROW()-3)/(MATCH(9.99E+307,'Returns (Calc)'!$A:$A)-3),"")</f>
        <v>79.9433962264151</v>
      </c>
      <c r="AC40" s="111" t="n">
        <f aca="false">IFERROR('Price History'!H3+(INDEX('Price History'!H:H,MATCH(9.99E+307,'Price History'!$A:$A))-'Price History'!H3)*(ROW()-3)/(MATCH(9.99E+307,'Returns (Calc)'!$A:$A)-3),"")</f>
        <v>285.955786163522</v>
      </c>
      <c r="AD40" s="111" t="n">
        <f aca="false">IFERROR('Price History'!I3+(INDEX('Price History'!I:I,MATCH(9.99E+307,'Price History'!$A:$A))-'Price History'!I3)*(ROW()-3)/(MATCH(9.99E+307,'Returns (Calc)'!$A:$A)-3),"")</f>
        <v>84.9498113207547</v>
      </c>
      <c r="AE40" s="111" t="n">
        <f aca="false">IFERROR('Price History'!J3+(INDEX('Price History'!J:J,MATCH(9.99E+307,'Price History'!$A:$A))-'Price History'!J3)*(ROW()-3)/(MATCH(9.99E+307,'Returns (Calc)'!$A:$A)-3),"")</f>
        <v>126.728301886792</v>
      </c>
      <c r="AF40" s="111" t="n">
        <f aca="false">IFERROR('Price History'!K3+(INDEX('Price History'!K:K,MATCH(9.99E+307,'Price History'!$A:$A))-'Price History'!K3)*(ROW()-3)/(MATCH(9.99E+307,'Returns (Calc)'!$A:$A)-3),"")</f>
        <v>52.3913836477988</v>
      </c>
      <c r="AG40" s="111" t="n">
        <f aca="false">IFERROR('Price History'!L3+(INDEX('Price History'!L:L,MATCH(9.99E+307,'Price History'!$A:$A))-'Price History'!L3)*(ROW()-3)/(MATCH(9.99E+307,'Returns (Calc)'!$A:$A)-3),"")</f>
        <v>170.392767295597</v>
      </c>
      <c r="AH40" s="111" t="n">
        <f aca="false">IFERROR('Price History'!M3+(INDEX('Price History'!M:M,MATCH(9.99E+307,'Price History'!$A:$A))-'Price History'!M3)*(ROW()-3)/(MATCH(9.99E+307,'Returns (Calc)'!$A:$A)-3),"")</f>
        <v>90.992641509434</v>
      </c>
      <c r="AI40" s="111" t="n">
        <f aca="false">IFERROR('Price History'!N3+(INDEX('Price History'!N:N,MATCH(9.99E+307,'Price History'!$A:$A))-'Price History'!N3)*(ROW()-3)/(MATCH(9.99E+307,'Returns (Calc)'!$A:$A)-3),"")</f>
        <v>395.530566037736</v>
      </c>
      <c r="AJ40" s="111" t="n">
        <f aca="false">IFERROR('Price History'!O3+(INDEX('Price History'!O:O,MATCH(9.99E+307,'Price History'!$A:$A))-'Price History'!O3)*(ROW()-3)/(MATCH(9.99E+307,'Returns (Calc)'!$A:$A)-3),"")</f>
        <v>93.1076100628931</v>
      </c>
      <c r="AK40" s="111" t="n">
        <f aca="false">IFERROR('Price History'!Q3+(INDEX('Price History'!Q:Q,MATCH(9.99E+307,'Price History'!$A:$A))-'Price History'!Q3)*(ROW()-3)/(MATCH(9.99E+307,'Returns (Calc)'!$A:$A)-3),"")</f>
        <v>54.4661635220126</v>
      </c>
      <c r="AL40" s="111" t="n">
        <f aca="false">IFERROR('Price History'!R3+(INDEX('Price History'!R:R,MATCH(9.99E+307,'Price History'!$A:$A))-'Price History'!R3)*(ROW()-3)/(MATCH(9.99E+307,'Returns (Calc)'!$A:$A)-3),"")</f>
        <v>50.6240880503145</v>
      </c>
      <c r="AM40" s="111" t="n">
        <f aca="false">IFERROR('Price History'!S3+(INDEX('Price History'!S:S,MATCH(9.99E+307,'Price History'!$A:$A))-'Price History'!S3)*(ROW()-3)/(MATCH(9.99E+307,'Returns (Calc)'!$A:$A)-3),"")</f>
        <v>79.7579874213837</v>
      </c>
      <c r="AN40" s="111" t="n">
        <f aca="false">IFERROR('Price History'!T3+(INDEX('Price History'!T:T,MATCH(9.99E+307,'Price History'!$A:$A))-'Price History'!T3)*(ROW()-3)/(MATCH(9.99E+307,'Returns (Calc)'!$A:$A)-3),"")</f>
        <v>33.5141509433962</v>
      </c>
      <c r="AO40" s="112" t="n">
        <f aca="false">IFERROR('Price History'!V3+(INDEX('Price History'!V:V,MATCH(9.99E+307,'Price History'!$A:$A))-'Price History'!V3)*(ROW()-3)/(MATCH(9.99E+307,'Returns (Calc)'!$A:$A)-3),"")</f>
        <v>87.2804402515723</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V41" s="110" t="n">
        <f aca="false">IFERROR(IF(OR(NOT(ISNUMBER('Price History'!V42)),NOT(ISNUMBER('Price History'!V41)),'Price History'!V41=0),"",'Price History'!V42/'Price History'!V41-1),"")</f>
        <v>0.045618429541918</v>
      </c>
      <c r="W41" s="111" t="n">
        <f aca="false">IFERROR('Price History'!B3+(INDEX('Price History'!B:B,MATCH(9.99E+307,'Price History'!$A:$A))-'Price History'!B3)*(ROW()-3)/(MATCH(9.99E+307,'Returns (Calc)'!$A:$A)-3),"")</f>
        <v>450.62786163522</v>
      </c>
      <c r="X41" s="111" t="n">
        <f aca="false">IFERROR('Price History'!C3+(INDEX('Price History'!C:C,MATCH(9.99E+307,'Price History'!$A:$A))-'Price History'!C3)*(ROW()-3)/(MATCH(9.99E+307,'Returns (Calc)'!$A:$A)-3),"")</f>
        <v>79.5986163522013</v>
      </c>
      <c r="Y41" s="111" t="n">
        <f aca="false">IFERROR('Price History'!D3+(INDEX('Price History'!D:D,MATCH(9.99E+307,'Price History'!$A:$A))-'Price History'!D3)*(ROW()-3)/(MATCH(9.99E+307,'Returns (Calc)'!$A:$A)-3),"")</f>
        <v>913.46427672956</v>
      </c>
      <c r="Z41" s="111" t="n">
        <f aca="false">IFERROR('Price History'!E3+(INDEX('Price History'!E:E,MATCH(9.99E+307,'Price History'!$A:$A))-'Price History'!E3)*(ROW()-3)/(MATCH(9.99E+307,'Returns (Calc)'!$A:$A)-3),"")</f>
        <v>148.684150943396</v>
      </c>
      <c r="AA41" s="111" t="n">
        <f aca="false">IFERROR('Price History'!F3+(INDEX('Price History'!F:F,MATCH(9.99E+307,'Price History'!$A:$A))-'Price History'!F3)*(ROW()-3)/(MATCH(9.99E+307,'Returns (Calc)'!$A:$A)-3),"")</f>
        <v>79.1324528301887</v>
      </c>
      <c r="AB41" s="111" t="n">
        <f aca="false">IFERROR('Price History'!G3+(INDEX('Price History'!G:G,MATCH(9.99E+307,'Price History'!$A:$A))-'Price History'!G3)*(ROW()-3)/(MATCH(9.99E+307,'Returns (Calc)'!$A:$A)-3),"")</f>
        <v>80.8094339622641</v>
      </c>
      <c r="AC41" s="111" t="n">
        <f aca="false">IFERROR('Price History'!H3+(INDEX('Price History'!H:H,MATCH(9.99E+307,'Price History'!$A:$A))-'Price History'!H3)*(ROW()-3)/(MATCH(9.99E+307,'Returns (Calc)'!$A:$A)-3),"")</f>
        <v>291.944591194969</v>
      </c>
      <c r="AD41" s="111" t="n">
        <f aca="false">IFERROR('Price History'!I3+(INDEX('Price History'!I:I,MATCH(9.99E+307,'Price History'!$A:$A))-'Price History'!I3)*(ROW()-3)/(MATCH(9.99E+307,'Returns (Calc)'!$A:$A)-3),"")</f>
        <v>86.1416981132076</v>
      </c>
      <c r="AE41" s="111" t="n">
        <f aca="false">IFERROR('Price History'!J3+(INDEX('Price History'!J:J,MATCH(9.99E+307,'Price History'!$A:$A))-'Price History'!J3)*(ROW()-3)/(MATCH(9.99E+307,'Returns (Calc)'!$A:$A)-3),"")</f>
        <v>126.815283018868</v>
      </c>
      <c r="AF41" s="111" t="n">
        <f aca="false">IFERROR('Price History'!K3+(INDEX('Price History'!K:K,MATCH(9.99E+307,'Price History'!$A:$A))-'Price History'!K3)*(ROW()-3)/(MATCH(9.99E+307,'Returns (Calc)'!$A:$A)-3),"")</f>
        <v>53.3908805031447</v>
      </c>
      <c r="AG41" s="111" t="n">
        <f aca="false">IFERROR('Price History'!L3+(INDEX('Price History'!L:L,MATCH(9.99E+307,'Price History'!$A:$A))-'Price History'!L3)*(ROW()-3)/(MATCH(9.99E+307,'Returns (Calc)'!$A:$A)-3),"")</f>
        <v>172.511761006289</v>
      </c>
      <c r="AH41" s="111" t="n">
        <f aca="false">IFERROR('Price History'!M3+(INDEX('Price History'!M:M,MATCH(9.99E+307,'Price History'!$A:$A))-'Price History'!M3)*(ROW()-3)/(MATCH(9.99E+307,'Returns (Calc)'!$A:$A)-3),"")</f>
        <v>92.5462264150943</v>
      </c>
      <c r="AI41" s="111" t="n">
        <f aca="false">IFERROR('Price History'!N3+(INDEX('Price History'!N:N,MATCH(9.99E+307,'Price History'!$A:$A))-'Price History'!N3)*(ROW()-3)/(MATCH(9.99E+307,'Returns (Calc)'!$A:$A)-3),"")</f>
        <v>396.764905660377</v>
      </c>
      <c r="AJ41" s="111" t="n">
        <f aca="false">IFERROR('Price History'!O3+(INDEX('Price History'!O:O,MATCH(9.99E+307,'Price History'!$A:$A))-'Price History'!O3)*(ROW()-3)/(MATCH(9.99E+307,'Returns (Calc)'!$A:$A)-3),"")</f>
        <v>93.3848427672956</v>
      </c>
      <c r="AK41" s="111" t="n">
        <f aca="false">IFERROR('Price History'!Q3+(INDEX('Price History'!Q:Q,MATCH(9.99E+307,'Price History'!$A:$A))-'Price History'!Q3)*(ROW()-3)/(MATCH(9.99E+307,'Returns (Calc)'!$A:$A)-3),"")</f>
        <v>54.5911949685535</v>
      </c>
      <c r="AL41" s="111" t="n">
        <f aca="false">IFERROR('Price History'!R3+(INDEX('Price History'!R:R,MATCH(9.99E+307,'Price History'!$A:$A))-'Price History'!R3)*(ROW()-3)/(MATCH(9.99E+307,'Returns (Calc)'!$A:$A)-3),"")</f>
        <v>50.6998742138365</v>
      </c>
      <c r="AM41" s="111" t="n">
        <f aca="false">IFERROR('Price History'!S3+(INDEX('Price History'!S:S,MATCH(9.99E+307,'Price History'!$A:$A))-'Price History'!S3)*(ROW()-3)/(MATCH(9.99E+307,'Returns (Calc)'!$A:$A)-3),"")</f>
        <v>80.3314465408805</v>
      </c>
      <c r="AN41" s="111" t="n">
        <f aca="false">IFERROR('Price History'!T3+(INDEX('Price History'!T:T,MATCH(9.99E+307,'Price History'!$A:$A))-'Price History'!T3)*(ROW()-3)/(MATCH(9.99E+307,'Returns (Calc)'!$A:$A)-3),"")</f>
        <v>33.692641509434</v>
      </c>
      <c r="AO41" s="112" t="n">
        <f aca="false">IFERROR('Price History'!V3+(INDEX('Price History'!V:V,MATCH(9.99E+307,'Price History'!$A:$A))-'Price History'!V3)*(ROW()-3)/(MATCH(9.99E+307,'Returns (Calc)'!$A:$A)-3),"")</f>
        <v>89.6393710691824</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V42" s="110" t="n">
        <f aca="false">IFERROR(IF(OR(NOT(ISNUMBER('Price History'!V43)),NOT(ISNUMBER('Price History'!V42)),'Price History'!V42=0),"",'Price History'!V43/'Price History'!V42-1),"")</f>
        <v>-0.000435555878189553</v>
      </c>
      <c r="W42" s="111" t="n">
        <f aca="false">IFERROR('Price History'!B3+(INDEX('Price History'!B:B,MATCH(9.99E+307,'Price History'!$A:$A))-'Price History'!B3)*(ROW()-3)/(MATCH(9.99E+307,'Returns (Calc)'!$A:$A)-3),"")</f>
        <v>449.106226415094</v>
      </c>
      <c r="X42" s="111" t="n">
        <f aca="false">IFERROR('Price History'!C3+(INDEX('Price History'!C:C,MATCH(9.99E+307,'Price History'!$A:$A))-'Price History'!C3)*(ROW()-3)/(MATCH(9.99E+307,'Returns (Calc)'!$A:$A)-3),"")</f>
        <v>80.5422641509434</v>
      </c>
      <c r="Y42" s="111" t="n">
        <f aca="false">IFERROR('Price History'!D3+(INDEX('Price History'!D:D,MATCH(9.99E+307,'Price History'!$A:$A))-'Price History'!D3)*(ROW()-3)/(MATCH(9.99E+307,'Returns (Calc)'!$A:$A)-3),"")</f>
        <v>920.087547169811</v>
      </c>
      <c r="Z42" s="111" t="n">
        <f aca="false">IFERROR('Price History'!E3+(INDEX('Price History'!E:E,MATCH(9.99E+307,'Price History'!$A:$A))-'Price History'!E3)*(ROW()-3)/(MATCH(9.99E+307,'Returns (Calc)'!$A:$A)-3),"")</f>
        <v>150.41320754717</v>
      </c>
      <c r="AA42" s="111" t="n">
        <f aca="false">IFERROR('Price History'!F3+(INDEX('Price History'!F:F,MATCH(9.99E+307,'Price History'!$A:$A))-'Price History'!F3)*(ROW()-3)/(MATCH(9.99E+307,'Returns (Calc)'!$A:$A)-3),"")</f>
        <v>80.2396226415094</v>
      </c>
      <c r="AB42" s="111" t="n">
        <f aca="false">IFERROR('Price History'!G3+(INDEX('Price History'!G:G,MATCH(9.99E+307,'Price History'!$A:$A))-'Price History'!G3)*(ROW()-3)/(MATCH(9.99E+307,'Returns (Calc)'!$A:$A)-3),"")</f>
        <v>81.6754716981132</v>
      </c>
      <c r="AC42" s="111" t="n">
        <f aca="false">IFERROR('Price History'!H3+(INDEX('Price History'!H:H,MATCH(9.99E+307,'Price History'!$A:$A))-'Price History'!H3)*(ROW()-3)/(MATCH(9.99E+307,'Returns (Calc)'!$A:$A)-3),"")</f>
        <v>297.933396226415</v>
      </c>
      <c r="AD42" s="111" t="n">
        <f aca="false">IFERROR('Price History'!I3+(INDEX('Price History'!I:I,MATCH(9.99E+307,'Price History'!$A:$A))-'Price History'!I3)*(ROW()-3)/(MATCH(9.99E+307,'Returns (Calc)'!$A:$A)-3),"")</f>
        <v>87.3335849056604</v>
      </c>
      <c r="AE42" s="111" t="n">
        <f aca="false">IFERROR('Price History'!J3+(INDEX('Price History'!J:J,MATCH(9.99E+307,'Price History'!$A:$A))-'Price History'!J3)*(ROW()-3)/(MATCH(9.99E+307,'Returns (Calc)'!$A:$A)-3),"")</f>
        <v>126.902264150943</v>
      </c>
      <c r="AF42" s="111" t="n">
        <f aca="false">IFERROR('Price History'!K3+(INDEX('Price History'!K:K,MATCH(9.99E+307,'Price History'!$A:$A))-'Price History'!K3)*(ROW()-3)/(MATCH(9.99E+307,'Returns (Calc)'!$A:$A)-3),"")</f>
        <v>54.3903773584906</v>
      </c>
      <c r="AG42" s="111" t="n">
        <f aca="false">IFERROR('Price History'!L3+(INDEX('Price History'!L:L,MATCH(9.99E+307,'Price History'!$A:$A))-'Price History'!L3)*(ROW()-3)/(MATCH(9.99E+307,'Returns (Calc)'!$A:$A)-3),"")</f>
        <v>174.630754716981</v>
      </c>
      <c r="AH42" s="111" t="n">
        <f aca="false">IFERROR('Price History'!M3+(INDEX('Price History'!M:M,MATCH(9.99E+307,'Price History'!$A:$A))-'Price History'!M3)*(ROW()-3)/(MATCH(9.99E+307,'Returns (Calc)'!$A:$A)-3),"")</f>
        <v>94.0998113207547</v>
      </c>
      <c r="AI42" s="111" t="n">
        <f aca="false">IFERROR('Price History'!N3+(INDEX('Price History'!N:N,MATCH(9.99E+307,'Price History'!$A:$A))-'Price History'!N3)*(ROW()-3)/(MATCH(9.99E+307,'Returns (Calc)'!$A:$A)-3),"")</f>
        <v>397.999245283019</v>
      </c>
      <c r="AJ42" s="111" t="n">
        <f aca="false">IFERROR('Price History'!O3+(INDEX('Price History'!O:O,MATCH(9.99E+307,'Price History'!$A:$A))-'Price History'!O3)*(ROW()-3)/(MATCH(9.99E+307,'Returns (Calc)'!$A:$A)-3),"")</f>
        <v>93.6620754716981</v>
      </c>
      <c r="AK42" s="111" t="n">
        <f aca="false">IFERROR('Price History'!Q3+(INDEX('Price History'!Q:Q,MATCH(9.99E+307,'Price History'!$A:$A))-'Price History'!Q3)*(ROW()-3)/(MATCH(9.99E+307,'Returns (Calc)'!$A:$A)-3),"")</f>
        <v>54.7162264150943</v>
      </c>
      <c r="AL42" s="111" t="n">
        <f aca="false">IFERROR('Price History'!R3+(INDEX('Price History'!R:R,MATCH(9.99E+307,'Price History'!$A:$A))-'Price History'!R3)*(ROW()-3)/(MATCH(9.99E+307,'Returns (Calc)'!$A:$A)-3),"")</f>
        <v>50.7756603773585</v>
      </c>
      <c r="AM42" s="111" t="n">
        <f aca="false">IFERROR('Price History'!S3+(INDEX('Price History'!S:S,MATCH(9.99E+307,'Price History'!$A:$A))-'Price History'!S3)*(ROW()-3)/(MATCH(9.99E+307,'Returns (Calc)'!$A:$A)-3),"")</f>
        <v>80.9049056603774</v>
      </c>
      <c r="AN42" s="111" t="n">
        <f aca="false">IFERROR('Price History'!T3+(INDEX('Price History'!T:T,MATCH(9.99E+307,'Price History'!$A:$A))-'Price History'!T3)*(ROW()-3)/(MATCH(9.99E+307,'Returns (Calc)'!$A:$A)-3),"")</f>
        <v>33.8711320754717</v>
      </c>
      <c r="AO42" s="112" t="n">
        <f aca="false">IFERROR('Price History'!V3+(INDEX('Price History'!V:V,MATCH(9.99E+307,'Price History'!$A:$A))-'Price History'!V3)*(ROW()-3)/(MATCH(9.99E+307,'Returns (Calc)'!$A:$A)-3),"")</f>
        <v>91.9983018867925</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V43" s="110" t="n">
        <f aca="false">IFERROR(IF(OR(NOT(ISNUMBER('Price History'!V44)),NOT(ISNUMBER('Price History'!V43)),'Price History'!V43=0),"",'Price History'!V44/'Price History'!V43-1),"")</f>
        <v>-0.0200443008097606</v>
      </c>
      <c r="W43" s="111" t="n">
        <f aca="false">IFERROR('Price History'!B3+(INDEX('Price History'!B:B,MATCH(9.99E+307,'Price History'!$A:$A))-'Price History'!B3)*(ROW()-3)/(MATCH(9.99E+307,'Returns (Calc)'!$A:$A)-3),"")</f>
        <v>447.584591194969</v>
      </c>
      <c r="X43" s="111" t="n">
        <f aca="false">IFERROR('Price History'!C3+(INDEX('Price History'!C:C,MATCH(9.99E+307,'Price History'!$A:$A))-'Price History'!C3)*(ROW()-3)/(MATCH(9.99E+307,'Returns (Calc)'!$A:$A)-3),"")</f>
        <v>81.4859119496855</v>
      </c>
      <c r="Y43" s="111" t="n">
        <f aca="false">IFERROR('Price History'!D3+(INDEX('Price History'!D:D,MATCH(9.99E+307,'Price History'!$A:$A))-'Price History'!D3)*(ROW()-3)/(MATCH(9.99E+307,'Returns (Calc)'!$A:$A)-3),"")</f>
        <v>926.710817610063</v>
      </c>
      <c r="Z43" s="111" t="n">
        <f aca="false">IFERROR('Price History'!E3+(INDEX('Price History'!E:E,MATCH(9.99E+307,'Price History'!$A:$A))-'Price History'!E3)*(ROW()-3)/(MATCH(9.99E+307,'Returns (Calc)'!$A:$A)-3),"")</f>
        <v>152.142264150943</v>
      </c>
      <c r="AA43" s="111" t="n">
        <f aca="false">IFERROR('Price History'!F3+(INDEX('Price History'!F:F,MATCH(9.99E+307,'Price History'!$A:$A))-'Price History'!F3)*(ROW()-3)/(MATCH(9.99E+307,'Returns (Calc)'!$A:$A)-3),"")</f>
        <v>81.3467924528302</v>
      </c>
      <c r="AB43" s="111" t="n">
        <f aca="false">IFERROR('Price History'!G3+(INDEX('Price History'!G:G,MATCH(9.99E+307,'Price History'!$A:$A))-'Price History'!G3)*(ROW()-3)/(MATCH(9.99E+307,'Returns (Calc)'!$A:$A)-3),"")</f>
        <v>82.5415094339623</v>
      </c>
      <c r="AC43" s="111" t="n">
        <f aca="false">IFERROR('Price History'!H3+(INDEX('Price History'!H:H,MATCH(9.99E+307,'Price History'!$A:$A))-'Price History'!H3)*(ROW()-3)/(MATCH(9.99E+307,'Returns (Calc)'!$A:$A)-3),"")</f>
        <v>303.922201257862</v>
      </c>
      <c r="AD43" s="111" t="n">
        <f aca="false">IFERROR('Price History'!I3+(INDEX('Price History'!I:I,MATCH(9.99E+307,'Price History'!$A:$A))-'Price History'!I3)*(ROW()-3)/(MATCH(9.99E+307,'Returns (Calc)'!$A:$A)-3),"")</f>
        <v>88.5254716981132</v>
      </c>
      <c r="AE43" s="111" t="n">
        <f aca="false">IFERROR('Price History'!J3+(INDEX('Price History'!J:J,MATCH(9.99E+307,'Price History'!$A:$A))-'Price History'!J3)*(ROW()-3)/(MATCH(9.99E+307,'Returns (Calc)'!$A:$A)-3),"")</f>
        <v>126.989245283019</v>
      </c>
      <c r="AF43" s="111" t="n">
        <f aca="false">IFERROR('Price History'!K3+(INDEX('Price History'!K:K,MATCH(9.99E+307,'Price History'!$A:$A))-'Price History'!K3)*(ROW()-3)/(MATCH(9.99E+307,'Returns (Calc)'!$A:$A)-3),"")</f>
        <v>55.3898742138365</v>
      </c>
      <c r="AG43" s="111" t="n">
        <f aca="false">IFERROR('Price History'!L3+(INDEX('Price History'!L:L,MATCH(9.99E+307,'Price History'!$A:$A))-'Price History'!L3)*(ROW()-3)/(MATCH(9.99E+307,'Returns (Calc)'!$A:$A)-3),"")</f>
        <v>176.749748427673</v>
      </c>
      <c r="AH43" s="111" t="n">
        <f aca="false">IFERROR('Price History'!M3+(INDEX('Price History'!M:M,MATCH(9.99E+307,'Price History'!$A:$A))-'Price History'!M3)*(ROW()-3)/(MATCH(9.99E+307,'Returns (Calc)'!$A:$A)-3),"")</f>
        <v>95.6533962264151</v>
      </c>
      <c r="AI43" s="111" t="n">
        <f aca="false">IFERROR('Price History'!N3+(INDEX('Price History'!N:N,MATCH(9.99E+307,'Price History'!$A:$A))-'Price History'!N3)*(ROW()-3)/(MATCH(9.99E+307,'Returns (Calc)'!$A:$A)-3),"")</f>
        <v>399.23358490566</v>
      </c>
      <c r="AJ43" s="111" t="n">
        <f aca="false">IFERROR('Price History'!O3+(INDEX('Price History'!O:O,MATCH(9.99E+307,'Price History'!$A:$A))-'Price History'!O3)*(ROW()-3)/(MATCH(9.99E+307,'Returns (Calc)'!$A:$A)-3),"")</f>
        <v>93.9393081761006</v>
      </c>
      <c r="AK43" s="111" t="n">
        <f aca="false">IFERROR('Price History'!Q3+(INDEX('Price History'!Q:Q,MATCH(9.99E+307,'Price History'!$A:$A))-'Price History'!Q3)*(ROW()-3)/(MATCH(9.99E+307,'Returns (Calc)'!$A:$A)-3),"")</f>
        <v>54.8412578616352</v>
      </c>
      <c r="AL43" s="111" t="n">
        <f aca="false">IFERROR('Price History'!R3+(INDEX('Price History'!R:R,MATCH(9.99E+307,'Price History'!$A:$A))-'Price History'!R3)*(ROW()-3)/(MATCH(9.99E+307,'Returns (Calc)'!$A:$A)-3),"")</f>
        <v>50.8514465408805</v>
      </c>
      <c r="AM43" s="111" t="n">
        <f aca="false">IFERROR('Price History'!S3+(INDEX('Price History'!S:S,MATCH(9.99E+307,'Price History'!$A:$A))-'Price History'!S3)*(ROW()-3)/(MATCH(9.99E+307,'Returns (Calc)'!$A:$A)-3),"")</f>
        <v>81.4783647798742</v>
      </c>
      <c r="AN43" s="111" t="n">
        <f aca="false">IFERROR('Price History'!T3+(INDEX('Price History'!T:T,MATCH(9.99E+307,'Price History'!$A:$A))-'Price History'!T3)*(ROW()-3)/(MATCH(9.99E+307,'Returns (Calc)'!$A:$A)-3),"")</f>
        <v>34.0496226415094</v>
      </c>
      <c r="AO43" s="112" t="n">
        <f aca="false">IFERROR('Price History'!V3+(INDEX('Price History'!V:V,MATCH(9.99E+307,'Price History'!$A:$A))-'Price History'!V3)*(ROW()-3)/(MATCH(9.99E+307,'Returns (Calc)'!$A:$A)-3),"")</f>
        <v>94.3572327044025</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V44" s="110" t="n">
        <f aca="false">IFERROR(IF(OR(NOT(ISNUMBER('Price History'!V45)),NOT(ISNUMBER('Price History'!V44)),'Price History'!V44=0),"",'Price History'!V45/'Price History'!V44-1),"")</f>
        <v>-0.00737392077667032</v>
      </c>
      <c r="W44" s="111" t="n">
        <f aca="false">IFERROR('Price History'!B3+(INDEX('Price History'!B:B,MATCH(9.99E+307,'Price History'!$A:$A))-'Price History'!B3)*(ROW()-3)/(MATCH(9.99E+307,'Returns (Calc)'!$A:$A)-3),"")</f>
        <v>446.062955974843</v>
      </c>
      <c r="X44" s="111" t="n">
        <f aca="false">IFERROR('Price History'!C3+(INDEX('Price History'!C:C,MATCH(9.99E+307,'Price History'!$A:$A))-'Price History'!C3)*(ROW()-3)/(MATCH(9.99E+307,'Returns (Calc)'!$A:$A)-3),"")</f>
        <v>82.4295597484277</v>
      </c>
      <c r="Y44" s="111" t="n">
        <f aca="false">IFERROR('Price History'!D3+(INDEX('Price History'!D:D,MATCH(9.99E+307,'Price History'!$A:$A))-'Price History'!D3)*(ROW()-3)/(MATCH(9.99E+307,'Returns (Calc)'!$A:$A)-3),"")</f>
        <v>933.334088050314</v>
      </c>
      <c r="Z44" s="111" t="n">
        <f aca="false">IFERROR('Price History'!E3+(INDEX('Price History'!E:E,MATCH(9.99E+307,'Price History'!$A:$A))-'Price History'!E3)*(ROW()-3)/(MATCH(9.99E+307,'Returns (Calc)'!$A:$A)-3),"")</f>
        <v>153.871320754717</v>
      </c>
      <c r="AA44" s="111" t="n">
        <f aca="false">IFERROR('Price History'!F3+(INDEX('Price History'!F:F,MATCH(9.99E+307,'Price History'!$A:$A))-'Price History'!F3)*(ROW()-3)/(MATCH(9.99E+307,'Returns (Calc)'!$A:$A)-3),"")</f>
        <v>82.453962264151</v>
      </c>
      <c r="AB44" s="111" t="n">
        <f aca="false">IFERROR('Price History'!G3+(INDEX('Price History'!G:G,MATCH(9.99E+307,'Price History'!$A:$A))-'Price History'!G3)*(ROW()-3)/(MATCH(9.99E+307,'Returns (Calc)'!$A:$A)-3),"")</f>
        <v>83.4075471698113</v>
      </c>
      <c r="AC44" s="111" t="n">
        <f aca="false">IFERROR('Price History'!H3+(INDEX('Price History'!H:H,MATCH(9.99E+307,'Price History'!$A:$A))-'Price History'!H3)*(ROW()-3)/(MATCH(9.99E+307,'Returns (Calc)'!$A:$A)-3),"")</f>
        <v>309.911006289308</v>
      </c>
      <c r="AD44" s="111" t="n">
        <f aca="false">IFERROR('Price History'!I3+(INDEX('Price History'!I:I,MATCH(9.99E+307,'Price History'!$A:$A))-'Price History'!I3)*(ROW()-3)/(MATCH(9.99E+307,'Returns (Calc)'!$A:$A)-3),"")</f>
        <v>89.717358490566</v>
      </c>
      <c r="AE44" s="111" t="n">
        <f aca="false">IFERROR('Price History'!J3+(INDEX('Price History'!J:J,MATCH(9.99E+307,'Price History'!$A:$A))-'Price History'!J3)*(ROW()-3)/(MATCH(9.99E+307,'Returns (Calc)'!$A:$A)-3),"")</f>
        <v>127.076226415094</v>
      </c>
      <c r="AF44" s="111" t="n">
        <f aca="false">IFERROR('Price History'!K3+(INDEX('Price History'!K:K,MATCH(9.99E+307,'Price History'!$A:$A))-'Price History'!K3)*(ROW()-3)/(MATCH(9.99E+307,'Returns (Calc)'!$A:$A)-3),"")</f>
        <v>56.3893710691824</v>
      </c>
      <c r="AG44" s="111" t="n">
        <f aca="false">IFERROR('Price History'!L3+(INDEX('Price History'!L:L,MATCH(9.99E+307,'Price History'!$A:$A))-'Price History'!L3)*(ROW()-3)/(MATCH(9.99E+307,'Returns (Calc)'!$A:$A)-3),"")</f>
        <v>178.868742138365</v>
      </c>
      <c r="AH44" s="111" t="n">
        <f aca="false">IFERROR('Price History'!M3+(INDEX('Price History'!M:M,MATCH(9.99E+307,'Price History'!$A:$A))-'Price History'!M3)*(ROW()-3)/(MATCH(9.99E+307,'Returns (Calc)'!$A:$A)-3),"")</f>
        <v>97.2069811320755</v>
      </c>
      <c r="AI44" s="111" t="n">
        <f aca="false">IFERROR('Price History'!N3+(INDEX('Price History'!N:N,MATCH(9.99E+307,'Price History'!$A:$A))-'Price History'!N3)*(ROW()-3)/(MATCH(9.99E+307,'Returns (Calc)'!$A:$A)-3),"")</f>
        <v>400.467924528302</v>
      </c>
      <c r="AJ44" s="111" t="n">
        <f aca="false">IFERROR('Price History'!O3+(INDEX('Price History'!O:O,MATCH(9.99E+307,'Price History'!$A:$A))-'Price History'!O3)*(ROW()-3)/(MATCH(9.99E+307,'Returns (Calc)'!$A:$A)-3),"")</f>
        <v>94.2165408805032</v>
      </c>
      <c r="AK44" s="111" t="n">
        <f aca="false">IFERROR('Price History'!Q3+(INDEX('Price History'!Q:Q,MATCH(9.99E+307,'Price History'!$A:$A))-'Price History'!Q3)*(ROW()-3)/(MATCH(9.99E+307,'Returns (Calc)'!$A:$A)-3),"")</f>
        <v>54.9662893081761</v>
      </c>
      <c r="AL44" s="111" t="n">
        <f aca="false">IFERROR('Price History'!R3+(INDEX('Price History'!R:R,MATCH(9.99E+307,'Price History'!$A:$A))-'Price History'!R3)*(ROW()-3)/(MATCH(9.99E+307,'Returns (Calc)'!$A:$A)-3),"")</f>
        <v>50.9272327044025</v>
      </c>
      <c r="AM44" s="111" t="n">
        <f aca="false">IFERROR('Price History'!S3+(INDEX('Price History'!S:S,MATCH(9.99E+307,'Price History'!$A:$A))-'Price History'!S3)*(ROW()-3)/(MATCH(9.99E+307,'Returns (Calc)'!$A:$A)-3),"")</f>
        <v>82.0518238993711</v>
      </c>
      <c r="AN44" s="111" t="n">
        <f aca="false">IFERROR('Price History'!T3+(INDEX('Price History'!T:T,MATCH(9.99E+307,'Price History'!$A:$A))-'Price History'!T3)*(ROW()-3)/(MATCH(9.99E+307,'Returns (Calc)'!$A:$A)-3),"")</f>
        <v>34.2281132075472</v>
      </c>
      <c r="AO44" s="112" t="n">
        <f aca="false">IFERROR('Price History'!V3+(INDEX('Price History'!V:V,MATCH(9.99E+307,'Price History'!$A:$A))-'Price History'!V3)*(ROW()-3)/(MATCH(9.99E+307,'Returns (Calc)'!$A:$A)-3),"")</f>
        <v>96.7161635220126</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V45" s="110" t="n">
        <f aca="false">IFERROR(IF(OR(NOT(ISNUMBER('Price History'!V46)),NOT(ISNUMBER('Price History'!V45)),'Price History'!V45=0),"",'Price History'!V46/'Price History'!V45-1),"")</f>
        <v>0.0227713901747051</v>
      </c>
      <c r="W45" s="111" t="n">
        <f aca="false">IFERROR('Price History'!B3+(INDEX('Price History'!B:B,MATCH(9.99E+307,'Price History'!$A:$A))-'Price History'!B3)*(ROW()-3)/(MATCH(9.99E+307,'Returns (Calc)'!$A:$A)-3),"")</f>
        <v>444.541320754717</v>
      </c>
      <c r="X45" s="111" t="n">
        <f aca="false">IFERROR('Price History'!C3+(INDEX('Price History'!C:C,MATCH(9.99E+307,'Price History'!$A:$A))-'Price History'!C3)*(ROW()-3)/(MATCH(9.99E+307,'Returns (Calc)'!$A:$A)-3),"")</f>
        <v>83.3732075471698</v>
      </c>
      <c r="Y45" s="111" t="n">
        <f aca="false">IFERROR('Price History'!D3+(INDEX('Price History'!D:D,MATCH(9.99E+307,'Price History'!$A:$A))-'Price History'!D3)*(ROW()-3)/(MATCH(9.99E+307,'Returns (Calc)'!$A:$A)-3),"")</f>
        <v>939.957358490566</v>
      </c>
      <c r="Z45" s="111" t="n">
        <f aca="false">IFERROR('Price History'!E3+(INDEX('Price History'!E:E,MATCH(9.99E+307,'Price History'!$A:$A))-'Price History'!E3)*(ROW()-3)/(MATCH(9.99E+307,'Returns (Calc)'!$A:$A)-3),"")</f>
        <v>155.600377358491</v>
      </c>
      <c r="AA45" s="111" t="n">
        <f aca="false">IFERROR('Price History'!F3+(INDEX('Price History'!F:F,MATCH(9.99E+307,'Price History'!$A:$A))-'Price History'!F3)*(ROW()-3)/(MATCH(9.99E+307,'Returns (Calc)'!$A:$A)-3),"")</f>
        <v>83.5611320754717</v>
      </c>
      <c r="AB45" s="111" t="n">
        <f aca="false">IFERROR('Price History'!G3+(INDEX('Price History'!G:G,MATCH(9.99E+307,'Price History'!$A:$A))-'Price History'!G3)*(ROW()-3)/(MATCH(9.99E+307,'Returns (Calc)'!$A:$A)-3),"")</f>
        <v>84.2735849056604</v>
      </c>
      <c r="AC45" s="111" t="n">
        <f aca="false">IFERROR('Price History'!H3+(INDEX('Price History'!H:H,MATCH(9.99E+307,'Price History'!$A:$A))-'Price History'!H3)*(ROW()-3)/(MATCH(9.99E+307,'Returns (Calc)'!$A:$A)-3),"")</f>
        <v>315.899811320755</v>
      </c>
      <c r="AD45" s="111" t="n">
        <f aca="false">IFERROR('Price History'!I3+(INDEX('Price History'!I:I,MATCH(9.99E+307,'Price History'!$A:$A))-'Price History'!I3)*(ROW()-3)/(MATCH(9.99E+307,'Returns (Calc)'!$A:$A)-3),"")</f>
        <v>90.9092452830189</v>
      </c>
      <c r="AE45" s="111" t="n">
        <f aca="false">IFERROR('Price History'!J3+(INDEX('Price History'!J:J,MATCH(9.99E+307,'Price History'!$A:$A))-'Price History'!J3)*(ROW()-3)/(MATCH(9.99E+307,'Returns (Calc)'!$A:$A)-3),"")</f>
        <v>127.16320754717</v>
      </c>
      <c r="AF45" s="111" t="n">
        <f aca="false">IFERROR('Price History'!K3+(INDEX('Price History'!K:K,MATCH(9.99E+307,'Price History'!$A:$A))-'Price History'!K3)*(ROW()-3)/(MATCH(9.99E+307,'Returns (Calc)'!$A:$A)-3),"")</f>
        <v>57.3888679245283</v>
      </c>
      <c r="AG45" s="111" t="n">
        <f aca="false">IFERROR('Price History'!L3+(INDEX('Price History'!L:L,MATCH(9.99E+307,'Price History'!$A:$A))-'Price History'!L3)*(ROW()-3)/(MATCH(9.99E+307,'Returns (Calc)'!$A:$A)-3),"")</f>
        <v>180.987735849057</v>
      </c>
      <c r="AH45" s="111" t="n">
        <f aca="false">IFERROR('Price History'!M3+(INDEX('Price History'!M:M,MATCH(9.99E+307,'Price History'!$A:$A))-'Price History'!M3)*(ROW()-3)/(MATCH(9.99E+307,'Returns (Calc)'!$A:$A)-3),"")</f>
        <v>98.7605660377359</v>
      </c>
      <c r="AI45" s="111" t="n">
        <f aca="false">IFERROR('Price History'!N3+(INDEX('Price History'!N:N,MATCH(9.99E+307,'Price History'!$A:$A))-'Price History'!N3)*(ROW()-3)/(MATCH(9.99E+307,'Returns (Calc)'!$A:$A)-3),"")</f>
        <v>401.702264150943</v>
      </c>
      <c r="AJ45" s="111" t="n">
        <f aca="false">IFERROR('Price History'!O3+(INDEX('Price History'!O:O,MATCH(9.99E+307,'Price History'!$A:$A))-'Price History'!O3)*(ROW()-3)/(MATCH(9.99E+307,'Returns (Calc)'!$A:$A)-3),"")</f>
        <v>94.4937735849057</v>
      </c>
      <c r="AK45" s="111" t="n">
        <f aca="false">IFERROR('Price History'!Q3+(INDEX('Price History'!Q:Q,MATCH(9.99E+307,'Price History'!$A:$A))-'Price History'!Q3)*(ROW()-3)/(MATCH(9.99E+307,'Returns (Calc)'!$A:$A)-3),"")</f>
        <v>55.091320754717</v>
      </c>
      <c r="AL45" s="111" t="n">
        <f aca="false">IFERROR('Price History'!R3+(INDEX('Price History'!R:R,MATCH(9.99E+307,'Price History'!$A:$A))-'Price History'!R3)*(ROW()-3)/(MATCH(9.99E+307,'Returns (Calc)'!$A:$A)-3),"")</f>
        <v>51.0030188679245</v>
      </c>
      <c r="AM45" s="111" t="n">
        <f aca="false">IFERROR('Price History'!S3+(INDEX('Price History'!S:S,MATCH(9.99E+307,'Price History'!$A:$A))-'Price History'!S3)*(ROW()-3)/(MATCH(9.99E+307,'Returns (Calc)'!$A:$A)-3),"")</f>
        <v>82.6252830188679</v>
      </c>
      <c r="AN45" s="111" t="n">
        <f aca="false">IFERROR('Price History'!T3+(INDEX('Price History'!T:T,MATCH(9.99E+307,'Price History'!$A:$A))-'Price History'!T3)*(ROW()-3)/(MATCH(9.99E+307,'Returns (Calc)'!$A:$A)-3),"")</f>
        <v>34.4066037735849</v>
      </c>
      <c r="AO45" s="112" t="n">
        <f aca="false">IFERROR('Price History'!V3+(INDEX('Price History'!V:V,MATCH(9.99E+307,'Price History'!$A:$A))-'Price History'!V3)*(ROW()-3)/(MATCH(9.99E+307,'Returns (Calc)'!$A:$A)-3),"")</f>
        <v>99.0750943396227</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V46" s="110" t="n">
        <f aca="false">IFERROR(IF(OR(NOT(ISNUMBER('Price History'!V47)),NOT(ISNUMBER('Price History'!V46)),'Price History'!V46=0),"",'Price History'!V47/'Price History'!V46-1),"")</f>
        <v>-0.0287247244324403</v>
      </c>
      <c r="W46" s="111" t="n">
        <f aca="false">IFERROR('Price History'!B3+(INDEX('Price History'!B:B,MATCH(9.99E+307,'Price History'!$A:$A))-'Price History'!B3)*(ROW()-3)/(MATCH(9.99E+307,'Returns (Calc)'!$A:$A)-3),"")</f>
        <v>443.019685534591</v>
      </c>
      <c r="X46" s="111" t="n">
        <f aca="false">IFERROR('Price History'!C3+(INDEX('Price History'!C:C,MATCH(9.99E+307,'Price History'!$A:$A))-'Price History'!C3)*(ROW()-3)/(MATCH(9.99E+307,'Returns (Calc)'!$A:$A)-3),"")</f>
        <v>84.316855345912</v>
      </c>
      <c r="Y46" s="111" t="n">
        <f aca="false">IFERROR('Price History'!D3+(INDEX('Price History'!D:D,MATCH(9.99E+307,'Price History'!$A:$A))-'Price History'!D3)*(ROW()-3)/(MATCH(9.99E+307,'Returns (Calc)'!$A:$A)-3),"")</f>
        <v>946.580628930818</v>
      </c>
      <c r="Z46" s="111" t="n">
        <f aca="false">IFERROR('Price History'!E3+(INDEX('Price History'!E:E,MATCH(9.99E+307,'Price History'!$A:$A))-'Price History'!E3)*(ROW()-3)/(MATCH(9.99E+307,'Returns (Calc)'!$A:$A)-3),"")</f>
        <v>157.329433962264</v>
      </c>
      <c r="AA46" s="111" t="n">
        <f aca="false">IFERROR('Price History'!F3+(INDEX('Price History'!F:F,MATCH(9.99E+307,'Price History'!$A:$A))-'Price History'!F3)*(ROW()-3)/(MATCH(9.99E+307,'Returns (Calc)'!$A:$A)-3),"")</f>
        <v>84.6683018867925</v>
      </c>
      <c r="AB46" s="111" t="n">
        <f aca="false">IFERROR('Price History'!G3+(INDEX('Price History'!G:G,MATCH(9.99E+307,'Price History'!$A:$A))-'Price History'!G3)*(ROW()-3)/(MATCH(9.99E+307,'Returns (Calc)'!$A:$A)-3),"")</f>
        <v>85.1396226415094</v>
      </c>
      <c r="AC46" s="111" t="n">
        <f aca="false">IFERROR('Price History'!H3+(INDEX('Price History'!H:H,MATCH(9.99E+307,'Price History'!$A:$A))-'Price History'!H3)*(ROW()-3)/(MATCH(9.99E+307,'Returns (Calc)'!$A:$A)-3),"")</f>
        <v>321.888616352201</v>
      </c>
      <c r="AD46" s="111" t="n">
        <f aca="false">IFERROR('Price History'!I3+(INDEX('Price History'!I:I,MATCH(9.99E+307,'Price History'!$A:$A))-'Price History'!I3)*(ROW()-3)/(MATCH(9.99E+307,'Returns (Calc)'!$A:$A)-3),"")</f>
        <v>92.1011320754717</v>
      </c>
      <c r="AE46" s="111" t="n">
        <f aca="false">IFERROR('Price History'!J3+(INDEX('Price History'!J:J,MATCH(9.99E+307,'Price History'!$A:$A))-'Price History'!J3)*(ROW()-3)/(MATCH(9.99E+307,'Returns (Calc)'!$A:$A)-3),"")</f>
        <v>127.250188679245</v>
      </c>
      <c r="AF46" s="111" t="n">
        <f aca="false">IFERROR('Price History'!K3+(INDEX('Price History'!K:K,MATCH(9.99E+307,'Price History'!$A:$A))-'Price History'!K3)*(ROW()-3)/(MATCH(9.99E+307,'Returns (Calc)'!$A:$A)-3),"")</f>
        <v>58.3883647798742</v>
      </c>
      <c r="AG46" s="111" t="n">
        <f aca="false">IFERROR('Price History'!L3+(INDEX('Price History'!L:L,MATCH(9.99E+307,'Price History'!$A:$A))-'Price History'!L3)*(ROW()-3)/(MATCH(9.99E+307,'Returns (Calc)'!$A:$A)-3),"")</f>
        <v>183.106729559748</v>
      </c>
      <c r="AH46" s="111" t="n">
        <f aca="false">IFERROR('Price History'!M3+(INDEX('Price History'!M:M,MATCH(9.99E+307,'Price History'!$A:$A))-'Price History'!M3)*(ROW()-3)/(MATCH(9.99E+307,'Returns (Calc)'!$A:$A)-3),"")</f>
        <v>100.314150943396</v>
      </c>
      <c r="AI46" s="111" t="n">
        <f aca="false">IFERROR('Price History'!N3+(INDEX('Price History'!N:N,MATCH(9.99E+307,'Price History'!$A:$A))-'Price History'!N3)*(ROW()-3)/(MATCH(9.99E+307,'Returns (Calc)'!$A:$A)-3),"")</f>
        <v>402.936603773585</v>
      </c>
      <c r="AJ46" s="111" t="n">
        <f aca="false">IFERROR('Price History'!O3+(INDEX('Price History'!O:O,MATCH(9.99E+307,'Price History'!$A:$A))-'Price History'!O3)*(ROW()-3)/(MATCH(9.99E+307,'Returns (Calc)'!$A:$A)-3),"")</f>
        <v>94.7710062893082</v>
      </c>
      <c r="AK46" s="111" t="n">
        <f aca="false">IFERROR('Price History'!Q3+(INDEX('Price History'!Q:Q,MATCH(9.99E+307,'Price History'!$A:$A))-'Price History'!Q3)*(ROW()-3)/(MATCH(9.99E+307,'Returns (Calc)'!$A:$A)-3),"")</f>
        <v>55.2163522012579</v>
      </c>
      <c r="AL46" s="111" t="n">
        <f aca="false">IFERROR('Price History'!R3+(INDEX('Price History'!R:R,MATCH(9.99E+307,'Price History'!$A:$A))-'Price History'!R3)*(ROW()-3)/(MATCH(9.99E+307,'Returns (Calc)'!$A:$A)-3),"")</f>
        <v>51.0788050314465</v>
      </c>
      <c r="AM46" s="111" t="n">
        <f aca="false">IFERROR('Price History'!S3+(INDEX('Price History'!S:S,MATCH(9.99E+307,'Price History'!$A:$A))-'Price History'!S3)*(ROW()-3)/(MATCH(9.99E+307,'Returns (Calc)'!$A:$A)-3),"")</f>
        <v>83.1987421383648</v>
      </c>
      <c r="AN46" s="111" t="n">
        <f aca="false">IFERROR('Price History'!T3+(INDEX('Price History'!T:T,MATCH(9.99E+307,'Price History'!$A:$A))-'Price History'!T3)*(ROW()-3)/(MATCH(9.99E+307,'Returns (Calc)'!$A:$A)-3),"")</f>
        <v>34.5850943396226</v>
      </c>
      <c r="AO46" s="112" t="n">
        <f aca="false">IFERROR('Price History'!V3+(INDEX('Price History'!V:V,MATCH(9.99E+307,'Price History'!$A:$A))-'Price History'!V3)*(ROW()-3)/(MATCH(9.99E+307,'Returns (Calc)'!$A:$A)-3),"")</f>
        <v>101.434025157233</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V47" s="110" t="n">
        <f aca="false">IFERROR(IF(OR(NOT(ISNUMBER('Price History'!V48)),NOT(ISNUMBER('Price History'!V47)),'Price History'!V47=0),"",'Price History'!V48/'Price History'!V47-1),"")</f>
        <v>0.0168351433617675</v>
      </c>
      <c r="W47" s="111" t="n">
        <f aca="false">IFERROR('Price History'!B3+(INDEX('Price History'!B:B,MATCH(9.99E+307,'Price History'!$A:$A))-'Price History'!B3)*(ROW()-3)/(MATCH(9.99E+307,'Returns (Calc)'!$A:$A)-3),"")</f>
        <v>441.498050314465</v>
      </c>
      <c r="X47" s="111" t="n">
        <f aca="false">IFERROR('Price History'!C3+(INDEX('Price History'!C:C,MATCH(9.99E+307,'Price History'!$A:$A))-'Price History'!C3)*(ROW()-3)/(MATCH(9.99E+307,'Returns (Calc)'!$A:$A)-3),"")</f>
        <v>85.2605031446541</v>
      </c>
      <c r="Y47" s="111" t="n">
        <f aca="false">IFERROR('Price History'!D3+(INDEX('Price History'!D:D,MATCH(9.99E+307,'Price History'!$A:$A))-'Price History'!D3)*(ROW()-3)/(MATCH(9.99E+307,'Returns (Calc)'!$A:$A)-3),"")</f>
        <v>953.203899371069</v>
      </c>
      <c r="Z47" s="111" t="n">
        <f aca="false">IFERROR('Price History'!E3+(INDEX('Price History'!E:E,MATCH(9.99E+307,'Price History'!$A:$A))-'Price History'!E3)*(ROW()-3)/(MATCH(9.99E+307,'Returns (Calc)'!$A:$A)-3),"")</f>
        <v>159.058490566038</v>
      </c>
      <c r="AA47" s="111" t="n">
        <f aca="false">IFERROR('Price History'!F3+(INDEX('Price History'!F:F,MATCH(9.99E+307,'Price History'!$A:$A))-'Price History'!F3)*(ROW()-3)/(MATCH(9.99E+307,'Returns (Calc)'!$A:$A)-3),"")</f>
        <v>85.7754716981132</v>
      </c>
      <c r="AB47" s="111" t="n">
        <f aca="false">IFERROR('Price History'!G3+(INDEX('Price History'!G:G,MATCH(9.99E+307,'Price History'!$A:$A))-'Price History'!G3)*(ROW()-3)/(MATCH(9.99E+307,'Returns (Calc)'!$A:$A)-3),"")</f>
        <v>86.0056603773585</v>
      </c>
      <c r="AC47" s="111" t="n">
        <f aca="false">IFERROR('Price History'!H3+(INDEX('Price History'!H:H,MATCH(9.99E+307,'Price History'!$A:$A))-'Price History'!H3)*(ROW()-3)/(MATCH(9.99E+307,'Returns (Calc)'!$A:$A)-3),"")</f>
        <v>327.877421383648</v>
      </c>
      <c r="AD47" s="111" t="n">
        <f aca="false">IFERROR('Price History'!I3+(INDEX('Price History'!I:I,MATCH(9.99E+307,'Price History'!$A:$A))-'Price History'!I3)*(ROW()-3)/(MATCH(9.99E+307,'Returns (Calc)'!$A:$A)-3),"")</f>
        <v>93.2930188679245</v>
      </c>
      <c r="AE47" s="111" t="n">
        <f aca="false">IFERROR('Price History'!J3+(INDEX('Price History'!J:J,MATCH(9.99E+307,'Price History'!$A:$A))-'Price History'!J3)*(ROW()-3)/(MATCH(9.99E+307,'Returns (Calc)'!$A:$A)-3),"")</f>
        <v>127.337169811321</v>
      </c>
      <c r="AF47" s="111" t="n">
        <f aca="false">IFERROR('Price History'!K3+(INDEX('Price History'!K:K,MATCH(9.99E+307,'Price History'!$A:$A))-'Price History'!K3)*(ROW()-3)/(MATCH(9.99E+307,'Returns (Calc)'!$A:$A)-3),"")</f>
        <v>59.3878616352201</v>
      </c>
      <c r="AG47" s="111" t="n">
        <f aca="false">IFERROR('Price History'!L3+(INDEX('Price History'!L:L,MATCH(9.99E+307,'Price History'!$A:$A))-'Price History'!L3)*(ROW()-3)/(MATCH(9.99E+307,'Returns (Calc)'!$A:$A)-3),"")</f>
        <v>185.22572327044</v>
      </c>
      <c r="AH47" s="111" t="n">
        <f aca="false">IFERROR('Price History'!M3+(INDEX('Price History'!M:M,MATCH(9.99E+307,'Price History'!$A:$A))-'Price History'!M3)*(ROW()-3)/(MATCH(9.99E+307,'Returns (Calc)'!$A:$A)-3),"")</f>
        <v>101.867735849057</v>
      </c>
      <c r="AI47" s="111" t="n">
        <f aca="false">IFERROR('Price History'!N3+(INDEX('Price History'!N:N,MATCH(9.99E+307,'Price History'!$A:$A))-'Price History'!N3)*(ROW()-3)/(MATCH(9.99E+307,'Returns (Calc)'!$A:$A)-3),"")</f>
        <v>404.170943396226</v>
      </c>
      <c r="AJ47" s="111" t="n">
        <f aca="false">IFERROR('Price History'!O3+(INDEX('Price History'!O:O,MATCH(9.99E+307,'Price History'!$A:$A))-'Price History'!O3)*(ROW()-3)/(MATCH(9.99E+307,'Returns (Calc)'!$A:$A)-3),"")</f>
        <v>95.0482389937107</v>
      </c>
      <c r="AK47" s="111" t="n">
        <f aca="false">IFERROR('Price History'!Q3+(INDEX('Price History'!Q:Q,MATCH(9.99E+307,'Price History'!$A:$A))-'Price History'!Q3)*(ROW()-3)/(MATCH(9.99E+307,'Returns (Calc)'!$A:$A)-3),"")</f>
        <v>55.3413836477987</v>
      </c>
      <c r="AL47" s="111" t="n">
        <f aca="false">IFERROR('Price History'!R3+(INDEX('Price History'!R:R,MATCH(9.99E+307,'Price History'!$A:$A))-'Price History'!R3)*(ROW()-3)/(MATCH(9.99E+307,'Returns (Calc)'!$A:$A)-3),"")</f>
        <v>51.1545911949686</v>
      </c>
      <c r="AM47" s="111" t="n">
        <f aca="false">IFERROR('Price History'!S3+(INDEX('Price History'!S:S,MATCH(9.99E+307,'Price History'!$A:$A))-'Price History'!S3)*(ROW()-3)/(MATCH(9.99E+307,'Returns (Calc)'!$A:$A)-3),"")</f>
        <v>83.7722012578616</v>
      </c>
      <c r="AN47" s="111" t="n">
        <f aca="false">IFERROR('Price History'!T3+(INDEX('Price History'!T:T,MATCH(9.99E+307,'Price History'!$A:$A))-'Price History'!T3)*(ROW()-3)/(MATCH(9.99E+307,'Returns (Calc)'!$A:$A)-3),"")</f>
        <v>34.7635849056604</v>
      </c>
      <c r="AO47" s="112" t="n">
        <f aca="false">IFERROR('Price History'!V3+(INDEX('Price History'!V:V,MATCH(9.99E+307,'Price History'!$A:$A))-'Price History'!V3)*(ROW()-3)/(MATCH(9.99E+307,'Returns (Calc)'!$A:$A)-3),"")</f>
        <v>103.792955974843</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V48" s="110" t="n">
        <f aca="false">IFERROR(IF(OR(NOT(ISNUMBER('Price History'!V49)),NOT(ISNUMBER('Price History'!V48)),'Price History'!V48=0),"",'Price History'!V49/'Price History'!V48-1),"")</f>
        <v>-0.0463431760227649</v>
      </c>
      <c r="W48" s="111" t="n">
        <f aca="false">IFERROR('Price History'!B3+(INDEX('Price History'!B:B,MATCH(9.99E+307,'Price History'!$A:$A))-'Price History'!B3)*(ROW()-3)/(MATCH(9.99E+307,'Returns (Calc)'!$A:$A)-3),"")</f>
        <v>439.97641509434</v>
      </c>
      <c r="X48" s="111" t="n">
        <f aca="false">IFERROR('Price History'!C3+(INDEX('Price History'!C:C,MATCH(9.99E+307,'Price History'!$A:$A))-'Price History'!C3)*(ROW()-3)/(MATCH(9.99E+307,'Returns (Calc)'!$A:$A)-3),"")</f>
        <v>86.2041509433962</v>
      </c>
      <c r="Y48" s="111" t="n">
        <f aca="false">IFERROR('Price History'!D3+(INDEX('Price History'!D:D,MATCH(9.99E+307,'Price History'!$A:$A))-'Price History'!D3)*(ROW()-3)/(MATCH(9.99E+307,'Returns (Calc)'!$A:$A)-3),"")</f>
        <v>959.827169811321</v>
      </c>
      <c r="Z48" s="111" t="n">
        <f aca="false">IFERROR('Price History'!E3+(INDEX('Price History'!E:E,MATCH(9.99E+307,'Price History'!$A:$A))-'Price History'!E3)*(ROW()-3)/(MATCH(9.99E+307,'Returns (Calc)'!$A:$A)-3),"")</f>
        <v>160.787547169811</v>
      </c>
      <c r="AA48" s="111" t="n">
        <f aca="false">IFERROR('Price History'!F3+(INDEX('Price History'!F:F,MATCH(9.99E+307,'Price History'!$A:$A))-'Price History'!F3)*(ROW()-3)/(MATCH(9.99E+307,'Returns (Calc)'!$A:$A)-3),"")</f>
        <v>86.882641509434</v>
      </c>
      <c r="AB48" s="111" t="n">
        <f aca="false">IFERROR('Price History'!G3+(INDEX('Price History'!G:G,MATCH(9.99E+307,'Price History'!$A:$A))-'Price History'!G3)*(ROW()-3)/(MATCH(9.99E+307,'Returns (Calc)'!$A:$A)-3),"")</f>
        <v>86.8716981132075</v>
      </c>
      <c r="AC48" s="111" t="n">
        <f aca="false">IFERROR('Price History'!H3+(INDEX('Price History'!H:H,MATCH(9.99E+307,'Price History'!$A:$A))-'Price History'!H3)*(ROW()-3)/(MATCH(9.99E+307,'Returns (Calc)'!$A:$A)-3),"")</f>
        <v>333.866226415094</v>
      </c>
      <c r="AD48" s="111" t="n">
        <f aca="false">IFERROR('Price History'!I3+(INDEX('Price History'!I:I,MATCH(9.99E+307,'Price History'!$A:$A))-'Price History'!I3)*(ROW()-3)/(MATCH(9.99E+307,'Returns (Calc)'!$A:$A)-3),"")</f>
        <v>94.4849056603774</v>
      </c>
      <c r="AE48" s="111" t="n">
        <f aca="false">IFERROR('Price History'!J3+(INDEX('Price History'!J:J,MATCH(9.99E+307,'Price History'!$A:$A))-'Price History'!J3)*(ROW()-3)/(MATCH(9.99E+307,'Returns (Calc)'!$A:$A)-3),"")</f>
        <v>127.424150943396</v>
      </c>
      <c r="AF48" s="111" t="n">
        <f aca="false">IFERROR('Price History'!K3+(INDEX('Price History'!K:K,MATCH(9.99E+307,'Price History'!$A:$A))-'Price History'!K3)*(ROW()-3)/(MATCH(9.99E+307,'Returns (Calc)'!$A:$A)-3),"")</f>
        <v>60.387358490566</v>
      </c>
      <c r="AG48" s="111" t="n">
        <f aca="false">IFERROR('Price History'!L3+(INDEX('Price History'!L:L,MATCH(9.99E+307,'Price History'!$A:$A))-'Price History'!L3)*(ROW()-3)/(MATCH(9.99E+307,'Returns (Calc)'!$A:$A)-3),"")</f>
        <v>187.344716981132</v>
      </c>
      <c r="AH48" s="111" t="n">
        <f aca="false">IFERROR('Price History'!M3+(INDEX('Price History'!M:M,MATCH(9.99E+307,'Price History'!$A:$A))-'Price History'!M3)*(ROW()-3)/(MATCH(9.99E+307,'Returns (Calc)'!$A:$A)-3),"")</f>
        <v>103.421320754717</v>
      </c>
      <c r="AI48" s="111" t="n">
        <f aca="false">IFERROR('Price History'!N3+(INDEX('Price History'!N:N,MATCH(9.99E+307,'Price History'!$A:$A))-'Price History'!N3)*(ROW()-3)/(MATCH(9.99E+307,'Returns (Calc)'!$A:$A)-3),"")</f>
        <v>405.405283018868</v>
      </c>
      <c r="AJ48" s="111" t="n">
        <f aca="false">IFERROR('Price History'!O3+(INDEX('Price History'!O:O,MATCH(9.99E+307,'Price History'!$A:$A))-'Price History'!O3)*(ROW()-3)/(MATCH(9.99E+307,'Returns (Calc)'!$A:$A)-3),"")</f>
        <v>95.3254716981132</v>
      </c>
      <c r="AK48" s="111" t="n">
        <f aca="false">IFERROR('Price History'!Q3+(INDEX('Price History'!Q:Q,MATCH(9.99E+307,'Price History'!$A:$A))-'Price History'!Q3)*(ROW()-3)/(MATCH(9.99E+307,'Returns (Calc)'!$A:$A)-3),"")</f>
        <v>55.4664150943396</v>
      </c>
      <c r="AL48" s="111" t="n">
        <f aca="false">IFERROR('Price History'!R3+(INDEX('Price History'!R:R,MATCH(9.99E+307,'Price History'!$A:$A))-'Price History'!R3)*(ROW()-3)/(MATCH(9.99E+307,'Returns (Calc)'!$A:$A)-3),"")</f>
        <v>51.2303773584906</v>
      </c>
      <c r="AM48" s="111" t="n">
        <f aca="false">IFERROR('Price History'!S3+(INDEX('Price History'!S:S,MATCH(9.99E+307,'Price History'!$A:$A))-'Price History'!S3)*(ROW()-3)/(MATCH(9.99E+307,'Returns (Calc)'!$A:$A)-3),"")</f>
        <v>84.3456603773585</v>
      </c>
      <c r="AN48" s="111" t="n">
        <f aca="false">IFERROR('Price History'!T3+(INDEX('Price History'!T:T,MATCH(9.99E+307,'Price History'!$A:$A))-'Price History'!T3)*(ROW()-3)/(MATCH(9.99E+307,'Returns (Calc)'!$A:$A)-3),"")</f>
        <v>34.9420754716981</v>
      </c>
      <c r="AO48" s="112" t="n">
        <f aca="false">IFERROR('Price History'!V3+(INDEX('Price History'!V:V,MATCH(9.99E+307,'Price History'!$A:$A))-'Price History'!V3)*(ROW()-3)/(MATCH(9.99E+307,'Returns (Calc)'!$A:$A)-3),"")</f>
        <v>106.151886792453</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V49" s="110" t="n">
        <f aca="false">IFERROR(IF(OR(NOT(ISNUMBER('Price History'!V50)),NOT(ISNUMBER('Price History'!V49)),'Price History'!V49=0),"",'Price History'!V50/'Price History'!V49-1),"")</f>
        <v>0.0300716915326487</v>
      </c>
      <c r="W49" s="111" t="n">
        <f aca="false">IFERROR('Price History'!B3+(INDEX('Price History'!B:B,MATCH(9.99E+307,'Price History'!$A:$A))-'Price History'!B3)*(ROW()-3)/(MATCH(9.99E+307,'Returns (Calc)'!$A:$A)-3),"")</f>
        <v>438.454779874214</v>
      </c>
      <c r="X49" s="111" t="n">
        <f aca="false">IFERROR('Price History'!C3+(INDEX('Price History'!C:C,MATCH(9.99E+307,'Price History'!$A:$A))-'Price History'!C3)*(ROW()-3)/(MATCH(9.99E+307,'Returns (Calc)'!$A:$A)-3),"")</f>
        <v>87.1477987421384</v>
      </c>
      <c r="Y49" s="111" t="n">
        <f aca="false">IFERROR('Price History'!D3+(INDEX('Price History'!D:D,MATCH(9.99E+307,'Price History'!$A:$A))-'Price History'!D3)*(ROW()-3)/(MATCH(9.99E+307,'Returns (Calc)'!$A:$A)-3),"")</f>
        <v>966.450440251572</v>
      </c>
      <c r="Z49" s="111" t="n">
        <f aca="false">IFERROR('Price History'!E3+(INDEX('Price History'!E:E,MATCH(9.99E+307,'Price History'!$A:$A))-'Price History'!E3)*(ROW()-3)/(MATCH(9.99E+307,'Returns (Calc)'!$A:$A)-3),"")</f>
        <v>162.516603773585</v>
      </c>
      <c r="AA49" s="111" t="n">
        <f aca="false">IFERROR('Price History'!F3+(INDEX('Price History'!F:F,MATCH(9.99E+307,'Price History'!$A:$A))-'Price History'!F3)*(ROW()-3)/(MATCH(9.99E+307,'Returns (Calc)'!$A:$A)-3),"")</f>
        <v>87.9898113207547</v>
      </c>
      <c r="AB49" s="111" t="n">
        <f aca="false">IFERROR('Price History'!G3+(INDEX('Price History'!G:G,MATCH(9.99E+307,'Price History'!$A:$A))-'Price History'!G3)*(ROW()-3)/(MATCH(9.99E+307,'Returns (Calc)'!$A:$A)-3),"")</f>
        <v>87.7377358490566</v>
      </c>
      <c r="AC49" s="111" t="n">
        <f aca="false">IFERROR('Price History'!H3+(INDEX('Price History'!H:H,MATCH(9.99E+307,'Price History'!$A:$A))-'Price History'!H3)*(ROW()-3)/(MATCH(9.99E+307,'Returns (Calc)'!$A:$A)-3),"")</f>
        <v>339.855031446541</v>
      </c>
      <c r="AD49" s="111" t="n">
        <f aca="false">IFERROR('Price History'!I3+(INDEX('Price History'!I:I,MATCH(9.99E+307,'Price History'!$A:$A))-'Price History'!I3)*(ROW()-3)/(MATCH(9.99E+307,'Returns (Calc)'!$A:$A)-3),"")</f>
        <v>95.6767924528302</v>
      </c>
      <c r="AE49" s="111" t="n">
        <f aca="false">IFERROR('Price History'!J3+(INDEX('Price History'!J:J,MATCH(9.99E+307,'Price History'!$A:$A))-'Price History'!J3)*(ROW()-3)/(MATCH(9.99E+307,'Returns (Calc)'!$A:$A)-3),"")</f>
        <v>127.511132075472</v>
      </c>
      <c r="AF49" s="111" t="n">
        <f aca="false">IFERROR('Price History'!K3+(INDEX('Price History'!K:K,MATCH(9.99E+307,'Price History'!$A:$A))-'Price History'!K3)*(ROW()-3)/(MATCH(9.99E+307,'Returns (Calc)'!$A:$A)-3),"")</f>
        <v>61.386855345912</v>
      </c>
      <c r="AG49" s="111" t="n">
        <f aca="false">IFERROR('Price History'!L3+(INDEX('Price History'!L:L,MATCH(9.99E+307,'Price History'!$A:$A))-'Price History'!L3)*(ROW()-3)/(MATCH(9.99E+307,'Returns (Calc)'!$A:$A)-3),"")</f>
        <v>189.463710691824</v>
      </c>
      <c r="AH49" s="111" t="n">
        <f aca="false">IFERROR('Price History'!M3+(INDEX('Price History'!M:M,MATCH(9.99E+307,'Price History'!$A:$A))-'Price History'!M3)*(ROW()-3)/(MATCH(9.99E+307,'Returns (Calc)'!$A:$A)-3),"")</f>
        <v>104.974905660377</v>
      </c>
      <c r="AI49" s="111" t="n">
        <f aca="false">IFERROR('Price History'!N3+(INDEX('Price History'!N:N,MATCH(9.99E+307,'Price History'!$A:$A))-'Price History'!N3)*(ROW()-3)/(MATCH(9.99E+307,'Returns (Calc)'!$A:$A)-3),"")</f>
        <v>406.639622641509</v>
      </c>
      <c r="AJ49" s="111" t="n">
        <f aca="false">IFERROR('Price History'!O3+(INDEX('Price History'!O:O,MATCH(9.99E+307,'Price History'!$A:$A))-'Price History'!O3)*(ROW()-3)/(MATCH(9.99E+307,'Returns (Calc)'!$A:$A)-3),"")</f>
        <v>95.6027044025157</v>
      </c>
      <c r="AK49" s="111" t="n">
        <f aca="false">IFERROR('Price History'!Q3+(INDEX('Price History'!Q:Q,MATCH(9.99E+307,'Price History'!$A:$A))-'Price History'!Q3)*(ROW()-3)/(MATCH(9.99E+307,'Returns (Calc)'!$A:$A)-3),"")</f>
        <v>55.5914465408805</v>
      </c>
      <c r="AL49" s="111" t="n">
        <f aca="false">IFERROR('Price History'!R3+(INDEX('Price History'!R:R,MATCH(9.99E+307,'Price History'!$A:$A))-'Price History'!R3)*(ROW()-3)/(MATCH(9.99E+307,'Returns (Calc)'!$A:$A)-3),"")</f>
        <v>51.3061635220126</v>
      </c>
      <c r="AM49" s="111" t="n">
        <f aca="false">IFERROR('Price History'!S3+(INDEX('Price History'!S:S,MATCH(9.99E+307,'Price History'!$A:$A))-'Price History'!S3)*(ROW()-3)/(MATCH(9.99E+307,'Returns (Calc)'!$A:$A)-3),"")</f>
        <v>84.9191194968553</v>
      </c>
      <c r="AN49" s="111" t="n">
        <f aca="false">IFERROR('Price History'!T3+(INDEX('Price History'!T:T,MATCH(9.99E+307,'Price History'!$A:$A))-'Price History'!T3)*(ROW()-3)/(MATCH(9.99E+307,'Returns (Calc)'!$A:$A)-3),"")</f>
        <v>35.1205660377359</v>
      </c>
      <c r="AO49" s="112" t="n">
        <f aca="false">IFERROR('Price History'!V3+(INDEX('Price History'!V:V,MATCH(9.99E+307,'Price History'!$A:$A))-'Price History'!V3)*(ROW()-3)/(MATCH(9.99E+307,'Returns (Calc)'!$A:$A)-3),"")</f>
        <v>108.510817610063</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V50" s="110" t="n">
        <f aca="false">IFERROR(IF(OR(NOT(ISNUMBER('Price History'!V51)),NOT(ISNUMBER('Price History'!V50)),'Price History'!V50=0),"",'Price History'!V51/'Price History'!V50-1),"")</f>
        <v>-0.0170798690794177</v>
      </c>
      <c r="W50" s="111" t="n">
        <f aca="false">IFERROR('Price History'!B3+(INDEX('Price History'!B:B,MATCH(9.99E+307,'Price History'!$A:$A))-'Price History'!B3)*(ROW()-3)/(MATCH(9.99E+307,'Returns (Calc)'!$A:$A)-3),"")</f>
        <v>436.933144654088</v>
      </c>
      <c r="X50" s="111" t="n">
        <f aca="false">IFERROR('Price History'!C3+(INDEX('Price History'!C:C,MATCH(9.99E+307,'Price History'!$A:$A))-'Price History'!C3)*(ROW()-3)/(MATCH(9.99E+307,'Returns (Calc)'!$A:$A)-3),"")</f>
        <v>88.0914465408805</v>
      </c>
      <c r="Y50" s="111" t="n">
        <f aca="false">IFERROR('Price History'!D3+(INDEX('Price History'!D:D,MATCH(9.99E+307,'Price History'!$A:$A))-'Price History'!D3)*(ROW()-3)/(MATCH(9.99E+307,'Returns (Calc)'!$A:$A)-3),"")</f>
        <v>973.073710691824</v>
      </c>
      <c r="Z50" s="111" t="n">
        <f aca="false">IFERROR('Price History'!E3+(INDEX('Price History'!E:E,MATCH(9.99E+307,'Price History'!$A:$A))-'Price History'!E3)*(ROW()-3)/(MATCH(9.99E+307,'Returns (Calc)'!$A:$A)-3),"")</f>
        <v>164.245660377359</v>
      </c>
      <c r="AA50" s="111" t="n">
        <f aca="false">IFERROR('Price History'!F3+(INDEX('Price History'!F:F,MATCH(9.99E+307,'Price History'!$A:$A))-'Price History'!F3)*(ROW()-3)/(MATCH(9.99E+307,'Returns (Calc)'!$A:$A)-3),"")</f>
        <v>89.0969811320755</v>
      </c>
      <c r="AB50" s="111" t="n">
        <f aca="false">IFERROR('Price History'!G3+(INDEX('Price History'!G:G,MATCH(9.99E+307,'Price History'!$A:$A))-'Price History'!G3)*(ROW()-3)/(MATCH(9.99E+307,'Returns (Calc)'!$A:$A)-3),"")</f>
        <v>88.6037735849057</v>
      </c>
      <c r="AC50" s="111" t="n">
        <f aca="false">IFERROR('Price History'!H3+(INDEX('Price History'!H:H,MATCH(9.99E+307,'Price History'!$A:$A))-'Price History'!H3)*(ROW()-3)/(MATCH(9.99E+307,'Returns (Calc)'!$A:$A)-3),"")</f>
        <v>345.843836477987</v>
      </c>
      <c r="AD50" s="111" t="n">
        <f aca="false">IFERROR('Price History'!I3+(INDEX('Price History'!I:I,MATCH(9.99E+307,'Price History'!$A:$A))-'Price History'!I3)*(ROW()-3)/(MATCH(9.99E+307,'Returns (Calc)'!$A:$A)-3),"")</f>
        <v>96.868679245283</v>
      </c>
      <c r="AE50" s="111" t="n">
        <f aca="false">IFERROR('Price History'!J3+(INDEX('Price History'!J:J,MATCH(9.99E+307,'Price History'!$A:$A))-'Price History'!J3)*(ROW()-3)/(MATCH(9.99E+307,'Returns (Calc)'!$A:$A)-3),"")</f>
        <v>127.598113207547</v>
      </c>
      <c r="AF50" s="111" t="n">
        <f aca="false">IFERROR('Price History'!K3+(INDEX('Price History'!K:K,MATCH(9.99E+307,'Price History'!$A:$A))-'Price History'!K3)*(ROW()-3)/(MATCH(9.99E+307,'Returns (Calc)'!$A:$A)-3),"")</f>
        <v>62.3863522012579</v>
      </c>
      <c r="AG50" s="111" t="n">
        <f aca="false">IFERROR('Price History'!L3+(INDEX('Price History'!L:L,MATCH(9.99E+307,'Price History'!$A:$A))-'Price History'!L3)*(ROW()-3)/(MATCH(9.99E+307,'Returns (Calc)'!$A:$A)-3),"")</f>
        <v>191.582704402516</v>
      </c>
      <c r="AH50" s="111" t="n">
        <f aca="false">IFERROR('Price History'!M3+(INDEX('Price History'!M:M,MATCH(9.99E+307,'Price History'!$A:$A))-'Price History'!M3)*(ROW()-3)/(MATCH(9.99E+307,'Returns (Calc)'!$A:$A)-3),"")</f>
        <v>106.528490566038</v>
      </c>
      <c r="AI50" s="111" t="n">
        <f aca="false">IFERROR('Price History'!N3+(INDEX('Price History'!N:N,MATCH(9.99E+307,'Price History'!$A:$A))-'Price History'!N3)*(ROW()-3)/(MATCH(9.99E+307,'Returns (Calc)'!$A:$A)-3),"")</f>
        <v>407.873962264151</v>
      </c>
      <c r="AJ50" s="111" t="n">
        <f aca="false">IFERROR('Price History'!O3+(INDEX('Price History'!O:O,MATCH(9.99E+307,'Price History'!$A:$A))-'Price History'!O3)*(ROW()-3)/(MATCH(9.99E+307,'Returns (Calc)'!$A:$A)-3),"")</f>
        <v>95.8799371069182</v>
      </c>
      <c r="AK50" s="111" t="n">
        <f aca="false">IFERROR('Price History'!Q3+(INDEX('Price History'!Q:Q,MATCH(9.99E+307,'Price History'!$A:$A))-'Price History'!Q3)*(ROW()-3)/(MATCH(9.99E+307,'Returns (Calc)'!$A:$A)-3),"")</f>
        <v>55.7164779874214</v>
      </c>
      <c r="AL50" s="111" t="n">
        <f aca="false">IFERROR('Price History'!R3+(INDEX('Price History'!R:R,MATCH(9.99E+307,'Price History'!$A:$A))-'Price History'!R3)*(ROW()-3)/(MATCH(9.99E+307,'Returns (Calc)'!$A:$A)-3),"")</f>
        <v>51.3819496855346</v>
      </c>
      <c r="AM50" s="111" t="n">
        <f aca="false">IFERROR('Price History'!S3+(INDEX('Price History'!S:S,MATCH(9.99E+307,'Price History'!$A:$A))-'Price History'!S3)*(ROW()-3)/(MATCH(9.99E+307,'Returns (Calc)'!$A:$A)-3),"")</f>
        <v>85.4925786163522</v>
      </c>
      <c r="AN50" s="111" t="n">
        <f aca="false">IFERROR('Price History'!T3+(INDEX('Price History'!T:T,MATCH(9.99E+307,'Price History'!$A:$A))-'Price History'!T3)*(ROW()-3)/(MATCH(9.99E+307,'Returns (Calc)'!$A:$A)-3),"")</f>
        <v>35.2990566037736</v>
      </c>
      <c r="AO50" s="112" t="n">
        <f aca="false">IFERROR('Price History'!V3+(INDEX('Price History'!V:V,MATCH(9.99E+307,'Price History'!$A:$A))-'Price History'!V3)*(ROW()-3)/(MATCH(9.99E+307,'Returns (Calc)'!$A:$A)-3),"")</f>
        <v>110.869748427673</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V51" s="110" t="n">
        <f aca="false">IFERROR(IF(OR(NOT(ISNUMBER('Price History'!V52)),NOT(ISNUMBER('Price History'!V51)),'Price History'!V51=0),"",'Price History'!V52/'Price History'!V51-1),"")</f>
        <v>-0.00107168829180526</v>
      </c>
      <c r="W51" s="111" t="n">
        <f aca="false">IFERROR('Price History'!B3+(INDEX('Price History'!B:B,MATCH(9.99E+307,'Price History'!$A:$A))-'Price History'!B3)*(ROW()-3)/(MATCH(9.99E+307,'Returns (Calc)'!$A:$A)-3),"")</f>
        <v>435.411509433962</v>
      </c>
      <c r="X51" s="111" t="n">
        <f aca="false">IFERROR('Price History'!C3+(INDEX('Price History'!C:C,MATCH(9.99E+307,'Price History'!$A:$A))-'Price History'!C3)*(ROW()-3)/(MATCH(9.99E+307,'Returns (Calc)'!$A:$A)-3),"")</f>
        <v>89.0350943396227</v>
      </c>
      <c r="Y51" s="111" t="n">
        <f aca="false">IFERROR('Price History'!D3+(INDEX('Price History'!D:D,MATCH(9.99E+307,'Price History'!$A:$A))-'Price History'!D3)*(ROW()-3)/(MATCH(9.99E+307,'Returns (Calc)'!$A:$A)-3),"")</f>
        <v>979.696981132076</v>
      </c>
      <c r="Z51" s="111" t="n">
        <f aca="false">IFERROR('Price History'!E3+(INDEX('Price History'!E:E,MATCH(9.99E+307,'Price History'!$A:$A))-'Price History'!E3)*(ROW()-3)/(MATCH(9.99E+307,'Returns (Calc)'!$A:$A)-3),"")</f>
        <v>165.974716981132</v>
      </c>
      <c r="AA51" s="111" t="n">
        <f aca="false">IFERROR('Price History'!F3+(INDEX('Price History'!F:F,MATCH(9.99E+307,'Price History'!$A:$A))-'Price History'!F3)*(ROW()-3)/(MATCH(9.99E+307,'Returns (Calc)'!$A:$A)-3),"")</f>
        <v>90.2041509433962</v>
      </c>
      <c r="AB51" s="111" t="n">
        <f aca="false">IFERROR('Price History'!G3+(INDEX('Price History'!G:G,MATCH(9.99E+307,'Price History'!$A:$A))-'Price History'!G3)*(ROW()-3)/(MATCH(9.99E+307,'Returns (Calc)'!$A:$A)-3),"")</f>
        <v>89.4698113207547</v>
      </c>
      <c r="AC51" s="111" t="n">
        <f aca="false">IFERROR('Price History'!H3+(INDEX('Price History'!H:H,MATCH(9.99E+307,'Price History'!$A:$A))-'Price History'!H3)*(ROW()-3)/(MATCH(9.99E+307,'Returns (Calc)'!$A:$A)-3),"")</f>
        <v>351.832641509434</v>
      </c>
      <c r="AD51" s="111" t="n">
        <f aca="false">IFERROR('Price History'!I3+(INDEX('Price History'!I:I,MATCH(9.99E+307,'Price History'!$A:$A))-'Price History'!I3)*(ROW()-3)/(MATCH(9.99E+307,'Returns (Calc)'!$A:$A)-3),"")</f>
        <v>98.0605660377359</v>
      </c>
      <c r="AE51" s="111" t="n">
        <f aca="false">IFERROR('Price History'!J3+(INDEX('Price History'!J:J,MATCH(9.99E+307,'Price History'!$A:$A))-'Price History'!J3)*(ROW()-3)/(MATCH(9.99E+307,'Returns (Calc)'!$A:$A)-3),"")</f>
        <v>127.685094339623</v>
      </c>
      <c r="AF51" s="111" t="n">
        <f aca="false">IFERROR('Price History'!K3+(INDEX('Price History'!K:K,MATCH(9.99E+307,'Price History'!$A:$A))-'Price History'!K3)*(ROW()-3)/(MATCH(9.99E+307,'Returns (Calc)'!$A:$A)-3),"")</f>
        <v>63.3858490566038</v>
      </c>
      <c r="AG51" s="111" t="n">
        <f aca="false">IFERROR('Price History'!L3+(INDEX('Price History'!L:L,MATCH(9.99E+307,'Price History'!$A:$A))-'Price History'!L3)*(ROW()-3)/(MATCH(9.99E+307,'Returns (Calc)'!$A:$A)-3),"")</f>
        <v>193.701698113208</v>
      </c>
      <c r="AH51" s="111" t="n">
        <f aca="false">IFERROR('Price History'!M3+(INDEX('Price History'!M:M,MATCH(9.99E+307,'Price History'!$A:$A))-'Price History'!M3)*(ROW()-3)/(MATCH(9.99E+307,'Returns (Calc)'!$A:$A)-3),"")</f>
        <v>108.082075471698</v>
      </c>
      <c r="AI51" s="111" t="n">
        <f aca="false">IFERROR('Price History'!N3+(INDEX('Price History'!N:N,MATCH(9.99E+307,'Price History'!$A:$A))-'Price History'!N3)*(ROW()-3)/(MATCH(9.99E+307,'Returns (Calc)'!$A:$A)-3),"")</f>
        <v>409.108301886792</v>
      </c>
      <c r="AJ51" s="111" t="n">
        <f aca="false">IFERROR('Price History'!O3+(INDEX('Price History'!O:O,MATCH(9.99E+307,'Price History'!$A:$A))-'Price History'!O3)*(ROW()-3)/(MATCH(9.99E+307,'Returns (Calc)'!$A:$A)-3),"")</f>
        <v>96.1571698113208</v>
      </c>
      <c r="AK51" s="111" t="n">
        <f aca="false">IFERROR('Price History'!Q3+(INDEX('Price History'!Q:Q,MATCH(9.99E+307,'Price History'!$A:$A))-'Price History'!Q3)*(ROW()-3)/(MATCH(9.99E+307,'Returns (Calc)'!$A:$A)-3),"")</f>
        <v>55.8415094339623</v>
      </c>
      <c r="AL51" s="111" t="n">
        <f aca="false">IFERROR('Price History'!R3+(INDEX('Price History'!R:R,MATCH(9.99E+307,'Price History'!$A:$A))-'Price History'!R3)*(ROW()-3)/(MATCH(9.99E+307,'Returns (Calc)'!$A:$A)-3),"")</f>
        <v>51.4577358490566</v>
      </c>
      <c r="AM51" s="111" t="n">
        <f aca="false">IFERROR('Price History'!S3+(INDEX('Price History'!S:S,MATCH(9.99E+307,'Price History'!$A:$A))-'Price History'!S3)*(ROW()-3)/(MATCH(9.99E+307,'Returns (Calc)'!$A:$A)-3),"")</f>
        <v>86.0660377358491</v>
      </c>
      <c r="AN51" s="111" t="n">
        <f aca="false">IFERROR('Price History'!T3+(INDEX('Price History'!T:T,MATCH(9.99E+307,'Price History'!$A:$A))-'Price History'!T3)*(ROW()-3)/(MATCH(9.99E+307,'Returns (Calc)'!$A:$A)-3),"")</f>
        <v>35.4775471698113</v>
      </c>
      <c r="AO51" s="112" t="n">
        <f aca="false">IFERROR('Price History'!V3+(INDEX('Price History'!V:V,MATCH(9.99E+307,'Price History'!$A:$A))-'Price History'!V3)*(ROW()-3)/(MATCH(9.99E+307,'Returns (Calc)'!$A:$A)-3),"")</f>
        <v>113.228679245283</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V52" s="110" t="n">
        <f aca="false">IFERROR(IF(OR(NOT(ISNUMBER('Price History'!V53)),NOT(ISNUMBER('Price History'!V52)),'Price History'!V52=0),"",'Price History'!V53/'Price History'!V52-1),"")</f>
        <v>-0.0226062301237595</v>
      </c>
      <c r="W52" s="111" t="n">
        <f aca="false">IFERROR('Price History'!B3+(INDEX('Price History'!B:B,MATCH(9.99E+307,'Price History'!$A:$A))-'Price History'!B3)*(ROW()-3)/(MATCH(9.99E+307,'Returns (Calc)'!$A:$A)-3),"")</f>
        <v>433.889874213837</v>
      </c>
      <c r="X52" s="111" t="n">
        <f aca="false">IFERROR('Price History'!C3+(INDEX('Price History'!C:C,MATCH(9.99E+307,'Price History'!$A:$A))-'Price History'!C3)*(ROW()-3)/(MATCH(9.99E+307,'Returns (Calc)'!$A:$A)-3),"")</f>
        <v>89.9787421383648</v>
      </c>
      <c r="Y52" s="111" t="n">
        <f aca="false">IFERROR('Price History'!D3+(INDEX('Price History'!D:D,MATCH(9.99E+307,'Price History'!$A:$A))-'Price History'!D3)*(ROW()-3)/(MATCH(9.99E+307,'Returns (Calc)'!$A:$A)-3),"")</f>
        <v>986.320251572327</v>
      </c>
      <c r="Z52" s="111" t="n">
        <f aca="false">IFERROR('Price History'!E3+(INDEX('Price History'!E:E,MATCH(9.99E+307,'Price History'!$A:$A))-'Price History'!E3)*(ROW()-3)/(MATCH(9.99E+307,'Returns (Calc)'!$A:$A)-3),"")</f>
        <v>167.703773584906</v>
      </c>
      <c r="AA52" s="111" t="n">
        <f aca="false">IFERROR('Price History'!F3+(INDEX('Price History'!F:F,MATCH(9.99E+307,'Price History'!$A:$A))-'Price History'!F3)*(ROW()-3)/(MATCH(9.99E+307,'Returns (Calc)'!$A:$A)-3),"")</f>
        <v>91.311320754717</v>
      </c>
      <c r="AB52" s="111" t="n">
        <f aca="false">IFERROR('Price History'!G3+(INDEX('Price History'!G:G,MATCH(9.99E+307,'Price History'!$A:$A))-'Price History'!G3)*(ROW()-3)/(MATCH(9.99E+307,'Returns (Calc)'!$A:$A)-3),"")</f>
        <v>90.3358490566038</v>
      </c>
      <c r="AC52" s="111" t="n">
        <f aca="false">IFERROR('Price History'!H3+(INDEX('Price History'!H:H,MATCH(9.99E+307,'Price History'!$A:$A))-'Price History'!H3)*(ROW()-3)/(MATCH(9.99E+307,'Returns (Calc)'!$A:$A)-3),"")</f>
        <v>357.821446540881</v>
      </c>
      <c r="AD52" s="111" t="n">
        <f aca="false">IFERROR('Price History'!I3+(INDEX('Price History'!I:I,MATCH(9.99E+307,'Price History'!$A:$A))-'Price History'!I3)*(ROW()-3)/(MATCH(9.99E+307,'Returns (Calc)'!$A:$A)-3),"")</f>
        <v>99.2524528301887</v>
      </c>
      <c r="AE52" s="111" t="n">
        <f aca="false">IFERROR('Price History'!J3+(INDEX('Price History'!J:J,MATCH(9.99E+307,'Price History'!$A:$A))-'Price History'!J3)*(ROW()-3)/(MATCH(9.99E+307,'Returns (Calc)'!$A:$A)-3),"")</f>
        <v>127.772075471698</v>
      </c>
      <c r="AF52" s="111" t="n">
        <f aca="false">IFERROR('Price History'!K3+(INDEX('Price History'!K:K,MATCH(9.99E+307,'Price History'!$A:$A))-'Price History'!K3)*(ROW()-3)/(MATCH(9.99E+307,'Returns (Calc)'!$A:$A)-3),"")</f>
        <v>64.3853459119497</v>
      </c>
      <c r="AG52" s="111" t="n">
        <f aca="false">IFERROR('Price History'!L3+(INDEX('Price History'!L:L,MATCH(9.99E+307,'Price History'!$A:$A))-'Price History'!L3)*(ROW()-3)/(MATCH(9.99E+307,'Returns (Calc)'!$A:$A)-3),"")</f>
        <v>195.820691823899</v>
      </c>
      <c r="AH52" s="111" t="n">
        <f aca="false">IFERROR('Price History'!M3+(INDEX('Price History'!M:M,MATCH(9.99E+307,'Price History'!$A:$A))-'Price History'!M3)*(ROW()-3)/(MATCH(9.99E+307,'Returns (Calc)'!$A:$A)-3),"")</f>
        <v>109.635660377358</v>
      </c>
      <c r="AI52" s="111" t="n">
        <f aca="false">IFERROR('Price History'!N3+(INDEX('Price History'!N:N,MATCH(9.99E+307,'Price History'!$A:$A))-'Price History'!N3)*(ROW()-3)/(MATCH(9.99E+307,'Returns (Calc)'!$A:$A)-3),"")</f>
        <v>410.342641509434</v>
      </c>
      <c r="AJ52" s="111" t="n">
        <f aca="false">IFERROR('Price History'!O3+(INDEX('Price History'!O:O,MATCH(9.99E+307,'Price History'!$A:$A))-'Price History'!O3)*(ROW()-3)/(MATCH(9.99E+307,'Returns (Calc)'!$A:$A)-3),"")</f>
        <v>96.4344025157233</v>
      </c>
      <c r="AK52" s="111" t="n">
        <f aca="false">IFERROR('Price History'!Q3+(INDEX('Price History'!Q:Q,MATCH(9.99E+307,'Price History'!$A:$A))-'Price History'!Q3)*(ROW()-3)/(MATCH(9.99E+307,'Returns (Calc)'!$A:$A)-3),"")</f>
        <v>55.9665408805031</v>
      </c>
      <c r="AL52" s="111" t="n">
        <f aca="false">IFERROR('Price History'!R3+(INDEX('Price History'!R:R,MATCH(9.99E+307,'Price History'!$A:$A))-'Price History'!R3)*(ROW()-3)/(MATCH(9.99E+307,'Returns (Calc)'!$A:$A)-3),"")</f>
        <v>51.5335220125786</v>
      </c>
      <c r="AM52" s="111" t="n">
        <f aca="false">IFERROR('Price History'!S3+(INDEX('Price History'!S:S,MATCH(9.99E+307,'Price History'!$A:$A))-'Price History'!S3)*(ROW()-3)/(MATCH(9.99E+307,'Returns (Calc)'!$A:$A)-3),"")</f>
        <v>86.6394968553459</v>
      </c>
      <c r="AN52" s="111" t="n">
        <f aca="false">IFERROR('Price History'!T3+(INDEX('Price History'!T:T,MATCH(9.99E+307,'Price History'!$A:$A))-'Price History'!T3)*(ROW()-3)/(MATCH(9.99E+307,'Returns (Calc)'!$A:$A)-3),"")</f>
        <v>35.6560377358491</v>
      </c>
      <c r="AO52" s="112" t="n">
        <f aca="false">IFERROR('Price History'!V3+(INDEX('Price History'!V:V,MATCH(9.99E+307,'Price History'!$A:$A))-'Price History'!V3)*(ROW()-3)/(MATCH(9.99E+307,'Returns (Calc)'!$A:$A)-3),"")</f>
        <v>115.587610062893</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V53" s="110" t="n">
        <f aca="false">IFERROR(IF(OR(NOT(ISNUMBER('Price History'!V54)),NOT(ISNUMBER('Price History'!V53)),'Price History'!V53=0),"",'Price History'!V54/'Price History'!V53-1),"")</f>
        <v>0.0274804970794622</v>
      </c>
      <c r="W53" s="111" t="n">
        <f aca="false">IFERROR('Price History'!B3+(INDEX('Price History'!B:B,MATCH(9.99E+307,'Price History'!$A:$A))-'Price History'!B3)*(ROW()-3)/(MATCH(9.99E+307,'Returns (Calc)'!$A:$A)-3),"")</f>
        <v>432.368238993711</v>
      </c>
      <c r="X53" s="111" t="n">
        <f aca="false">IFERROR('Price History'!C3+(INDEX('Price History'!C:C,MATCH(9.99E+307,'Price History'!$A:$A))-'Price History'!C3)*(ROW()-3)/(MATCH(9.99E+307,'Returns (Calc)'!$A:$A)-3),"")</f>
        <v>90.9223899371069</v>
      </c>
      <c r="Y53" s="111" t="n">
        <f aca="false">IFERROR('Price History'!D3+(INDEX('Price History'!D:D,MATCH(9.99E+307,'Price History'!$A:$A))-'Price History'!D3)*(ROW()-3)/(MATCH(9.99E+307,'Returns (Calc)'!$A:$A)-3),"")</f>
        <v>992.943522012579</v>
      </c>
      <c r="Z53" s="111" t="n">
        <f aca="false">IFERROR('Price History'!E3+(INDEX('Price History'!E:E,MATCH(9.99E+307,'Price History'!$A:$A))-'Price History'!E3)*(ROW()-3)/(MATCH(9.99E+307,'Returns (Calc)'!$A:$A)-3),"")</f>
        <v>169.432830188679</v>
      </c>
      <c r="AA53" s="111" t="n">
        <f aca="false">IFERROR('Price History'!F3+(INDEX('Price History'!F:F,MATCH(9.99E+307,'Price History'!$A:$A))-'Price History'!F3)*(ROW()-3)/(MATCH(9.99E+307,'Returns (Calc)'!$A:$A)-3),"")</f>
        <v>92.4184905660378</v>
      </c>
      <c r="AB53" s="111" t="n">
        <f aca="false">IFERROR('Price History'!G3+(INDEX('Price History'!G:G,MATCH(9.99E+307,'Price History'!$A:$A))-'Price History'!G3)*(ROW()-3)/(MATCH(9.99E+307,'Returns (Calc)'!$A:$A)-3),"")</f>
        <v>91.2018867924528</v>
      </c>
      <c r="AC53" s="111" t="n">
        <f aca="false">IFERROR('Price History'!H3+(INDEX('Price History'!H:H,MATCH(9.99E+307,'Price History'!$A:$A))-'Price History'!H3)*(ROW()-3)/(MATCH(9.99E+307,'Returns (Calc)'!$A:$A)-3),"")</f>
        <v>363.810251572327</v>
      </c>
      <c r="AD53" s="111" t="n">
        <f aca="false">IFERROR('Price History'!I3+(INDEX('Price History'!I:I,MATCH(9.99E+307,'Price History'!$A:$A))-'Price History'!I3)*(ROW()-3)/(MATCH(9.99E+307,'Returns (Calc)'!$A:$A)-3),"")</f>
        <v>100.444339622642</v>
      </c>
      <c r="AE53" s="111" t="n">
        <f aca="false">IFERROR('Price History'!J3+(INDEX('Price History'!J:J,MATCH(9.99E+307,'Price History'!$A:$A))-'Price History'!J3)*(ROW()-3)/(MATCH(9.99E+307,'Returns (Calc)'!$A:$A)-3),"")</f>
        <v>127.859056603774</v>
      </c>
      <c r="AF53" s="111" t="n">
        <f aca="false">IFERROR('Price History'!K3+(INDEX('Price History'!K:K,MATCH(9.99E+307,'Price History'!$A:$A))-'Price History'!K3)*(ROW()-3)/(MATCH(9.99E+307,'Returns (Calc)'!$A:$A)-3),"")</f>
        <v>65.3848427672956</v>
      </c>
      <c r="AG53" s="111" t="n">
        <f aca="false">IFERROR('Price History'!L3+(INDEX('Price History'!L:L,MATCH(9.99E+307,'Price History'!$A:$A))-'Price History'!L3)*(ROW()-3)/(MATCH(9.99E+307,'Returns (Calc)'!$A:$A)-3),"")</f>
        <v>197.939685534591</v>
      </c>
      <c r="AH53" s="111" t="n">
        <f aca="false">IFERROR('Price History'!M3+(INDEX('Price History'!M:M,MATCH(9.99E+307,'Price History'!$A:$A))-'Price History'!M3)*(ROW()-3)/(MATCH(9.99E+307,'Returns (Calc)'!$A:$A)-3),"")</f>
        <v>111.189245283019</v>
      </c>
      <c r="AI53" s="111" t="n">
        <f aca="false">IFERROR('Price History'!N3+(INDEX('Price History'!N:N,MATCH(9.99E+307,'Price History'!$A:$A))-'Price History'!N3)*(ROW()-3)/(MATCH(9.99E+307,'Returns (Calc)'!$A:$A)-3),"")</f>
        <v>411.576981132076</v>
      </c>
      <c r="AJ53" s="111" t="n">
        <f aca="false">IFERROR('Price History'!O3+(INDEX('Price History'!O:O,MATCH(9.99E+307,'Price History'!$A:$A))-'Price History'!O3)*(ROW()-3)/(MATCH(9.99E+307,'Returns (Calc)'!$A:$A)-3),"")</f>
        <v>96.7116352201258</v>
      </c>
      <c r="AK53" s="111" t="n">
        <f aca="false">IFERROR('Price History'!Q3+(INDEX('Price History'!Q:Q,MATCH(9.99E+307,'Price History'!$A:$A))-'Price History'!Q3)*(ROW()-3)/(MATCH(9.99E+307,'Returns (Calc)'!$A:$A)-3),"")</f>
        <v>56.091572327044</v>
      </c>
      <c r="AL53" s="111" t="n">
        <f aca="false">IFERROR('Price History'!R3+(INDEX('Price History'!R:R,MATCH(9.99E+307,'Price History'!$A:$A))-'Price History'!R3)*(ROW()-3)/(MATCH(9.99E+307,'Returns (Calc)'!$A:$A)-3),"")</f>
        <v>51.6093081761006</v>
      </c>
      <c r="AM53" s="111" t="n">
        <f aca="false">IFERROR('Price History'!S3+(INDEX('Price History'!S:S,MATCH(9.99E+307,'Price History'!$A:$A))-'Price History'!S3)*(ROW()-3)/(MATCH(9.99E+307,'Returns (Calc)'!$A:$A)-3),"")</f>
        <v>87.2129559748428</v>
      </c>
      <c r="AN53" s="111" t="n">
        <f aca="false">IFERROR('Price History'!T3+(INDEX('Price History'!T:T,MATCH(9.99E+307,'Price History'!$A:$A))-'Price History'!T3)*(ROW()-3)/(MATCH(9.99E+307,'Returns (Calc)'!$A:$A)-3),"")</f>
        <v>35.8345283018868</v>
      </c>
      <c r="AO53" s="112" t="n">
        <f aca="false">IFERROR('Price History'!V3+(INDEX('Price History'!V:V,MATCH(9.99E+307,'Price History'!$A:$A))-'Price History'!V3)*(ROW()-3)/(MATCH(9.99E+307,'Returns (Calc)'!$A:$A)-3),"")</f>
        <v>117.946540880503</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V54" s="110" t="n">
        <f aca="false">IFERROR(IF(OR(NOT(ISNUMBER('Price History'!V55)),NOT(ISNUMBER('Price History'!V54)),'Price History'!V54=0),"",'Price History'!V55/'Price History'!V54-1),"")</f>
        <v>-0.0236550934757727</v>
      </c>
      <c r="W54" s="111" t="n">
        <f aca="false">IFERROR('Price History'!B3+(INDEX('Price History'!B:B,MATCH(9.99E+307,'Price History'!$A:$A))-'Price History'!B3)*(ROW()-3)/(MATCH(9.99E+307,'Returns (Calc)'!$A:$A)-3),"")</f>
        <v>430.846603773585</v>
      </c>
      <c r="X54" s="111" t="n">
        <f aca="false">IFERROR('Price History'!C3+(INDEX('Price History'!C:C,MATCH(9.99E+307,'Price History'!$A:$A))-'Price History'!C3)*(ROW()-3)/(MATCH(9.99E+307,'Returns (Calc)'!$A:$A)-3),"")</f>
        <v>91.8660377358491</v>
      </c>
      <c r="Y54" s="111" t="n">
        <f aca="false">IFERROR('Price History'!D3+(INDEX('Price History'!D:D,MATCH(9.99E+307,'Price History'!$A:$A))-'Price History'!D3)*(ROW()-3)/(MATCH(9.99E+307,'Returns (Calc)'!$A:$A)-3),"")</f>
        <v>999.56679245283</v>
      </c>
      <c r="Z54" s="111" t="n">
        <f aca="false">IFERROR('Price History'!E3+(INDEX('Price History'!E:E,MATCH(9.99E+307,'Price History'!$A:$A))-'Price History'!E3)*(ROW()-3)/(MATCH(9.99E+307,'Returns (Calc)'!$A:$A)-3),"")</f>
        <v>171.161886792453</v>
      </c>
      <c r="AA54" s="111" t="n">
        <f aca="false">IFERROR('Price History'!F3+(INDEX('Price History'!F:F,MATCH(9.99E+307,'Price History'!$A:$A))-'Price History'!F3)*(ROW()-3)/(MATCH(9.99E+307,'Returns (Calc)'!$A:$A)-3),"")</f>
        <v>93.5256603773585</v>
      </c>
      <c r="AB54" s="111" t="n">
        <f aca="false">IFERROR('Price History'!G3+(INDEX('Price History'!G:G,MATCH(9.99E+307,'Price History'!$A:$A))-'Price History'!G3)*(ROW()-3)/(MATCH(9.99E+307,'Returns (Calc)'!$A:$A)-3),"")</f>
        <v>92.0679245283019</v>
      </c>
      <c r="AC54" s="111" t="n">
        <f aca="false">IFERROR('Price History'!H3+(INDEX('Price History'!H:H,MATCH(9.99E+307,'Price History'!$A:$A))-'Price History'!H3)*(ROW()-3)/(MATCH(9.99E+307,'Returns (Calc)'!$A:$A)-3),"")</f>
        <v>369.799056603774</v>
      </c>
      <c r="AD54" s="111" t="n">
        <f aca="false">IFERROR('Price History'!I3+(INDEX('Price History'!I:I,MATCH(9.99E+307,'Price History'!$A:$A))-'Price History'!I3)*(ROW()-3)/(MATCH(9.99E+307,'Returns (Calc)'!$A:$A)-3),"")</f>
        <v>101.636226415094</v>
      </c>
      <c r="AE54" s="111" t="n">
        <f aca="false">IFERROR('Price History'!J3+(INDEX('Price History'!J:J,MATCH(9.99E+307,'Price History'!$A:$A))-'Price History'!J3)*(ROW()-3)/(MATCH(9.99E+307,'Returns (Calc)'!$A:$A)-3),"")</f>
        <v>127.946037735849</v>
      </c>
      <c r="AF54" s="111" t="n">
        <f aca="false">IFERROR('Price History'!K3+(INDEX('Price History'!K:K,MATCH(9.99E+307,'Price History'!$A:$A))-'Price History'!K3)*(ROW()-3)/(MATCH(9.99E+307,'Returns (Calc)'!$A:$A)-3),"")</f>
        <v>66.3843396226415</v>
      </c>
      <c r="AG54" s="111" t="n">
        <f aca="false">IFERROR('Price History'!L3+(INDEX('Price History'!L:L,MATCH(9.99E+307,'Price History'!$A:$A))-'Price History'!L3)*(ROW()-3)/(MATCH(9.99E+307,'Returns (Calc)'!$A:$A)-3),"")</f>
        <v>200.058679245283</v>
      </c>
      <c r="AH54" s="111" t="n">
        <f aca="false">IFERROR('Price History'!M3+(INDEX('Price History'!M:M,MATCH(9.99E+307,'Price History'!$A:$A))-'Price History'!M3)*(ROW()-3)/(MATCH(9.99E+307,'Returns (Calc)'!$A:$A)-3),"")</f>
        <v>112.742830188679</v>
      </c>
      <c r="AI54" s="111" t="n">
        <f aca="false">IFERROR('Price History'!N3+(INDEX('Price History'!N:N,MATCH(9.99E+307,'Price History'!$A:$A))-'Price History'!N3)*(ROW()-3)/(MATCH(9.99E+307,'Returns (Calc)'!$A:$A)-3),"")</f>
        <v>412.811320754717</v>
      </c>
      <c r="AJ54" s="111" t="n">
        <f aca="false">IFERROR('Price History'!O3+(INDEX('Price History'!O:O,MATCH(9.99E+307,'Price History'!$A:$A))-'Price History'!O3)*(ROW()-3)/(MATCH(9.99E+307,'Returns (Calc)'!$A:$A)-3),"")</f>
        <v>96.9888679245283</v>
      </c>
      <c r="AK54" s="111" t="n">
        <f aca="false">IFERROR('Price History'!Q3+(INDEX('Price History'!Q:Q,MATCH(9.99E+307,'Price History'!$A:$A))-'Price History'!Q3)*(ROW()-3)/(MATCH(9.99E+307,'Returns (Calc)'!$A:$A)-3),"")</f>
        <v>56.2166037735849</v>
      </c>
      <c r="AL54" s="111" t="n">
        <f aca="false">IFERROR('Price History'!R3+(INDEX('Price History'!R:R,MATCH(9.99E+307,'Price History'!$A:$A))-'Price History'!R3)*(ROW()-3)/(MATCH(9.99E+307,'Returns (Calc)'!$A:$A)-3),"")</f>
        <v>51.6850943396226</v>
      </c>
      <c r="AM54" s="111" t="n">
        <f aca="false">IFERROR('Price History'!S3+(INDEX('Price History'!S:S,MATCH(9.99E+307,'Price History'!$A:$A))-'Price History'!S3)*(ROW()-3)/(MATCH(9.99E+307,'Returns (Calc)'!$A:$A)-3),"")</f>
        <v>87.7864150943396</v>
      </c>
      <c r="AN54" s="111" t="n">
        <f aca="false">IFERROR('Price History'!T3+(INDEX('Price History'!T:T,MATCH(9.99E+307,'Price History'!$A:$A))-'Price History'!T3)*(ROW()-3)/(MATCH(9.99E+307,'Returns (Calc)'!$A:$A)-3),"")</f>
        <v>36.0130188679245</v>
      </c>
      <c r="AO54" s="112" t="n">
        <f aca="false">IFERROR('Price History'!V3+(INDEX('Price History'!V:V,MATCH(9.99E+307,'Price History'!$A:$A))-'Price History'!V3)*(ROW()-3)/(MATCH(9.99E+307,'Returns (Calc)'!$A:$A)-3),"")</f>
        <v>120.305471698113</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V55" s="110" t="n">
        <f aca="false">IFERROR(IF(OR(NOT(ISNUMBER('Price History'!V56)),NOT(ISNUMBER('Price History'!V55)),'Price History'!V55=0),"",'Price History'!V56/'Price History'!V55-1),"")</f>
        <v>0.0293474013286441</v>
      </c>
      <c r="W55" s="111" t="n">
        <f aca="false">IFERROR('Price History'!B3+(INDEX('Price History'!B:B,MATCH(9.99E+307,'Price History'!$A:$A))-'Price History'!B3)*(ROW()-3)/(MATCH(9.99E+307,'Returns (Calc)'!$A:$A)-3),"")</f>
        <v>429.324968553459</v>
      </c>
      <c r="X55" s="111" t="n">
        <f aca="false">IFERROR('Price History'!C3+(INDEX('Price History'!C:C,MATCH(9.99E+307,'Price History'!$A:$A))-'Price History'!C3)*(ROW()-3)/(MATCH(9.99E+307,'Returns (Calc)'!$A:$A)-3),"")</f>
        <v>92.8096855345912</v>
      </c>
      <c r="Y55" s="111" t="n">
        <f aca="false">IFERROR('Price History'!D3+(INDEX('Price History'!D:D,MATCH(9.99E+307,'Price History'!$A:$A))-'Price History'!D3)*(ROW()-3)/(MATCH(9.99E+307,'Returns (Calc)'!$A:$A)-3),"")</f>
        <v>1006.19006289308</v>
      </c>
      <c r="Z55" s="111" t="n">
        <f aca="false">IFERROR('Price History'!E3+(INDEX('Price History'!E:E,MATCH(9.99E+307,'Price History'!$A:$A))-'Price History'!E3)*(ROW()-3)/(MATCH(9.99E+307,'Returns (Calc)'!$A:$A)-3),"")</f>
        <v>172.890943396226</v>
      </c>
      <c r="AA55" s="111" t="n">
        <f aca="false">IFERROR('Price History'!F3+(INDEX('Price History'!F:F,MATCH(9.99E+307,'Price History'!$A:$A))-'Price History'!F3)*(ROW()-3)/(MATCH(9.99E+307,'Returns (Calc)'!$A:$A)-3),"")</f>
        <v>94.6328301886793</v>
      </c>
      <c r="AB55" s="111" t="n">
        <f aca="false">IFERROR('Price History'!G3+(INDEX('Price History'!G:G,MATCH(9.99E+307,'Price History'!$A:$A))-'Price History'!G3)*(ROW()-3)/(MATCH(9.99E+307,'Returns (Calc)'!$A:$A)-3),"")</f>
        <v>92.933962264151</v>
      </c>
      <c r="AC55" s="111" t="n">
        <f aca="false">IFERROR('Price History'!H3+(INDEX('Price History'!H:H,MATCH(9.99E+307,'Price History'!$A:$A))-'Price History'!H3)*(ROW()-3)/(MATCH(9.99E+307,'Returns (Calc)'!$A:$A)-3),"")</f>
        <v>375.78786163522</v>
      </c>
      <c r="AD55" s="111" t="n">
        <f aca="false">IFERROR('Price History'!I3+(INDEX('Price History'!I:I,MATCH(9.99E+307,'Price History'!$A:$A))-'Price History'!I3)*(ROW()-3)/(MATCH(9.99E+307,'Returns (Calc)'!$A:$A)-3),"")</f>
        <v>102.828113207547</v>
      </c>
      <c r="AE55" s="111" t="n">
        <f aca="false">IFERROR('Price History'!J3+(INDEX('Price History'!J:J,MATCH(9.99E+307,'Price History'!$A:$A))-'Price History'!J3)*(ROW()-3)/(MATCH(9.99E+307,'Returns (Calc)'!$A:$A)-3),"")</f>
        <v>128.033018867925</v>
      </c>
      <c r="AF55" s="111" t="n">
        <f aca="false">IFERROR('Price History'!K3+(INDEX('Price History'!K:K,MATCH(9.99E+307,'Price History'!$A:$A))-'Price History'!K3)*(ROW()-3)/(MATCH(9.99E+307,'Returns (Calc)'!$A:$A)-3),"")</f>
        <v>67.3838364779874</v>
      </c>
      <c r="AG55" s="111" t="n">
        <f aca="false">IFERROR('Price History'!L3+(INDEX('Price History'!L:L,MATCH(9.99E+307,'Price History'!$A:$A))-'Price History'!L3)*(ROW()-3)/(MATCH(9.99E+307,'Returns (Calc)'!$A:$A)-3),"")</f>
        <v>202.177672955975</v>
      </c>
      <c r="AH55" s="111" t="n">
        <f aca="false">IFERROR('Price History'!M3+(INDEX('Price History'!M:M,MATCH(9.99E+307,'Price History'!$A:$A))-'Price History'!M3)*(ROW()-3)/(MATCH(9.99E+307,'Returns (Calc)'!$A:$A)-3),"")</f>
        <v>114.29641509434</v>
      </c>
      <c r="AI55" s="111" t="n">
        <f aca="false">IFERROR('Price History'!N3+(INDEX('Price History'!N:N,MATCH(9.99E+307,'Price History'!$A:$A))-'Price History'!N3)*(ROW()-3)/(MATCH(9.99E+307,'Returns (Calc)'!$A:$A)-3),"")</f>
        <v>414.045660377359</v>
      </c>
      <c r="AJ55" s="111" t="n">
        <f aca="false">IFERROR('Price History'!O3+(INDEX('Price History'!O:O,MATCH(9.99E+307,'Price History'!$A:$A))-'Price History'!O3)*(ROW()-3)/(MATCH(9.99E+307,'Returns (Calc)'!$A:$A)-3),"")</f>
        <v>97.2661006289308</v>
      </c>
      <c r="AK55" s="111" t="n">
        <f aca="false">IFERROR('Price History'!Q3+(INDEX('Price History'!Q:Q,MATCH(9.99E+307,'Price History'!$A:$A))-'Price History'!Q3)*(ROW()-3)/(MATCH(9.99E+307,'Returns (Calc)'!$A:$A)-3),"")</f>
        <v>56.3416352201258</v>
      </c>
      <c r="AL55" s="111" t="n">
        <f aca="false">IFERROR('Price History'!R3+(INDEX('Price History'!R:R,MATCH(9.99E+307,'Price History'!$A:$A))-'Price History'!R3)*(ROW()-3)/(MATCH(9.99E+307,'Returns (Calc)'!$A:$A)-3),"")</f>
        <v>51.7608805031447</v>
      </c>
      <c r="AM55" s="111" t="n">
        <f aca="false">IFERROR('Price History'!S3+(INDEX('Price History'!S:S,MATCH(9.99E+307,'Price History'!$A:$A))-'Price History'!S3)*(ROW()-3)/(MATCH(9.99E+307,'Returns (Calc)'!$A:$A)-3),"")</f>
        <v>88.3598742138365</v>
      </c>
      <c r="AN55" s="111" t="n">
        <f aca="false">IFERROR('Price History'!T3+(INDEX('Price History'!T:T,MATCH(9.99E+307,'Price History'!$A:$A))-'Price History'!T3)*(ROW()-3)/(MATCH(9.99E+307,'Returns (Calc)'!$A:$A)-3),"")</f>
        <v>36.1915094339623</v>
      </c>
      <c r="AO55" s="112" t="n">
        <f aca="false">IFERROR('Price History'!V3+(INDEX('Price History'!V:V,MATCH(9.99E+307,'Price History'!$A:$A))-'Price History'!V3)*(ROW()-3)/(MATCH(9.99E+307,'Returns (Calc)'!$A:$A)-3),"")</f>
        <v>122.664402515723</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V56" s="110" t="n">
        <f aca="false">IFERROR(IF(OR(NOT(ISNUMBER('Price History'!V57)),NOT(ISNUMBER('Price History'!V56)),'Price History'!V56=0),"",'Price History'!V57/'Price History'!V56-1),"")</f>
        <v>0.000227781785050007</v>
      </c>
      <c r="W56" s="111" t="n">
        <f aca="false">IFERROR('Price History'!B3+(INDEX('Price History'!B:B,MATCH(9.99E+307,'Price History'!$A:$A))-'Price History'!B3)*(ROW()-3)/(MATCH(9.99E+307,'Returns (Calc)'!$A:$A)-3),"")</f>
        <v>427.803333333333</v>
      </c>
      <c r="X56" s="111" t="n">
        <f aca="false">IFERROR('Price History'!C3+(INDEX('Price History'!C:C,MATCH(9.99E+307,'Price History'!$A:$A))-'Price History'!C3)*(ROW()-3)/(MATCH(9.99E+307,'Returns (Calc)'!$A:$A)-3),"")</f>
        <v>93.7533333333333</v>
      </c>
      <c r="Y56" s="111" t="n">
        <f aca="false">IFERROR('Price History'!D3+(INDEX('Price History'!D:D,MATCH(9.99E+307,'Price History'!$A:$A))-'Price History'!D3)*(ROW()-3)/(MATCH(9.99E+307,'Returns (Calc)'!$A:$A)-3),"")</f>
        <v>1012.81333333333</v>
      </c>
      <c r="Z56" s="111" t="n">
        <f aca="false">IFERROR('Price History'!E3+(INDEX('Price History'!E:E,MATCH(9.99E+307,'Price History'!$A:$A))-'Price History'!E3)*(ROW()-3)/(MATCH(9.99E+307,'Returns (Calc)'!$A:$A)-3),"")</f>
        <v>174.62</v>
      </c>
      <c r="AA56" s="111" t="n">
        <f aca="false">IFERROR('Price History'!F3+(INDEX('Price History'!F:F,MATCH(9.99E+307,'Price History'!$A:$A))-'Price History'!F3)*(ROW()-3)/(MATCH(9.99E+307,'Returns (Calc)'!$A:$A)-3),"")</f>
        <v>95.74</v>
      </c>
      <c r="AB56" s="111" t="n">
        <f aca="false">IFERROR('Price History'!G3+(INDEX('Price History'!G:G,MATCH(9.99E+307,'Price History'!$A:$A))-'Price History'!G3)*(ROW()-3)/(MATCH(9.99E+307,'Returns (Calc)'!$A:$A)-3),"")</f>
        <v>93.8</v>
      </c>
      <c r="AC56" s="111" t="n">
        <f aca="false">IFERROR('Price History'!H3+(INDEX('Price History'!H:H,MATCH(9.99E+307,'Price History'!$A:$A))-'Price History'!H3)*(ROW()-3)/(MATCH(9.99E+307,'Returns (Calc)'!$A:$A)-3),"")</f>
        <v>381.776666666667</v>
      </c>
      <c r="AD56" s="111" t="n">
        <f aca="false">IFERROR('Price History'!I3+(INDEX('Price History'!I:I,MATCH(9.99E+307,'Price History'!$A:$A))-'Price History'!I3)*(ROW()-3)/(MATCH(9.99E+307,'Returns (Calc)'!$A:$A)-3),"")</f>
        <v>104.02</v>
      </c>
      <c r="AE56" s="111" t="n">
        <f aca="false">IFERROR('Price History'!J3+(INDEX('Price History'!J:J,MATCH(9.99E+307,'Price History'!$A:$A))-'Price History'!J3)*(ROW()-3)/(MATCH(9.99E+307,'Returns (Calc)'!$A:$A)-3),"")</f>
        <v>128.12</v>
      </c>
      <c r="AF56" s="111" t="n">
        <f aca="false">IFERROR('Price History'!K3+(INDEX('Price History'!K:K,MATCH(9.99E+307,'Price History'!$A:$A))-'Price History'!K3)*(ROW()-3)/(MATCH(9.99E+307,'Returns (Calc)'!$A:$A)-3),"")</f>
        <v>68.3833333333333</v>
      </c>
      <c r="AG56" s="111" t="n">
        <f aca="false">IFERROR('Price History'!L3+(INDEX('Price History'!L:L,MATCH(9.99E+307,'Price History'!$A:$A))-'Price History'!L3)*(ROW()-3)/(MATCH(9.99E+307,'Returns (Calc)'!$A:$A)-3),"")</f>
        <v>204.296666666667</v>
      </c>
      <c r="AH56" s="111" t="n">
        <f aca="false">IFERROR('Price History'!M3+(INDEX('Price History'!M:M,MATCH(9.99E+307,'Price History'!$A:$A))-'Price History'!M3)*(ROW()-3)/(MATCH(9.99E+307,'Returns (Calc)'!$A:$A)-3),"")</f>
        <v>115.85</v>
      </c>
      <c r="AI56" s="111" t="n">
        <f aca="false">IFERROR('Price History'!N3+(INDEX('Price History'!N:N,MATCH(9.99E+307,'Price History'!$A:$A))-'Price History'!N3)*(ROW()-3)/(MATCH(9.99E+307,'Returns (Calc)'!$A:$A)-3),"")</f>
        <v>415.28</v>
      </c>
      <c r="AJ56" s="111" t="n">
        <f aca="false">IFERROR('Price History'!O3+(INDEX('Price History'!O:O,MATCH(9.99E+307,'Price History'!$A:$A))-'Price History'!O3)*(ROW()-3)/(MATCH(9.99E+307,'Returns (Calc)'!$A:$A)-3),"")</f>
        <v>97.5433333333333</v>
      </c>
      <c r="AK56" s="111" t="n">
        <f aca="false">IFERROR('Price History'!Q3+(INDEX('Price History'!Q:Q,MATCH(9.99E+307,'Price History'!$A:$A))-'Price History'!Q3)*(ROW()-3)/(MATCH(9.99E+307,'Returns (Calc)'!$A:$A)-3),"")</f>
        <v>56.4666666666667</v>
      </c>
      <c r="AL56" s="111" t="n">
        <f aca="false">IFERROR('Price History'!R3+(INDEX('Price History'!R:R,MATCH(9.99E+307,'Price History'!$A:$A))-'Price History'!R3)*(ROW()-3)/(MATCH(9.99E+307,'Returns (Calc)'!$A:$A)-3),"")</f>
        <v>51.8366666666667</v>
      </c>
      <c r="AM56" s="111" t="n">
        <f aca="false">IFERROR('Price History'!S3+(INDEX('Price History'!S:S,MATCH(9.99E+307,'Price History'!$A:$A))-'Price History'!S3)*(ROW()-3)/(MATCH(9.99E+307,'Returns (Calc)'!$A:$A)-3),"")</f>
        <v>88.9333333333333</v>
      </c>
      <c r="AN56" s="111" t="n">
        <f aca="false">IFERROR('Price History'!T3+(INDEX('Price History'!T:T,MATCH(9.99E+307,'Price History'!$A:$A))-'Price History'!T3)*(ROW()-3)/(MATCH(9.99E+307,'Returns (Calc)'!$A:$A)-3),"")</f>
        <v>36.37</v>
      </c>
      <c r="AO56" s="112" t="n">
        <f aca="false">IFERROR('Price History'!V3+(INDEX('Price History'!V:V,MATCH(9.99E+307,'Price History'!$A:$A))-'Price History'!V3)*(ROW()-3)/(MATCH(9.99E+307,'Returns (Calc)'!$A:$A)-3),"")</f>
        <v>125.023333333333</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V57" s="110" t="n">
        <f aca="false">IFERROR(IF(OR(NOT(ISNUMBER('Price History'!V58)),NOT(ISNUMBER('Price History'!V57)),'Price History'!V57=0),"",'Price History'!V58/'Price History'!V57-1),"")</f>
        <v>0.0334003871408508</v>
      </c>
      <c r="W57" s="111" t="n">
        <f aca="false">IFERROR('Price History'!B3+(INDEX('Price History'!B:B,MATCH(9.99E+307,'Price History'!$A:$A))-'Price History'!B3)*(ROW()-3)/(MATCH(9.99E+307,'Returns (Calc)'!$A:$A)-3),"")</f>
        <v>426.281698113208</v>
      </c>
      <c r="X57" s="111" t="n">
        <f aca="false">IFERROR('Price History'!C3+(INDEX('Price History'!C:C,MATCH(9.99E+307,'Price History'!$A:$A))-'Price History'!C3)*(ROW()-3)/(MATCH(9.99E+307,'Returns (Calc)'!$A:$A)-3),"")</f>
        <v>94.6969811320755</v>
      </c>
      <c r="Y57" s="111" t="n">
        <f aca="false">IFERROR('Price History'!D3+(INDEX('Price History'!D:D,MATCH(9.99E+307,'Price History'!$A:$A))-'Price History'!D3)*(ROW()-3)/(MATCH(9.99E+307,'Returns (Calc)'!$A:$A)-3),"")</f>
        <v>1019.43660377358</v>
      </c>
      <c r="Z57" s="111" t="n">
        <f aca="false">IFERROR('Price History'!E3+(INDEX('Price History'!E:E,MATCH(9.99E+307,'Price History'!$A:$A))-'Price History'!E3)*(ROW()-3)/(MATCH(9.99E+307,'Returns (Calc)'!$A:$A)-3),"")</f>
        <v>176.349056603774</v>
      </c>
      <c r="AA57" s="111" t="n">
        <f aca="false">IFERROR('Price History'!F3+(INDEX('Price History'!F:F,MATCH(9.99E+307,'Price History'!$A:$A))-'Price History'!F3)*(ROW()-3)/(MATCH(9.99E+307,'Returns (Calc)'!$A:$A)-3),"")</f>
        <v>96.8471698113208</v>
      </c>
      <c r="AB57" s="111" t="n">
        <f aca="false">IFERROR('Price History'!G3+(INDEX('Price History'!G:G,MATCH(9.99E+307,'Price History'!$A:$A))-'Price History'!G3)*(ROW()-3)/(MATCH(9.99E+307,'Returns (Calc)'!$A:$A)-3),"")</f>
        <v>94.6660377358491</v>
      </c>
      <c r="AC57" s="111" t="n">
        <f aca="false">IFERROR('Price History'!H3+(INDEX('Price History'!H:H,MATCH(9.99E+307,'Price History'!$A:$A))-'Price History'!H3)*(ROW()-3)/(MATCH(9.99E+307,'Returns (Calc)'!$A:$A)-3),"")</f>
        <v>387.765471698113</v>
      </c>
      <c r="AD57" s="111" t="n">
        <f aca="false">IFERROR('Price History'!I3+(INDEX('Price History'!I:I,MATCH(9.99E+307,'Price History'!$A:$A))-'Price History'!I3)*(ROW()-3)/(MATCH(9.99E+307,'Returns (Calc)'!$A:$A)-3),"")</f>
        <v>105.211886792453</v>
      </c>
      <c r="AE57" s="111" t="n">
        <f aca="false">IFERROR('Price History'!J3+(INDEX('Price History'!J:J,MATCH(9.99E+307,'Price History'!$A:$A))-'Price History'!J3)*(ROW()-3)/(MATCH(9.99E+307,'Returns (Calc)'!$A:$A)-3),"")</f>
        <v>128.206981132075</v>
      </c>
      <c r="AF57" s="111" t="n">
        <f aca="false">IFERROR('Price History'!K3+(INDEX('Price History'!K:K,MATCH(9.99E+307,'Price History'!$A:$A))-'Price History'!K3)*(ROW()-3)/(MATCH(9.99E+307,'Returns (Calc)'!$A:$A)-3),"")</f>
        <v>69.3828301886793</v>
      </c>
      <c r="AG57" s="111" t="n">
        <f aca="false">IFERROR('Price History'!L3+(INDEX('Price History'!L:L,MATCH(9.99E+307,'Price History'!$A:$A))-'Price History'!L3)*(ROW()-3)/(MATCH(9.99E+307,'Returns (Calc)'!$A:$A)-3),"")</f>
        <v>206.415660377359</v>
      </c>
      <c r="AH57" s="111" t="n">
        <f aca="false">IFERROR('Price History'!M3+(INDEX('Price History'!M:M,MATCH(9.99E+307,'Price History'!$A:$A))-'Price History'!M3)*(ROW()-3)/(MATCH(9.99E+307,'Returns (Calc)'!$A:$A)-3),"")</f>
        <v>117.40358490566</v>
      </c>
      <c r="AI57" s="111" t="n">
        <f aca="false">IFERROR('Price History'!N3+(INDEX('Price History'!N:N,MATCH(9.99E+307,'Price History'!$A:$A))-'Price History'!N3)*(ROW()-3)/(MATCH(9.99E+307,'Returns (Calc)'!$A:$A)-3),"")</f>
        <v>416.514339622642</v>
      </c>
      <c r="AJ57" s="111" t="n">
        <f aca="false">IFERROR('Price History'!O3+(INDEX('Price History'!O:O,MATCH(9.99E+307,'Price History'!$A:$A))-'Price History'!O3)*(ROW()-3)/(MATCH(9.99E+307,'Returns (Calc)'!$A:$A)-3),"")</f>
        <v>97.8205660377358</v>
      </c>
      <c r="AK57" s="111" t="n">
        <f aca="false">IFERROR('Price History'!Q3+(INDEX('Price History'!Q:Q,MATCH(9.99E+307,'Price History'!$A:$A))-'Price History'!Q3)*(ROW()-3)/(MATCH(9.99E+307,'Returns (Calc)'!$A:$A)-3),"")</f>
        <v>56.5916981132076</v>
      </c>
      <c r="AL57" s="111" t="n">
        <f aca="false">IFERROR('Price History'!R3+(INDEX('Price History'!R:R,MATCH(9.99E+307,'Price History'!$A:$A))-'Price History'!R3)*(ROW()-3)/(MATCH(9.99E+307,'Returns (Calc)'!$A:$A)-3),"")</f>
        <v>51.9124528301887</v>
      </c>
      <c r="AM57" s="111" t="n">
        <f aca="false">IFERROR('Price History'!S3+(INDEX('Price History'!S:S,MATCH(9.99E+307,'Price History'!$A:$A))-'Price History'!S3)*(ROW()-3)/(MATCH(9.99E+307,'Returns (Calc)'!$A:$A)-3),"")</f>
        <v>89.5067924528302</v>
      </c>
      <c r="AN57" s="111" t="n">
        <f aca="false">IFERROR('Price History'!T3+(INDEX('Price History'!T:T,MATCH(9.99E+307,'Price History'!$A:$A))-'Price History'!T3)*(ROW()-3)/(MATCH(9.99E+307,'Returns (Calc)'!$A:$A)-3),"")</f>
        <v>36.5484905660377</v>
      </c>
      <c r="AO57" s="112" t="n">
        <f aca="false">IFERROR('Price History'!V3+(INDEX('Price History'!V:V,MATCH(9.99E+307,'Price History'!$A:$A))-'Price History'!V3)*(ROW()-3)/(MATCH(9.99E+307,'Returns (Calc)'!$A:$A)-3),"")</f>
        <v>127.382264150943</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V58" s="110" t="n">
        <f aca="false">IFERROR(IF(OR(NOT(ISNUMBER('Price History'!V59)),NOT(ISNUMBER('Price History'!V58)),'Price History'!V58=0),"",'Price History'!V59/'Price History'!V58-1),"")</f>
        <v>0.0108348330701145</v>
      </c>
      <c r="W58" s="111" t="n">
        <f aca="false">IFERROR('Price History'!B3+(INDEX('Price History'!B:B,MATCH(9.99E+307,'Price History'!$A:$A))-'Price History'!B3)*(ROW()-3)/(MATCH(9.99E+307,'Returns (Calc)'!$A:$A)-3),"")</f>
        <v>424.760062893082</v>
      </c>
      <c r="X58" s="111" t="n">
        <f aca="false">IFERROR('Price History'!C3+(INDEX('Price History'!C:C,MATCH(9.99E+307,'Price History'!$A:$A))-'Price History'!C3)*(ROW()-3)/(MATCH(9.99E+307,'Returns (Calc)'!$A:$A)-3),"")</f>
        <v>95.6406289308176</v>
      </c>
      <c r="Y58" s="111" t="n">
        <f aca="false">IFERROR('Price History'!D3+(INDEX('Price History'!D:D,MATCH(9.99E+307,'Price History'!$A:$A))-'Price History'!D3)*(ROW()-3)/(MATCH(9.99E+307,'Returns (Calc)'!$A:$A)-3),"")</f>
        <v>1026.05987421384</v>
      </c>
      <c r="Z58" s="111" t="n">
        <f aca="false">IFERROR('Price History'!E3+(INDEX('Price History'!E:E,MATCH(9.99E+307,'Price History'!$A:$A))-'Price History'!E3)*(ROW()-3)/(MATCH(9.99E+307,'Returns (Calc)'!$A:$A)-3),"")</f>
        <v>178.078113207547</v>
      </c>
      <c r="AA58" s="111" t="n">
        <f aca="false">IFERROR('Price History'!F3+(INDEX('Price History'!F:F,MATCH(9.99E+307,'Price History'!$A:$A))-'Price History'!F3)*(ROW()-3)/(MATCH(9.99E+307,'Returns (Calc)'!$A:$A)-3),"")</f>
        <v>97.9543396226415</v>
      </c>
      <c r="AB58" s="111" t="n">
        <f aca="false">IFERROR('Price History'!G3+(INDEX('Price History'!G:G,MATCH(9.99E+307,'Price History'!$A:$A))-'Price History'!G3)*(ROW()-3)/(MATCH(9.99E+307,'Returns (Calc)'!$A:$A)-3),"")</f>
        <v>95.5320754716981</v>
      </c>
      <c r="AC58" s="111" t="n">
        <f aca="false">IFERROR('Price History'!H3+(INDEX('Price History'!H:H,MATCH(9.99E+307,'Price History'!$A:$A))-'Price History'!H3)*(ROW()-3)/(MATCH(9.99E+307,'Returns (Calc)'!$A:$A)-3),"")</f>
        <v>393.75427672956</v>
      </c>
      <c r="AD58" s="111" t="n">
        <f aca="false">IFERROR('Price History'!I3+(INDEX('Price History'!I:I,MATCH(9.99E+307,'Price History'!$A:$A))-'Price History'!I3)*(ROW()-3)/(MATCH(9.99E+307,'Returns (Calc)'!$A:$A)-3),"")</f>
        <v>106.403773584906</v>
      </c>
      <c r="AE58" s="111" t="n">
        <f aca="false">IFERROR('Price History'!J3+(INDEX('Price History'!J:J,MATCH(9.99E+307,'Price History'!$A:$A))-'Price History'!J3)*(ROW()-3)/(MATCH(9.99E+307,'Returns (Calc)'!$A:$A)-3),"")</f>
        <v>128.293962264151</v>
      </c>
      <c r="AF58" s="111" t="n">
        <f aca="false">IFERROR('Price History'!K3+(INDEX('Price History'!K:K,MATCH(9.99E+307,'Price History'!$A:$A))-'Price History'!K3)*(ROW()-3)/(MATCH(9.99E+307,'Returns (Calc)'!$A:$A)-3),"")</f>
        <v>70.3823270440252</v>
      </c>
      <c r="AG58" s="111" t="n">
        <f aca="false">IFERROR('Price History'!L3+(INDEX('Price History'!L:L,MATCH(9.99E+307,'Price History'!$A:$A))-'Price History'!L3)*(ROW()-3)/(MATCH(9.99E+307,'Returns (Calc)'!$A:$A)-3),"")</f>
        <v>208.53465408805</v>
      </c>
      <c r="AH58" s="111" t="n">
        <f aca="false">IFERROR('Price History'!M3+(INDEX('Price History'!M:M,MATCH(9.99E+307,'Price History'!$A:$A))-'Price History'!M3)*(ROW()-3)/(MATCH(9.99E+307,'Returns (Calc)'!$A:$A)-3),"")</f>
        <v>118.957169811321</v>
      </c>
      <c r="AI58" s="111" t="n">
        <f aca="false">IFERROR('Price History'!N3+(INDEX('Price History'!N:N,MATCH(9.99E+307,'Price History'!$A:$A))-'Price History'!N3)*(ROW()-3)/(MATCH(9.99E+307,'Returns (Calc)'!$A:$A)-3),"")</f>
        <v>417.748679245283</v>
      </c>
      <c r="AJ58" s="111" t="n">
        <f aca="false">IFERROR('Price History'!O3+(INDEX('Price History'!O:O,MATCH(9.99E+307,'Price History'!$A:$A))-'Price History'!O3)*(ROW()-3)/(MATCH(9.99E+307,'Returns (Calc)'!$A:$A)-3),"")</f>
        <v>98.0977987421384</v>
      </c>
      <c r="AK58" s="111" t="n">
        <f aca="false">IFERROR('Price History'!Q3+(INDEX('Price History'!Q:Q,MATCH(9.99E+307,'Price History'!$A:$A))-'Price History'!Q3)*(ROW()-3)/(MATCH(9.99E+307,'Returns (Calc)'!$A:$A)-3),"")</f>
        <v>56.7167295597484</v>
      </c>
      <c r="AL58" s="111" t="n">
        <f aca="false">IFERROR('Price History'!R3+(INDEX('Price History'!R:R,MATCH(9.99E+307,'Price History'!$A:$A))-'Price History'!R3)*(ROW()-3)/(MATCH(9.99E+307,'Returns (Calc)'!$A:$A)-3),"")</f>
        <v>51.9882389937107</v>
      </c>
      <c r="AM58" s="111" t="n">
        <f aca="false">IFERROR('Price History'!S3+(INDEX('Price History'!S:S,MATCH(9.99E+307,'Price History'!$A:$A))-'Price History'!S3)*(ROW()-3)/(MATCH(9.99E+307,'Returns (Calc)'!$A:$A)-3),"")</f>
        <v>90.080251572327</v>
      </c>
      <c r="AN58" s="111" t="n">
        <f aca="false">IFERROR('Price History'!T3+(INDEX('Price History'!T:T,MATCH(9.99E+307,'Price History'!$A:$A))-'Price History'!T3)*(ROW()-3)/(MATCH(9.99E+307,'Returns (Calc)'!$A:$A)-3),"")</f>
        <v>36.7269811320755</v>
      </c>
      <c r="AO58" s="112" t="n">
        <f aca="false">IFERROR('Price History'!V3+(INDEX('Price History'!V:V,MATCH(9.99E+307,'Price History'!$A:$A))-'Price History'!V3)*(ROW()-3)/(MATCH(9.99E+307,'Returns (Calc)'!$A:$A)-3),"")</f>
        <v>129.741194968553</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V59" s="110" t="n">
        <f aca="false">IFERROR(IF(OR(NOT(ISNUMBER('Price History'!V60)),NOT(ISNUMBER('Price History'!V59)),'Price History'!V59=0),"",'Price History'!V60/'Price History'!V59-1),"")</f>
        <v>0.028558971005014</v>
      </c>
      <c r="W59" s="111" t="n">
        <f aca="false">IFERROR('Price History'!B3+(INDEX('Price History'!B:B,MATCH(9.99E+307,'Price History'!$A:$A))-'Price History'!B3)*(ROW()-3)/(MATCH(9.99E+307,'Returns (Calc)'!$A:$A)-3),"")</f>
        <v>423.238427672956</v>
      </c>
      <c r="X59" s="111" t="n">
        <f aca="false">IFERROR('Price History'!C3+(INDEX('Price History'!C:C,MATCH(9.99E+307,'Price History'!$A:$A))-'Price History'!C3)*(ROW()-3)/(MATCH(9.99E+307,'Returns (Calc)'!$A:$A)-3),"")</f>
        <v>96.5842767295598</v>
      </c>
      <c r="Y59" s="111" t="n">
        <f aca="false">IFERROR('Price History'!D3+(INDEX('Price History'!D:D,MATCH(9.99E+307,'Price History'!$A:$A))-'Price History'!D3)*(ROW()-3)/(MATCH(9.99E+307,'Returns (Calc)'!$A:$A)-3),"")</f>
        <v>1032.68314465409</v>
      </c>
      <c r="Z59" s="111" t="n">
        <f aca="false">IFERROR('Price History'!E3+(INDEX('Price History'!E:E,MATCH(9.99E+307,'Price History'!$A:$A))-'Price History'!E3)*(ROW()-3)/(MATCH(9.99E+307,'Returns (Calc)'!$A:$A)-3),"")</f>
        <v>179.807169811321</v>
      </c>
      <c r="AA59" s="111" t="n">
        <f aca="false">IFERROR('Price History'!F3+(INDEX('Price History'!F:F,MATCH(9.99E+307,'Price History'!$A:$A))-'Price History'!F3)*(ROW()-3)/(MATCH(9.99E+307,'Returns (Calc)'!$A:$A)-3),"")</f>
        <v>99.0615094339623</v>
      </c>
      <c r="AB59" s="111" t="n">
        <f aca="false">IFERROR('Price History'!G3+(INDEX('Price History'!G:G,MATCH(9.99E+307,'Price History'!$A:$A))-'Price History'!G3)*(ROW()-3)/(MATCH(9.99E+307,'Returns (Calc)'!$A:$A)-3),"")</f>
        <v>96.3981132075472</v>
      </c>
      <c r="AC59" s="111" t="n">
        <f aca="false">IFERROR('Price History'!H3+(INDEX('Price History'!H:H,MATCH(9.99E+307,'Price History'!$A:$A))-'Price History'!H3)*(ROW()-3)/(MATCH(9.99E+307,'Returns (Calc)'!$A:$A)-3),"")</f>
        <v>399.743081761006</v>
      </c>
      <c r="AD59" s="111" t="n">
        <f aca="false">IFERROR('Price History'!I3+(INDEX('Price History'!I:I,MATCH(9.99E+307,'Price History'!$A:$A))-'Price History'!I3)*(ROW()-3)/(MATCH(9.99E+307,'Returns (Calc)'!$A:$A)-3),"")</f>
        <v>107.595660377359</v>
      </c>
      <c r="AE59" s="111" t="n">
        <f aca="false">IFERROR('Price History'!J3+(INDEX('Price History'!J:J,MATCH(9.99E+307,'Price History'!$A:$A))-'Price History'!J3)*(ROW()-3)/(MATCH(9.99E+307,'Returns (Calc)'!$A:$A)-3),"")</f>
        <v>128.380943396226</v>
      </c>
      <c r="AF59" s="111" t="n">
        <f aca="false">IFERROR('Price History'!K3+(INDEX('Price History'!K:K,MATCH(9.99E+307,'Price History'!$A:$A))-'Price History'!K3)*(ROW()-3)/(MATCH(9.99E+307,'Returns (Calc)'!$A:$A)-3),"")</f>
        <v>71.3818238993711</v>
      </c>
      <c r="AG59" s="111" t="n">
        <f aca="false">IFERROR('Price History'!L3+(INDEX('Price History'!L:L,MATCH(9.99E+307,'Price History'!$A:$A))-'Price History'!L3)*(ROW()-3)/(MATCH(9.99E+307,'Returns (Calc)'!$A:$A)-3),"")</f>
        <v>210.653647798742</v>
      </c>
      <c r="AH59" s="111" t="n">
        <f aca="false">IFERROR('Price History'!M3+(INDEX('Price History'!M:M,MATCH(9.99E+307,'Price History'!$A:$A))-'Price History'!M3)*(ROW()-3)/(MATCH(9.99E+307,'Returns (Calc)'!$A:$A)-3),"")</f>
        <v>120.510754716981</v>
      </c>
      <c r="AI59" s="111" t="n">
        <f aca="false">IFERROR('Price History'!N3+(INDEX('Price History'!N:N,MATCH(9.99E+307,'Price History'!$A:$A))-'Price History'!N3)*(ROW()-3)/(MATCH(9.99E+307,'Returns (Calc)'!$A:$A)-3),"")</f>
        <v>418.983018867925</v>
      </c>
      <c r="AJ59" s="111" t="n">
        <f aca="false">IFERROR('Price History'!O3+(INDEX('Price History'!O:O,MATCH(9.99E+307,'Price History'!$A:$A))-'Price History'!O3)*(ROW()-3)/(MATCH(9.99E+307,'Returns (Calc)'!$A:$A)-3),"")</f>
        <v>98.3750314465409</v>
      </c>
      <c r="AK59" s="111" t="n">
        <f aca="false">IFERROR('Price History'!Q3+(INDEX('Price History'!Q:Q,MATCH(9.99E+307,'Price History'!$A:$A))-'Price History'!Q3)*(ROW()-3)/(MATCH(9.99E+307,'Returns (Calc)'!$A:$A)-3),"")</f>
        <v>56.8417610062893</v>
      </c>
      <c r="AL59" s="111" t="n">
        <f aca="false">IFERROR('Price History'!R3+(INDEX('Price History'!R:R,MATCH(9.99E+307,'Price History'!$A:$A))-'Price History'!R3)*(ROW()-3)/(MATCH(9.99E+307,'Returns (Calc)'!$A:$A)-3),"")</f>
        <v>52.0640251572327</v>
      </c>
      <c r="AM59" s="111" t="n">
        <f aca="false">IFERROR('Price History'!S3+(INDEX('Price History'!S:S,MATCH(9.99E+307,'Price History'!$A:$A))-'Price History'!S3)*(ROW()-3)/(MATCH(9.99E+307,'Returns (Calc)'!$A:$A)-3),"")</f>
        <v>90.6537106918239</v>
      </c>
      <c r="AN59" s="111" t="n">
        <f aca="false">IFERROR('Price History'!T3+(INDEX('Price History'!T:T,MATCH(9.99E+307,'Price History'!$A:$A))-'Price History'!T3)*(ROW()-3)/(MATCH(9.99E+307,'Returns (Calc)'!$A:$A)-3),"")</f>
        <v>36.9054716981132</v>
      </c>
      <c r="AO59" s="112" t="n">
        <f aca="false">IFERROR('Price History'!V3+(INDEX('Price History'!V:V,MATCH(9.99E+307,'Price History'!$A:$A))-'Price History'!V3)*(ROW()-3)/(MATCH(9.99E+307,'Returns (Calc)'!$A:$A)-3),"")</f>
        <v>132.100125786164</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V60" s="110" t="n">
        <f aca="false">IFERROR(IF(OR(NOT(ISNUMBER('Price History'!V61)),NOT(ISNUMBER('Price History'!V60)),'Price History'!V60=0),"",'Price History'!V61/'Price History'!V60-1),"")</f>
        <v>-0.00897272855729814</v>
      </c>
      <c r="W60" s="111" t="n">
        <f aca="false">IFERROR('Price History'!B3+(INDEX('Price History'!B:B,MATCH(9.99E+307,'Price History'!$A:$A))-'Price History'!B3)*(ROW()-3)/(MATCH(9.99E+307,'Returns (Calc)'!$A:$A)-3),"")</f>
        <v>421.71679245283</v>
      </c>
      <c r="X60" s="111" t="n">
        <f aca="false">IFERROR('Price History'!C3+(INDEX('Price History'!C:C,MATCH(9.99E+307,'Price History'!$A:$A))-'Price History'!C3)*(ROW()-3)/(MATCH(9.99E+307,'Returns (Calc)'!$A:$A)-3),"")</f>
        <v>97.5279245283019</v>
      </c>
      <c r="Y60" s="111" t="n">
        <f aca="false">IFERROR('Price History'!D3+(INDEX('Price History'!D:D,MATCH(9.99E+307,'Price History'!$A:$A))-'Price History'!D3)*(ROW()-3)/(MATCH(9.99E+307,'Returns (Calc)'!$A:$A)-3),"")</f>
        <v>1039.30641509434</v>
      </c>
      <c r="Z60" s="111" t="n">
        <f aca="false">IFERROR('Price History'!E3+(INDEX('Price History'!E:E,MATCH(9.99E+307,'Price History'!$A:$A))-'Price History'!E3)*(ROW()-3)/(MATCH(9.99E+307,'Returns (Calc)'!$A:$A)-3),"")</f>
        <v>181.536226415094</v>
      </c>
      <c r="AA60" s="111" t="n">
        <f aca="false">IFERROR('Price History'!F3+(INDEX('Price History'!F:F,MATCH(9.99E+307,'Price History'!$A:$A))-'Price History'!F3)*(ROW()-3)/(MATCH(9.99E+307,'Returns (Calc)'!$A:$A)-3),"")</f>
        <v>100.168679245283</v>
      </c>
      <c r="AB60" s="111" t="n">
        <f aca="false">IFERROR('Price History'!G3+(INDEX('Price History'!G:G,MATCH(9.99E+307,'Price History'!$A:$A))-'Price History'!G3)*(ROW()-3)/(MATCH(9.99E+307,'Returns (Calc)'!$A:$A)-3),"")</f>
        <v>97.2641509433962</v>
      </c>
      <c r="AC60" s="111" t="n">
        <f aca="false">IFERROR('Price History'!H3+(INDEX('Price History'!H:H,MATCH(9.99E+307,'Price History'!$A:$A))-'Price History'!H3)*(ROW()-3)/(MATCH(9.99E+307,'Returns (Calc)'!$A:$A)-3),"")</f>
        <v>405.731886792453</v>
      </c>
      <c r="AD60" s="111" t="n">
        <f aca="false">IFERROR('Price History'!I3+(INDEX('Price History'!I:I,MATCH(9.99E+307,'Price History'!$A:$A))-'Price History'!I3)*(ROW()-3)/(MATCH(9.99E+307,'Returns (Calc)'!$A:$A)-3),"")</f>
        <v>108.787547169811</v>
      </c>
      <c r="AE60" s="111" t="n">
        <f aca="false">IFERROR('Price History'!J3+(INDEX('Price History'!J:J,MATCH(9.99E+307,'Price History'!$A:$A))-'Price History'!J3)*(ROW()-3)/(MATCH(9.99E+307,'Returns (Calc)'!$A:$A)-3),"")</f>
        <v>128.467924528302</v>
      </c>
      <c r="AF60" s="111" t="n">
        <f aca="false">IFERROR('Price History'!K3+(INDEX('Price History'!K:K,MATCH(9.99E+307,'Price History'!$A:$A))-'Price History'!K3)*(ROW()-3)/(MATCH(9.99E+307,'Returns (Calc)'!$A:$A)-3),"")</f>
        <v>72.381320754717</v>
      </c>
      <c r="AG60" s="111" t="n">
        <f aca="false">IFERROR('Price History'!L3+(INDEX('Price History'!L:L,MATCH(9.99E+307,'Price History'!$A:$A))-'Price History'!L3)*(ROW()-3)/(MATCH(9.99E+307,'Returns (Calc)'!$A:$A)-3),"")</f>
        <v>212.772641509434</v>
      </c>
      <c r="AH60" s="111" t="n">
        <f aca="false">IFERROR('Price History'!M3+(INDEX('Price History'!M:M,MATCH(9.99E+307,'Price History'!$A:$A))-'Price History'!M3)*(ROW()-3)/(MATCH(9.99E+307,'Returns (Calc)'!$A:$A)-3),"")</f>
        <v>122.064339622642</v>
      </c>
      <c r="AI60" s="111" t="n">
        <f aca="false">IFERROR('Price History'!N3+(INDEX('Price History'!N:N,MATCH(9.99E+307,'Price History'!$A:$A))-'Price History'!N3)*(ROW()-3)/(MATCH(9.99E+307,'Returns (Calc)'!$A:$A)-3),"")</f>
        <v>420.217358490566</v>
      </c>
      <c r="AJ60" s="111" t="n">
        <f aca="false">IFERROR('Price History'!O3+(INDEX('Price History'!O:O,MATCH(9.99E+307,'Price History'!$A:$A))-'Price History'!O3)*(ROW()-3)/(MATCH(9.99E+307,'Returns (Calc)'!$A:$A)-3),"")</f>
        <v>98.6522641509434</v>
      </c>
      <c r="AK60" s="111" t="n">
        <f aca="false">IFERROR('Price History'!Q3+(INDEX('Price History'!Q:Q,MATCH(9.99E+307,'Price History'!$A:$A))-'Price History'!Q3)*(ROW()-3)/(MATCH(9.99E+307,'Returns (Calc)'!$A:$A)-3),"")</f>
        <v>56.9667924528302</v>
      </c>
      <c r="AL60" s="111" t="n">
        <f aca="false">IFERROR('Price History'!R3+(INDEX('Price History'!R:R,MATCH(9.99E+307,'Price History'!$A:$A))-'Price History'!R3)*(ROW()-3)/(MATCH(9.99E+307,'Returns (Calc)'!$A:$A)-3),"")</f>
        <v>52.1398113207547</v>
      </c>
      <c r="AM60" s="111" t="n">
        <f aca="false">IFERROR('Price History'!S3+(INDEX('Price History'!S:S,MATCH(9.99E+307,'Price History'!$A:$A))-'Price History'!S3)*(ROW()-3)/(MATCH(9.99E+307,'Returns (Calc)'!$A:$A)-3),"")</f>
        <v>91.2271698113208</v>
      </c>
      <c r="AN60" s="111" t="n">
        <f aca="false">IFERROR('Price History'!T3+(INDEX('Price History'!T:T,MATCH(9.99E+307,'Price History'!$A:$A))-'Price History'!T3)*(ROW()-3)/(MATCH(9.99E+307,'Returns (Calc)'!$A:$A)-3),"")</f>
        <v>37.0839622641509</v>
      </c>
      <c r="AO60" s="112" t="n">
        <f aca="false">IFERROR('Price History'!V3+(INDEX('Price History'!V:V,MATCH(9.99E+307,'Price History'!$A:$A))-'Price History'!V3)*(ROW()-3)/(MATCH(9.99E+307,'Returns (Calc)'!$A:$A)-3),"")</f>
        <v>134.459056603774</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V61" s="110" t="n">
        <f aca="false">IFERROR(IF(OR(NOT(ISNUMBER('Price History'!V62)),NOT(ISNUMBER('Price History'!V61)),'Price History'!V61=0),"",'Price History'!V62/'Price History'!V61-1),"")</f>
        <v>-0.0337206815427391</v>
      </c>
      <c r="W61" s="111" t="n">
        <f aca="false">IFERROR('Price History'!B3+(INDEX('Price History'!B:B,MATCH(9.99E+307,'Price History'!$A:$A))-'Price History'!B3)*(ROW()-3)/(MATCH(9.99E+307,'Returns (Calc)'!$A:$A)-3),"")</f>
        <v>420.195157232704</v>
      </c>
      <c r="X61" s="111" t="n">
        <f aca="false">IFERROR('Price History'!C3+(INDEX('Price History'!C:C,MATCH(9.99E+307,'Price History'!$A:$A))-'Price History'!C3)*(ROW()-3)/(MATCH(9.99E+307,'Returns (Calc)'!$A:$A)-3),"")</f>
        <v>98.471572327044</v>
      </c>
      <c r="Y61" s="111" t="n">
        <f aca="false">IFERROR('Price History'!D3+(INDEX('Price History'!D:D,MATCH(9.99E+307,'Price History'!$A:$A))-'Price History'!D3)*(ROW()-3)/(MATCH(9.99E+307,'Returns (Calc)'!$A:$A)-3),"")</f>
        <v>1045.92968553459</v>
      </c>
      <c r="Z61" s="111" t="n">
        <f aca="false">IFERROR('Price History'!E3+(INDEX('Price History'!E:E,MATCH(9.99E+307,'Price History'!$A:$A))-'Price History'!E3)*(ROW()-3)/(MATCH(9.99E+307,'Returns (Calc)'!$A:$A)-3),"")</f>
        <v>183.265283018868</v>
      </c>
      <c r="AA61" s="111" t="n">
        <f aca="false">IFERROR('Price History'!F3+(INDEX('Price History'!F:F,MATCH(9.99E+307,'Price History'!$A:$A))-'Price History'!F3)*(ROW()-3)/(MATCH(9.99E+307,'Returns (Calc)'!$A:$A)-3),"")</f>
        <v>101.275849056604</v>
      </c>
      <c r="AB61" s="111" t="n">
        <f aca="false">IFERROR('Price History'!G3+(INDEX('Price History'!G:G,MATCH(9.99E+307,'Price History'!$A:$A))-'Price History'!G3)*(ROW()-3)/(MATCH(9.99E+307,'Returns (Calc)'!$A:$A)-3),"")</f>
        <v>98.1301886792453</v>
      </c>
      <c r="AC61" s="111" t="n">
        <f aca="false">IFERROR('Price History'!H3+(INDEX('Price History'!H:H,MATCH(9.99E+307,'Price History'!$A:$A))-'Price History'!H3)*(ROW()-3)/(MATCH(9.99E+307,'Returns (Calc)'!$A:$A)-3),"")</f>
        <v>411.720691823899</v>
      </c>
      <c r="AD61" s="111" t="n">
        <f aca="false">IFERROR('Price History'!I3+(INDEX('Price History'!I:I,MATCH(9.99E+307,'Price History'!$A:$A))-'Price History'!I3)*(ROW()-3)/(MATCH(9.99E+307,'Returns (Calc)'!$A:$A)-3),"")</f>
        <v>109.979433962264</v>
      </c>
      <c r="AE61" s="111" t="n">
        <f aca="false">IFERROR('Price History'!J3+(INDEX('Price History'!J:J,MATCH(9.99E+307,'Price History'!$A:$A))-'Price History'!J3)*(ROW()-3)/(MATCH(9.99E+307,'Returns (Calc)'!$A:$A)-3),"")</f>
        <v>128.554905660377</v>
      </c>
      <c r="AF61" s="111" t="n">
        <f aca="false">IFERROR('Price History'!K3+(INDEX('Price History'!K:K,MATCH(9.99E+307,'Price History'!$A:$A))-'Price History'!K3)*(ROW()-3)/(MATCH(9.99E+307,'Returns (Calc)'!$A:$A)-3),"")</f>
        <v>73.3808176100629</v>
      </c>
      <c r="AG61" s="111" t="n">
        <f aca="false">IFERROR('Price History'!L3+(INDEX('Price History'!L:L,MATCH(9.99E+307,'Price History'!$A:$A))-'Price History'!L3)*(ROW()-3)/(MATCH(9.99E+307,'Returns (Calc)'!$A:$A)-3),"")</f>
        <v>214.891635220126</v>
      </c>
      <c r="AH61" s="111" t="n">
        <f aca="false">IFERROR('Price History'!M3+(INDEX('Price History'!M:M,MATCH(9.99E+307,'Price History'!$A:$A))-'Price History'!M3)*(ROW()-3)/(MATCH(9.99E+307,'Returns (Calc)'!$A:$A)-3),"")</f>
        <v>123.617924528302</v>
      </c>
      <c r="AI61" s="111" t="n">
        <f aca="false">IFERROR('Price History'!N3+(INDEX('Price History'!N:N,MATCH(9.99E+307,'Price History'!$A:$A))-'Price History'!N3)*(ROW()-3)/(MATCH(9.99E+307,'Returns (Calc)'!$A:$A)-3),"")</f>
        <v>421.451698113208</v>
      </c>
      <c r="AJ61" s="111" t="n">
        <f aca="false">IFERROR('Price History'!O3+(INDEX('Price History'!O:O,MATCH(9.99E+307,'Price History'!$A:$A))-'Price History'!O3)*(ROW()-3)/(MATCH(9.99E+307,'Returns (Calc)'!$A:$A)-3),"")</f>
        <v>98.9294968553459</v>
      </c>
      <c r="AK61" s="111" t="n">
        <f aca="false">IFERROR('Price History'!Q3+(INDEX('Price History'!Q:Q,MATCH(9.99E+307,'Price History'!$A:$A))-'Price History'!Q3)*(ROW()-3)/(MATCH(9.99E+307,'Returns (Calc)'!$A:$A)-3),"")</f>
        <v>57.0918238993711</v>
      </c>
      <c r="AL61" s="111" t="n">
        <f aca="false">IFERROR('Price History'!R3+(INDEX('Price History'!R:R,MATCH(9.99E+307,'Price History'!$A:$A))-'Price History'!R3)*(ROW()-3)/(MATCH(9.99E+307,'Returns (Calc)'!$A:$A)-3),"")</f>
        <v>52.2155974842767</v>
      </c>
      <c r="AM61" s="111" t="n">
        <f aca="false">IFERROR('Price History'!S3+(INDEX('Price History'!S:S,MATCH(9.99E+307,'Price History'!$A:$A))-'Price History'!S3)*(ROW()-3)/(MATCH(9.99E+307,'Returns (Calc)'!$A:$A)-3),"")</f>
        <v>91.8006289308176</v>
      </c>
      <c r="AN61" s="111" t="n">
        <f aca="false">IFERROR('Price History'!T3+(INDEX('Price History'!T:T,MATCH(9.99E+307,'Price History'!$A:$A))-'Price History'!T3)*(ROW()-3)/(MATCH(9.99E+307,'Returns (Calc)'!$A:$A)-3),"")</f>
        <v>37.2624528301887</v>
      </c>
      <c r="AO61" s="112" t="n">
        <f aca="false">IFERROR('Price History'!V3+(INDEX('Price History'!V:V,MATCH(9.99E+307,'Price History'!$A:$A))-'Price History'!V3)*(ROW()-3)/(MATCH(9.99E+307,'Returns (Calc)'!$A:$A)-3),"")</f>
        <v>136.817987421384</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V62" s="110" t="n">
        <f aca="false">IFERROR(IF(OR(NOT(ISNUMBER('Price History'!V63)),NOT(ISNUMBER('Price History'!V62)),'Price History'!V62=0),"",'Price History'!V63/'Price History'!V62-1),"")</f>
        <v>0.010033938320791</v>
      </c>
      <c r="W62" s="111" t="n">
        <f aca="false">IFERROR('Price History'!B3+(INDEX('Price History'!B:B,MATCH(9.99E+307,'Price History'!$A:$A))-'Price History'!B3)*(ROW()-3)/(MATCH(9.99E+307,'Returns (Calc)'!$A:$A)-3),"")</f>
        <v>418.673522012579</v>
      </c>
      <c r="X62" s="111" t="n">
        <f aca="false">IFERROR('Price History'!C3+(INDEX('Price History'!C:C,MATCH(9.99E+307,'Price History'!$A:$A))-'Price History'!C3)*(ROW()-3)/(MATCH(9.99E+307,'Returns (Calc)'!$A:$A)-3),"")</f>
        <v>99.4152201257862</v>
      </c>
      <c r="Y62" s="111" t="n">
        <f aca="false">IFERROR('Price History'!D3+(INDEX('Price History'!D:D,MATCH(9.99E+307,'Price History'!$A:$A))-'Price History'!D3)*(ROW()-3)/(MATCH(9.99E+307,'Returns (Calc)'!$A:$A)-3),"")</f>
        <v>1052.55295597484</v>
      </c>
      <c r="Z62" s="111" t="n">
        <f aca="false">IFERROR('Price History'!E3+(INDEX('Price History'!E:E,MATCH(9.99E+307,'Price History'!$A:$A))-'Price History'!E3)*(ROW()-3)/(MATCH(9.99E+307,'Returns (Calc)'!$A:$A)-3),"")</f>
        <v>184.994339622642</v>
      </c>
      <c r="AA62" s="111" t="n">
        <f aca="false">IFERROR('Price History'!F3+(INDEX('Price History'!F:F,MATCH(9.99E+307,'Price History'!$A:$A))-'Price History'!F3)*(ROW()-3)/(MATCH(9.99E+307,'Returns (Calc)'!$A:$A)-3),"")</f>
        <v>102.383018867925</v>
      </c>
      <c r="AB62" s="111" t="n">
        <f aca="false">IFERROR('Price History'!G3+(INDEX('Price History'!G:G,MATCH(9.99E+307,'Price History'!$A:$A))-'Price History'!G3)*(ROW()-3)/(MATCH(9.99E+307,'Returns (Calc)'!$A:$A)-3),"")</f>
        <v>98.9962264150943</v>
      </c>
      <c r="AC62" s="111" t="n">
        <f aca="false">IFERROR('Price History'!H3+(INDEX('Price History'!H:H,MATCH(9.99E+307,'Price History'!$A:$A))-'Price History'!H3)*(ROW()-3)/(MATCH(9.99E+307,'Returns (Calc)'!$A:$A)-3),"")</f>
        <v>417.709496855346</v>
      </c>
      <c r="AD62" s="111" t="n">
        <f aca="false">IFERROR('Price History'!I3+(INDEX('Price History'!I:I,MATCH(9.99E+307,'Price History'!$A:$A))-'Price History'!I3)*(ROW()-3)/(MATCH(9.99E+307,'Returns (Calc)'!$A:$A)-3),"")</f>
        <v>111.171320754717</v>
      </c>
      <c r="AE62" s="111" t="n">
        <f aca="false">IFERROR('Price History'!J3+(INDEX('Price History'!J:J,MATCH(9.99E+307,'Price History'!$A:$A))-'Price History'!J3)*(ROW()-3)/(MATCH(9.99E+307,'Returns (Calc)'!$A:$A)-3),"")</f>
        <v>128.641886792453</v>
      </c>
      <c r="AF62" s="111" t="n">
        <f aca="false">IFERROR('Price History'!K3+(INDEX('Price History'!K:K,MATCH(9.99E+307,'Price History'!$A:$A))-'Price History'!K3)*(ROW()-3)/(MATCH(9.99E+307,'Returns (Calc)'!$A:$A)-3),"")</f>
        <v>74.3803144654088</v>
      </c>
      <c r="AG62" s="111" t="n">
        <f aca="false">IFERROR('Price History'!L3+(INDEX('Price History'!L:L,MATCH(9.99E+307,'Price History'!$A:$A))-'Price History'!L3)*(ROW()-3)/(MATCH(9.99E+307,'Returns (Calc)'!$A:$A)-3),"")</f>
        <v>217.010628930818</v>
      </c>
      <c r="AH62" s="111" t="n">
        <f aca="false">IFERROR('Price History'!M3+(INDEX('Price History'!M:M,MATCH(9.99E+307,'Price History'!$A:$A))-'Price History'!M3)*(ROW()-3)/(MATCH(9.99E+307,'Returns (Calc)'!$A:$A)-3),"")</f>
        <v>125.171509433962</v>
      </c>
      <c r="AI62" s="111" t="n">
        <f aca="false">IFERROR('Price History'!N3+(INDEX('Price History'!N:N,MATCH(9.99E+307,'Price History'!$A:$A))-'Price History'!N3)*(ROW()-3)/(MATCH(9.99E+307,'Returns (Calc)'!$A:$A)-3),"")</f>
        <v>422.686037735849</v>
      </c>
      <c r="AJ62" s="111" t="n">
        <f aca="false">IFERROR('Price History'!O3+(INDEX('Price History'!O:O,MATCH(9.99E+307,'Price History'!$A:$A))-'Price History'!O3)*(ROW()-3)/(MATCH(9.99E+307,'Returns (Calc)'!$A:$A)-3),"")</f>
        <v>99.2067295597484</v>
      </c>
      <c r="AK62" s="111" t="n">
        <f aca="false">IFERROR('Price History'!Q3+(INDEX('Price History'!Q:Q,MATCH(9.99E+307,'Price History'!$A:$A))-'Price History'!Q3)*(ROW()-3)/(MATCH(9.99E+307,'Returns (Calc)'!$A:$A)-3),"")</f>
        <v>57.216855345912</v>
      </c>
      <c r="AL62" s="111" t="n">
        <f aca="false">IFERROR('Price History'!R3+(INDEX('Price History'!R:R,MATCH(9.99E+307,'Price History'!$A:$A))-'Price History'!R3)*(ROW()-3)/(MATCH(9.99E+307,'Returns (Calc)'!$A:$A)-3),"")</f>
        <v>52.2913836477987</v>
      </c>
      <c r="AM62" s="111" t="n">
        <f aca="false">IFERROR('Price History'!S3+(INDEX('Price History'!S:S,MATCH(9.99E+307,'Price History'!$A:$A))-'Price History'!S3)*(ROW()-3)/(MATCH(9.99E+307,'Returns (Calc)'!$A:$A)-3),"")</f>
        <v>92.3740880503145</v>
      </c>
      <c r="AN62" s="111" t="n">
        <f aca="false">IFERROR('Price History'!T3+(INDEX('Price History'!T:T,MATCH(9.99E+307,'Price History'!$A:$A))-'Price History'!T3)*(ROW()-3)/(MATCH(9.99E+307,'Returns (Calc)'!$A:$A)-3),"")</f>
        <v>37.4409433962264</v>
      </c>
      <c r="AO62" s="112" t="n">
        <f aca="false">IFERROR('Price History'!V3+(INDEX('Price History'!V:V,MATCH(9.99E+307,'Price History'!$A:$A))-'Price History'!V3)*(ROW()-3)/(MATCH(9.99E+307,'Returns (Calc)'!$A:$A)-3),"")</f>
        <v>139.176918238994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V63" s="110" t="n">
        <f aca="false">IFERROR(IF(OR(NOT(ISNUMBER('Price History'!V64)),NOT(ISNUMBER('Price History'!V63)),'Price History'!V63=0),"",'Price History'!V64/'Price History'!V63-1),"")</f>
        <v>-0.000328707085463953</v>
      </c>
      <c r="W63" s="111" t="n">
        <f aca="false">IFERROR('Price History'!B3+(INDEX('Price History'!B:B,MATCH(9.99E+307,'Price History'!$A:$A))-'Price History'!B3)*(ROW()-3)/(MATCH(9.99E+307,'Returns (Calc)'!$A:$A)-3),"")</f>
        <v>417.151886792453</v>
      </c>
      <c r="X63" s="111" t="n">
        <f aca="false">IFERROR('Price History'!C3+(INDEX('Price History'!C:C,MATCH(9.99E+307,'Price History'!$A:$A))-'Price History'!C3)*(ROW()-3)/(MATCH(9.99E+307,'Returns (Calc)'!$A:$A)-3),"")</f>
        <v>100.358867924528</v>
      </c>
      <c r="Y63" s="111" t="n">
        <f aca="false">IFERROR('Price History'!D3+(INDEX('Price History'!D:D,MATCH(9.99E+307,'Price History'!$A:$A))-'Price History'!D3)*(ROW()-3)/(MATCH(9.99E+307,'Returns (Calc)'!$A:$A)-3),"")</f>
        <v>1059.17622641509</v>
      </c>
      <c r="Z63" s="111" t="n">
        <f aca="false">IFERROR('Price History'!E3+(INDEX('Price History'!E:E,MATCH(9.99E+307,'Price History'!$A:$A))-'Price History'!E3)*(ROW()-3)/(MATCH(9.99E+307,'Returns (Calc)'!$A:$A)-3),"")</f>
        <v>186.723396226415</v>
      </c>
      <c r="AA63" s="111" t="n">
        <f aca="false">IFERROR('Price History'!F3+(INDEX('Price History'!F:F,MATCH(9.99E+307,'Price History'!$A:$A))-'Price History'!F3)*(ROW()-3)/(MATCH(9.99E+307,'Returns (Calc)'!$A:$A)-3),"")</f>
        <v>103.490188679245</v>
      </c>
      <c r="AB63" s="111" t="n">
        <f aca="false">IFERROR('Price History'!G3+(INDEX('Price History'!G:G,MATCH(9.99E+307,'Price History'!$A:$A))-'Price History'!G3)*(ROW()-3)/(MATCH(9.99E+307,'Returns (Calc)'!$A:$A)-3),"")</f>
        <v>99.8622641509434</v>
      </c>
      <c r="AC63" s="111" t="n">
        <f aca="false">IFERROR('Price History'!H3+(INDEX('Price History'!H:H,MATCH(9.99E+307,'Price History'!$A:$A))-'Price History'!H3)*(ROW()-3)/(MATCH(9.99E+307,'Returns (Calc)'!$A:$A)-3),"")</f>
        <v>423.698301886793</v>
      </c>
      <c r="AD63" s="111" t="n">
        <f aca="false">IFERROR('Price History'!I3+(INDEX('Price History'!I:I,MATCH(9.99E+307,'Price History'!$A:$A))-'Price History'!I3)*(ROW()-3)/(MATCH(9.99E+307,'Returns (Calc)'!$A:$A)-3),"")</f>
        <v>112.36320754717</v>
      </c>
      <c r="AE63" s="111" t="n">
        <f aca="false">IFERROR('Price History'!J3+(INDEX('Price History'!J:J,MATCH(9.99E+307,'Price History'!$A:$A))-'Price History'!J3)*(ROW()-3)/(MATCH(9.99E+307,'Returns (Calc)'!$A:$A)-3),"")</f>
        <v>128.728867924528</v>
      </c>
      <c r="AF63" s="111" t="n">
        <f aca="false">IFERROR('Price History'!K3+(INDEX('Price History'!K:K,MATCH(9.99E+307,'Price History'!$A:$A))-'Price History'!K3)*(ROW()-3)/(MATCH(9.99E+307,'Returns (Calc)'!$A:$A)-3),"")</f>
        <v>75.3798113207547</v>
      </c>
      <c r="AG63" s="111" t="n">
        <f aca="false">IFERROR('Price History'!L3+(INDEX('Price History'!L:L,MATCH(9.99E+307,'Price History'!$A:$A))-'Price History'!L3)*(ROW()-3)/(MATCH(9.99E+307,'Returns (Calc)'!$A:$A)-3),"")</f>
        <v>219.129622641509</v>
      </c>
      <c r="AH63" s="111" t="n">
        <f aca="false">IFERROR('Price History'!M3+(INDEX('Price History'!M:M,MATCH(9.99E+307,'Price History'!$A:$A))-'Price History'!M3)*(ROW()-3)/(MATCH(9.99E+307,'Returns (Calc)'!$A:$A)-3),"")</f>
        <v>126.725094339623</v>
      </c>
      <c r="AI63" s="111" t="n">
        <f aca="false">IFERROR('Price History'!N3+(INDEX('Price History'!N:N,MATCH(9.99E+307,'Price History'!$A:$A))-'Price History'!N3)*(ROW()-3)/(MATCH(9.99E+307,'Returns (Calc)'!$A:$A)-3),"")</f>
        <v>423.920377358491</v>
      </c>
      <c r="AJ63" s="111" t="n">
        <f aca="false">IFERROR('Price History'!O3+(INDEX('Price History'!O:O,MATCH(9.99E+307,'Price History'!$A:$A))-'Price History'!O3)*(ROW()-3)/(MATCH(9.99E+307,'Returns (Calc)'!$A:$A)-3),"")</f>
        <v>99.483962264151</v>
      </c>
      <c r="AK63" s="111" t="n">
        <f aca="false">IFERROR('Price History'!Q3+(INDEX('Price History'!Q:Q,MATCH(9.99E+307,'Price History'!$A:$A))-'Price History'!Q3)*(ROW()-3)/(MATCH(9.99E+307,'Returns (Calc)'!$A:$A)-3),"")</f>
        <v>57.3418867924528</v>
      </c>
      <c r="AL63" s="111" t="n">
        <f aca="false">IFERROR('Price History'!R3+(INDEX('Price History'!R:R,MATCH(9.99E+307,'Price History'!$A:$A))-'Price History'!R3)*(ROW()-3)/(MATCH(9.99E+307,'Returns (Calc)'!$A:$A)-3),"")</f>
        <v>52.3671698113208</v>
      </c>
      <c r="AM63" s="111" t="n">
        <f aca="false">IFERROR('Price History'!S3+(INDEX('Price History'!S:S,MATCH(9.99E+307,'Price History'!$A:$A))-'Price History'!S3)*(ROW()-3)/(MATCH(9.99E+307,'Returns (Calc)'!$A:$A)-3),"")</f>
        <v>92.9475471698113</v>
      </c>
      <c r="AN63" s="111" t="n">
        <f aca="false">IFERROR('Price History'!T3+(INDEX('Price History'!T:T,MATCH(9.99E+307,'Price History'!$A:$A))-'Price History'!T3)*(ROW()-3)/(MATCH(9.99E+307,'Returns (Calc)'!$A:$A)-3),"")</f>
        <v>37.6194339622642</v>
      </c>
      <c r="AO63" s="112" t="n">
        <f aca="false">IFERROR('Price History'!V3+(INDEX('Price History'!V:V,MATCH(9.99E+307,'Price History'!$A:$A))-'Price History'!V3)*(ROW()-3)/(MATCH(9.99E+307,'Returns (Calc)'!$A:$A)-3),"")</f>
        <v>141.535849056604</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V64" s="110" t="n">
        <f aca="false">IFERROR(IF(OR(NOT(ISNUMBER('Price History'!V65)),NOT(ISNUMBER('Price History'!V64)),'Price History'!V64=0),"",'Price History'!V65/'Price History'!V64-1),"")</f>
        <v>0.0459975886887583</v>
      </c>
      <c r="W64" s="111" t="n">
        <f aca="false">IFERROR('Price History'!B3+(INDEX('Price History'!B:B,MATCH(9.99E+307,'Price History'!$A:$A))-'Price History'!B3)*(ROW()-3)/(MATCH(9.99E+307,'Returns (Calc)'!$A:$A)-3),"")</f>
        <v>415.630251572327</v>
      </c>
      <c r="X64" s="111" t="n">
        <f aca="false">IFERROR('Price History'!C3+(INDEX('Price History'!C:C,MATCH(9.99E+307,'Price History'!$A:$A))-'Price History'!C3)*(ROW()-3)/(MATCH(9.99E+307,'Returns (Calc)'!$A:$A)-3),"")</f>
        <v>101.30251572327</v>
      </c>
      <c r="Y64" s="111" t="n">
        <f aca="false">IFERROR('Price History'!D3+(INDEX('Price History'!D:D,MATCH(9.99E+307,'Price History'!$A:$A))-'Price History'!D3)*(ROW()-3)/(MATCH(9.99E+307,'Returns (Calc)'!$A:$A)-3),"")</f>
        <v>1065.79949685535</v>
      </c>
      <c r="Z64" s="111" t="n">
        <f aca="false">IFERROR('Price History'!E3+(INDEX('Price History'!E:E,MATCH(9.99E+307,'Price History'!$A:$A))-'Price History'!E3)*(ROW()-3)/(MATCH(9.99E+307,'Returns (Calc)'!$A:$A)-3),"")</f>
        <v>188.452452830189</v>
      </c>
      <c r="AA64" s="111" t="n">
        <f aca="false">IFERROR('Price History'!F3+(INDEX('Price History'!F:F,MATCH(9.99E+307,'Price History'!$A:$A))-'Price History'!F3)*(ROW()-3)/(MATCH(9.99E+307,'Returns (Calc)'!$A:$A)-3),"")</f>
        <v>104.597358490566</v>
      </c>
      <c r="AB64" s="111" t="n">
        <f aca="false">IFERROR('Price History'!G3+(INDEX('Price History'!G:G,MATCH(9.99E+307,'Price History'!$A:$A))-'Price History'!G3)*(ROW()-3)/(MATCH(9.99E+307,'Returns (Calc)'!$A:$A)-3),"")</f>
        <v>100.728301886792</v>
      </c>
      <c r="AC64" s="111" t="n">
        <f aca="false">IFERROR('Price History'!H3+(INDEX('Price History'!H:H,MATCH(9.99E+307,'Price History'!$A:$A))-'Price History'!H3)*(ROW()-3)/(MATCH(9.99E+307,'Returns (Calc)'!$A:$A)-3),"")</f>
        <v>429.687106918239</v>
      </c>
      <c r="AD64" s="111" t="n">
        <f aca="false">IFERROR('Price History'!I3+(INDEX('Price History'!I:I,MATCH(9.99E+307,'Price History'!$A:$A))-'Price History'!I3)*(ROW()-3)/(MATCH(9.99E+307,'Returns (Calc)'!$A:$A)-3),"")</f>
        <v>113.555094339623</v>
      </c>
      <c r="AE64" s="111" t="n">
        <f aca="false">IFERROR('Price History'!J3+(INDEX('Price History'!J:J,MATCH(9.99E+307,'Price History'!$A:$A))-'Price History'!J3)*(ROW()-3)/(MATCH(9.99E+307,'Returns (Calc)'!$A:$A)-3),"")</f>
        <v>128.815849056604</v>
      </c>
      <c r="AF64" s="111" t="n">
        <f aca="false">IFERROR('Price History'!K3+(INDEX('Price History'!K:K,MATCH(9.99E+307,'Price History'!$A:$A))-'Price History'!K3)*(ROW()-3)/(MATCH(9.99E+307,'Returns (Calc)'!$A:$A)-3),"")</f>
        <v>76.3793081761006</v>
      </c>
      <c r="AG64" s="111" t="n">
        <f aca="false">IFERROR('Price History'!L3+(INDEX('Price History'!L:L,MATCH(9.99E+307,'Price History'!$A:$A))-'Price History'!L3)*(ROW()-3)/(MATCH(9.99E+307,'Returns (Calc)'!$A:$A)-3),"")</f>
        <v>221.248616352201</v>
      </c>
      <c r="AH64" s="111" t="n">
        <f aca="false">IFERROR('Price History'!M3+(INDEX('Price History'!M:M,MATCH(9.99E+307,'Price History'!$A:$A))-'Price History'!M3)*(ROW()-3)/(MATCH(9.99E+307,'Returns (Calc)'!$A:$A)-3),"")</f>
        <v>128.278679245283</v>
      </c>
      <c r="AI64" s="111" t="n">
        <f aca="false">IFERROR('Price History'!N3+(INDEX('Price History'!N:N,MATCH(9.99E+307,'Price History'!$A:$A))-'Price History'!N3)*(ROW()-3)/(MATCH(9.99E+307,'Returns (Calc)'!$A:$A)-3),"")</f>
        <v>425.154716981132</v>
      </c>
      <c r="AJ64" s="111" t="n">
        <f aca="false">IFERROR('Price History'!O3+(INDEX('Price History'!O:O,MATCH(9.99E+307,'Price History'!$A:$A))-'Price History'!O3)*(ROW()-3)/(MATCH(9.99E+307,'Returns (Calc)'!$A:$A)-3),"")</f>
        <v>99.7611949685535</v>
      </c>
      <c r="AK64" s="111" t="n">
        <f aca="false">IFERROR('Price History'!Q3+(INDEX('Price History'!Q:Q,MATCH(9.99E+307,'Price History'!$A:$A))-'Price History'!Q3)*(ROW()-3)/(MATCH(9.99E+307,'Returns (Calc)'!$A:$A)-3),"")</f>
        <v>57.4669182389937</v>
      </c>
      <c r="AL64" s="111" t="n">
        <f aca="false">IFERROR('Price History'!R3+(INDEX('Price History'!R:R,MATCH(9.99E+307,'Price History'!$A:$A))-'Price History'!R3)*(ROW()-3)/(MATCH(9.99E+307,'Returns (Calc)'!$A:$A)-3),"")</f>
        <v>52.4429559748428</v>
      </c>
      <c r="AM64" s="111" t="n">
        <f aca="false">IFERROR('Price History'!S3+(INDEX('Price History'!S:S,MATCH(9.99E+307,'Price History'!$A:$A))-'Price History'!S3)*(ROW()-3)/(MATCH(9.99E+307,'Returns (Calc)'!$A:$A)-3),"")</f>
        <v>93.5210062893082</v>
      </c>
      <c r="AN64" s="111" t="n">
        <f aca="false">IFERROR('Price History'!T3+(INDEX('Price History'!T:T,MATCH(9.99E+307,'Price History'!$A:$A))-'Price History'!T3)*(ROW()-3)/(MATCH(9.99E+307,'Returns (Calc)'!$A:$A)-3),"")</f>
        <v>37.7979245283019</v>
      </c>
      <c r="AO64" s="112" t="n">
        <f aca="false">IFERROR('Price History'!V3+(INDEX('Price History'!V:V,MATCH(9.99E+307,'Price History'!$A:$A))-'Price History'!V3)*(ROW()-3)/(MATCH(9.99E+307,'Returns (Calc)'!$A:$A)-3),"")</f>
        <v>143.894779874214</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V65" s="110" t="n">
        <f aca="false">IFERROR(IF(OR(NOT(ISNUMBER('Price History'!V66)),NOT(ISNUMBER('Price History'!V65)),'Price History'!V65=0),"",'Price History'!V66/'Price History'!V65-1),"")</f>
        <v>-0.030562347188264</v>
      </c>
      <c r="W65" s="111" t="n">
        <f aca="false">IFERROR('Price History'!B3+(INDEX('Price History'!B:B,MATCH(9.99E+307,'Price History'!$A:$A))-'Price History'!B3)*(ROW()-3)/(MATCH(9.99E+307,'Returns (Calc)'!$A:$A)-3),"")</f>
        <v>414.108616352201</v>
      </c>
      <c r="X65" s="111" t="n">
        <f aca="false">IFERROR('Price History'!C3+(INDEX('Price History'!C:C,MATCH(9.99E+307,'Price History'!$A:$A))-'Price History'!C3)*(ROW()-3)/(MATCH(9.99E+307,'Returns (Calc)'!$A:$A)-3),"")</f>
        <v>102.246163522013</v>
      </c>
      <c r="Y65" s="111" t="n">
        <f aca="false">IFERROR('Price History'!D3+(INDEX('Price History'!D:D,MATCH(9.99E+307,'Price History'!$A:$A))-'Price History'!D3)*(ROW()-3)/(MATCH(9.99E+307,'Returns (Calc)'!$A:$A)-3),"")</f>
        <v>1072.4227672956</v>
      </c>
      <c r="Z65" s="111" t="n">
        <f aca="false">IFERROR('Price History'!E3+(INDEX('Price History'!E:E,MATCH(9.99E+307,'Price History'!$A:$A))-'Price History'!E3)*(ROW()-3)/(MATCH(9.99E+307,'Returns (Calc)'!$A:$A)-3),"")</f>
        <v>190.181509433962</v>
      </c>
      <c r="AA65" s="111" t="n">
        <f aca="false">IFERROR('Price History'!F3+(INDEX('Price History'!F:F,MATCH(9.99E+307,'Price History'!$A:$A))-'Price History'!F3)*(ROW()-3)/(MATCH(9.99E+307,'Returns (Calc)'!$A:$A)-3),"")</f>
        <v>105.704528301887</v>
      </c>
      <c r="AB65" s="111" t="n">
        <f aca="false">IFERROR('Price History'!G3+(INDEX('Price History'!G:G,MATCH(9.99E+307,'Price History'!$A:$A))-'Price History'!G3)*(ROW()-3)/(MATCH(9.99E+307,'Returns (Calc)'!$A:$A)-3),"")</f>
        <v>101.594339622642</v>
      </c>
      <c r="AC65" s="111" t="n">
        <f aca="false">IFERROR('Price History'!H3+(INDEX('Price History'!H:H,MATCH(9.99E+307,'Price History'!$A:$A))-'Price History'!H3)*(ROW()-3)/(MATCH(9.99E+307,'Returns (Calc)'!$A:$A)-3),"")</f>
        <v>435.675911949686</v>
      </c>
      <c r="AD65" s="111" t="n">
        <f aca="false">IFERROR('Price History'!I3+(INDEX('Price History'!I:I,MATCH(9.99E+307,'Price History'!$A:$A))-'Price History'!I3)*(ROW()-3)/(MATCH(9.99E+307,'Returns (Calc)'!$A:$A)-3),"")</f>
        <v>114.746981132075</v>
      </c>
      <c r="AE65" s="111" t="n">
        <f aca="false">IFERROR('Price History'!J3+(INDEX('Price History'!J:J,MATCH(9.99E+307,'Price History'!$A:$A))-'Price History'!J3)*(ROW()-3)/(MATCH(9.99E+307,'Returns (Calc)'!$A:$A)-3),"")</f>
        <v>128.902830188679</v>
      </c>
      <c r="AF65" s="111" t="n">
        <f aca="false">IFERROR('Price History'!K3+(INDEX('Price History'!K:K,MATCH(9.99E+307,'Price History'!$A:$A))-'Price History'!K3)*(ROW()-3)/(MATCH(9.99E+307,'Returns (Calc)'!$A:$A)-3),"")</f>
        <v>77.3788050314466</v>
      </c>
      <c r="AG65" s="111" t="n">
        <f aca="false">IFERROR('Price History'!L3+(INDEX('Price History'!L:L,MATCH(9.99E+307,'Price History'!$A:$A))-'Price History'!L3)*(ROW()-3)/(MATCH(9.99E+307,'Returns (Calc)'!$A:$A)-3),"")</f>
        <v>223.367610062893</v>
      </c>
      <c r="AH65" s="111" t="n">
        <f aca="false">IFERROR('Price History'!M3+(INDEX('Price History'!M:M,MATCH(9.99E+307,'Price History'!$A:$A))-'Price History'!M3)*(ROW()-3)/(MATCH(9.99E+307,'Returns (Calc)'!$A:$A)-3),"")</f>
        <v>129.832264150943</v>
      </c>
      <c r="AI65" s="111" t="n">
        <f aca="false">IFERROR('Price History'!N3+(INDEX('Price History'!N:N,MATCH(9.99E+307,'Price History'!$A:$A))-'Price History'!N3)*(ROW()-3)/(MATCH(9.99E+307,'Returns (Calc)'!$A:$A)-3),"")</f>
        <v>426.389056603774</v>
      </c>
      <c r="AJ65" s="111" t="n">
        <f aca="false">IFERROR('Price History'!O3+(INDEX('Price History'!O:O,MATCH(9.99E+307,'Price History'!$A:$A))-'Price History'!O3)*(ROW()-3)/(MATCH(9.99E+307,'Returns (Calc)'!$A:$A)-3),"")</f>
        <v>100.038427672956</v>
      </c>
      <c r="AK65" s="111" t="n">
        <f aca="false">IFERROR('Price History'!Q3+(INDEX('Price History'!Q:Q,MATCH(9.99E+307,'Price History'!$A:$A))-'Price History'!Q3)*(ROW()-3)/(MATCH(9.99E+307,'Returns (Calc)'!$A:$A)-3),"")</f>
        <v>57.5919496855346</v>
      </c>
      <c r="AL65" s="111" t="n">
        <f aca="false">IFERROR('Price History'!R3+(INDEX('Price History'!R:R,MATCH(9.99E+307,'Price History'!$A:$A))-'Price History'!R3)*(ROW()-3)/(MATCH(9.99E+307,'Returns (Calc)'!$A:$A)-3),"")</f>
        <v>52.5187421383648</v>
      </c>
      <c r="AM65" s="111" t="n">
        <f aca="false">IFERROR('Price History'!S3+(INDEX('Price History'!S:S,MATCH(9.99E+307,'Price History'!$A:$A))-'Price History'!S3)*(ROW()-3)/(MATCH(9.99E+307,'Returns (Calc)'!$A:$A)-3),"")</f>
        <v>94.094465408805</v>
      </c>
      <c r="AN65" s="111" t="n">
        <f aca="false">IFERROR('Price History'!T3+(INDEX('Price History'!T:T,MATCH(9.99E+307,'Price History'!$A:$A))-'Price History'!T3)*(ROW()-3)/(MATCH(9.99E+307,'Returns (Calc)'!$A:$A)-3),"")</f>
        <v>37.9764150943396</v>
      </c>
      <c r="AO65" s="112" t="n">
        <f aca="false">IFERROR('Price History'!V3+(INDEX('Price History'!V:V,MATCH(9.99E+307,'Price History'!$A:$A))-'Price History'!V3)*(ROW()-3)/(MATCH(9.99E+307,'Returns (Calc)'!$A:$A)-3),"")</f>
        <v>146.253710691824</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V66" s="110" t="n">
        <f aca="false">IFERROR(IF(OR(NOT(ISNUMBER('Price History'!V67)),NOT(ISNUMBER('Price History'!V66)),'Price History'!V66=0),"",'Price History'!V67/'Price History'!V66-1),"")</f>
        <v>0.0319582057286976</v>
      </c>
      <c r="W66" s="111" t="n">
        <f aca="false">IFERROR('Price History'!B3+(INDEX('Price History'!B:B,MATCH(9.99E+307,'Price History'!$A:$A))-'Price History'!B3)*(ROW()-3)/(MATCH(9.99E+307,'Returns (Calc)'!$A:$A)-3),"")</f>
        <v>412.586981132076</v>
      </c>
      <c r="X66" s="111" t="n">
        <f aca="false">IFERROR('Price History'!C3+(INDEX('Price History'!C:C,MATCH(9.99E+307,'Price History'!$A:$A))-'Price History'!C3)*(ROW()-3)/(MATCH(9.99E+307,'Returns (Calc)'!$A:$A)-3),"")</f>
        <v>103.189811320755</v>
      </c>
      <c r="Y66" s="111" t="n">
        <f aca="false">IFERROR('Price History'!D3+(INDEX('Price History'!D:D,MATCH(9.99E+307,'Price History'!$A:$A))-'Price History'!D3)*(ROW()-3)/(MATCH(9.99E+307,'Returns (Calc)'!$A:$A)-3),"")</f>
        <v>1079.04603773585</v>
      </c>
      <c r="Z66" s="111" t="n">
        <f aca="false">IFERROR('Price History'!E3+(INDEX('Price History'!E:E,MATCH(9.99E+307,'Price History'!$A:$A))-'Price History'!E3)*(ROW()-3)/(MATCH(9.99E+307,'Returns (Calc)'!$A:$A)-3),"")</f>
        <v>191.910566037736</v>
      </c>
      <c r="AA66" s="111" t="n">
        <f aca="false">IFERROR('Price History'!F3+(INDEX('Price History'!F:F,MATCH(9.99E+307,'Price History'!$A:$A))-'Price History'!F3)*(ROW()-3)/(MATCH(9.99E+307,'Returns (Calc)'!$A:$A)-3),"")</f>
        <v>106.811698113208</v>
      </c>
      <c r="AB66" s="111" t="n">
        <f aca="false">IFERROR('Price History'!G3+(INDEX('Price History'!G:G,MATCH(9.99E+307,'Price History'!$A:$A))-'Price History'!G3)*(ROW()-3)/(MATCH(9.99E+307,'Returns (Calc)'!$A:$A)-3),"")</f>
        <v>102.460377358491</v>
      </c>
      <c r="AC66" s="111" t="n">
        <f aca="false">IFERROR('Price History'!H3+(INDEX('Price History'!H:H,MATCH(9.99E+307,'Price History'!$A:$A))-'Price History'!H3)*(ROW()-3)/(MATCH(9.99E+307,'Returns (Calc)'!$A:$A)-3),"")</f>
        <v>441.664716981132</v>
      </c>
      <c r="AD66" s="111" t="n">
        <f aca="false">IFERROR('Price History'!I3+(INDEX('Price History'!I:I,MATCH(9.99E+307,'Price History'!$A:$A))-'Price History'!I3)*(ROW()-3)/(MATCH(9.99E+307,'Returns (Calc)'!$A:$A)-3),"")</f>
        <v>115.938867924528</v>
      </c>
      <c r="AE66" s="111" t="n">
        <f aca="false">IFERROR('Price History'!J3+(INDEX('Price History'!J:J,MATCH(9.99E+307,'Price History'!$A:$A))-'Price History'!J3)*(ROW()-3)/(MATCH(9.99E+307,'Returns (Calc)'!$A:$A)-3),"")</f>
        <v>128.989811320755</v>
      </c>
      <c r="AF66" s="111" t="n">
        <f aca="false">IFERROR('Price History'!K3+(INDEX('Price History'!K:K,MATCH(9.99E+307,'Price History'!$A:$A))-'Price History'!K3)*(ROW()-3)/(MATCH(9.99E+307,'Returns (Calc)'!$A:$A)-3),"")</f>
        <v>78.3783018867925</v>
      </c>
      <c r="AG66" s="111" t="n">
        <f aca="false">IFERROR('Price History'!L3+(INDEX('Price History'!L:L,MATCH(9.99E+307,'Price History'!$A:$A))-'Price History'!L3)*(ROW()-3)/(MATCH(9.99E+307,'Returns (Calc)'!$A:$A)-3),"")</f>
        <v>225.486603773585</v>
      </c>
      <c r="AH66" s="111" t="n">
        <f aca="false">IFERROR('Price History'!M3+(INDEX('Price History'!M:M,MATCH(9.99E+307,'Price History'!$A:$A))-'Price History'!M3)*(ROW()-3)/(MATCH(9.99E+307,'Returns (Calc)'!$A:$A)-3),"")</f>
        <v>131.385849056604</v>
      </c>
      <c r="AI66" s="111" t="n">
        <f aca="false">IFERROR('Price History'!N3+(INDEX('Price History'!N:N,MATCH(9.99E+307,'Price History'!$A:$A))-'Price History'!N3)*(ROW()-3)/(MATCH(9.99E+307,'Returns (Calc)'!$A:$A)-3),"")</f>
        <v>427.623396226415</v>
      </c>
      <c r="AJ66" s="111" t="n">
        <f aca="false">IFERROR('Price History'!O3+(INDEX('Price History'!O:O,MATCH(9.99E+307,'Price History'!$A:$A))-'Price History'!O3)*(ROW()-3)/(MATCH(9.99E+307,'Returns (Calc)'!$A:$A)-3),"")</f>
        <v>100.315660377358</v>
      </c>
      <c r="AK66" s="111" t="n">
        <f aca="false">IFERROR('Price History'!Q3+(INDEX('Price History'!Q:Q,MATCH(9.99E+307,'Price History'!$A:$A))-'Price History'!Q3)*(ROW()-3)/(MATCH(9.99E+307,'Returns (Calc)'!$A:$A)-3),"")</f>
        <v>57.7169811320755</v>
      </c>
      <c r="AL66" s="111" t="n">
        <f aca="false">IFERROR('Price History'!R3+(INDEX('Price History'!R:R,MATCH(9.99E+307,'Price History'!$A:$A))-'Price History'!R3)*(ROW()-3)/(MATCH(9.99E+307,'Returns (Calc)'!$A:$A)-3),"")</f>
        <v>52.5945283018868</v>
      </c>
      <c r="AM66" s="111" t="n">
        <f aca="false">IFERROR('Price History'!S3+(INDEX('Price History'!S:S,MATCH(9.99E+307,'Price History'!$A:$A))-'Price History'!S3)*(ROW()-3)/(MATCH(9.99E+307,'Returns (Calc)'!$A:$A)-3),"")</f>
        <v>94.6679245283019</v>
      </c>
      <c r="AN66" s="111" t="n">
        <f aca="false">IFERROR('Price History'!T3+(INDEX('Price History'!T:T,MATCH(9.99E+307,'Price History'!$A:$A))-'Price History'!T3)*(ROW()-3)/(MATCH(9.99E+307,'Returns (Calc)'!$A:$A)-3),"")</f>
        <v>38.1549056603774</v>
      </c>
      <c r="AO66" s="112" t="n">
        <f aca="false">IFERROR('Price History'!V3+(INDEX('Price History'!V:V,MATCH(9.99E+307,'Price History'!$A:$A))-'Price History'!V3)*(ROW()-3)/(MATCH(9.99E+307,'Returns (Calc)'!$A:$A)-3),"")</f>
        <v>148.612641509434</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V67" s="110" t="n">
        <f aca="false">IFERROR(IF(OR(NOT(ISNUMBER('Price History'!V68)),NOT(ISNUMBER('Price History'!V67)),'Price History'!V67=0),"",'Price History'!V68/'Price History'!V67-1),"")</f>
        <v>0.0589344319530758</v>
      </c>
      <c r="W67" s="111" t="n">
        <f aca="false">IFERROR('Price History'!B3+(INDEX('Price History'!B:B,MATCH(9.99E+307,'Price History'!$A:$A))-'Price History'!B3)*(ROW()-3)/(MATCH(9.99E+307,'Returns (Calc)'!$A:$A)-3),"")</f>
        <v>411.06534591195</v>
      </c>
      <c r="X67" s="111" t="n">
        <f aca="false">IFERROR('Price History'!C3+(INDEX('Price History'!C:C,MATCH(9.99E+307,'Price History'!$A:$A))-'Price History'!C3)*(ROW()-3)/(MATCH(9.99E+307,'Returns (Calc)'!$A:$A)-3),"")</f>
        <v>104.133459119497</v>
      </c>
      <c r="Y67" s="111" t="n">
        <f aca="false">IFERROR('Price History'!D3+(INDEX('Price History'!D:D,MATCH(9.99E+307,'Price History'!$A:$A))-'Price History'!D3)*(ROW()-3)/(MATCH(9.99E+307,'Returns (Calc)'!$A:$A)-3),"")</f>
        <v>1085.6693081761</v>
      </c>
      <c r="Z67" s="111" t="n">
        <f aca="false">IFERROR('Price History'!E3+(INDEX('Price History'!E:E,MATCH(9.99E+307,'Price History'!$A:$A))-'Price History'!E3)*(ROW()-3)/(MATCH(9.99E+307,'Returns (Calc)'!$A:$A)-3),"")</f>
        <v>193.639622641509</v>
      </c>
      <c r="AA67" s="111" t="n">
        <f aca="false">IFERROR('Price History'!F3+(INDEX('Price History'!F:F,MATCH(9.99E+307,'Price History'!$A:$A))-'Price History'!F3)*(ROW()-3)/(MATCH(9.99E+307,'Returns (Calc)'!$A:$A)-3),"")</f>
        <v>107.918867924528</v>
      </c>
      <c r="AB67" s="111" t="n">
        <f aca="false">IFERROR('Price History'!G3+(INDEX('Price History'!G:G,MATCH(9.99E+307,'Price History'!$A:$A))-'Price History'!G3)*(ROW()-3)/(MATCH(9.99E+307,'Returns (Calc)'!$A:$A)-3),"")</f>
        <v>103.32641509434</v>
      </c>
      <c r="AC67" s="111" t="n">
        <f aca="false">IFERROR('Price History'!H3+(INDEX('Price History'!H:H,MATCH(9.99E+307,'Price History'!$A:$A))-'Price History'!H3)*(ROW()-3)/(MATCH(9.99E+307,'Returns (Calc)'!$A:$A)-3),"")</f>
        <v>447.653522012579</v>
      </c>
      <c r="AD67" s="111" t="n">
        <f aca="false">IFERROR('Price History'!I3+(INDEX('Price History'!I:I,MATCH(9.99E+307,'Price History'!$A:$A))-'Price History'!I3)*(ROW()-3)/(MATCH(9.99E+307,'Returns (Calc)'!$A:$A)-3),"")</f>
        <v>117.130754716981</v>
      </c>
      <c r="AE67" s="111" t="n">
        <f aca="false">IFERROR('Price History'!J3+(INDEX('Price History'!J:J,MATCH(9.99E+307,'Price History'!$A:$A))-'Price History'!J3)*(ROW()-3)/(MATCH(9.99E+307,'Returns (Calc)'!$A:$A)-3),"")</f>
        <v>129.07679245283</v>
      </c>
      <c r="AF67" s="111" t="n">
        <f aca="false">IFERROR('Price History'!K3+(INDEX('Price History'!K:K,MATCH(9.99E+307,'Price History'!$A:$A))-'Price History'!K3)*(ROW()-3)/(MATCH(9.99E+307,'Returns (Calc)'!$A:$A)-3),"")</f>
        <v>79.3777987421384</v>
      </c>
      <c r="AG67" s="111" t="n">
        <f aca="false">IFERROR('Price History'!L3+(INDEX('Price History'!L:L,MATCH(9.99E+307,'Price History'!$A:$A))-'Price History'!L3)*(ROW()-3)/(MATCH(9.99E+307,'Returns (Calc)'!$A:$A)-3),"")</f>
        <v>227.605597484277</v>
      </c>
      <c r="AH67" s="111" t="n">
        <f aca="false">IFERROR('Price History'!M3+(INDEX('Price History'!M:M,MATCH(9.99E+307,'Price History'!$A:$A))-'Price History'!M3)*(ROW()-3)/(MATCH(9.99E+307,'Returns (Calc)'!$A:$A)-3),"")</f>
        <v>132.939433962264</v>
      </c>
      <c r="AI67" s="111" t="n">
        <f aca="false">IFERROR('Price History'!N3+(INDEX('Price History'!N:N,MATCH(9.99E+307,'Price History'!$A:$A))-'Price History'!N3)*(ROW()-3)/(MATCH(9.99E+307,'Returns (Calc)'!$A:$A)-3),"")</f>
        <v>428.857735849057</v>
      </c>
      <c r="AJ67" s="111" t="n">
        <f aca="false">IFERROR('Price History'!O3+(INDEX('Price History'!O:O,MATCH(9.99E+307,'Price History'!$A:$A))-'Price History'!O3)*(ROW()-3)/(MATCH(9.99E+307,'Returns (Calc)'!$A:$A)-3),"")</f>
        <v>100.592893081761</v>
      </c>
      <c r="AK67" s="111" t="n">
        <f aca="false">IFERROR('Price History'!Q3+(INDEX('Price History'!Q:Q,MATCH(9.99E+307,'Price History'!$A:$A))-'Price History'!Q3)*(ROW()-3)/(MATCH(9.99E+307,'Returns (Calc)'!$A:$A)-3),"")</f>
        <v>57.8420125786164</v>
      </c>
      <c r="AL67" s="111" t="n">
        <f aca="false">IFERROR('Price History'!R3+(INDEX('Price History'!R:R,MATCH(9.99E+307,'Price History'!$A:$A))-'Price History'!R3)*(ROW()-3)/(MATCH(9.99E+307,'Returns (Calc)'!$A:$A)-3),"")</f>
        <v>52.6703144654088</v>
      </c>
      <c r="AM67" s="111" t="n">
        <f aca="false">IFERROR('Price History'!S3+(INDEX('Price History'!S:S,MATCH(9.99E+307,'Price History'!$A:$A))-'Price History'!S3)*(ROW()-3)/(MATCH(9.99E+307,'Returns (Calc)'!$A:$A)-3),"")</f>
        <v>95.2413836477987</v>
      </c>
      <c r="AN67" s="111" t="n">
        <f aca="false">IFERROR('Price History'!T3+(INDEX('Price History'!T:T,MATCH(9.99E+307,'Price History'!$A:$A))-'Price History'!T3)*(ROW()-3)/(MATCH(9.99E+307,'Returns (Calc)'!$A:$A)-3),"")</f>
        <v>38.3333962264151</v>
      </c>
      <c r="AO67" s="112" t="n">
        <f aca="false">IFERROR('Price History'!V3+(INDEX('Price History'!V:V,MATCH(9.99E+307,'Price History'!$A:$A))-'Price History'!V3)*(ROW()-3)/(MATCH(9.99E+307,'Returns (Calc)'!$A:$A)-3),"")</f>
        <v>150.971572327044</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V68" s="110" t="n">
        <f aca="false">IFERROR(IF(OR(NOT(ISNUMBER('Price History'!V69)),NOT(ISNUMBER('Price History'!V68)),'Price History'!V68=0),"",'Price History'!V69/'Price History'!V68-1),"")</f>
        <v>0.00764919221892524</v>
      </c>
      <c r="W68" s="111" t="n">
        <f aca="false">IFERROR('Price History'!B3+(INDEX('Price History'!B:B,MATCH(9.99E+307,'Price History'!$A:$A))-'Price History'!B3)*(ROW()-3)/(MATCH(9.99E+307,'Returns (Calc)'!$A:$A)-3),"")</f>
        <v>409.543710691824</v>
      </c>
      <c r="X68" s="111" t="n">
        <f aca="false">IFERROR('Price History'!C3+(INDEX('Price History'!C:C,MATCH(9.99E+307,'Price History'!$A:$A))-'Price History'!C3)*(ROW()-3)/(MATCH(9.99E+307,'Returns (Calc)'!$A:$A)-3),"")</f>
        <v>105.077106918239</v>
      </c>
      <c r="Y68" s="111" t="n">
        <f aca="false">IFERROR('Price History'!D3+(INDEX('Price History'!D:D,MATCH(9.99E+307,'Price History'!$A:$A))-'Price History'!D3)*(ROW()-3)/(MATCH(9.99E+307,'Returns (Calc)'!$A:$A)-3),"")</f>
        <v>1092.29257861635</v>
      </c>
      <c r="Z68" s="111" t="n">
        <f aca="false">IFERROR('Price History'!E3+(INDEX('Price History'!E:E,MATCH(9.99E+307,'Price History'!$A:$A))-'Price History'!E3)*(ROW()-3)/(MATCH(9.99E+307,'Returns (Calc)'!$A:$A)-3),"")</f>
        <v>195.368679245283</v>
      </c>
      <c r="AA68" s="111" t="n">
        <f aca="false">IFERROR('Price History'!F3+(INDEX('Price History'!F:F,MATCH(9.99E+307,'Price History'!$A:$A))-'Price History'!F3)*(ROW()-3)/(MATCH(9.99E+307,'Returns (Calc)'!$A:$A)-3),"")</f>
        <v>109.026037735849</v>
      </c>
      <c r="AB68" s="111" t="n">
        <f aca="false">IFERROR('Price History'!G3+(INDEX('Price History'!G:G,MATCH(9.99E+307,'Price History'!$A:$A))-'Price History'!G3)*(ROW()-3)/(MATCH(9.99E+307,'Returns (Calc)'!$A:$A)-3),"")</f>
        <v>104.192452830189</v>
      </c>
      <c r="AC68" s="111" t="n">
        <f aca="false">IFERROR('Price History'!H3+(INDEX('Price History'!H:H,MATCH(9.99E+307,'Price History'!$A:$A))-'Price History'!H3)*(ROW()-3)/(MATCH(9.99E+307,'Returns (Calc)'!$A:$A)-3),"")</f>
        <v>453.642327044025</v>
      </c>
      <c r="AD68" s="111" t="n">
        <f aca="false">IFERROR('Price History'!I3+(INDEX('Price History'!I:I,MATCH(9.99E+307,'Price History'!$A:$A))-'Price History'!I3)*(ROW()-3)/(MATCH(9.99E+307,'Returns (Calc)'!$A:$A)-3),"")</f>
        <v>118.322641509434</v>
      </c>
      <c r="AE68" s="111" t="n">
        <f aca="false">IFERROR('Price History'!J3+(INDEX('Price History'!J:J,MATCH(9.99E+307,'Price History'!$A:$A))-'Price History'!J3)*(ROW()-3)/(MATCH(9.99E+307,'Returns (Calc)'!$A:$A)-3),"")</f>
        <v>129.163773584906</v>
      </c>
      <c r="AF68" s="111" t="n">
        <f aca="false">IFERROR('Price History'!K3+(INDEX('Price History'!K:K,MATCH(9.99E+307,'Price History'!$A:$A))-'Price History'!K3)*(ROW()-3)/(MATCH(9.99E+307,'Returns (Calc)'!$A:$A)-3),"")</f>
        <v>80.3772955974843</v>
      </c>
      <c r="AG68" s="111" t="n">
        <f aca="false">IFERROR('Price History'!L3+(INDEX('Price History'!L:L,MATCH(9.99E+307,'Price History'!$A:$A))-'Price History'!L3)*(ROW()-3)/(MATCH(9.99E+307,'Returns (Calc)'!$A:$A)-3),"")</f>
        <v>229.724591194969</v>
      </c>
      <c r="AH68" s="111" t="n">
        <f aca="false">IFERROR('Price History'!M3+(INDEX('Price History'!M:M,MATCH(9.99E+307,'Price History'!$A:$A))-'Price History'!M3)*(ROW()-3)/(MATCH(9.99E+307,'Returns (Calc)'!$A:$A)-3),"")</f>
        <v>134.493018867925</v>
      </c>
      <c r="AI68" s="111" t="n">
        <f aca="false">IFERROR('Price History'!N3+(INDEX('Price History'!N:N,MATCH(9.99E+307,'Price History'!$A:$A))-'Price History'!N3)*(ROW()-3)/(MATCH(9.99E+307,'Returns (Calc)'!$A:$A)-3),"")</f>
        <v>430.092075471698</v>
      </c>
      <c r="AJ68" s="111" t="n">
        <f aca="false">IFERROR('Price History'!O3+(INDEX('Price History'!O:O,MATCH(9.99E+307,'Price History'!$A:$A))-'Price History'!O3)*(ROW()-3)/(MATCH(9.99E+307,'Returns (Calc)'!$A:$A)-3),"")</f>
        <v>100.870125786164</v>
      </c>
      <c r="AK68" s="111" t="n">
        <f aca="false">IFERROR('Price History'!Q3+(INDEX('Price History'!Q:Q,MATCH(9.99E+307,'Price History'!$A:$A))-'Price History'!Q3)*(ROW()-3)/(MATCH(9.99E+307,'Returns (Calc)'!$A:$A)-3),"")</f>
        <v>57.9670440251572</v>
      </c>
      <c r="AL68" s="111" t="n">
        <f aca="false">IFERROR('Price History'!R3+(INDEX('Price History'!R:R,MATCH(9.99E+307,'Price History'!$A:$A))-'Price History'!R3)*(ROW()-3)/(MATCH(9.99E+307,'Returns (Calc)'!$A:$A)-3),"")</f>
        <v>52.7461006289308</v>
      </c>
      <c r="AM68" s="111" t="n">
        <f aca="false">IFERROR('Price History'!S3+(INDEX('Price History'!S:S,MATCH(9.99E+307,'Price History'!$A:$A))-'Price History'!S3)*(ROW()-3)/(MATCH(9.99E+307,'Returns (Calc)'!$A:$A)-3),"")</f>
        <v>95.8148427672956</v>
      </c>
      <c r="AN68" s="111" t="n">
        <f aca="false">IFERROR('Price History'!T3+(INDEX('Price History'!T:T,MATCH(9.99E+307,'Price History'!$A:$A))-'Price History'!T3)*(ROW()-3)/(MATCH(9.99E+307,'Returns (Calc)'!$A:$A)-3),"")</f>
        <v>38.5118867924528</v>
      </c>
      <c r="AO68" s="112" t="n">
        <f aca="false">IFERROR('Price History'!V3+(INDEX('Price History'!V:V,MATCH(9.99E+307,'Price History'!$A:$A))-'Price History'!V3)*(ROW()-3)/(MATCH(9.99E+307,'Returns (Calc)'!$A:$A)-3),"")</f>
        <v>153.330503144654</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V69" s="110" t="n">
        <f aca="false">IFERROR(IF(OR(NOT(ISNUMBER('Price History'!V70)),NOT(ISNUMBER('Price History'!V69)),'Price History'!V69=0),"",'Price History'!V70/'Price History'!V69-1),"")</f>
        <v>0.000916170407695649</v>
      </c>
      <c r="W69" s="111" t="n">
        <f aca="false">IFERROR('Price History'!B3+(INDEX('Price History'!B:B,MATCH(9.99E+307,'Price History'!$A:$A))-'Price History'!B3)*(ROW()-3)/(MATCH(9.99E+307,'Returns (Calc)'!$A:$A)-3),"")</f>
        <v>408.022075471698</v>
      </c>
      <c r="X69" s="111" t="n">
        <f aca="false">IFERROR('Price History'!C3+(INDEX('Price History'!C:C,MATCH(9.99E+307,'Price History'!$A:$A))-'Price History'!C3)*(ROW()-3)/(MATCH(9.99E+307,'Returns (Calc)'!$A:$A)-3),"")</f>
        <v>106.020754716981</v>
      </c>
      <c r="Y69" s="111" t="n">
        <f aca="false">IFERROR('Price History'!D3+(INDEX('Price History'!D:D,MATCH(9.99E+307,'Price History'!$A:$A))-'Price History'!D3)*(ROW()-3)/(MATCH(9.99E+307,'Returns (Calc)'!$A:$A)-3),"")</f>
        <v>1098.9158490566</v>
      </c>
      <c r="Z69" s="111" t="n">
        <f aca="false">IFERROR('Price History'!E3+(INDEX('Price History'!E:E,MATCH(9.99E+307,'Price History'!$A:$A))-'Price History'!E3)*(ROW()-3)/(MATCH(9.99E+307,'Returns (Calc)'!$A:$A)-3),"")</f>
        <v>197.097735849057</v>
      </c>
      <c r="AA69" s="111" t="n">
        <f aca="false">IFERROR('Price History'!F3+(INDEX('Price History'!F:F,MATCH(9.99E+307,'Price History'!$A:$A))-'Price History'!F3)*(ROW()-3)/(MATCH(9.99E+307,'Returns (Calc)'!$A:$A)-3),"")</f>
        <v>110.13320754717</v>
      </c>
      <c r="AB69" s="111" t="n">
        <f aca="false">IFERROR('Price History'!G3+(INDEX('Price History'!G:G,MATCH(9.99E+307,'Price History'!$A:$A))-'Price History'!G3)*(ROW()-3)/(MATCH(9.99E+307,'Returns (Calc)'!$A:$A)-3),"")</f>
        <v>105.058490566038</v>
      </c>
      <c r="AC69" s="111" t="n">
        <f aca="false">IFERROR('Price History'!H3+(INDEX('Price History'!H:H,MATCH(9.99E+307,'Price History'!$A:$A))-'Price History'!H3)*(ROW()-3)/(MATCH(9.99E+307,'Returns (Calc)'!$A:$A)-3),"")</f>
        <v>459.631132075472</v>
      </c>
      <c r="AD69" s="111" t="n">
        <f aca="false">IFERROR('Price History'!I3+(INDEX('Price History'!I:I,MATCH(9.99E+307,'Price History'!$A:$A))-'Price History'!I3)*(ROW()-3)/(MATCH(9.99E+307,'Returns (Calc)'!$A:$A)-3),"")</f>
        <v>119.514528301887</v>
      </c>
      <c r="AE69" s="111" t="n">
        <f aca="false">IFERROR('Price History'!J3+(INDEX('Price History'!J:J,MATCH(9.99E+307,'Price History'!$A:$A))-'Price History'!J3)*(ROW()-3)/(MATCH(9.99E+307,'Returns (Calc)'!$A:$A)-3),"")</f>
        <v>129.250754716981</v>
      </c>
      <c r="AF69" s="111" t="n">
        <f aca="false">IFERROR('Price History'!K3+(INDEX('Price History'!K:K,MATCH(9.99E+307,'Price History'!$A:$A))-'Price History'!K3)*(ROW()-3)/(MATCH(9.99E+307,'Returns (Calc)'!$A:$A)-3),"")</f>
        <v>81.3767924528302</v>
      </c>
      <c r="AG69" s="111" t="n">
        <f aca="false">IFERROR('Price History'!L3+(INDEX('Price History'!L:L,MATCH(9.99E+307,'Price History'!$A:$A))-'Price History'!L3)*(ROW()-3)/(MATCH(9.99E+307,'Returns (Calc)'!$A:$A)-3),"")</f>
        <v>231.84358490566</v>
      </c>
      <c r="AH69" s="111" t="n">
        <f aca="false">IFERROR('Price History'!M3+(INDEX('Price History'!M:M,MATCH(9.99E+307,'Price History'!$A:$A))-'Price History'!M3)*(ROW()-3)/(MATCH(9.99E+307,'Returns (Calc)'!$A:$A)-3),"")</f>
        <v>136.046603773585</v>
      </c>
      <c r="AI69" s="111" t="n">
        <f aca="false">IFERROR('Price History'!N3+(INDEX('Price History'!N:N,MATCH(9.99E+307,'Price History'!$A:$A))-'Price History'!N3)*(ROW()-3)/(MATCH(9.99E+307,'Returns (Calc)'!$A:$A)-3),"")</f>
        <v>431.32641509434</v>
      </c>
      <c r="AJ69" s="111" t="n">
        <f aca="false">IFERROR('Price History'!O3+(INDEX('Price History'!O:O,MATCH(9.99E+307,'Price History'!$A:$A))-'Price History'!O3)*(ROW()-3)/(MATCH(9.99E+307,'Returns (Calc)'!$A:$A)-3),"")</f>
        <v>101.147358490566</v>
      </c>
      <c r="AK69" s="111" t="n">
        <f aca="false">IFERROR('Price History'!Q3+(INDEX('Price History'!Q:Q,MATCH(9.99E+307,'Price History'!$A:$A))-'Price History'!Q3)*(ROW()-3)/(MATCH(9.99E+307,'Returns (Calc)'!$A:$A)-3),"")</f>
        <v>58.0920754716981</v>
      </c>
      <c r="AL69" s="111" t="n">
        <f aca="false">IFERROR('Price History'!R3+(INDEX('Price History'!R:R,MATCH(9.99E+307,'Price History'!$A:$A))-'Price History'!R3)*(ROW()-3)/(MATCH(9.99E+307,'Returns (Calc)'!$A:$A)-3),"")</f>
        <v>52.8218867924528</v>
      </c>
      <c r="AM69" s="111" t="n">
        <f aca="false">IFERROR('Price History'!S3+(INDEX('Price History'!S:S,MATCH(9.99E+307,'Price History'!$A:$A))-'Price History'!S3)*(ROW()-3)/(MATCH(9.99E+307,'Returns (Calc)'!$A:$A)-3),"")</f>
        <v>96.3883018867925</v>
      </c>
      <c r="AN69" s="111" t="n">
        <f aca="false">IFERROR('Price History'!T3+(INDEX('Price History'!T:T,MATCH(9.99E+307,'Price History'!$A:$A))-'Price History'!T3)*(ROW()-3)/(MATCH(9.99E+307,'Returns (Calc)'!$A:$A)-3),"")</f>
        <v>38.6903773584906</v>
      </c>
      <c r="AO69" s="112" t="n">
        <f aca="false">IFERROR('Price History'!V3+(INDEX('Price History'!V:V,MATCH(9.99E+307,'Price History'!$A:$A))-'Price History'!V3)*(ROW()-3)/(MATCH(9.99E+307,'Returns (Calc)'!$A:$A)-3),"")</f>
        <v>155.689433962264</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V70" s="110" t="n">
        <f aca="false">IFERROR(IF(OR(NOT(ISNUMBER('Price History'!V71)),NOT(ISNUMBER('Price History'!V70)),'Price History'!V70=0),"",'Price History'!V71/'Price History'!V70-1),"")</f>
        <v>0.0166394246485782</v>
      </c>
      <c r="W70" s="111" t="n">
        <f aca="false">IFERROR('Price History'!B3+(INDEX('Price History'!B:B,MATCH(9.99E+307,'Price History'!$A:$A))-'Price History'!B3)*(ROW()-3)/(MATCH(9.99E+307,'Returns (Calc)'!$A:$A)-3),"")</f>
        <v>406.500440251572</v>
      </c>
      <c r="X70" s="111" t="n">
        <f aca="false">IFERROR('Price History'!C3+(INDEX('Price History'!C:C,MATCH(9.99E+307,'Price History'!$A:$A))-'Price History'!C3)*(ROW()-3)/(MATCH(9.99E+307,'Returns (Calc)'!$A:$A)-3),"")</f>
        <v>106.964402515723</v>
      </c>
      <c r="Y70" s="111" t="n">
        <f aca="false">IFERROR('Price History'!D3+(INDEX('Price History'!D:D,MATCH(9.99E+307,'Price History'!$A:$A))-'Price History'!D3)*(ROW()-3)/(MATCH(9.99E+307,'Returns (Calc)'!$A:$A)-3),"")</f>
        <v>1105.53911949686</v>
      </c>
      <c r="Z70" s="111" t="n">
        <f aca="false">IFERROR('Price History'!E3+(INDEX('Price History'!E:E,MATCH(9.99E+307,'Price History'!$A:$A))-'Price History'!E3)*(ROW()-3)/(MATCH(9.99E+307,'Returns (Calc)'!$A:$A)-3),"")</f>
        <v>198.82679245283</v>
      </c>
      <c r="AA70" s="111" t="n">
        <f aca="false">IFERROR('Price History'!F3+(INDEX('Price History'!F:F,MATCH(9.99E+307,'Price History'!$A:$A))-'Price History'!F3)*(ROW()-3)/(MATCH(9.99E+307,'Returns (Calc)'!$A:$A)-3),"")</f>
        <v>111.240377358491</v>
      </c>
      <c r="AB70" s="111" t="n">
        <f aca="false">IFERROR('Price History'!G3+(INDEX('Price History'!G:G,MATCH(9.99E+307,'Price History'!$A:$A))-'Price History'!G3)*(ROW()-3)/(MATCH(9.99E+307,'Returns (Calc)'!$A:$A)-3),"")</f>
        <v>105.924528301887</v>
      </c>
      <c r="AC70" s="111" t="n">
        <f aca="false">IFERROR('Price History'!H3+(INDEX('Price History'!H:H,MATCH(9.99E+307,'Price History'!$A:$A))-'Price History'!H3)*(ROW()-3)/(MATCH(9.99E+307,'Returns (Calc)'!$A:$A)-3),"")</f>
        <v>465.619937106918</v>
      </c>
      <c r="AD70" s="111" t="n">
        <f aca="false">IFERROR('Price History'!I3+(INDEX('Price History'!I:I,MATCH(9.99E+307,'Price History'!$A:$A))-'Price History'!I3)*(ROW()-3)/(MATCH(9.99E+307,'Returns (Calc)'!$A:$A)-3),"")</f>
        <v>120.70641509434</v>
      </c>
      <c r="AE70" s="111" t="n">
        <f aca="false">IFERROR('Price History'!J3+(INDEX('Price History'!J:J,MATCH(9.99E+307,'Price History'!$A:$A))-'Price History'!J3)*(ROW()-3)/(MATCH(9.99E+307,'Returns (Calc)'!$A:$A)-3),"")</f>
        <v>129.337735849057</v>
      </c>
      <c r="AF70" s="111" t="n">
        <f aca="false">IFERROR('Price History'!K3+(INDEX('Price History'!K:K,MATCH(9.99E+307,'Price History'!$A:$A))-'Price History'!K3)*(ROW()-3)/(MATCH(9.99E+307,'Returns (Calc)'!$A:$A)-3),"")</f>
        <v>82.3762893081761</v>
      </c>
      <c r="AG70" s="111" t="n">
        <f aca="false">IFERROR('Price History'!L3+(INDEX('Price History'!L:L,MATCH(9.99E+307,'Price History'!$A:$A))-'Price History'!L3)*(ROW()-3)/(MATCH(9.99E+307,'Returns (Calc)'!$A:$A)-3),"")</f>
        <v>233.962578616352</v>
      </c>
      <c r="AH70" s="111" t="n">
        <f aca="false">IFERROR('Price History'!M3+(INDEX('Price History'!M:M,MATCH(9.99E+307,'Price History'!$A:$A))-'Price History'!M3)*(ROW()-3)/(MATCH(9.99E+307,'Returns (Calc)'!$A:$A)-3),"")</f>
        <v>137.600188679245</v>
      </c>
      <c r="AI70" s="111" t="n">
        <f aca="false">IFERROR('Price History'!N3+(INDEX('Price History'!N:N,MATCH(9.99E+307,'Price History'!$A:$A))-'Price History'!N3)*(ROW()-3)/(MATCH(9.99E+307,'Returns (Calc)'!$A:$A)-3),"")</f>
        <v>432.560754716981</v>
      </c>
      <c r="AJ70" s="111" t="n">
        <f aca="false">IFERROR('Price History'!O3+(INDEX('Price History'!O:O,MATCH(9.99E+307,'Price History'!$A:$A))-'Price History'!O3)*(ROW()-3)/(MATCH(9.99E+307,'Returns (Calc)'!$A:$A)-3),"")</f>
        <v>101.424591194969</v>
      </c>
      <c r="AK70" s="111" t="n">
        <f aca="false">IFERROR('Price History'!Q3+(INDEX('Price History'!Q:Q,MATCH(9.99E+307,'Price History'!$A:$A))-'Price History'!Q3)*(ROW()-3)/(MATCH(9.99E+307,'Returns (Calc)'!$A:$A)-3),"")</f>
        <v>58.217106918239</v>
      </c>
      <c r="AL70" s="111" t="n">
        <f aca="false">IFERROR('Price History'!R3+(INDEX('Price History'!R:R,MATCH(9.99E+307,'Price History'!$A:$A))-'Price History'!R3)*(ROW()-3)/(MATCH(9.99E+307,'Returns (Calc)'!$A:$A)-3),"")</f>
        <v>52.8976729559748</v>
      </c>
      <c r="AM70" s="111" t="n">
        <f aca="false">IFERROR('Price History'!S3+(INDEX('Price History'!S:S,MATCH(9.99E+307,'Price History'!$A:$A))-'Price History'!S3)*(ROW()-3)/(MATCH(9.99E+307,'Returns (Calc)'!$A:$A)-3),"")</f>
        <v>96.9617610062893</v>
      </c>
      <c r="AN70" s="111" t="n">
        <f aca="false">IFERROR('Price History'!T3+(INDEX('Price History'!T:T,MATCH(9.99E+307,'Price History'!$A:$A))-'Price History'!T3)*(ROW()-3)/(MATCH(9.99E+307,'Returns (Calc)'!$A:$A)-3),"")</f>
        <v>38.8688679245283</v>
      </c>
      <c r="AO70" s="112" t="n">
        <f aca="false">IFERROR('Price History'!V3+(INDEX('Price History'!V:V,MATCH(9.99E+307,'Price History'!$A:$A))-'Price History'!V3)*(ROW()-3)/(MATCH(9.99E+307,'Returns (Calc)'!$A:$A)-3),"")</f>
        <v>158.048364779874</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V71" s="110" t="n">
        <f aca="false">IFERROR(IF(OR(NOT(ISNUMBER('Price History'!V72)),NOT(ISNUMBER('Price History'!V71)),'Price History'!V71=0),"",'Price History'!V72/'Price History'!V71-1),"")</f>
        <v>-0.0129264606578989</v>
      </c>
      <c r="W71" s="111" t="n">
        <f aca="false">IFERROR('Price History'!B3+(INDEX('Price History'!B:B,MATCH(9.99E+307,'Price History'!$A:$A))-'Price History'!B3)*(ROW()-3)/(MATCH(9.99E+307,'Returns (Calc)'!$A:$A)-3),"")</f>
        <v>404.978805031447</v>
      </c>
      <c r="X71" s="111" t="n">
        <f aca="false">IFERROR('Price History'!C3+(INDEX('Price History'!C:C,MATCH(9.99E+307,'Price History'!$A:$A))-'Price History'!C3)*(ROW()-3)/(MATCH(9.99E+307,'Returns (Calc)'!$A:$A)-3),"")</f>
        <v>107.908050314465</v>
      </c>
      <c r="Y71" s="111" t="n">
        <f aca="false">IFERROR('Price History'!D3+(INDEX('Price History'!D:D,MATCH(9.99E+307,'Price History'!$A:$A))-'Price History'!D3)*(ROW()-3)/(MATCH(9.99E+307,'Returns (Calc)'!$A:$A)-3),"")</f>
        <v>1112.16238993711</v>
      </c>
      <c r="Z71" s="111" t="n">
        <f aca="false">IFERROR('Price History'!E3+(INDEX('Price History'!E:E,MATCH(9.99E+307,'Price History'!$A:$A))-'Price History'!E3)*(ROW()-3)/(MATCH(9.99E+307,'Returns (Calc)'!$A:$A)-3),"")</f>
        <v>200.555849056604</v>
      </c>
      <c r="AA71" s="111" t="n">
        <f aca="false">IFERROR('Price History'!F3+(INDEX('Price History'!F:F,MATCH(9.99E+307,'Price History'!$A:$A))-'Price History'!F3)*(ROW()-3)/(MATCH(9.99E+307,'Returns (Calc)'!$A:$A)-3),"")</f>
        <v>112.347547169811</v>
      </c>
      <c r="AB71" s="111" t="n">
        <f aca="false">IFERROR('Price History'!G3+(INDEX('Price History'!G:G,MATCH(9.99E+307,'Price History'!$A:$A))-'Price History'!G3)*(ROW()-3)/(MATCH(9.99E+307,'Returns (Calc)'!$A:$A)-3),"")</f>
        <v>106.790566037736</v>
      </c>
      <c r="AC71" s="111" t="n">
        <f aca="false">IFERROR('Price History'!H3+(INDEX('Price History'!H:H,MATCH(9.99E+307,'Price History'!$A:$A))-'Price History'!H3)*(ROW()-3)/(MATCH(9.99E+307,'Returns (Calc)'!$A:$A)-3),"")</f>
        <v>471.608742138365</v>
      </c>
      <c r="AD71" s="111" t="n">
        <f aca="false">IFERROR('Price History'!I3+(INDEX('Price History'!I:I,MATCH(9.99E+307,'Price History'!$A:$A))-'Price History'!I3)*(ROW()-3)/(MATCH(9.99E+307,'Returns (Calc)'!$A:$A)-3),"")</f>
        <v>121.898301886792</v>
      </c>
      <c r="AE71" s="111" t="n">
        <f aca="false">IFERROR('Price History'!J3+(INDEX('Price History'!J:J,MATCH(9.99E+307,'Price History'!$A:$A))-'Price History'!J3)*(ROW()-3)/(MATCH(9.99E+307,'Returns (Calc)'!$A:$A)-3),"")</f>
        <v>129.424716981132</v>
      </c>
      <c r="AF71" s="111" t="n">
        <f aca="false">IFERROR('Price History'!K3+(INDEX('Price History'!K:K,MATCH(9.99E+307,'Price History'!$A:$A))-'Price History'!K3)*(ROW()-3)/(MATCH(9.99E+307,'Returns (Calc)'!$A:$A)-3),"")</f>
        <v>83.375786163522</v>
      </c>
      <c r="AG71" s="111" t="n">
        <f aca="false">IFERROR('Price History'!L3+(INDEX('Price History'!L:L,MATCH(9.99E+307,'Price History'!$A:$A))-'Price History'!L3)*(ROW()-3)/(MATCH(9.99E+307,'Returns (Calc)'!$A:$A)-3),"")</f>
        <v>236.081572327044</v>
      </c>
      <c r="AH71" s="111" t="n">
        <f aca="false">IFERROR('Price History'!M3+(INDEX('Price History'!M:M,MATCH(9.99E+307,'Price History'!$A:$A))-'Price History'!M3)*(ROW()-3)/(MATCH(9.99E+307,'Returns (Calc)'!$A:$A)-3),"")</f>
        <v>139.153773584906</v>
      </c>
      <c r="AI71" s="111" t="n">
        <f aca="false">IFERROR('Price History'!N3+(INDEX('Price History'!N:N,MATCH(9.99E+307,'Price History'!$A:$A))-'Price History'!N3)*(ROW()-3)/(MATCH(9.99E+307,'Returns (Calc)'!$A:$A)-3),"")</f>
        <v>433.795094339623</v>
      </c>
      <c r="AJ71" s="111" t="n">
        <f aca="false">IFERROR('Price History'!O3+(INDEX('Price History'!O:O,MATCH(9.99E+307,'Price History'!$A:$A))-'Price History'!O3)*(ROW()-3)/(MATCH(9.99E+307,'Returns (Calc)'!$A:$A)-3),"")</f>
        <v>101.701823899371</v>
      </c>
      <c r="AK71" s="111" t="n">
        <f aca="false">IFERROR('Price History'!Q3+(INDEX('Price History'!Q:Q,MATCH(9.99E+307,'Price History'!$A:$A))-'Price History'!Q3)*(ROW()-3)/(MATCH(9.99E+307,'Returns (Calc)'!$A:$A)-3),"")</f>
        <v>58.3421383647799</v>
      </c>
      <c r="AL71" s="111" t="n">
        <f aca="false">IFERROR('Price History'!R3+(INDEX('Price History'!R:R,MATCH(9.99E+307,'Price History'!$A:$A))-'Price History'!R3)*(ROW()-3)/(MATCH(9.99E+307,'Returns (Calc)'!$A:$A)-3),"")</f>
        <v>52.9734591194969</v>
      </c>
      <c r="AM71" s="111" t="n">
        <f aca="false">IFERROR('Price History'!S3+(INDEX('Price History'!S:S,MATCH(9.99E+307,'Price History'!$A:$A))-'Price History'!S3)*(ROW()-3)/(MATCH(9.99E+307,'Returns (Calc)'!$A:$A)-3),"")</f>
        <v>97.5352201257862</v>
      </c>
      <c r="AN71" s="111" t="n">
        <f aca="false">IFERROR('Price History'!T3+(INDEX('Price History'!T:T,MATCH(9.99E+307,'Price History'!$A:$A))-'Price History'!T3)*(ROW()-3)/(MATCH(9.99E+307,'Returns (Calc)'!$A:$A)-3),"")</f>
        <v>39.047358490566</v>
      </c>
      <c r="AO71" s="112" t="n">
        <f aca="false">IFERROR('Price History'!V3+(INDEX('Price History'!V:V,MATCH(9.99E+307,'Price History'!$A:$A))-'Price History'!V3)*(ROW()-3)/(MATCH(9.99E+307,'Returns (Calc)'!$A:$A)-3),"")</f>
        <v>160.407295597484</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V72" s="110" t="n">
        <f aca="false">IFERROR(IF(OR(NOT(ISNUMBER('Price History'!V73)),NOT(ISNUMBER('Price History'!V72)),'Price History'!V72=0),"",'Price History'!V73/'Price History'!V72-1),"")</f>
        <v>0.0119881421637291</v>
      </c>
      <c r="W72" s="111" t="n">
        <f aca="false">IFERROR('Price History'!B3+(INDEX('Price History'!B:B,MATCH(9.99E+307,'Price History'!$A:$A))-'Price History'!B3)*(ROW()-3)/(MATCH(9.99E+307,'Returns (Calc)'!$A:$A)-3),"")</f>
        <v>403.457169811321</v>
      </c>
      <c r="X72" s="111" t="n">
        <f aca="false">IFERROR('Price History'!C3+(INDEX('Price History'!C:C,MATCH(9.99E+307,'Price History'!$A:$A))-'Price History'!C3)*(ROW()-3)/(MATCH(9.99E+307,'Returns (Calc)'!$A:$A)-3),"")</f>
        <v>108.851698113208</v>
      </c>
      <c r="Y72" s="111" t="n">
        <f aca="false">IFERROR('Price History'!D3+(INDEX('Price History'!D:D,MATCH(9.99E+307,'Price History'!$A:$A))-'Price History'!D3)*(ROW()-3)/(MATCH(9.99E+307,'Returns (Calc)'!$A:$A)-3),"")</f>
        <v>1118.78566037736</v>
      </c>
      <c r="Z72" s="111" t="n">
        <f aca="false">IFERROR('Price History'!E3+(INDEX('Price History'!E:E,MATCH(9.99E+307,'Price History'!$A:$A))-'Price History'!E3)*(ROW()-3)/(MATCH(9.99E+307,'Returns (Calc)'!$A:$A)-3),"")</f>
        <v>202.284905660377</v>
      </c>
      <c r="AA72" s="111" t="n">
        <f aca="false">IFERROR('Price History'!F3+(INDEX('Price History'!F:F,MATCH(9.99E+307,'Price History'!$A:$A))-'Price History'!F3)*(ROW()-3)/(MATCH(9.99E+307,'Returns (Calc)'!$A:$A)-3),"")</f>
        <v>113.454716981132</v>
      </c>
      <c r="AB72" s="111" t="n">
        <f aca="false">IFERROR('Price History'!G3+(INDEX('Price History'!G:G,MATCH(9.99E+307,'Price History'!$A:$A))-'Price History'!G3)*(ROW()-3)/(MATCH(9.99E+307,'Returns (Calc)'!$A:$A)-3),"")</f>
        <v>107.656603773585</v>
      </c>
      <c r="AC72" s="111" t="n">
        <f aca="false">IFERROR('Price History'!H3+(INDEX('Price History'!H:H,MATCH(9.99E+307,'Price History'!$A:$A))-'Price History'!H3)*(ROW()-3)/(MATCH(9.99E+307,'Returns (Calc)'!$A:$A)-3),"")</f>
        <v>477.597547169811</v>
      </c>
      <c r="AD72" s="111" t="n">
        <f aca="false">IFERROR('Price History'!I3+(INDEX('Price History'!I:I,MATCH(9.99E+307,'Price History'!$A:$A))-'Price History'!I3)*(ROW()-3)/(MATCH(9.99E+307,'Returns (Calc)'!$A:$A)-3),"")</f>
        <v>123.090188679245</v>
      </c>
      <c r="AE72" s="111" t="n">
        <f aca="false">IFERROR('Price History'!J3+(INDEX('Price History'!J:J,MATCH(9.99E+307,'Price History'!$A:$A))-'Price History'!J3)*(ROW()-3)/(MATCH(9.99E+307,'Returns (Calc)'!$A:$A)-3),"")</f>
        <v>129.511698113208</v>
      </c>
      <c r="AF72" s="111" t="n">
        <f aca="false">IFERROR('Price History'!K3+(INDEX('Price History'!K:K,MATCH(9.99E+307,'Price History'!$A:$A))-'Price History'!K3)*(ROW()-3)/(MATCH(9.99E+307,'Returns (Calc)'!$A:$A)-3),"")</f>
        <v>84.3752830188679</v>
      </c>
      <c r="AG72" s="111" t="n">
        <f aca="false">IFERROR('Price History'!L3+(INDEX('Price History'!L:L,MATCH(9.99E+307,'Price History'!$A:$A))-'Price History'!L3)*(ROW()-3)/(MATCH(9.99E+307,'Returns (Calc)'!$A:$A)-3),"")</f>
        <v>238.200566037736</v>
      </c>
      <c r="AH72" s="111" t="n">
        <f aca="false">IFERROR('Price History'!M3+(INDEX('Price History'!M:M,MATCH(9.99E+307,'Price History'!$A:$A))-'Price History'!M3)*(ROW()-3)/(MATCH(9.99E+307,'Returns (Calc)'!$A:$A)-3),"")</f>
        <v>140.707358490566</v>
      </c>
      <c r="AI72" s="111" t="n">
        <f aca="false">IFERROR('Price History'!N3+(INDEX('Price History'!N:N,MATCH(9.99E+307,'Price History'!$A:$A))-'Price History'!N3)*(ROW()-3)/(MATCH(9.99E+307,'Returns (Calc)'!$A:$A)-3),"")</f>
        <v>435.029433962264</v>
      </c>
      <c r="AJ72" s="111" t="n">
        <f aca="false">IFERROR('Price History'!O3+(INDEX('Price History'!O:O,MATCH(9.99E+307,'Price History'!$A:$A))-'Price History'!O3)*(ROW()-3)/(MATCH(9.99E+307,'Returns (Calc)'!$A:$A)-3),"")</f>
        <v>101.979056603774</v>
      </c>
      <c r="AK72" s="111" t="n">
        <f aca="false">IFERROR('Price History'!Q3+(INDEX('Price History'!Q:Q,MATCH(9.99E+307,'Price History'!$A:$A))-'Price History'!Q3)*(ROW()-3)/(MATCH(9.99E+307,'Returns (Calc)'!$A:$A)-3),"")</f>
        <v>58.4671698113208</v>
      </c>
      <c r="AL72" s="111" t="n">
        <f aca="false">IFERROR('Price History'!R3+(INDEX('Price History'!R:R,MATCH(9.99E+307,'Price History'!$A:$A))-'Price History'!R3)*(ROW()-3)/(MATCH(9.99E+307,'Returns (Calc)'!$A:$A)-3),"")</f>
        <v>53.0492452830189</v>
      </c>
      <c r="AM72" s="111" t="n">
        <f aca="false">IFERROR('Price History'!S3+(INDEX('Price History'!S:S,MATCH(9.99E+307,'Price History'!$A:$A))-'Price History'!S3)*(ROW()-3)/(MATCH(9.99E+307,'Returns (Calc)'!$A:$A)-3),"")</f>
        <v>98.108679245283</v>
      </c>
      <c r="AN72" s="111" t="n">
        <f aca="false">IFERROR('Price History'!T3+(INDEX('Price History'!T:T,MATCH(9.99E+307,'Price History'!$A:$A))-'Price History'!T3)*(ROW()-3)/(MATCH(9.99E+307,'Returns (Calc)'!$A:$A)-3),"")</f>
        <v>39.2258490566038</v>
      </c>
      <c r="AO72" s="112" t="n">
        <f aca="false">IFERROR('Price History'!V3+(INDEX('Price History'!V:V,MATCH(9.99E+307,'Price History'!$A:$A))-'Price History'!V3)*(ROW()-3)/(MATCH(9.99E+307,'Returns (Calc)'!$A:$A)-3),"")</f>
        <v>162.766226415094</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V73" s="110" t="n">
        <f aca="false">IFERROR(IF(OR(NOT(ISNUMBER('Price History'!V74)),NOT(ISNUMBER('Price History'!V73)),'Price History'!V73=0),"",'Price History'!V74/'Price History'!V73-1),"")</f>
        <v>0.00946402704007721</v>
      </c>
      <c r="W73" s="111" t="n">
        <f aca="false">IFERROR('Price History'!B3+(INDEX('Price History'!B:B,MATCH(9.99E+307,'Price History'!$A:$A))-'Price History'!B3)*(ROW()-3)/(MATCH(9.99E+307,'Returns (Calc)'!$A:$A)-3),"")</f>
        <v>401.935534591195</v>
      </c>
      <c r="X73" s="111" t="n">
        <f aca="false">IFERROR('Price History'!C3+(INDEX('Price History'!C:C,MATCH(9.99E+307,'Price History'!$A:$A))-'Price History'!C3)*(ROW()-3)/(MATCH(9.99E+307,'Returns (Calc)'!$A:$A)-3),"")</f>
        <v>109.79534591195</v>
      </c>
      <c r="Y73" s="111" t="n">
        <f aca="false">IFERROR('Price History'!D3+(INDEX('Price History'!D:D,MATCH(9.99E+307,'Price History'!$A:$A))-'Price History'!D3)*(ROW()-3)/(MATCH(9.99E+307,'Returns (Calc)'!$A:$A)-3),"")</f>
        <v>1125.40893081761</v>
      </c>
      <c r="Z73" s="111" t="n">
        <f aca="false">IFERROR('Price History'!E3+(INDEX('Price History'!E:E,MATCH(9.99E+307,'Price History'!$A:$A))-'Price History'!E3)*(ROW()-3)/(MATCH(9.99E+307,'Returns (Calc)'!$A:$A)-3),"")</f>
        <v>204.013962264151</v>
      </c>
      <c r="AA73" s="111" t="n">
        <f aca="false">IFERROR('Price History'!F3+(INDEX('Price History'!F:F,MATCH(9.99E+307,'Price History'!$A:$A))-'Price History'!F3)*(ROW()-3)/(MATCH(9.99E+307,'Returns (Calc)'!$A:$A)-3),"")</f>
        <v>114.561886792453</v>
      </c>
      <c r="AB73" s="111" t="n">
        <f aca="false">IFERROR('Price History'!G3+(INDEX('Price History'!G:G,MATCH(9.99E+307,'Price History'!$A:$A))-'Price History'!G3)*(ROW()-3)/(MATCH(9.99E+307,'Returns (Calc)'!$A:$A)-3),"")</f>
        <v>108.522641509434</v>
      </c>
      <c r="AC73" s="111" t="n">
        <f aca="false">IFERROR('Price History'!H3+(INDEX('Price History'!H:H,MATCH(9.99E+307,'Price History'!$A:$A))-'Price History'!H3)*(ROW()-3)/(MATCH(9.99E+307,'Returns (Calc)'!$A:$A)-3),"")</f>
        <v>483.586352201258</v>
      </c>
      <c r="AD73" s="111" t="n">
        <f aca="false">IFERROR('Price History'!I3+(INDEX('Price History'!I:I,MATCH(9.99E+307,'Price History'!$A:$A))-'Price History'!I3)*(ROW()-3)/(MATCH(9.99E+307,'Returns (Calc)'!$A:$A)-3),"")</f>
        <v>124.282075471698</v>
      </c>
      <c r="AE73" s="111" t="n">
        <f aca="false">IFERROR('Price History'!J3+(INDEX('Price History'!J:J,MATCH(9.99E+307,'Price History'!$A:$A))-'Price History'!J3)*(ROW()-3)/(MATCH(9.99E+307,'Returns (Calc)'!$A:$A)-3),"")</f>
        <v>129.598679245283</v>
      </c>
      <c r="AF73" s="111" t="n">
        <f aca="false">IFERROR('Price History'!K3+(INDEX('Price History'!K:K,MATCH(9.99E+307,'Price History'!$A:$A))-'Price History'!K3)*(ROW()-3)/(MATCH(9.99E+307,'Returns (Calc)'!$A:$A)-3),"")</f>
        <v>85.3747798742138</v>
      </c>
      <c r="AG73" s="111" t="n">
        <f aca="false">IFERROR('Price History'!L3+(INDEX('Price History'!L:L,MATCH(9.99E+307,'Price History'!$A:$A))-'Price History'!L3)*(ROW()-3)/(MATCH(9.99E+307,'Returns (Calc)'!$A:$A)-3),"")</f>
        <v>240.319559748428</v>
      </c>
      <c r="AH73" s="111" t="n">
        <f aca="false">IFERROR('Price History'!M3+(INDEX('Price History'!M:M,MATCH(9.99E+307,'Price History'!$A:$A))-'Price History'!M3)*(ROW()-3)/(MATCH(9.99E+307,'Returns (Calc)'!$A:$A)-3),"")</f>
        <v>142.260943396226</v>
      </c>
      <c r="AI73" s="111" t="n">
        <f aca="false">IFERROR('Price History'!N3+(INDEX('Price History'!N:N,MATCH(9.99E+307,'Price History'!$A:$A))-'Price History'!N3)*(ROW()-3)/(MATCH(9.99E+307,'Returns (Calc)'!$A:$A)-3),"")</f>
        <v>436.263773584906</v>
      </c>
      <c r="AJ73" s="111" t="n">
        <f aca="false">IFERROR('Price History'!O3+(INDEX('Price History'!O:O,MATCH(9.99E+307,'Price History'!$A:$A))-'Price History'!O3)*(ROW()-3)/(MATCH(9.99E+307,'Returns (Calc)'!$A:$A)-3),"")</f>
        <v>102.256289308176</v>
      </c>
      <c r="AK73" s="111" t="n">
        <f aca="false">IFERROR('Price History'!Q3+(INDEX('Price History'!Q:Q,MATCH(9.99E+307,'Price History'!$A:$A))-'Price History'!Q3)*(ROW()-3)/(MATCH(9.99E+307,'Returns (Calc)'!$A:$A)-3),"")</f>
        <v>58.5922012578616</v>
      </c>
      <c r="AL73" s="111" t="n">
        <f aca="false">IFERROR('Price History'!R3+(INDEX('Price History'!R:R,MATCH(9.99E+307,'Price History'!$A:$A))-'Price History'!R3)*(ROW()-3)/(MATCH(9.99E+307,'Returns (Calc)'!$A:$A)-3),"")</f>
        <v>53.1250314465409</v>
      </c>
      <c r="AM73" s="111" t="n">
        <f aca="false">IFERROR('Price History'!S3+(INDEX('Price History'!S:S,MATCH(9.99E+307,'Price History'!$A:$A))-'Price History'!S3)*(ROW()-3)/(MATCH(9.99E+307,'Returns (Calc)'!$A:$A)-3),"")</f>
        <v>98.6821383647799</v>
      </c>
      <c r="AN73" s="111" t="n">
        <f aca="false">IFERROR('Price History'!T3+(INDEX('Price History'!T:T,MATCH(9.99E+307,'Price History'!$A:$A))-'Price History'!T3)*(ROW()-3)/(MATCH(9.99E+307,'Returns (Calc)'!$A:$A)-3),"")</f>
        <v>39.4043396226415</v>
      </c>
      <c r="AO73" s="112" t="n">
        <f aca="false">IFERROR('Price History'!V3+(INDEX('Price History'!V:V,MATCH(9.99E+307,'Price History'!$A:$A))-'Price History'!V3)*(ROW()-3)/(MATCH(9.99E+307,'Returns (Calc)'!$A:$A)-3),"")</f>
        <v>165.125157232704</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V74" s="110" t="n">
        <f aca="false">IFERROR(IF(OR(NOT(ISNUMBER('Price History'!V75)),NOT(ISNUMBER('Price History'!V74)),'Price History'!V74=0),"",'Price History'!V75/'Price History'!V74-1),"")</f>
        <v>0.00296565579259545</v>
      </c>
      <c r="W74" s="111" t="n">
        <f aca="false">IFERROR('Price History'!B3+(INDEX('Price History'!B:B,MATCH(9.99E+307,'Price History'!$A:$A))-'Price History'!B3)*(ROW()-3)/(MATCH(9.99E+307,'Returns (Calc)'!$A:$A)-3),"")</f>
        <v>400.413899371069</v>
      </c>
      <c r="X74" s="111" t="n">
        <f aca="false">IFERROR('Price History'!C3+(INDEX('Price History'!C:C,MATCH(9.99E+307,'Price History'!$A:$A))-'Price History'!C3)*(ROW()-3)/(MATCH(9.99E+307,'Returns (Calc)'!$A:$A)-3),"")</f>
        <v>110.738993710692</v>
      </c>
      <c r="Y74" s="111" t="n">
        <f aca="false">IFERROR('Price History'!D3+(INDEX('Price History'!D:D,MATCH(9.99E+307,'Price History'!$A:$A))-'Price History'!D3)*(ROW()-3)/(MATCH(9.99E+307,'Returns (Calc)'!$A:$A)-3),"")</f>
        <v>1132.03220125786</v>
      </c>
      <c r="Z74" s="111" t="n">
        <f aca="false">IFERROR('Price History'!E3+(INDEX('Price History'!E:E,MATCH(9.99E+307,'Price History'!$A:$A))-'Price History'!E3)*(ROW()-3)/(MATCH(9.99E+307,'Returns (Calc)'!$A:$A)-3),"")</f>
        <v>205.743018867925</v>
      </c>
      <c r="AA74" s="111" t="n">
        <f aca="false">IFERROR('Price History'!F3+(INDEX('Price History'!F:F,MATCH(9.99E+307,'Price History'!$A:$A))-'Price History'!F3)*(ROW()-3)/(MATCH(9.99E+307,'Returns (Calc)'!$A:$A)-3),"")</f>
        <v>115.669056603774</v>
      </c>
      <c r="AB74" s="111" t="n">
        <f aca="false">IFERROR('Price History'!G3+(INDEX('Price History'!G:G,MATCH(9.99E+307,'Price History'!$A:$A))-'Price History'!G3)*(ROW()-3)/(MATCH(9.99E+307,'Returns (Calc)'!$A:$A)-3),"")</f>
        <v>109.388679245283</v>
      </c>
      <c r="AC74" s="111" t="n">
        <f aca="false">IFERROR('Price History'!H3+(INDEX('Price History'!H:H,MATCH(9.99E+307,'Price History'!$A:$A))-'Price History'!H3)*(ROW()-3)/(MATCH(9.99E+307,'Returns (Calc)'!$A:$A)-3),"")</f>
        <v>489.575157232704</v>
      </c>
      <c r="AD74" s="111" t="n">
        <f aca="false">IFERROR('Price History'!I3+(INDEX('Price History'!I:I,MATCH(9.99E+307,'Price History'!$A:$A))-'Price History'!I3)*(ROW()-3)/(MATCH(9.99E+307,'Returns (Calc)'!$A:$A)-3),"")</f>
        <v>125.473962264151</v>
      </c>
      <c r="AE74" s="111" t="n">
        <f aca="false">IFERROR('Price History'!J3+(INDEX('Price History'!J:J,MATCH(9.99E+307,'Price History'!$A:$A))-'Price History'!J3)*(ROW()-3)/(MATCH(9.99E+307,'Returns (Calc)'!$A:$A)-3),"")</f>
        <v>129.685660377359</v>
      </c>
      <c r="AF74" s="111" t="n">
        <f aca="false">IFERROR('Price History'!K3+(INDEX('Price History'!K:K,MATCH(9.99E+307,'Price History'!$A:$A))-'Price History'!K3)*(ROW()-3)/(MATCH(9.99E+307,'Returns (Calc)'!$A:$A)-3),"")</f>
        <v>86.3742767295598</v>
      </c>
      <c r="AG74" s="111" t="n">
        <f aca="false">IFERROR('Price History'!L3+(INDEX('Price History'!L:L,MATCH(9.99E+307,'Price History'!$A:$A))-'Price History'!L3)*(ROW()-3)/(MATCH(9.99E+307,'Returns (Calc)'!$A:$A)-3),"")</f>
        <v>242.438553459119</v>
      </c>
      <c r="AH74" s="111" t="n">
        <f aca="false">IFERROR('Price History'!M3+(INDEX('Price History'!M:M,MATCH(9.99E+307,'Price History'!$A:$A))-'Price History'!M3)*(ROW()-3)/(MATCH(9.99E+307,'Returns (Calc)'!$A:$A)-3),"")</f>
        <v>143.814528301887</v>
      </c>
      <c r="AI74" s="111" t="n">
        <f aca="false">IFERROR('Price History'!N3+(INDEX('Price History'!N:N,MATCH(9.99E+307,'Price History'!$A:$A))-'Price History'!N3)*(ROW()-3)/(MATCH(9.99E+307,'Returns (Calc)'!$A:$A)-3),"")</f>
        <v>437.498113207547</v>
      </c>
      <c r="AJ74" s="111" t="n">
        <f aca="false">IFERROR('Price History'!O3+(INDEX('Price History'!O:O,MATCH(9.99E+307,'Price History'!$A:$A))-'Price History'!O3)*(ROW()-3)/(MATCH(9.99E+307,'Returns (Calc)'!$A:$A)-3),"")</f>
        <v>102.533522012579</v>
      </c>
      <c r="AK74" s="111" t="n">
        <f aca="false">IFERROR('Price History'!Q3+(INDEX('Price History'!Q:Q,MATCH(9.99E+307,'Price History'!$A:$A))-'Price History'!Q3)*(ROW()-3)/(MATCH(9.99E+307,'Returns (Calc)'!$A:$A)-3),"")</f>
        <v>58.7172327044025</v>
      </c>
      <c r="AL74" s="111" t="n">
        <f aca="false">IFERROR('Price History'!R3+(INDEX('Price History'!R:R,MATCH(9.99E+307,'Price History'!$A:$A))-'Price History'!R3)*(ROW()-3)/(MATCH(9.99E+307,'Returns (Calc)'!$A:$A)-3),"")</f>
        <v>53.2008176100629</v>
      </c>
      <c r="AM74" s="111" t="n">
        <f aca="false">IFERROR('Price History'!S3+(INDEX('Price History'!S:S,MATCH(9.99E+307,'Price History'!$A:$A))-'Price History'!S3)*(ROW()-3)/(MATCH(9.99E+307,'Returns (Calc)'!$A:$A)-3),"")</f>
        <v>99.2555974842767</v>
      </c>
      <c r="AN74" s="111" t="n">
        <f aca="false">IFERROR('Price History'!T3+(INDEX('Price History'!T:T,MATCH(9.99E+307,'Price History'!$A:$A))-'Price History'!T3)*(ROW()-3)/(MATCH(9.99E+307,'Returns (Calc)'!$A:$A)-3),"")</f>
        <v>39.5828301886792</v>
      </c>
      <c r="AO74" s="112" t="n">
        <f aca="false">IFERROR('Price History'!V3+(INDEX('Price History'!V:V,MATCH(9.99E+307,'Price History'!$A:$A))-'Price History'!V3)*(ROW()-3)/(MATCH(9.99E+307,'Returns (Calc)'!$A:$A)-3),"")</f>
        <v>167.484088050314</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V75" s="110" t="n">
        <f aca="false">IFERROR(IF(OR(NOT(ISNUMBER('Price History'!V76)),NOT(ISNUMBER('Price History'!V75)),'Price History'!V75=0),"",'Price History'!V76/'Price History'!V75-1),"")</f>
        <v>-0.0117639577769298</v>
      </c>
      <c r="W75" s="111" t="n">
        <f aca="false">IFERROR('Price History'!B3+(INDEX('Price History'!B:B,MATCH(9.99E+307,'Price History'!$A:$A))-'Price History'!B3)*(ROW()-3)/(MATCH(9.99E+307,'Returns (Calc)'!$A:$A)-3),"")</f>
        <v>398.892264150943</v>
      </c>
      <c r="X75" s="111" t="n">
        <f aca="false">IFERROR('Price History'!C3+(INDEX('Price History'!C:C,MATCH(9.99E+307,'Price History'!$A:$A))-'Price History'!C3)*(ROW()-3)/(MATCH(9.99E+307,'Returns (Calc)'!$A:$A)-3),"")</f>
        <v>111.682641509434</v>
      </c>
      <c r="Y75" s="111" t="n">
        <f aca="false">IFERROR('Price History'!D3+(INDEX('Price History'!D:D,MATCH(9.99E+307,'Price History'!$A:$A))-'Price History'!D3)*(ROW()-3)/(MATCH(9.99E+307,'Returns (Calc)'!$A:$A)-3),"")</f>
        <v>1138.65547169811</v>
      </c>
      <c r="Z75" s="111" t="n">
        <f aca="false">IFERROR('Price History'!E3+(INDEX('Price History'!E:E,MATCH(9.99E+307,'Price History'!$A:$A))-'Price History'!E3)*(ROW()-3)/(MATCH(9.99E+307,'Returns (Calc)'!$A:$A)-3),"")</f>
        <v>207.472075471698</v>
      </c>
      <c r="AA75" s="111" t="n">
        <f aca="false">IFERROR('Price History'!F3+(INDEX('Price History'!F:F,MATCH(9.99E+307,'Price History'!$A:$A))-'Price History'!F3)*(ROW()-3)/(MATCH(9.99E+307,'Returns (Calc)'!$A:$A)-3),"")</f>
        <v>116.776226415094</v>
      </c>
      <c r="AB75" s="111" t="n">
        <f aca="false">IFERROR('Price History'!G3+(INDEX('Price History'!G:G,MATCH(9.99E+307,'Price History'!$A:$A))-'Price History'!G3)*(ROW()-3)/(MATCH(9.99E+307,'Returns (Calc)'!$A:$A)-3),"")</f>
        <v>110.254716981132</v>
      </c>
      <c r="AC75" s="111" t="n">
        <f aca="false">IFERROR('Price History'!H3+(INDEX('Price History'!H:H,MATCH(9.99E+307,'Price History'!$A:$A))-'Price History'!H3)*(ROW()-3)/(MATCH(9.99E+307,'Returns (Calc)'!$A:$A)-3),"")</f>
        <v>495.563962264151</v>
      </c>
      <c r="AD75" s="111" t="n">
        <f aca="false">IFERROR('Price History'!I3+(INDEX('Price History'!I:I,MATCH(9.99E+307,'Price History'!$A:$A))-'Price History'!I3)*(ROW()-3)/(MATCH(9.99E+307,'Returns (Calc)'!$A:$A)-3),"")</f>
        <v>126.665849056604</v>
      </c>
      <c r="AE75" s="111" t="n">
        <f aca="false">IFERROR('Price History'!J3+(INDEX('Price History'!J:J,MATCH(9.99E+307,'Price History'!$A:$A))-'Price History'!J3)*(ROW()-3)/(MATCH(9.99E+307,'Returns (Calc)'!$A:$A)-3),"")</f>
        <v>129.772641509434</v>
      </c>
      <c r="AF75" s="111" t="n">
        <f aca="false">IFERROR('Price History'!K3+(INDEX('Price History'!K:K,MATCH(9.99E+307,'Price History'!$A:$A))-'Price History'!K3)*(ROW()-3)/(MATCH(9.99E+307,'Returns (Calc)'!$A:$A)-3),"")</f>
        <v>87.3737735849057</v>
      </c>
      <c r="AG75" s="111" t="n">
        <f aca="false">IFERROR('Price History'!L3+(INDEX('Price History'!L:L,MATCH(9.99E+307,'Price History'!$A:$A))-'Price History'!L3)*(ROW()-3)/(MATCH(9.99E+307,'Returns (Calc)'!$A:$A)-3),"")</f>
        <v>244.557547169811</v>
      </c>
      <c r="AH75" s="111" t="n">
        <f aca="false">IFERROR('Price History'!M3+(INDEX('Price History'!M:M,MATCH(9.99E+307,'Price History'!$A:$A))-'Price History'!M3)*(ROW()-3)/(MATCH(9.99E+307,'Returns (Calc)'!$A:$A)-3),"")</f>
        <v>145.368113207547</v>
      </c>
      <c r="AI75" s="111" t="n">
        <f aca="false">IFERROR('Price History'!N3+(INDEX('Price History'!N:N,MATCH(9.99E+307,'Price History'!$A:$A))-'Price History'!N3)*(ROW()-3)/(MATCH(9.99E+307,'Returns (Calc)'!$A:$A)-3),"")</f>
        <v>438.732452830189</v>
      </c>
      <c r="AJ75" s="111" t="n">
        <f aca="false">IFERROR('Price History'!O3+(INDEX('Price History'!O:O,MATCH(9.99E+307,'Price History'!$A:$A))-'Price History'!O3)*(ROW()-3)/(MATCH(9.99E+307,'Returns (Calc)'!$A:$A)-3),"")</f>
        <v>102.810754716981</v>
      </c>
      <c r="AK75" s="111" t="n">
        <f aca="false">IFERROR('Price History'!Q3+(INDEX('Price History'!Q:Q,MATCH(9.99E+307,'Price History'!$A:$A))-'Price History'!Q3)*(ROW()-3)/(MATCH(9.99E+307,'Returns (Calc)'!$A:$A)-3),"")</f>
        <v>58.8422641509434</v>
      </c>
      <c r="AL75" s="111" t="n">
        <f aca="false">IFERROR('Price History'!R3+(INDEX('Price History'!R:R,MATCH(9.99E+307,'Price History'!$A:$A))-'Price History'!R3)*(ROW()-3)/(MATCH(9.99E+307,'Returns (Calc)'!$A:$A)-3),"")</f>
        <v>53.2766037735849</v>
      </c>
      <c r="AM75" s="111" t="n">
        <f aca="false">IFERROR('Price History'!S3+(INDEX('Price History'!S:S,MATCH(9.99E+307,'Price History'!$A:$A))-'Price History'!S3)*(ROW()-3)/(MATCH(9.99E+307,'Returns (Calc)'!$A:$A)-3),"")</f>
        <v>99.8290566037736</v>
      </c>
      <c r="AN75" s="111" t="n">
        <f aca="false">IFERROR('Price History'!T3+(INDEX('Price History'!T:T,MATCH(9.99E+307,'Price History'!$A:$A))-'Price History'!T3)*(ROW()-3)/(MATCH(9.99E+307,'Returns (Calc)'!$A:$A)-3),"")</f>
        <v>39.761320754717</v>
      </c>
      <c r="AO75" s="112" t="n">
        <f aca="false">IFERROR('Price History'!V3+(INDEX('Price History'!V:V,MATCH(9.99E+307,'Price History'!$A:$A))-'Price History'!V3)*(ROW()-3)/(MATCH(9.99E+307,'Returns (Calc)'!$A:$A)-3),"")</f>
        <v>169.843018867925</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V76" s="110" t="n">
        <f aca="false">IFERROR(IF(OR(NOT(ISNUMBER('Price History'!V77)),NOT(ISNUMBER('Price History'!V76)),'Price History'!V76=0),"",'Price History'!V77/'Price History'!V76-1),"")</f>
        <v>-0.0228428029084357</v>
      </c>
      <c r="W76" s="111" t="n">
        <f aca="false">IFERROR('Price History'!B3+(INDEX('Price History'!B:B,MATCH(9.99E+307,'Price History'!$A:$A))-'Price History'!B3)*(ROW()-3)/(MATCH(9.99E+307,'Returns (Calc)'!$A:$A)-3),"")</f>
        <v>397.370628930818</v>
      </c>
      <c r="X76" s="111" t="n">
        <f aca="false">IFERROR('Price History'!C3+(INDEX('Price History'!C:C,MATCH(9.99E+307,'Price History'!$A:$A))-'Price History'!C3)*(ROW()-3)/(MATCH(9.99E+307,'Returns (Calc)'!$A:$A)-3),"")</f>
        <v>112.626289308176</v>
      </c>
      <c r="Y76" s="111" t="n">
        <f aca="false">IFERROR('Price History'!D3+(INDEX('Price History'!D:D,MATCH(9.99E+307,'Price History'!$A:$A))-'Price History'!D3)*(ROW()-3)/(MATCH(9.99E+307,'Returns (Calc)'!$A:$A)-3),"")</f>
        <v>1145.27874213836</v>
      </c>
      <c r="Z76" s="111" t="n">
        <f aca="false">IFERROR('Price History'!E3+(INDEX('Price History'!E:E,MATCH(9.99E+307,'Price History'!$A:$A))-'Price History'!E3)*(ROW()-3)/(MATCH(9.99E+307,'Returns (Calc)'!$A:$A)-3),"")</f>
        <v>209.201132075472</v>
      </c>
      <c r="AA76" s="111" t="n">
        <f aca="false">IFERROR('Price History'!F3+(INDEX('Price History'!F:F,MATCH(9.99E+307,'Price History'!$A:$A))-'Price History'!F3)*(ROW()-3)/(MATCH(9.99E+307,'Returns (Calc)'!$A:$A)-3),"")</f>
        <v>117.883396226415</v>
      </c>
      <c r="AB76" s="111" t="n">
        <f aca="false">IFERROR('Price History'!G3+(INDEX('Price History'!G:G,MATCH(9.99E+307,'Price History'!$A:$A))-'Price History'!G3)*(ROW()-3)/(MATCH(9.99E+307,'Returns (Calc)'!$A:$A)-3),"")</f>
        <v>111.120754716981</v>
      </c>
      <c r="AC76" s="111" t="n">
        <f aca="false">IFERROR('Price History'!H3+(INDEX('Price History'!H:H,MATCH(9.99E+307,'Price History'!$A:$A))-'Price History'!H3)*(ROW()-3)/(MATCH(9.99E+307,'Returns (Calc)'!$A:$A)-3),"")</f>
        <v>501.552767295597</v>
      </c>
      <c r="AD76" s="111" t="n">
        <f aca="false">IFERROR('Price History'!I3+(INDEX('Price History'!I:I,MATCH(9.99E+307,'Price History'!$A:$A))-'Price History'!I3)*(ROW()-3)/(MATCH(9.99E+307,'Returns (Calc)'!$A:$A)-3),"")</f>
        <v>127.857735849057</v>
      </c>
      <c r="AE76" s="111" t="n">
        <f aca="false">IFERROR('Price History'!J3+(INDEX('Price History'!J:J,MATCH(9.99E+307,'Price History'!$A:$A))-'Price History'!J3)*(ROW()-3)/(MATCH(9.99E+307,'Returns (Calc)'!$A:$A)-3),"")</f>
        <v>129.859622641509</v>
      </c>
      <c r="AF76" s="111" t="n">
        <f aca="false">IFERROR('Price History'!K3+(INDEX('Price History'!K:K,MATCH(9.99E+307,'Price History'!$A:$A))-'Price History'!K3)*(ROW()-3)/(MATCH(9.99E+307,'Returns (Calc)'!$A:$A)-3),"")</f>
        <v>88.3732704402516</v>
      </c>
      <c r="AG76" s="111" t="n">
        <f aca="false">IFERROR('Price History'!L3+(INDEX('Price History'!L:L,MATCH(9.99E+307,'Price History'!$A:$A))-'Price History'!L3)*(ROW()-3)/(MATCH(9.99E+307,'Returns (Calc)'!$A:$A)-3),"")</f>
        <v>246.676540880503</v>
      </c>
      <c r="AH76" s="111" t="n">
        <f aca="false">IFERROR('Price History'!M3+(INDEX('Price History'!M:M,MATCH(9.99E+307,'Price History'!$A:$A))-'Price History'!M3)*(ROW()-3)/(MATCH(9.99E+307,'Returns (Calc)'!$A:$A)-3),"")</f>
        <v>146.921698113208</v>
      </c>
      <c r="AI76" s="111" t="n">
        <f aca="false">IFERROR('Price History'!N3+(INDEX('Price History'!N:N,MATCH(9.99E+307,'Price History'!$A:$A))-'Price History'!N3)*(ROW()-3)/(MATCH(9.99E+307,'Returns (Calc)'!$A:$A)-3),"")</f>
        <v>439.96679245283</v>
      </c>
      <c r="AJ76" s="111" t="n">
        <f aca="false">IFERROR('Price History'!O3+(INDEX('Price History'!O:O,MATCH(9.99E+307,'Price History'!$A:$A))-'Price History'!O3)*(ROW()-3)/(MATCH(9.99E+307,'Returns (Calc)'!$A:$A)-3),"")</f>
        <v>103.087987421384</v>
      </c>
      <c r="AK76" s="111" t="n">
        <f aca="false">IFERROR('Price History'!Q3+(INDEX('Price History'!Q:Q,MATCH(9.99E+307,'Price History'!$A:$A))-'Price History'!Q3)*(ROW()-3)/(MATCH(9.99E+307,'Returns (Calc)'!$A:$A)-3),"")</f>
        <v>58.9672955974843</v>
      </c>
      <c r="AL76" s="111" t="n">
        <f aca="false">IFERROR('Price History'!R3+(INDEX('Price History'!R:R,MATCH(9.99E+307,'Price History'!$A:$A))-'Price History'!R3)*(ROW()-3)/(MATCH(9.99E+307,'Returns (Calc)'!$A:$A)-3),"")</f>
        <v>53.3523899371069</v>
      </c>
      <c r="AM76" s="111" t="n">
        <f aca="false">IFERROR('Price History'!S3+(INDEX('Price History'!S:S,MATCH(9.99E+307,'Price History'!$A:$A))-'Price History'!S3)*(ROW()-3)/(MATCH(9.99E+307,'Returns (Calc)'!$A:$A)-3),"")</f>
        <v>100.40251572327</v>
      </c>
      <c r="AN76" s="111" t="n">
        <f aca="false">IFERROR('Price History'!T3+(INDEX('Price History'!T:T,MATCH(9.99E+307,'Price History'!$A:$A))-'Price History'!T3)*(ROW()-3)/(MATCH(9.99E+307,'Returns (Calc)'!$A:$A)-3),"")</f>
        <v>39.9398113207547</v>
      </c>
      <c r="AO76" s="112" t="n">
        <f aca="false">IFERROR('Price History'!V3+(INDEX('Price History'!V:V,MATCH(9.99E+307,'Price History'!$A:$A))-'Price History'!V3)*(ROW()-3)/(MATCH(9.99E+307,'Returns (Calc)'!$A:$A)-3),"")</f>
        <v>172.201949685535</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V77" s="110" t="n">
        <f aca="false">IFERROR(IF(OR(NOT(ISNUMBER('Price History'!V78)),NOT(ISNUMBER('Price History'!V77)),'Price History'!V77=0),"",'Price History'!V78/'Price History'!V77-1),"")</f>
        <v>0.0386869485052022</v>
      </c>
      <c r="W77" s="111" t="n">
        <f aca="false">IFERROR('Price History'!B3+(INDEX('Price History'!B:B,MATCH(9.99E+307,'Price History'!$A:$A))-'Price History'!B3)*(ROW()-3)/(MATCH(9.99E+307,'Returns (Calc)'!$A:$A)-3),"")</f>
        <v>395.848993710692</v>
      </c>
      <c r="X77" s="111" t="n">
        <f aca="false">IFERROR('Price History'!C3+(INDEX('Price History'!C:C,MATCH(9.99E+307,'Price History'!$A:$A))-'Price History'!C3)*(ROW()-3)/(MATCH(9.99E+307,'Returns (Calc)'!$A:$A)-3),"")</f>
        <v>113.569937106918</v>
      </c>
      <c r="Y77" s="111" t="n">
        <f aca="false">IFERROR('Price History'!D3+(INDEX('Price History'!D:D,MATCH(9.99E+307,'Price History'!$A:$A))-'Price History'!D3)*(ROW()-3)/(MATCH(9.99E+307,'Returns (Calc)'!$A:$A)-3),"")</f>
        <v>1151.90201257862</v>
      </c>
      <c r="Z77" s="111" t="n">
        <f aca="false">IFERROR('Price History'!E3+(INDEX('Price History'!E:E,MATCH(9.99E+307,'Price History'!$A:$A))-'Price History'!E3)*(ROW()-3)/(MATCH(9.99E+307,'Returns (Calc)'!$A:$A)-3),"")</f>
        <v>210.930188679245</v>
      </c>
      <c r="AA77" s="111" t="n">
        <f aca="false">IFERROR('Price History'!F3+(INDEX('Price History'!F:F,MATCH(9.99E+307,'Price History'!$A:$A))-'Price History'!F3)*(ROW()-3)/(MATCH(9.99E+307,'Returns (Calc)'!$A:$A)-3),"")</f>
        <v>118.990566037736</v>
      </c>
      <c r="AB77" s="111" t="n">
        <f aca="false">IFERROR('Price History'!G3+(INDEX('Price History'!G:G,MATCH(9.99E+307,'Price History'!$A:$A))-'Price History'!G3)*(ROW()-3)/(MATCH(9.99E+307,'Returns (Calc)'!$A:$A)-3),"")</f>
        <v>111.98679245283</v>
      </c>
      <c r="AC77" s="111" t="n">
        <f aca="false">IFERROR('Price History'!H3+(INDEX('Price History'!H:H,MATCH(9.99E+307,'Price History'!$A:$A))-'Price History'!H3)*(ROW()-3)/(MATCH(9.99E+307,'Returns (Calc)'!$A:$A)-3),"")</f>
        <v>507.541572327044</v>
      </c>
      <c r="AD77" s="111" t="n">
        <f aca="false">IFERROR('Price History'!I3+(INDEX('Price History'!I:I,MATCH(9.99E+307,'Price History'!$A:$A))-'Price History'!I3)*(ROW()-3)/(MATCH(9.99E+307,'Returns (Calc)'!$A:$A)-3),"")</f>
        <v>129.049622641509</v>
      </c>
      <c r="AE77" s="111" t="n">
        <f aca="false">IFERROR('Price History'!J3+(INDEX('Price History'!J:J,MATCH(9.99E+307,'Price History'!$A:$A))-'Price History'!J3)*(ROW()-3)/(MATCH(9.99E+307,'Returns (Calc)'!$A:$A)-3),"")</f>
        <v>129.946603773585</v>
      </c>
      <c r="AF77" s="111" t="n">
        <f aca="false">IFERROR('Price History'!K3+(INDEX('Price History'!K:K,MATCH(9.99E+307,'Price History'!$A:$A))-'Price History'!K3)*(ROW()-3)/(MATCH(9.99E+307,'Returns (Calc)'!$A:$A)-3),"")</f>
        <v>89.3727672955975</v>
      </c>
      <c r="AG77" s="111" t="n">
        <f aca="false">IFERROR('Price History'!L3+(INDEX('Price History'!L:L,MATCH(9.99E+307,'Price History'!$A:$A))-'Price History'!L3)*(ROW()-3)/(MATCH(9.99E+307,'Returns (Calc)'!$A:$A)-3),"")</f>
        <v>248.795534591195</v>
      </c>
      <c r="AH77" s="111" t="n">
        <f aca="false">IFERROR('Price History'!M3+(INDEX('Price History'!M:M,MATCH(9.99E+307,'Price History'!$A:$A))-'Price History'!M3)*(ROW()-3)/(MATCH(9.99E+307,'Returns (Calc)'!$A:$A)-3),"")</f>
        <v>148.475283018868</v>
      </c>
      <c r="AI77" s="111" t="n">
        <f aca="false">IFERROR('Price History'!N3+(INDEX('Price History'!N:N,MATCH(9.99E+307,'Price History'!$A:$A))-'Price History'!N3)*(ROW()-3)/(MATCH(9.99E+307,'Returns (Calc)'!$A:$A)-3),"")</f>
        <v>441.201132075472</v>
      </c>
      <c r="AJ77" s="111" t="n">
        <f aca="false">IFERROR('Price History'!O3+(INDEX('Price History'!O:O,MATCH(9.99E+307,'Price History'!$A:$A))-'Price History'!O3)*(ROW()-3)/(MATCH(9.99E+307,'Returns (Calc)'!$A:$A)-3),"")</f>
        <v>103.365220125786</v>
      </c>
      <c r="AK77" s="111" t="n">
        <f aca="false">IFERROR('Price History'!Q3+(INDEX('Price History'!Q:Q,MATCH(9.99E+307,'Price History'!$A:$A))-'Price History'!Q3)*(ROW()-3)/(MATCH(9.99E+307,'Returns (Calc)'!$A:$A)-3),"")</f>
        <v>59.0923270440252</v>
      </c>
      <c r="AL77" s="111" t="n">
        <f aca="false">IFERROR('Price History'!R3+(INDEX('Price History'!R:R,MATCH(9.99E+307,'Price History'!$A:$A))-'Price History'!R3)*(ROW()-3)/(MATCH(9.99E+307,'Returns (Calc)'!$A:$A)-3),"")</f>
        <v>53.4281761006289</v>
      </c>
      <c r="AM77" s="111" t="n">
        <f aca="false">IFERROR('Price History'!S3+(INDEX('Price History'!S:S,MATCH(9.99E+307,'Price History'!$A:$A))-'Price History'!S3)*(ROW()-3)/(MATCH(9.99E+307,'Returns (Calc)'!$A:$A)-3),"")</f>
        <v>100.975974842767</v>
      </c>
      <c r="AN77" s="111" t="n">
        <f aca="false">IFERROR('Price History'!T3+(INDEX('Price History'!T:T,MATCH(9.99E+307,'Price History'!$A:$A))-'Price History'!T3)*(ROW()-3)/(MATCH(9.99E+307,'Returns (Calc)'!$A:$A)-3),"")</f>
        <v>40.1183018867925</v>
      </c>
      <c r="AO77" s="112" t="n">
        <f aca="false">IFERROR('Price History'!V3+(INDEX('Price History'!V:V,MATCH(9.99E+307,'Price History'!$A:$A))-'Price History'!V3)*(ROW()-3)/(MATCH(9.99E+307,'Returns (Calc)'!$A:$A)-3),"")</f>
        <v>174.560880503145</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V78" s="110" t="n">
        <f aca="false">IFERROR(IF(OR(NOT(ISNUMBER('Price History'!V79)),NOT(ISNUMBER('Price History'!V78)),'Price History'!V78=0),"",'Price History'!V79/'Price History'!V78-1),"")</f>
        <v>0.0330934795701652</v>
      </c>
      <c r="W78" s="111" t="n">
        <f aca="false">IFERROR('Price History'!B3+(INDEX('Price History'!B:B,MATCH(9.99E+307,'Price History'!$A:$A))-'Price History'!B3)*(ROW()-3)/(MATCH(9.99E+307,'Returns (Calc)'!$A:$A)-3),"")</f>
        <v>394.327358490566</v>
      </c>
      <c r="X78" s="111" t="n">
        <f aca="false">IFERROR('Price History'!C3+(INDEX('Price History'!C:C,MATCH(9.99E+307,'Price History'!$A:$A))-'Price History'!C3)*(ROW()-3)/(MATCH(9.99E+307,'Returns (Calc)'!$A:$A)-3),"")</f>
        <v>114.51358490566</v>
      </c>
      <c r="Y78" s="111" t="n">
        <f aca="false">IFERROR('Price History'!D3+(INDEX('Price History'!D:D,MATCH(9.99E+307,'Price History'!$A:$A))-'Price History'!D3)*(ROW()-3)/(MATCH(9.99E+307,'Returns (Calc)'!$A:$A)-3),"")</f>
        <v>1158.52528301887</v>
      </c>
      <c r="Z78" s="111" t="n">
        <f aca="false">IFERROR('Price History'!E3+(INDEX('Price History'!E:E,MATCH(9.99E+307,'Price History'!$A:$A))-'Price History'!E3)*(ROW()-3)/(MATCH(9.99E+307,'Returns (Calc)'!$A:$A)-3),"")</f>
        <v>212.659245283019</v>
      </c>
      <c r="AA78" s="111" t="n">
        <f aca="false">IFERROR('Price History'!F3+(INDEX('Price History'!F:F,MATCH(9.99E+307,'Price History'!$A:$A))-'Price History'!F3)*(ROW()-3)/(MATCH(9.99E+307,'Returns (Calc)'!$A:$A)-3),"")</f>
        <v>120.097735849057</v>
      </c>
      <c r="AB78" s="111" t="n">
        <f aca="false">IFERROR('Price History'!G3+(INDEX('Price History'!G:G,MATCH(9.99E+307,'Price History'!$A:$A))-'Price History'!G3)*(ROW()-3)/(MATCH(9.99E+307,'Returns (Calc)'!$A:$A)-3),"")</f>
        <v>112.852830188679</v>
      </c>
      <c r="AC78" s="111" t="n">
        <f aca="false">IFERROR('Price History'!H3+(INDEX('Price History'!H:H,MATCH(9.99E+307,'Price History'!$A:$A))-'Price History'!H3)*(ROW()-3)/(MATCH(9.99E+307,'Returns (Calc)'!$A:$A)-3),"")</f>
        <v>513.530377358491</v>
      </c>
      <c r="AD78" s="111" t="n">
        <f aca="false">IFERROR('Price History'!I3+(INDEX('Price History'!I:I,MATCH(9.99E+307,'Price History'!$A:$A))-'Price History'!I3)*(ROW()-3)/(MATCH(9.99E+307,'Returns (Calc)'!$A:$A)-3),"")</f>
        <v>130.241509433962</v>
      </c>
      <c r="AE78" s="111" t="n">
        <f aca="false">IFERROR('Price History'!J3+(INDEX('Price History'!J:J,MATCH(9.99E+307,'Price History'!$A:$A))-'Price History'!J3)*(ROW()-3)/(MATCH(9.99E+307,'Returns (Calc)'!$A:$A)-3),"")</f>
        <v>130.03358490566</v>
      </c>
      <c r="AF78" s="111" t="n">
        <f aca="false">IFERROR('Price History'!K3+(INDEX('Price History'!K:K,MATCH(9.99E+307,'Price History'!$A:$A))-'Price History'!K3)*(ROW()-3)/(MATCH(9.99E+307,'Returns (Calc)'!$A:$A)-3),"")</f>
        <v>90.3722641509434</v>
      </c>
      <c r="AG78" s="111" t="n">
        <f aca="false">IFERROR('Price History'!L3+(INDEX('Price History'!L:L,MATCH(9.99E+307,'Price History'!$A:$A))-'Price History'!L3)*(ROW()-3)/(MATCH(9.99E+307,'Returns (Calc)'!$A:$A)-3),"")</f>
        <v>250.914528301887</v>
      </c>
      <c r="AH78" s="111" t="n">
        <f aca="false">IFERROR('Price History'!M3+(INDEX('Price History'!M:M,MATCH(9.99E+307,'Price History'!$A:$A))-'Price History'!M3)*(ROW()-3)/(MATCH(9.99E+307,'Returns (Calc)'!$A:$A)-3),"")</f>
        <v>150.028867924528</v>
      </c>
      <c r="AI78" s="111" t="n">
        <f aca="false">IFERROR('Price History'!N3+(INDEX('Price History'!N:N,MATCH(9.99E+307,'Price History'!$A:$A))-'Price History'!N3)*(ROW()-3)/(MATCH(9.99E+307,'Returns (Calc)'!$A:$A)-3),"")</f>
        <v>442.435471698113</v>
      </c>
      <c r="AJ78" s="111" t="n">
        <f aca="false">IFERROR('Price History'!O3+(INDEX('Price History'!O:O,MATCH(9.99E+307,'Price History'!$A:$A))-'Price History'!O3)*(ROW()-3)/(MATCH(9.99E+307,'Returns (Calc)'!$A:$A)-3),"")</f>
        <v>103.642452830189</v>
      </c>
      <c r="AK78" s="111" t="n">
        <f aca="false">IFERROR('Price History'!Q3+(INDEX('Price History'!Q:Q,MATCH(9.99E+307,'Price History'!$A:$A))-'Price History'!Q3)*(ROW()-3)/(MATCH(9.99E+307,'Returns (Calc)'!$A:$A)-3),"")</f>
        <v>59.217358490566</v>
      </c>
      <c r="AL78" s="111" t="n">
        <f aca="false">IFERROR('Price History'!R3+(INDEX('Price History'!R:R,MATCH(9.99E+307,'Price History'!$A:$A))-'Price History'!R3)*(ROW()-3)/(MATCH(9.99E+307,'Returns (Calc)'!$A:$A)-3),"")</f>
        <v>53.5039622641509</v>
      </c>
      <c r="AM78" s="111" t="n">
        <f aca="false">IFERROR('Price History'!S3+(INDEX('Price History'!S:S,MATCH(9.99E+307,'Price History'!$A:$A))-'Price History'!S3)*(ROW()-3)/(MATCH(9.99E+307,'Returns (Calc)'!$A:$A)-3),"")</f>
        <v>101.549433962264</v>
      </c>
      <c r="AN78" s="111" t="n">
        <f aca="false">IFERROR('Price History'!T3+(INDEX('Price History'!T:T,MATCH(9.99E+307,'Price History'!$A:$A))-'Price History'!T3)*(ROW()-3)/(MATCH(9.99E+307,'Returns (Calc)'!$A:$A)-3),"")</f>
        <v>40.2967924528302</v>
      </c>
      <c r="AO78" s="112" t="n">
        <f aca="false">IFERROR('Price History'!V3+(INDEX('Price History'!V:V,MATCH(9.99E+307,'Price History'!$A:$A))-'Price History'!V3)*(ROW()-3)/(MATCH(9.99E+307,'Returns (Calc)'!$A:$A)-3),"")</f>
        <v>176.919811320755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V79" s="110" t="n">
        <f aca="false">IFERROR(IF(OR(NOT(ISNUMBER('Price History'!V80)),NOT(ISNUMBER('Price History'!V79)),'Price History'!V79=0),"",'Price History'!V80/'Price History'!V79-1),"")</f>
        <v>0.0351323985149274</v>
      </c>
      <c r="W79" s="111" t="n">
        <f aca="false">IFERROR('Price History'!B3+(INDEX('Price History'!B:B,MATCH(9.99E+307,'Price History'!$A:$A))-'Price History'!B3)*(ROW()-3)/(MATCH(9.99E+307,'Returns (Calc)'!$A:$A)-3),"")</f>
        <v>392.80572327044</v>
      </c>
      <c r="X79" s="111" t="n">
        <f aca="false">IFERROR('Price History'!C3+(INDEX('Price History'!C:C,MATCH(9.99E+307,'Price History'!$A:$A))-'Price History'!C3)*(ROW()-3)/(MATCH(9.99E+307,'Returns (Calc)'!$A:$A)-3),"")</f>
        <v>115.457232704403</v>
      </c>
      <c r="Y79" s="111" t="n">
        <f aca="false">IFERROR('Price History'!D3+(INDEX('Price History'!D:D,MATCH(9.99E+307,'Price History'!$A:$A))-'Price History'!D3)*(ROW()-3)/(MATCH(9.99E+307,'Returns (Calc)'!$A:$A)-3),"")</f>
        <v>1165.14855345912</v>
      </c>
      <c r="Z79" s="111" t="n">
        <f aca="false">IFERROR('Price History'!E3+(INDEX('Price History'!E:E,MATCH(9.99E+307,'Price History'!$A:$A))-'Price History'!E3)*(ROW()-3)/(MATCH(9.99E+307,'Returns (Calc)'!$A:$A)-3),"")</f>
        <v>214.388301886792</v>
      </c>
      <c r="AA79" s="111" t="n">
        <f aca="false">IFERROR('Price History'!F3+(INDEX('Price History'!F:F,MATCH(9.99E+307,'Price History'!$A:$A))-'Price History'!F3)*(ROW()-3)/(MATCH(9.99E+307,'Returns (Calc)'!$A:$A)-3),"")</f>
        <v>121.204905660377</v>
      </c>
      <c r="AB79" s="111" t="n">
        <f aca="false">IFERROR('Price History'!G3+(INDEX('Price History'!G:G,MATCH(9.99E+307,'Price History'!$A:$A))-'Price History'!G3)*(ROW()-3)/(MATCH(9.99E+307,'Returns (Calc)'!$A:$A)-3),"")</f>
        <v>113.718867924528</v>
      </c>
      <c r="AC79" s="111" t="n">
        <f aca="false">IFERROR('Price History'!H3+(INDEX('Price History'!H:H,MATCH(9.99E+307,'Price History'!$A:$A))-'Price History'!H3)*(ROW()-3)/(MATCH(9.99E+307,'Returns (Calc)'!$A:$A)-3),"")</f>
        <v>519.519182389937</v>
      </c>
      <c r="AD79" s="111" t="n">
        <f aca="false">IFERROR('Price History'!I3+(INDEX('Price History'!I:I,MATCH(9.99E+307,'Price History'!$A:$A))-'Price History'!I3)*(ROW()-3)/(MATCH(9.99E+307,'Returns (Calc)'!$A:$A)-3),"")</f>
        <v>131.433396226415</v>
      </c>
      <c r="AE79" s="111" t="n">
        <f aca="false">IFERROR('Price History'!J3+(INDEX('Price History'!J:J,MATCH(9.99E+307,'Price History'!$A:$A))-'Price History'!J3)*(ROW()-3)/(MATCH(9.99E+307,'Returns (Calc)'!$A:$A)-3),"")</f>
        <v>130.120566037736</v>
      </c>
      <c r="AF79" s="111" t="n">
        <f aca="false">IFERROR('Price History'!K3+(INDEX('Price History'!K:K,MATCH(9.99E+307,'Price History'!$A:$A))-'Price History'!K3)*(ROW()-3)/(MATCH(9.99E+307,'Returns (Calc)'!$A:$A)-3),"")</f>
        <v>91.3717610062893</v>
      </c>
      <c r="AG79" s="111" t="n">
        <f aca="false">IFERROR('Price History'!L3+(INDEX('Price History'!L:L,MATCH(9.99E+307,'Price History'!$A:$A))-'Price History'!L3)*(ROW()-3)/(MATCH(9.99E+307,'Returns (Calc)'!$A:$A)-3),"")</f>
        <v>253.033522012579</v>
      </c>
      <c r="AH79" s="111" t="n">
        <f aca="false">IFERROR('Price History'!M3+(INDEX('Price History'!M:M,MATCH(9.99E+307,'Price History'!$A:$A))-'Price History'!M3)*(ROW()-3)/(MATCH(9.99E+307,'Returns (Calc)'!$A:$A)-3),"")</f>
        <v>151.582452830189</v>
      </c>
      <c r="AI79" s="111" t="n">
        <f aca="false">IFERROR('Price History'!N3+(INDEX('Price History'!N:N,MATCH(9.99E+307,'Price History'!$A:$A))-'Price History'!N3)*(ROW()-3)/(MATCH(9.99E+307,'Returns (Calc)'!$A:$A)-3),"")</f>
        <v>443.669811320755</v>
      </c>
      <c r="AJ79" s="111" t="n">
        <f aca="false">IFERROR('Price History'!O3+(INDEX('Price History'!O:O,MATCH(9.99E+307,'Price History'!$A:$A))-'Price History'!O3)*(ROW()-3)/(MATCH(9.99E+307,'Returns (Calc)'!$A:$A)-3),"")</f>
        <v>103.919685534591</v>
      </c>
      <c r="AK79" s="111" t="n">
        <f aca="false">IFERROR('Price History'!Q3+(INDEX('Price History'!Q:Q,MATCH(9.99E+307,'Price History'!$A:$A))-'Price History'!Q3)*(ROW()-3)/(MATCH(9.99E+307,'Returns (Calc)'!$A:$A)-3),"")</f>
        <v>59.3423899371069</v>
      </c>
      <c r="AL79" s="111" t="n">
        <f aca="false">IFERROR('Price History'!R3+(INDEX('Price History'!R:R,MATCH(9.99E+307,'Price History'!$A:$A))-'Price History'!R3)*(ROW()-3)/(MATCH(9.99E+307,'Returns (Calc)'!$A:$A)-3),"")</f>
        <v>53.579748427673</v>
      </c>
      <c r="AM79" s="111" t="n">
        <f aca="false">IFERROR('Price History'!S3+(INDEX('Price History'!S:S,MATCH(9.99E+307,'Price History'!$A:$A))-'Price History'!S3)*(ROW()-3)/(MATCH(9.99E+307,'Returns (Calc)'!$A:$A)-3),"")</f>
        <v>102.122893081761</v>
      </c>
      <c r="AN79" s="111" t="n">
        <f aca="false">IFERROR('Price History'!T3+(INDEX('Price History'!T:T,MATCH(9.99E+307,'Price History'!$A:$A))-'Price History'!T3)*(ROW()-3)/(MATCH(9.99E+307,'Returns (Calc)'!$A:$A)-3),"")</f>
        <v>40.4752830188679</v>
      </c>
      <c r="AO79" s="112" t="n">
        <f aca="false">IFERROR('Price History'!V3+(INDEX('Price History'!V:V,MATCH(9.99E+307,'Price History'!$A:$A))-'Price History'!V3)*(ROW()-3)/(MATCH(9.99E+307,'Returns (Calc)'!$A:$A)-3),"")</f>
        <v>179.278742138365</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V80" s="110" t="n">
        <f aca="false">IFERROR(IF(OR(NOT(ISNUMBER('Price History'!V81)),NOT(ISNUMBER('Price History'!V80)),'Price History'!V80=0),"",'Price History'!V81/'Price History'!V80-1),"")</f>
        <v>0.0182001422812426</v>
      </c>
      <c r="W80" s="111" t="n">
        <f aca="false">IFERROR('Price History'!B3+(INDEX('Price History'!B:B,MATCH(9.99E+307,'Price History'!$A:$A))-'Price History'!B3)*(ROW()-3)/(MATCH(9.99E+307,'Returns (Calc)'!$A:$A)-3),"")</f>
        <v>391.284088050314</v>
      </c>
      <c r="X80" s="111" t="n">
        <f aca="false">IFERROR('Price History'!C3+(INDEX('Price History'!C:C,MATCH(9.99E+307,'Price History'!$A:$A))-'Price History'!C3)*(ROW()-3)/(MATCH(9.99E+307,'Returns (Calc)'!$A:$A)-3),"")</f>
        <v>116.400880503145</v>
      </c>
      <c r="Y80" s="111" t="n">
        <f aca="false">IFERROR('Price History'!D3+(INDEX('Price History'!D:D,MATCH(9.99E+307,'Price History'!$A:$A))-'Price History'!D3)*(ROW()-3)/(MATCH(9.99E+307,'Returns (Calc)'!$A:$A)-3),"")</f>
        <v>1171.77182389937</v>
      </c>
      <c r="Z80" s="111" t="n">
        <f aca="false">IFERROR('Price History'!E3+(INDEX('Price History'!E:E,MATCH(9.99E+307,'Price History'!$A:$A))-'Price History'!E3)*(ROW()-3)/(MATCH(9.99E+307,'Returns (Calc)'!$A:$A)-3),"")</f>
        <v>216.117358490566</v>
      </c>
      <c r="AA80" s="111" t="n">
        <f aca="false">IFERROR('Price History'!F3+(INDEX('Price History'!F:F,MATCH(9.99E+307,'Price History'!$A:$A))-'Price History'!F3)*(ROW()-3)/(MATCH(9.99E+307,'Returns (Calc)'!$A:$A)-3),"")</f>
        <v>122.312075471698</v>
      </c>
      <c r="AB80" s="111" t="n">
        <f aca="false">IFERROR('Price History'!G3+(INDEX('Price History'!G:G,MATCH(9.99E+307,'Price History'!$A:$A))-'Price History'!G3)*(ROW()-3)/(MATCH(9.99E+307,'Returns (Calc)'!$A:$A)-3),"")</f>
        <v>114.584905660377</v>
      </c>
      <c r="AC80" s="111" t="n">
        <f aca="false">IFERROR('Price History'!H3+(INDEX('Price History'!H:H,MATCH(9.99E+307,'Price History'!$A:$A))-'Price History'!H3)*(ROW()-3)/(MATCH(9.99E+307,'Returns (Calc)'!$A:$A)-3),"")</f>
        <v>525.507987421384</v>
      </c>
      <c r="AD80" s="111" t="n">
        <f aca="false">IFERROR('Price History'!I3+(INDEX('Price History'!I:I,MATCH(9.99E+307,'Price History'!$A:$A))-'Price History'!I3)*(ROW()-3)/(MATCH(9.99E+307,'Returns (Calc)'!$A:$A)-3),"")</f>
        <v>132.625283018868</v>
      </c>
      <c r="AE80" s="111" t="n">
        <f aca="false">IFERROR('Price History'!J3+(INDEX('Price History'!J:J,MATCH(9.99E+307,'Price History'!$A:$A))-'Price History'!J3)*(ROW()-3)/(MATCH(9.99E+307,'Returns (Calc)'!$A:$A)-3),"")</f>
        <v>130.207547169811</v>
      </c>
      <c r="AF80" s="111" t="n">
        <f aca="false">IFERROR('Price History'!K3+(INDEX('Price History'!K:K,MATCH(9.99E+307,'Price History'!$A:$A))-'Price History'!K3)*(ROW()-3)/(MATCH(9.99E+307,'Returns (Calc)'!$A:$A)-3),"")</f>
        <v>92.3712578616352</v>
      </c>
      <c r="AG80" s="111" t="n">
        <f aca="false">IFERROR('Price History'!L3+(INDEX('Price History'!L:L,MATCH(9.99E+307,'Price History'!$A:$A))-'Price History'!L3)*(ROW()-3)/(MATCH(9.99E+307,'Returns (Calc)'!$A:$A)-3),"")</f>
        <v>255.15251572327</v>
      </c>
      <c r="AH80" s="111" t="n">
        <f aca="false">IFERROR('Price History'!M3+(INDEX('Price History'!M:M,MATCH(9.99E+307,'Price History'!$A:$A))-'Price History'!M3)*(ROW()-3)/(MATCH(9.99E+307,'Returns (Calc)'!$A:$A)-3),"")</f>
        <v>153.136037735849</v>
      </c>
      <c r="AI80" s="111" t="n">
        <f aca="false">IFERROR('Price History'!N3+(INDEX('Price History'!N:N,MATCH(9.99E+307,'Price History'!$A:$A))-'Price History'!N3)*(ROW()-3)/(MATCH(9.99E+307,'Returns (Calc)'!$A:$A)-3),"")</f>
        <v>444.904150943396</v>
      </c>
      <c r="AJ80" s="111" t="n">
        <f aca="false">IFERROR('Price History'!O3+(INDEX('Price History'!O:O,MATCH(9.99E+307,'Price History'!$A:$A))-'Price History'!O3)*(ROW()-3)/(MATCH(9.99E+307,'Returns (Calc)'!$A:$A)-3),"")</f>
        <v>104.196918238994</v>
      </c>
      <c r="AK80" s="111" t="n">
        <f aca="false">IFERROR('Price History'!Q3+(INDEX('Price History'!Q:Q,MATCH(9.99E+307,'Price History'!$A:$A))-'Price History'!Q3)*(ROW()-3)/(MATCH(9.99E+307,'Returns (Calc)'!$A:$A)-3),"")</f>
        <v>59.4674213836478</v>
      </c>
      <c r="AL80" s="111" t="n">
        <f aca="false">IFERROR('Price History'!R3+(INDEX('Price History'!R:R,MATCH(9.99E+307,'Price History'!$A:$A))-'Price History'!R3)*(ROW()-3)/(MATCH(9.99E+307,'Returns (Calc)'!$A:$A)-3),"")</f>
        <v>53.655534591195</v>
      </c>
      <c r="AM80" s="111" t="n">
        <f aca="false">IFERROR('Price History'!S3+(INDEX('Price History'!S:S,MATCH(9.99E+307,'Price History'!$A:$A))-'Price History'!S3)*(ROW()-3)/(MATCH(9.99E+307,'Returns (Calc)'!$A:$A)-3),"")</f>
        <v>102.696352201258</v>
      </c>
      <c r="AN80" s="111" t="n">
        <f aca="false">IFERROR('Price History'!T3+(INDEX('Price History'!T:T,MATCH(9.99E+307,'Price History'!$A:$A))-'Price History'!T3)*(ROW()-3)/(MATCH(9.99E+307,'Returns (Calc)'!$A:$A)-3),"")</f>
        <v>40.6537735849057</v>
      </c>
      <c r="AO80" s="112" t="n">
        <f aca="false">IFERROR('Price History'!V3+(INDEX('Price History'!V:V,MATCH(9.99E+307,'Price History'!$A:$A))-'Price History'!V3)*(ROW()-3)/(MATCH(9.99E+307,'Returns (Calc)'!$A:$A)-3),"")</f>
        <v>181.637672955975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V81" s="110" t="n">
        <f aca="false">IFERROR(IF(OR(NOT(ISNUMBER('Price History'!V82)),NOT(ISNUMBER('Price History'!V81)),'Price History'!V81=0),"",'Price History'!V82/'Price History'!V81-1),"")</f>
        <v>0.0183697234352256</v>
      </c>
      <c r="W81" s="111" t="n">
        <f aca="false">IFERROR('Price History'!B3+(INDEX('Price History'!B:B,MATCH(9.99E+307,'Price History'!$A:$A))-'Price History'!B3)*(ROW()-3)/(MATCH(9.99E+307,'Returns (Calc)'!$A:$A)-3),"")</f>
        <v>389.762452830189</v>
      </c>
      <c r="X81" s="111" t="n">
        <f aca="false">IFERROR('Price History'!C3+(INDEX('Price History'!C:C,MATCH(9.99E+307,'Price History'!$A:$A))-'Price History'!C3)*(ROW()-3)/(MATCH(9.99E+307,'Returns (Calc)'!$A:$A)-3),"")</f>
        <v>117.344528301887</v>
      </c>
      <c r="Y81" s="111" t="n">
        <f aca="false">IFERROR('Price History'!D3+(INDEX('Price History'!D:D,MATCH(9.99E+307,'Price History'!$A:$A))-'Price History'!D3)*(ROW()-3)/(MATCH(9.99E+307,'Returns (Calc)'!$A:$A)-3),"")</f>
        <v>1178.39509433962</v>
      </c>
      <c r="Z81" s="111" t="n">
        <f aca="false">IFERROR('Price History'!E3+(INDEX('Price History'!E:E,MATCH(9.99E+307,'Price History'!$A:$A))-'Price History'!E3)*(ROW()-3)/(MATCH(9.99E+307,'Returns (Calc)'!$A:$A)-3),"")</f>
        <v>217.84641509434</v>
      </c>
      <c r="AA81" s="111" t="n">
        <f aca="false">IFERROR('Price History'!F3+(INDEX('Price History'!F:F,MATCH(9.99E+307,'Price History'!$A:$A))-'Price History'!F3)*(ROW()-3)/(MATCH(9.99E+307,'Returns (Calc)'!$A:$A)-3),"")</f>
        <v>123.419245283019</v>
      </c>
      <c r="AB81" s="111" t="n">
        <f aca="false">IFERROR('Price History'!G3+(INDEX('Price History'!G:G,MATCH(9.99E+307,'Price History'!$A:$A))-'Price History'!G3)*(ROW()-3)/(MATCH(9.99E+307,'Returns (Calc)'!$A:$A)-3),"")</f>
        <v>115.450943396226</v>
      </c>
      <c r="AC81" s="111" t="n">
        <f aca="false">IFERROR('Price History'!H3+(INDEX('Price History'!H:H,MATCH(9.99E+307,'Price History'!$A:$A))-'Price History'!H3)*(ROW()-3)/(MATCH(9.99E+307,'Returns (Calc)'!$A:$A)-3),"")</f>
        <v>531.49679245283</v>
      </c>
      <c r="AD81" s="111" t="n">
        <f aca="false">IFERROR('Price History'!I3+(INDEX('Price History'!I:I,MATCH(9.99E+307,'Price History'!$A:$A))-'Price History'!I3)*(ROW()-3)/(MATCH(9.99E+307,'Returns (Calc)'!$A:$A)-3),"")</f>
        <v>133.817169811321</v>
      </c>
      <c r="AE81" s="111" t="n">
        <f aca="false">IFERROR('Price History'!J3+(INDEX('Price History'!J:J,MATCH(9.99E+307,'Price History'!$A:$A))-'Price History'!J3)*(ROW()-3)/(MATCH(9.99E+307,'Returns (Calc)'!$A:$A)-3),"")</f>
        <v>130.294528301887</v>
      </c>
      <c r="AF81" s="111" t="n">
        <f aca="false">IFERROR('Price History'!K3+(INDEX('Price History'!K:K,MATCH(9.99E+307,'Price History'!$A:$A))-'Price History'!K3)*(ROW()-3)/(MATCH(9.99E+307,'Returns (Calc)'!$A:$A)-3),"")</f>
        <v>93.3707547169811</v>
      </c>
      <c r="AG81" s="111" t="n">
        <f aca="false">IFERROR('Price History'!L3+(INDEX('Price History'!L:L,MATCH(9.99E+307,'Price History'!$A:$A))-'Price History'!L3)*(ROW()-3)/(MATCH(9.99E+307,'Returns (Calc)'!$A:$A)-3),"")</f>
        <v>257.271509433962</v>
      </c>
      <c r="AH81" s="111" t="n">
        <f aca="false">IFERROR('Price History'!M3+(INDEX('Price History'!M:M,MATCH(9.99E+307,'Price History'!$A:$A))-'Price History'!M3)*(ROW()-3)/(MATCH(9.99E+307,'Returns (Calc)'!$A:$A)-3),"")</f>
        <v>154.689622641509</v>
      </c>
      <c r="AI81" s="111" t="n">
        <f aca="false">IFERROR('Price History'!N3+(INDEX('Price History'!N:N,MATCH(9.99E+307,'Price History'!$A:$A))-'Price History'!N3)*(ROW()-3)/(MATCH(9.99E+307,'Returns (Calc)'!$A:$A)-3),"")</f>
        <v>446.138490566038</v>
      </c>
      <c r="AJ81" s="111" t="n">
        <f aca="false">IFERROR('Price History'!O3+(INDEX('Price History'!O:O,MATCH(9.99E+307,'Price History'!$A:$A))-'Price History'!O3)*(ROW()-3)/(MATCH(9.99E+307,'Returns (Calc)'!$A:$A)-3),"")</f>
        <v>104.474150943396</v>
      </c>
      <c r="AK81" s="111" t="n">
        <f aca="false">IFERROR('Price History'!Q3+(INDEX('Price History'!Q:Q,MATCH(9.99E+307,'Price History'!$A:$A))-'Price History'!Q3)*(ROW()-3)/(MATCH(9.99E+307,'Returns (Calc)'!$A:$A)-3),"")</f>
        <v>59.5924528301887</v>
      </c>
      <c r="AL81" s="111" t="n">
        <f aca="false">IFERROR('Price History'!R3+(INDEX('Price History'!R:R,MATCH(9.99E+307,'Price History'!$A:$A))-'Price History'!R3)*(ROW()-3)/(MATCH(9.99E+307,'Returns (Calc)'!$A:$A)-3),"")</f>
        <v>53.731320754717</v>
      </c>
      <c r="AM81" s="111" t="n">
        <f aca="false">IFERROR('Price History'!S3+(INDEX('Price History'!S:S,MATCH(9.99E+307,'Price History'!$A:$A))-'Price History'!S3)*(ROW()-3)/(MATCH(9.99E+307,'Returns (Calc)'!$A:$A)-3),"")</f>
        <v>103.269811320755</v>
      </c>
      <c r="AN81" s="111" t="n">
        <f aca="false">IFERROR('Price History'!T3+(INDEX('Price History'!T:T,MATCH(9.99E+307,'Price History'!$A:$A))-'Price History'!T3)*(ROW()-3)/(MATCH(9.99E+307,'Returns (Calc)'!$A:$A)-3),"")</f>
        <v>40.8322641509434</v>
      </c>
      <c r="AO81" s="112" t="n">
        <f aca="false">IFERROR('Price History'!V3+(INDEX('Price History'!V:V,MATCH(9.99E+307,'Price History'!$A:$A))-'Price History'!V3)*(ROW()-3)/(MATCH(9.99E+307,'Returns (Calc)'!$A:$A)-3),"")</f>
        <v>183.996603773585</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V82" s="110" t="n">
        <f aca="false">IFERROR(IF(OR(NOT(ISNUMBER('Price History'!V83)),NOT(ISNUMBER('Price History'!V82)),'Price History'!V82=0),"",'Price History'!V83/'Price History'!V82-1),"")</f>
        <v>-0.0149223864383523</v>
      </c>
      <c r="W82" s="111" t="n">
        <f aca="false">IFERROR('Price History'!B3+(INDEX('Price History'!B:B,MATCH(9.99E+307,'Price History'!$A:$A))-'Price History'!B3)*(ROW()-3)/(MATCH(9.99E+307,'Returns (Calc)'!$A:$A)-3),"")</f>
        <v>388.240817610063</v>
      </c>
      <c r="X82" s="111" t="n">
        <f aca="false">IFERROR('Price History'!C3+(INDEX('Price History'!C:C,MATCH(9.99E+307,'Price History'!$A:$A))-'Price History'!C3)*(ROW()-3)/(MATCH(9.99E+307,'Returns (Calc)'!$A:$A)-3),"")</f>
        <v>118.288176100629</v>
      </c>
      <c r="Y82" s="111" t="n">
        <f aca="false">IFERROR('Price History'!D3+(INDEX('Price History'!D:D,MATCH(9.99E+307,'Price History'!$A:$A))-'Price History'!D3)*(ROW()-3)/(MATCH(9.99E+307,'Returns (Calc)'!$A:$A)-3),"")</f>
        <v>1185.01836477987</v>
      </c>
      <c r="Z82" s="111" t="n">
        <f aca="false">IFERROR('Price History'!E3+(INDEX('Price History'!E:E,MATCH(9.99E+307,'Price History'!$A:$A))-'Price History'!E3)*(ROW()-3)/(MATCH(9.99E+307,'Returns (Calc)'!$A:$A)-3),"")</f>
        <v>219.575471698113</v>
      </c>
      <c r="AA82" s="111" t="n">
        <f aca="false">IFERROR('Price History'!F3+(INDEX('Price History'!F:F,MATCH(9.99E+307,'Price History'!$A:$A))-'Price History'!F3)*(ROW()-3)/(MATCH(9.99E+307,'Returns (Calc)'!$A:$A)-3),"")</f>
        <v>124.52641509434</v>
      </c>
      <c r="AB82" s="111" t="n">
        <f aca="false">IFERROR('Price History'!G3+(INDEX('Price History'!G:G,MATCH(9.99E+307,'Price History'!$A:$A))-'Price History'!G3)*(ROW()-3)/(MATCH(9.99E+307,'Returns (Calc)'!$A:$A)-3),"")</f>
        <v>116.316981132075</v>
      </c>
      <c r="AC82" s="111" t="n">
        <f aca="false">IFERROR('Price History'!H3+(INDEX('Price History'!H:H,MATCH(9.99E+307,'Price History'!$A:$A))-'Price History'!H3)*(ROW()-3)/(MATCH(9.99E+307,'Returns (Calc)'!$A:$A)-3),"")</f>
        <v>537.485597484277</v>
      </c>
      <c r="AD82" s="111" t="n">
        <f aca="false">IFERROR('Price History'!I3+(INDEX('Price History'!I:I,MATCH(9.99E+307,'Price History'!$A:$A))-'Price History'!I3)*(ROW()-3)/(MATCH(9.99E+307,'Returns (Calc)'!$A:$A)-3),"")</f>
        <v>135.009056603774</v>
      </c>
      <c r="AE82" s="111" t="n">
        <f aca="false">IFERROR('Price History'!J3+(INDEX('Price History'!J:J,MATCH(9.99E+307,'Price History'!$A:$A))-'Price History'!J3)*(ROW()-3)/(MATCH(9.99E+307,'Returns (Calc)'!$A:$A)-3),"")</f>
        <v>130.381509433962</v>
      </c>
      <c r="AF82" s="111" t="n">
        <f aca="false">IFERROR('Price History'!K3+(INDEX('Price History'!K:K,MATCH(9.99E+307,'Price History'!$A:$A))-'Price History'!K3)*(ROW()-3)/(MATCH(9.99E+307,'Returns (Calc)'!$A:$A)-3),"")</f>
        <v>94.3702515723271</v>
      </c>
      <c r="AG82" s="111" t="n">
        <f aca="false">IFERROR('Price History'!L3+(INDEX('Price History'!L:L,MATCH(9.99E+307,'Price History'!$A:$A))-'Price History'!L3)*(ROW()-3)/(MATCH(9.99E+307,'Returns (Calc)'!$A:$A)-3),"")</f>
        <v>259.390503144654</v>
      </c>
      <c r="AH82" s="111" t="n">
        <f aca="false">IFERROR('Price History'!M3+(INDEX('Price History'!M:M,MATCH(9.99E+307,'Price History'!$A:$A))-'Price History'!M3)*(ROW()-3)/(MATCH(9.99E+307,'Returns (Calc)'!$A:$A)-3),"")</f>
        <v>156.24320754717</v>
      </c>
      <c r="AI82" s="111" t="n">
        <f aca="false">IFERROR('Price History'!N3+(INDEX('Price History'!N:N,MATCH(9.99E+307,'Price History'!$A:$A))-'Price History'!N3)*(ROW()-3)/(MATCH(9.99E+307,'Returns (Calc)'!$A:$A)-3),"")</f>
        <v>447.372830188679</v>
      </c>
      <c r="AJ82" s="111" t="n">
        <f aca="false">IFERROR('Price History'!O3+(INDEX('Price History'!O:O,MATCH(9.99E+307,'Price History'!$A:$A))-'Price History'!O3)*(ROW()-3)/(MATCH(9.99E+307,'Returns (Calc)'!$A:$A)-3),"")</f>
        <v>104.751383647799</v>
      </c>
      <c r="AK82" s="111" t="n">
        <f aca="false">IFERROR('Price History'!Q3+(INDEX('Price History'!Q:Q,MATCH(9.99E+307,'Price History'!$A:$A))-'Price History'!Q3)*(ROW()-3)/(MATCH(9.99E+307,'Returns (Calc)'!$A:$A)-3),"")</f>
        <v>59.7174842767296</v>
      </c>
      <c r="AL82" s="111" t="n">
        <f aca="false">IFERROR('Price History'!R3+(INDEX('Price History'!R:R,MATCH(9.99E+307,'Price History'!$A:$A))-'Price History'!R3)*(ROW()-3)/(MATCH(9.99E+307,'Returns (Calc)'!$A:$A)-3),"")</f>
        <v>53.807106918239</v>
      </c>
      <c r="AM82" s="111" t="n">
        <f aca="false">IFERROR('Price History'!S3+(INDEX('Price History'!S:S,MATCH(9.99E+307,'Price History'!$A:$A))-'Price History'!S3)*(ROW()-3)/(MATCH(9.99E+307,'Returns (Calc)'!$A:$A)-3),"")</f>
        <v>103.843270440252</v>
      </c>
      <c r="AN82" s="111" t="n">
        <f aca="false">IFERROR('Price History'!T3+(INDEX('Price History'!T:T,MATCH(9.99E+307,'Price History'!$A:$A))-'Price History'!T3)*(ROW()-3)/(MATCH(9.99E+307,'Returns (Calc)'!$A:$A)-3),"")</f>
        <v>41.0107547169811</v>
      </c>
      <c r="AO82" s="112" t="n">
        <f aca="false">IFERROR('Price History'!V3+(INDEX('Price History'!V:V,MATCH(9.99E+307,'Price History'!$A:$A))-'Price History'!V3)*(ROW()-3)/(MATCH(9.99E+307,'Returns (Calc)'!$A:$A)-3),"")</f>
        <v>186.355534591195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V83" s="110" t="n">
        <f aca="false">IFERROR(IF(OR(NOT(ISNUMBER('Price History'!V84)),NOT(ISNUMBER('Price History'!V83)),'Price History'!V83=0),"",'Price History'!V84/'Price History'!V83-1),"")</f>
        <v>0.0406570126817378</v>
      </c>
      <c r="W83" s="111" t="n">
        <f aca="false">IFERROR('Price History'!B3+(INDEX('Price History'!B:B,MATCH(9.99E+307,'Price History'!$A:$A))-'Price History'!B3)*(ROW()-3)/(MATCH(9.99E+307,'Returns (Calc)'!$A:$A)-3),"")</f>
        <v>386.719182389937</v>
      </c>
      <c r="X83" s="111" t="n">
        <f aca="false">IFERROR('Price History'!C3+(INDEX('Price History'!C:C,MATCH(9.99E+307,'Price History'!$A:$A))-'Price History'!C3)*(ROW()-3)/(MATCH(9.99E+307,'Returns (Calc)'!$A:$A)-3),"")</f>
        <v>119.231823899371</v>
      </c>
      <c r="Y83" s="111" t="n">
        <f aca="false">IFERROR('Price History'!D3+(INDEX('Price History'!D:D,MATCH(9.99E+307,'Price History'!$A:$A))-'Price History'!D3)*(ROW()-3)/(MATCH(9.99E+307,'Returns (Calc)'!$A:$A)-3),"")</f>
        <v>1191.64163522013</v>
      </c>
      <c r="Z83" s="111" t="n">
        <f aca="false">IFERROR('Price History'!E3+(INDEX('Price History'!E:E,MATCH(9.99E+307,'Price History'!$A:$A))-'Price History'!E3)*(ROW()-3)/(MATCH(9.99E+307,'Returns (Calc)'!$A:$A)-3),"")</f>
        <v>221.304528301887</v>
      </c>
      <c r="AA83" s="111" t="n">
        <f aca="false">IFERROR('Price History'!F3+(INDEX('Price History'!F:F,MATCH(9.99E+307,'Price History'!$A:$A))-'Price History'!F3)*(ROW()-3)/(MATCH(9.99E+307,'Returns (Calc)'!$A:$A)-3),"")</f>
        <v>125.63358490566</v>
      </c>
      <c r="AB83" s="111" t="n">
        <f aca="false">IFERROR('Price History'!G3+(INDEX('Price History'!G:G,MATCH(9.99E+307,'Price History'!$A:$A))-'Price History'!G3)*(ROW()-3)/(MATCH(9.99E+307,'Returns (Calc)'!$A:$A)-3),"")</f>
        <v>117.183018867925</v>
      </c>
      <c r="AC83" s="111" t="n">
        <f aca="false">IFERROR('Price History'!H3+(INDEX('Price History'!H:H,MATCH(9.99E+307,'Price History'!$A:$A))-'Price History'!H3)*(ROW()-3)/(MATCH(9.99E+307,'Returns (Calc)'!$A:$A)-3),"")</f>
        <v>543.474402515723</v>
      </c>
      <c r="AD83" s="111" t="n">
        <f aca="false">IFERROR('Price History'!I3+(INDEX('Price History'!I:I,MATCH(9.99E+307,'Price History'!$A:$A))-'Price History'!I3)*(ROW()-3)/(MATCH(9.99E+307,'Returns (Calc)'!$A:$A)-3),"")</f>
        <v>136.200943396226</v>
      </c>
      <c r="AE83" s="111" t="n">
        <f aca="false">IFERROR('Price History'!J3+(INDEX('Price History'!J:J,MATCH(9.99E+307,'Price History'!$A:$A))-'Price History'!J3)*(ROW()-3)/(MATCH(9.99E+307,'Returns (Calc)'!$A:$A)-3),"")</f>
        <v>130.468490566038</v>
      </c>
      <c r="AF83" s="111" t="n">
        <f aca="false">IFERROR('Price History'!K3+(INDEX('Price History'!K:K,MATCH(9.99E+307,'Price History'!$A:$A))-'Price History'!K3)*(ROW()-3)/(MATCH(9.99E+307,'Returns (Calc)'!$A:$A)-3),"")</f>
        <v>95.369748427673</v>
      </c>
      <c r="AG83" s="111" t="n">
        <f aca="false">IFERROR('Price History'!L3+(INDEX('Price History'!L:L,MATCH(9.99E+307,'Price History'!$A:$A))-'Price History'!L3)*(ROW()-3)/(MATCH(9.99E+307,'Returns (Calc)'!$A:$A)-3),"")</f>
        <v>261.509496855346</v>
      </c>
      <c r="AH83" s="111" t="n">
        <f aca="false">IFERROR('Price History'!M3+(INDEX('Price History'!M:M,MATCH(9.99E+307,'Price History'!$A:$A))-'Price History'!M3)*(ROW()-3)/(MATCH(9.99E+307,'Returns (Calc)'!$A:$A)-3),"")</f>
        <v>157.79679245283</v>
      </c>
      <c r="AI83" s="111" t="n">
        <f aca="false">IFERROR('Price History'!N3+(INDEX('Price History'!N:N,MATCH(9.99E+307,'Price History'!$A:$A))-'Price History'!N3)*(ROW()-3)/(MATCH(9.99E+307,'Returns (Calc)'!$A:$A)-3),"")</f>
        <v>448.607169811321</v>
      </c>
      <c r="AJ83" s="111" t="n">
        <f aca="false">IFERROR('Price History'!O3+(INDEX('Price History'!O:O,MATCH(9.99E+307,'Price History'!$A:$A))-'Price History'!O3)*(ROW()-3)/(MATCH(9.99E+307,'Returns (Calc)'!$A:$A)-3),"")</f>
        <v>105.028616352201</v>
      </c>
      <c r="AK83" s="111" t="n">
        <f aca="false">IFERROR('Price History'!Q3+(INDEX('Price History'!Q:Q,MATCH(9.99E+307,'Price History'!$A:$A))-'Price History'!Q3)*(ROW()-3)/(MATCH(9.99E+307,'Returns (Calc)'!$A:$A)-3),"")</f>
        <v>59.8425157232704</v>
      </c>
      <c r="AL83" s="111" t="n">
        <f aca="false">IFERROR('Price History'!R3+(INDEX('Price History'!R:R,MATCH(9.99E+307,'Price History'!$A:$A))-'Price History'!R3)*(ROW()-3)/(MATCH(9.99E+307,'Returns (Calc)'!$A:$A)-3),"")</f>
        <v>53.882893081761</v>
      </c>
      <c r="AM83" s="111" t="n">
        <f aca="false">IFERROR('Price History'!S3+(INDEX('Price History'!S:S,MATCH(9.99E+307,'Price History'!$A:$A))-'Price History'!S3)*(ROW()-3)/(MATCH(9.99E+307,'Returns (Calc)'!$A:$A)-3),"")</f>
        <v>104.416729559748</v>
      </c>
      <c r="AN83" s="111" t="n">
        <f aca="false">IFERROR('Price History'!T3+(INDEX('Price History'!T:T,MATCH(9.99E+307,'Price History'!$A:$A))-'Price History'!T3)*(ROW()-3)/(MATCH(9.99E+307,'Returns (Calc)'!$A:$A)-3),"")</f>
        <v>41.1892452830189</v>
      </c>
      <c r="AO83" s="112" t="n">
        <f aca="false">IFERROR('Price History'!V3+(INDEX('Price History'!V:V,MATCH(9.99E+307,'Price History'!$A:$A))-'Price History'!V3)*(ROW()-3)/(MATCH(9.99E+307,'Returns (Calc)'!$A:$A)-3),"")</f>
        <v>188.714465408805</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V84" s="110" t="n">
        <f aca="false">IFERROR(IF(OR(NOT(ISNUMBER('Price History'!V85)),NOT(ISNUMBER('Price History'!V84)),'Price History'!V84=0),"",'Price History'!V85/'Price History'!V84-1),"")</f>
        <v>-0.047936419408812</v>
      </c>
      <c r="W84" s="111" t="n">
        <f aca="false">IFERROR('Price History'!B3+(INDEX('Price History'!B:B,MATCH(9.99E+307,'Price History'!$A:$A))-'Price History'!B3)*(ROW()-3)/(MATCH(9.99E+307,'Returns (Calc)'!$A:$A)-3),"")</f>
        <v>385.197547169811</v>
      </c>
      <c r="X84" s="111" t="n">
        <f aca="false">IFERROR('Price History'!C3+(INDEX('Price History'!C:C,MATCH(9.99E+307,'Price History'!$A:$A))-'Price History'!C3)*(ROW()-3)/(MATCH(9.99E+307,'Returns (Calc)'!$A:$A)-3),"")</f>
        <v>120.175471698113</v>
      </c>
      <c r="Y84" s="111" t="n">
        <f aca="false">IFERROR('Price History'!D3+(INDEX('Price History'!D:D,MATCH(9.99E+307,'Price History'!$A:$A))-'Price History'!D3)*(ROW()-3)/(MATCH(9.99E+307,'Returns (Calc)'!$A:$A)-3),"")</f>
        <v>1198.26490566038</v>
      </c>
      <c r="Z84" s="111" t="n">
        <f aca="false">IFERROR('Price History'!E3+(INDEX('Price History'!E:E,MATCH(9.99E+307,'Price History'!$A:$A))-'Price History'!E3)*(ROW()-3)/(MATCH(9.99E+307,'Returns (Calc)'!$A:$A)-3),"")</f>
        <v>223.03358490566</v>
      </c>
      <c r="AA84" s="111" t="n">
        <f aca="false">IFERROR('Price History'!F3+(INDEX('Price History'!F:F,MATCH(9.99E+307,'Price History'!$A:$A))-'Price History'!F3)*(ROW()-3)/(MATCH(9.99E+307,'Returns (Calc)'!$A:$A)-3),"")</f>
        <v>126.740754716981</v>
      </c>
      <c r="AB84" s="111" t="n">
        <f aca="false">IFERROR('Price History'!G3+(INDEX('Price History'!G:G,MATCH(9.99E+307,'Price History'!$A:$A))-'Price History'!G3)*(ROW()-3)/(MATCH(9.99E+307,'Returns (Calc)'!$A:$A)-3),"")</f>
        <v>118.049056603774</v>
      </c>
      <c r="AC84" s="111" t="n">
        <f aca="false">IFERROR('Price History'!H3+(INDEX('Price History'!H:H,MATCH(9.99E+307,'Price History'!$A:$A))-'Price History'!H3)*(ROW()-3)/(MATCH(9.99E+307,'Returns (Calc)'!$A:$A)-3),"")</f>
        <v>549.46320754717</v>
      </c>
      <c r="AD84" s="111" t="n">
        <f aca="false">IFERROR('Price History'!I3+(INDEX('Price History'!I:I,MATCH(9.99E+307,'Price History'!$A:$A))-'Price History'!I3)*(ROW()-3)/(MATCH(9.99E+307,'Returns (Calc)'!$A:$A)-3),"")</f>
        <v>137.392830188679</v>
      </c>
      <c r="AE84" s="111" t="n">
        <f aca="false">IFERROR('Price History'!J3+(INDEX('Price History'!J:J,MATCH(9.99E+307,'Price History'!$A:$A))-'Price History'!J3)*(ROW()-3)/(MATCH(9.99E+307,'Returns (Calc)'!$A:$A)-3),"")</f>
        <v>130.555471698113</v>
      </c>
      <c r="AF84" s="111" t="n">
        <f aca="false">IFERROR('Price History'!K3+(INDEX('Price History'!K:K,MATCH(9.99E+307,'Price History'!$A:$A))-'Price History'!K3)*(ROW()-3)/(MATCH(9.99E+307,'Returns (Calc)'!$A:$A)-3),"")</f>
        <v>96.3692452830189</v>
      </c>
      <c r="AG84" s="111" t="n">
        <f aca="false">IFERROR('Price History'!L3+(INDEX('Price History'!L:L,MATCH(9.99E+307,'Price History'!$A:$A))-'Price History'!L3)*(ROW()-3)/(MATCH(9.99E+307,'Returns (Calc)'!$A:$A)-3),"")</f>
        <v>263.628490566038</v>
      </c>
      <c r="AH84" s="111" t="n">
        <f aca="false">IFERROR('Price History'!M3+(INDEX('Price History'!M:M,MATCH(9.99E+307,'Price History'!$A:$A))-'Price History'!M3)*(ROW()-3)/(MATCH(9.99E+307,'Returns (Calc)'!$A:$A)-3),"")</f>
        <v>159.350377358491</v>
      </c>
      <c r="AI84" s="111" t="n">
        <f aca="false">IFERROR('Price History'!N3+(INDEX('Price History'!N:N,MATCH(9.99E+307,'Price History'!$A:$A))-'Price History'!N3)*(ROW()-3)/(MATCH(9.99E+307,'Returns (Calc)'!$A:$A)-3),"")</f>
        <v>449.841509433962</v>
      </c>
      <c r="AJ84" s="111" t="n">
        <f aca="false">IFERROR('Price History'!O3+(INDEX('Price History'!O:O,MATCH(9.99E+307,'Price History'!$A:$A))-'Price History'!O3)*(ROW()-3)/(MATCH(9.99E+307,'Returns (Calc)'!$A:$A)-3),"")</f>
        <v>105.305849056604</v>
      </c>
      <c r="AK84" s="111" t="n">
        <f aca="false">IFERROR('Price History'!Q3+(INDEX('Price History'!Q:Q,MATCH(9.99E+307,'Price History'!$A:$A))-'Price History'!Q3)*(ROW()-3)/(MATCH(9.99E+307,'Returns (Calc)'!$A:$A)-3),"")</f>
        <v>59.9675471698113</v>
      </c>
      <c r="AL84" s="111" t="n">
        <f aca="false">IFERROR('Price History'!R3+(INDEX('Price History'!R:R,MATCH(9.99E+307,'Price History'!$A:$A))-'Price History'!R3)*(ROW()-3)/(MATCH(9.99E+307,'Returns (Calc)'!$A:$A)-3),"")</f>
        <v>53.958679245283</v>
      </c>
      <c r="AM84" s="111" t="n">
        <f aca="false">IFERROR('Price History'!S3+(INDEX('Price History'!S:S,MATCH(9.99E+307,'Price History'!$A:$A))-'Price History'!S3)*(ROW()-3)/(MATCH(9.99E+307,'Returns (Calc)'!$A:$A)-3),"")</f>
        <v>104.990188679245</v>
      </c>
      <c r="AN84" s="111" t="n">
        <f aca="false">IFERROR('Price History'!T3+(INDEX('Price History'!T:T,MATCH(9.99E+307,'Price History'!$A:$A))-'Price History'!T3)*(ROW()-3)/(MATCH(9.99E+307,'Returns (Calc)'!$A:$A)-3),"")</f>
        <v>41.3677358490566</v>
      </c>
      <c r="AO84" s="112" t="n">
        <f aca="false">IFERROR('Price History'!V3+(INDEX('Price History'!V:V,MATCH(9.99E+307,'Price History'!$A:$A))-'Price History'!V3)*(ROW()-3)/(MATCH(9.99E+307,'Returns (Calc)'!$A:$A)-3),"")</f>
        <v>191.073396226415</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V85" s="110" t="n">
        <f aca="false">IFERROR(IF(OR(NOT(ISNUMBER('Price History'!V86)),NOT(ISNUMBER('Price History'!V85)),'Price History'!V85=0),"",'Price History'!V86/'Price History'!V85-1),"")</f>
        <v>-0.039161125918983</v>
      </c>
      <c r="W85" s="111" t="n">
        <f aca="false">IFERROR('Price History'!B3+(INDEX('Price History'!B:B,MATCH(9.99E+307,'Price History'!$A:$A))-'Price History'!B3)*(ROW()-3)/(MATCH(9.99E+307,'Returns (Calc)'!$A:$A)-3),"")</f>
        <v>383.675911949686</v>
      </c>
      <c r="X85" s="111" t="n">
        <f aca="false">IFERROR('Price History'!C3+(INDEX('Price History'!C:C,MATCH(9.99E+307,'Price History'!$A:$A))-'Price History'!C3)*(ROW()-3)/(MATCH(9.99E+307,'Returns (Calc)'!$A:$A)-3),"")</f>
        <v>121.119119496855</v>
      </c>
      <c r="Y85" s="111" t="n">
        <f aca="false">IFERROR('Price History'!D3+(INDEX('Price History'!D:D,MATCH(9.99E+307,'Price History'!$A:$A))-'Price History'!D3)*(ROW()-3)/(MATCH(9.99E+307,'Returns (Calc)'!$A:$A)-3),"")</f>
        <v>1204.88817610063</v>
      </c>
      <c r="Z85" s="111" t="n">
        <f aca="false">IFERROR('Price History'!E3+(INDEX('Price History'!E:E,MATCH(9.99E+307,'Price History'!$A:$A))-'Price History'!E3)*(ROW()-3)/(MATCH(9.99E+307,'Returns (Calc)'!$A:$A)-3),"")</f>
        <v>224.762641509434</v>
      </c>
      <c r="AA85" s="111" t="n">
        <f aca="false">IFERROR('Price History'!F3+(INDEX('Price History'!F:F,MATCH(9.99E+307,'Price History'!$A:$A))-'Price History'!F3)*(ROW()-3)/(MATCH(9.99E+307,'Returns (Calc)'!$A:$A)-3),"")</f>
        <v>127.847924528302</v>
      </c>
      <c r="AB85" s="111" t="n">
        <f aca="false">IFERROR('Price History'!G3+(INDEX('Price History'!G:G,MATCH(9.99E+307,'Price History'!$A:$A))-'Price History'!G3)*(ROW()-3)/(MATCH(9.99E+307,'Returns (Calc)'!$A:$A)-3),"")</f>
        <v>118.915094339623</v>
      </c>
      <c r="AC85" s="111" t="n">
        <f aca="false">IFERROR('Price History'!H3+(INDEX('Price History'!H:H,MATCH(9.99E+307,'Price History'!$A:$A))-'Price History'!H3)*(ROW()-3)/(MATCH(9.99E+307,'Returns (Calc)'!$A:$A)-3),"")</f>
        <v>555.452012578616</v>
      </c>
      <c r="AD85" s="111" t="n">
        <f aca="false">IFERROR('Price History'!I3+(INDEX('Price History'!I:I,MATCH(9.99E+307,'Price History'!$A:$A))-'Price History'!I3)*(ROW()-3)/(MATCH(9.99E+307,'Returns (Calc)'!$A:$A)-3),"")</f>
        <v>138.584716981132</v>
      </c>
      <c r="AE85" s="111" t="n">
        <f aca="false">IFERROR('Price History'!J3+(INDEX('Price History'!J:J,MATCH(9.99E+307,'Price History'!$A:$A))-'Price History'!J3)*(ROW()-3)/(MATCH(9.99E+307,'Returns (Calc)'!$A:$A)-3),"")</f>
        <v>130.642452830189</v>
      </c>
      <c r="AF85" s="111" t="n">
        <f aca="false">IFERROR('Price History'!K3+(INDEX('Price History'!K:K,MATCH(9.99E+307,'Price History'!$A:$A))-'Price History'!K3)*(ROW()-3)/(MATCH(9.99E+307,'Returns (Calc)'!$A:$A)-3),"")</f>
        <v>97.3687421383648</v>
      </c>
      <c r="AG85" s="111" t="n">
        <f aca="false">IFERROR('Price History'!L3+(INDEX('Price History'!L:L,MATCH(9.99E+307,'Price History'!$A:$A))-'Price History'!L3)*(ROW()-3)/(MATCH(9.99E+307,'Returns (Calc)'!$A:$A)-3),"")</f>
        <v>265.74748427673</v>
      </c>
      <c r="AH85" s="111" t="n">
        <f aca="false">IFERROR('Price History'!M3+(INDEX('Price History'!M:M,MATCH(9.99E+307,'Price History'!$A:$A))-'Price History'!M3)*(ROW()-3)/(MATCH(9.99E+307,'Returns (Calc)'!$A:$A)-3),"")</f>
        <v>160.903962264151</v>
      </c>
      <c r="AI85" s="111" t="n">
        <f aca="false">IFERROR('Price History'!N3+(INDEX('Price History'!N:N,MATCH(9.99E+307,'Price History'!$A:$A))-'Price History'!N3)*(ROW()-3)/(MATCH(9.99E+307,'Returns (Calc)'!$A:$A)-3),"")</f>
        <v>451.075849056604</v>
      </c>
      <c r="AJ85" s="111" t="n">
        <f aca="false">IFERROR('Price History'!O3+(INDEX('Price History'!O:O,MATCH(9.99E+307,'Price History'!$A:$A))-'Price History'!O3)*(ROW()-3)/(MATCH(9.99E+307,'Returns (Calc)'!$A:$A)-3),"")</f>
        <v>105.583081761006</v>
      </c>
      <c r="AK85" s="111" t="n">
        <f aca="false">IFERROR('Price History'!Q3+(INDEX('Price History'!Q:Q,MATCH(9.99E+307,'Price History'!$A:$A))-'Price History'!Q3)*(ROW()-3)/(MATCH(9.99E+307,'Returns (Calc)'!$A:$A)-3),"")</f>
        <v>60.0925786163522</v>
      </c>
      <c r="AL85" s="111" t="n">
        <f aca="false">IFERROR('Price History'!R3+(INDEX('Price History'!R:R,MATCH(9.99E+307,'Price History'!$A:$A))-'Price History'!R3)*(ROW()-3)/(MATCH(9.99E+307,'Returns (Calc)'!$A:$A)-3),"")</f>
        <v>54.034465408805</v>
      </c>
      <c r="AM85" s="111" t="n">
        <f aca="false">IFERROR('Price History'!S3+(INDEX('Price History'!S:S,MATCH(9.99E+307,'Price History'!$A:$A))-'Price History'!S3)*(ROW()-3)/(MATCH(9.99E+307,'Returns (Calc)'!$A:$A)-3),"")</f>
        <v>105.563647798742</v>
      </c>
      <c r="AN85" s="111" t="n">
        <f aca="false">IFERROR('Price History'!T3+(INDEX('Price History'!T:T,MATCH(9.99E+307,'Price History'!$A:$A))-'Price History'!T3)*(ROW()-3)/(MATCH(9.99E+307,'Returns (Calc)'!$A:$A)-3),"")</f>
        <v>41.5462264150943</v>
      </c>
      <c r="AO85" s="112" t="n">
        <f aca="false">IFERROR('Price History'!V3+(INDEX('Price History'!V:V,MATCH(9.99E+307,'Price History'!$A:$A))-'Price History'!V3)*(ROW()-3)/(MATCH(9.99E+307,'Returns (Calc)'!$A:$A)-3),"")</f>
        <v>193.432327044025</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V86" s="110" t="n">
        <f aca="false">IFERROR(IF(OR(NOT(ISNUMBER('Price History'!V87)),NOT(ISNUMBER('Price History'!V86)),'Price History'!V86=0),"",'Price History'!V87/'Price History'!V86-1),"")</f>
        <v>0.0116449213510548</v>
      </c>
      <c r="W86" s="111" t="n">
        <f aca="false">IFERROR('Price History'!B3+(INDEX('Price History'!B:B,MATCH(9.99E+307,'Price History'!$A:$A))-'Price History'!B3)*(ROW()-3)/(MATCH(9.99E+307,'Returns (Calc)'!$A:$A)-3),"")</f>
        <v>382.15427672956</v>
      </c>
      <c r="X86" s="111" t="n">
        <f aca="false">IFERROR('Price History'!C3+(INDEX('Price History'!C:C,MATCH(9.99E+307,'Price History'!$A:$A))-'Price History'!C3)*(ROW()-3)/(MATCH(9.99E+307,'Returns (Calc)'!$A:$A)-3),"")</f>
        <v>122.062767295598</v>
      </c>
      <c r="Y86" s="111" t="n">
        <f aca="false">IFERROR('Price History'!D3+(INDEX('Price History'!D:D,MATCH(9.99E+307,'Price History'!$A:$A))-'Price History'!D3)*(ROW()-3)/(MATCH(9.99E+307,'Returns (Calc)'!$A:$A)-3),"")</f>
        <v>1211.51144654088</v>
      </c>
      <c r="Z86" s="111" t="n">
        <f aca="false">IFERROR('Price History'!E3+(INDEX('Price History'!E:E,MATCH(9.99E+307,'Price History'!$A:$A))-'Price History'!E3)*(ROW()-3)/(MATCH(9.99E+307,'Returns (Calc)'!$A:$A)-3),"")</f>
        <v>226.491698113208</v>
      </c>
      <c r="AA86" s="111" t="n">
        <f aca="false">IFERROR('Price History'!F3+(INDEX('Price History'!F:F,MATCH(9.99E+307,'Price History'!$A:$A))-'Price History'!F3)*(ROW()-3)/(MATCH(9.99E+307,'Returns (Calc)'!$A:$A)-3),"")</f>
        <v>128.955094339623</v>
      </c>
      <c r="AB86" s="111" t="n">
        <f aca="false">IFERROR('Price History'!G3+(INDEX('Price History'!G:G,MATCH(9.99E+307,'Price History'!$A:$A))-'Price History'!G3)*(ROW()-3)/(MATCH(9.99E+307,'Returns (Calc)'!$A:$A)-3),"")</f>
        <v>119.781132075472</v>
      </c>
      <c r="AC86" s="111" t="n">
        <f aca="false">IFERROR('Price History'!H3+(INDEX('Price History'!H:H,MATCH(9.99E+307,'Price History'!$A:$A))-'Price History'!H3)*(ROW()-3)/(MATCH(9.99E+307,'Returns (Calc)'!$A:$A)-3),"")</f>
        <v>561.440817610063</v>
      </c>
      <c r="AD86" s="111" t="n">
        <f aca="false">IFERROR('Price History'!I3+(INDEX('Price History'!I:I,MATCH(9.99E+307,'Price History'!$A:$A))-'Price History'!I3)*(ROW()-3)/(MATCH(9.99E+307,'Returns (Calc)'!$A:$A)-3),"")</f>
        <v>139.776603773585</v>
      </c>
      <c r="AE86" s="111" t="n">
        <f aca="false">IFERROR('Price History'!J3+(INDEX('Price History'!J:J,MATCH(9.99E+307,'Price History'!$A:$A))-'Price History'!J3)*(ROW()-3)/(MATCH(9.99E+307,'Returns (Calc)'!$A:$A)-3),"")</f>
        <v>130.729433962264</v>
      </c>
      <c r="AF86" s="111" t="n">
        <f aca="false">IFERROR('Price History'!K3+(INDEX('Price History'!K:K,MATCH(9.99E+307,'Price History'!$A:$A))-'Price History'!K3)*(ROW()-3)/(MATCH(9.99E+307,'Returns (Calc)'!$A:$A)-3),"")</f>
        <v>98.3682389937107</v>
      </c>
      <c r="AG86" s="111" t="n">
        <f aca="false">IFERROR('Price History'!L3+(INDEX('Price History'!L:L,MATCH(9.99E+307,'Price History'!$A:$A))-'Price History'!L3)*(ROW()-3)/(MATCH(9.99E+307,'Returns (Calc)'!$A:$A)-3),"")</f>
        <v>267.866477987421</v>
      </c>
      <c r="AH86" s="111" t="n">
        <f aca="false">IFERROR('Price History'!M3+(INDEX('Price History'!M:M,MATCH(9.99E+307,'Price History'!$A:$A))-'Price History'!M3)*(ROW()-3)/(MATCH(9.99E+307,'Returns (Calc)'!$A:$A)-3),"")</f>
        <v>162.457547169811</v>
      </c>
      <c r="AI86" s="111" t="n">
        <f aca="false">IFERROR('Price History'!N3+(INDEX('Price History'!N:N,MATCH(9.99E+307,'Price History'!$A:$A))-'Price History'!N3)*(ROW()-3)/(MATCH(9.99E+307,'Returns (Calc)'!$A:$A)-3),"")</f>
        <v>452.310188679245</v>
      </c>
      <c r="AJ86" s="111" t="n">
        <f aca="false">IFERROR('Price History'!O3+(INDEX('Price History'!O:O,MATCH(9.99E+307,'Price History'!$A:$A))-'Price History'!O3)*(ROW()-3)/(MATCH(9.99E+307,'Returns (Calc)'!$A:$A)-3),"")</f>
        <v>105.860314465409</v>
      </c>
      <c r="AK86" s="111" t="n">
        <f aca="false">IFERROR('Price History'!Q3+(INDEX('Price History'!Q:Q,MATCH(9.99E+307,'Price History'!$A:$A))-'Price History'!Q3)*(ROW()-3)/(MATCH(9.99E+307,'Returns (Calc)'!$A:$A)-3),"")</f>
        <v>60.2176100628931</v>
      </c>
      <c r="AL86" s="111" t="n">
        <f aca="false">IFERROR('Price History'!R3+(INDEX('Price History'!R:R,MATCH(9.99E+307,'Price History'!$A:$A))-'Price History'!R3)*(ROW()-3)/(MATCH(9.99E+307,'Returns (Calc)'!$A:$A)-3),"")</f>
        <v>54.110251572327</v>
      </c>
      <c r="AM86" s="111" t="n">
        <f aca="false">IFERROR('Price History'!S3+(INDEX('Price History'!S:S,MATCH(9.99E+307,'Price History'!$A:$A))-'Price History'!S3)*(ROW()-3)/(MATCH(9.99E+307,'Returns (Calc)'!$A:$A)-3),"")</f>
        <v>106.137106918239</v>
      </c>
      <c r="AN86" s="111" t="n">
        <f aca="false">IFERROR('Price History'!T3+(INDEX('Price History'!T:T,MATCH(9.99E+307,'Price History'!$A:$A))-'Price History'!T3)*(ROW()-3)/(MATCH(9.99E+307,'Returns (Calc)'!$A:$A)-3),"")</f>
        <v>41.7247169811321</v>
      </c>
      <c r="AO86" s="112" t="n">
        <f aca="false">IFERROR('Price History'!V3+(INDEX('Price History'!V:V,MATCH(9.99E+307,'Price History'!$A:$A))-'Price History'!V3)*(ROW()-3)/(MATCH(9.99E+307,'Returns (Calc)'!$A:$A)-3),"")</f>
        <v>195.791257861635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V87" s="110" t="n">
        <f aca="false">IFERROR(IF(OR(NOT(ISNUMBER('Price History'!V88)),NOT(ISNUMBER('Price History'!V87)),'Price History'!V87=0),"",'Price History'!V88/'Price History'!V87-1),"")</f>
        <v>0.0214246971614536</v>
      </c>
      <c r="W87" s="111" t="n">
        <f aca="false">IFERROR('Price History'!B3+(INDEX('Price History'!B:B,MATCH(9.99E+307,'Price History'!$A:$A))-'Price History'!B3)*(ROW()-3)/(MATCH(9.99E+307,'Returns (Calc)'!$A:$A)-3),"")</f>
        <v>380.632641509434</v>
      </c>
      <c r="X87" s="111" t="n">
        <f aca="false">IFERROR('Price History'!C3+(INDEX('Price History'!C:C,MATCH(9.99E+307,'Price History'!$A:$A))-'Price History'!C3)*(ROW()-3)/(MATCH(9.99E+307,'Returns (Calc)'!$A:$A)-3),"")</f>
        <v>123.00641509434</v>
      </c>
      <c r="Y87" s="111" t="n">
        <f aca="false">IFERROR('Price History'!D3+(INDEX('Price History'!D:D,MATCH(9.99E+307,'Price History'!$A:$A))-'Price History'!D3)*(ROW()-3)/(MATCH(9.99E+307,'Returns (Calc)'!$A:$A)-3),"")</f>
        <v>1218.13471698113</v>
      </c>
      <c r="Z87" s="111" t="n">
        <f aca="false">IFERROR('Price History'!E3+(INDEX('Price History'!E:E,MATCH(9.99E+307,'Price History'!$A:$A))-'Price History'!E3)*(ROW()-3)/(MATCH(9.99E+307,'Returns (Calc)'!$A:$A)-3),"")</f>
        <v>228.220754716981</v>
      </c>
      <c r="AA87" s="111" t="n">
        <f aca="false">IFERROR('Price History'!F3+(INDEX('Price History'!F:F,MATCH(9.99E+307,'Price History'!$A:$A))-'Price History'!F3)*(ROW()-3)/(MATCH(9.99E+307,'Returns (Calc)'!$A:$A)-3),"")</f>
        <v>130.062264150943</v>
      </c>
      <c r="AB87" s="111" t="n">
        <f aca="false">IFERROR('Price History'!G3+(INDEX('Price History'!G:G,MATCH(9.99E+307,'Price History'!$A:$A))-'Price History'!G3)*(ROW()-3)/(MATCH(9.99E+307,'Returns (Calc)'!$A:$A)-3),"")</f>
        <v>120.647169811321</v>
      </c>
      <c r="AC87" s="111" t="n">
        <f aca="false">IFERROR('Price History'!H3+(INDEX('Price History'!H:H,MATCH(9.99E+307,'Price History'!$A:$A))-'Price History'!H3)*(ROW()-3)/(MATCH(9.99E+307,'Returns (Calc)'!$A:$A)-3),"")</f>
        <v>567.42962264151</v>
      </c>
      <c r="AD87" s="111" t="n">
        <f aca="false">IFERROR('Price History'!I3+(INDEX('Price History'!I:I,MATCH(9.99E+307,'Price History'!$A:$A))-'Price History'!I3)*(ROW()-3)/(MATCH(9.99E+307,'Returns (Calc)'!$A:$A)-3),"")</f>
        <v>140.968490566038</v>
      </c>
      <c r="AE87" s="111" t="n">
        <f aca="false">IFERROR('Price History'!J3+(INDEX('Price History'!J:J,MATCH(9.99E+307,'Price History'!$A:$A))-'Price History'!J3)*(ROW()-3)/(MATCH(9.99E+307,'Returns (Calc)'!$A:$A)-3),"")</f>
        <v>130.81641509434</v>
      </c>
      <c r="AF87" s="111" t="n">
        <f aca="false">IFERROR('Price History'!K3+(INDEX('Price History'!K:K,MATCH(9.99E+307,'Price History'!$A:$A))-'Price History'!K3)*(ROW()-3)/(MATCH(9.99E+307,'Returns (Calc)'!$A:$A)-3),"")</f>
        <v>99.3677358490566</v>
      </c>
      <c r="AG87" s="111" t="n">
        <f aca="false">IFERROR('Price History'!L3+(INDEX('Price History'!L:L,MATCH(9.99E+307,'Price History'!$A:$A))-'Price History'!L3)*(ROW()-3)/(MATCH(9.99E+307,'Returns (Calc)'!$A:$A)-3),"")</f>
        <v>269.985471698113</v>
      </c>
      <c r="AH87" s="111" t="n">
        <f aca="false">IFERROR('Price History'!M3+(INDEX('Price History'!M:M,MATCH(9.99E+307,'Price History'!$A:$A))-'Price History'!M3)*(ROW()-3)/(MATCH(9.99E+307,'Returns (Calc)'!$A:$A)-3),"")</f>
        <v>164.011132075472</v>
      </c>
      <c r="AI87" s="111" t="n">
        <f aca="false">IFERROR('Price History'!N3+(INDEX('Price History'!N:N,MATCH(9.99E+307,'Price History'!$A:$A))-'Price History'!N3)*(ROW()-3)/(MATCH(9.99E+307,'Returns (Calc)'!$A:$A)-3),"")</f>
        <v>453.544528301887</v>
      </c>
      <c r="AJ87" s="111" t="n">
        <f aca="false">IFERROR('Price History'!O3+(INDEX('Price History'!O:O,MATCH(9.99E+307,'Price History'!$A:$A))-'Price History'!O3)*(ROW()-3)/(MATCH(9.99E+307,'Returns (Calc)'!$A:$A)-3),"")</f>
        <v>106.137547169811</v>
      </c>
      <c r="AK87" s="111" t="n">
        <f aca="false">IFERROR('Price History'!Q3+(INDEX('Price History'!Q:Q,MATCH(9.99E+307,'Price History'!$A:$A))-'Price History'!Q3)*(ROW()-3)/(MATCH(9.99E+307,'Returns (Calc)'!$A:$A)-3),"")</f>
        <v>60.342641509434</v>
      </c>
      <c r="AL87" s="111" t="n">
        <f aca="false">IFERROR('Price History'!R3+(INDEX('Price History'!R:R,MATCH(9.99E+307,'Price History'!$A:$A))-'Price History'!R3)*(ROW()-3)/(MATCH(9.99E+307,'Returns (Calc)'!$A:$A)-3),"")</f>
        <v>54.1860377358491</v>
      </c>
      <c r="AM87" s="111" t="n">
        <f aca="false">IFERROR('Price History'!S3+(INDEX('Price History'!S:S,MATCH(9.99E+307,'Price History'!$A:$A))-'Price History'!S3)*(ROW()-3)/(MATCH(9.99E+307,'Returns (Calc)'!$A:$A)-3),"")</f>
        <v>106.710566037736</v>
      </c>
      <c r="AN87" s="111" t="n">
        <f aca="false">IFERROR('Price History'!T3+(INDEX('Price History'!T:T,MATCH(9.99E+307,'Price History'!$A:$A))-'Price History'!T3)*(ROW()-3)/(MATCH(9.99E+307,'Returns (Calc)'!$A:$A)-3),"")</f>
        <v>41.9032075471698</v>
      </c>
      <c r="AO87" s="112" t="n">
        <f aca="false">IFERROR('Price History'!V3+(INDEX('Price History'!V:V,MATCH(9.99E+307,'Price History'!$A:$A))-'Price History'!V3)*(ROW()-3)/(MATCH(9.99E+307,'Returns (Calc)'!$A:$A)-3),"")</f>
        <v>198.150188679245</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V88" s="110" t="n">
        <f aca="false">IFERROR(IF(OR(NOT(ISNUMBER('Price History'!V89)),NOT(ISNUMBER('Price History'!V88)),'Price History'!V88=0),"",'Price History'!V89/'Price History'!V88-1),"")</f>
        <v>-0.0866743369619731</v>
      </c>
      <c r="W88" s="111" t="n">
        <f aca="false">IFERROR('Price History'!B3+(INDEX('Price History'!B:B,MATCH(9.99E+307,'Price History'!$A:$A))-'Price History'!B3)*(ROW()-3)/(MATCH(9.99E+307,'Returns (Calc)'!$A:$A)-3),"")</f>
        <v>379.111006289308</v>
      </c>
      <c r="X88" s="111" t="n">
        <f aca="false">IFERROR('Price History'!C3+(INDEX('Price History'!C:C,MATCH(9.99E+307,'Price History'!$A:$A))-'Price History'!C3)*(ROW()-3)/(MATCH(9.99E+307,'Returns (Calc)'!$A:$A)-3),"")</f>
        <v>123.950062893082</v>
      </c>
      <c r="Y88" s="111" t="n">
        <f aca="false">IFERROR('Price History'!D3+(INDEX('Price History'!D:D,MATCH(9.99E+307,'Price History'!$A:$A))-'Price History'!D3)*(ROW()-3)/(MATCH(9.99E+307,'Returns (Calc)'!$A:$A)-3),"")</f>
        <v>1224.75798742138</v>
      </c>
      <c r="Z88" s="111" t="n">
        <f aca="false">IFERROR('Price History'!E3+(INDEX('Price History'!E:E,MATCH(9.99E+307,'Price History'!$A:$A))-'Price History'!E3)*(ROW()-3)/(MATCH(9.99E+307,'Returns (Calc)'!$A:$A)-3),"")</f>
        <v>229.949811320755</v>
      </c>
      <c r="AA88" s="111" t="n">
        <f aca="false">IFERROR('Price History'!F3+(INDEX('Price History'!F:F,MATCH(9.99E+307,'Price History'!$A:$A))-'Price History'!F3)*(ROW()-3)/(MATCH(9.99E+307,'Returns (Calc)'!$A:$A)-3),"")</f>
        <v>131.169433962264</v>
      </c>
      <c r="AB88" s="111" t="n">
        <f aca="false">IFERROR('Price History'!G3+(INDEX('Price History'!G:G,MATCH(9.99E+307,'Price History'!$A:$A))-'Price History'!G3)*(ROW()-3)/(MATCH(9.99E+307,'Returns (Calc)'!$A:$A)-3),"")</f>
        <v>121.51320754717</v>
      </c>
      <c r="AC88" s="111" t="n">
        <f aca="false">IFERROR('Price History'!H3+(INDEX('Price History'!H:H,MATCH(9.99E+307,'Price History'!$A:$A))-'Price History'!H3)*(ROW()-3)/(MATCH(9.99E+307,'Returns (Calc)'!$A:$A)-3),"")</f>
        <v>573.418427672956</v>
      </c>
      <c r="AD88" s="111" t="n">
        <f aca="false">IFERROR('Price History'!I3+(INDEX('Price History'!I:I,MATCH(9.99E+307,'Price History'!$A:$A))-'Price History'!I3)*(ROW()-3)/(MATCH(9.99E+307,'Returns (Calc)'!$A:$A)-3),"")</f>
        <v>142.160377358491</v>
      </c>
      <c r="AE88" s="111" t="n">
        <f aca="false">IFERROR('Price History'!J3+(INDEX('Price History'!J:J,MATCH(9.99E+307,'Price History'!$A:$A))-'Price History'!J3)*(ROW()-3)/(MATCH(9.99E+307,'Returns (Calc)'!$A:$A)-3),"")</f>
        <v>130.903396226415</v>
      </c>
      <c r="AF88" s="111" t="n">
        <f aca="false">IFERROR('Price History'!K3+(INDEX('Price History'!K:K,MATCH(9.99E+307,'Price History'!$A:$A))-'Price History'!K3)*(ROW()-3)/(MATCH(9.99E+307,'Returns (Calc)'!$A:$A)-3),"")</f>
        <v>100.367232704403</v>
      </c>
      <c r="AG88" s="111" t="n">
        <f aca="false">IFERROR('Price History'!L3+(INDEX('Price History'!L:L,MATCH(9.99E+307,'Price History'!$A:$A))-'Price History'!L3)*(ROW()-3)/(MATCH(9.99E+307,'Returns (Calc)'!$A:$A)-3),"")</f>
        <v>272.104465408805</v>
      </c>
      <c r="AH88" s="111" t="n">
        <f aca="false">IFERROR('Price History'!M3+(INDEX('Price History'!M:M,MATCH(9.99E+307,'Price History'!$A:$A))-'Price History'!M3)*(ROW()-3)/(MATCH(9.99E+307,'Returns (Calc)'!$A:$A)-3),"")</f>
        <v>165.564716981132</v>
      </c>
      <c r="AI88" s="111" t="n">
        <f aca="false">IFERROR('Price History'!N3+(INDEX('Price History'!N:N,MATCH(9.99E+307,'Price History'!$A:$A))-'Price History'!N3)*(ROW()-3)/(MATCH(9.99E+307,'Returns (Calc)'!$A:$A)-3),"")</f>
        <v>454.778867924528</v>
      </c>
      <c r="AJ88" s="111" t="n">
        <f aca="false">IFERROR('Price History'!O3+(INDEX('Price History'!O:O,MATCH(9.99E+307,'Price History'!$A:$A))-'Price History'!O3)*(ROW()-3)/(MATCH(9.99E+307,'Returns (Calc)'!$A:$A)-3),"")</f>
        <v>106.414779874214</v>
      </c>
      <c r="AK88" s="111" t="n">
        <f aca="false">IFERROR('Price History'!Q3+(INDEX('Price History'!Q:Q,MATCH(9.99E+307,'Price History'!$A:$A))-'Price History'!Q3)*(ROW()-3)/(MATCH(9.99E+307,'Returns (Calc)'!$A:$A)-3),"")</f>
        <v>60.4676729559749</v>
      </c>
      <c r="AL88" s="111" t="n">
        <f aca="false">IFERROR('Price History'!R3+(INDEX('Price History'!R:R,MATCH(9.99E+307,'Price History'!$A:$A))-'Price History'!R3)*(ROW()-3)/(MATCH(9.99E+307,'Returns (Calc)'!$A:$A)-3),"")</f>
        <v>54.2618238993711</v>
      </c>
      <c r="AM88" s="111" t="n">
        <f aca="false">IFERROR('Price History'!S3+(INDEX('Price History'!S:S,MATCH(9.99E+307,'Price History'!$A:$A))-'Price History'!S3)*(ROW()-3)/(MATCH(9.99E+307,'Returns (Calc)'!$A:$A)-3),"")</f>
        <v>107.284025157233</v>
      </c>
      <c r="AN88" s="111" t="n">
        <f aca="false">IFERROR('Price History'!T3+(INDEX('Price History'!T:T,MATCH(9.99E+307,'Price History'!$A:$A))-'Price History'!T3)*(ROW()-3)/(MATCH(9.99E+307,'Returns (Calc)'!$A:$A)-3),"")</f>
        <v>42.0816981132075</v>
      </c>
      <c r="AO88" s="112" t="n">
        <f aca="false">IFERROR('Price History'!V3+(INDEX('Price History'!V:V,MATCH(9.99E+307,'Price History'!$A:$A))-'Price History'!V3)*(ROW()-3)/(MATCH(9.99E+307,'Returns (Calc)'!$A:$A)-3),"")</f>
        <v>200.509119496855</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V89" s="110" t="n">
        <f aca="false">IFERROR(IF(OR(NOT(ISNUMBER('Price History'!V90)),NOT(ISNUMBER('Price History'!V89)),'Price History'!V89=0),"",'Price History'!V90/'Price History'!V89-1),"")</f>
        <v>0.0647307729577829</v>
      </c>
      <c r="W89" s="111" t="n">
        <f aca="false">IFERROR('Price History'!B3+(INDEX('Price History'!B:B,MATCH(9.99E+307,'Price History'!$A:$A))-'Price History'!B3)*(ROW()-3)/(MATCH(9.99E+307,'Returns (Calc)'!$A:$A)-3),"")</f>
        <v>377.589371069182</v>
      </c>
      <c r="X89" s="111" t="n">
        <f aca="false">IFERROR('Price History'!C3+(INDEX('Price History'!C:C,MATCH(9.99E+307,'Price History'!$A:$A))-'Price History'!C3)*(ROW()-3)/(MATCH(9.99E+307,'Returns (Calc)'!$A:$A)-3),"")</f>
        <v>124.893710691824</v>
      </c>
      <c r="Y89" s="111" t="n">
        <f aca="false">IFERROR('Price History'!D3+(INDEX('Price History'!D:D,MATCH(9.99E+307,'Price History'!$A:$A))-'Price History'!D3)*(ROW()-3)/(MATCH(9.99E+307,'Returns (Calc)'!$A:$A)-3),"")</f>
        <v>1231.38125786164</v>
      </c>
      <c r="Z89" s="111" t="n">
        <f aca="false">IFERROR('Price History'!E3+(INDEX('Price History'!E:E,MATCH(9.99E+307,'Price History'!$A:$A))-'Price History'!E3)*(ROW()-3)/(MATCH(9.99E+307,'Returns (Calc)'!$A:$A)-3),"")</f>
        <v>231.678867924528</v>
      </c>
      <c r="AA89" s="111" t="n">
        <f aca="false">IFERROR('Price History'!F3+(INDEX('Price History'!F:F,MATCH(9.99E+307,'Price History'!$A:$A))-'Price History'!F3)*(ROW()-3)/(MATCH(9.99E+307,'Returns (Calc)'!$A:$A)-3),"")</f>
        <v>132.276603773585</v>
      </c>
      <c r="AB89" s="111" t="n">
        <f aca="false">IFERROR('Price History'!G3+(INDEX('Price History'!G:G,MATCH(9.99E+307,'Price History'!$A:$A))-'Price History'!G3)*(ROW()-3)/(MATCH(9.99E+307,'Returns (Calc)'!$A:$A)-3),"")</f>
        <v>122.379245283019</v>
      </c>
      <c r="AC89" s="111" t="n">
        <f aca="false">IFERROR('Price History'!H3+(INDEX('Price History'!H:H,MATCH(9.99E+307,'Price History'!$A:$A))-'Price History'!H3)*(ROW()-3)/(MATCH(9.99E+307,'Returns (Calc)'!$A:$A)-3),"")</f>
        <v>579.407232704403</v>
      </c>
      <c r="AD89" s="111" t="n">
        <f aca="false">IFERROR('Price History'!I3+(INDEX('Price History'!I:I,MATCH(9.99E+307,'Price History'!$A:$A))-'Price History'!I3)*(ROW()-3)/(MATCH(9.99E+307,'Returns (Calc)'!$A:$A)-3),"")</f>
        <v>143.352264150943</v>
      </c>
      <c r="AE89" s="111" t="n">
        <f aca="false">IFERROR('Price History'!J3+(INDEX('Price History'!J:J,MATCH(9.99E+307,'Price History'!$A:$A))-'Price History'!J3)*(ROW()-3)/(MATCH(9.99E+307,'Returns (Calc)'!$A:$A)-3),"")</f>
        <v>130.990377358491</v>
      </c>
      <c r="AF89" s="111" t="n">
        <f aca="false">IFERROR('Price History'!K3+(INDEX('Price History'!K:K,MATCH(9.99E+307,'Price History'!$A:$A))-'Price History'!K3)*(ROW()-3)/(MATCH(9.99E+307,'Returns (Calc)'!$A:$A)-3),"")</f>
        <v>101.366729559748</v>
      </c>
      <c r="AG89" s="111" t="n">
        <f aca="false">IFERROR('Price History'!L3+(INDEX('Price History'!L:L,MATCH(9.99E+307,'Price History'!$A:$A))-'Price History'!L3)*(ROW()-3)/(MATCH(9.99E+307,'Returns (Calc)'!$A:$A)-3),"")</f>
        <v>274.223459119497</v>
      </c>
      <c r="AH89" s="111" t="n">
        <f aca="false">IFERROR('Price History'!M3+(INDEX('Price History'!M:M,MATCH(9.99E+307,'Price History'!$A:$A))-'Price History'!M3)*(ROW()-3)/(MATCH(9.99E+307,'Returns (Calc)'!$A:$A)-3),"")</f>
        <v>167.118301886792</v>
      </c>
      <c r="AI89" s="111" t="n">
        <f aca="false">IFERROR('Price History'!N3+(INDEX('Price History'!N:N,MATCH(9.99E+307,'Price History'!$A:$A))-'Price History'!N3)*(ROW()-3)/(MATCH(9.99E+307,'Returns (Calc)'!$A:$A)-3),"")</f>
        <v>456.01320754717</v>
      </c>
      <c r="AJ89" s="111" t="n">
        <f aca="false">IFERROR('Price History'!O3+(INDEX('Price History'!O:O,MATCH(9.99E+307,'Price History'!$A:$A))-'Price History'!O3)*(ROW()-3)/(MATCH(9.99E+307,'Returns (Calc)'!$A:$A)-3),"")</f>
        <v>106.692012578616</v>
      </c>
      <c r="AK89" s="111" t="n">
        <f aca="false">IFERROR('Price History'!Q3+(INDEX('Price History'!Q:Q,MATCH(9.99E+307,'Price History'!$A:$A))-'Price History'!Q3)*(ROW()-3)/(MATCH(9.99E+307,'Returns (Calc)'!$A:$A)-3),"")</f>
        <v>60.5927044025157</v>
      </c>
      <c r="AL89" s="111" t="n">
        <f aca="false">IFERROR('Price History'!R3+(INDEX('Price History'!R:R,MATCH(9.99E+307,'Price History'!$A:$A))-'Price History'!R3)*(ROW()-3)/(MATCH(9.99E+307,'Returns (Calc)'!$A:$A)-3),"")</f>
        <v>54.3376100628931</v>
      </c>
      <c r="AM89" s="111" t="n">
        <f aca="false">IFERROR('Price History'!S3+(INDEX('Price History'!S:S,MATCH(9.99E+307,'Price History'!$A:$A))-'Price History'!S3)*(ROW()-3)/(MATCH(9.99E+307,'Returns (Calc)'!$A:$A)-3),"")</f>
        <v>107.85748427673</v>
      </c>
      <c r="AN89" s="111" t="n">
        <f aca="false">IFERROR('Price History'!T3+(INDEX('Price History'!T:T,MATCH(9.99E+307,'Price History'!$A:$A))-'Price History'!T3)*(ROW()-3)/(MATCH(9.99E+307,'Returns (Calc)'!$A:$A)-3),"")</f>
        <v>42.2601886792453</v>
      </c>
      <c r="AO89" s="112" t="n">
        <f aca="false">IFERROR('Price History'!V3+(INDEX('Price History'!V:V,MATCH(9.99E+307,'Price History'!$A:$A))-'Price History'!V3)*(ROW()-3)/(MATCH(9.99E+307,'Returns (Calc)'!$A:$A)-3),"")</f>
        <v>202.868050314465</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V90" s="110" t="str">
        <f aca="false">IFERROR(IF(OR(NOT(ISNUMBER('Price History'!V91)),NOT(ISNUMBER('Price History'!V90)),'Price History'!V90=0),"",'Price History'!V91/'Price History'!V90-1),"")</f>
        <v/>
      </c>
      <c r="W90" s="111" t="n">
        <f aca="false">IFERROR('Price History'!B3+(INDEX('Price History'!B:B,MATCH(9.99E+307,'Price History'!$A:$A))-'Price History'!B3)*(ROW()-3)/(MATCH(9.99E+307,'Returns (Calc)'!$A:$A)-3),"")</f>
        <v>376.067735849057</v>
      </c>
      <c r="X90" s="111" t="n">
        <f aca="false">IFERROR('Price History'!C3+(INDEX('Price History'!C:C,MATCH(9.99E+307,'Price History'!$A:$A))-'Price History'!C3)*(ROW()-3)/(MATCH(9.99E+307,'Returns (Calc)'!$A:$A)-3),"")</f>
        <v>125.837358490566</v>
      </c>
      <c r="Y90" s="111" t="n">
        <f aca="false">IFERROR('Price History'!D3+(INDEX('Price History'!D:D,MATCH(9.99E+307,'Price History'!$A:$A))-'Price History'!D3)*(ROW()-3)/(MATCH(9.99E+307,'Returns (Calc)'!$A:$A)-3),"")</f>
        <v>1238.00452830189</v>
      </c>
      <c r="Z90" s="111" t="n">
        <f aca="false">IFERROR('Price History'!E3+(INDEX('Price History'!E:E,MATCH(9.99E+307,'Price History'!$A:$A))-'Price History'!E3)*(ROW()-3)/(MATCH(9.99E+307,'Returns (Calc)'!$A:$A)-3),"")</f>
        <v>233.407924528302</v>
      </c>
      <c r="AA90" s="111" t="n">
        <f aca="false">IFERROR('Price History'!F3+(INDEX('Price History'!F:F,MATCH(9.99E+307,'Price History'!$A:$A))-'Price History'!F3)*(ROW()-3)/(MATCH(9.99E+307,'Returns (Calc)'!$A:$A)-3),"")</f>
        <v>133.383773584906</v>
      </c>
      <c r="AB90" s="111" t="n">
        <f aca="false">IFERROR('Price History'!G3+(INDEX('Price History'!G:G,MATCH(9.99E+307,'Price History'!$A:$A))-'Price History'!G3)*(ROW()-3)/(MATCH(9.99E+307,'Returns (Calc)'!$A:$A)-3),"")</f>
        <v>123.245283018868</v>
      </c>
      <c r="AC90" s="111" t="n">
        <f aca="false">IFERROR('Price History'!H3+(INDEX('Price History'!H:H,MATCH(9.99E+307,'Price History'!$A:$A))-'Price History'!H3)*(ROW()-3)/(MATCH(9.99E+307,'Returns (Calc)'!$A:$A)-3),"")</f>
        <v>585.396037735849</v>
      </c>
      <c r="AD90" s="111" t="n">
        <f aca="false">IFERROR('Price History'!I3+(INDEX('Price History'!I:I,MATCH(9.99E+307,'Price History'!$A:$A))-'Price History'!I3)*(ROW()-3)/(MATCH(9.99E+307,'Returns (Calc)'!$A:$A)-3),"")</f>
        <v>144.544150943396</v>
      </c>
      <c r="AE90" s="111" t="n">
        <f aca="false">IFERROR('Price History'!J3+(INDEX('Price History'!J:J,MATCH(9.99E+307,'Price History'!$A:$A))-'Price History'!J3)*(ROW()-3)/(MATCH(9.99E+307,'Returns (Calc)'!$A:$A)-3),"")</f>
        <v>131.077358490566</v>
      </c>
      <c r="AF90" s="111" t="n">
        <f aca="false">IFERROR('Price History'!K3+(INDEX('Price History'!K:K,MATCH(9.99E+307,'Price History'!$A:$A))-'Price History'!K3)*(ROW()-3)/(MATCH(9.99E+307,'Returns (Calc)'!$A:$A)-3),"")</f>
        <v>102.366226415094</v>
      </c>
      <c r="AG90" s="111" t="n">
        <f aca="false">IFERROR('Price History'!L3+(INDEX('Price History'!L:L,MATCH(9.99E+307,'Price History'!$A:$A))-'Price History'!L3)*(ROW()-3)/(MATCH(9.99E+307,'Returns (Calc)'!$A:$A)-3),"")</f>
        <v>276.342452830189</v>
      </c>
      <c r="AH90" s="111" t="n">
        <f aca="false">IFERROR('Price History'!M3+(INDEX('Price History'!M:M,MATCH(9.99E+307,'Price History'!$A:$A))-'Price History'!M3)*(ROW()-3)/(MATCH(9.99E+307,'Returns (Calc)'!$A:$A)-3),"")</f>
        <v>168.671886792453</v>
      </c>
      <c r="AI90" s="111" t="n">
        <f aca="false">IFERROR('Price History'!N3+(INDEX('Price History'!N:N,MATCH(9.99E+307,'Price History'!$A:$A))-'Price History'!N3)*(ROW()-3)/(MATCH(9.99E+307,'Returns (Calc)'!$A:$A)-3),"")</f>
        <v>457.247547169811</v>
      </c>
      <c r="AJ90" s="111" t="n">
        <f aca="false">IFERROR('Price History'!O3+(INDEX('Price History'!O:O,MATCH(9.99E+307,'Price History'!$A:$A))-'Price History'!O3)*(ROW()-3)/(MATCH(9.99E+307,'Returns (Calc)'!$A:$A)-3),"")</f>
        <v>106.969245283019</v>
      </c>
      <c r="AK90" s="111" t="n">
        <f aca="false">IFERROR('Price History'!Q3+(INDEX('Price History'!Q:Q,MATCH(9.99E+307,'Price History'!$A:$A))-'Price History'!Q3)*(ROW()-3)/(MATCH(9.99E+307,'Returns (Calc)'!$A:$A)-3),"")</f>
        <v>60.7177358490566</v>
      </c>
      <c r="AL90" s="111" t="n">
        <f aca="false">IFERROR('Price History'!R3+(INDEX('Price History'!R:R,MATCH(9.99E+307,'Price History'!$A:$A))-'Price History'!R3)*(ROW()-3)/(MATCH(9.99E+307,'Returns (Calc)'!$A:$A)-3),"")</f>
        <v>54.4133962264151</v>
      </c>
      <c r="AM90" s="111" t="n">
        <f aca="false">IFERROR('Price History'!S3+(INDEX('Price History'!S:S,MATCH(9.99E+307,'Price History'!$A:$A))-'Price History'!S3)*(ROW()-3)/(MATCH(9.99E+307,'Returns (Calc)'!$A:$A)-3),"")</f>
        <v>108.430943396226</v>
      </c>
      <c r="AN90" s="111" t="n">
        <f aca="false">IFERROR('Price History'!T3+(INDEX('Price History'!T:T,MATCH(9.99E+307,'Price History'!$A:$A))-'Price History'!T3)*(ROW()-3)/(MATCH(9.99E+307,'Returns (Calc)'!$A:$A)-3),"")</f>
        <v>42.438679245283</v>
      </c>
      <c r="AO90" s="112" t="n">
        <f aca="false">IFERROR('Price History'!V3+(INDEX('Price History'!V:V,MATCH(9.99E+307,'Price History'!$A:$A))-'Price History'!V3)*(ROW()-3)/(MATCH(9.99E+307,'Returns (Calc)'!$A:$A)-3),"")</f>
        <v>205.226981132075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V91" s="110" t="str">
        <f aca="false">IFERROR(IF(OR(NOT(ISNUMBER('Price History'!V92)),NOT(ISNUMBER('Price History'!V91)),'Price History'!V91=0),"",'Price History'!V92/'Price History'!V91-1),"")</f>
        <v/>
      </c>
      <c r="W91" s="111" t="n">
        <f aca="false">IFERROR('Price History'!B3+(INDEX('Price History'!B:B,MATCH(9.99E+307,'Price History'!$A:$A))-'Price History'!B3)*(ROW()-3)/(MATCH(9.99E+307,'Returns (Calc)'!$A:$A)-3),"")</f>
        <v>374.546100628931</v>
      </c>
      <c r="X91" s="111" t="n">
        <f aca="false">IFERROR('Price History'!C3+(INDEX('Price History'!C:C,MATCH(9.99E+307,'Price History'!$A:$A))-'Price History'!C3)*(ROW()-3)/(MATCH(9.99E+307,'Returns (Calc)'!$A:$A)-3),"")</f>
        <v>126.781006289308</v>
      </c>
      <c r="Y91" s="111" t="n">
        <f aca="false">IFERROR('Price History'!D3+(INDEX('Price History'!D:D,MATCH(9.99E+307,'Price History'!$A:$A))-'Price History'!D3)*(ROW()-3)/(MATCH(9.99E+307,'Returns (Calc)'!$A:$A)-3),"")</f>
        <v>1244.62779874214</v>
      </c>
      <c r="Z91" s="111" t="n">
        <f aca="false">IFERROR('Price History'!E3+(INDEX('Price History'!E:E,MATCH(9.99E+307,'Price History'!$A:$A))-'Price History'!E3)*(ROW()-3)/(MATCH(9.99E+307,'Returns (Calc)'!$A:$A)-3),"")</f>
        <v>235.136981132075</v>
      </c>
      <c r="AA91" s="111" t="n">
        <f aca="false">IFERROR('Price History'!F3+(INDEX('Price History'!F:F,MATCH(9.99E+307,'Price History'!$A:$A))-'Price History'!F3)*(ROW()-3)/(MATCH(9.99E+307,'Returns (Calc)'!$A:$A)-3),"")</f>
        <v>134.490943396226</v>
      </c>
      <c r="AB91" s="111" t="n">
        <f aca="false">IFERROR('Price History'!G3+(INDEX('Price History'!G:G,MATCH(9.99E+307,'Price History'!$A:$A))-'Price History'!G3)*(ROW()-3)/(MATCH(9.99E+307,'Returns (Calc)'!$A:$A)-3),"")</f>
        <v>124.111320754717</v>
      </c>
      <c r="AC91" s="111" t="n">
        <f aca="false">IFERROR('Price History'!H3+(INDEX('Price History'!H:H,MATCH(9.99E+307,'Price History'!$A:$A))-'Price History'!H3)*(ROW()-3)/(MATCH(9.99E+307,'Returns (Calc)'!$A:$A)-3),"")</f>
        <v>591.384842767296</v>
      </c>
      <c r="AD91" s="111" t="n">
        <f aca="false">IFERROR('Price History'!I3+(INDEX('Price History'!I:I,MATCH(9.99E+307,'Price History'!$A:$A))-'Price History'!I3)*(ROW()-3)/(MATCH(9.99E+307,'Returns (Calc)'!$A:$A)-3),"")</f>
        <v>145.736037735849</v>
      </c>
      <c r="AE91" s="111" t="n">
        <f aca="false">IFERROR('Price History'!J3+(INDEX('Price History'!J:J,MATCH(9.99E+307,'Price History'!$A:$A))-'Price History'!J3)*(ROW()-3)/(MATCH(9.99E+307,'Returns (Calc)'!$A:$A)-3),"")</f>
        <v>131.164339622642</v>
      </c>
      <c r="AF91" s="111" t="n">
        <f aca="false">IFERROR('Price History'!K3+(INDEX('Price History'!K:K,MATCH(9.99E+307,'Price History'!$A:$A))-'Price History'!K3)*(ROW()-3)/(MATCH(9.99E+307,'Returns (Calc)'!$A:$A)-3),"")</f>
        <v>103.36572327044</v>
      </c>
      <c r="AG91" s="111" t="n">
        <f aca="false">IFERROR('Price History'!L3+(INDEX('Price History'!L:L,MATCH(9.99E+307,'Price History'!$A:$A))-'Price History'!L3)*(ROW()-3)/(MATCH(9.99E+307,'Returns (Calc)'!$A:$A)-3),"")</f>
        <v>278.461446540881</v>
      </c>
      <c r="AH91" s="111" t="n">
        <f aca="false">IFERROR('Price History'!M3+(INDEX('Price History'!M:M,MATCH(9.99E+307,'Price History'!$A:$A))-'Price History'!M3)*(ROW()-3)/(MATCH(9.99E+307,'Returns (Calc)'!$A:$A)-3),"")</f>
        <v>170.225471698113</v>
      </c>
      <c r="AI91" s="111" t="n">
        <f aca="false">IFERROR('Price History'!N3+(INDEX('Price History'!N:N,MATCH(9.99E+307,'Price History'!$A:$A))-'Price History'!N3)*(ROW()-3)/(MATCH(9.99E+307,'Returns (Calc)'!$A:$A)-3),"")</f>
        <v>458.481886792453</v>
      </c>
      <c r="AJ91" s="111" t="n">
        <f aca="false">IFERROR('Price History'!O3+(INDEX('Price History'!O:O,MATCH(9.99E+307,'Price History'!$A:$A))-'Price History'!O3)*(ROW()-3)/(MATCH(9.99E+307,'Returns (Calc)'!$A:$A)-3),"")</f>
        <v>107.246477987421</v>
      </c>
      <c r="AK91" s="111" t="n">
        <f aca="false">IFERROR('Price History'!Q3+(INDEX('Price History'!Q:Q,MATCH(9.99E+307,'Price History'!$A:$A))-'Price History'!Q3)*(ROW()-3)/(MATCH(9.99E+307,'Returns (Calc)'!$A:$A)-3),"")</f>
        <v>60.8427672955975</v>
      </c>
      <c r="AL91" s="111" t="n">
        <f aca="false">IFERROR('Price History'!R3+(INDEX('Price History'!R:R,MATCH(9.99E+307,'Price History'!$A:$A))-'Price History'!R3)*(ROW()-3)/(MATCH(9.99E+307,'Returns (Calc)'!$A:$A)-3),"")</f>
        <v>54.4891823899371</v>
      </c>
      <c r="AM91" s="111" t="n">
        <f aca="false">IFERROR('Price History'!S3+(INDEX('Price History'!S:S,MATCH(9.99E+307,'Price History'!$A:$A))-'Price History'!S3)*(ROW()-3)/(MATCH(9.99E+307,'Returns (Calc)'!$A:$A)-3),"")</f>
        <v>109.004402515723</v>
      </c>
      <c r="AN91" s="111" t="n">
        <f aca="false">IFERROR('Price History'!T3+(INDEX('Price History'!T:T,MATCH(9.99E+307,'Price History'!$A:$A))-'Price History'!T3)*(ROW()-3)/(MATCH(9.99E+307,'Returns (Calc)'!$A:$A)-3),"")</f>
        <v>42.6171698113208</v>
      </c>
      <c r="AO91" s="112" t="n">
        <f aca="false">IFERROR('Price History'!V3+(INDEX('Price History'!V:V,MATCH(9.99E+307,'Price History'!$A:$A))-'Price History'!V3)*(ROW()-3)/(MATCH(9.99E+307,'Returns (Calc)'!$A:$A)-3),"")</f>
        <v>207.585911949686</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V92" s="110" t="n">
        <f aca="false">IFERROR(IF(OR(NOT(ISNUMBER('Price History'!V93)),NOT(ISNUMBER('Price History'!V92)),'Price History'!V92=0),"",'Price History'!V93/'Price History'!V92-1),"")</f>
        <v>0.0370873317641378</v>
      </c>
      <c r="W92" s="111" t="n">
        <f aca="false">IFERROR('Price History'!B3+(INDEX('Price History'!B:B,MATCH(9.99E+307,'Price History'!$A:$A))-'Price History'!B3)*(ROW()-3)/(MATCH(9.99E+307,'Returns (Calc)'!$A:$A)-3),"")</f>
        <v>373.024465408805</v>
      </c>
      <c r="X92" s="111" t="n">
        <f aca="false">IFERROR('Price History'!C3+(INDEX('Price History'!C:C,MATCH(9.99E+307,'Price History'!$A:$A))-'Price History'!C3)*(ROW()-3)/(MATCH(9.99E+307,'Returns (Calc)'!$A:$A)-3),"")</f>
        <v>127.72465408805</v>
      </c>
      <c r="Y92" s="111" t="n">
        <f aca="false">IFERROR('Price History'!D3+(INDEX('Price History'!D:D,MATCH(9.99E+307,'Price History'!$A:$A))-'Price History'!D3)*(ROW()-3)/(MATCH(9.99E+307,'Returns (Calc)'!$A:$A)-3),"")</f>
        <v>1251.25106918239</v>
      </c>
      <c r="Z92" s="111" t="n">
        <f aca="false">IFERROR('Price History'!E3+(INDEX('Price History'!E:E,MATCH(9.99E+307,'Price History'!$A:$A))-'Price History'!E3)*(ROW()-3)/(MATCH(9.99E+307,'Returns (Calc)'!$A:$A)-3),"")</f>
        <v>236.866037735849</v>
      </c>
      <c r="AA92" s="111" t="n">
        <f aca="false">IFERROR('Price History'!F3+(INDEX('Price History'!F:F,MATCH(9.99E+307,'Price History'!$A:$A))-'Price History'!F3)*(ROW()-3)/(MATCH(9.99E+307,'Returns (Calc)'!$A:$A)-3),"")</f>
        <v>135.598113207547</v>
      </c>
      <c r="AB92" s="111" t="n">
        <f aca="false">IFERROR('Price History'!G3+(INDEX('Price History'!G:G,MATCH(9.99E+307,'Price History'!$A:$A))-'Price History'!G3)*(ROW()-3)/(MATCH(9.99E+307,'Returns (Calc)'!$A:$A)-3),"")</f>
        <v>124.977358490566</v>
      </c>
      <c r="AC92" s="111" t="n">
        <f aca="false">IFERROR('Price History'!H3+(INDEX('Price History'!H:H,MATCH(9.99E+307,'Price History'!$A:$A))-'Price History'!H3)*(ROW()-3)/(MATCH(9.99E+307,'Returns (Calc)'!$A:$A)-3),"")</f>
        <v>597.373647798742</v>
      </c>
      <c r="AD92" s="111" t="n">
        <f aca="false">IFERROR('Price History'!I3+(INDEX('Price History'!I:I,MATCH(9.99E+307,'Price History'!$A:$A))-'Price History'!I3)*(ROW()-3)/(MATCH(9.99E+307,'Returns (Calc)'!$A:$A)-3),"")</f>
        <v>146.927924528302</v>
      </c>
      <c r="AE92" s="111" t="n">
        <f aca="false">IFERROR('Price History'!J3+(INDEX('Price History'!J:J,MATCH(9.99E+307,'Price History'!$A:$A))-'Price History'!J3)*(ROW()-3)/(MATCH(9.99E+307,'Returns (Calc)'!$A:$A)-3),"")</f>
        <v>131.251320754717</v>
      </c>
      <c r="AF92" s="111" t="n">
        <f aca="false">IFERROR('Price History'!K3+(INDEX('Price History'!K:K,MATCH(9.99E+307,'Price History'!$A:$A))-'Price History'!K3)*(ROW()-3)/(MATCH(9.99E+307,'Returns (Calc)'!$A:$A)-3),"")</f>
        <v>104.365220125786</v>
      </c>
      <c r="AG92" s="111" t="n">
        <f aca="false">IFERROR('Price History'!L3+(INDEX('Price History'!L:L,MATCH(9.99E+307,'Price History'!$A:$A))-'Price History'!L3)*(ROW()-3)/(MATCH(9.99E+307,'Returns (Calc)'!$A:$A)-3),"")</f>
        <v>280.580440251572</v>
      </c>
      <c r="AH92" s="111" t="n">
        <f aca="false">IFERROR('Price History'!M3+(INDEX('Price History'!M:M,MATCH(9.99E+307,'Price History'!$A:$A))-'Price History'!M3)*(ROW()-3)/(MATCH(9.99E+307,'Returns (Calc)'!$A:$A)-3),"")</f>
        <v>171.779056603774</v>
      </c>
      <c r="AI92" s="111" t="n">
        <f aca="false">IFERROR('Price History'!N3+(INDEX('Price History'!N:N,MATCH(9.99E+307,'Price History'!$A:$A))-'Price History'!N3)*(ROW()-3)/(MATCH(9.99E+307,'Returns (Calc)'!$A:$A)-3),"")</f>
        <v>459.716226415094</v>
      </c>
      <c r="AJ92" s="111" t="n">
        <f aca="false">IFERROR('Price History'!O3+(INDEX('Price History'!O:O,MATCH(9.99E+307,'Price History'!$A:$A))-'Price History'!O3)*(ROW()-3)/(MATCH(9.99E+307,'Returns (Calc)'!$A:$A)-3),"")</f>
        <v>107.523710691824</v>
      </c>
      <c r="AK92" s="111" t="n">
        <f aca="false">IFERROR('Price History'!Q3+(INDEX('Price History'!Q:Q,MATCH(9.99E+307,'Price History'!$A:$A))-'Price History'!Q3)*(ROW()-3)/(MATCH(9.99E+307,'Returns (Calc)'!$A:$A)-3),"")</f>
        <v>60.9677987421384</v>
      </c>
      <c r="AL92" s="111" t="n">
        <f aca="false">IFERROR('Price History'!R3+(INDEX('Price History'!R:R,MATCH(9.99E+307,'Price History'!$A:$A))-'Price History'!R3)*(ROW()-3)/(MATCH(9.99E+307,'Returns (Calc)'!$A:$A)-3),"")</f>
        <v>54.5649685534591</v>
      </c>
      <c r="AM92" s="111" t="n">
        <f aca="false">IFERROR('Price History'!S3+(INDEX('Price History'!S:S,MATCH(9.99E+307,'Price History'!$A:$A))-'Price History'!S3)*(ROW()-3)/(MATCH(9.99E+307,'Returns (Calc)'!$A:$A)-3),"")</f>
        <v>109.57786163522</v>
      </c>
      <c r="AN92" s="111" t="n">
        <f aca="false">IFERROR('Price History'!T3+(INDEX('Price History'!T:T,MATCH(9.99E+307,'Price History'!$A:$A))-'Price History'!T3)*(ROW()-3)/(MATCH(9.99E+307,'Returns (Calc)'!$A:$A)-3),"")</f>
        <v>42.7956603773585</v>
      </c>
      <c r="AO92" s="112" t="n">
        <f aca="false">IFERROR('Price History'!V3+(INDEX('Price History'!V:V,MATCH(9.99E+307,'Price History'!$A:$A))-'Price History'!V3)*(ROW()-3)/(MATCH(9.99E+307,'Returns (Calc)'!$A:$A)-3),"")</f>
        <v>209.944842767296</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V93" s="110" t="n">
        <f aca="false">IFERROR(IF(OR(NOT(ISNUMBER('Price History'!V94)),NOT(ISNUMBER('Price History'!V93)),'Price History'!V93=0),"",'Price History'!V94/'Price History'!V93-1),"")</f>
        <v>0.0141996682864376</v>
      </c>
      <c r="W93" s="111" t="n">
        <f aca="false">IFERROR('Price History'!B3+(INDEX('Price History'!B:B,MATCH(9.99E+307,'Price History'!$A:$A))-'Price History'!B3)*(ROW()-3)/(MATCH(9.99E+307,'Returns (Calc)'!$A:$A)-3),"")</f>
        <v>371.502830188679</v>
      </c>
      <c r="X93" s="111" t="n">
        <f aca="false">IFERROR('Price History'!C3+(INDEX('Price History'!C:C,MATCH(9.99E+307,'Price History'!$A:$A))-'Price History'!C3)*(ROW()-3)/(MATCH(9.99E+307,'Returns (Calc)'!$A:$A)-3),"")</f>
        <v>128.668301886792</v>
      </c>
      <c r="Y93" s="111" t="n">
        <f aca="false">IFERROR('Price History'!D3+(INDEX('Price History'!D:D,MATCH(9.99E+307,'Price History'!$A:$A))-'Price History'!D3)*(ROW()-3)/(MATCH(9.99E+307,'Returns (Calc)'!$A:$A)-3),"")</f>
        <v>1257.87433962264</v>
      </c>
      <c r="Z93" s="111" t="n">
        <f aca="false">IFERROR('Price History'!E3+(INDEX('Price History'!E:E,MATCH(9.99E+307,'Price History'!$A:$A))-'Price History'!E3)*(ROW()-3)/(MATCH(9.99E+307,'Returns (Calc)'!$A:$A)-3),"")</f>
        <v>238.595094339623</v>
      </c>
      <c r="AA93" s="111" t="n">
        <f aca="false">IFERROR('Price History'!F3+(INDEX('Price History'!F:F,MATCH(9.99E+307,'Price History'!$A:$A))-'Price History'!F3)*(ROW()-3)/(MATCH(9.99E+307,'Returns (Calc)'!$A:$A)-3),"")</f>
        <v>136.705283018868</v>
      </c>
      <c r="AB93" s="111" t="n">
        <f aca="false">IFERROR('Price History'!G3+(INDEX('Price History'!G:G,MATCH(9.99E+307,'Price History'!$A:$A))-'Price History'!G3)*(ROW()-3)/(MATCH(9.99E+307,'Returns (Calc)'!$A:$A)-3),"")</f>
        <v>125.843396226415</v>
      </c>
      <c r="AC93" s="111" t="n">
        <f aca="false">IFERROR('Price History'!H3+(INDEX('Price History'!H:H,MATCH(9.99E+307,'Price History'!$A:$A))-'Price History'!H3)*(ROW()-3)/(MATCH(9.99E+307,'Returns (Calc)'!$A:$A)-3),"")</f>
        <v>603.362452830189</v>
      </c>
      <c r="AD93" s="111" t="n">
        <f aca="false">IFERROR('Price History'!I3+(INDEX('Price History'!I:I,MATCH(9.99E+307,'Price History'!$A:$A))-'Price History'!I3)*(ROW()-3)/(MATCH(9.99E+307,'Returns (Calc)'!$A:$A)-3),"")</f>
        <v>148.119811320755</v>
      </c>
      <c r="AE93" s="111" t="n">
        <f aca="false">IFERROR('Price History'!J3+(INDEX('Price History'!J:J,MATCH(9.99E+307,'Price History'!$A:$A))-'Price History'!J3)*(ROW()-3)/(MATCH(9.99E+307,'Returns (Calc)'!$A:$A)-3),"")</f>
        <v>131.338301886792</v>
      </c>
      <c r="AF93" s="111" t="n">
        <f aca="false">IFERROR('Price History'!K3+(INDEX('Price History'!K:K,MATCH(9.99E+307,'Price History'!$A:$A))-'Price History'!K3)*(ROW()-3)/(MATCH(9.99E+307,'Returns (Calc)'!$A:$A)-3),"")</f>
        <v>105.364716981132</v>
      </c>
      <c r="AG93" s="111" t="n">
        <f aca="false">IFERROR('Price History'!L3+(INDEX('Price History'!L:L,MATCH(9.99E+307,'Price History'!$A:$A))-'Price History'!L3)*(ROW()-3)/(MATCH(9.99E+307,'Returns (Calc)'!$A:$A)-3),"")</f>
        <v>282.699433962264</v>
      </c>
      <c r="AH93" s="111" t="n">
        <f aca="false">IFERROR('Price History'!M3+(INDEX('Price History'!M:M,MATCH(9.99E+307,'Price History'!$A:$A))-'Price History'!M3)*(ROW()-3)/(MATCH(9.99E+307,'Returns (Calc)'!$A:$A)-3),"")</f>
        <v>173.332641509434</v>
      </c>
      <c r="AI93" s="111" t="n">
        <f aca="false">IFERROR('Price History'!N3+(INDEX('Price History'!N:N,MATCH(9.99E+307,'Price History'!$A:$A))-'Price History'!N3)*(ROW()-3)/(MATCH(9.99E+307,'Returns (Calc)'!$A:$A)-3),"")</f>
        <v>460.950566037736</v>
      </c>
      <c r="AJ93" s="111" t="n">
        <f aca="false">IFERROR('Price History'!O3+(INDEX('Price History'!O:O,MATCH(9.99E+307,'Price History'!$A:$A))-'Price History'!O3)*(ROW()-3)/(MATCH(9.99E+307,'Returns (Calc)'!$A:$A)-3),"")</f>
        <v>107.800943396226</v>
      </c>
      <c r="AK93" s="111" t="n">
        <f aca="false">IFERROR('Price History'!Q3+(INDEX('Price History'!Q:Q,MATCH(9.99E+307,'Price History'!$A:$A))-'Price History'!Q3)*(ROW()-3)/(MATCH(9.99E+307,'Returns (Calc)'!$A:$A)-3),"")</f>
        <v>61.0928301886792</v>
      </c>
      <c r="AL93" s="111" t="n">
        <f aca="false">IFERROR('Price History'!R3+(INDEX('Price History'!R:R,MATCH(9.99E+307,'Price History'!$A:$A))-'Price History'!R3)*(ROW()-3)/(MATCH(9.99E+307,'Returns (Calc)'!$A:$A)-3),"")</f>
        <v>54.6407547169811</v>
      </c>
      <c r="AM93" s="111" t="n">
        <f aca="false">IFERROR('Price History'!S3+(INDEX('Price History'!S:S,MATCH(9.99E+307,'Price History'!$A:$A))-'Price History'!S3)*(ROW()-3)/(MATCH(9.99E+307,'Returns (Calc)'!$A:$A)-3),"")</f>
        <v>110.151320754717</v>
      </c>
      <c r="AN93" s="111" t="n">
        <f aca="false">IFERROR('Price History'!T3+(INDEX('Price History'!T:T,MATCH(9.99E+307,'Price History'!$A:$A))-'Price History'!T3)*(ROW()-3)/(MATCH(9.99E+307,'Returns (Calc)'!$A:$A)-3),"")</f>
        <v>42.9741509433962</v>
      </c>
      <c r="AO93" s="112" t="n">
        <f aca="false">IFERROR('Price History'!V3+(INDEX('Price History'!V:V,MATCH(9.99E+307,'Price History'!$A:$A))-'Price History'!V3)*(ROW()-3)/(MATCH(9.99E+307,'Returns (Calc)'!$A:$A)-3),"")</f>
        <v>212.303773584906</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V94" s="110" t="n">
        <f aca="false">IFERROR(IF(OR(NOT(ISNUMBER('Price History'!V95)),NOT(ISNUMBER('Price History'!V94)),'Price History'!V94=0),"",'Price History'!V95/'Price History'!V94-1),"")</f>
        <v>0.0374121359919666</v>
      </c>
      <c r="W94" s="111" t="n">
        <f aca="false">IFERROR('Price History'!B3+(INDEX('Price History'!B:B,MATCH(9.99E+307,'Price History'!$A:$A))-'Price History'!B3)*(ROW()-3)/(MATCH(9.99E+307,'Returns (Calc)'!$A:$A)-3),"")</f>
        <v>369.981194968553</v>
      </c>
      <c r="X94" s="111" t="n">
        <f aca="false">IFERROR('Price History'!C3+(INDEX('Price History'!C:C,MATCH(9.99E+307,'Price History'!$A:$A))-'Price History'!C3)*(ROW()-3)/(MATCH(9.99E+307,'Returns (Calc)'!$A:$A)-3),"")</f>
        <v>129.611949685535</v>
      </c>
      <c r="Y94" s="111" t="n">
        <f aca="false">IFERROR('Price History'!D3+(INDEX('Price History'!D:D,MATCH(9.99E+307,'Price History'!$A:$A))-'Price History'!D3)*(ROW()-3)/(MATCH(9.99E+307,'Returns (Calc)'!$A:$A)-3),"")</f>
        <v>1264.49761006289</v>
      </c>
      <c r="Z94" s="111" t="n">
        <f aca="false">IFERROR('Price History'!E3+(INDEX('Price History'!E:E,MATCH(9.99E+307,'Price History'!$A:$A))-'Price History'!E3)*(ROW()-3)/(MATCH(9.99E+307,'Returns (Calc)'!$A:$A)-3),"")</f>
        <v>240.324150943396</v>
      </c>
      <c r="AA94" s="111" t="n">
        <f aca="false">IFERROR('Price History'!F3+(INDEX('Price History'!F:F,MATCH(9.99E+307,'Price History'!$A:$A))-'Price History'!F3)*(ROW()-3)/(MATCH(9.99E+307,'Returns (Calc)'!$A:$A)-3),"")</f>
        <v>137.812452830189</v>
      </c>
      <c r="AB94" s="111" t="n">
        <f aca="false">IFERROR('Price History'!G3+(INDEX('Price History'!G:G,MATCH(9.99E+307,'Price History'!$A:$A))-'Price History'!G3)*(ROW()-3)/(MATCH(9.99E+307,'Returns (Calc)'!$A:$A)-3),"")</f>
        <v>126.709433962264</v>
      </c>
      <c r="AC94" s="111" t="n">
        <f aca="false">IFERROR('Price History'!H3+(INDEX('Price History'!H:H,MATCH(9.99E+307,'Price History'!$A:$A))-'Price History'!H3)*(ROW()-3)/(MATCH(9.99E+307,'Returns (Calc)'!$A:$A)-3),"")</f>
        <v>609.351257861635</v>
      </c>
      <c r="AD94" s="111" t="n">
        <f aca="false">IFERROR('Price History'!I3+(INDEX('Price History'!I:I,MATCH(9.99E+307,'Price History'!$A:$A))-'Price History'!I3)*(ROW()-3)/(MATCH(9.99E+307,'Returns (Calc)'!$A:$A)-3),"")</f>
        <v>149.311698113208</v>
      </c>
      <c r="AE94" s="111" t="n">
        <f aca="false">IFERROR('Price History'!J3+(INDEX('Price History'!J:J,MATCH(9.99E+307,'Price History'!$A:$A))-'Price History'!J3)*(ROW()-3)/(MATCH(9.99E+307,'Returns (Calc)'!$A:$A)-3),"")</f>
        <v>131.425283018868</v>
      </c>
      <c r="AF94" s="111" t="n">
        <f aca="false">IFERROR('Price History'!K3+(INDEX('Price History'!K:K,MATCH(9.99E+307,'Price History'!$A:$A))-'Price History'!K3)*(ROW()-3)/(MATCH(9.99E+307,'Returns (Calc)'!$A:$A)-3),"")</f>
        <v>106.364213836478</v>
      </c>
      <c r="AG94" s="111" t="n">
        <f aca="false">IFERROR('Price History'!L3+(INDEX('Price History'!L:L,MATCH(9.99E+307,'Price History'!$A:$A))-'Price History'!L3)*(ROW()-3)/(MATCH(9.99E+307,'Returns (Calc)'!$A:$A)-3),"")</f>
        <v>284.818427672956</v>
      </c>
      <c r="AH94" s="111" t="n">
        <f aca="false">IFERROR('Price History'!M3+(INDEX('Price History'!M:M,MATCH(9.99E+307,'Price History'!$A:$A))-'Price History'!M3)*(ROW()-3)/(MATCH(9.99E+307,'Returns (Calc)'!$A:$A)-3),"")</f>
        <v>174.886226415094</v>
      </c>
      <c r="AI94" s="111" t="n">
        <f aca="false">IFERROR('Price History'!N3+(INDEX('Price History'!N:N,MATCH(9.99E+307,'Price History'!$A:$A))-'Price History'!N3)*(ROW()-3)/(MATCH(9.99E+307,'Returns (Calc)'!$A:$A)-3),"")</f>
        <v>462.184905660377</v>
      </c>
      <c r="AJ94" s="111" t="n">
        <f aca="false">IFERROR('Price History'!O3+(INDEX('Price History'!O:O,MATCH(9.99E+307,'Price History'!$A:$A))-'Price History'!O3)*(ROW()-3)/(MATCH(9.99E+307,'Returns (Calc)'!$A:$A)-3),"")</f>
        <v>108.078176100629</v>
      </c>
      <c r="AK94" s="111" t="n">
        <f aca="false">IFERROR('Price History'!Q3+(INDEX('Price History'!Q:Q,MATCH(9.99E+307,'Price History'!$A:$A))-'Price History'!Q3)*(ROW()-3)/(MATCH(9.99E+307,'Returns (Calc)'!$A:$A)-3),"")</f>
        <v>61.2178616352201</v>
      </c>
      <c r="AL94" s="111" t="n">
        <f aca="false">IFERROR('Price History'!R3+(INDEX('Price History'!R:R,MATCH(9.99E+307,'Price History'!$A:$A))-'Price History'!R3)*(ROW()-3)/(MATCH(9.99E+307,'Returns (Calc)'!$A:$A)-3),"")</f>
        <v>54.7165408805031</v>
      </c>
      <c r="AM94" s="111" t="n">
        <f aca="false">IFERROR('Price History'!S3+(INDEX('Price History'!S:S,MATCH(9.99E+307,'Price History'!$A:$A))-'Price History'!S3)*(ROW()-3)/(MATCH(9.99E+307,'Returns (Calc)'!$A:$A)-3),"")</f>
        <v>110.724779874214</v>
      </c>
      <c r="AN94" s="111" t="n">
        <f aca="false">IFERROR('Price History'!T3+(INDEX('Price History'!T:T,MATCH(9.99E+307,'Price History'!$A:$A))-'Price History'!T3)*(ROW()-3)/(MATCH(9.99E+307,'Returns (Calc)'!$A:$A)-3),"")</f>
        <v>43.152641509434</v>
      </c>
      <c r="AO94" s="112" t="n">
        <f aca="false">IFERROR('Price History'!V3+(INDEX('Price History'!V:V,MATCH(9.99E+307,'Price History'!$A:$A))-'Price History'!V3)*(ROW()-3)/(MATCH(9.99E+307,'Returns (Calc)'!$A:$A)-3),"")</f>
        <v>214.662704402516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V95" s="110" t="n">
        <f aca="false">IFERROR(IF(OR(NOT(ISNUMBER('Price History'!V96)),NOT(ISNUMBER('Price History'!V95)),'Price History'!V95=0),"",'Price History'!V96/'Price History'!V95-1),"")</f>
        <v>-0.0317210099836831</v>
      </c>
      <c r="W95" s="111" t="n">
        <f aca="false">IFERROR('Price History'!B3+(INDEX('Price History'!B:B,MATCH(9.99E+307,'Price History'!$A:$A))-'Price History'!B3)*(ROW()-3)/(MATCH(9.99E+307,'Returns (Calc)'!$A:$A)-3),"")</f>
        <v>368.459559748428</v>
      </c>
      <c r="X95" s="111" t="n">
        <f aca="false">IFERROR('Price History'!C3+(INDEX('Price History'!C:C,MATCH(9.99E+307,'Price History'!$A:$A))-'Price History'!C3)*(ROW()-3)/(MATCH(9.99E+307,'Returns (Calc)'!$A:$A)-3),"")</f>
        <v>130.555597484277</v>
      </c>
      <c r="Y95" s="111" t="n">
        <f aca="false">IFERROR('Price History'!D3+(INDEX('Price History'!D:D,MATCH(9.99E+307,'Price History'!$A:$A))-'Price History'!D3)*(ROW()-3)/(MATCH(9.99E+307,'Returns (Calc)'!$A:$A)-3),"")</f>
        <v>1271.12088050314</v>
      </c>
      <c r="Z95" s="111" t="n">
        <f aca="false">IFERROR('Price History'!E3+(INDEX('Price History'!E:E,MATCH(9.99E+307,'Price History'!$A:$A))-'Price History'!E3)*(ROW()-3)/(MATCH(9.99E+307,'Returns (Calc)'!$A:$A)-3),"")</f>
        <v>242.05320754717</v>
      </c>
      <c r="AA95" s="111" t="n">
        <f aca="false">IFERROR('Price History'!F3+(INDEX('Price History'!F:F,MATCH(9.99E+307,'Price History'!$A:$A))-'Price History'!F3)*(ROW()-3)/(MATCH(9.99E+307,'Returns (Calc)'!$A:$A)-3),"")</f>
        <v>138.919622641509</v>
      </c>
      <c r="AB95" s="111" t="n">
        <f aca="false">IFERROR('Price History'!G3+(INDEX('Price History'!G:G,MATCH(9.99E+307,'Price History'!$A:$A))-'Price History'!G3)*(ROW()-3)/(MATCH(9.99E+307,'Returns (Calc)'!$A:$A)-3),"")</f>
        <v>127.575471698113</v>
      </c>
      <c r="AC95" s="111" t="n">
        <f aca="false">IFERROR('Price History'!H3+(INDEX('Price History'!H:H,MATCH(9.99E+307,'Price History'!$A:$A))-'Price History'!H3)*(ROW()-3)/(MATCH(9.99E+307,'Returns (Calc)'!$A:$A)-3),"")</f>
        <v>615.340062893082</v>
      </c>
      <c r="AD95" s="111" t="n">
        <f aca="false">IFERROR('Price History'!I3+(INDEX('Price History'!I:I,MATCH(9.99E+307,'Price History'!$A:$A))-'Price History'!I3)*(ROW()-3)/(MATCH(9.99E+307,'Returns (Calc)'!$A:$A)-3),"")</f>
        <v>150.50358490566</v>
      </c>
      <c r="AE95" s="111" t="n">
        <f aca="false">IFERROR('Price History'!J3+(INDEX('Price History'!J:J,MATCH(9.99E+307,'Price History'!$A:$A))-'Price History'!J3)*(ROW()-3)/(MATCH(9.99E+307,'Returns (Calc)'!$A:$A)-3),"")</f>
        <v>131.512264150943</v>
      </c>
      <c r="AF95" s="111" t="n">
        <f aca="false">IFERROR('Price History'!K3+(INDEX('Price History'!K:K,MATCH(9.99E+307,'Price History'!$A:$A))-'Price History'!K3)*(ROW()-3)/(MATCH(9.99E+307,'Returns (Calc)'!$A:$A)-3),"")</f>
        <v>107.363710691824</v>
      </c>
      <c r="AG95" s="111" t="n">
        <f aca="false">IFERROR('Price History'!L3+(INDEX('Price History'!L:L,MATCH(9.99E+307,'Price History'!$A:$A))-'Price History'!L3)*(ROW()-3)/(MATCH(9.99E+307,'Returns (Calc)'!$A:$A)-3),"")</f>
        <v>286.937421383648</v>
      </c>
      <c r="AH95" s="111" t="n">
        <f aca="false">IFERROR('Price History'!M3+(INDEX('Price History'!M:M,MATCH(9.99E+307,'Price History'!$A:$A))-'Price History'!M3)*(ROW()-3)/(MATCH(9.99E+307,'Returns (Calc)'!$A:$A)-3),"")</f>
        <v>176.439811320755</v>
      </c>
      <c r="AI95" s="111" t="n">
        <f aca="false">IFERROR('Price History'!N3+(INDEX('Price History'!N:N,MATCH(9.99E+307,'Price History'!$A:$A))-'Price History'!N3)*(ROW()-3)/(MATCH(9.99E+307,'Returns (Calc)'!$A:$A)-3),"")</f>
        <v>463.419245283019</v>
      </c>
      <c r="AJ95" s="111" t="n">
        <f aca="false">IFERROR('Price History'!O3+(INDEX('Price History'!O:O,MATCH(9.99E+307,'Price History'!$A:$A))-'Price History'!O3)*(ROW()-3)/(MATCH(9.99E+307,'Returns (Calc)'!$A:$A)-3),"")</f>
        <v>108.355408805031</v>
      </c>
      <c r="AK95" s="111" t="n">
        <f aca="false">IFERROR('Price History'!Q3+(INDEX('Price History'!Q:Q,MATCH(9.99E+307,'Price History'!$A:$A))-'Price History'!Q3)*(ROW()-3)/(MATCH(9.99E+307,'Returns (Calc)'!$A:$A)-3),"")</f>
        <v>61.342893081761</v>
      </c>
      <c r="AL95" s="111" t="n">
        <f aca="false">IFERROR('Price History'!R3+(INDEX('Price History'!R:R,MATCH(9.99E+307,'Price History'!$A:$A))-'Price History'!R3)*(ROW()-3)/(MATCH(9.99E+307,'Returns (Calc)'!$A:$A)-3),"")</f>
        <v>54.7923270440252</v>
      </c>
      <c r="AM95" s="111" t="n">
        <f aca="false">IFERROR('Price History'!S3+(INDEX('Price History'!S:S,MATCH(9.99E+307,'Price History'!$A:$A))-'Price History'!S3)*(ROW()-3)/(MATCH(9.99E+307,'Returns (Calc)'!$A:$A)-3),"")</f>
        <v>111.298238993711</v>
      </c>
      <c r="AN95" s="111" t="n">
        <f aca="false">IFERROR('Price History'!T3+(INDEX('Price History'!T:T,MATCH(9.99E+307,'Price History'!$A:$A))-'Price History'!T3)*(ROW()-3)/(MATCH(9.99E+307,'Returns (Calc)'!$A:$A)-3),"")</f>
        <v>43.3311320754717</v>
      </c>
      <c r="AO95" s="112" t="n">
        <f aca="false">IFERROR('Price History'!V3+(INDEX('Price History'!V:V,MATCH(9.99E+307,'Price History'!$A:$A))-'Price History'!V3)*(ROW()-3)/(MATCH(9.99E+307,'Returns (Calc)'!$A:$A)-3),"")</f>
        <v>217.021635220126</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V96" s="110" t="n">
        <f aca="false">IFERROR(IF(OR(NOT(ISNUMBER('Price History'!V97)),NOT(ISNUMBER('Price History'!V96)),'Price History'!V96=0),"",'Price History'!V97/'Price History'!V96-1),"")</f>
        <v>0.0329601279561294</v>
      </c>
      <c r="W96" s="111" t="n">
        <f aca="false">IFERROR('Price History'!B3+(INDEX('Price History'!B:B,MATCH(9.99E+307,'Price History'!$A:$A))-'Price History'!B3)*(ROW()-3)/(MATCH(9.99E+307,'Returns (Calc)'!$A:$A)-3),"")</f>
        <v>366.937924528302</v>
      </c>
      <c r="X96" s="111" t="n">
        <f aca="false">IFERROR('Price History'!C3+(INDEX('Price History'!C:C,MATCH(9.99E+307,'Price History'!$A:$A))-'Price History'!C3)*(ROW()-3)/(MATCH(9.99E+307,'Returns (Calc)'!$A:$A)-3),"")</f>
        <v>131.499245283019</v>
      </c>
      <c r="Y96" s="111" t="n">
        <f aca="false">IFERROR('Price History'!D3+(INDEX('Price History'!D:D,MATCH(9.99E+307,'Price History'!$A:$A))-'Price History'!D3)*(ROW()-3)/(MATCH(9.99E+307,'Returns (Calc)'!$A:$A)-3),"")</f>
        <v>1277.7441509434</v>
      </c>
      <c r="Z96" s="111" t="n">
        <f aca="false">IFERROR('Price History'!E3+(INDEX('Price History'!E:E,MATCH(9.99E+307,'Price History'!$A:$A))-'Price History'!E3)*(ROW()-3)/(MATCH(9.99E+307,'Returns (Calc)'!$A:$A)-3),"")</f>
        <v>243.782264150943</v>
      </c>
      <c r="AA96" s="111" t="n">
        <f aca="false">IFERROR('Price History'!F3+(INDEX('Price History'!F:F,MATCH(9.99E+307,'Price History'!$A:$A))-'Price History'!F3)*(ROW()-3)/(MATCH(9.99E+307,'Returns (Calc)'!$A:$A)-3),"")</f>
        <v>140.02679245283</v>
      </c>
      <c r="AB96" s="111" t="n">
        <f aca="false">IFERROR('Price History'!G3+(INDEX('Price History'!G:G,MATCH(9.99E+307,'Price History'!$A:$A))-'Price History'!G3)*(ROW()-3)/(MATCH(9.99E+307,'Returns (Calc)'!$A:$A)-3),"")</f>
        <v>128.441509433962</v>
      </c>
      <c r="AC96" s="111" t="n">
        <f aca="false">IFERROR('Price History'!H3+(INDEX('Price History'!H:H,MATCH(9.99E+307,'Price History'!$A:$A))-'Price History'!H3)*(ROW()-3)/(MATCH(9.99E+307,'Returns (Calc)'!$A:$A)-3),"")</f>
        <v>621.328867924528</v>
      </c>
      <c r="AD96" s="111" t="n">
        <f aca="false">IFERROR('Price History'!I3+(INDEX('Price History'!I:I,MATCH(9.99E+307,'Price History'!$A:$A))-'Price History'!I3)*(ROW()-3)/(MATCH(9.99E+307,'Returns (Calc)'!$A:$A)-3),"")</f>
        <v>151.695471698113</v>
      </c>
      <c r="AE96" s="111" t="n">
        <f aca="false">IFERROR('Price History'!J3+(INDEX('Price History'!J:J,MATCH(9.99E+307,'Price History'!$A:$A))-'Price History'!J3)*(ROW()-3)/(MATCH(9.99E+307,'Returns (Calc)'!$A:$A)-3),"")</f>
        <v>131.599245283019</v>
      </c>
      <c r="AF96" s="111" t="n">
        <f aca="false">IFERROR('Price History'!K3+(INDEX('Price History'!K:K,MATCH(9.99E+307,'Price History'!$A:$A))-'Price History'!K3)*(ROW()-3)/(MATCH(9.99E+307,'Returns (Calc)'!$A:$A)-3),"")</f>
        <v>108.36320754717</v>
      </c>
      <c r="AG96" s="111" t="n">
        <f aca="false">IFERROR('Price History'!L3+(INDEX('Price History'!L:L,MATCH(9.99E+307,'Price History'!$A:$A))-'Price History'!L3)*(ROW()-3)/(MATCH(9.99E+307,'Returns (Calc)'!$A:$A)-3),"")</f>
        <v>289.05641509434</v>
      </c>
      <c r="AH96" s="111" t="n">
        <f aca="false">IFERROR('Price History'!M3+(INDEX('Price History'!M:M,MATCH(9.99E+307,'Price History'!$A:$A))-'Price History'!M3)*(ROW()-3)/(MATCH(9.99E+307,'Returns (Calc)'!$A:$A)-3),"")</f>
        <v>177.993396226415</v>
      </c>
      <c r="AI96" s="111" t="n">
        <f aca="false">IFERROR('Price History'!N3+(INDEX('Price History'!N:N,MATCH(9.99E+307,'Price History'!$A:$A))-'Price History'!N3)*(ROW()-3)/(MATCH(9.99E+307,'Returns (Calc)'!$A:$A)-3),"")</f>
        <v>464.65358490566</v>
      </c>
      <c r="AJ96" s="111" t="n">
        <f aca="false">IFERROR('Price History'!O3+(INDEX('Price History'!O:O,MATCH(9.99E+307,'Price History'!$A:$A))-'Price History'!O3)*(ROW()-3)/(MATCH(9.99E+307,'Returns (Calc)'!$A:$A)-3),"")</f>
        <v>108.632641509434</v>
      </c>
      <c r="AK96" s="111" t="n">
        <f aca="false">IFERROR('Price History'!Q3+(INDEX('Price History'!Q:Q,MATCH(9.99E+307,'Price History'!$A:$A))-'Price History'!Q3)*(ROW()-3)/(MATCH(9.99E+307,'Returns (Calc)'!$A:$A)-3),"")</f>
        <v>61.4679245283019</v>
      </c>
      <c r="AL96" s="111" t="n">
        <f aca="false">IFERROR('Price History'!R3+(INDEX('Price History'!R:R,MATCH(9.99E+307,'Price History'!$A:$A))-'Price History'!R3)*(ROW()-3)/(MATCH(9.99E+307,'Returns (Calc)'!$A:$A)-3),"")</f>
        <v>54.8681132075472</v>
      </c>
      <c r="AM96" s="111" t="n">
        <f aca="false">IFERROR('Price History'!S3+(INDEX('Price History'!S:S,MATCH(9.99E+307,'Price History'!$A:$A))-'Price History'!S3)*(ROW()-3)/(MATCH(9.99E+307,'Returns (Calc)'!$A:$A)-3),"")</f>
        <v>111.871698113208</v>
      </c>
      <c r="AN96" s="111" t="n">
        <f aca="false">IFERROR('Price History'!T3+(INDEX('Price History'!T:T,MATCH(9.99E+307,'Price History'!$A:$A))-'Price History'!T3)*(ROW()-3)/(MATCH(9.99E+307,'Returns (Calc)'!$A:$A)-3),"")</f>
        <v>43.5096226415094</v>
      </c>
      <c r="AO96" s="112" t="n">
        <f aca="false">IFERROR('Price History'!V3+(INDEX('Price History'!V:V,MATCH(9.99E+307,'Price History'!$A:$A))-'Price History'!V3)*(ROW()-3)/(MATCH(9.99E+307,'Returns (Calc)'!$A:$A)-3),"")</f>
        <v>219.380566037736</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V97" s="110" t="n">
        <f aca="false">IFERROR(IF(OR(NOT(ISNUMBER('Price History'!V98)),NOT(ISNUMBER('Price History'!V97)),'Price History'!V97=0),"",'Price History'!V98/'Price History'!V97-1),"")</f>
        <v>0.0137698390753747</v>
      </c>
      <c r="W97" s="111" t="n">
        <f aca="false">IFERROR('Price History'!B3+(INDEX('Price History'!B:B,MATCH(9.99E+307,'Price History'!$A:$A))-'Price History'!B3)*(ROW()-3)/(MATCH(9.99E+307,'Returns (Calc)'!$A:$A)-3),"")</f>
        <v>365.416289308176</v>
      </c>
      <c r="X97" s="111" t="n">
        <f aca="false">IFERROR('Price History'!C3+(INDEX('Price History'!C:C,MATCH(9.99E+307,'Price History'!$A:$A))-'Price History'!C3)*(ROW()-3)/(MATCH(9.99E+307,'Returns (Calc)'!$A:$A)-3),"")</f>
        <v>132.442893081761</v>
      </c>
      <c r="Y97" s="111" t="n">
        <f aca="false">IFERROR('Price History'!D3+(INDEX('Price History'!D:D,MATCH(9.99E+307,'Price History'!$A:$A))-'Price History'!D3)*(ROW()-3)/(MATCH(9.99E+307,'Returns (Calc)'!$A:$A)-3),"")</f>
        <v>1284.36742138365</v>
      </c>
      <c r="Z97" s="111" t="n">
        <f aca="false">IFERROR('Price History'!E3+(INDEX('Price History'!E:E,MATCH(9.99E+307,'Price History'!$A:$A))-'Price History'!E3)*(ROW()-3)/(MATCH(9.99E+307,'Returns (Calc)'!$A:$A)-3),"")</f>
        <v>245.511320754717</v>
      </c>
      <c r="AA97" s="111" t="n">
        <f aca="false">IFERROR('Price History'!F3+(INDEX('Price History'!F:F,MATCH(9.99E+307,'Price History'!$A:$A))-'Price History'!F3)*(ROW()-3)/(MATCH(9.99E+307,'Returns (Calc)'!$A:$A)-3),"")</f>
        <v>141.133962264151</v>
      </c>
      <c r="AB97" s="111" t="n">
        <f aca="false">IFERROR('Price History'!G3+(INDEX('Price History'!G:G,MATCH(9.99E+307,'Price History'!$A:$A))-'Price History'!G3)*(ROW()-3)/(MATCH(9.99E+307,'Returns (Calc)'!$A:$A)-3),"")</f>
        <v>129.307547169811</v>
      </c>
      <c r="AC97" s="111" t="n">
        <f aca="false">IFERROR('Price History'!H3+(INDEX('Price History'!H:H,MATCH(9.99E+307,'Price History'!$A:$A))-'Price History'!H3)*(ROW()-3)/(MATCH(9.99E+307,'Returns (Calc)'!$A:$A)-3),"")</f>
        <v>627.317672955975</v>
      </c>
      <c r="AD97" s="111" t="n">
        <f aca="false">IFERROR('Price History'!I3+(INDEX('Price History'!I:I,MATCH(9.99E+307,'Price History'!$A:$A))-'Price History'!I3)*(ROW()-3)/(MATCH(9.99E+307,'Returns (Calc)'!$A:$A)-3),"")</f>
        <v>152.887358490566</v>
      </c>
      <c r="AE97" s="111" t="n">
        <f aca="false">IFERROR('Price History'!J3+(INDEX('Price History'!J:J,MATCH(9.99E+307,'Price History'!$A:$A))-'Price History'!J3)*(ROW()-3)/(MATCH(9.99E+307,'Returns (Calc)'!$A:$A)-3),"")</f>
        <v>131.686226415094</v>
      </c>
      <c r="AF97" s="111" t="n">
        <f aca="false">IFERROR('Price History'!K3+(INDEX('Price History'!K:K,MATCH(9.99E+307,'Price History'!$A:$A))-'Price History'!K3)*(ROW()-3)/(MATCH(9.99E+307,'Returns (Calc)'!$A:$A)-3),"")</f>
        <v>109.362704402516</v>
      </c>
      <c r="AG97" s="111" t="n">
        <f aca="false">IFERROR('Price History'!L3+(INDEX('Price History'!L:L,MATCH(9.99E+307,'Price History'!$A:$A))-'Price History'!L3)*(ROW()-3)/(MATCH(9.99E+307,'Returns (Calc)'!$A:$A)-3),"")</f>
        <v>291.175408805031</v>
      </c>
      <c r="AH97" s="111" t="n">
        <f aca="false">IFERROR('Price History'!M3+(INDEX('Price History'!M:M,MATCH(9.99E+307,'Price History'!$A:$A))-'Price History'!M3)*(ROW()-3)/(MATCH(9.99E+307,'Returns (Calc)'!$A:$A)-3),"")</f>
        <v>179.546981132075</v>
      </c>
      <c r="AI97" s="111" t="n">
        <f aca="false">IFERROR('Price History'!N3+(INDEX('Price History'!N:N,MATCH(9.99E+307,'Price History'!$A:$A))-'Price History'!N3)*(ROW()-3)/(MATCH(9.99E+307,'Returns (Calc)'!$A:$A)-3),"")</f>
        <v>465.887924528302</v>
      </c>
      <c r="AJ97" s="111" t="n">
        <f aca="false">IFERROR('Price History'!O3+(INDEX('Price History'!O:O,MATCH(9.99E+307,'Price History'!$A:$A))-'Price History'!O3)*(ROW()-3)/(MATCH(9.99E+307,'Returns (Calc)'!$A:$A)-3),"")</f>
        <v>108.909874213836</v>
      </c>
      <c r="AK97" s="111" t="n">
        <f aca="false">IFERROR('Price History'!Q3+(INDEX('Price History'!Q:Q,MATCH(9.99E+307,'Price History'!$A:$A))-'Price History'!Q3)*(ROW()-3)/(MATCH(9.99E+307,'Returns (Calc)'!$A:$A)-3),"")</f>
        <v>61.5929559748428</v>
      </c>
      <c r="AL97" s="111" t="n">
        <f aca="false">IFERROR('Price History'!R3+(INDEX('Price History'!R:R,MATCH(9.99E+307,'Price History'!$A:$A))-'Price History'!R3)*(ROW()-3)/(MATCH(9.99E+307,'Returns (Calc)'!$A:$A)-3),"")</f>
        <v>54.9438993710692</v>
      </c>
      <c r="AM97" s="111" t="n">
        <f aca="false">IFERROR('Price History'!S3+(INDEX('Price History'!S:S,MATCH(9.99E+307,'Price History'!$A:$A))-'Price History'!S3)*(ROW()-3)/(MATCH(9.99E+307,'Returns (Calc)'!$A:$A)-3),"")</f>
        <v>112.445157232704</v>
      </c>
      <c r="AN97" s="111" t="n">
        <f aca="false">IFERROR('Price History'!T3+(INDEX('Price History'!T:T,MATCH(9.99E+307,'Price History'!$A:$A))-'Price History'!T3)*(ROW()-3)/(MATCH(9.99E+307,'Returns (Calc)'!$A:$A)-3),"")</f>
        <v>43.6881132075472</v>
      </c>
      <c r="AO97" s="112" t="n">
        <f aca="false">IFERROR('Price History'!V3+(INDEX('Price History'!V:V,MATCH(9.99E+307,'Price History'!$A:$A))-'Price History'!V3)*(ROW()-3)/(MATCH(9.99E+307,'Returns (Calc)'!$A:$A)-3),"")</f>
        <v>221.739496855346</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V98" s="110" t="n">
        <f aca="false">IFERROR(IF(OR(NOT(ISNUMBER('Price History'!V99)),NOT(ISNUMBER('Price History'!V98)),'Price History'!V98=0),"",'Price History'!V99/'Price History'!V98-1),"")</f>
        <v>-0.0469125027274711</v>
      </c>
      <c r="W98" s="111" t="n">
        <f aca="false">IFERROR('Price History'!B3+(INDEX('Price History'!B:B,MATCH(9.99E+307,'Price History'!$A:$A))-'Price History'!B3)*(ROW()-3)/(MATCH(9.99E+307,'Returns (Calc)'!$A:$A)-3),"")</f>
        <v>363.89465408805</v>
      </c>
      <c r="X98" s="111" t="n">
        <f aca="false">IFERROR('Price History'!C3+(INDEX('Price History'!C:C,MATCH(9.99E+307,'Price History'!$A:$A))-'Price History'!C3)*(ROW()-3)/(MATCH(9.99E+307,'Returns (Calc)'!$A:$A)-3),"")</f>
        <v>133.386540880503</v>
      </c>
      <c r="Y98" s="111" t="n">
        <f aca="false">IFERROR('Price History'!D3+(INDEX('Price History'!D:D,MATCH(9.99E+307,'Price History'!$A:$A))-'Price History'!D3)*(ROW()-3)/(MATCH(9.99E+307,'Returns (Calc)'!$A:$A)-3),"")</f>
        <v>1290.9906918239</v>
      </c>
      <c r="Z98" s="111" t="n">
        <f aca="false">IFERROR('Price History'!E3+(INDEX('Price History'!E:E,MATCH(9.99E+307,'Price History'!$A:$A))-'Price History'!E3)*(ROW()-3)/(MATCH(9.99E+307,'Returns (Calc)'!$A:$A)-3),"")</f>
        <v>247.240377358491</v>
      </c>
      <c r="AA98" s="111" t="n">
        <f aca="false">IFERROR('Price History'!F3+(INDEX('Price History'!F:F,MATCH(9.99E+307,'Price History'!$A:$A))-'Price History'!F3)*(ROW()-3)/(MATCH(9.99E+307,'Returns (Calc)'!$A:$A)-3),"")</f>
        <v>142.241132075472</v>
      </c>
      <c r="AB98" s="111" t="n">
        <f aca="false">IFERROR('Price History'!G3+(INDEX('Price History'!G:G,MATCH(9.99E+307,'Price History'!$A:$A))-'Price History'!G3)*(ROW()-3)/(MATCH(9.99E+307,'Returns (Calc)'!$A:$A)-3),"")</f>
        <v>130.17358490566</v>
      </c>
      <c r="AC98" s="111" t="n">
        <f aca="false">IFERROR('Price History'!H3+(INDEX('Price History'!H:H,MATCH(9.99E+307,'Price History'!$A:$A))-'Price History'!H3)*(ROW()-3)/(MATCH(9.99E+307,'Returns (Calc)'!$A:$A)-3),"")</f>
        <v>633.306477987421</v>
      </c>
      <c r="AD98" s="111" t="n">
        <f aca="false">IFERROR('Price History'!I3+(INDEX('Price History'!I:I,MATCH(9.99E+307,'Price History'!$A:$A))-'Price History'!I3)*(ROW()-3)/(MATCH(9.99E+307,'Returns (Calc)'!$A:$A)-3),"")</f>
        <v>154.079245283019</v>
      </c>
      <c r="AE98" s="111" t="n">
        <f aca="false">IFERROR('Price History'!J3+(INDEX('Price History'!J:J,MATCH(9.99E+307,'Price History'!$A:$A))-'Price History'!J3)*(ROW()-3)/(MATCH(9.99E+307,'Returns (Calc)'!$A:$A)-3),"")</f>
        <v>131.77320754717</v>
      </c>
      <c r="AF98" s="111" t="n">
        <f aca="false">IFERROR('Price History'!K3+(INDEX('Price History'!K:K,MATCH(9.99E+307,'Price History'!$A:$A))-'Price History'!K3)*(ROW()-3)/(MATCH(9.99E+307,'Returns (Calc)'!$A:$A)-3),"")</f>
        <v>110.362201257862</v>
      </c>
      <c r="AG98" s="111" t="n">
        <f aca="false">IFERROR('Price History'!L3+(INDEX('Price History'!L:L,MATCH(9.99E+307,'Price History'!$A:$A))-'Price History'!L3)*(ROW()-3)/(MATCH(9.99E+307,'Returns (Calc)'!$A:$A)-3),"")</f>
        <v>293.294402515723</v>
      </c>
      <c r="AH98" s="111" t="n">
        <f aca="false">IFERROR('Price History'!M3+(INDEX('Price History'!M:M,MATCH(9.99E+307,'Price History'!$A:$A))-'Price History'!M3)*(ROW()-3)/(MATCH(9.99E+307,'Returns (Calc)'!$A:$A)-3),"")</f>
        <v>181.100566037736</v>
      </c>
      <c r="AI98" s="111" t="n">
        <f aca="false">IFERROR('Price History'!N3+(INDEX('Price History'!N:N,MATCH(9.99E+307,'Price History'!$A:$A))-'Price History'!N3)*(ROW()-3)/(MATCH(9.99E+307,'Returns (Calc)'!$A:$A)-3),"")</f>
        <v>467.122264150943</v>
      </c>
      <c r="AJ98" s="111" t="n">
        <f aca="false">IFERROR('Price History'!O3+(INDEX('Price History'!O:O,MATCH(9.99E+307,'Price History'!$A:$A))-'Price History'!O3)*(ROW()-3)/(MATCH(9.99E+307,'Returns (Calc)'!$A:$A)-3),"")</f>
        <v>109.187106918239</v>
      </c>
      <c r="AK98" s="111" t="n">
        <f aca="false">IFERROR('Price History'!Q3+(INDEX('Price History'!Q:Q,MATCH(9.99E+307,'Price History'!$A:$A))-'Price History'!Q3)*(ROW()-3)/(MATCH(9.99E+307,'Returns (Calc)'!$A:$A)-3),"")</f>
        <v>61.7179874213837</v>
      </c>
      <c r="AL98" s="111" t="n">
        <f aca="false">IFERROR('Price History'!R3+(INDEX('Price History'!R:R,MATCH(9.99E+307,'Price History'!$A:$A))-'Price History'!R3)*(ROW()-3)/(MATCH(9.99E+307,'Returns (Calc)'!$A:$A)-3),"")</f>
        <v>55.0196855345912</v>
      </c>
      <c r="AM98" s="111" t="n">
        <f aca="false">IFERROR('Price History'!S3+(INDEX('Price History'!S:S,MATCH(9.99E+307,'Price History'!$A:$A))-'Price History'!S3)*(ROW()-3)/(MATCH(9.99E+307,'Returns (Calc)'!$A:$A)-3),"")</f>
        <v>113.018616352201</v>
      </c>
      <c r="AN98" s="111" t="n">
        <f aca="false">IFERROR('Price History'!T3+(INDEX('Price History'!T:T,MATCH(9.99E+307,'Price History'!$A:$A))-'Price History'!T3)*(ROW()-3)/(MATCH(9.99E+307,'Returns (Calc)'!$A:$A)-3),"")</f>
        <v>43.8666037735849</v>
      </c>
      <c r="AO98" s="112" t="n">
        <f aca="false">IFERROR('Price History'!V3+(INDEX('Price History'!V:V,MATCH(9.99E+307,'Price History'!$A:$A))-'Price History'!V3)*(ROW()-3)/(MATCH(9.99E+307,'Returns (Calc)'!$A:$A)-3),"")</f>
        <v>224.098427672956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V99" s="110" t="n">
        <f aca="false">IFERROR(IF(OR(NOT(ISNUMBER('Price History'!V100)),NOT(ISNUMBER('Price History'!V99)),'Price History'!V99=0),"",'Price History'!V100/'Price History'!V99-1),"")</f>
        <v>-0.0404933608058607</v>
      </c>
      <c r="W99" s="111" t="n">
        <f aca="false">IFERROR('Price History'!B3+(INDEX('Price History'!B:B,MATCH(9.99E+307,'Price History'!$A:$A))-'Price History'!B3)*(ROW()-3)/(MATCH(9.99E+307,'Returns (Calc)'!$A:$A)-3),"")</f>
        <v>362.373018867925</v>
      </c>
      <c r="X99" s="111" t="n">
        <f aca="false">IFERROR('Price History'!C3+(INDEX('Price History'!C:C,MATCH(9.99E+307,'Price History'!$A:$A))-'Price History'!C3)*(ROW()-3)/(MATCH(9.99E+307,'Returns (Calc)'!$A:$A)-3),"")</f>
        <v>134.330188679245</v>
      </c>
      <c r="Y99" s="111" t="n">
        <f aca="false">IFERROR('Price History'!D3+(INDEX('Price History'!D:D,MATCH(9.99E+307,'Price History'!$A:$A))-'Price History'!D3)*(ROW()-3)/(MATCH(9.99E+307,'Returns (Calc)'!$A:$A)-3),"")</f>
        <v>1297.61396226415</v>
      </c>
      <c r="Z99" s="111" t="n">
        <f aca="false">IFERROR('Price History'!E3+(INDEX('Price History'!E:E,MATCH(9.99E+307,'Price History'!$A:$A))-'Price History'!E3)*(ROW()-3)/(MATCH(9.99E+307,'Returns (Calc)'!$A:$A)-3),"")</f>
        <v>248.969433962264</v>
      </c>
      <c r="AA99" s="111" t="n">
        <f aca="false">IFERROR('Price History'!F3+(INDEX('Price History'!F:F,MATCH(9.99E+307,'Price History'!$A:$A))-'Price History'!F3)*(ROW()-3)/(MATCH(9.99E+307,'Returns (Calc)'!$A:$A)-3),"")</f>
        <v>143.348301886792</v>
      </c>
      <c r="AB99" s="111" t="n">
        <f aca="false">IFERROR('Price History'!G3+(INDEX('Price History'!G:G,MATCH(9.99E+307,'Price History'!$A:$A))-'Price History'!G3)*(ROW()-3)/(MATCH(9.99E+307,'Returns (Calc)'!$A:$A)-3),"")</f>
        <v>131.039622641509</v>
      </c>
      <c r="AC99" s="111" t="n">
        <f aca="false">IFERROR('Price History'!H3+(INDEX('Price History'!H:H,MATCH(9.99E+307,'Price History'!$A:$A))-'Price History'!H3)*(ROW()-3)/(MATCH(9.99E+307,'Returns (Calc)'!$A:$A)-3),"")</f>
        <v>639.295283018868</v>
      </c>
      <c r="AD99" s="111" t="n">
        <f aca="false">IFERROR('Price History'!I3+(INDEX('Price History'!I:I,MATCH(9.99E+307,'Price History'!$A:$A))-'Price History'!I3)*(ROW()-3)/(MATCH(9.99E+307,'Returns (Calc)'!$A:$A)-3),"")</f>
        <v>155.271132075472</v>
      </c>
      <c r="AE99" s="111" t="n">
        <f aca="false">IFERROR('Price History'!J3+(INDEX('Price History'!J:J,MATCH(9.99E+307,'Price History'!$A:$A))-'Price History'!J3)*(ROW()-3)/(MATCH(9.99E+307,'Returns (Calc)'!$A:$A)-3),"")</f>
        <v>131.860188679245</v>
      </c>
      <c r="AF99" s="111" t="n">
        <f aca="false">IFERROR('Price History'!K3+(INDEX('Price History'!K:K,MATCH(9.99E+307,'Price History'!$A:$A))-'Price History'!K3)*(ROW()-3)/(MATCH(9.99E+307,'Returns (Calc)'!$A:$A)-3),"")</f>
        <v>111.361698113208</v>
      </c>
      <c r="AG99" s="111" t="n">
        <f aca="false">IFERROR('Price History'!L3+(INDEX('Price History'!L:L,MATCH(9.99E+307,'Price History'!$A:$A))-'Price History'!L3)*(ROW()-3)/(MATCH(9.99E+307,'Returns (Calc)'!$A:$A)-3),"")</f>
        <v>295.413396226415</v>
      </c>
      <c r="AH99" s="111" t="n">
        <f aca="false">IFERROR('Price History'!M3+(INDEX('Price History'!M:M,MATCH(9.99E+307,'Price History'!$A:$A))-'Price History'!M3)*(ROW()-3)/(MATCH(9.99E+307,'Returns (Calc)'!$A:$A)-3),"")</f>
        <v>182.654150943396</v>
      </c>
      <c r="AI99" s="111" t="n">
        <f aca="false">IFERROR('Price History'!N3+(INDEX('Price History'!N:N,MATCH(9.99E+307,'Price History'!$A:$A))-'Price History'!N3)*(ROW()-3)/(MATCH(9.99E+307,'Returns (Calc)'!$A:$A)-3),"")</f>
        <v>468.356603773585</v>
      </c>
      <c r="AJ99" s="111" t="n">
        <f aca="false">IFERROR('Price History'!O3+(INDEX('Price History'!O:O,MATCH(9.99E+307,'Price History'!$A:$A))-'Price History'!O3)*(ROW()-3)/(MATCH(9.99E+307,'Returns (Calc)'!$A:$A)-3),"")</f>
        <v>109.464339622642</v>
      </c>
      <c r="AK99" s="111" t="n">
        <f aca="false">IFERROR('Price History'!Q3+(INDEX('Price History'!Q:Q,MATCH(9.99E+307,'Price History'!$A:$A))-'Price History'!Q3)*(ROW()-3)/(MATCH(9.99E+307,'Returns (Calc)'!$A:$A)-3),"")</f>
        <v>61.8430188679245</v>
      </c>
      <c r="AL99" s="111" t="n">
        <f aca="false">IFERROR('Price History'!R3+(INDEX('Price History'!R:R,MATCH(9.99E+307,'Price History'!$A:$A))-'Price History'!R3)*(ROW()-3)/(MATCH(9.99E+307,'Returns (Calc)'!$A:$A)-3),"")</f>
        <v>55.0954716981132</v>
      </c>
      <c r="AM99" s="111" t="n">
        <f aca="false">IFERROR('Price History'!S3+(INDEX('Price History'!S:S,MATCH(9.99E+307,'Price History'!$A:$A))-'Price History'!S3)*(ROW()-3)/(MATCH(9.99E+307,'Returns (Calc)'!$A:$A)-3),"")</f>
        <v>113.592075471698</v>
      </c>
      <c r="AN99" s="111" t="n">
        <f aca="false">IFERROR('Price History'!T3+(INDEX('Price History'!T:T,MATCH(9.99E+307,'Price History'!$A:$A))-'Price History'!T3)*(ROW()-3)/(MATCH(9.99E+307,'Returns (Calc)'!$A:$A)-3),"")</f>
        <v>44.0450943396226</v>
      </c>
      <c r="AO99" s="112" t="n">
        <f aca="false">IFERROR('Price History'!V3+(INDEX('Price History'!V:V,MATCH(9.99E+307,'Price History'!$A:$A))-'Price History'!V3)*(ROW()-3)/(MATCH(9.99E+307,'Returns (Calc)'!$A:$A)-3),"")</f>
        <v>226.457358490566</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V100" s="110" t="n">
        <f aca="false">IFERROR(IF(OR(NOT(ISNUMBER('Price History'!V101)),NOT(ISNUMBER('Price History'!V100)),'Price History'!V100=0),"",'Price History'!V101/'Price History'!V100-1),"")</f>
        <v>0.0296758030361777</v>
      </c>
      <c r="W100" s="111" t="n">
        <f aca="false">IFERROR('Price History'!B3+(INDEX('Price History'!B:B,MATCH(9.99E+307,'Price History'!$A:$A))-'Price History'!B3)*(ROW()-3)/(MATCH(9.99E+307,'Returns (Calc)'!$A:$A)-3),"")</f>
        <v>360.851383647799</v>
      </c>
      <c r="X100" s="111" t="n">
        <f aca="false">IFERROR('Price History'!C3+(INDEX('Price History'!C:C,MATCH(9.99E+307,'Price History'!$A:$A))-'Price History'!C3)*(ROW()-3)/(MATCH(9.99E+307,'Returns (Calc)'!$A:$A)-3),"")</f>
        <v>135.273836477987</v>
      </c>
      <c r="Y100" s="111" t="n">
        <f aca="false">IFERROR('Price History'!D3+(INDEX('Price History'!D:D,MATCH(9.99E+307,'Price History'!$A:$A))-'Price History'!D3)*(ROW()-3)/(MATCH(9.99E+307,'Returns (Calc)'!$A:$A)-3),"")</f>
        <v>1304.2372327044</v>
      </c>
      <c r="Z100" s="111" t="n">
        <f aca="false">IFERROR('Price History'!E3+(INDEX('Price History'!E:E,MATCH(9.99E+307,'Price History'!$A:$A))-'Price History'!E3)*(ROW()-3)/(MATCH(9.99E+307,'Returns (Calc)'!$A:$A)-3),"")</f>
        <v>250.698490566038</v>
      </c>
      <c r="AA100" s="111" t="n">
        <f aca="false">IFERROR('Price History'!F3+(INDEX('Price History'!F:F,MATCH(9.99E+307,'Price History'!$A:$A))-'Price History'!F3)*(ROW()-3)/(MATCH(9.99E+307,'Returns (Calc)'!$A:$A)-3),"")</f>
        <v>144.455471698113</v>
      </c>
      <c r="AB100" s="111" t="n">
        <f aca="false">IFERROR('Price History'!G3+(INDEX('Price History'!G:G,MATCH(9.99E+307,'Price History'!$A:$A))-'Price History'!G3)*(ROW()-3)/(MATCH(9.99E+307,'Returns (Calc)'!$A:$A)-3),"")</f>
        <v>131.905660377359</v>
      </c>
      <c r="AC100" s="111" t="n">
        <f aca="false">IFERROR('Price History'!H3+(INDEX('Price History'!H:H,MATCH(9.99E+307,'Price History'!$A:$A))-'Price History'!H3)*(ROW()-3)/(MATCH(9.99E+307,'Returns (Calc)'!$A:$A)-3),"")</f>
        <v>645.284088050315</v>
      </c>
      <c r="AD100" s="111" t="n">
        <f aca="false">IFERROR('Price History'!I3+(INDEX('Price History'!I:I,MATCH(9.99E+307,'Price History'!$A:$A))-'Price History'!I3)*(ROW()-3)/(MATCH(9.99E+307,'Returns (Calc)'!$A:$A)-3),"")</f>
        <v>156.463018867925</v>
      </c>
      <c r="AE100" s="111" t="n">
        <f aca="false">IFERROR('Price History'!J3+(INDEX('Price History'!J:J,MATCH(9.99E+307,'Price History'!$A:$A))-'Price History'!J3)*(ROW()-3)/(MATCH(9.99E+307,'Returns (Calc)'!$A:$A)-3),"")</f>
        <v>131.947169811321</v>
      </c>
      <c r="AF100" s="111" t="n">
        <f aca="false">IFERROR('Price History'!K3+(INDEX('Price History'!K:K,MATCH(9.99E+307,'Price History'!$A:$A))-'Price History'!K3)*(ROW()-3)/(MATCH(9.99E+307,'Returns (Calc)'!$A:$A)-3),"")</f>
        <v>112.361194968553</v>
      </c>
      <c r="AG100" s="111" t="n">
        <f aca="false">IFERROR('Price History'!L3+(INDEX('Price History'!L:L,MATCH(9.99E+307,'Price History'!$A:$A))-'Price History'!L3)*(ROW()-3)/(MATCH(9.99E+307,'Returns (Calc)'!$A:$A)-3),"")</f>
        <v>297.532389937107</v>
      </c>
      <c r="AH100" s="111" t="n">
        <f aca="false">IFERROR('Price History'!M3+(INDEX('Price History'!M:M,MATCH(9.99E+307,'Price History'!$A:$A))-'Price History'!M3)*(ROW()-3)/(MATCH(9.99E+307,'Returns (Calc)'!$A:$A)-3),"")</f>
        <v>184.207735849057</v>
      </c>
      <c r="AI100" s="111" t="n">
        <f aca="false">IFERROR('Price History'!N3+(INDEX('Price History'!N:N,MATCH(9.99E+307,'Price History'!$A:$A))-'Price History'!N3)*(ROW()-3)/(MATCH(9.99E+307,'Returns (Calc)'!$A:$A)-3),"")</f>
        <v>469.590943396226</v>
      </c>
      <c r="AJ100" s="111" t="n">
        <f aca="false">IFERROR('Price History'!O3+(INDEX('Price History'!O:O,MATCH(9.99E+307,'Price History'!$A:$A))-'Price History'!O3)*(ROW()-3)/(MATCH(9.99E+307,'Returns (Calc)'!$A:$A)-3),"")</f>
        <v>109.741572327044</v>
      </c>
      <c r="AK100" s="111" t="n">
        <f aca="false">IFERROR('Price History'!Q3+(INDEX('Price History'!Q:Q,MATCH(9.99E+307,'Price History'!$A:$A))-'Price History'!Q3)*(ROW()-3)/(MATCH(9.99E+307,'Returns (Calc)'!$A:$A)-3),"")</f>
        <v>61.9680503144654</v>
      </c>
      <c r="AL100" s="111" t="n">
        <f aca="false">IFERROR('Price History'!R3+(INDEX('Price History'!R:R,MATCH(9.99E+307,'Price History'!$A:$A))-'Price History'!R3)*(ROW()-3)/(MATCH(9.99E+307,'Returns (Calc)'!$A:$A)-3),"")</f>
        <v>55.1712578616352</v>
      </c>
      <c r="AM100" s="111" t="n">
        <f aca="false">IFERROR('Price History'!S3+(INDEX('Price History'!S:S,MATCH(9.99E+307,'Price History'!$A:$A))-'Price History'!S3)*(ROW()-3)/(MATCH(9.99E+307,'Returns (Calc)'!$A:$A)-3),"")</f>
        <v>114.165534591195</v>
      </c>
      <c r="AN100" s="111" t="n">
        <f aca="false">IFERROR('Price History'!T3+(INDEX('Price History'!T:T,MATCH(9.99E+307,'Price History'!$A:$A))-'Price History'!T3)*(ROW()-3)/(MATCH(9.99E+307,'Returns (Calc)'!$A:$A)-3),"")</f>
        <v>44.2235849056604</v>
      </c>
      <c r="AO100" s="112" t="n">
        <f aca="false">IFERROR('Price History'!V3+(INDEX('Price History'!V:V,MATCH(9.99E+307,'Price History'!$A:$A))-'Price History'!V3)*(ROW()-3)/(MATCH(9.99E+307,'Returns (Calc)'!$A:$A)-3),"")</f>
        <v>228.816289308176</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V101" s="110" t="str">
        <f aca="false">IFERROR(IF(OR(NOT(ISNUMBER('Price History'!V102)),NOT(ISNUMBER('Price History'!V101)),'Price History'!V101=0),"",'Price History'!V102/'Price History'!V101-1),"")</f>
        <v/>
      </c>
      <c r="W101" s="111" t="n">
        <f aca="false">IFERROR('Price History'!B3+(INDEX('Price History'!B:B,MATCH(9.99E+307,'Price History'!$A:$A))-'Price History'!B3)*(ROW()-3)/(MATCH(9.99E+307,'Returns (Calc)'!$A:$A)-3),"")</f>
        <v>359.329748427673</v>
      </c>
      <c r="X101" s="111" t="n">
        <f aca="false">IFERROR('Price History'!C3+(INDEX('Price History'!C:C,MATCH(9.99E+307,'Price History'!$A:$A))-'Price History'!C3)*(ROW()-3)/(MATCH(9.99E+307,'Returns (Calc)'!$A:$A)-3),"")</f>
        <v>136.21748427673</v>
      </c>
      <c r="Y101" s="111" t="n">
        <f aca="false">IFERROR('Price History'!D3+(INDEX('Price History'!D:D,MATCH(9.99E+307,'Price History'!$A:$A))-'Price History'!D3)*(ROW()-3)/(MATCH(9.99E+307,'Returns (Calc)'!$A:$A)-3),"")</f>
        <v>1310.86050314465</v>
      </c>
      <c r="Z101" s="111" t="n">
        <f aca="false">IFERROR('Price History'!E3+(INDEX('Price History'!E:E,MATCH(9.99E+307,'Price History'!$A:$A))-'Price History'!E3)*(ROW()-3)/(MATCH(9.99E+307,'Returns (Calc)'!$A:$A)-3),"")</f>
        <v>252.427547169811</v>
      </c>
      <c r="AA101" s="111" t="n">
        <f aca="false">IFERROR('Price History'!F3+(INDEX('Price History'!F:F,MATCH(9.99E+307,'Price History'!$A:$A))-'Price History'!F3)*(ROW()-3)/(MATCH(9.99E+307,'Returns (Calc)'!$A:$A)-3),"")</f>
        <v>145.562641509434</v>
      </c>
      <c r="AB101" s="111" t="n">
        <f aca="false">IFERROR('Price History'!G3+(INDEX('Price History'!G:G,MATCH(9.99E+307,'Price History'!$A:$A))-'Price History'!G3)*(ROW()-3)/(MATCH(9.99E+307,'Returns (Calc)'!$A:$A)-3),"")</f>
        <v>132.771698113208</v>
      </c>
      <c r="AC101" s="111" t="n">
        <f aca="false">IFERROR('Price History'!H3+(INDEX('Price History'!H:H,MATCH(9.99E+307,'Price History'!$A:$A))-'Price History'!H3)*(ROW()-3)/(MATCH(9.99E+307,'Returns (Calc)'!$A:$A)-3),"")</f>
        <v>651.272893081761</v>
      </c>
      <c r="AD101" s="111" t="n">
        <f aca="false">IFERROR('Price History'!I3+(INDEX('Price History'!I:I,MATCH(9.99E+307,'Price History'!$A:$A))-'Price History'!I3)*(ROW()-3)/(MATCH(9.99E+307,'Returns (Calc)'!$A:$A)-3),"")</f>
        <v>157.654905660377</v>
      </c>
      <c r="AE101" s="111" t="n">
        <f aca="false">IFERROR('Price History'!J3+(INDEX('Price History'!J:J,MATCH(9.99E+307,'Price History'!$A:$A))-'Price History'!J3)*(ROW()-3)/(MATCH(9.99E+307,'Returns (Calc)'!$A:$A)-3),"")</f>
        <v>132.034150943396</v>
      </c>
      <c r="AF101" s="111" t="n">
        <f aca="false">IFERROR('Price History'!K3+(INDEX('Price History'!K:K,MATCH(9.99E+307,'Price History'!$A:$A))-'Price History'!K3)*(ROW()-3)/(MATCH(9.99E+307,'Returns (Calc)'!$A:$A)-3),"")</f>
        <v>113.360691823899</v>
      </c>
      <c r="AG101" s="111" t="n">
        <f aca="false">IFERROR('Price History'!L3+(INDEX('Price History'!L:L,MATCH(9.99E+307,'Price History'!$A:$A))-'Price History'!L3)*(ROW()-3)/(MATCH(9.99E+307,'Returns (Calc)'!$A:$A)-3),"")</f>
        <v>299.651383647799</v>
      </c>
      <c r="AH101" s="111" t="n">
        <f aca="false">IFERROR('Price History'!M3+(INDEX('Price History'!M:M,MATCH(9.99E+307,'Price History'!$A:$A))-'Price History'!M3)*(ROW()-3)/(MATCH(9.99E+307,'Returns (Calc)'!$A:$A)-3),"")</f>
        <v>185.761320754717</v>
      </c>
      <c r="AI101" s="111" t="n">
        <f aca="false">IFERROR('Price History'!N3+(INDEX('Price History'!N:N,MATCH(9.99E+307,'Price History'!$A:$A))-'Price History'!N3)*(ROW()-3)/(MATCH(9.99E+307,'Returns (Calc)'!$A:$A)-3),"")</f>
        <v>470.825283018868</v>
      </c>
      <c r="AJ101" s="111" t="n">
        <f aca="false">IFERROR('Price History'!O3+(INDEX('Price History'!O:O,MATCH(9.99E+307,'Price History'!$A:$A))-'Price History'!O3)*(ROW()-3)/(MATCH(9.99E+307,'Returns (Calc)'!$A:$A)-3),"")</f>
        <v>110.018805031447</v>
      </c>
      <c r="AK101" s="111" t="n">
        <f aca="false">IFERROR('Price History'!Q3+(INDEX('Price History'!Q:Q,MATCH(9.99E+307,'Price History'!$A:$A))-'Price History'!Q3)*(ROW()-3)/(MATCH(9.99E+307,'Returns (Calc)'!$A:$A)-3),"")</f>
        <v>62.0930817610063</v>
      </c>
      <c r="AL101" s="111" t="n">
        <f aca="false">IFERROR('Price History'!R3+(INDEX('Price History'!R:R,MATCH(9.99E+307,'Price History'!$A:$A))-'Price History'!R3)*(ROW()-3)/(MATCH(9.99E+307,'Returns (Calc)'!$A:$A)-3),"")</f>
        <v>55.2470440251572</v>
      </c>
      <c r="AM101" s="111" t="n">
        <f aca="false">IFERROR('Price History'!S3+(INDEX('Price History'!S:S,MATCH(9.99E+307,'Price History'!$A:$A))-'Price History'!S3)*(ROW()-3)/(MATCH(9.99E+307,'Returns (Calc)'!$A:$A)-3),"")</f>
        <v>114.738993710692</v>
      </c>
      <c r="AN101" s="111" t="n">
        <f aca="false">IFERROR('Price History'!T3+(INDEX('Price History'!T:T,MATCH(9.99E+307,'Price History'!$A:$A))-'Price History'!T3)*(ROW()-3)/(MATCH(9.99E+307,'Returns (Calc)'!$A:$A)-3),"")</f>
        <v>44.4020754716981</v>
      </c>
      <c r="AO101" s="112" t="n">
        <f aca="false">IFERROR('Price History'!V3+(INDEX('Price History'!V:V,MATCH(9.99E+307,'Price History'!$A:$A))-'Price History'!V3)*(ROW()-3)/(MATCH(9.99E+307,'Returns (Calc)'!$A:$A)-3),"")</f>
        <v>231.175220125786</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V102" s="110" t="str">
        <f aca="false">IFERROR(IF(OR(NOT(ISNUMBER('Price History'!V103)),NOT(ISNUMBER('Price History'!V102)),'Price History'!V102=0),"",'Price History'!V103/'Price History'!V102-1),"")</f>
        <v/>
      </c>
      <c r="W102" s="111" t="n">
        <f aca="false">IFERROR('Price History'!B3+(INDEX('Price History'!B:B,MATCH(9.99E+307,'Price History'!$A:$A))-'Price History'!B3)*(ROW()-3)/(MATCH(9.99E+307,'Returns (Calc)'!$A:$A)-3),"")</f>
        <v>357.808113207547</v>
      </c>
      <c r="X102" s="111" t="n">
        <f aca="false">IFERROR('Price History'!C3+(INDEX('Price History'!C:C,MATCH(9.99E+307,'Price History'!$A:$A))-'Price History'!C3)*(ROW()-3)/(MATCH(9.99E+307,'Returns (Calc)'!$A:$A)-3),"")</f>
        <v>137.161132075472</v>
      </c>
      <c r="Y102" s="111" t="n">
        <f aca="false">IFERROR('Price History'!D3+(INDEX('Price History'!D:D,MATCH(9.99E+307,'Price History'!$A:$A))-'Price History'!D3)*(ROW()-3)/(MATCH(9.99E+307,'Returns (Calc)'!$A:$A)-3),"")</f>
        <v>1317.48377358491</v>
      </c>
      <c r="Z102" s="111" t="n">
        <f aca="false">IFERROR('Price History'!E3+(INDEX('Price History'!E:E,MATCH(9.99E+307,'Price History'!$A:$A))-'Price History'!E3)*(ROW()-3)/(MATCH(9.99E+307,'Returns (Calc)'!$A:$A)-3),"")</f>
        <v>254.156603773585</v>
      </c>
      <c r="AA102" s="111" t="n">
        <f aca="false">IFERROR('Price History'!F3+(INDEX('Price History'!F:F,MATCH(9.99E+307,'Price History'!$A:$A))-'Price History'!F3)*(ROW()-3)/(MATCH(9.99E+307,'Returns (Calc)'!$A:$A)-3),"")</f>
        <v>146.669811320755</v>
      </c>
      <c r="AB102" s="111" t="n">
        <f aca="false">IFERROR('Price History'!G3+(INDEX('Price History'!G:G,MATCH(9.99E+307,'Price History'!$A:$A))-'Price History'!G3)*(ROW()-3)/(MATCH(9.99E+307,'Returns (Calc)'!$A:$A)-3),"")</f>
        <v>133.637735849057</v>
      </c>
      <c r="AC102" s="111" t="n">
        <f aca="false">IFERROR('Price History'!H3+(INDEX('Price History'!H:H,MATCH(9.99E+307,'Price History'!$A:$A))-'Price History'!H3)*(ROW()-3)/(MATCH(9.99E+307,'Returns (Calc)'!$A:$A)-3),"")</f>
        <v>657.261698113208</v>
      </c>
      <c r="AD102" s="111" t="n">
        <f aca="false">IFERROR('Price History'!I3+(INDEX('Price History'!I:I,MATCH(9.99E+307,'Price History'!$A:$A))-'Price History'!I3)*(ROW()-3)/(MATCH(9.99E+307,'Returns (Calc)'!$A:$A)-3),"")</f>
        <v>158.84679245283</v>
      </c>
      <c r="AE102" s="111" t="n">
        <f aca="false">IFERROR('Price History'!J3+(INDEX('Price History'!J:J,MATCH(9.99E+307,'Price History'!$A:$A))-'Price History'!J3)*(ROW()-3)/(MATCH(9.99E+307,'Returns (Calc)'!$A:$A)-3),"")</f>
        <v>132.121132075472</v>
      </c>
      <c r="AF102" s="111" t="n">
        <f aca="false">IFERROR('Price History'!K3+(INDEX('Price History'!K:K,MATCH(9.99E+307,'Price History'!$A:$A))-'Price History'!K3)*(ROW()-3)/(MATCH(9.99E+307,'Returns (Calc)'!$A:$A)-3),"")</f>
        <v>114.360188679245</v>
      </c>
      <c r="AG102" s="111" t="n">
        <f aca="false">IFERROR('Price History'!L3+(INDEX('Price History'!L:L,MATCH(9.99E+307,'Price History'!$A:$A))-'Price History'!L3)*(ROW()-3)/(MATCH(9.99E+307,'Returns (Calc)'!$A:$A)-3),"")</f>
        <v>301.770377358491</v>
      </c>
      <c r="AH102" s="111" t="n">
        <f aca="false">IFERROR('Price History'!M3+(INDEX('Price History'!M:M,MATCH(9.99E+307,'Price History'!$A:$A))-'Price History'!M3)*(ROW()-3)/(MATCH(9.99E+307,'Returns (Calc)'!$A:$A)-3),"")</f>
        <v>187.314905660377</v>
      </c>
      <c r="AI102" s="111" t="n">
        <f aca="false">IFERROR('Price History'!N3+(INDEX('Price History'!N:N,MATCH(9.99E+307,'Price History'!$A:$A))-'Price History'!N3)*(ROW()-3)/(MATCH(9.99E+307,'Returns (Calc)'!$A:$A)-3),"")</f>
        <v>472.059622641509</v>
      </c>
      <c r="AJ102" s="111" t="n">
        <f aca="false">IFERROR('Price History'!O3+(INDEX('Price History'!O:O,MATCH(9.99E+307,'Price History'!$A:$A))-'Price History'!O3)*(ROW()-3)/(MATCH(9.99E+307,'Returns (Calc)'!$A:$A)-3),"")</f>
        <v>110.296037735849</v>
      </c>
      <c r="AK102" s="111" t="n">
        <f aca="false">IFERROR('Price History'!Q3+(INDEX('Price History'!Q:Q,MATCH(9.99E+307,'Price History'!$A:$A))-'Price History'!Q3)*(ROW()-3)/(MATCH(9.99E+307,'Returns (Calc)'!$A:$A)-3),"")</f>
        <v>62.2181132075472</v>
      </c>
      <c r="AL102" s="111" t="n">
        <f aca="false">IFERROR('Price History'!R3+(INDEX('Price History'!R:R,MATCH(9.99E+307,'Price History'!$A:$A))-'Price History'!R3)*(ROW()-3)/(MATCH(9.99E+307,'Returns (Calc)'!$A:$A)-3),"")</f>
        <v>55.3228301886793</v>
      </c>
      <c r="AM102" s="111" t="n">
        <f aca="false">IFERROR('Price History'!S3+(INDEX('Price History'!S:S,MATCH(9.99E+307,'Price History'!$A:$A))-'Price History'!S3)*(ROW()-3)/(MATCH(9.99E+307,'Returns (Calc)'!$A:$A)-3),"")</f>
        <v>115.312452830189</v>
      </c>
      <c r="AN102" s="111" t="n">
        <f aca="false">IFERROR('Price History'!T3+(INDEX('Price History'!T:T,MATCH(9.99E+307,'Price History'!$A:$A))-'Price History'!T3)*(ROW()-3)/(MATCH(9.99E+307,'Returns (Calc)'!$A:$A)-3),"")</f>
        <v>44.5805660377359</v>
      </c>
      <c r="AO102" s="112" t="n">
        <f aca="false">IFERROR('Price History'!V3+(INDEX('Price History'!V:V,MATCH(9.99E+307,'Price History'!$A:$A))-'Price History'!V3)*(ROW()-3)/(MATCH(9.99E+307,'Returns (Calc)'!$A:$A)-3),"")</f>
        <v>233.534150943396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V103" s="110" t="n">
        <f aca="false">IFERROR(IF(OR(NOT(ISNUMBER('Price History'!V104)),NOT(ISNUMBER('Price History'!V103)),'Price History'!V103=0),"",'Price History'!V104/'Price History'!V103-1),"")</f>
        <v>0.00322149988390996</v>
      </c>
      <c r="W103" s="111" t="n">
        <f aca="false">IFERROR('Price History'!B3+(INDEX('Price History'!B:B,MATCH(9.99E+307,'Price History'!$A:$A))-'Price History'!B3)*(ROW()-3)/(MATCH(9.99E+307,'Returns (Calc)'!$A:$A)-3),"")</f>
        <v>356.286477987421</v>
      </c>
      <c r="X103" s="111" t="n">
        <f aca="false">IFERROR('Price History'!C3+(INDEX('Price History'!C:C,MATCH(9.99E+307,'Price History'!$A:$A))-'Price History'!C3)*(ROW()-3)/(MATCH(9.99E+307,'Returns (Calc)'!$A:$A)-3),"")</f>
        <v>138.104779874214</v>
      </c>
      <c r="Y103" s="111" t="n">
        <f aca="false">IFERROR('Price History'!D3+(INDEX('Price History'!D:D,MATCH(9.99E+307,'Price History'!$A:$A))-'Price History'!D3)*(ROW()-3)/(MATCH(9.99E+307,'Returns (Calc)'!$A:$A)-3),"")</f>
        <v>1324.10704402516</v>
      </c>
      <c r="Z103" s="111" t="n">
        <f aca="false">IFERROR('Price History'!E3+(INDEX('Price History'!E:E,MATCH(9.99E+307,'Price History'!$A:$A))-'Price History'!E3)*(ROW()-3)/(MATCH(9.99E+307,'Returns (Calc)'!$A:$A)-3),"")</f>
        <v>255.885660377358</v>
      </c>
      <c r="AA103" s="111" t="n">
        <f aca="false">IFERROR('Price History'!F3+(INDEX('Price History'!F:F,MATCH(9.99E+307,'Price History'!$A:$A))-'Price History'!F3)*(ROW()-3)/(MATCH(9.99E+307,'Returns (Calc)'!$A:$A)-3),"")</f>
        <v>147.776981132076</v>
      </c>
      <c r="AB103" s="111" t="n">
        <f aca="false">IFERROR('Price History'!G3+(INDEX('Price History'!G:G,MATCH(9.99E+307,'Price History'!$A:$A))-'Price History'!G3)*(ROW()-3)/(MATCH(9.99E+307,'Returns (Calc)'!$A:$A)-3),"")</f>
        <v>134.503773584906</v>
      </c>
      <c r="AC103" s="111" t="n">
        <f aca="false">IFERROR('Price History'!H3+(INDEX('Price History'!H:H,MATCH(9.99E+307,'Price History'!$A:$A))-'Price History'!H3)*(ROW()-3)/(MATCH(9.99E+307,'Returns (Calc)'!$A:$A)-3),"")</f>
        <v>663.250503144654</v>
      </c>
      <c r="AD103" s="111" t="n">
        <f aca="false">IFERROR('Price History'!I3+(INDEX('Price History'!I:I,MATCH(9.99E+307,'Price History'!$A:$A))-'Price History'!I3)*(ROW()-3)/(MATCH(9.99E+307,'Returns (Calc)'!$A:$A)-3),"")</f>
        <v>160.038679245283</v>
      </c>
      <c r="AE103" s="111" t="n">
        <f aca="false">IFERROR('Price History'!J3+(INDEX('Price History'!J:J,MATCH(9.99E+307,'Price History'!$A:$A))-'Price History'!J3)*(ROW()-3)/(MATCH(9.99E+307,'Returns (Calc)'!$A:$A)-3),"")</f>
        <v>132.208113207547</v>
      </c>
      <c r="AF103" s="111" t="n">
        <f aca="false">IFERROR('Price History'!K3+(INDEX('Price History'!K:K,MATCH(9.99E+307,'Price History'!$A:$A))-'Price History'!K3)*(ROW()-3)/(MATCH(9.99E+307,'Returns (Calc)'!$A:$A)-3),"")</f>
        <v>115.359685534591</v>
      </c>
      <c r="AG103" s="111" t="n">
        <f aca="false">IFERROR('Price History'!L3+(INDEX('Price History'!L:L,MATCH(9.99E+307,'Price History'!$A:$A))-'Price History'!L3)*(ROW()-3)/(MATCH(9.99E+307,'Returns (Calc)'!$A:$A)-3),"")</f>
        <v>303.889371069182</v>
      </c>
      <c r="AH103" s="111" t="n">
        <f aca="false">IFERROR('Price History'!M3+(INDEX('Price History'!M:M,MATCH(9.99E+307,'Price History'!$A:$A))-'Price History'!M3)*(ROW()-3)/(MATCH(9.99E+307,'Returns (Calc)'!$A:$A)-3),"")</f>
        <v>188.868490566038</v>
      </c>
      <c r="AI103" s="111" t="n">
        <f aca="false">IFERROR('Price History'!N3+(INDEX('Price History'!N:N,MATCH(9.99E+307,'Price History'!$A:$A))-'Price History'!N3)*(ROW()-3)/(MATCH(9.99E+307,'Returns (Calc)'!$A:$A)-3),"")</f>
        <v>473.293962264151</v>
      </c>
      <c r="AJ103" s="111" t="n">
        <f aca="false">IFERROR('Price History'!O3+(INDEX('Price History'!O:O,MATCH(9.99E+307,'Price History'!$A:$A))-'Price History'!O3)*(ROW()-3)/(MATCH(9.99E+307,'Returns (Calc)'!$A:$A)-3),"")</f>
        <v>110.573270440252</v>
      </c>
      <c r="AK103" s="111" t="n">
        <f aca="false">IFERROR('Price History'!Q3+(INDEX('Price History'!Q:Q,MATCH(9.99E+307,'Price History'!$A:$A))-'Price History'!Q3)*(ROW()-3)/(MATCH(9.99E+307,'Returns (Calc)'!$A:$A)-3),"")</f>
        <v>62.3431446540881</v>
      </c>
      <c r="AL103" s="111" t="n">
        <f aca="false">IFERROR('Price History'!R3+(INDEX('Price History'!R:R,MATCH(9.99E+307,'Price History'!$A:$A))-'Price History'!R3)*(ROW()-3)/(MATCH(9.99E+307,'Returns (Calc)'!$A:$A)-3),"")</f>
        <v>55.3986163522013</v>
      </c>
      <c r="AM103" s="111" t="n">
        <f aca="false">IFERROR('Price History'!S3+(INDEX('Price History'!S:S,MATCH(9.99E+307,'Price History'!$A:$A))-'Price History'!S3)*(ROW()-3)/(MATCH(9.99E+307,'Returns (Calc)'!$A:$A)-3),"")</f>
        <v>115.885911949686</v>
      </c>
      <c r="AN103" s="111" t="n">
        <f aca="false">IFERROR('Price History'!T3+(INDEX('Price History'!T:T,MATCH(9.99E+307,'Price History'!$A:$A))-'Price History'!T3)*(ROW()-3)/(MATCH(9.99E+307,'Returns (Calc)'!$A:$A)-3),"")</f>
        <v>44.7590566037736</v>
      </c>
      <c r="AO103" s="112" t="n">
        <f aca="false">IFERROR('Price History'!V3+(INDEX('Price History'!V:V,MATCH(9.99E+307,'Price History'!$A:$A))-'Price History'!V3)*(ROW()-3)/(MATCH(9.99E+307,'Returns (Calc)'!$A:$A)-3),"")</f>
        <v>235.893081761006</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V104" s="110" t="n">
        <f aca="false">IFERROR(IF(OR(NOT(ISNUMBER('Price History'!V105)),NOT(ISNUMBER('Price History'!V104)),'Price History'!V104=0),"",'Price History'!V105/'Price History'!V104-1),"")</f>
        <v>0.0229120259206757</v>
      </c>
      <c r="W104" s="111" t="n">
        <f aca="false">IFERROR('Price History'!B3+(INDEX('Price History'!B:B,MATCH(9.99E+307,'Price History'!$A:$A))-'Price History'!B3)*(ROW()-3)/(MATCH(9.99E+307,'Returns (Calc)'!$A:$A)-3),"")</f>
        <v>354.764842767296</v>
      </c>
      <c r="X104" s="111" t="n">
        <f aca="false">IFERROR('Price History'!C3+(INDEX('Price History'!C:C,MATCH(9.99E+307,'Price History'!$A:$A))-'Price History'!C3)*(ROW()-3)/(MATCH(9.99E+307,'Returns (Calc)'!$A:$A)-3),"")</f>
        <v>139.048427672956</v>
      </c>
      <c r="Y104" s="111" t="n">
        <f aca="false">IFERROR('Price History'!D3+(INDEX('Price History'!D:D,MATCH(9.99E+307,'Price History'!$A:$A))-'Price History'!D3)*(ROW()-3)/(MATCH(9.99E+307,'Returns (Calc)'!$A:$A)-3),"")</f>
        <v>1330.73031446541</v>
      </c>
      <c r="Z104" s="111" t="n">
        <f aca="false">IFERROR('Price History'!E3+(INDEX('Price History'!E:E,MATCH(9.99E+307,'Price History'!$A:$A))-'Price History'!E3)*(ROW()-3)/(MATCH(9.99E+307,'Returns (Calc)'!$A:$A)-3),"")</f>
        <v>257.614716981132</v>
      </c>
      <c r="AA104" s="111" t="n">
        <f aca="false">IFERROR('Price History'!F3+(INDEX('Price History'!F:F,MATCH(9.99E+307,'Price History'!$A:$A))-'Price History'!F3)*(ROW()-3)/(MATCH(9.99E+307,'Returns (Calc)'!$A:$A)-3),"")</f>
        <v>148.884150943396</v>
      </c>
      <c r="AB104" s="111" t="n">
        <f aca="false">IFERROR('Price History'!G3+(INDEX('Price History'!G:G,MATCH(9.99E+307,'Price History'!$A:$A))-'Price History'!G3)*(ROW()-3)/(MATCH(9.99E+307,'Returns (Calc)'!$A:$A)-3),"")</f>
        <v>135.369811320755</v>
      </c>
      <c r="AC104" s="111" t="n">
        <f aca="false">IFERROR('Price History'!H3+(INDEX('Price History'!H:H,MATCH(9.99E+307,'Price History'!$A:$A))-'Price History'!H3)*(ROW()-3)/(MATCH(9.99E+307,'Returns (Calc)'!$A:$A)-3),"")</f>
        <v>669.239308176101</v>
      </c>
      <c r="AD104" s="111" t="n">
        <f aca="false">IFERROR('Price History'!I3+(INDEX('Price History'!I:I,MATCH(9.99E+307,'Price History'!$A:$A))-'Price History'!I3)*(ROW()-3)/(MATCH(9.99E+307,'Returns (Calc)'!$A:$A)-3),"")</f>
        <v>161.230566037736</v>
      </c>
      <c r="AE104" s="111" t="n">
        <f aca="false">IFERROR('Price History'!J3+(INDEX('Price History'!J:J,MATCH(9.99E+307,'Price History'!$A:$A))-'Price History'!J3)*(ROW()-3)/(MATCH(9.99E+307,'Returns (Calc)'!$A:$A)-3),"")</f>
        <v>132.295094339623</v>
      </c>
      <c r="AF104" s="111" t="n">
        <f aca="false">IFERROR('Price History'!K3+(INDEX('Price History'!K:K,MATCH(9.99E+307,'Price History'!$A:$A))-'Price History'!K3)*(ROW()-3)/(MATCH(9.99E+307,'Returns (Calc)'!$A:$A)-3),"")</f>
        <v>116.359182389937</v>
      </c>
      <c r="AG104" s="111" t="n">
        <f aca="false">IFERROR('Price History'!L3+(INDEX('Price History'!L:L,MATCH(9.99E+307,'Price History'!$A:$A))-'Price History'!L3)*(ROW()-3)/(MATCH(9.99E+307,'Returns (Calc)'!$A:$A)-3),"")</f>
        <v>306.008364779874</v>
      </c>
      <c r="AH104" s="111" t="n">
        <f aca="false">IFERROR('Price History'!M3+(INDEX('Price History'!M:M,MATCH(9.99E+307,'Price History'!$A:$A))-'Price History'!M3)*(ROW()-3)/(MATCH(9.99E+307,'Returns (Calc)'!$A:$A)-3),"")</f>
        <v>190.422075471698</v>
      </c>
      <c r="AI104" s="111" t="n">
        <f aca="false">IFERROR('Price History'!N3+(INDEX('Price History'!N:N,MATCH(9.99E+307,'Price History'!$A:$A))-'Price History'!N3)*(ROW()-3)/(MATCH(9.99E+307,'Returns (Calc)'!$A:$A)-3),"")</f>
        <v>474.528301886792</v>
      </c>
      <c r="AJ104" s="111" t="n">
        <f aca="false">IFERROR('Price History'!O3+(INDEX('Price History'!O:O,MATCH(9.99E+307,'Price History'!$A:$A))-'Price History'!O3)*(ROW()-3)/(MATCH(9.99E+307,'Returns (Calc)'!$A:$A)-3),"")</f>
        <v>110.850503144654</v>
      </c>
      <c r="AK104" s="111" t="n">
        <f aca="false">IFERROR('Price History'!Q3+(INDEX('Price History'!Q:Q,MATCH(9.99E+307,'Price History'!$A:$A))-'Price History'!Q3)*(ROW()-3)/(MATCH(9.99E+307,'Returns (Calc)'!$A:$A)-3),"")</f>
        <v>62.4681761006289</v>
      </c>
      <c r="AL104" s="111" t="n">
        <f aca="false">IFERROR('Price History'!R3+(INDEX('Price History'!R:R,MATCH(9.99E+307,'Price History'!$A:$A))-'Price History'!R3)*(ROW()-3)/(MATCH(9.99E+307,'Returns (Calc)'!$A:$A)-3),"")</f>
        <v>55.4744025157233</v>
      </c>
      <c r="AM104" s="111" t="n">
        <f aca="false">IFERROR('Price History'!S3+(INDEX('Price History'!S:S,MATCH(9.99E+307,'Price History'!$A:$A))-'Price History'!S3)*(ROW()-3)/(MATCH(9.99E+307,'Returns (Calc)'!$A:$A)-3),"")</f>
        <v>116.459371069182</v>
      </c>
      <c r="AN104" s="111" t="n">
        <f aca="false">IFERROR('Price History'!T3+(INDEX('Price History'!T:T,MATCH(9.99E+307,'Price History'!$A:$A))-'Price History'!T3)*(ROW()-3)/(MATCH(9.99E+307,'Returns (Calc)'!$A:$A)-3),"")</f>
        <v>44.9375471698113</v>
      </c>
      <c r="AO104" s="112" t="n">
        <f aca="false">IFERROR('Price History'!V3+(INDEX('Price History'!V:V,MATCH(9.99E+307,'Price History'!$A:$A))-'Price History'!V3)*(ROW()-3)/(MATCH(9.99E+307,'Returns (Calc)'!$A:$A)-3),"")</f>
        <v>238.252012578616</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V105" s="110" t="n">
        <f aca="false">IFERROR(IF(OR(NOT(ISNUMBER('Price History'!V106)),NOT(ISNUMBER('Price History'!V105)),'Price History'!V105=0),"",'Price History'!V106/'Price History'!V105-1),"")</f>
        <v>-0.0495489125823694</v>
      </c>
      <c r="W105" s="111" t="n">
        <f aca="false">IFERROR('Price History'!B3+(INDEX('Price History'!B:B,MATCH(9.99E+307,'Price History'!$A:$A))-'Price History'!B3)*(ROW()-3)/(MATCH(9.99E+307,'Returns (Calc)'!$A:$A)-3),"")</f>
        <v>353.24320754717</v>
      </c>
      <c r="X105" s="111" t="n">
        <f aca="false">IFERROR('Price History'!C3+(INDEX('Price History'!C:C,MATCH(9.99E+307,'Price History'!$A:$A))-'Price History'!C3)*(ROW()-3)/(MATCH(9.99E+307,'Returns (Calc)'!$A:$A)-3),"")</f>
        <v>139.992075471698</v>
      </c>
      <c r="Y105" s="111" t="n">
        <f aca="false">IFERROR('Price History'!D3+(INDEX('Price History'!D:D,MATCH(9.99E+307,'Price History'!$A:$A))-'Price History'!D3)*(ROW()-3)/(MATCH(9.99E+307,'Returns (Calc)'!$A:$A)-3),"")</f>
        <v>1337.35358490566</v>
      </c>
      <c r="Z105" s="111" t="n">
        <f aca="false">IFERROR('Price History'!E3+(INDEX('Price History'!E:E,MATCH(9.99E+307,'Price History'!$A:$A))-'Price History'!E3)*(ROW()-3)/(MATCH(9.99E+307,'Returns (Calc)'!$A:$A)-3),"")</f>
        <v>259.343773584906</v>
      </c>
      <c r="AA105" s="111" t="n">
        <f aca="false">IFERROR('Price History'!F3+(INDEX('Price History'!F:F,MATCH(9.99E+307,'Price History'!$A:$A))-'Price History'!F3)*(ROW()-3)/(MATCH(9.99E+307,'Returns (Calc)'!$A:$A)-3),"")</f>
        <v>149.991320754717</v>
      </c>
      <c r="AB105" s="111" t="n">
        <f aca="false">IFERROR('Price History'!G3+(INDEX('Price History'!G:G,MATCH(9.99E+307,'Price History'!$A:$A))-'Price History'!G3)*(ROW()-3)/(MATCH(9.99E+307,'Returns (Calc)'!$A:$A)-3),"")</f>
        <v>136.235849056604</v>
      </c>
      <c r="AC105" s="111" t="n">
        <f aca="false">IFERROR('Price History'!H3+(INDEX('Price History'!H:H,MATCH(9.99E+307,'Price History'!$A:$A))-'Price History'!H3)*(ROW()-3)/(MATCH(9.99E+307,'Returns (Calc)'!$A:$A)-3),"")</f>
        <v>675.228113207547</v>
      </c>
      <c r="AD105" s="111" t="n">
        <f aca="false">IFERROR('Price History'!I3+(INDEX('Price History'!I:I,MATCH(9.99E+307,'Price History'!$A:$A))-'Price History'!I3)*(ROW()-3)/(MATCH(9.99E+307,'Returns (Calc)'!$A:$A)-3),"")</f>
        <v>162.422452830189</v>
      </c>
      <c r="AE105" s="111" t="n">
        <f aca="false">IFERROR('Price History'!J3+(INDEX('Price History'!J:J,MATCH(9.99E+307,'Price History'!$A:$A))-'Price History'!J3)*(ROW()-3)/(MATCH(9.99E+307,'Returns (Calc)'!$A:$A)-3),"")</f>
        <v>132.382075471698</v>
      </c>
      <c r="AF105" s="111" t="n">
        <f aca="false">IFERROR('Price History'!K3+(INDEX('Price History'!K:K,MATCH(9.99E+307,'Price History'!$A:$A))-'Price History'!K3)*(ROW()-3)/(MATCH(9.99E+307,'Returns (Calc)'!$A:$A)-3),"")</f>
        <v>117.358679245283</v>
      </c>
      <c r="AG105" s="111" t="n">
        <f aca="false">IFERROR('Price History'!L3+(INDEX('Price History'!L:L,MATCH(9.99E+307,'Price History'!$A:$A))-'Price History'!L3)*(ROW()-3)/(MATCH(9.99E+307,'Returns (Calc)'!$A:$A)-3),"")</f>
        <v>308.127358490566</v>
      </c>
      <c r="AH105" s="111" t="n">
        <f aca="false">IFERROR('Price History'!M3+(INDEX('Price History'!M:M,MATCH(9.99E+307,'Price History'!$A:$A))-'Price History'!M3)*(ROW()-3)/(MATCH(9.99E+307,'Returns (Calc)'!$A:$A)-3),"")</f>
        <v>191.975660377358</v>
      </c>
      <c r="AI105" s="111" t="n">
        <f aca="false">IFERROR('Price History'!N3+(INDEX('Price History'!N:N,MATCH(9.99E+307,'Price History'!$A:$A))-'Price History'!N3)*(ROW()-3)/(MATCH(9.99E+307,'Returns (Calc)'!$A:$A)-3),"")</f>
        <v>475.762641509434</v>
      </c>
      <c r="AJ105" s="111" t="n">
        <f aca="false">IFERROR('Price History'!O3+(INDEX('Price History'!O:O,MATCH(9.99E+307,'Price History'!$A:$A))-'Price History'!O3)*(ROW()-3)/(MATCH(9.99E+307,'Returns (Calc)'!$A:$A)-3),"")</f>
        <v>111.127735849057</v>
      </c>
      <c r="AK105" s="111" t="n">
        <f aca="false">IFERROR('Price History'!Q3+(INDEX('Price History'!Q:Q,MATCH(9.99E+307,'Price History'!$A:$A))-'Price History'!Q3)*(ROW()-3)/(MATCH(9.99E+307,'Returns (Calc)'!$A:$A)-3),"")</f>
        <v>62.5932075471698</v>
      </c>
      <c r="AL105" s="111" t="n">
        <f aca="false">IFERROR('Price History'!R3+(INDEX('Price History'!R:R,MATCH(9.99E+307,'Price History'!$A:$A))-'Price History'!R3)*(ROW()-3)/(MATCH(9.99E+307,'Returns (Calc)'!$A:$A)-3),"")</f>
        <v>55.5501886792453</v>
      </c>
      <c r="AM105" s="111" t="n">
        <f aca="false">IFERROR('Price History'!S3+(INDEX('Price History'!S:S,MATCH(9.99E+307,'Price History'!$A:$A))-'Price History'!S3)*(ROW()-3)/(MATCH(9.99E+307,'Returns (Calc)'!$A:$A)-3),"")</f>
        <v>117.032830188679</v>
      </c>
      <c r="AN105" s="111" t="n">
        <f aca="false">IFERROR('Price History'!T3+(INDEX('Price History'!T:T,MATCH(9.99E+307,'Price History'!$A:$A))-'Price History'!T3)*(ROW()-3)/(MATCH(9.99E+307,'Returns (Calc)'!$A:$A)-3),"")</f>
        <v>45.1160377358491</v>
      </c>
      <c r="AO105" s="112" t="n">
        <f aca="false">IFERROR('Price History'!V3+(INDEX('Price History'!V:V,MATCH(9.99E+307,'Price History'!$A:$A))-'Price History'!V3)*(ROW()-3)/(MATCH(9.99E+307,'Returns (Calc)'!$A:$A)-3),"")</f>
        <v>240.610943396226</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V106" s="110" t="n">
        <f aca="false">IFERROR(IF(OR(NOT(ISNUMBER('Price History'!V107)),NOT(ISNUMBER('Price History'!V106)),'Price History'!V106=0),"",'Price History'!V107/'Price History'!V106-1),"")</f>
        <v>-0.00758770494242278</v>
      </c>
      <c r="W106" s="111" t="n">
        <f aca="false">IFERROR('Price History'!B3+(INDEX('Price History'!B:B,MATCH(9.99E+307,'Price History'!$A:$A))-'Price History'!B3)*(ROW()-3)/(MATCH(9.99E+307,'Returns (Calc)'!$A:$A)-3),"")</f>
        <v>351.721572327044</v>
      </c>
      <c r="X106" s="111" t="n">
        <f aca="false">IFERROR('Price History'!C3+(INDEX('Price History'!C:C,MATCH(9.99E+307,'Price History'!$A:$A))-'Price History'!C3)*(ROW()-3)/(MATCH(9.99E+307,'Returns (Calc)'!$A:$A)-3),"")</f>
        <v>140.93572327044</v>
      </c>
      <c r="Y106" s="111" t="n">
        <f aca="false">IFERROR('Price History'!D3+(INDEX('Price History'!D:D,MATCH(9.99E+307,'Price History'!$A:$A))-'Price History'!D3)*(ROW()-3)/(MATCH(9.99E+307,'Returns (Calc)'!$A:$A)-3),"")</f>
        <v>1343.97685534591</v>
      </c>
      <c r="Z106" s="111" t="n">
        <f aca="false">IFERROR('Price History'!E3+(INDEX('Price History'!E:E,MATCH(9.99E+307,'Price History'!$A:$A))-'Price History'!E3)*(ROW()-3)/(MATCH(9.99E+307,'Returns (Calc)'!$A:$A)-3),"")</f>
        <v>261.072830188679</v>
      </c>
      <c r="AA106" s="111" t="n">
        <f aca="false">IFERROR('Price History'!F3+(INDEX('Price History'!F:F,MATCH(9.99E+307,'Price History'!$A:$A))-'Price History'!F3)*(ROW()-3)/(MATCH(9.99E+307,'Returns (Calc)'!$A:$A)-3),"")</f>
        <v>151.098490566038</v>
      </c>
      <c r="AB106" s="111" t="n">
        <f aca="false">IFERROR('Price History'!G3+(INDEX('Price History'!G:G,MATCH(9.99E+307,'Price History'!$A:$A))-'Price History'!G3)*(ROW()-3)/(MATCH(9.99E+307,'Returns (Calc)'!$A:$A)-3),"")</f>
        <v>137.101886792453</v>
      </c>
      <c r="AC106" s="111" t="n">
        <f aca="false">IFERROR('Price History'!H3+(INDEX('Price History'!H:H,MATCH(9.99E+307,'Price History'!$A:$A))-'Price History'!H3)*(ROW()-3)/(MATCH(9.99E+307,'Returns (Calc)'!$A:$A)-3),"")</f>
        <v>681.216918238994</v>
      </c>
      <c r="AD106" s="111" t="n">
        <f aca="false">IFERROR('Price History'!I3+(INDEX('Price History'!I:I,MATCH(9.99E+307,'Price History'!$A:$A))-'Price History'!I3)*(ROW()-3)/(MATCH(9.99E+307,'Returns (Calc)'!$A:$A)-3),"")</f>
        <v>163.614339622642</v>
      </c>
      <c r="AE106" s="111" t="n">
        <f aca="false">IFERROR('Price History'!J3+(INDEX('Price History'!J:J,MATCH(9.99E+307,'Price History'!$A:$A))-'Price History'!J3)*(ROW()-3)/(MATCH(9.99E+307,'Returns (Calc)'!$A:$A)-3),"")</f>
        <v>132.469056603774</v>
      </c>
      <c r="AF106" s="111" t="n">
        <f aca="false">IFERROR('Price History'!K3+(INDEX('Price History'!K:K,MATCH(9.99E+307,'Price History'!$A:$A))-'Price History'!K3)*(ROW()-3)/(MATCH(9.99E+307,'Returns (Calc)'!$A:$A)-3),"")</f>
        <v>118.358176100629</v>
      </c>
      <c r="AG106" s="111" t="n">
        <f aca="false">IFERROR('Price History'!L3+(INDEX('Price History'!L:L,MATCH(9.99E+307,'Price History'!$A:$A))-'Price History'!L3)*(ROW()-3)/(MATCH(9.99E+307,'Returns (Calc)'!$A:$A)-3),"")</f>
        <v>310.246352201258</v>
      </c>
      <c r="AH106" s="111" t="n">
        <f aca="false">IFERROR('Price History'!M3+(INDEX('Price History'!M:M,MATCH(9.99E+307,'Price History'!$A:$A))-'Price History'!M3)*(ROW()-3)/(MATCH(9.99E+307,'Returns (Calc)'!$A:$A)-3),"")</f>
        <v>193.529245283019</v>
      </c>
      <c r="AI106" s="111" t="n">
        <f aca="false">IFERROR('Price History'!N3+(INDEX('Price History'!N:N,MATCH(9.99E+307,'Price History'!$A:$A))-'Price History'!N3)*(ROW()-3)/(MATCH(9.99E+307,'Returns (Calc)'!$A:$A)-3),"")</f>
        <v>476.996981132075</v>
      </c>
      <c r="AJ106" s="111" t="n">
        <f aca="false">IFERROR('Price History'!O3+(INDEX('Price History'!O:O,MATCH(9.99E+307,'Price History'!$A:$A))-'Price History'!O3)*(ROW()-3)/(MATCH(9.99E+307,'Returns (Calc)'!$A:$A)-3),"")</f>
        <v>111.404968553459</v>
      </c>
      <c r="AK106" s="111" t="n">
        <f aca="false">IFERROR('Price History'!Q3+(INDEX('Price History'!Q:Q,MATCH(9.99E+307,'Price History'!$A:$A))-'Price History'!Q3)*(ROW()-3)/(MATCH(9.99E+307,'Returns (Calc)'!$A:$A)-3),"")</f>
        <v>62.7182389937107</v>
      </c>
      <c r="AL106" s="111" t="n">
        <f aca="false">IFERROR('Price History'!R3+(INDEX('Price History'!R:R,MATCH(9.99E+307,'Price History'!$A:$A))-'Price History'!R3)*(ROW()-3)/(MATCH(9.99E+307,'Returns (Calc)'!$A:$A)-3),"")</f>
        <v>55.6259748427673</v>
      </c>
      <c r="AM106" s="111" t="n">
        <f aca="false">IFERROR('Price History'!S3+(INDEX('Price History'!S:S,MATCH(9.99E+307,'Price History'!$A:$A))-'Price History'!S3)*(ROW()-3)/(MATCH(9.99E+307,'Returns (Calc)'!$A:$A)-3),"")</f>
        <v>117.606289308176</v>
      </c>
      <c r="AN106" s="111" t="n">
        <f aca="false">IFERROR('Price History'!T3+(INDEX('Price History'!T:T,MATCH(9.99E+307,'Price History'!$A:$A))-'Price History'!T3)*(ROW()-3)/(MATCH(9.99E+307,'Returns (Calc)'!$A:$A)-3),"")</f>
        <v>45.2945283018868</v>
      </c>
      <c r="AO106" s="112" t="n">
        <f aca="false">IFERROR('Price History'!V3+(INDEX('Price History'!V:V,MATCH(9.99E+307,'Price History'!$A:$A))-'Price History'!V3)*(ROW()-3)/(MATCH(9.99E+307,'Returns (Calc)'!$A:$A)-3),"")</f>
        <v>242.969874213836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V107" s="110" t="n">
        <f aca="false">IFERROR(IF(OR(NOT(ISNUMBER('Price History'!V108)),NOT(ISNUMBER('Price History'!V107)),'Price History'!V107=0),"",'Price History'!V108/'Price History'!V107-1),"")</f>
        <v>0.0246461981290478</v>
      </c>
      <c r="W107" s="111" t="n">
        <f aca="false">IFERROR('Price History'!B3+(INDEX('Price History'!B:B,MATCH(9.99E+307,'Price History'!$A:$A))-'Price History'!B3)*(ROW()-3)/(MATCH(9.99E+307,'Returns (Calc)'!$A:$A)-3),"")</f>
        <v>350.199937106918</v>
      </c>
      <c r="X107" s="111" t="n">
        <f aca="false">IFERROR('Price History'!C3+(INDEX('Price History'!C:C,MATCH(9.99E+307,'Price History'!$A:$A))-'Price History'!C3)*(ROW()-3)/(MATCH(9.99E+307,'Returns (Calc)'!$A:$A)-3),"")</f>
        <v>141.879371069182</v>
      </c>
      <c r="Y107" s="111" t="n">
        <f aca="false">IFERROR('Price History'!D3+(INDEX('Price History'!D:D,MATCH(9.99E+307,'Price History'!$A:$A))-'Price History'!D3)*(ROW()-3)/(MATCH(9.99E+307,'Returns (Calc)'!$A:$A)-3),"")</f>
        <v>1350.60012578616</v>
      </c>
      <c r="Z107" s="111" t="n">
        <f aca="false">IFERROR('Price History'!E3+(INDEX('Price History'!E:E,MATCH(9.99E+307,'Price History'!$A:$A))-'Price History'!E3)*(ROW()-3)/(MATCH(9.99E+307,'Returns (Calc)'!$A:$A)-3),"")</f>
        <v>262.801886792453</v>
      </c>
      <c r="AA107" s="111" t="n">
        <f aca="false">IFERROR('Price History'!F3+(INDEX('Price History'!F:F,MATCH(9.99E+307,'Price History'!$A:$A))-'Price History'!F3)*(ROW()-3)/(MATCH(9.99E+307,'Returns (Calc)'!$A:$A)-3),"")</f>
        <v>152.205660377359</v>
      </c>
      <c r="AB107" s="111" t="n">
        <f aca="false">IFERROR('Price History'!G3+(INDEX('Price History'!G:G,MATCH(9.99E+307,'Price History'!$A:$A))-'Price History'!G3)*(ROW()-3)/(MATCH(9.99E+307,'Returns (Calc)'!$A:$A)-3),"")</f>
        <v>137.967924528302</v>
      </c>
      <c r="AC107" s="111" t="n">
        <f aca="false">IFERROR('Price History'!H3+(INDEX('Price History'!H:H,MATCH(9.99E+307,'Price History'!$A:$A))-'Price History'!H3)*(ROW()-3)/(MATCH(9.99E+307,'Returns (Calc)'!$A:$A)-3),"")</f>
        <v>687.20572327044</v>
      </c>
      <c r="AD107" s="111" t="n">
        <f aca="false">IFERROR('Price History'!I3+(INDEX('Price History'!I:I,MATCH(9.99E+307,'Price History'!$A:$A))-'Price History'!I3)*(ROW()-3)/(MATCH(9.99E+307,'Returns (Calc)'!$A:$A)-3),"")</f>
        <v>164.806226415094</v>
      </c>
      <c r="AE107" s="111" t="n">
        <f aca="false">IFERROR('Price History'!J3+(INDEX('Price History'!J:J,MATCH(9.99E+307,'Price History'!$A:$A))-'Price History'!J3)*(ROW()-3)/(MATCH(9.99E+307,'Returns (Calc)'!$A:$A)-3),"")</f>
        <v>132.556037735849</v>
      </c>
      <c r="AF107" s="111" t="n">
        <f aca="false">IFERROR('Price History'!K3+(INDEX('Price History'!K:K,MATCH(9.99E+307,'Price History'!$A:$A))-'Price History'!K3)*(ROW()-3)/(MATCH(9.99E+307,'Returns (Calc)'!$A:$A)-3),"")</f>
        <v>119.357672955975</v>
      </c>
      <c r="AG107" s="111" t="n">
        <f aca="false">IFERROR('Price History'!L3+(INDEX('Price History'!L:L,MATCH(9.99E+307,'Price History'!$A:$A))-'Price History'!L3)*(ROW()-3)/(MATCH(9.99E+307,'Returns (Calc)'!$A:$A)-3),"")</f>
        <v>312.36534591195</v>
      </c>
      <c r="AH107" s="111" t="n">
        <f aca="false">IFERROR('Price History'!M3+(INDEX('Price History'!M:M,MATCH(9.99E+307,'Price History'!$A:$A))-'Price History'!M3)*(ROW()-3)/(MATCH(9.99E+307,'Returns (Calc)'!$A:$A)-3),"")</f>
        <v>195.082830188679</v>
      </c>
      <c r="AI107" s="111" t="n">
        <f aca="false">IFERROR('Price History'!N3+(INDEX('Price History'!N:N,MATCH(9.99E+307,'Price History'!$A:$A))-'Price History'!N3)*(ROW()-3)/(MATCH(9.99E+307,'Returns (Calc)'!$A:$A)-3),"")</f>
        <v>478.231320754717</v>
      </c>
      <c r="AJ107" s="111" t="n">
        <f aca="false">IFERROR('Price History'!O3+(INDEX('Price History'!O:O,MATCH(9.99E+307,'Price History'!$A:$A))-'Price History'!O3)*(ROW()-3)/(MATCH(9.99E+307,'Returns (Calc)'!$A:$A)-3),"")</f>
        <v>111.682201257862</v>
      </c>
      <c r="AK107" s="111" t="n">
        <f aca="false">IFERROR('Price History'!Q3+(INDEX('Price History'!Q:Q,MATCH(9.99E+307,'Price History'!$A:$A))-'Price History'!Q3)*(ROW()-3)/(MATCH(9.99E+307,'Returns (Calc)'!$A:$A)-3),"")</f>
        <v>62.8432704402516</v>
      </c>
      <c r="AL107" s="111" t="n">
        <f aca="false">IFERROR('Price History'!R3+(INDEX('Price History'!R:R,MATCH(9.99E+307,'Price History'!$A:$A))-'Price History'!R3)*(ROW()-3)/(MATCH(9.99E+307,'Returns (Calc)'!$A:$A)-3),"")</f>
        <v>55.7017610062893</v>
      </c>
      <c r="AM107" s="111" t="n">
        <f aca="false">IFERROR('Price History'!S3+(INDEX('Price History'!S:S,MATCH(9.99E+307,'Price History'!$A:$A))-'Price History'!S3)*(ROW()-3)/(MATCH(9.99E+307,'Returns (Calc)'!$A:$A)-3),"")</f>
        <v>118.179748427673</v>
      </c>
      <c r="AN107" s="111" t="n">
        <f aca="false">IFERROR('Price History'!T3+(INDEX('Price History'!T:T,MATCH(9.99E+307,'Price History'!$A:$A))-'Price History'!T3)*(ROW()-3)/(MATCH(9.99E+307,'Returns (Calc)'!$A:$A)-3),"")</f>
        <v>45.4730188679245</v>
      </c>
      <c r="AO107" s="112" t="n">
        <f aca="false">IFERROR('Price History'!V3+(INDEX('Price History'!V:V,MATCH(9.99E+307,'Price History'!$A:$A))-'Price History'!V3)*(ROW()-3)/(MATCH(9.99E+307,'Returns (Calc)'!$A:$A)-3),"")</f>
        <v>245.328805031447</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V108" s="110" t="n">
        <f aca="false">IFERROR(IF(OR(NOT(ISNUMBER('Price History'!V109)),NOT(ISNUMBER('Price History'!V108)),'Price History'!V108=0),"",'Price History'!V109/'Price History'!V108-1),"")</f>
        <v>0.0161526306548838</v>
      </c>
      <c r="W108" s="111" t="n">
        <f aca="false">IFERROR('Price History'!B3+(INDEX('Price History'!B:B,MATCH(9.99E+307,'Price History'!$A:$A))-'Price History'!B3)*(ROW()-3)/(MATCH(9.99E+307,'Returns (Calc)'!$A:$A)-3),"")</f>
        <v>348.678301886792</v>
      </c>
      <c r="X108" s="111" t="n">
        <f aca="false">IFERROR('Price History'!C3+(INDEX('Price History'!C:C,MATCH(9.99E+307,'Price History'!$A:$A))-'Price History'!C3)*(ROW()-3)/(MATCH(9.99E+307,'Returns (Calc)'!$A:$A)-3),"")</f>
        <v>142.823018867925</v>
      </c>
      <c r="Y108" s="111" t="n">
        <f aca="false">IFERROR('Price History'!D3+(INDEX('Price History'!D:D,MATCH(9.99E+307,'Price History'!$A:$A))-'Price History'!D3)*(ROW()-3)/(MATCH(9.99E+307,'Returns (Calc)'!$A:$A)-3),"")</f>
        <v>1357.22339622642</v>
      </c>
      <c r="Z108" s="111" t="n">
        <f aca="false">IFERROR('Price History'!E3+(INDEX('Price History'!E:E,MATCH(9.99E+307,'Price History'!$A:$A))-'Price History'!E3)*(ROW()-3)/(MATCH(9.99E+307,'Returns (Calc)'!$A:$A)-3),"")</f>
        <v>264.530943396226</v>
      </c>
      <c r="AA108" s="111" t="n">
        <f aca="false">IFERROR('Price History'!F3+(INDEX('Price History'!F:F,MATCH(9.99E+307,'Price History'!$A:$A))-'Price History'!F3)*(ROW()-3)/(MATCH(9.99E+307,'Returns (Calc)'!$A:$A)-3),"")</f>
        <v>153.312830188679</v>
      </c>
      <c r="AB108" s="111" t="n">
        <f aca="false">IFERROR('Price History'!G3+(INDEX('Price History'!G:G,MATCH(9.99E+307,'Price History'!$A:$A))-'Price History'!G3)*(ROW()-3)/(MATCH(9.99E+307,'Returns (Calc)'!$A:$A)-3),"")</f>
        <v>138.833962264151</v>
      </c>
      <c r="AC108" s="111" t="n">
        <f aca="false">IFERROR('Price History'!H3+(INDEX('Price History'!H:H,MATCH(9.99E+307,'Price History'!$A:$A))-'Price History'!H3)*(ROW()-3)/(MATCH(9.99E+307,'Returns (Calc)'!$A:$A)-3),"")</f>
        <v>693.194528301887</v>
      </c>
      <c r="AD108" s="111" t="n">
        <f aca="false">IFERROR('Price History'!I3+(INDEX('Price History'!I:I,MATCH(9.99E+307,'Price History'!$A:$A))-'Price History'!I3)*(ROW()-3)/(MATCH(9.99E+307,'Returns (Calc)'!$A:$A)-3),"")</f>
        <v>165.998113207547</v>
      </c>
      <c r="AE108" s="111" t="n">
        <f aca="false">IFERROR('Price History'!J3+(INDEX('Price History'!J:J,MATCH(9.99E+307,'Price History'!$A:$A))-'Price History'!J3)*(ROW()-3)/(MATCH(9.99E+307,'Returns (Calc)'!$A:$A)-3),"")</f>
        <v>132.643018867925</v>
      </c>
      <c r="AF108" s="111" t="n">
        <f aca="false">IFERROR('Price History'!K3+(INDEX('Price History'!K:K,MATCH(9.99E+307,'Price History'!$A:$A))-'Price History'!K3)*(ROW()-3)/(MATCH(9.99E+307,'Returns (Calc)'!$A:$A)-3),"")</f>
        <v>120.357169811321</v>
      </c>
      <c r="AG108" s="111" t="n">
        <f aca="false">IFERROR('Price History'!L3+(INDEX('Price History'!L:L,MATCH(9.99E+307,'Price History'!$A:$A))-'Price History'!L3)*(ROW()-3)/(MATCH(9.99E+307,'Returns (Calc)'!$A:$A)-3),"")</f>
        <v>314.484339622641</v>
      </c>
      <c r="AH108" s="111" t="n">
        <f aca="false">IFERROR('Price History'!M3+(INDEX('Price History'!M:M,MATCH(9.99E+307,'Price History'!$A:$A))-'Price History'!M3)*(ROW()-3)/(MATCH(9.99E+307,'Returns (Calc)'!$A:$A)-3),"")</f>
        <v>196.63641509434</v>
      </c>
      <c r="AI108" s="111" t="n">
        <f aca="false">IFERROR('Price History'!N3+(INDEX('Price History'!N:N,MATCH(9.99E+307,'Price History'!$A:$A))-'Price History'!N3)*(ROW()-3)/(MATCH(9.99E+307,'Returns (Calc)'!$A:$A)-3),"")</f>
        <v>479.465660377359</v>
      </c>
      <c r="AJ108" s="111" t="n">
        <f aca="false">IFERROR('Price History'!O3+(INDEX('Price History'!O:O,MATCH(9.99E+307,'Price History'!$A:$A))-'Price History'!O3)*(ROW()-3)/(MATCH(9.99E+307,'Returns (Calc)'!$A:$A)-3),"")</f>
        <v>111.959433962264</v>
      </c>
      <c r="AK108" s="111" t="n">
        <f aca="false">IFERROR('Price History'!Q3+(INDEX('Price History'!Q:Q,MATCH(9.99E+307,'Price History'!$A:$A))-'Price History'!Q3)*(ROW()-3)/(MATCH(9.99E+307,'Returns (Calc)'!$A:$A)-3),"")</f>
        <v>62.9683018867925</v>
      </c>
      <c r="AL108" s="111" t="n">
        <f aca="false">IFERROR('Price History'!R3+(INDEX('Price History'!R:R,MATCH(9.99E+307,'Price History'!$A:$A))-'Price History'!R3)*(ROW()-3)/(MATCH(9.99E+307,'Returns (Calc)'!$A:$A)-3),"")</f>
        <v>55.7775471698113</v>
      </c>
      <c r="AM108" s="111" t="n">
        <f aca="false">IFERROR('Price History'!S3+(INDEX('Price History'!S:S,MATCH(9.99E+307,'Price History'!$A:$A))-'Price History'!S3)*(ROW()-3)/(MATCH(9.99E+307,'Returns (Calc)'!$A:$A)-3),"")</f>
        <v>118.75320754717</v>
      </c>
      <c r="AN108" s="111" t="n">
        <f aca="false">IFERROR('Price History'!T3+(INDEX('Price History'!T:T,MATCH(9.99E+307,'Price History'!$A:$A))-'Price History'!T3)*(ROW()-3)/(MATCH(9.99E+307,'Returns (Calc)'!$A:$A)-3),"")</f>
        <v>45.6515094339623</v>
      </c>
      <c r="AO108" s="112" t="n">
        <f aca="false">IFERROR('Price History'!V3+(INDEX('Price History'!V:V,MATCH(9.99E+307,'Price History'!$A:$A))-'Price History'!V3)*(ROW()-3)/(MATCH(9.99E+307,'Returns (Calc)'!$A:$A)-3),"")</f>
        <v>247.687735849057</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V109" s="110" t="n">
        <f aca="false">IFERROR(IF(OR(NOT(ISNUMBER('Price History'!V110)),NOT(ISNUMBER('Price History'!V109)),'Price History'!V109=0),"",'Price History'!V110/'Price History'!V109-1),"")</f>
        <v>0.00498185797385253</v>
      </c>
      <c r="W109" s="111" t="n">
        <f aca="false">IFERROR('Price History'!B3+(INDEX('Price History'!B:B,MATCH(9.99E+307,'Price History'!$A:$A))-'Price History'!B3)*(ROW()-3)/(MATCH(9.99E+307,'Returns (Calc)'!$A:$A)-3),"")</f>
        <v>347.156666666667</v>
      </c>
      <c r="X109" s="111" t="n">
        <f aca="false">IFERROR('Price History'!C3+(INDEX('Price History'!C:C,MATCH(9.99E+307,'Price History'!$A:$A))-'Price History'!C3)*(ROW()-3)/(MATCH(9.99E+307,'Returns (Calc)'!$A:$A)-3),"")</f>
        <v>143.766666666667</v>
      </c>
      <c r="Y109" s="111" t="n">
        <f aca="false">IFERROR('Price History'!D3+(INDEX('Price History'!D:D,MATCH(9.99E+307,'Price History'!$A:$A))-'Price History'!D3)*(ROW()-3)/(MATCH(9.99E+307,'Returns (Calc)'!$A:$A)-3),"")</f>
        <v>1363.84666666667</v>
      </c>
      <c r="Z109" s="111" t="n">
        <f aca="false">IFERROR('Price History'!E3+(INDEX('Price History'!E:E,MATCH(9.99E+307,'Price History'!$A:$A))-'Price History'!E3)*(ROW()-3)/(MATCH(9.99E+307,'Returns (Calc)'!$A:$A)-3),"")</f>
        <v>266.26</v>
      </c>
      <c r="AA109" s="111" t="n">
        <f aca="false">IFERROR('Price History'!F3+(INDEX('Price History'!F:F,MATCH(9.99E+307,'Price History'!$A:$A))-'Price History'!F3)*(ROW()-3)/(MATCH(9.99E+307,'Returns (Calc)'!$A:$A)-3),"")</f>
        <v>154.42</v>
      </c>
      <c r="AB109" s="111" t="n">
        <f aca="false">IFERROR('Price History'!G3+(INDEX('Price History'!G:G,MATCH(9.99E+307,'Price History'!$A:$A))-'Price History'!G3)*(ROW()-3)/(MATCH(9.99E+307,'Returns (Calc)'!$A:$A)-3),"")</f>
        <v>139.7</v>
      </c>
      <c r="AC109" s="111" t="n">
        <f aca="false">IFERROR('Price History'!H3+(INDEX('Price History'!H:H,MATCH(9.99E+307,'Price History'!$A:$A))-'Price History'!H3)*(ROW()-3)/(MATCH(9.99E+307,'Returns (Calc)'!$A:$A)-3),"")</f>
        <v>699.183333333333</v>
      </c>
      <c r="AD109" s="111" t="n">
        <f aca="false">IFERROR('Price History'!I3+(INDEX('Price History'!I:I,MATCH(9.99E+307,'Price History'!$A:$A))-'Price History'!I3)*(ROW()-3)/(MATCH(9.99E+307,'Returns (Calc)'!$A:$A)-3),"")</f>
        <v>167.19</v>
      </c>
      <c r="AE109" s="111" t="n">
        <f aca="false">IFERROR('Price History'!J3+(INDEX('Price History'!J:J,MATCH(9.99E+307,'Price History'!$A:$A))-'Price History'!J3)*(ROW()-3)/(MATCH(9.99E+307,'Returns (Calc)'!$A:$A)-3),"")</f>
        <v>132.73</v>
      </c>
      <c r="AF109" s="111" t="n">
        <f aca="false">IFERROR('Price History'!K3+(INDEX('Price History'!K:K,MATCH(9.99E+307,'Price History'!$A:$A))-'Price History'!K3)*(ROW()-3)/(MATCH(9.99E+307,'Returns (Calc)'!$A:$A)-3),"")</f>
        <v>121.356666666667</v>
      </c>
      <c r="AG109" s="111" t="n">
        <f aca="false">IFERROR('Price History'!L3+(INDEX('Price History'!L:L,MATCH(9.99E+307,'Price History'!$A:$A))-'Price History'!L3)*(ROW()-3)/(MATCH(9.99E+307,'Returns (Calc)'!$A:$A)-3),"")</f>
        <v>316.603333333333</v>
      </c>
      <c r="AH109" s="111" t="n">
        <f aca="false">IFERROR('Price History'!M3+(INDEX('Price History'!M:M,MATCH(9.99E+307,'Price History'!$A:$A))-'Price History'!M3)*(ROW()-3)/(MATCH(9.99E+307,'Returns (Calc)'!$A:$A)-3),"")</f>
        <v>198.19</v>
      </c>
      <c r="AI109" s="111" t="n">
        <f aca="false">IFERROR('Price History'!N3+(INDEX('Price History'!N:N,MATCH(9.99E+307,'Price History'!$A:$A))-'Price History'!N3)*(ROW()-3)/(MATCH(9.99E+307,'Returns (Calc)'!$A:$A)-3),"")</f>
        <v>480.7</v>
      </c>
      <c r="AJ109" s="111" t="n">
        <f aca="false">IFERROR('Price History'!O3+(INDEX('Price History'!O:O,MATCH(9.99E+307,'Price History'!$A:$A))-'Price History'!O3)*(ROW()-3)/(MATCH(9.99E+307,'Returns (Calc)'!$A:$A)-3),"")</f>
        <v>112.236666666667</v>
      </c>
      <c r="AK109" s="111" t="n">
        <f aca="false">IFERROR('Price History'!Q3+(INDEX('Price History'!Q:Q,MATCH(9.99E+307,'Price History'!$A:$A))-'Price History'!Q3)*(ROW()-3)/(MATCH(9.99E+307,'Returns (Calc)'!$A:$A)-3),"")</f>
        <v>63.0933333333333</v>
      </c>
      <c r="AL109" s="111" t="n">
        <f aca="false">IFERROR('Price History'!R3+(INDEX('Price History'!R:R,MATCH(9.99E+307,'Price History'!$A:$A))-'Price History'!R3)*(ROW()-3)/(MATCH(9.99E+307,'Returns (Calc)'!$A:$A)-3),"")</f>
        <v>55.8533333333333</v>
      </c>
      <c r="AM109" s="111" t="n">
        <f aca="false">IFERROR('Price History'!S3+(INDEX('Price History'!S:S,MATCH(9.99E+307,'Price History'!$A:$A))-'Price History'!S3)*(ROW()-3)/(MATCH(9.99E+307,'Returns (Calc)'!$A:$A)-3),"")</f>
        <v>119.326666666667</v>
      </c>
      <c r="AN109" s="111" t="n">
        <f aca="false">IFERROR('Price History'!T3+(INDEX('Price History'!T:T,MATCH(9.99E+307,'Price History'!$A:$A))-'Price History'!T3)*(ROW()-3)/(MATCH(9.99E+307,'Returns (Calc)'!$A:$A)-3),"")</f>
        <v>45.83</v>
      </c>
      <c r="AO109" s="112" t="n">
        <f aca="false">IFERROR('Price History'!V3+(INDEX('Price History'!V:V,MATCH(9.99E+307,'Price History'!$A:$A))-'Price History'!V3)*(ROW()-3)/(MATCH(9.99E+307,'Returns (Calc)'!$A:$A)-3),"")</f>
        <v>250.046666666667</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V110" s="110" t="n">
        <f aca="false">IFERROR(IF(OR(NOT(ISNUMBER('Price History'!V111)),NOT(ISNUMBER('Price History'!V110)),'Price History'!V110=0),"",'Price History'!V111/'Price History'!V110-1),"")</f>
        <v>-0.0243273446230551</v>
      </c>
      <c r="W110" s="111" t="n">
        <f aca="false">IFERROR('Price History'!B3+(INDEX('Price History'!B:B,MATCH(9.99E+307,'Price History'!$A:$A))-'Price History'!B3)*(ROW()-3)/(MATCH(9.99E+307,'Returns (Calc)'!$A:$A)-3),"")</f>
        <v>345.635031446541</v>
      </c>
      <c r="X110" s="111" t="n">
        <f aca="false">IFERROR('Price History'!C3+(INDEX('Price History'!C:C,MATCH(9.99E+307,'Price History'!$A:$A))-'Price History'!C3)*(ROW()-3)/(MATCH(9.99E+307,'Returns (Calc)'!$A:$A)-3),"")</f>
        <v>144.710314465409</v>
      </c>
      <c r="Y110" s="111" t="n">
        <f aca="false">IFERROR('Price History'!D3+(INDEX('Price History'!D:D,MATCH(9.99E+307,'Price History'!$A:$A))-'Price History'!D3)*(ROW()-3)/(MATCH(9.99E+307,'Returns (Calc)'!$A:$A)-3),"")</f>
        <v>1370.46993710692</v>
      </c>
      <c r="Z110" s="111" t="n">
        <f aca="false">IFERROR('Price History'!E3+(INDEX('Price History'!E:E,MATCH(9.99E+307,'Price History'!$A:$A))-'Price History'!E3)*(ROW()-3)/(MATCH(9.99E+307,'Returns (Calc)'!$A:$A)-3),"")</f>
        <v>267.989056603774</v>
      </c>
      <c r="AA110" s="111" t="n">
        <f aca="false">IFERROR('Price History'!F3+(INDEX('Price History'!F:F,MATCH(9.99E+307,'Price History'!$A:$A))-'Price History'!F3)*(ROW()-3)/(MATCH(9.99E+307,'Returns (Calc)'!$A:$A)-3),"")</f>
        <v>155.527169811321</v>
      </c>
      <c r="AB110" s="111" t="n">
        <f aca="false">IFERROR('Price History'!G3+(INDEX('Price History'!G:G,MATCH(9.99E+307,'Price History'!$A:$A))-'Price History'!G3)*(ROW()-3)/(MATCH(9.99E+307,'Returns (Calc)'!$A:$A)-3),"")</f>
        <v>140.566037735849</v>
      </c>
      <c r="AC110" s="111" t="n">
        <f aca="false">IFERROR('Price History'!H3+(INDEX('Price History'!H:H,MATCH(9.99E+307,'Price History'!$A:$A))-'Price History'!H3)*(ROW()-3)/(MATCH(9.99E+307,'Returns (Calc)'!$A:$A)-3),"")</f>
        <v>705.17213836478</v>
      </c>
      <c r="AD110" s="111" t="n">
        <f aca="false">IFERROR('Price History'!I3+(INDEX('Price History'!I:I,MATCH(9.99E+307,'Price History'!$A:$A))-'Price History'!I3)*(ROW()-3)/(MATCH(9.99E+307,'Returns (Calc)'!$A:$A)-3),"")</f>
        <v>168.381886792453</v>
      </c>
      <c r="AE110" s="111" t="n">
        <f aca="false">IFERROR('Price History'!J3+(INDEX('Price History'!J:J,MATCH(9.99E+307,'Price History'!$A:$A))-'Price History'!J3)*(ROW()-3)/(MATCH(9.99E+307,'Returns (Calc)'!$A:$A)-3),"")</f>
        <v>132.816981132075</v>
      </c>
      <c r="AF110" s="111" t="n">
        <f aca="false">IFERROR('Price History'!K3+(INDEX('Price History'!K:K,MATCH(9.99E+307,'Price History'!$A:$A))-'Price History'!K3)*(ROW()-3)/(MATCH(9.99E+307,'Returns (Calc)'!$A:$A)-3),"")</f>
        <v>122.356163522013</v>
      </c>
      <c r="AG110" s="111" t="n">
        <f aca="false">IFERROR('Price History'!L3+(INDEX('Price History'!L:L,MATCH(9.99E+307,'Price History'!$A:$A))-'Price History'!L3)*(ROW()-3)/(MATCH(9.99E+307,'Returns (Calc)'!$A:$A)-3),"")</f>
        <v>318.722327044025</v>
      </c>
      <c r="AH110" s="111" t="n">
        <f aca="false">IFERROR('Price History'!M3+(INDEX('Price History'!M:M,MATCH(9.99E+307,'Price History'!$A:$A))-'Price History'!M3)*(ROW()-3)/(MATCH(9.99E+307,'Returns (Calc)'!$A:$A)-3),"")</f>
        <v>199.74358490566</v>
      </c>
      <c r="AI110" s="111" t="n">
        <f aca="false">IFERROR('Price History'!N3+(INDEX('Price History'!N:N,MATCH(9.99E+307,'Price History'!$A:$A))-'Price History'!N3)*(ROW()-3)/(MATCH(9.99E+307,'Returns (Calc)'!$A:$A)-3),"")</f>
        <v>481.934339622642</v>
      </c>
      <c r="AJ110" s="111" t="n">
        <f aca="false">IFERROR('Price History'!O3+(INDEX('Price History'!O:O,MATCH(9.99E+307,'Price History'!$A:$A))-'Price History'!O3)*(ROW()-3)/(MATCH(9.99E+307,'Returns (Calc)'!$A:$A)-3),"")</f>
        <v>112.513899371069</v>
      </c>
      <c r="AK110" s="111" t="n">
        <f aca="false">IFERROR('Price History'!Q3+(INDEX('Price History'!Q:Q,MATCH(9.99E+307,'Price History'!$A:$A))-'Price History'!Q3)*(ROW()-3)/(MATCH(9.99E+307,'Returns (Calc)'!$A:$A)-3),"")</f>
        <v>63.2183647798742</v>
      </c>
      <c r="AL110" s="111" t="n">
        <f aca="false">IFERROR('Price History'!R3+(INDEX('Price History'!R:R,MATCH(9.99E+307,'Price History'!$A:$A))-'Price History'!R3)*(ROW()-3)/(MATCH(9.99E+307,'Returns (Calc)'!$A:$A)-3),"")</f>
        <v>55.9291194968553</v>
      </c>
      <c r="AM110" s="111" t="n">
        <f aca="false">IFERROR('Price History'!S3+(INDEX('Price History'!S:S,MATCH(9.99E+307,'Price History'!$A:$A))-'Price History'!S3)*(ROW()-3)/(MATCH(9.99E+307,'Returns (Calc)'!$A:$A)-3),"")</f>
        <v>119.900125786164</v>
      </c>
      <c r="AN110" s="111" t="n">
        <f aca="false">IFERROR('Price History'!T3+(INDEX('Price History'!T:T,MATCH(9.99E+307,'Price History'!$A:$A))-'Price History'!T3)*(ROW()-3)/(MATCH(9.99E+307,'Returns (Calc)'!$A:$A)-3),"")</f>
        <v>46.0084905660377</v>
      </c>
      <c r="AO110" s="112" t="n">
        <f aca="false">IFERROR('Price History'!V3+(INDEX('Price History'!V:V,MATCH(9.99E+307,'Price History'!$A:$A))-'Price History'!V3)*(ROW()-3)/(MATCH(9.99E+307,'Returns (Calc)'!$A:$A)-3),"")</f>
        <v>252.405597484277</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V111" s="110" t="n">
        <f aca="false">IFERROR(IF(OR(NOT(ISNUMBER('Price History'!V112)),NOT(ISNUMBER('Price History'!V111)),'Price History'!V111=0),"",'Price History'!V112/'Price History'!V111-1),"")</f>
        <v>-0.0110425844346549</v>
      </c>
      <c r="W111" s="111" t="n">
        <f aca="false">IFERROR('Price History'!B3+(INDEX('Price History'!B:B,MATCH(9.99E+307,'Price History'!$A:$A))-'Price History'!B3)*(ROW()-3)/(MATCH(9.99E+307,'Returns (Calc)'!$A:$A)-3),"")</f>
        <v>344.113396226415</v>
      </c>
      <c r="X111" s="111" t="n">
        <f aca="false">IFERROR('Price History'!C3+(INDEX('Price History'!C:C,MATCH(9.99E+307,'Price History'!$A:$A))-'Price History'!C3)*(ROW()-3)/(MATCH(9.99E+307,'Returns (Calc)'!$A:$A)-3),"")</f>
        <v>145.653962264151</v>
      </c>
      <c r="Y111" s="111" t="n">
        <f aca="false">IFERROR('Price History'!D3+(INDEX('Price History'!D:D,MATCH(9.99E+307,'Price History'!$A:$A))-'Price History'!D3)*(ROW()-3)/(MATCH(9.99E+307,'Returns (Calc)'!$A:$A)-3),"")</f>
        <v>1377.09320754717</v>
      </c>
      <c r="Z111" s="111" t="n">
        <f aca="false">IFERROR('Price History'!E3+(INDEX('Price History'!E:E,MATCH(9.99E+307,'Price History'!$A:$A))-'Price History'!E3)*(ROW()-3)/(MATCH(9.99E+307,'Returns (Calc)'!$A:$A)-3),"")</f>
        <v>269.718113207547</v>
      </c>
      <c r="AA111" s="111" t="n">
        <f aca="false">IFERROR('Price History'!F3+(INDEX('Price History'!F:F,MATCH(9.99E+307,'Price History'!$A:$A))-'Price History'!F3)*(ROW()-3)/(MATCH(9.99E+307,'Returns (Calc)'!$A:$A)-3),"")</f>
        <v>156.634339622642</v>
      </c>
      <c r="AB111" s="111" t="n">
        <f aca="false">IFERROR('Price History'!G3+(INDEX('Price History'!G:G,MATCH(9.99E+307,'Price History'!$A:$A))-'Price History'!G3)*(ROW()-3)/(MATCH(9.99E+307,'Returns (Calc)'!$A:$A)-3),"")</f>
        <v>141.432075471698</v>
      </c>
      <c r="AC111" s="111" t="n">
        <f aca="false">IFERROR('Price History'!H3+(INDEX('Price History'!H:H,MATCH(9.99E+307,'Price History'!$A:$A))-'Price History'!H3)*(ROW()-3)/(MATCH(9.99E+307,'Returns (Calc)'!$A:$A)-3),"")</f>
        <v>711.160943396227</v>
      </c>
      <c r="AD111" s="111" t="n">
        <f aca="false">IFERROR('Price History'!I3+(INDEX('Price History'!I:I,MATCH(9.99E+307,'Price History'!$A:$A))-'Price History'!I3)*(ROW()-3)/(MATCH(9.99E+307,'Returns (Calc)'!$A:$A)-3),"")</f>
        <v>169.573773584906</v>
      </c>
      <c r="AE111" s="111" t="n">
        <f aca="false">IFERROR('Price History'!J3+(INDEX('Price History'!J:J,MATCH(9.99E+307,'Price History'!$A:$A))-'Price History'!J3)*(ROW()-3)/(MATCH(9.99E+307,'Returns (Calc)'!$A:$A)-3),"")</f>
        <v>132.903962264151</v>
      </c>
      <c r="AF111" s="111" t="n">
        <f aca="false">IFERROR('Price History'!K3+(INDEX('Price History'!K:K,MATCH(9.99E+307,'Price History'!$A:$A))-'Price History'!K3)*(ROW()-3)/(MATCH(9.99E+307,'Returns (Calc)'!$A:$A)-3),"")</f>
        <v>123.355660377358</v>
      </c>
      <c r="AG111" s="111" t="n">
        <f aca="false">IFERROR('Price History'!L3+(INDEX('Price History'!L:L,MATCH(9.99E+307,'Price History'!$A:$A))-'Price History'!L3)*(ROW()-3)/(MATCH(9.99E+307,'Returns (Calc)'!$A:$A)-3),"")</f>
        <v>320.841320754717</v>
      </c>
      <c r="AH111" s="111" t="n">
        <f aca="false">IFERROR('Price History'!M3+(INDEX('Price History'!M:M,MATCH(9.99E+307,'Price History'!$A:$A))-'Price History'!M3)*(ROW()-3)/(MATCH(9.99E+307,'Returns (Calc)'!$A:$A)-3),"")</f>
        <v>201.297169811321</v>
      </c>
      <c r="AI111" s="111" t="n">
        <f aca="false">IFERROR('Price History'!N3+(INDEX('Price History'!N:N,MATCH(9.99E+307,'Price History'!$A:$A))-'Price History'!N3)*(ROW()-3)/(MATCH(9.99E+307,'Returns (Calc)'!$A:$A)-3),"")</f>
        <v>483.168679245283</v>
      </c>
      <c r="AJ111" s="111" t="n">
        <f aca="false">IFERROR('Price History'!O3+(INDEX('Price History'!O:O,MATCH(9.99E+307,'Price History'!$A:$A))-'Price History'!O3)*(ROW()-3)/(MATCH(9.99E+307,'Returns (Calc)'!$A:$A)-3),"")</f>
        <v>112.791132075472</v>
      </c>
      <c r="AK111" s="111" t="n">
        <f aca="false">IFERROR('Price History'!Q3+(INDEX('Price History'!Q:Q,MATCH(9.99E+307,'Price History'!$A:$A))-'Price History'!Q3)*(ROW()-3)/(MATCH(9.99E+307,'Returns (Calc)'!$A:$A)-3),"")</f>
        <v>63.3433962264151</v>
      </c>
      <c r="AL111" s="111" t="n">
        <f aca="false">IFERROR('Price History'!R3+(INDEX('Price History'!R:R,MATCH(9.99E+307,'Price History'!$A:$A))-'Price History'!R3)*(ROW()-3)/(MATCH(9.99E+307,'Returns (Calc)'!$A:$A)-3),"")</f>
        <v>56.0049056603774</v>
      </c>
      <c r="AM111" s="111" t="n">
        <f aca="false">IFERROR('Price History'!S3+(INDEX('Price History'!S:S,MATCH(9.99E+307,'Price History'!$A:$A))-'Price History'!S3)*(ROW()-3)/(MATCH(9.99E+307,'Returns (Calc)'!$A:$A)-3),"")</f>
        <v>120.47358490566</v>
      </c>
      <c r="AN111" s="111" t="n">
        <f aca="false">IFERROR('Price History'!T3+(INDEX('Price History'!T:T,MATCH(9.99E+307,'Price History'!$A:$A))-'Price History'!T3)*(ROW()-3)/(MATCH(9.99E+307,'Returns (Calc)'!$A:$A)-3),"")</f>
        <v>46.1869811320755</v>
      </c>
      <c r="AO111" s="112" t="n">
        <f aca="false">IFERROR('Price History'!V3+(INDEX('Price History'!V:V,MATCH(9.99E+307,'Price History'!$A:$A))-'Price History'!V3)*(ROW()-3)/(MATCH(9.99E+307,'Returns (Calc)'!$A:$A)-3),"")</f>
        <v>254.764528301887</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V112" s="110" t="n">
        <f aca="false">IFERROR(IF(OR(NOT(ISNUMBER('Price History'!V113)),NOT(ISNUMBER('Price History'!V112)),'Price History'!V112=0),"",'Price History'!V113/'Price History'!V112-1),"")</f>
        <v>0.00641444437845218</v>
      </c>
      <c r="W112" s="111" t="n">
        <f aca="false">IFERROR('Price History'!B3+(INDEX('Price History'!B:B,MATCH(9.99E+307,'Price History'!$A:$A))-'Price History'!B3)*(ROW()-3)/(MATCH(9.99E+307,'Returns (Calc)'!$A:$A)-3),"")</f>
        <v>342.591761006289</v>
      </c>
      <c r="X112" s="111" t="n">
        <f aca="false">IFERROR('Price History'!C3+(INDEX('Price History'!C:C,MATCH(9.99E+307,'Price History'!$A:$A))-'Price History'!C3)*(ROW()-3)/(MATCH(9.99E+307,'Returns (Calc)'!$A:$A)-3),"")</f>
        <v>146.597610062893</v>
      </c>
      <c r="Y112" s="111" t="n">
        <f aca="false">IFERROR('Price History'!D3+(INDEX('Price History'!D:D,MATCH(9.99E+307,'Price History'!$A:$A))-'Price History'!D3)*(ROW()-3)/(MATCH(9.99E+307,'Returns (Calc)'!$A:$A)-3),"")</f>
        <v>1383.71647798742</v>
      </c>
      <c r="Z112" s="111" t="n">
        <f aca="false">IFERROR('Price History'!E3+(INDEX('Price History'!E:E,MATCH(9.99E+307,'Price History'!$A:$A))-'Price History'!E3)*(ROW()-3)/(MATCH(9.99E+307,'Returns (Calc)'!$A:$A)-3),"")</f>
        <v>271.447169811321</v>
      </c>
      <c r="AA112" s="111" t="n">
        <f aca="false">IFERROR('Price History'!F3+(INDEX('Price History'!F:F,MATCH(9.99E+307,'Price History'!$A:$A))-'Price History'!F3)*(ROW()-3)/(MATCH(9.99E+307,'Returns (Calc)'!$A:$A)-3),"")</f>
        <v>157.741509433962</v>
      </c>
      <c r="AB112" s="111" t="n">
        <f aca="false">IFERROR('Price History'!G3+(INDEX('Price History'!G:G,MATCH(9.99E+307,'Price History'!$A:$A))-'Price History'!G3)*(ROW()-3)/(MATCH(9.99E+307,'Returns (Calc)'!$A:$A)-3),"")</f>
        <v>142.298113207547</v>
      </c>
      <c r="AC112" s="111" t="n">
        <f aca="false">IFERROR('Price History'!H3+(INDEX('Price History'!H:H,MATCH(9.99E+307,'Price History'!$A:$A))-'Price History'!H3)*(ROW()-3)/(MATCH(9.99E+307,'Returns (Calc)'!$A:$A)-3),"")</f>
        <v>717.149748427673</v>
      </c>
      <c r="AD112" s="111" t="n">
        <f aca="false">IFERROR('Price History'!I3+(INDEX('Price History'!I:I,MATCH(9.99E+307,'Price History'!$A:$A))-'Price History'!I3)*(ROW()-3)/(MATCH(9.99E+307,'Returns (Calc)'!$A:$A)-3),"")</f>
        <v>170.765660377359</v>
      </c>
      <c r="AE112" s="111" t="n">
        <f aca="false">IFERROR('Price History'!J3+(INDEX('Price History'!J:J,MATCH(9.99E+307,'Price History'!$A:$A))-'Price History'!J3)*(ROW()-3)/(MATCH(9.99E+307,'Returns (Calc)'!$A:$A)-3),"")</f>
        <v>132.990943396226</v>
      </c>
      <c r="AF112" s="111" t="n">
        <f aca="false">IFERROR('Price History'!K3+(INDEX('Price History'!K:K,MATCH(9.99E+307,'Price History'!$A:$A))-'Price History'!K3)*(ROW()-3)/(MATCH(9.99E+307,'Returns (Calc)'!$A:$A)-3),"")</f>
        <v>124.355157232704</v>
      </c>
      <c r="AG112" s="111" t="n">
        <f aca="false">IFERROR('Price History'!L3+(INDEX('Price History'!L:L,MATCH(9.99E+307,'Price History'!$A:$A))-'Price History'!L3)*(ROW()-3)/(MATCH(9.99E+307,'Returns (Calc)'!$A:$A)-3),"")</f>
        <v>322.960314465409</v>
      </c>
      <c r="AH112" s="111" t="n">
        <f aca="false">IFERROR('Price History'!M3+(INDEX('Price History'!M:M,MATCH(9.99E+307,'Price History'!$A:$A))-'Price History'!M3)*(ROW()-3)/(MATCH(9.99E+307,'Returns (Calc)'!$A:$A)-3),"")</f>
        <v>202.850754716981</v>
      </c>
      <c r="AI112" s="111" t="n">
        <f aca="false">IFERROR('Price History'!N3+(INDEX('Price History'!N:N,MATCH(9.99E+307,'Price History'!$A:$A))-'Price History'!N3)*(ROW()-3)/(MATCH(9.99E+307,'Returns (Calc)'!$A:$A)-3),"")</f>
        <v>484.403018867925</v>
      </c>
      <c r="AJ112" s="111" t="n">
        <f aca="false">IFERROR('Price History'!O3+(INDEX('Price History'!O:O,MATCH(9.99E+307,'Price History'!$A:$A))-'Price History'!O3)*(ROW()-3)/(MATCH(9.99E+307,'Returns (Calc)'!$A:$A)-3),"")</f>
        <v>113.068364779874</v>
      </c>
      <c r="AK112" s="111" t="n">
        <f aca="false">IFERROR('Price History'!Q3+(INDEX('Price History'!Q:Q,MATCH(9.99E+307,'Price History'!$A:$A))-'Price History'!Q3)*(ROW()-3)/(MATCH(9.99E+307,'Returns (Calc)'!$A:$A)-3),"")</f>
        <v>63.468427672956</v>
      </c>
      <c r="AL112" s="111" t="n">
        <f aca="false">IFERROR('Price History'!R3+(INDEX('Price History'!R:R,MATCH(9.99E+307,'Price History'!$A:$A))-'Price History'!R3)*(ROW()-3)/(MATCH(9.99E+307,'Returns (Calc)'!$A:$A)-3),"")</f>
        <v>56.0806918238994</v>
      </c>
      <c r="AM112" s="111" t="n">
        <f aca="false">IFERROR('Price History'!S3+(INDEX('Price History'!S:S,MATCH(9.99E+307,'Price History'!$A:$A))-'Price History'!S3)*(ROW()-3)/(MATCH(9.99E+307,'Returns (Calc)'!$A:$A)-3),"")</f>
        <v>121.047044025157</v>
      </c>
      <c r="AN112" s="111" t="n">
        <f aca="false">IFERROR('Price History'!T3+(INDEX('Price History'!T:T,MATCH(9.99E+307,'Price History'!$A:$A))-'Price History'!T3)*(ROW()-3)/(MATCH(9.99E+307,'Returns (Calc)'!$A:$A)-3),"")</f>
        <v>46.3654716981132</v>
      </c>
      <c r="AO112" s="112" t="n">
        <f aca="false">IFERROR('Price History'!V3+(INDEX('Price History'!V:V,MATCH(9.99E+307,'Price History'!$A:$A))-'Price History'!V3)*(ROW()-3)/(MATCH(9.99E+307,'Returns (Calc)'!$A:$A)-3),"")</f>
        <v>257.123459119497</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V113" s="110" t="n">
        <f aca="false">IFERROR(IF(OR(NOT(ISNUMBER('Price History'!V114)),NOT(ISNUMBER('Price History'!V113)),'Price History'!V113=0),"",'Price History'!V114/'Price History'!V113-1),"")</f>
        <v>-0.0124225435231631</v>
      </c>
      <c r="W113" s="111" t="n">
        <f aca="false">IFERROR('Price History'!B3+(INDEX('Price History'!B:B,MATCH(9.99E+307,'Price History'!$A:$A))-'Price History'!B3)*(ROW()-3)/(MATCH(9.99E+307,'Returns (Calc)'!$A:$A)-3),"")</f>
        <v>341.070125786164</v>
      </c>
      <c r="X113" s="111" t="n">
        <f aca="false">IFERROR('Price History'!C3+(INDEX('Price History'!C:C,MATCH(9.99E+307,'Price History'!$A:$A))-'Price History'!C3)*(ROW()-3)/(MATCH(9.99E+307,'Returns (Calc)'!$A:$A)-3),"")</f>
        <v>147.541257861635</v>
      </c>
      <c r="Y113" s="111" t="n">
        <f aca="false">IFERROR('Price History'!D3+(INDEX('Price History'!D:D,MATCH(9.99E+307,'Price History'!$A:$A))-'Price History'!D3)*(ROW()-3)/(MATCH(9.99E+307,'Returns (Calc)'!$A:$A)-3),"")</f>
        <v>1390.33974842767</v>
      </c>
      <c r="Z113" s="111" t="n">
        <f aca="false">IFERROR('Price History'!E3+(INDEX('Price History'!E:E,MATCH(9.99E+307,'Price History'!$A:$A))-'Price History'!E3)*(ROW()-3)/(MATCH(9.99E+307,'Returns (Calc)'!$A:$A)-3),"")</f>
        <v>273.176226415094</v>
      </c>
      <c r="AA113" s="111" t="n">
        <f aca="false">IFERROR('Price History'!F3+(INDEX('Price History'!F:F,MATCH(9.99E+307,'Price History'!$A:$A))-'Price History'!F3)*(ROW()-3)/(MATCH(9.99E+307,'Returns (Calc)'!$A:$A)-3),"")</f>
        <v>158.848679245283</v>
      </c>
      <c r="AB113" s="111" t="n">
        <f aca="false">IFERROR('Price History'!G3+(INDEX('Price History'!G:G,MATCH(9.99E+307,'Price History'!$A:$A))-'Price History'!G3)*(ROW()-3)/(MATCH(9.99E+307,'Returns (Calc)'!$A:$A)-3),"")</f>
        <v>143.164150943396</v>
      </c>
      <c r="AC113" s="111" t="n">
        <f aca="false">IFERROR('Price History'!H3+(INDEX('Price History'!H:H,MATCH(9.99E+307,'Price History'!$A:$A))-'Price History'!H3)*(ROW()-3)/(MATCH(9.99E+307,'Returns (Calc)'!$A:$A)-3),"")</f>
        <v>723.13855345912</v>
      </c>
      <c r="AD113" s="111" t="n">
        <f aca="false">IFERROR('Price History'!I3+(INDEX('Price History'!I:I,MATCH(9.99E+307,'Price History'!$A:$A))-'Price History'!I3)*(ROW()-3)/(MATCH(9.99E+307,'Returns (Calc)'!$A:$A)-3),"")</f>
        <v>171.957547169811</v>
      </c>
      <c r="AE113" s="111" t="n">
        <f aca="false">IFERROR('Price History'!J3+(INDEX('Price History'!J:J,MATCH(9.99E+307,'Price History'!$A:$A))-'Price History'!J3)*(ROW()-3)/(MATCH(9.99E+307,'Returns (Calc)'!$A:$A)-3),"")</f>
        <v>133.077924528302</v>
      </c>
      <c r="AF113" s="111" t="n">
        <f aca="false">IFERROR('Price History'!K3+(INDEX('Price History'!K:K,MATCH(9.99E+307,'Price History'!$A:$A))-'Price History'!K3)*(ROW()-3)/(MATCH(9.99E+307,'Returns (Calc)'!$A:$A)-3),"")</f>
        <v>125.35465408805</v>
      </c>
      <c r="AG113" s="111" t="n">
        <f aca="false">IFERROR('Price History'!L3+(INDEX('Price History'!L:L,MATCH(9.99E+307,'Price History'!$A:$A))-'Price History'!L3)*(ROW()-3)/(MATCH(9.99E+307,'Returns (Calc)'!$A:$A)-3),"")</f>
        <v>325.079308176101</v>
      </c>
      <c r="AH113" s="111" t="n">
        <f aca="false">IFERROR('Price History'!M3+(INDEX('Price History'!M:M,MATCH(9.99E+307,'Price History'!$A:$A))-'Price History'!M3)*(ROW()-3)/(MATCH(9.99E+307,'Returns (Calc)'!$A:$A)-3),"")</f>
        <v>204.404339622642</v>
      </c>
      <c r="AI113" s="111" t="n">
        <f aca="false">IFERROR('Price History'!N3+(INDEX('Price History'!N:N,MATCH(9.99E+307,'Price History'!$A:$A))-'Price History'!N3)*(ROW()-3)/(MATCH(9.99E+307,'Returns (Calc)'!$A:$A)-3),"")</f>
        <v>485.637358490566</v>
      </c>
      <c r="AJ113" s="111" t="n">
        <f aca="false">IFERROR('Price History'!O3+(INDEX('Price History'!O:O,MATCH(9.99E+307,'Price History'!$A:$A))-'Price History'!O3)*(ROW()-3)/(MATCH(9.99E+307,'Returns (Calc)'!$A:$A)-3),"")</f>
        <v>113.345597484277</v>
      </c>
      <c r="AK113" s="111" t="n">
        <f aca="false">IFERROR('Price History'!Q3+(INDEX('Price History'!Q:Q,MATCH(9.99E+307,'Price History'!$A:$A))-'Price History'!Q3)*(ROW()-3)/(MATCH(9.99E+307,'Returns (Calc)'!$A:$A)-3),"")</f>
        <v>63.5934591194969</v>
      </c>
      <c r="AL113" s="111" t="n">
        <f aca="false">IFERROR('Price History'!R3+(INDEX('Price History'!R:R,MATCH(9.99E+307,'Price History'!$A:$A))-'Price History'!R3)*(ROW()-3)/(MATCH(9.99E+307,'Returns (Calc)'!$A:$A)-3),"")</f>
        <v>56.1564779874214</v>
      </c>
      <c r="AM113" s="111" t="n">
        <f aca="false">IFERROR('Price History'!S3+(INDEX('Price History'!S:S,MATCH(9.99E+307,'Price History'!$A:$A))-'Price History'!S3)*(ROW()-3)/(MATCH(9.99E+307,'Returns (Calc)'!$A:$A)-3),"")</f>
        <v>121.620503144654</v>
      </c>
      <c r="AN113" s="111" t="n">
        <f aca="false">IFERROR('Price History'!T3+(INDEX('Price History'!T:T,MATCH(9.99E+307,'Price History'!$A:$A))-'Price History'!T3)*(ROW()-3)/(MATCH(9.99E+307,'Returns (Calc)'!$A:$A)-3),"")</f>
        <v>46.5439622641509</v>
      </c>
      <c r="AO113" s="112" t="n">
        <f aca="false">IFERROR('Price History'!V3+(INDEX('Price History'!V:V,MATCH(9.99E+307,'Price History'!$A:$A))-'Price History'!V3)*(ROW()-3)/(MATCH(9.99E+307,'Returns (Calc)'!$A:$A)-3),"")</f>
        <v>259.482389937107</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V114" s="110" t="n">
        <f aca="false">IFERROR(IF(OR(NOT(ISNUMBER('Price History'!V115)),NOT(ISNUMBER('Price History'!V114)),'Price History'!V114=0),"",'Price History'!V115/'Price History'!V114-1),"")</f>
        <v>0.0369595745316562</v>
      </c>
      <c r="W114" s="111" t="n">
        <f aca="false">IFERROR('Price History'!B3+(INDEX('Price History'!B:B,MATCH(9.99E+307,'Price History'!$A:$A))-'Price History'!B3)*(ROW()-3)/(MATCH(9.99E+307,'Returns (Calc)'!$A:$A)-3),"")</f>
        <v>339.548490566038</v>
      </c>
      <c r="X114" s="111" t="n">
        <f aca="false">IFERROR('Price History'!C3+(INDEX('Price History'!C:C,MATCH(9.99E+307,'Price History'!$A:$A))-'Price History'!C3)*(ROW()-3)/(MATCH(9.99E+307,'Returns (Calc)'!$A:$A)-3),"")</f>
        <v>148.484905660377</v>
      </c>
      <c r="Y114" s="111" t="n">
        <f aca="false">IFERROR('Price History'!D3+(INDEX('Price History'!D:D,MATCH(9.99E+307,'Price History'!$A:$A))-'Price History'!D3)*(ROW()-3)/(MATCH(9.99E+307,'Returns (Calc)'!$A:$A)-3),"")</f>
        <v>1396.96301886792</v>
      </c>
      <c r="Z114" s="111" t="n">
        <f aca="false">IFERROR('Price History'!E3+(INDEX('Price History'!E:E,MATCH(9.99E+307,'Price History'!$A:$A))-'Price History'!E3)*(ROW()-3)/(MATCH(9.99E+307,'Returns (Calc)'!$A:$A)-3),"")</f>
        <v>274.905283018868</v>
      </c>
      <c r="AA114" s="111" t="n">
        <f aca="false">IFERROR('Price History'!F3+(INDEX('Price History'!F:F,MATCH(9.99E+307,'Price History'!$A:$A))-'Price History'!F3)*(ROW()-3)/(MATCH(9.99E+307,'Returns (Calc)'!$A:$A)-3),"")</f>
        <v>159.955849056604</v>
      </c>
      <c r="AB114" s="111" t="n">
        <f aca="false">IFERROR('Price History'!G3+(INDEX('Price History'!G:G,MATCH(9.99E+307,'Price History'!$A:$A))-'Price History'!G3)*(ROW()-3)/(MATCH(9.99E+307,'Returns (Calc)'!$A:$A)-3),"")</f>
        <v>144.030188679245</v>
      </c>
      <c r="AC114" s="111" t="n">
        <f aca="false">IFERROR('Price History'!H3+(INDEX('Price History'!H:H,MATCH(9.99E+307,'Price History'!$A:$A))-'Price History'!H3)*(ROW()-3)/(MATCH(9.99E+307,'Returns (Calc)'!$A:$A)-3),"")</f>
        <v>729.127358490566</v>
      </c>
      <c r="AD114" s="111" t="n">
        <f aca="false">IFERROR('Price History'!I3+(INDEX('Price History'!I:I,MATCH(9.99E+307,'Price History'!$A:$A))-'Price History'!I3)*(ROW()-3)/(MATCH(9.99E+307,'Returns (Calc)'!$A:$A)-3),"")</f>
        <v>173.149433962264</v>
      </c>
      <c r="AE114" s="111" t="n">
        <f aca="false">IFERROR('Price History'!J3+(INDEX('Price History'!J:J,MATCH(9.99E+307,'Price History'!$A:$A))-'Price History'!J3)*(ROW()-3)/(MATCH(9.99E+307,'Returns (Calc)'!$A:$A)-3),"")</f>
        <v>133.164905660377</v>
      </c>
      <c r="AF114" s="111" t="n">
        <f aca="false">IFERROR('Price History'!K3+(INDEX('Price History'!K:K,MATCH(9.99E+307,'Price History'!$A:$A))-'Price History'!K3)*(ROW()-3)/(MATCH(9.99E+307,'Returns (Calc)'!$A:$A)-3),"")</f>
        <v>126.354150943396</v>
      </c>
      <c r="AG114" s="111" t="n">
        <f aca="false">IFERROR('Price History'!L3+(INDEX('Price History'!L:L,MATCH(9.99E+307,'Price History'!$A:$A))-'Price History'!L3)*(ROW()-3)/(MATCH(9.99E+307,'Returns (Calc)'!$A:$A)-3),"")</f>
        <v>327.198301886793</v>
      </c>
      <c r="AH114" s="111" t="n">
        <f aca="false">IFERROR('Price History'!M3+(INDEX('Price History'!M:M,MATCH(9.99E+307,'Price History'!$A:$A))-'Price History'!M3)*(ROW()-3)/(MATCH(9.99E+307,'Returns (Calc)'!$A:$A)-3),"")</f>
        <v>205.957924528302</v>
      </c>
      <c r="AI114" s="111" t="n">
        <f aca="false">IFERROR('Price History'!N3+(INDEX('Price History'!N:N,MATCH(9.99E+307,'Price History'!$A:$A))-'Price History'!N3)*(ROW()-3)/(MATCH(9.99E+307,'Returns (Calc)'!$A:$A)-3),"")</f>
        <v>486.871698113208</v>
      </c>
      <c r="AJ114" s="111" t="n">
        <f aca="false">IFERROR('Price History'!O3+(INDEX('Price History'!O:O,MATCH(9.99E+307,'Price History'!$A:$A))-'Price History'!O3)*(ROW()-3)/(MATCH(9.99E+307,'Returns (Calc)'!$A:$A)-3),"")</f>
        <v>113.622830188679</v>
      </c>
      <c r="AK114" s="111" t="n">
        <f aca="false">IFERROR('Price History'!Q3+(INDEX('Price History'!Q:Q,MATCH(9.99E+307,'Price History'!$A:$A))-'Price History'!Q3)*(ROW()-3)/(MATCH(9.99E+307,'Returns (Calc)'!$A:$A)-3),"")</f>
        <v>63.7184905660377</v>
      </c>
      <c r="AL114" s="111" t="n">
        <f aca="false">IFERROR('Price History'!R3+(INDEX('Price History'!R:R,MATCH(9.99E+307,'Price History'!$A:$A))-'Price History'!R3)*(ROW()-3)/(MATCH(9.99E+307,'Returns (Calc)'!$A:$A)-3),"")</f>
        <v>56.2322641509434</v>
      </c>
      <c r="AM114" s="111" t="n">
        <f aca="false">IFERROR('Price History'!S3+(INDEX('Price History'!S:S,MATCH(9.99E+307,'Price History'!$A:$A))-'Price History'!S3)*(ROW()-3)/(MATCH(9.99E+307,'Returns (Calc)'!$A:$A)-3),"")</f>
        <v>122.193962264151</v>
      </c>
      <c r="AN114" s="111" t="n">
        <f aca="false">IFERROR('Price History'!T3+(INDEX('Price History'!T:T,MATCH(9.99E+307,'Price History'!$A:$A))-'Price History'!T3)*(ROW()-3)/(MATCH(9.99E+307,'Returns (Calc)'!$A:$A)-3),"")</f>
        <v>46.7224528301887</v>
      </c>
      <c r="AO114" s="112" t="n">
        <f aca="false">IFERROR('Price History'!V3+(INDEX('Price History'!V:V,MATCH(9.99E+307,'Price History'!$A:$A))-'Price History'!V3)*(ROW()-3)/(MATCH(9.99E+307,'Returns (Calc)'!$A:$A)-3),"")</f>
        <v>261.841320754717</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V115" s="110" t="n">
        <f aca="false">IFERROR(IF(OR(NOT(ISNUMBER('Price History'!V116)),NOT(ISNUMBER('Price History'!V115)),'Price History'!V115=0),"",'Price History'!V116/'Price History'!V115-1),"")</f>
        <v>-0.0176914654526594</v>
      </c>
      <c r="W115" s="111" t="n">
        <f aca="false">IFERROR('Price History'!B3+(INDEX('Price History'!B:B,MATCH(9.99E+307,'Price History'!$A:$A))-'Price History'!B3)*(ROW()-3)/(MATCH(9.99E+307,'Returns (Calc)'!$A:$A)-3),"")</f>
        <v>338.026855345912</v>
      </c>
      <c r="X115" s="111" t="n">
        <f aca="false">IFERROR('Price History'!C3+(INDEX('Price History'!C:C,MATCH(9.99E+307,'Price History'!$A:$A))-'Price History'!C3)*(ROW()-3)/(MATCH(9.99E+307,'Returns (Calc)'!$A:$A)-3),"")</f>
        <v>149.428553459119</v>
      </c>
      <c r="Y115" s="111" t="n">
        <f aca="false">IFERROR('Price History'!D3+(INDEX('Price History'!D:D,MATCH(9.99E+307,'Price History'!$A:$A))-'Price History'!D3)*(ROW()-3)/(MATCH(9.99E+307,'Returns (Calc)'!$A:$A)-3),"")</f>
        <v>1403.58628930818</v>
      </c>
      <c r="Z115" s="111" t="n">
        <f aca="false">IFERROR('Price History'!E3+(INDEX('Price History'!E:E,MATCH(9.99E+307,'Price History'!$A:$A))-'Price History'!E3)*(ROW()-3)/(MATCH(9.99E+307,'Returns (Calc)'!$A:$A)-3),"")</f>
        <v>276.634339622641</v>
      </c>
      <c r="AA115" s="111" t="n">
        <f aca="false">IFERROR('Price History'!F3+(INDEX('Price History'!F:F,MATCH(9.99E+307,'Price History'!$A:$A))-'Price History'!F3)*(ROW()-3)/(MATCH(9.99E+307,'Returns (Calc)'!$A:$A)-3),"")</f>
        <v>161.063018867925</v>
      </c>
      <c r="AB115" s="111" t="n">
        <f aca="false">IFERROR('Price History'!G3+(INDEX('Price History'!G:G,MATCH(9.99E+307,'Price History'!$A:$A))-'Price History'!G3)*(ROW()-3)/(MATCH(9.99E+307,'Returns (Calc)'!$A:$A)-3),"")</f>
        <v>144.896226415094</v>
      </c>
      <c r="AC115" s="111" t="n">
        <f aca="false">IFERROR('Price History'!H3+(INDEX('Price History'!H:H,MATCH(9.99E+307,'Price History'!$A:$A))-'Price History'!H3)*(ROW()-3)/(MATCH(9.99E+307,'Returns (Calc)'!$A:$A)-3),"")</f>
        <v>735.116163522013</v>
      </c>
      <c r="AD115" s="111" t="n">
        <f aca="false">IFERROR('Price History'!I3+(INDEX('Price History'!I:I,MATCH(9.99E+307,'Price History'!$A:$A))-'Price History'!I3)*(ROW()-3)/(MATCH(9.99E+307,'Returns (Calc)'!$A:$A)-3),"")</f>
        <v>174.341320754717</v>
      </c>
      <c r="AE115" s="111" t="n">
        <f aca="false">IFERROR('Price History'!J3+(INDEX('Price History'!J:J,MATCH(9.99E+307,'Price History'!$A:$A))-'Price History'!J3)*(ROW()-3)/(MATCH(9.99E+307,'Returns (Calc)'!$A:$A)-3),"")</f>
        <v>133.251886792453</v>
      </c>
      <c r="AF115" s="111" t="n">
        <f aca="false">IFERROR('Price History'!K3+(INDEX('Price History'!K:K,MATCH(9.99E+307,'Price History'!$A:$A))-'Price History'!K3)*(ROW()-3)/(MATCH(9.99E+307,'Returns (Calc)'!$A:$A)-3),"")</f>
        <v>127.353647798742</v>
      </c>
      <c r="AG115" s="111" t="n">
        <f aca="false">IFERROR('Price History'!L3+(INDEX('Price History'!L:L,MATCH(9.99E+307,'Price History'!$A:$A))-'Price History'!L3)*(ROW()-3)/(MATCH(9.99E+307,'Returns (Calc)'!$A:$A)-3),"")</f>
        <v>329.317295597484</v>
      </c>
      <c r="AH115" s="111" t="n">
        <f aca="false">IFERROR('Price History'!M3+(INDEX('Price History'!M:M,MATCH(9.99E+307,'Price History'!$A:$A))-'Price History'!M3)*(ROW()-3)/(MATCH(9.99E+307,'Returns (Calc)'!$A:$A)-3),"")</f>
        <v>207.511509433962</v>
      </c>
      <c r="AI115" s="111" t="n">
        <f aca="false">IFERROR('Price History'!N3+(INDEX('Price History'!N:N,MATCH(9.99E+307,'Price History'!$A:$A))-'Price History'!N3)*(ROW()-3)/(MATCH(9.99E+307,'Returns (Calc)'!$A:$A)-3),"")</f>
        <v>488.106037735849</v>
      </c>
      <c r="AJ115" s="111" t="n">
        <f aca="false">IFERROR('Price History'!O3+(INDEX('Price History'!O:O,MATCH(9.99E+307,'Price History'!$A:$A))-'Price History'!O3)*(ROW()-3)/(MATCH(9.99E+307,'Returns (Calc)'!$A:$A)-3),"")</f>
        <v>113.900062893082</v>
      </c>
      <c r="AK115" s="111" t="n">
        <f aca="false">IFERROR('Price History'!Q3+(INDEX('Price History'!Q:Q,MATCH(9.99E+307,'Price History'!$A:$A))-'Price History'!Q3)*(ROW()-3)/(MATCH(9.99E+307,'Returns (Calc)'!$A:$A)-3),"")</f>
        <v>63.8435220125786</v>
      </c>
      <c r="AL115" s="111" t="n">
        <f aca="false">IFERROR('Price History'!R3+(INDEX('Price History'!R:R,MATCH(9.99E+307,'Price History'!$A:$A))-'Price History'!R3)*(ROW()-3)/(MATCH(9.99E+307,'Returns (Calc)'!$A:$A)-3),"")</f>
        <v>56.3080503144654</v>
      </c>
      <c r="AM115" s="111" t="n">
        <f aca="false">IFERROR('Price History'!S3+(INDEX('Price History'!S:S,MATCH(9.99E+307,'Price History'!$A:$A))-'Price History'!S3)*(ROW()-3)/(MATCH(9.99E+307,'Returns (Calc)'!$A:$A)-3),"")</f>
        <v>122.767421383648</v>
      </c>
      <c r="AN115" s="111" t="n">
        <f aca="false">IFERROR('Price History'!T3+(INDEX('Price History'!T:T,MATCH(9.99E+307,'Price History'!$A:$A))-'Price History'!T3)*(ROW()-3)/(MATCH(9.99E+307,'Returns (Calc)'!$A:$A)-3),"")</f>
        <v>46.9009433962264</v>
      </c>
      <c r="AO115" s="112" t="n">
        <f aca="false">IFERROR('Price History'!V3+(INDEX('Price History'!V:V,MATCH(9.99E+307,'Price History'!$A:$A))-'Price History'!V3)*(ROW()-3)/(MATCH(9.99E+307,'Returns (Calc)'!$A:$A)-3),"")</f>
        <v>264.200251572327</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V116" s="110" t="n">
        <f aca="false">IFERROR(IF(OR(NOT(ISNUMBER('Price History'!V117)),NOT(ISNUMBER('Price History'!V116)),'Price History'!V116=0),"",'Price History'!V117/'Price History'!V116-1),"")</f>
        <v>-0.00510383667722636</v>
      </c>
      <c r="W116" s="111" t="n">
        <f aca="false">IFERROR('Price History'!B3+(INDEX('Price History'!B:B,MATCH(9.99E+307,'Price History'!$A:$A))-'Price History'!B3)*(ROW()-3)/(MATCH(9.99E+307,'Returns (Calc)'!$A:$A)-3),"")</f>
        <v>336.505220125786</v>
      </c>
      <c r="X116" s="111" t="n">
        <f aca="false">IFERROR('Price History'!C3+(INDEX('Price History'!C:C,MATCH(9.99E+307,'Price History'!$A:$A))-'Price History'!C3)*(ROW()-3)/(MATCH(9.99E+307,'Returns (Calc)'!$A:$A)-3),"")</f>
        <v>150.372201257862</v>
      </c>
      <c r="Y116" s="111" t="n">
        <f aca="false">IFERROR('Price History'!D3+(INDEX('Price History'!D:D,MATCH(9.99E+307,'Price History'!$A:$A))-'Price History'!D3)*(ROW()-3)/(MATCH(9.99E+307,'Returns (Calc)'!$A:$A)-3),"")</f>
        <v>1410.20955974843</v>
      </c>
      <c r="Z116" s="111" t="n">
        <f aca="false">IFERROR('Price History'!E3+(INDEX('Price History'!E:E,MATCH(9.99E+307,'Price History'!$A:$A))-'Price History'!E3)*(ROW()-3)/(MATCH(9.99E+307,'Returns (Calc)'!$A:$A)-3),"")</f>
        <v>278.363396226415</v>
      </c>
      <c r="AA116" s="111" t="n">
        <f aca="false">IFERROR('Price History'!F3+(INDEX('Price History'!F:F,MATCH(9.99E+307,'Price History'!$A:$A))-'Price History'!F3)*(ROW()-3)/(MATCH(9.99E+307,'Returns (Calc)'!$A:$A)-3),"")</f>
        <v>162.170188679245</v>
      </c>
      <c r="AB116" s="111" t="n">
        <f aca="false">IFERROR('Price History'!G3+(INDEX('Price History'!G:G,MATCH(9.99E+307,'Price History'!$A:$A))-'Price History'!G3)*(ROW()-3)/(MATCH(9.99E+307,'Returns (Calc)'!$A:$A)-3),"")</f>
        <v>145.762264150943</v>
      </c>
      <c r="AC116" s="111" t="n">
        <f aca="false">IFERROR('Price History'!H3+(INDEX('Price History'!H:H,MATCH(9.99E+307,'Price History'!$A:$A))-'Price History'!H3)*(ROW()-3)/(MATCH(9.99E+307,'Returns (Calc)'!$A:$A)-3),"")</f>
        <v>741.104968553459</v>
      </c>
      <c r="AD116" s="111" t="n">
        <f aca="false">IFERROR('Price History'!I3+(INDEX('Price History'!I:I,MATCH(9.99E+307,'Price History'!$A:$A))-'Price History'!I3)*(ROW()-3)/(MATCH(9.99E+307,'Returns (Calc)'!$A:$A)-3),"")</f>
        <v>175.53320754717</v>
      </c>
      <c r="AE116" s="111" t="n">
        <f aca="false">IFERROR('Price History'!J3+(INDEX('Price History'!J:J,MATCH(9.99E+307,'Price History'!$A:$A))-'Price History'!J3)*(ROW()-3)/(MATCH(9.99E+307,'Returns (Calc)'!$A:$A)-3),"")</f>
        <v>133.338867924528</v>
      </c>
      <c r="AF116" s="111" t="n">
        <f aca="false">IFERROR('Price History'!K3+(INDEX('Price History'!K:K,MATCH(9.99E+307,'Price History'!$A:$A))-'Price History'!K3)*(ROW()-3)/(MATCH(9.99E+307,'Returns (Calc)'!$A:$A)-3),"")</f>
        <v>128.353144654088</v>
      </c>
      <c r="AG116" s="111" t="n">
        <f aca="false">IFERROR('Price History'!L3+(INDEX('Price History'!L:L,MATCH(9.99E+307,'Price History'!$A:$A))-'Price History'!L3)*(ROW()-3)/(MATCH(9.99E+307,'Returns (Calc)'!$A:$A)-3),"")</f>
        <v>331.436289308176</v>
      </c>
      <c r="AH116" s="111" t="n">
        <f aca="false">IFERROR('Price History'!M3+(INDEX('Price History'!M:M,MATCH(9.99E+307,'Price History'!$A:$A))-'Price History'!M3)*(ROW()-3)/(MATCH(9.99E+307,'Returns (Calc)'!$A:$A)-3),"")</f>
        <v>209.065094339623</v>
      </c>
      <c r="AI116" s="111" t="n">
        <f aca="false">IFERROR('Price History'!N3+(INDEX('Price History'!N:N,MATCH(9.99E+307,'Price History'!$A:$A))-'Price History'!N3)*(ROW()-3)/(MATCH(9.99E+307,'Returns (Calc)'!$A:$A)-3),"")</f>
        <v>489.340377358491</v>
      </c>
      <c r="AJ116" s="111" t="n">
        <f aca="false">IFERROR('Price History'!O3+(INDEX('Price History'!O:O,MATCH(9.99E+307,'Price History'!$A:$A))-'Price History'!O3)*(ROW()-3)/(MATCH(9.99E+307,'Returns (Calc)'!$A:$A)-3),"")</f>
        <v>114.177295597484</v>
      </c>
      <c r="AK116" s="111" t="n">
        <f aca="false">IFERROR('Price History'!Q3+(INDEX('Price History'!Q:Q,MATCH(9.99E+307,'Price History'!$A:$A))-'Price History'!Q3)*(ROW()-3)/(MATCH(9.99E+307,'Returns (Calc)'!$A:$A)-3),"")</f>
        <v>63.9685534591195</v>
      </c>
      <c r="AL116" s="111" t="n">
        <f aca="false">IFERROR('Price History'!R3+(INDEX('Price History'!R:R,MATCH(9.99E+307,'Price History'!$A:$A))-'Price History'!R3)*(ROW()-3)/(MATCH(9.99E+307,'Returns (Calc)'!$A:$A)-3),"")</f>
        <v>56.3838364779874</v>
      </c>
      <c r="AM116" s="111" t="n">
        <f aca="false">IFERROR('Price History'!S3+(INDEX('Price History'!S:S,MATCH(9.99E+307,'Price History'!$A:$A))-'Price History'!S3)*(ROW()-3)/(MATCH(9.99E+307,'Returns (Calc)'!$A:$A)-3),"")</f>
        <v>123.340880503145</v>
      </c>
      <c r="AN116" s="111" t="n">
        <f aca="false">IFERROR('Price History'!T3+(INDEX('Price History'!T:T,MATCH(9.99E+307,'Price History'!$A:$A))-'Price History'!T3)*(ROW()-3)/(MATCH(9.99E+307,'Returns (Calc)'!$A:$A)-3),"")</f>
        <v>47.0794339622642</v>
      </c>
      <c r="AO116" s="112" t="n">
        <f aca="false">IFERROR('Price History'!V3+(INDEX('Price History'!V:V,MATCH(9.99E+307,'Price History'!$A:$A))-'Price History'!V3)*(ROW()-3)/(MATCH(9.99E+307,'Returns (Calc)'!$A:$A)-3),"")</f>
        <v>266.559182389937</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V117" s="110" t="n">
        <f aca="false">IFERROR(IF(OR(NOT(ISNUMBER('Price History'!V118)),NOT(ISNUMBER('Price History'!V117)),'Price History'!V117=0),"",'Price History'!V118/'Price History'!V117-1),"")</f>
        <v>0.0160386815260334</v>
      </c>
      <c r="W117" s="111" t="n">
        <f aca="false">IFERROR('Price History'!B3+(INDEX('Price History'!B:B,MATCH(9.99E+307,'Price History'!$A:$A))-'Price History'!B3)*(ROW()-3)/(MATCH(9.99E+307,'Returns (Calc)'!$A:$A)-3),"")</f>
        <v>334.98358490566</v>
      </c>
      <c r="X117" s="111" t="n">
        <f aca="false">IFERROR('Price History'!C3+(INDEX('Price History'!C:C,MATCH(9.99E+307,'Price History'!$A:$A))-'Price History'!C3)*(ROW()-3)/(MATCH(9.99E+307,'Returns (Calc)'!$A:$A)-3),"")</f>
        <v>151.315849056604</v>
      </c>
      <c r="Y117" s="111" t="n">
        <f aca="false">IFERROR('Price History'!D3+(INDEX('Price History'!D:D,MATCH(9.99E+307,'Price History'!$A:$A))-'Price History'!D3)*(ROW()-3)/(MATCH(9.99E+307,'Returns (Calc)'!$A:$A)-3),"")</f>
        <v>1416.83283018868</v>
      </c>
      <c r="Z117" s="111" t="n">
        <f aca="false">IFERROR('Price History'!E3+(INDEX('Price History'!E:E,MATCH(9.99E+307,'Price History'!$A:$A))-'Price History'!E3)*(ROW()-3)/(MATCH(9.99E+307,'Returns (Calc)'!$A:$A)-3),"")</f>
        <v>280.092452830189</v>
      </c>
      <c r="AA117" s="111" t="n">
        <f aca="false">IFERROR('Price History'!F3+(INDEX('Price History'!F:F,MATCH(9.99E+307,'Price History'!$A:$A))-'Price History'!F3)*(ROW()-3)/(MATCH(9.99E+307,'Returns (Calc)'!$A:$A)-3),"")</f>
        <v>163.277358490566</v>
      </c>
      <c r="AB117" s="111" t="n">
        <f aca="false">IFERROR('Price History'!G3+(INDEX('Price History'!G:G,MATCH(9.99E+307,'Price History'!$A:$A))-'Price History'!G3)*(ROW()-3)/(MATCH(9.99E+307,'Returns (Calc)'!$A:$A)-3),"")</f>
        <v>146.628301886792</v>
      </c>
      <c r="AC117" s="111" t="n">
        <f aca="false">IFERROR('Price History'!H3+(INDEX('Price History'!H:H,MATCH(9.99E+307,'Price History'!$A:$A))-'Price History'!H3)*(ROW()-3)/(MATCH(9.99E+307,'Returns (Calc)'!$A:$A)-3),"")</f>
        <v>747.093773584906</v>
      </c>
      <c r="AD117" s="111" t="n">
        <f aca="false">IFERROR('Price History'!I3+(INDEX('Price History'!I:I,MATCH(9.99E+307,'Price History'!$A:$A))-'Price History'!I3)*(ROW()-3)/(MATCH(9.99E+307,'Returns (Calc)'!$A:$A)-3),"")</f>
        <v>176.725094339623</v>
      </c>
      <c r="AE117" s="111" t="n">
        <f aca="false">IFERROR('Price History'!J3+(INDEX('Price History'!J:J,MATCH(9.99E+307,'Price History'!$A:$A))-'Price History'!J3)*(ROW()-3)/(MATCH(9.99E+307,'Returns (Calc)'!$A:$A)-3),"")</f>
        <v>133.425849056604</v>
      </c>
      <c r="AF117" s="111" t="n">
        <f aca="false">IFERROR('Price History'!K3+(INDEX('Price History'!K:K,MATCH(9.99E+307,'Price History'!$A:$A))-'Price History'!K3)*(ROW()-3)/(MATCH(9.99E+307,'Returns (Calc)'!$A:$A)-3),"")</f>
        <v>129.352641509434</v>
      </c>
      <c r="AG117" s="111" t="n">
        <f aca="false">IFERROR('Price History'!L3+(INDEX('Price History'!L:L,MATCH(9.99E+307,'Price History'!$A:$A))-'Price History'!L3)*(ROW()-3)/(MATCH(9.99E+307,'Returns (Calc)'!$A:$A)-3),"")</f>
        <v>333.555283018868</v>
      </c>
      <c r="AH117" s="111" t="n">
        <f aca="false">IFERROR('Price History'!M3+(INDEX('Price History'!M:M,MATCH(9.99E+307,'Price History'!$A:$A))-'Price History'!M3)*(ROW()-3)/(MATCH(9.99E+307,'Returns (Calc)'!$A:$A)-3),"")</f>
        <v>210.618679245283</v>
      </c>
      <c r="AI117" s="111" t="n">
        <f aca="false">IFERROR('Price History'!N3+(INDEX('Price History'!N:N,MATCH(9.99E+307,'Price History'!$A:$A))-'Price History'!N3)*(ROW()-3)/(MATCH(9.99E+307,'Returns (Calc)'!$A:$A)-3),"")</f>
        <v>490.574716981132</v>
      </c>
      <c r="AJ117" s="111" t="n">
        <f aca="false">IFERROR('Price History'!O3+(INDEX('Price History'!O:O,MATCH(9.99E+307,'Price History'!$A:$A))-'Price History'!O3)*(ROW()-3)/(MATCH(9.99E+307,'Returns (Calc)'!$A:$A)-3),"")</f>
        <v>114.454528301887</v>
      </c>
      <c r="AK117" s="111" t="n">
        <f aca="false">IFERROR('Price History'!Q3+(INDEX('Price History'!Q:Q,MATCH(9.99E+307,'Price History'!$A:$A))-'Price History'!Q3)*(ROW()-3)/(MATCH(9.99E+307,'Returns (Calc)'!$A:$A)-3),"")</f>
        <v>64.0935849056604</v>
      </c>
      <c r="AL117" s="111" t="n">
        <f aca="false">IFERROR('Price History'!R3+(INDEX('Price History'!R:R,MATCH(9.99E+307,'Price History'!$A:$A))-'Price History'!R3)*(ROW()-3)/(MATCH(9.99E+307,'Returns (Calc)'!$A:$A)-3),"")</f>
        <v>56.4596226415094</v>
      </c>
      <c r="AM117" s="111" t="n">
        <f aca="false">IFERROR('Price History'!S3+(INDEX('Price History'!S:S,MATCH(9.99E+307,'Price History'!$A:$A))-'Price History'!S3)*(ROW()-3)/(MATCH(9.99E+307,'Returns (Calc)'!$A:$A)-3),"")</f>
        <v>123.914339622642</v>
      </c>
      <c r="AN117" s="111" t="n">
        <f aca="false">IFERROR('Price History'!T3+(INDEX('Price History'!T:T,MATCH(9.99E+307,'Price History'!$A:$A))-'Price History'!T3)*(ROW()-3)/(MATCH(9.99E+307,'Returns (Calc)'!$A:$A)-3),"")</f>
        <v>47.2579245283019</v>
      </c>
      <c r="AO117" s="112" t="n">
        <f aca="false">IFERROR('Price History'!V3+(INDEX('Price History'!V:V,MATCH(9.99E+307,'Price History'!$A:$A))-'Price History'!V3)*(ROW()-3)/(MATCH(9.99E+307,'Returns (Calc)'!$A:$A)-3),"")</f>
        <v>268.918113207547</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V118" s="110" t="n">
        <f aca="false">IFERROR(IF(OR(NOT(ISNUMBER('Price History'!V119)),NOT(ISNUMBER('Price History'!V118)),'Price History'!V118=0),"",'Price History'!V119/'Price History'!V118-1),"")</f>
        <v>-0.0190934942835587</v>
      </c>
      <c r="W118" s="111" t="n">
        <f aca="false">IFERROR('Price History'!B3+(INDEX('Price History'!B:B,MATCH(9.99E+307,'Price History'!$A:$A))-'Price History'!B3)*(ROW()-3)/(MATCH(9.99E+307,'Returns (Calc)'!$A:$A)-3),"")</f>
        <v>333.461949685535</v>
      </c>
      <c r="X118" s="111" t="n">
        <f aca="false">IFERROR('Price History'!C3+(INDEX('Price History'!C:C,MATCH(9.99E+307,'Price History'!$A:$A))-'Price History'!C3)*(ROW()-3)/(MATCH(9.99E+307,'Returns (Calc)'!$A:$A)-3),"")</f>
        <v>152.259496855346</v>
      </c>
      <c r="Y118" s="111" t="n">
        <f aca="false">IFERROR('Price History'!D3+(INDEX('Price History'!D:D,MATCH(9.99E+307,'Price History'!$A:$A))-'Price History'!D3)*(ROW()-3)/(MATCH(9.99E+307,'Returns (Calc)'!$A:$A)-3),"")</f>
        <v>1423.45610062893</v>
      </c>
      <c r="Z118" s="111" t="n">
        <f aca="false">IFERROR('Price History'!E3+(INDEX('Price History'!E:E,MATCH(9.99E+307,'Price History'!$A:$A))-'Price History'!E3)*(ROW()-3)/(MATCH(9.99E+307,'Returns (Calc)'!$A:$A)-3),"")</f>
        <v>281.821509433962</v>
      </c>
      <c r="AA118" s="111" t="n">
        <f aca="false">IFERROR('Price History'!F3+(INDEX('Price History'!F:F,MATCH(9.99E+307,'Price History'!$A:$A))-'Price History'!F3)*(ROW()-3)/(MATCH(9.99E+307,'Returns (Calc)'!$A:$A)-3),"")</f>
        <v>164.384528301887</v>
      </c>
      <c r="AB118" s="111" t="n">
        <f aca="false">IFERROR('Price History'!G3+(INDEX('Price History'!G:G,MATCH(9.99E+307,'Price History'!$A:$A))-'Price History'!G3)*(ROW()-3)/(MATCH(9.99E+307,'Returns (Calc)'!$A:$A)-3),"")</f>
        <v>147.494339622642</v>
      </c>
      <c r="AC118" s="111" t="n">
        <f aca="false">IFERROR('Price History'!H3+(INDEX('Price History'!H:H,MATCH(9.99E+307,'Price History'!$A:$A))-'Price History'!H3)*(ROW()-3)/(MATCH(9.99E+307,'Returns (Calc)'!$A:$A)-3),"")</f>
        <v>753.082578616352</v>
      </c>
      <c r="AD118" s="111" t="n">
        <f aca="false">IFERROR('Price History'!I3+(INDEX('Price History'!I:I,MATCH(9.99E+307,'Price History'!$A:$A))-'Price History'!I3)*(ROW()-3)/(MATCH(9.99E+307,'Returns (Calc)'!$A:$A)-3),"")</f>
        <v>177.916981132075</v>
      </c>
      <c r="AE118" s="111" t="n">
        <f aca="false">IFERROR('Price History'!J3+(INDEX('Price History'!J:J,MATCH(9.99E+307,'Price History'!$A:$A))-'Price History'!J3)*(ROW()-3)/(MATCH(9.99E+307,'Returns (Calc)'!$A:$A)-3),"")</f>
        <v>133.512830188679</v>
      </c>
      <c r="AF118" s="111" t="n">
        <f aca="false">IFERROR('Price History'!K3+(INDEX('Price History'!K:K,MATCH(9.99E+307,'Price History'!$A:$A))-'Price History'!K3)*(ROW()-3)/(MATCH(9.99E+307,'Returns (Calc)'!$A:$A)-3),"")</f>
        <v>130.35213836478</v>
      </c>
      <c r="AG118" s="111" t="n">
        <f aca="false">IFERROR('Price History'!L3+(INDEX('Price History'!L:L,MATCH(9.99E+307,'Price History'!$A:$A))-'Price History'!L3)*(ROW()-3)/(MATCH(9.99E+307,'Returns (Calc)'!$A:$A)-3),"")</f>
        <v>335.67427672956</v>
      </c>
      <c r="AH118" s="111" t="n">
        <f aca="false">IFERROR('Price History'!M3+(INDEX('Price History'!M:M,MATCH(9.99E+307,'Price History'!$A:$A))-'Price History'!M3)*(ROW()-3)/(MATCH(9.99E+307,'Returns (Calc)'!$A:$A)-3),"")</f>
        <v>212.172264150943</v>
      </c>
      <c r="AI118" s="111" t="n">
        <f aca="false">IFERROR('Price History'!N3+(INDEX('Price History'!N:N,MATCH(9.99E+307,'Price History'!$A:$A))-'Price History'!N3)*(ROW()-3)/(MATCH(9.99E+307,'Returns (Calc)'!$A:$A)-3),"")</f>
        <v>491.809056603774</v>
      </c>
      <c r="AJ118" s="111" t="n">
        <f aca="false">IFERROR('Price History'!O3+(INDEX('Price History'!O:O,MATCH(9.99E+307,'Price History'!$A:$A))-'Price History'!O3)*(ROW()-3)/(MATCH(9.99E+307,'Returns (Calc)'!$A:$A)-3),"")</f>
        <v>114.731761006289</v>
      </c>
      <c r="AK118" s="111" t="n">
        <f aca="false">IFERROR('Price History'!Q3+(INDEX('Price History'!Q:Q,MATCH(9.99E+307,'Price History'!$A:$A))-'Price History'!Q3)*(ROW()-3)/(MATCH(9.99E+307,'Returns (Calc)'!$A:$A)-3),"")</f>
        <v>64.2186163522013</v>
      </c>
      <c r="AL118" s="111" t="n">
        <f aca="false">IFERROR('Price History'!R3+(INDEX('Price History'!R:R,MATCH(9.99E+307,'Price History'!$A:$A))-'Price History'!R3)*(ROW()-3)/(MATCH(9.99E+307,'Returns (Calc)'!$A:$A)-3),"")</f>
        <v>56.5354088050314</v>
      </c>
      <c r="AM118" s="111" t="n">
        <f aca="false">IFERROR('Price History'!S3+(INDEX('Price History'!S:S,MATCH(9.99E+307,'Price History'!$A:$A))-'Price History'!S3)*(ROW()-3)/(MATCH(9.99E+307,'Returns (Calc)'!$A:$A)-3),"")</f>
        <v>124.487798742138</v>
      </c>
      <c r="AN118" s="111" t="n">
        <f aca="false">IFERROR('Price History'!T3+(INDEX('Price History'!T:T,MATCH(9.99E+307,'Price History'!$A:$A))-'Price History'!T3)*(ROW()-3)/(MATCH(9.99E+307,'Returns (Calc)'!$A:$A)-3),"")</f>
        <v>47.4364150943396</v>
      </c>
      <c r="AO118" s="112" t="n">
        <f aca="false">IFERROR('Price History'!V3+(INDEX('Price History'!V:V,MATCH(9.99E+307,'Price History'!$A:$A))-'Price History'!V3)*(ROW()-3)/(MATCH(9.99E+307,'Returns (Calc)'!$A:$A)-3),"")</f>
        <v>271.277044025157</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V119" s="110" t="n">
        <f aca="false">IFERROR(IF(OR(NOT(ISNUMBER('Price History'!V120)),NOT(ISNUMBER('Price History'!V119)),'Price History'!V119=0),"",'Price History'!V120/'Price History'!V119-1),"")</f>
        <v>-0.0138740977399124</v>
      </c>
      <c r="W119" s="111" t="n">
        <f aca="false">IFERROR('Price History'!B3+(INDEX('Price History'!B:B,MATCH(9.99E+307,'Price History'!$A:$A))-'Price History'!B3)*(ROW()-3)/(MATCH(9.99E+307,'Returns (Calc)'!$A:$A)-3),"")</f>
        <v>331.940314465409</v>
      </c>
      <c r="X119" s="111" t="n">
        <f aca="false">IFERROR('Price History'!C3+(INDEX('Price History'!C:C,MATCH(9.99E+307,'Price History'!$A:$A))-'Price History'!C3)*(ROW()-3)/(MATCH(9.99E+307,'Returns (Calc)'!$A:$A)-3),"")</f>
        <v>153.203144654088</v>
      </c>
      <c r="Y119" s="111" t="n">
        <f aca="false">IFERROR('Price History'!D3+(INDEX('Price History'!D:D,MATCH(9.99E+307,'Price History'!$A:$A))-'Price History'!D3)*(ROW()-3)/(MATCH(9.99E+307,'Returns (Calc)'!$A:$A)-3),"")</f>
        <v>1430.07937106918</v>
      </c>
      <c r="Z119" s="111" t="n">
        <f aca="false">IFERROR('Price History'!E3+(INDEX('Price History'!E:E,MATCH(9.99E+307,'Price History'!$A:$A))-'Price History'!E3)*(ROW()-3)/(MATCH(9.99E+307,'Returns (Calc)'!$A:$A)-3),"")</f>
        <v>283.550566037736</v>
      </c>
      <c r="AA119" s="111" t="n">
        <f aca="false">IFERROR('Price History'!F3+(INDEX('Price History'!F:F,MATCH(9.99E+307,'Price History'!$A:$A))-'Price History'!F3)*(ROW()-3)/(MATCH(9.99E+307,'Returns (Calc)'!$A:$A)-3),"")</f>
        <v>165.491698113208</v>
      </c>
      <c r="AB119" s="111" t="n">
        <f aca="false">IFERROR('Price History'!G3+(INDEX('Price History'!G:G,MATCH(9.99E+307,'Price History'!$A:$A))-'Price History'!G3)*(ROW()-3)/(MATCH(9.99E+307,'Returns (Calc)'!$A:$A)-3),"")</f>
        <v>148.360377358491</v>
      </c>
      <c r="AC119" s="111" t="n">
        <f aca="false">IFERROR('Price History'!H3+(INDEX('Price History'!H:H,MATCH(9.99E+307,'Price History'!$A:$A))-'Price History'!H3)*(ROW()-3)/(MATCH(9.99E+307,'Returns (Calc)'!$A:$A)-3),"")</f>
        <v>759.071383647799</v>
      </c>
      <c r="AD119" s="111" t="n">
        <f aca="false">IFERROR('Price History'!I3+(INDEX('Price History'!I:I,MATCH(9.99E+307,'Price History'!$A:$A))-'Price History'!I3)*(ROW()-3)/(MATCH(9.99E+307,'Returns (Calc)'!$A:$A)-3),"")</f>
        <v>179.108867924528</v>
      </c>
      <c r="AE119" s="111" t="n">
        <f aca="false">IFERROR('Price History'!J3+(INDEX('Price History'!J:J,MATCH(9.99E+307,'Price History'!$A:$A))-'Price History'!J3)*(ROW()-3)/(MATCH(9.99E+307,'Returns (Calc)'!$A:$A)-3),"")</f>
        <v>133.599811320755</v>
      </c>
      <c r="AF119" s="111" t="n">
        <f aca="false">IFERROR('Price History'!K3+(INDEX('Price History'!K:K,MATCH(9.99E+307,'Price History'!$A:$A))-'Price History'!K3)*(ROW()-3)/(MATCH(9.99E+307,'Returns (Calc)'!$A:$A)-3),"")</f>
        <v>131.351635220126</v>
      </c>
      <c r="AG119" s="111" t="n">
        <f aca="false">IFERROR('Price History'!L3+(INDEX('Price History'!L:L,MATCH(9.99E+307,'Price History'!$A:$A))-'Price History'!L3)*(ROW()-3)/(MATCH(9.99E+307,'Returns (Calc)'!$A:$A)-3),"")</f>
        <v>337.793270440252</v>
      </c>
      <c r="AH119" s="111" t="n">
        <f aca="false">IFERROR('Price History'!M3+(INDEX('Price History'!M:M,MATCH(9.99E+307,'Price History'!$A:$A))-'Price History'!M3)*(ROW()-3)/(MATCH(9.99E+307,'Returns (Calc)'!$A:$A)-3),"")</f>
        <v>213.725849056604</v>
      </c>
      <c r="AI119" s="111" t="n">
        <f aca="false">IFERROR('Price History'!N3+(INDEX('Price History'!N:N,MATCH(9.99E+307,'Price History'!$A:$A))-'Price History'!N3)*(ROW()-3)/(MATCH(9.99E+307,'Returns (Calc)'!$A:$A)-3),"")</f>
        <v>493.043396226415</v>
      </c>
      <c r="AJ119" s="111" t="n">
        <f aca="false">IFERROR('Price History'!O3+(INDEX('Price History'!O:O,MATCH(9.99E+307,'Price History'!$A:$A))-'Price History'!O3)*(ROW()-3)/(MATCH(9.99E+307,'Returns (Calc)'!$A:$A)-3),"")</f>
        <v>115.008993710692</v>
      </c>
      <c r="AK119" s="111" t="n">
        <f aca="false">IFERROR('Price History'!Q3+(INDEX('Price History'!Q:Q,MATCH(9.99E+307,'Price History'!$A:$A))-'Price History'!Q3)*(ROW()-3)/(MATCH(9.99E+307,'Returns (Calc)'!$A:$A)-3),"")</f>
        <v>64.3436477987421</v>
      </c>
      <c r="AL119" s="111" t="n">
        <f aca="false">IFERROR('Price History'!R3+(INDEX('Price History'!R:R,MATCH(9.99E+307,'Price History'!$A:$A))-'Price History'!R3)*(ROW()-3)/(MATCH(9.99E+307,'Returns (Calc)'!$A:$A)-3),"")</f>
        <v>56.6111949685535</v>
      </c>
      <c r="AM119" s="111" t="n">
        <f aca="false">IFERROR('Price History'!S3+(INDEX('Price History'!S:S,MATCH(9.99E+307,'Price History'!$A:$A))-'Price History'!S3)*(ROW()-3)/(MATCH(9.99E+307,'Returns (Calc)'!$A:$A)-3),"")</f>
        <v>125.061257861635</v>
      </c>
      <c r="AN119" s="111" t="n">
        <f aca="false">IFERROR('Price History'!T3+(INDEX('Price History'!T:T,MATCH(9.99E+307,'Price History'!$A:$A))-'Price History'!T3)*(ROW()-3)/(MATCH(9.99E+307,'Returns (Calc)'!$A:$A)-3),"")</f>
        <v>47.6149056603774</v>
      </c>
      <c r="AO119" s="112" t="n">
        <f aca="false">IFERROR('Price History'!V3+(INDEX('Price History'!V:V,MATCH(9.99E+307,'Price History'!$A:$A))-'Price History'!V3)*(ROW()-3)/(MATCH(9.99E+307,'Returns (Calc)'!$A:$A)-3),"")</f>
        <v>273.635974842767</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V120" s="110" t="n">
        <f aca="false">IFERROR(IF(OR(NOT(ISNUMBER('Price History'!V121)),NOT(ISNUMBER('Price History'!V120)),'Price History'!V120=0),"",'Price History'!V121/'Price History'!V120-1),"")</f>
        <v>-0.0158992050397481</v>
      </c>
      <c r="W120" s="111" t="n">
        <f aca="false">IFERROR('Price History'!B3+(INDEX('Price History'!B:B,MATCH(9.99E+307,'Price History'!$A:$A))-'Price History'!B3)*(ROW()-3)/(MATCH(9.99E+307,'Returns (Calc)'!$A:$A)-3),"")</f>
        <v>330.418679245283</v>
      </c>
      <c r="X120" s="111" t="n">
        <f aca="false">IFERROR('Price History'!C3+(INDEX('Price History'!C:C,MATCH(9.99E+307,'Price History'!$A:$A))-'Price History'!C3)*(ROW()-3)/(MATCH(9.99E+307,'Returns (Calc)'!$A:$A)-3),"")</f>
        <v>154.14679245283</v>
      </c>
      <c r="Y120" s="111" t="n">
        <f aca="false">IFERROR('Price History'!D3+(INDEX('Price History'!D:D,MATCH(9.99E+307,'Price History'!$A:$A))-'Price History'!D3)*(ROW()-3)/(MATCH(9.99E+307,'Returns (Calc)'!$A:$A)-3),"")</f>
        <v>1436.70264150943</v>
      </c>
      <c r="Z120" s="111" t="n">
        <f aca="false">IFERROR('Price History'!E3+(INDEX('Price History'!E:E,MATCH(9.99E+307,'Price History'!$A:$A))-'Price History'!E3)*(ROW()-3)/(MATCH(9.99E+307,'Returns (Calc)'!$A:$A)-3),"")</f>
        <v>285.279622641509</v>
      </c>
      <c r="AA120" s="111" t="n">
        <f aca="false">IFERROR('Price History'!F3+(INDEX('Price History'!F:F,MATCH(9.99E+307,'Price History'!$A:$A))-'Price History'!F3)*(ROW()-3)/(MATCH(9.99E+307,'Returns (Calc)'!$A:$A)-3),"")</f>
        <v>166.598867924528</v>
      </c>
      <c r="AB120" s="111" t="n">
        <f aca="false">IFERROR('Price History'!G3+(INDEX('Price History'!G:G,MATCH(9.99E+307,'Price History'!$A:$A))-'Price History'!G3)*(ROW()-3)/(MATCH(9.99E+307,'Returns (Calc)'!$A:$A)-3),"")</f>
        <v>149.22641509434</v>
      </c>
      <c r="AC120" s="111" t="n">
        <f aca="false">IFERROR('Price History'!H3+(INDEX('Price History'!H:H,MATCH(9.99E+307,'Price History'!$A:$A))-'Price History'!H3)*(ROW()-3)/(MATCH(9.99E+307,'Returns (Calc)'!$A:$A)-3),"")</f>
        <v>765.060188679245</v>
      </c>
      <c r="AD120" s="111" t="n">
        <f aca="false">IFERROR('Price History'!I3+(INDEX('Price History'!I:I,MATCH(9.99E+307,'Price History'!$A:$A))-'Price History'!I3)*(ROW()-3)/(MATCH(9.99E+307,'Returns (Calc)'!$A:$A)-3),"")</f>
        <v>180.300754716981</v>
      </c>
      <c r="AE120" s="111" t="n">
        <f aca="false">IFERROR('Price History'!J3+(INDEX('Price History'!J:J,MATCH(9.99E+307,'Price History'!$A:$A))-'Price History'!J3)*(ROW()-3)/(MATCH(9.99E+307,'Returns (Calc)'!$A:$A)-3),"")</f>
        <v>133.68679245283</v>
      </c>
      <c r="AF120" s="111" t="n">
        <f aca="false">IFERROR('Price History'!K3+(INDEX('Price History'!K:K,MATCH(9.99E+307,'Price History'!$A:$A))-'Price History'!K3)*(ROW()-3)/(MATCH(9.99E+307,'Returns (Calc)'!$A:$A)-3),"")</f>
        <v>132.351132075472</v>
      </c>
      <c r="AG120" s="111" t="n">
        <f aca="false">IFERROR('Price History'!L3+(INDEX('Price History'!L:L,MATCH(9.99E+307,'Price History'!$A:$A))-'Price History'!L3)*(ROW()-3)/(MATCH(9.99E+307,'Returns (Calc)'!$A:$A)-3),"")</f>
        <v>339.912264150943</v>
      </c>
      <c r="AH120" s="111" t="n">
        <f aca="false">IFERROR('Price History'!M3+(INDEX('Price History'!M:M,MATCH(9.99E+307,'Price History'!$A:$A))-'Price History'!M3)*(ROW()-3)/(MATCH(9.99E+307,'Returns (Calc)'!$A:$A)-3),"")</f>
        <v>215.279433962264</v>
      </c>
      <c r="AI120" s="111" t="n">
        <f aca="false">IFERROR('Price History'!N3+(INDEX('Price History'!N:N,MATCH(9.99E+307,'Price History'!$A:$A))-'Price History'!N3)*(ROW()-3)/(MATCH(9.99E+307,'Returns (Calc)'!$A:$A)-3),"")</f>
        <v>494.277735849057</v>
      </c>
      <c r="AJ120" s="111" t="n">
        <f aca="false">IFERROR('Price History'!O3+(INDEX('Price History'!O:O,MATCH(9.99E+307,'Price History'!$A:$A))-'Price History'!O3)*(ROW()-3)/(MATCH(9.99E+307,'Returns (Calc)'!$A:$A)-3),"")</f>
        <v>115.286226415094</v>
      </c>
      <c r="AK120" s="111" t="n">
        <f aca="false">IFERROR('Price History'!Q3+(INDEX('Price History'!Q:Q,MATCH(9.99E+307,'Price History'!$A:$A))-'Price History'!Q3)*(ROW()-3)/(MATCH(9.99E+307,'Returns (Calc)'!$A:$A)-3),"")</f>
        <v>64.468679245283</v>
      </c>
      <c r="AL120" s="111" t="n">
        <f aca="false">IFERROR('Price History'!R3+(INDEX('Price History'!R:R,MATCH(9.99E+307,'Price History'!$A:$A))-'Price History'!R3)*(ROW()-3)/(MATCH(9.99E+307,'Returns (Calc)'!$A:$A)-3),"")</f>
        <v>56.6869811320755</v>
      </c>
      <c r="AM120" s="111" t="n">
        <f aca="false">IFERROR('Price History'!S3+(INDEX('Price History'!S:S,MATCH(9.99E+307,'Price History'!$A:$A))-'Price History'!S3)*(ROW()-3)/(MATCH(9.99E+307,'Returns (Calc)'!$A:$A)-3),"")</f>
        <v>125.634716981132</v>
      </c>
      <c r="AN120" s="111" t="n">
        <f aca="false">IFERROR('Price History'!T3+(INDEX('Price History'!T:T,MATCH(9.99E+307,'Price History'!$A:$A))-'Price History'!T3)*(ROW()-3)/(MATCH(9.99E+307,'Returns (Calc)'!$A:$A)-3),"")</f>
        <v>47.7933962264151</v>
      </c>
      <c r="AO120" s="112" t="n">
        <f aca="false">IFERROR('Price History'!V3+(INDEX('Price History'!V:V,MATCH(9.99E+307,'Price History'!$A:$A))-'Price History'!V3)*(ROW()-3)/(MATCH(9.99E+307,'Returns (Calc)'!$A:$A)-3),"")</f>
        <v>275.994905660377</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V121" s="110" t="n">
        <f aca="false">IFERROR(IF(OR(NOT(ISNUMBER('Price History'!V122)),NOT(ISNUMBER('Price History'!V121)),'Price History'!V121=0),"",'Price History'!V122/'Price History'!V121-1),"")</f>
        <v>-0.00618808108520053</v>
      </c>
      <c r="W121" s="111" t="n">
        <f aca="false">IFERROR('Price History'!B3+(INDEX('Price History'!B:B,MATCH(9.99E+307,'Price History'!$A:$A))-'Price History'!B3)*(ROW()-3)/(MATCH(9.99E+307,'Returns (Calc)'!$A:$A)-3),"")</f>
        <v>328.897044025157</v>
      </c>
      <c r="X121" s="111" t="n">
        <f aca="false">IFERROR('Price History'!C3+(INDEX('Price History'!C:C,MATCH(9.99E+307,'Price History'!$A:$A))-'Price History'!C3)*(ROW()-3)/(MATCH(9.99E+307,'Returns (Calc)'!$A:$A)-3),"")</f>
        <v>155.090440251572</v>
      </c>
      <c r="Y121" s="111" t="n">
        <f aca="false">IFERROR('Price History'!D3+(INDEX('Price History'!D:D,MATCH(9.99E+307,'Price History'!$A:$A))-'Price History'!D3)*(ROW()-3)/(MATCH(9.99E+307,'Returns (Calc)'!$A:$A)-3),"")</f>
        <v>1443.32591194969</v>
      </c>
      <c r="Z121" s="111" t="n">
        <f aca="false">IFERROR('Price History'!E3+(INDEX('Price History'!E:E,MATCH(9.99E+307,'Price History'!$A:$A))-'Price History'!E3)*(ROW()-3)/(MATCH(9.99E+307,'Returns (Calc)'!$A:$A)-3),"")</f>
        <v>287.008679245283</v>
      </c>
      <c r="AA121" s="111" t="n">
        <f aca="false">IFERROR('Price History'!F3+(INDEX('Price History'!F:F,MATCH(9.99E+307,'Price History'!$A:$A))-'Price History'!F3)*(ROW()-3)/(MATCH(9.99E+307,'Returns (Calc)'!$A:$A)-3),"")</f>
        <v>167.706037735849</v>
      </c>
      <c r="AB121" s="111" t="n">
        <f aca="false">IFERROR('Price History'!G3+(INDEX('Price History'!G:G,MATCH(9.99E+307,'Price History'!$A:$A))-'Price History'!G3)*(ROW()-3)/(MATCH(9.99E+307,'Returns (Calc)'!$A:$A)-3),"")</f>
        <v>150.092452830189</v>
      </c>
      <c r="AC121" s="111" t="n">
        <f aca="false">IFERROR('Price History'!H3+(INDEX('Price History'!H:H,MATCH(9.99E+307,'Price History'!$A:$A))-'Price History'!H3)*(ROW()-3)/(MATCH(9.99E+307,'Returns (Calc)'!$A:$A)-3),"")</f>
        <v>771.048993710692</v>
      </c>
      <c r="AD121" s="111" t="n">
        <f aca="false">IFERROR('Price History'!I3+(INDEX('Price History'!I:I,MATCH(9.99E+307,'Price History'!$A:$A))-'Price History'!I3)*(ROW()-3)/(MATCH(9.99E+307,'Returns (Calc)'!$A:$A)-3),"")</f>
        <v>181.492641509434</v>
      </c>
      <c r="AE121" s="111" t="n">
        <f aca="false">IFERROR('Price History'!J3+(INDEX('Price History'!J:J,MATCH(9.99E+307,'Price History'!$A:$A))-'Price History'!J3)*(ROW()-3)/(MATCH(9.99E+307,'Returns (Calc)'!$A:$A)-3),"")</f>
        <v>133.773773584906</v>
      </c>
      <c r="AF121" s="111" t="n">
        <f aca="false">IFERROR('Price History'!K3+(INDEX('Price History'!K:K,MATCH(9.99E+307,'Price History'!$A:$A))-'Price History'!K3)*(ROW()-3)/(MATCH(9.99E+307,'Returns (Calc)'!$A:$A)-3),"")</f>
        <v>133.350628930818</v>
      </c>
      <c r="AG121" s="111" t="n">
        <f aca="false">IFERROR('Price History'!L3+(INDEX('Price History'!L:L,MATCH(9.99E+307,'Price History'!$A:$A))-'Price History'!L3)*(ROW()-3)/(MATCH(9.99E+307,'Returns (Calc)'!$A:$A)-3),"")</f>
        <v>342.031257861635</v>
      </c>
      <c r="AH121" s="111" t="n">
        <f aca="false">IFERROR('Price History'!M3+(INDEX('Price History'!M:M,MATCH(9.99E+307,'Price History'!$A:$A))-'Price History'!M3)*(ROW()-3)/(MATCH(9.99E+307,'Returns (Calc)'!$A:$A)-3),"")</f>
        <v>216.833018867925</v>
      </c>
      <c r="AI121" s="111" t="n">
        <f aca="false">IFERROR('Price History'!N3+(INDEX('Price History'!N:N,MATCH(9.99E+307,'Price History'!$A:$A))-'Price History'!N3)*(ROW()-3)/(MATCH(9.99E+307,'Returns (Calc)'!$A:$A)-3),"")</f>
        <v>495.512075471698</v>
      </c>
      <c r="AJ121" s="111" t="n">
        <f aca="false">IFERROR('Price History'!O3+(INDEX('Price History'!O:O,MATCH(9.99E+307,'Price History'!$A:$A))-'Price History'!O3)*(ROW()-3)/(MATCH(9.99E+307,'Returns (Calc)'!$A:$A)-3),"")</f>
        <v>115.563459119497</v>
      </c>
      <c r="AK121" s="111" t="n">
        <f aca="false">IFERROR('Price History'!Q3+(INDEX('Price History'!Q:Q,MATCH(9.99E+307,'Price History'!$A:$A))-'Price History'!Q3)*(ROW()-3)/(MATCH(9.99E+307,'Returns (Calc)'!$A:$A)-3),"")</f>
        <v>64.5937106918239</v>
      </c>
      <c r="AL121" s="111" t="n">
        <f aca="false">IFERROR('Price History'!R3+(INDEX('Price History'!R:R,MATCH(9.99E+307,'Price History'!$A:$A))-'Price History'!R3)*(ROW()-3)/(MATCH(9.99E+307,'Returns (Calc)'!$A:$A)-3),"")</f>
        <v>56.7627672955975</v>
      </c>
      <c r="AM121" s="111" t="n">
        <f aca="false">IFERROR('Price History'!S3+(INDEX('Price History'!S:S,MATCH(9.99E+307,'Price History'!$A:$A))-'Price History'!S3)*(ROW()-3)/(MATCH(9.99E+307,'Returns (Calc)'!$A:$A)-3),"")</f>
        <v>126.208176100629</v>
      </c>
      <c r="AN121" s="111" t="n">
        <f aca="false">IFERROR('Price History'!T3+(INDEX('Price History'!T:T,MATCH(9.99E+307,'Price History'!$A:$A))-'Price History'!T3)*(ROW()-3)/(MATCH(9.99E+307,'Returns (Calc)'!$A:$A)-3),"")</f>
        <v>47.9718867924528</v>
      </c>
      <c r="AO121" s="112" t="n">
        <f aca="false">IFERROR('Price History'!V3+(INDEX('Price History'!V:V,MATCH(9.99E+307,'Price History'!$A:$A))-'Price History'!V3)*(ROW()-3)/(MATCH(9.99E+307,'Returns (Calc)'!$A:$A)-3),"")</f>
        <v>278.353836477987</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V122" s="110" t="n">
        <f aca="false">IFERROR(IF(OR(NOT(ISNUMBER('Price History'!V123)),NOT(ISNUMBER('Price History'!V122)),'Price History'!V122=0),"",'Price History'!V123/'Price History'!V122-1),"")</f>
        <v>0.0196920434329182</v>
      </c>
      <c r="W122" s="111" t="n">
        <f aca="false">IFERROR('Price History'!B3+(INDEX('Price History'!B:B,MATCH(9.99E+307,'Price History'!$A:$A))-'Price History'!B3)*(ROW()-3)/(MATCH(9.99E+307,'Returns (Calc)'!$A:$A)-3),"")</f>
        <v>327.375408805031</v>
      </c>
      <c r="X122" s="111" t="n">
        <f aca="false">IFERROR('Price History'!C3+(INDEX('Price History'!C:C,MATCH(9.99E+307,'Price History'!$A:$A))-'Price History'!C3)*(ROW()-3)/(MATCH(9.99E+307,'Returns (Calc)'!$A:$A)-3),"")</f>
        <v>156.034088050314</v>
      </c>
      <c r="Y122" s="111" t="n">
        <f aca="false">IFERROR('Price History'!D3+(INDEX('Price History'!D:D,MATCH(9.99E+307,'Price History'!$A:$A))-'Price History'!D3)*(ROW()-3)/(MATCH(9.99E+307,'Returns (Calc)'!$A:$A)-3),"")</f>
        <v>1449.94918238994</v>
      </c>
      <c r="Z122" s="111" t="n">
        <f aca="false">IFERROR('Price History'!E3+(INDEX('Price History'!E:E,MATCH(9.99E+307,'Price History'!$A:$A))-'Price History'!E3)*(ROW()-3)/(MATCH(9.99E+307,'Returns (Calc)'!$A:$A)-3),"")</f>
        <v>288.737735849057</v>
      </c>
      <c r="AA122" s="111" t="n">
        <f aca="false">IFERROR('Price History'!F3+(INDEX('Price History'!F:F,MATCH(9.99E+307,'Price History'!$A:$A))-'Price History'!F3)*(ROW()-3)/(MATCH(9.99E+307,'Returns (Calc)'!$A:$A)-3),"")</f>
        <v>168.81320754717</v>
      </c>
      <c r="AB122" s="111" t="n">
        <f aca="false">IFERROR('Price History'!G3+(INDEX('Price History'!G:G,MATCH(9.99E+307,'Price History'!$A:$A))-'Price History'!G3)*(ROW()-3)/(MATCH(9.99E+307,'Returns (Calc)'!$A:$A)-3),"")</f>
        <v>150.958490566038</v>
      </c>
      <c r="AC122" s="111" t="n">
        <f aca="false">IFERROR('Price History'!H3+(INDEX('Price History'!H:H,MATCH(9.99E+307,'Price History'!$A:$A))-'Price History'!H3)*(ROW()-3)/(MATCH(9.99E+307,'Returns (Calc)'!$A:$A)-3),"")</f>
        <v>777.037798742138</v>
      </c>
      <c r="AD122" s="111" t="n">
        <f aca="false">IFERROR('Price History'!I3+(INDEX('Price History'!I:I,MATCH(9.99E+307,'Price History'!$A:$A))-'Price History'!I3)*(ROW()-3)/(MATCH(9.99E+307,'Returns (Calc)'!$A:$A)-3),"")</f>
        <v>182.684528301887</v>
      </c>
      <c r="AE122" s="111" t="n">
        <f aca="false">IFERROR('Price History'!J3+(INDEX('Price History'!J:J,MATCH(9.99E+307,'Price History'!$A:$A))-'Price History'!J3)*(ROW()-3)/(MATCH(9.99E+307,'Returns (Calc)'!$A:$A)-3),"")</f>
        <v>133.860754716981</v>
      </c>
      <c r="AF122" s="111" t="n">
        <f aca="false">IFERROR('Price History'!K3+(INDEX('Price History'!K:K,MATCH(9.99E+307,'Price History'!$A:$A))-'Price History'!K3)*(ROW()-3)/(MATCH(9.99E+307,'Returns (Calc)'!$A:$A)-3),"")</f>
        <v>134.350125786164</v>
      </c>
      <c r="AG122" s="111" t="n">
        <f aca="false">IFERROR('Price History'!L3+(INDEX('Price History'!L:L,MATCH(9.99E+307,'Price History'!$A:$A))-'Price History'!L3)*(ROW()-3)/(MATCH(9.99E+307,'Returns (Calc)'!$A:$A)-3),"")</f>
        <v>344.150251572327</v>
      </c>
      <c r="AH122" s="111" t="n">
        <f aca="false">IFERROR('Price History'!M3+(INDEX('Price History'!M:M,MATCH(9.99E+307,'Price History'!$A:$A))-'Price History'!M3)*(ROW()-3)/(MATCH(9.99E+307,'Returns (Calc)'!$A:$A)-3),"")</f>
        <v>218.386603773585</v>
      </c>
      <c r="AI122" s="111" t="n">
        <f aca="false">IFERROR('Price History'!N3+(INDEX('Price History'!N:N,MATCH(9.99E+307,'Price History'!$A:$A))-'Price History'!N3)*(ROW()-3)/(MATCH(9.99E+307,'Returns (Calc)'!$A:$A)-3),"")</f>
        <v>496.74641509434</v>
      </c>
      <c r="AJ122" s="111" t="n">
        <f aca="false">IFERROR('Price History'!O3+(INDEX('Price History'!O:O,MATCH(9.99E+307,'Price History'!$A:$A))-'Price History'!O3)*(ROW()-3)/(MATCH(9.99E+307,'Returns (Calc)'!$A:$A)-3),"")</f>
        <v>115.840691823899</v>
      </c>
      <c r="AK122" s="111" t="n">
        <f aca="false">IFERROR('Price History'!Q3+(INDEX('Price History'!Q:Q,MATCH(9.99E+307,'Price History'!$A:$A))-'Price History'!Q3)*(ROW()-3)/(MATCH(9.99E+307,'Returns (Calc)'!$A:$A)-3),"")</f>
        <v>64.7187421383648</v>
      </c>
      <c r="AL122" s="111" t="n">
        <f aca="false">IFERROR('Price History'!R3+(INDEX('Price History'!R:R,MATCH(9.99E+307,'Price History'!$A:$A))-'Price History'!R3)*(ROW()-3)/(MATCH(9.99E+307,'Returns (Calc)'!$A:$A)-3),"")</f>
        <v>56.8385534591195</v>
      </c>
      <c r="AM122" s="111" t="n">
        <f aca="false">IFERROR('Price History'!S3+(INDEX('Price History'!S:S,MATCH(9.99E+307,'Price History'!$A:$A))-'Price History'!S3)*(ROW()-3)/(MATCH(9.99E+307,'Returns (Calc)'!$A:$A)-3),"")</f>
        <v>126.781635220126</v>
      </c>
      <c r="AN122" s="111" t="n">
        <f aca="false">IFERROR('Price History'!T3+(INDEX('Price History'!T:T,MATCH(9.99E+307,'Price History'!$A:$A))-'Price History'!T3)*(ROW()-3)/(MATCH(9.99E+307,'Returns (Calc)'!$A:$A)-3),"")</f>
        <v>48.1503773584906</v>
      </c>
      <c r="AO122" s="112" t="n">
        <f aca="false">IFERROR('Price History'!V3+(INDEX('Price History'!V:V,MATCH(9.99E+307,'Price History'!$A:$A))-'Price History'!V3)*(ROW()-3)/(MATCH(9.99E+307,'Returns (Calc)'!$A:$A)-3),"")</f>
        <v>280.712767295598</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V123" s="110" t="n">
        <f aca="false">IFERROR(IF(OR(NOT(ISNUMBER('Price History'!V124)),NOT(ISNUMBER('Price History'!V123)),'Price History'!V123=0),"",'Price History'!V124/'Price History'!V123-1),"")</f>
        <v>-0.00956563590422332</v>
      </c>
      <c r="W123" s="111" t="n">
        <f aca="false">IFERROR('Price History'!B3+(INDEX('Price History'!B:B,MATCH(9.99E+307,'Price History'!$A:$A))-'Price History'!B3)*(ROW()-3)/(MATCH(9.99E+307,'Returns (Calc)'!$A:$A)-3),"")</f>
        <v>325.853773584906</v>
      </c>
      <c r="X123" s="111" t="n">
        <f aca="false">IFERROR('Price History'!C3+(INDEX('Price History'!C:C,MATCH(9.99E+307,'Price History'!$A:$A))-'Price History'!C3)*(ROW()-3)/(MATCH(9.99E+307,'Returns (Calc)'!$A:$A)-3),"")</f>
        <v>156.977735849057</v>
      </c>
      <c r="Y123" s="111" t="n">
        <f aca="false">IFERROR('Price History'!D3+(INDEX('Price History'!D:D,MATCH(9.99E+307,'Price History'!$A:$A))-'Price History'!D3)*(ROW()-3)/(MATCH(9.99E+307,'Returns (Calc)'!$A:$A)-3),"")</f>
        <v>1456.57245283019</v>
      </c>
      <c r="Z123" s="111" t="n">
        <f aca="false">IFERROR('Price History'!E3+(INDEX('Price History'!E:E,MATCH(9.99E+307,'Price History'!$A:$A))-'Price History'!E3)*(ROW()-3)/(MATCH(9.99E+307,'Returns (Calc)'!$A:$A)-3),"")</f>
        <v>290.46679245283</v>
      </c>
      <c r="AA123" s="111" t="n">
        <f aca="false">IFERROR('Price History'!F3+(INDEX('Price History'!F:F,MATCH(9.99E+307,'Price History'!$A:$A))-'Price History'!F3)*(ROW()-3)/(MATCH(9.99E+307,'Returns (Calc)'!$A:$A)-3),"")</f>
        <v>169.920377358491</v>
      </c>
      <c r="AB123" s="111" t="n">
        <f aca="false">IFERROR('Price History'!G3+(INDEX('Price History'!G:G,MATCH(9.99E+307,'Price History'!$A:$A))-'Price History'!G3)*(ROW()-3)/(MATCH(9.99E+307,'Returns (Calc)'!$A:$A)-3),"")</f>
        <v>151.824528301887</v>
      </c>
      <c r="AC123" s="111" t="n">
        <f aca="false">IFERROR('Price History'!H3+(INDEX('Price History'!H:H,MATCH(9.99E+307,'Price History'!$A:$A))-'Price History'!H3)*(ROW()-3)/(MATCH(9.99E+307,'Returns (Calc)'!$A:$A)-3),"")</f>
        <v>783.026603773585</v>
      </c>
      <c r="AD123" s="111" t="n">
        <f aca="false">IFERROR('Price History'!I3+(INDEX('Price History'!I:I,MATCH(9.99E+307,'Price History'!$A:$A))-'Price History'!I3)*(ROW()-3)/(MATCH(9.99E+307,'Returns (Calc)'!$A:$A)-3),"")</f>
        <v>183.87641509434</v>
      </c>
      <c r="AE123" s="111" t="n">
        <f aca="false">IFERROR('Price History'!J3+(INDEX('Price History'!J:J,MATCH(9.99E+307,'Price History'!$A:$A))-'Price History'!J3)*(ROW()-3)/(MATCH(9.99E+307,'Returns (Calc)'!$A:$A)-3),"")</f>
        <v>133.947735849057</v>
      </c>
      <c r="AF123" s="111" t="n">
        <f aca="false">IFERROR('Price History'!K3+(INDEX('Price History'!K:K,MATCH(9.99E+307,'Price History'!$A:$A))-'Price History'!K3)*(ROW()-3)/(MATCH(9.99E+307,'Returns (Calc)'!$A:$A)-3),"")</f>
        <v>135.349622641509</v>
      </c>
      <c r="AG123" s="111" t="n">
        <f aca="false">IFERROR('Price History'!L3+(INDEX('Price History'!L:L,MATCH(9.99E+307,'Price History'!$A:$A))-'Price History'!L3)*(ROW()-3)/(MATCH(9.99E+307,'Returns (Calc)'!$A:$A)-3),"")</f>
        <v>346.269245283019</v>
      </c>
      <c r="AH123" s="111" t="n">
        <f aca="false">IFERROR('Price History'!M3+(INDEX('Price History'!M:M,MATCH(9.99E+307,'Price History'!$A:$A))-'Price History'!M3)*(ROW()-3)/(MATCH(9.99E+307,'Returns (Calc)'!$A:$A)-3),"")</f>
        <v>219.940188679245</v>
      </c>
      <c r="AI123" s="111" t="n">
        <f aca="false">IFERROR('Price History'!N3+(INDEX('Price History'!N:N,MATCH(9.99E+307,'Price History'!$A:$A))-'Price History'!N3)*(ROW()-3)/(MATCH(9.99E+307,'Returns (Calc)'!$A:$A)-3),"")</f>
        <v>497.980754716981</v>
      </c>
      <c r="AJ123" s="111" t="n">
        <f aca="false">IFERROR('Price History'!O3+(INDEX('Price History'!O:O,MATCH(9.99E+307,'Price History'!$A:$A))-'Price History'!O3)*(ROW()-3)/(MATCH(9.99E+307,'Returns (Calc)'!$A:$A)-3),"")</f>
        <v>116.117924528302</v>
      </c>
      <c r="AK123" s="111" t="n">
        <f aca="false">IFERROR('Price History'!Q3+(INDEX('Price History'!Q:Q,MATCH(9.99E+307,'Price History'!$A:$A))-'Price History'!Q3)*(ROW()-3)/(MATCH(9.99E+307,'Returns (Calc)'!$A:$A)-3),"")</f>
        <v>64.8437735849057</v>
      </c>
      <c r="AL123" s="111" t="n">
        <f aca="false">IFERROR('Price History'!R3+(INDEX('Price History'!R:R,MATCH(9.99E+307,'Price History'!$A:$A))-'Price History'!R3)*(ROW()-3)/(MATCH(9.99E+307,'Returns (Calc)'!$A:$A)-3),"")</f>
        <v>56.9143396226415</v>
      </c>
      <c r="AM123" s="111" t="n">
        <f aca="false">IFERROR('Price History'!S3+(INDEX('Price History'!S:S,MATCH(9.99E+307,'Price History'!$A:$A))-'Price History'!S3)*(ROW()-3)/(MATCH(9.99E+307,'Returns (Calc)'!$A:$A)-3),"")</f>
        <v>127.355094339623</v>
      </c>
      <c r="AN123" s="111" t="n">
        <f aca="false">IFERROR('Price History'!T3+(INDEX('Price History'!T:T,MATCH(9.99E+307,'Price History'!$A:$A))-'Price History'!T3)*(ROW()-3)/(MATCH(9.99E+307,'Returns (Calc)'!$A:$A)-3),"")</f>
        <v>48.3288679245283</v>
      </c>
      <c r="AO123" s="112" t="n">
        <f aca="false">IFERROR('Price History'!V3+(INDEX('Price History'!V:V,MATCH(9.99E+307,'Price History'!$A:$A))-'Price History'!V3)*(ROW()-3)/(MATCH(9.99E+307,'Returns (Calc)'!$A:$A)-3),"")</f>
        <v>283.071698113208</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V124" s="110" t="n">
        <f aca="false">IFERROR(IF(OR(NOT(ISNUMBER('Price History'!V125)),NOT(ISNUMBER('Price History'!V124)),'Price History'!V124=0),"",'Price History'!V125/'Price History'!V124-1),"")</f>
        <v>0.0500820020652373</v>
      </c>
      <c r="W124" s="111" t="n">
        <f aca="false">IFERROR('Price History'!B3+(INDEX('Price History'!B:B,MATCH(9.99E+307,'Price History'!$A:$A))-'Price History'!B3)*(ROW()-3)/(MATCH(9.99E+307,'Returns (Calc)'!$A:$A)-3),"")</f>
        <v>324.33213836478</v>
      </c>
      <c r="X124" s="111" t="n">
        <f aca="false">IFERROR('Price History'!C3+(INDEX('Price History'!C:C,MATCH(9.99E+307,'Price History'!$A:$A))-'Price History'!C3)*(ROW()-3)/(MATCH(9.99E+307,'Returns (Calc)'!$A:$A)-3),"")</f>
        <v>157.921383647799</v>
      </c>
      <c r="Y124" s="111" t="n">
        <f aca="false">IFERROR('Price History'!D3+(INDEX('Price History'!D:D,MATCH(9.99E+307,'Price History'!$A:$A))-'Price History'!D3)*(ROW()-3)/(MATCH(9.99E+307,'Returns (Calc)'!$A:$A)-3),"")</f>
        <v>1463.19572327044</v>
      </c>
      <c r="Z124" s="111" t="n">
        <f aca="false">IFERROR('Price History'!E3+(INDEX('Price History'!E:E,MATCH(9.99E+307,'Price History'!$A:$A))-'Price History'!E3)*(ROW()-3)/(MATCH(9.99E+307,'Returns (Calc)'!$A:$A)-3),"")</f>
        <v>292.195849056604</v>
      </c>
      <c r="AA124" s="111" t="n">
        <f aca="false">IFERROR('Price History'!F3+(INDEX('Price History'!F:F,MATCH(9.99E+307,'Price History'!$A:$A))-'Price History'!F3)*(ROW()-3)/(MATCH(9.99E+307,'Returns (Calc)'!$A:$A)-3),"")</f>
        <v>171.027547169811</v>
      </c>
      <c r="AB124" s="111" t="n">
        <f aca="false">IFERROR('Price History'!G3+(INDEX('Price History'!G:G,MATCH(9.99E+307,'Price History'!$A:$A))-'Price History'!G3)*(ROW()-3)/(MATCH(9.99E+307,'Returns (Calc)'!$A:$A)-3),"")</f>
        <v>152.690566037736</v>
      </c>
      <c r="AC124" s="111" t="n">
        <f aca="false">IFERROR('Price History'!H3+(INDEX('Price History'!H:H,MATCH(9.99E+307,'Price History'!$A:$A))-'Price History'!H3)*(ROW()-3)/(MATCH(9.99E+307,'Returns (Calc)'!$A:$A)-3),"")</f>
        <v>789.015408805032</v>
      </c>
      <c r="AD124" s="111" t="n">
        <f aca="false">IFERROR('Price History'!I3+(INDEX('Price History'!I:I,MATCH(9.99E+307,'Price History'!$A:$A))-'Price History'!I3)*(ROW()-3)/(MATCH(9.99E+307,'Returns (Calc)'!$A:$A)-3),"")</f>
        <v>185.068301886792</v>
      </c>
      <c r="AE124" s="111" t="n">
        <f aca="false">IFERROR('Price History'!J3+(INDEX('Price History'!J:J,MATCH(9.99E+307,'Price History'!$A:$A))-'Price History'!J3)*(ROW()-3)/(MATCH(9.99E+307,'Returns (Calc)'!$A:$A)-3),"")</f>
        <v>134.034716981132</v>
      </c>
      <c r="AF124" s="111" t="n">
        <f aca="false">IFERROR('Price History'!K3+(INDEX('Price History'!K:K,MATCH(9.99E+307,'Price History'!$A:$A))-'Price History'!K3)*(ROW()-3)/(MATCH(9.99E+307,'Returns (Calc)'!$A:$A)-3),"")</f>
        <v>136.349119496855</v>
      </c>
      <c r="AG124" s="111" t="n">
        <f aca="false">IFERROR('Price History'!L3+(INDEX('Price History'!L:L,MATCH(9.99E+307,'Price History'!$A:$A))-'Price History'!L3)*(ROW()-3)/(MATCH(9.99E+307,'Returns (Calc)'!$A:$A)-3),"")</f>
        <v>348.388238993711</v>
      </c>
      <c r="AH124" s="111" t="n">
        <f aca="false">IFERROR('Price History'!M3+(INDEX('Price History'!M:M,MATCH(9.99E+307,'Price History'!$A:$A))-'Price History'!M3)*(ROW()-3)/(MATCH(9.99E+307,'Returns (Calc)'!$A:$A)-3),"")</f>
        <v>221.493773584906</v>
      </c>
      <c r="AI124" s="111" t="n">
        <f aca="false">IFERROR('Price History'!N3+(INDEX('Price History'!N:N,MATCH(9.99E+307,'Price History'!$A:$A))-'Price History'!N3)*(ROW()-3)/(MATCH(9.99E+307,'Returns (Calc)'!$A:$A)-3),"")</f>
        <v>499.215094339623</v>
      </c>
      <c r="AJ124" s="111" t="n">
        <f aca="false">IFERROR('Price History'!O3+(INDEX('Price History'!O:O,MATCH(9.99E+307,'Price History'!$A:$A))-'Price History'!O3)*(ROW()-3)/(MATCH(9.99E+307,'Returns (Calc)'!$A:$A)-3),"")</f>
        <v>116.395157232704</v>
      </c>
      <c r="AK124" s="111" t="n">
        <f aca="false">IFERROR('Price History'!Q3+(INDEX('Price History'!Q:Q,MATCH(9.99E+307,'Price History'!$A:$A))-'Price History'!Q3)*(ROW()-3)/(MATCH(9.99E+307,'Returns (Calc)'!$A:$A)-3),"")</f>
        <v>64.9688050314465</v>
      </c>
      <c r="AL124" s="111" t="n">
        <f aca="false">IFERROR('Price History'!R3+(INDEX('Price History'!R:R,MATCH(9.99E+307,'Price History'!$A:$A))-'Price History'!R3)*(ROW()-3)/(MATCH(9.99E+307,'Returns (Calc)'!$A:$A)-3),"")</f>
        <v>56.9901257861635</v>
      </c>
      <c r="AM124" s="111" t="n">
        <f aca="false">IFERROR('Price History'!S3+(INDEX('Price History'!S:S,MATCH(9.99E+307,'Price History'!$A:$A))-'Price History'!S3)*(ROW()-3)/(MATCH(9.99E+307,'Returns (Calc)'!$A:$A)-3),"")</f>
        <v>127.92855345912</v>
      </c>
      <c r="AN124" s="111" t="n">
        <f aca="false">IFERROR('Price History'!T3+(INDEX('Price History'!T:T,MATCH(9.99E+307,'Price History'!$A:$A))-'Price History'!T3)*(ROW()-3)/(MATCH(9.99E+307,'Returns (Calc)'!$A:$A)-3),"")</f>
        <v>48.507358490566</v>
      </c>
      <c r="AO124" s="112" t="n">
        <f aca="false">IFERROR('Price History'!V3+(INDEX('Price History'!V:V,MATCH(9.99E+307,'Price History'!$A:$A))-'Price History'!V3)*(ROW()-3)/(MATCH(9.99E+307,'Returns (Calc)'!$A:$A)-3),"")</f>
        <v>285.430628930818</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V125" s="110" t="n">
        <f aca="false">IFERROR(IF(OR(NOT(ISNUMBER('Price History'!V126)),NOT(ISNUMBER('Price History'!V125)),'Price History'!V125=0),"",'Price History'!V126/'Price History'!V125-1),"")</f>
        <v>0.00410701373825018</v>
      </c>
      <c r="W125" s="111" t="n">
        <f aca="false">IFERROR('Price History'!B3+(INDEX('Price History'!B:B,MATCH(9.99E+307,'Price History'!$A:$A))-'Price History'!B3)*(ROW()-3)/(MATCH(9.99E+307,'Returns (Calc)'!$A:$A)-3),"")</f>
        <v>322.810503144654</v>
      </c>
      <c r="X125" s="111" t="n">
        <f aca="false">IFERROR('Price History'!C3+(INDEX('Price History'!C:C,MATCH(9.99E+307,'Price History'!$A:$A))-'Price History'!C3)*(ROW()-3)/(MATCH(9.99E+307,'Returns (Calc)'!$A:$A)-3),"")</f>
        <v>158.865031446541</v>
      </c>
      <c r="Y125" s="111" t="n">
        <f aca="false">IFERROR('Price History'!D3+(INDEX('Price History'!D:D,MATCH(9.99E+307,'Price History'!$A:$A))-'Price History'!D3)*(ROW()-3)/(MATCH(9.99E+307,'Returns (Calc)'!$A:$A)-3),"")</f>
        <v>1469.81899371069</v>
      </c>
      <c r="Z125" s="111" t="n">
        <f aca="false">IFERROR('Price History'!E3+(INDEX('Price History'!E:E,MATCH(9.99E+307,'Price History'!$A:$A))-'Price History'!E3)*(ROW()-3)/(MATCH(9.99E+307,'Returns (Calc)'!$A:$A)-3),"")</f>
        <v>293.924905660377</v>
      </c>
      <c r="AA125" s="111" t="n">
        <f aca="false">IFERROR('Price History'!F3+(INDEX('Price History'!F:F,MATCH(9.99E+307,'Price History'!$A:$A))-'Price History'!F3)*(ROW()-3)/(MATCH(9.99E+307,'Returns (Calc)'!$A:$A)-3),"")</f>
        <v>172.134716981132</v>
      </c>
      <c r="AB125" s="111" t="n">
        <f aca="false">IFERROR('Price History'!G3+(INDEX('Price History'!G:G,MATCH(9.99E+307,'Price History'!$A:$A))-'Price History'!G3)*(ROW()-3)/(MATCH(9.99E+307,'Returns (Calc)'!$A:$A)-3),"")</f>
        <v>153.556603773585</v>
      </c>
      <c r="AC125" s="111" t="n">
        <f aca="false">IFERROR('Price History'!H3+(INDEX('Price History'!H:H,MATCH(9.99E+307,'Price History'!$A:$A))-'Price History'!H3)*(ROW()-3)/(MATCH(9.99E+307,'Returns (Calc)'!$A:$A)-3),"")</f>
        <v>795.004213836478</v>
      </c>
      <c r="AD125" s="111" t="n">
        <f aca="false">IFERROR('Price History'!I3+(INDEX('Price History'!I:I,MATCH(9.99E+307,'Price History'!$A:$A))-'Price History'!I3)*(ROW()-3)/(MATCH(9.99E+307,'Returns (Calc)'!$A:$A)-3),"")</f>
        <v>186.260188679245</v>
      </c>
      <c r="AE125" s="111" t="n">
        <f aca="false">IFERROR('Price History'!J3+(INDEX('Price History'!J:J,MATCH(9.99E+307,'Price History'!$A:$A))-'Price History'!J3)*(ROW()-3)/(MATCH(9.99E+307,'Returns (Calc)'!$A:$A)-3),"")</f>
        <v>134.121698113208</v>
      </c>
      <c r="AF125" s="111" t="n">
        <f aca="false">IFERROR('Price History'!K3+(INDEX('Price History'!K:K,MATCH(9.99E+307,'Price History'!$A:$A))-'Price History'!K3)*(ROW()-3)/(MATCH(9.99E+307,'Returns (Calc)'!$A:$A)-3),"")</f>
        <v>137.348616352201</v>
      </c>
      <c r="AG125" s="111" t="n">
        <f aca="false">IFERROR('Price History'!L3+(INDEX('Price History'!L:L,MATCH(9.99E+307,'Price History'!$A:$A))-'Price History'!L3)*(ROW()-3)/(MATCH(9.99E+307,'Returns (Calc)'!$A:$A)-3),"")</f>
        <v>350.507232704403</v>
      </c>
      <c r="AH125" s="111" t="n">
        <f aca="false">IFERROR('Price History'!M3+(INDEX('Price History'!M:M,MATCH(9.99E+307,'Price History'!$A:$A))-'Price History'!M3)*(ROW()-3)/(MATCH(9.99E+307,'Returns (Calc)'!$A:$A)-3),"")</f>
        <v>223.047358490566</v>
      </c>
      <c r="AI125" s="111" t="n">
        <f aca="false">IFERROR('Price History'!N3+(INDEX('Price History'!N:N,MATCH(9.99E+307,'Price History'!$A:$A))-'Price History'!N3)*(ROW()-3)/(MATCH(9.99E+307,'Returns (Calc)'!$A:$A)-3),"")</f>
        <v>500.449433962264</v>
      </c>
      <c r="AJ125" s="111" t="n">
        <f aca="false">IFERROR('Price History'!O3+(INDEX('Price History'!O:O,MATCH(9.99E+307,'Price History'!$A:$A))-'Price History'!O3)*(ROW()-3)/(MATCH(9.99E+307,'Returns (Calc)'!$A:$A)-3),"")</f>
        <v>116.672389937107</v>
      </c>
      <c r="AK125" s="111" t="n">
        <f aca="false">IFERROR('Price History'!Q3+(INDEX('Price History'!Q:Q,MATCH(9.99E+307,'Price History'!$A:$A))-'Price History'!Q3)*(ROW()-3)/(MATCH(9.99E+307,'Returns (Calc)'!$A:$A)-3),"")</f>
        <v>65.0938364779874</v>
      </c>
      <c r="AL125" s="111" t="n">
        <f aca="false">IFERROR('Price History'!R3+(INDEX('Price History'!R:R,MATCH(9.99E+307,'Price History'!$A:$A))-'Price History'!R3)*(ROW()-3)/(MATCH(9.99E+307,'Returns (Calc)'!$A:$A)-3),"")</f>
        <v>57.0659119496855</v>
      </c>
      <c r="AM125" s="111" t="n">
        <f aca="false">IFERROR('Price History'!S3+(INDEX('Price History'!S:S,MATCH(9.99E+307,'Price History'!$A:$A))-'Price History'!S3)*(ROW()-3)/(MATCH(9.99E+307,'Returns (Calc)'!$A:$A)-3),"")</f>
        <v>128.502012578616</v>
      </c>
      <c r="AN125" s="111" t="n">
        <f aca="false">IFERROR('Price History'!T3+(INDEX('Price History'!T:T,MATCH(9.99E+307,'Price History'!$A:$A))-'Price History'!T3)*(ROW()-3)/(MATCH(9.99E+307,'Returns (Calc)'!$A:$A)-3),"")</f>
        <v>48.6858490566038</v>
      </c>
      <c r="AO125" s="112" t="n">
        <f aca="false">IFERROR('Price History'!V3+(INDEX('Price History'!V:V,MATCH(9.99E+307,'Price History'!$A:$A))-'Price History'!V3)*(ROW()-3)/(MATCH(9.99E+307,'Returns (Calc)'!$A:$A)-3),"")</f>
        <v>287.789559748428</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V126" s="110" t="n">
        <f aca="false">IFERROR(IF(OR(NOT(ISNUMBER('Price History'!V127)),NOT(ISNUMBER('Price History'!V126)),'Price History'!V126=0),"",'Price History'!V127/'Price History'!V126-1),"")</f>
        <v>0.0164472736699599</v>
      </c>
      <c r="W126" s="111" t="n">
        <f aca="false">IFERROR('Price History'!B3+(INDEX('Price History'!B:B,MATCH(9.99E+307,'Price History'!$A:$A))-'Price History'!B3)*(ROW()-3)/(MATCH(9.99E+307,'Returns (Calc)'!$A:$A)-3),"")</f>
        <v>321.288867924528</v>
      </c>
      <c r="X126" s="111" t="n">
        <f aca="false">IFERROR('Price History'!C3+(INDEX('Price History'!C:C,MATCH(9.99E+307,'Price History'!$A:$A))-'Price History'!C3)*(ROW()-3)/(MATCH(9.99E+307,'Returns (Calc)'!$A:$A)-3),"")</f>
        <v>159.808679245283</v>
      </c>
      <c r="Y126" s="111" t="n">
        <f aca="false">IFERROR('Price History'!D3+(INDEX('Price History'!D:D,MATCH(9.99E+307,'Price History'!$A:$A))-'Price History'!D3)*(ROW()-3)/(MATCH(9.99E+307,'Returns (Calc)'!$A:$A)-3),"")</f>
        <v>1476.44226415094</v>
      </c>
      <c r="Z126" s="111" t="n">
        <f aca="false">IFERROR('Price History'!E3+(INDEX('Price History'!E:E,MATCH(9.99E+307,'Price History'!$A:$A))-'Price History'!E3)*(ROW()-3)/(MATCH(9.99E+307,'Returns (Calc)'!$A:$A)-3),"")</f>
        <v>295.653962264151</v>
      </c>
      <c r="AA126" s="111" t="n">
        <f aca="false">IFERROR('Price History'!F3+(INDEX('Price History'!F:F,MATCH(9.99E+307,'Price History'!$A:$A))-'Price History'!F3)*(ROW()-3)/(MATCH(9.99E+307,'Returns (Calc)'!$A:$A)-3),"")</f>
        <v>173.241886792453</v>
      </c>
      <c r="AB126" s="111" t="n">
        <f aca="false">IFERROR('Price History'!G3+(INDEX('Price History'!G:G,MATCH(9.99E+307,'Price History'!$A:$A))-'Price History'!G3)*(ROW()-3)/(MATCH(9.99E+307,'Returns (Calc)'!$A:$A)-3),"")</f>
        <v>154.422641509434</v>
      </c>
      <c r="AC126" s="111" t="n">
        <f aca="false">IFERROR('Price History'!H3+(INDEX('Price History'!H:H,MATCH(9.99E+307,'Price History'!$A:$A))-'Price History'!H3)*(ROW()-3)/(MATCH(9.99E+307,'Returns (Calc)'!$A:$A)-3),"")</f>
        <v>800.993018867925</v>
      </c>
      <c r="AD126" s="111" t="n">
        <f aca="false">IFERROR('Price History'!I3+(INDEX('Price History'!I:I,MATCH(9.99E+307,'Price History'!$A:$A))-'Price History'!I3)*(ROW()-3)/(MATCH(9.99E+307,'Returns (Calc)'!$A:$A)-3),"")</f>
        <v>187.452075471698</v>
      </c>
      <c r="AE126" s="111" t="n">
        <f aca="false">IFERROR('Price History'!J3+(INDEX('Price History'!J:J,MATCH(9.99E+307,'Price History'!$A:$A))-'Price History'!J3)*(ROW()-3)/(MATCH(9.99E+307,'Returns (Calc)'!$A:$A)-3),"")</f>
        <v>134.208679245283</v>
      </c>
      <c r="AF126" s="111" t="n">
        <f aca="false">IFERROR('Price History'!K3+(INDEX('Price History'!K:K,MATCH(9.99E+307,'Price History'!$A:$A))-'Price History'!K3)*(ROW()-3)/(MATCH(9.99E+307,'Returns (Calc)'!$A:$A)-3),"")</f>
        <v>138.348113207547</v>
      </c>
      <c r="AG126" s="111" t="n">
        <f aca="false">IFERROR('Price History'!L3+(INDEX('Price History'!L:L,MATCH(9.99E+307,'Price History'!$A:$A))-'Price History'!L3)*(ROW()-3)/(MATCH(9.99E+307,'Returns (Calc)'!$A:$A)-3),"")</f>
        <v>352.626226415094</v>
      </c>
      <c r="AH126" s="111" t="n">
        <f aca="false">IFERROR('Price History'!M3+(INDEX('Price History'!M:M,MATCH(9.99E+307,'Price History'!$A:$A))-'Price History'!M3)*(ROW()-3)/(MATCH(9.99E+307,'Returns (Calc)'!$A:$A)-3),"")</f>
        <v>224.600943396226</v>
      </c>
      <c r="AI126" s="111" t="n">
        <f aca="false">IFERROR('Price History'!N3+(INDEX('Price History'!N:N,MATCH(9.99E+307,'Price History'!$A:$A))-'Price History'!N3)*(ROW()-3)/(MATCH(9.99E+307,'Returns (Calc)'!$A:$A)-3),"")</f>
        <v>501.683773584906</v>
      </c>
      <c r="AJ126" s="111" t="n">
        <f aca="false">IFERROR('Price History'!O3+(INDEX('Price History'!O:O,MATCH(9.99E+307,'Price History'!$A:$A))-'Price History'!O3)*(ROW()-3)/(MATCH(9.99E+307,'Returns (Calc)'!$A:$A)-3),"")</f>
        <v>116.949622641509</v>
      </c>
      <c r="AK126" s="111" t="n">
        <f aca="false">IFERROR('Price History'!Q3+(INDEX('Price History'!Q:Q,MATCH(9.99E+307,'Price History'!$A:$A))-'Price History'!Q3)*(ROW()-3)/(MATCH(9.99E+307,'Returns (Calc)'!$A:$A)-3),"")</f>
        <v>65.2188679245283</v>
      </c>
      <c r="AL126" s="111" t="n">
        <f aca="false">IFERROR('Price History'!R3+(INDEX('Price History'!R:R,MATCH(9.99E+307,'Price History'!$A:$A))-'Price History'!R3)*(ROW()-3)/(MATCH(9.99E+307,'Returns (Calc)'!$A:$A)-3),"")</f>
        <v>57.1416981132075</v>
      </c>
      <c r="AM126" s="111" t="n">
        <f aca="false">IFERROR('Price History'!S3+(INDEX('Price History'!S:S,MATCH(9.99E+307,'Price History'!$A:$A))-'Price History'!S3)*(ROW()-3)/(MATCH(9.99E+307,'Returns (Calc)'!$A:$A)-3),"")</f>
        <v>129.075471698113</v>
      </c>
      <c r="AN126" s="111" t="n">
        <f aca="false">IFERROR('Price History'!T3+(INDEX('Price History'!T:T,MATCH(9.99E+307,'Price History'!$A:$A))-'Price History'!T3)*(ROW()-3)/(MATCH(9.99E+307,'Returns (Calc)'!$A:$A)-3),"")</f>
        <v>48.8643396226415</v>
      </c>
      <c r="AO126" s="112" t="n">
        <f aca="false">IFERROR('Price History'!V3+(INDEX('Price History'!V:V,MATCH(9.99E+307,'Price History'!$A:$A))-'Price History'!V3)*(ROW()-3)/(MATCH(9.99E+307,'Returns (Calc)'!$A:$A)-3),"")</f>
        <v>290.148490566038</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V127" s="110" t="n">
        <f aca="false">IFERROR(IF(OR(NOT(ISNUMBER('Price History'!V128)),NOT(ISNUMBER('Price History'!V127)),'Price History'!V127=0),"",'Price History'!V128/'Price History'!V127-1),"")</f>
        <v>-0.0240024937655859</v>
      </c>
      <c r="W127" s="111" t="n">
        <f aca="false">IFERROR('Price History'!B3+(INDEX('Price History'!B:B,MATCH(9.99E+307,'Price History'!$A:$A))-'Price History'!B3)*(ROW()-3)/(MATCH(9.99E+307,'Returns (Calc)'!$A:$A)-3),"")</f>
        <v>319.767232704403</v>
      </c>
      <c r="X127" s="111" t="n">
        <f aca="false">IFERROR('Price History'!C3+(INDEX('Price History'!C:C,MATCH(9.99E+307,'Price History'!$A:$A))-'Price History'!C3)*(ROW()-3)/(MATCH(9.99E+307,'Returns (Calc)'!$A:$A)-3),"")</f>
        <v>160.752327044025</v>
      </c>
      <c r="Y127" s="111" t="n">
        <f aca="false">IFERROR('Price History'!D3+(INDEX('Price History'!D:D,MATCH(9.99E+307,'Price History'!$A:$A))-'Price History'!D3)*(ROW()-3)/(MATCH(9.99E+307,'Returns (Calc)'!$A:$A)-3),"")</f>
        <v>1483.0655345912</v>
      </c>
      <c r="Z127" s="111" t="n">
        <f aca="false">IFERROR('Price History'!E3+(INDEX('Price History'!E:E,MATCH(9.99E+307,'Price History'!$A:$A))-'Price History'!E3)*(ROW()-3)/(MATCH(9.99E+307,'Returns (Calc)'!$A:$A)-3),"")</f>
        <v>297.383018867925</v>
      </c>
      <c r="AA127" s="111" t="n">
        <f aca="false">IFERROR('Price History'!F3+(INDEX('Price History'!F:F,MATCH(9.99E+307,'Price History'!$A:$A))-'Price History'!F3)*(ROW()-3)/(MATCH(9.99E+307,'Returns (Calc)'!$A:$A)-3),"")</f>
        <v>174.349056603774</v>
      </c>
      <c r="AB127" s="111" t="n">
        <f aca="false">IFERROR('Price History'!G3+(INDEX('Price History'!G:G,MATCH(9.99E+307,'Price History'!$A:$A))-'Price History'!G3)*(ROW()-3)/(MATCH(9.99E+307,'Returns (Calc)'!$A:$A)-3),"")</f>
        <v>155.288679245283</v>
      </c>
      <c r="AC127" s="111" t="n">
        <f aca="false">IFERROR('Price History'!H3+(INDEX('Price History'!H:H,MATCH(9.99E+307,'Price History'!$A:$A))-'Price History'!H3)*(ROW()-3)/(MATCH(9.99E+307,'Returns (Calc)'!$A:$A)-3),"")</f>
        <v>806.981823899371</v>
      </c>
      <c r="AD127" s="111" t="n">
        <f aca="false">IFERROR('Price History'!I3+(INDEX('Price History'!I:I,MATCH(9.99E+307,'Price History'!$A:$A))-'Price History'!I3)*(ROW()-3)/(MATCH(9.99E+307,'Returns (Calc)'!$A:$A)-3),"")</f>
        <v>188.643962264151</v>
      </c>
      <c r="AE127" s="111" t="n">
        <f aca="false">IFERROR('Price History'!J3+(INDEX('Price History'!J:J,MATCH(9.99E+307,'Price History'!$A:$A))-'Price History'!J3)*(ROW()-3)/(MATCH(9.99E+307,'Returns (Calc)'!$A:$A)-3),"")</f>
        <v>134.295660377359</v>
      </c>
      <c r="AF127" s="111" t="n">
        <f aca="false">IFERROR('Price History'!K3+(INDEX('Price History'!K:K,MATCH(9.99E+307,'Price History'!$A:$A))-'Price History'!K3)*(ROW()-3)/(MATCH(9.99E+307,'Returns (Calc)'!$A:$A)-3),"")</f>
        <v>139.347610062893</v>
      </c>
      <c r="AG127" s="111" t="n">
        <f aca="false">IFERROR('Price History'!L3+(INDEX('Price History'!L:L,MATCH(9.99E+307,'Price History'!$A:$A))-'Price History'!L3)*(ROW()-3)/(MATCH(9.99E+307,'Returns (Calc)'!$A:$A)-3),"")</f>
        <v>354.745220125786</v>
      </c>
      <c r="AH127" s="111" t="n">
        <f aca="false">IFERROR('Price History'!M3+(INDEX('Price History'!M:M,MATCH(9.99E+307,'Price History'!$A:$A))-'Price History'!M3)*(ROW()-3)/(MATCH(9.99E+307,'Returns (Calc)'!$A:$A)-3),"")</f>
        <v>226.154528301887</v>
      </c>
      <c r="AI127" s="111" t="n">
        <f aca="false">IFERROR('Price History'!N3+(INDEX('Price History'!N:N,MATCH(9.99E+307,'Price History'!$A:$A))-'Price History'!N3)*(ROW()-3)/(MATCH(9.99E+307,'Returns (Calc)'!$A:$A)-3),"")</f>
        <v>502.918113207547</v>
      </c>
      <c r="AJ127" s="111" t="n">
        <f aca="false">IFERROR('Price History'!O3+(INDEX('Price History'!O:O,MATCH(9.99E+307,'Price History'!$A:$A))-'Price History'!O3)*(ROW()-3)/(MATCH(9.99E+307,'Returns (Calc)'!$A:$A)-3),"")</f>
        <v>117.226855345912</v>
      </c>
      <c r="AK127" s="111" t="n">
        <f aca="false">IFERROR('Price History'!Q3+(INDEX('Price History'!Q:Q,MATCH(9.99E+307,'Price History'!$A:$A))-'Price History'!Q3)*(ROW()-3)/(MATCH(9.99E+307,'Returns (Calc)'!$A:$A)-3),"")</f>
        <v>65.3438993710692</v>
      </c>
      <c r="AL127" s="111" t="n">
        <f aca="false">IFERROR('Price History'!R3+(INDEX('Price History'!R:R,MATCH(9.99E+307,'Price History'!$A:$A))-'Price History'!R3)*(ROW()-3)/(MATCH(9.99E+307,'Returns (Calc)'!$A:$A)-3),"")</f>
        <v>57.2174842767296</v>
      </c>
      <c r="AM127" s="111" t="n">
        <f aca="false">IFERROR('Price History'!S3+(INDEX('Price History'!S:S,MATCH(9.99E+307,'Price History'!$A:$A))-'Price History'!S3)*(ROW()-3)/(MATCH(9.99E+307,'Returns (Calc)'!$A:$A)-3),"")</f>
        <v>129.64893081761</v>
      </c>
      <c r="AN127" s="111" t="n">
        <f aca="false">IFERROR('Price History'!T3+(INDEX('Price History'!T:T,MATCH(9.99E+307,'Price History'!$A:$A))-'Price History'!T3)*(ROW()-3)/(MATCH(9.99E+307,'Returns (Calc)'!$A:$A)-3),"")</f>
        <v>49.0428301886793</v>
      </c>
      <c r="AO127" s="112" t="n">
        <f aca="false">IFERROR('Price History'!V3+(INDEX('Price History'!V:V,MATCH(9.99E+307,'Price History'!$A:$A))-'Price History'!V3)*(ROW()-3)/(MATCH(9.99E+307,'Returns (Calc)'!$A:$A)-3),"")</f>
        <v>292.507421383648</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V128" s="110" t="n">
        <f aca="false">IFERROR(IF(OR(NOT(ISNUMBER('Price History'!V129)),NOT(ISNUMBER('Price History'!V128)),'Price History'!V128=0),"",'Price History'!V129/'Price History'!V128-1),"")</f>
        <v>0.0094944978368805</v>
      </c>
      <c r="W128" s="111" t="n">
        <f aca="false">IFERROR('Price History'!B3+(INDEX('Price History'!B:B,MATCH(9.99E+307,'Price History'!$A:$A))-'Price History'!B3)*(ROW()-3)/(MATCH(9.99E+307,'Returns (Calc)'!$A:$A)-3),"")</f>
        <v>318.245597484277</v>
      </c>
      <c r="X128" s="111" t="n">
        <f aca="false">IFERROR('Price History'!C3+(INDEX('Price History'!C:C,MATCH(9.99E+307,'Price History'!$A:$A))-'Price History'!C3)*(ROW()-3)/(MATCH(9.99E+307,'Returns (Calc)'!$A:$A)-3),"")</f>
        <v>161.695974842767</v>
      </c>
      <c r="Y128" s="111" t="n">
        <f aca="false">IFERROR('Price History'!D3+(INDEX('Price History'!D:D,MATCH(9.99E+307,'Price History'!$A:$A))-'Price History'!D3)*(ROW()-3)/(MATCH(9.99E+307,'Returns (Calc)'!$A:$A)-3),"")</f>
        <v>1489.68880503145</v>
      </c>
      <c r="Z128" s="111" t="n">
        <f aca="false">IFERROR('Price History'!E3+(INDEX('Price History'!E:E,MATCH(9.99E+307,'Price History'!$A:$A))-'Price History'!E3)*(ROW()-3)/(MATCH(9.99E+307,'Returns (Calc)'!$A:$A)-3),"")</f>
        <v>299.112075471698</v>
      </c>
      <c r="AA128" s="111" t="n">
        <f aca="false">IFERROR('Price History'!F3+(INDEX('Price History'!F:F,MATCH(9.99E+307,'Price History'!$A:$A))-'Price History'!F3)*(ROW()-3)/(MATCH(9.99E+307,'Returns (Calc)'!$A:$A)-3),"")</f>
        <v>175.456226415094</v>
      </c>
      <c r="AB128" s="111" t="n">
        <f aca="false">IFERROR('Price History'!G3+(INDEX('Price History'!G:G,MATCH(9.99E+307,'Price History'!$A:$A))-'Price History'!G3)*(ROW()-3)/(MATCH(9.99E+307,'Returns (Calc)'!$A:$A)-3),"")</f>
        <v>156.154716981132</v>
      </c>
      <c r="AC128" s="111" t="n">
        <f aca="false">IFERROR('Price History'!H3+(INDEX('Price History'!H:H,MATCH(9.99E+307,'Price History'!$A:$A))-'Price History'!H3)*(ROW()-3)/(MATCH(9.99E+307,'Returns (Calc)'!$A:$A)-3),"")</f>
        <v>812.970628930818</v>
      </c>
      <c r="AD128" s="111" t="n">
        <f aca="false">IFERROR('Price History'!I3+(INDEX('Price History'!I:I,MATCH(9.99E+307,'Price History'!$A:$A))-'Price History'!I3)*(ROW()-3)/(MATCH(9.99E+307,'Returns (Calc)'!$A:$A)-3),"")</f>
        <v>189.835849056604</v>
      </c>
      <c r="AE128" s="111" t="n">
        <f aca="false">IFERROR('Price History'!J3+(INDEX('Price History'!J:J,MATCH(9.99E+307,'Price History'!$A:$A))-'Price History'!J3)*(ROW()-3)/(MATCH(9.99E+307,'Returns (Calc)'!$A:$A)-3),"")</f>
        <v>134.382641509434</v>
      </c>
      <c r="AF128" s="111" t="n">
        <f aca="false">IFERROR('Price History'!K3+(INDEX('Price History'!K:K,MATCH(9.99E+307,'Price History'!$A:$A))-'Price History'!K3)*(ROW()-3)/(MATCH(9.99E+307,'Returns (Calc)'!$A:$A)-3),"")</f>
        <v>140.347106918239</v>
      </c>
      <c r="AG128" s="111" t="n">
        <f aca="false">IFERROR('Price History'!L3+(INDEX('Price History'!L:L,MATCH(9.99E+307,'Price History'!$A:$A))-'Price History'!L3)*(ROW()-3)/(MATCH(9.99E+307,'Returns (Calc)'!$A:$A)-3),"")</f>
        <v>356.864213836478</v>
      </c>
      <c r="AH128" s="111" t="n">
        <f aca="false">IFERROR('Price History'!M3+(INDEX('Price History'!M:M,MATCH(9.99E+307,'Price History'!$A:$A))-'Price History'!M3)*(ROW()-3)/(MATCH(9.99E+307,'Returns (Calc)'!$A:$A)-3),"")</f>
        <v>227.708113207547</v>
      </c>
      <c r="AI128" s="111" t="n">
        <f aca="false">IFERROR('Price History'!N3+(INDEX('Price History'!N:N,MATCH(9.99E+307,'Price History'!$A:$A))-'Price History'!N3)*(ROW()-3)/(MATCH(9.99E+307,'Returns (Calc)'!$A:$A)-3),"")</f>
        <v>504.152452830189</v>
      </c>
      <c r="AJ128" s="111" t="n">
        <f aca="false">IFERROR('Price History'!O3+(INDEX('Price History'!O:O,MATCH(9.99E+307,'Price History'!$A:$A))-'Price History'!O3)*(ROW()-3)/(MATCH(9.99E+307,'Returns (Calc)'!$A:$A)-3),"")</f>
        <v>117.504088050314</v>
      </c>
      <c r="AK128" s="111" t="n">
        <f aca="false">IFERROR('Price History'!Q3+(INDEX('Price History'!Q:Q,MATCH(9.99E+307,'Price History'!$A:$A))-'Price History'!Q3)*(ROW()-3)/(MATCH(9.99E+307,'Returns (Calc)'!$A:$A)-3),"")</f>
        <v>65.4689308176101</v>
      </c>
      <c r="AL128" s="111" t="n">
        <f aca="false">IFERROR('Price History'!R3+(INDEX('Price History'!R:R,MATCH(9.99E+307,'Price History'!$A:$A))-'Price History'!R3)*(ROW()-3)/(MATCH(9.99E+307,'Returns (Calc)'!$A:$A)-3),"")</f>
        <v>57.2932704402516</v>
      </c>
      <c r="AM128" s="111" t="n">
        <f aca="false">IFERROR('Price History'!S3+(INDEX('Price History'!S:S,MATCH(9.99E+307,'Price History'!$A:$A))-'Price History'!S3)*(ROW()-3)/(MATCH(9.99E+307,'Returns (Calc)'!$A:$A)-3),"")</f>
        <v>130.222389937107</v>
      </c>
      <c r="AN128" s="111" t="n">
        <f aca="false">IFERROR('Price History'!T3+(INDEX('Price History'!T:T,MATCH(9.99E+307,'Price History'!$A:$A))-'Price History'!T3)*(ROW()-3)/(MATCH(9.99E+307,'Returns (Calc)'!$A:$A)-3),"")</f>
        <v>49.221320754717</v>
      </c>
      <c r="AO128" s="112" t="n">
        <f aca="false">IFERROR('Price History'!V3+(INDEX('Price History'!V:V,MATCH(9.99E+307,'Price History'!$A:$A))-'Price History'!V3)*(ROW()-3)/(MATCH(9.99E+307,'Returns (Calc)'!$A:$A)-3),"")</f>
        <v>294.866352201258</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V129" s="110" t="n">
        <f aca="false">IFERROR(IF(OR(NOT(ISNUMBER('Price History'!V130)),NOT(ISNUMBER('Price History'!V129)),'Price History'!V129=0),"",'Price History'!V130/'Price History'!V129-1),"")</f>
        <v>-0.0613782788771284</v>
      </c>
      <c r="W129" s="111" t="n">
        <f aca="false">IFERROR('Price History'!B3+(INDEX('Price History'!B:B,MATCH(9.99E+307,'Price History'!$A:$A))-'Price History'!B3)*(ROW()-3)/(MATCH(9.99E+307,'Returns (Calc)'!$A:$A)-3),"")</f>
        <v>316.723962264151</v>
      </c>
      <c r="X129" s="111" t="n">
        <f aca="false">IFERROR('Price History'!C3+(INDEX('Price History'!C:C,MATCH(9.99E+307,'Price History'!$A:$A))-'Price History'!C3)*(ROW()-3)/(MATCH(9.99E+307,'Returns (Calc)'!$A:$A)-3),"")</f>
        <v>162.639622641509</v>
      </c>
      <c r="Y129" s="111" t="n">
        <f aca="false">IFERROR('Price History'!D3+(INDEX('Price History'!D:D,MATCH(9.99E+307,'Price History'!$A:$A))-'Price History'!D3)*(ROW()-3)/(MATCH(9.99E+307,'Returns (Calc)'!$A:$A)-3),"")</f>
        <v>1496.3120754717</v>
      </c>
      <c r="Z129" s="111" t="n">
        <f aca="false">IFERROR('Price History'!E3+(INDEX('Price History'!E:E,MATCH(9.99E+307,'Price History'!$A:$A))-'Price History'!E3)*(ROW()-3)/(MATCH(9.99E+307,'Returns (Calc)'!$A:$A)-3),"")</f>
        <v>300.841132075472</v>
      </c>
      <c r="AA129" s="111" t="n">
        <f aca="false">IFERROR('Price History'!F3+(INDEX('Price History'!F:F,MATCH(9.99E+307,'Price History'!$A:$A))-'Price History'!F3)*(ROW()-3)/(MATCH(9.99E+307,'Returns (Calc)'!$A:$A)-3),"")</f>
        <v>176.563396226415</v>
      </c>
      <c r="AB129" s="111" t="n">
        <f aca="false">IFERROR('Price History'!G3+(INDEX('Price History'!G:G,MATCH(9.99E+307,'Price History'!$A:$A))-'Price History'!G3)*(ROW()-3)/(MATCH(9.99E+307,'Returns (Calc)'!$A:$A)-3),"")</f>
        <v>157.020754716981</v>
      </c>
      <c r="AC129" s="111" t="n">
        <f aca="false">IFERROR('Price History'!H3+(INDEX('Price History'!H:H,MATCH(9.99E+307,'Price History'!$A:$A))-'Price History'!H3)*(ROW()-3)/(MATCH(9.99E+307,'Returns (Calc)'!$A:$A)-3),"")</f>
        <v>818.959433962264</v>
      </c>
      <c r="AD129" s="111" t="n">
        <f aca="false">IFERROR('Price History'!I3+(INDEX('Price History'!I:I,MATCH(9.99E+307,'Price History'!$A:$A))-'Price History'!I3)*(ROW()-3)/(MATCH(9.99E+307,'Returns (Calc)'!$A:$A)-3),"")</f>
        <v>191.027735849057</v>
      </c>
      <c r="AE129" s="111" t="n">
        <f aca="false">IFERROR('Price History'!J3+(INDEX('Price History'!J:J,MATCH(9.99E+307,'Price History'!$A:$A))-'Price History'!J3)*(ROW()-3)/(MATCH(9.99E+307,'Returns (Calc)'!$A:$A)-3),"")</f>
        <v>134.469622641509</v>
      </c>
      <c r="AF129" s="111" t="n">
        <f aca="false">IFERROR('Price History'!K3+(INDEX('Price History'!K:K,MATCH(9.99E+307,'Price History'!$A:$A))-'Price History'!K3)*(ROW()-3)/(MATCH(9.99E+307,'Returns (Calc)'!$A:$A)-3),"")</f>
        <v>141.346603773585</v>
      </c>
      <c r="AG129" s="111" t="n">
        <f aca="false">IFERROR('Price History'!L3+(INDEX('Price History'!L:L,MATCH(9.99E+307,'Price History'!$A:$A))-'Price History'!L3)*(ROW()-3)/(MATCH(9.99E+307,'Returns (Calc)'!$A:$A)-3),"")</f>
        <v>358.98320754717</v>
      </c>
      <c r="AH129" s="111" t="n">
        <f aca="false">IFERROR('Price History'!M3+(INDEX('Price History'!M:M,MATCH(9.99E+307,'Price History'!$A:$A))-'Price History'!M3)*(ROW()-3)/(MATCH(9.99E+307,'Returns (Calc)'!$A:$A)-3),"")</f>
        <v>229.261698113208</v>
      </c>
      <c r="AI129" s="111" t="n">
        <f aca="false">IFERROR('Price History'!N3+(INDEX('Price History'!N:N,MATCH(9.99E+307,'Price History'!$A:$A))-'Price History'!N3)*(ROW()-3)/(MATCH(9.99E+307,'Returns (Calc)'!$A:$A)-3),"")</f>
        <v>505.38679245283</v>
      </c>
      <c r="AJ129" s="111" t="n">
        <f aca="false">IFERROR('Price History'!O3+(INDEX('Price History'!O:O,MATCH(9.99E+307,'Price History'!$A:$A))-'Price History'!O3)*(ROW()-3)/(MATCH(9.99E+307,'Returns (Calc)'!$A:$A)-3),"")</f>
        <v>117.781320754717</v>
      </c>
      <c r="AK129" s="111" t="n">
        <f aca="false">IFERROR('Price History'!Q3+(INDEX('Price History'!Q:Q,MATCH(9.99E+307,'Price History'!$A:$A))-'Price History'!Q3)*(ROW()-3)/(MATCH(9.99E+307,'Returns (Calc)'!$A:$A)-3),"")</f>
        <v>65.593962264151</v>
      </c>
      <c r="AL129" s="111" t="n">
        <f aca="false">IFERROR('Price History'!R3+(INDEX('Price History'!R:R,MATCH(9.99E+307,'Price History'!$A:$A))-'Price History'!R3)*(ROW()-3)/(MATCH(9.99E+307,'Returns (Calc)'!$A:$A)-3),"")</f>
        <v>57.3690566037736</v>
      </c>
      <c r="AM129" s="111" t="n">
        <f aca="false">IFERROR('Price History'!S3+(INDEX('Price History'!S:S,MATCH(9.99E+307,'Price History'!$A:$A))-'Price History'!S3)*(ROW()-3)/(MATCH(9.99E+307,'Returns (Calc)'!$A:$A)-3),"")</f>
        <v>130.795849056604</v>
      </c>
      <c r="AN129" s="111" t="n">
        <f aca="false">IFERROR('Price History'!T3+(INDEX('Price History'!T:T,MATCH(9.99E+307,'Price History'!$A:$A))-'Price History'!T3)*(ROW()-3)/(MATCH(9.99E+307,'Returns (Calc)'!$A:$A)-3),"")</f>
        <v>49.3998113207547</v>
      </c>
      <c r="AO129" s="112" t="n">
        <f aca="false">IFERROR('Price History'!V3+(INDEX('Price History'!V:V,MATCH(9.99E+307,'Price History'!$A:$A))-'Price History'!V3)*(ROW()-3)/(MATCH(9.99E+307,'Returns (Calc)'!$A:$A)-3),"")</f>
        <v>297.225283018868</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V130" s="110" t="n">
        <f aca="false">IFERROR(IF(OR(NOT(ISNUMBER('Price History'!V131)),NOT(ISNUMBER('Price History'!V130)),'Price History'!V130=0),"",'Price History'!V131/'Price History'!V130-1),"")</f>
        <v>-0.00646564932279203</v>
      </c>
      <c r="W130" s="111" t="n">
        <f aca="false">IFERROR('Price History'!B3+(INDEX('Price History'!B:B,MATCH(9.99E+307,'Price History'!$A:$A))-'Price History'!B3)*(ROW()-3)/(MATCH(9.99E+307,'Returns (Calc)'!$A:$A)-3),"")</f>
        <v>315.202327044025</v>
      </c>
      <c r="X130" s="111" t="n">
        <f aca="false">IFERROR('Price History'!C3+(INDEX('Price History'!C:C,MATCH(9.99E+307,'Price History'!$A:$A))-'Price History'!C3)*(ROW()-3)/(MATCH(9.99E+307,'Returns (Calc)'!$A:$A)-3),"")</f>
        <v>163.583270440252</v>
      </c>
      <c r="Y130" s="111" t="n">
        <f aca="false">IFERROR('Price History'!D3+(INDEX('Price History'!D:D,MATCH(9.99E+307,'Price History'!$A:$A))-'Price History'!D3)*(ROW()-3)/(MATCH(9.99E+307,'Returns (Calc)'!$A:$A)-3),"")</f>
        <v>1502.93534591195</v>
      </c>
      <c r="Z130" s="111" t="n">
        <f aca="false">IFERROR('Price History'!E3+(INDEX('Price History'!E:E,MATCH(9.99E+307,'Price History'!$A:$A))-'Price History'!E3)*(ROW()-3)/(MATCH(9.99E+307,'Returns (Calc)'!$A:$A)-3),"")</f>
        <v>302.570188679245</v>
      </c>
      <c r="AA130" s="111" t="n">
        <f aca="false">IFERROR('Price History'!F3+(INDEX('Price History'!F:F,MATCH(9.99E+307,'Price History'!$A:$A))-'Price History'!F3)*(ROW()-3)/(MATCH(9.99E+307,'Returns (Calc)'!$A:$A)-3),"")</f>
        <v>177.670566037736</v>
      </c>
      <c r="AB130" s="111" t="n">
        <f aca="false">IFERROR('Price History'!G3+(INDEX('Price History'!G:G,MATCH(9.99E+307,'Price History'!$A:$A))-'Price History'!G3)*(ROW()-3)/(MATCH(9.99E+307,'Returns (Calc)'!$A:$A)-3),"")</f>
        <v>157.88679245283</v>
      </c>
      <c r="AC130" s="111" t="n">
        <f aca="false">IFERROR('Price History'!H3+(INDEX('Price History'!H:H,MATCH(9.99E+307,'Price History'!$A:$A))-'Price History'!H3)*(ROW()-3)/(MATCH(9.99E+307,'Returns (Calc)'!$A:$A)-3),"")</f>
        <v>824.948238993711</v>
      </c>
      <c r="AD130" s="111" t="n">
        <f aca="false">IFERROR('Price History'!I3+(INDEX('Price History'!I:I,MATCH(9.99E+307,'Price History'!$A:$A))-'Price History'!I3)*(ROW()-3)/(MATCH(9.99E+307,'Returns (Calc)'!$A:$A)-3),"")</f>
        <v>192.219622641509</v>
      </c>
      <c r="AE130" s="111" t="n">
        <f aca="false">IFERROR('Price History'!J3+(INDEX('Price History'!J:J,MATCH(9.99E+307,'Price History'!$A:$A))-'Price History'!J3)*(ROW()-3)/(MATCH(9.99E+307,'Returns (Calc)'!$A:$A)-3),"")</f>
        <v>134.556603773585</v>
      </c>
      <c r="AF130" s="111" t="n">
        <f aca="false">IFERROR('Price History'!K3+(INDEX('Price History'!K:K,MATCH(9.99E+307,'Price History'!$A:$A))-'Price History'!K3)*(ROW()-3)/(MATCH(9.99E+307,'Returns (Calc)'!$A:$A)-3),"")</f>
        <v>142.346100628931</v>
      </c>
      <c r="AG130" s="111" t="n">
        <f aca="false">IFERROR('Price History'!L3+(INDEX('Price History'!L:L,MATCH(9.99E+307,'Price History'!$A:$A))-'Price History'!L3)*(ROW()-3)/(MATCH(9.99E+307,'Returns (Calc)'!$A:$A)-3),"")</f>
        <v>361.102201257862</v>
      </c>
      <c r="AH130" s="111" t="n">
        <f aca="false">IFERROR('Price History'!M3+(INDEX('Price History'!M:M,MATCH(9.99E+307,'Price History'!$A:$A))-'Price History'!M3)*(ROW()-3)/(MATCH(9.99E+307,'Returns (Calc)'!$A:$A)-3),"")</f>
        <v>230.815283018868</v>
      </c>
      <c r="AI130" s="111" t="n">
        <f aca="false">IFERROR('Price History'!N3+(INDEX('Price History'!N:N,MATCH(9.99E+307,'Price History'!$A:$A))-'Price History'!N3)*(ROW()-3)/(MATCH(9.99E+307,'Returns (Calc)'!$A:$A)-3),"")</f>
        <v>506.621132075472</v>
      </c>
      <c r="AJ130" s="111" t="n">
        <f aca="false">IFERROR('Price History'!O3+(INDEX('Price History'!O:O,MATCH(9.99E+307,'Price History'!$A:$A))-'Price History'!O3)*(ROW()-3)/(MATCH(9.99E+307,'Returns (Calc)'!$A:$A)-3),"")</f>
        <v>118.05855345912</v>
      </c>
      <c r="AK130" s="111" t="n">
        <f aca="false">IFERROR('Price History'!Q3+(INDEX('Price History'!Q:Q,MATCH(9.99E+307,'Price History'!$A:$A))-'Price History'!Q3)*(ROW()-3)/(MATCH(9.99E+307,'Returns (Calc)'!$A:$A)-3),"")</f>
        <v>65.7189937106918</v>
      </c>
      <c r="AL130" s="111" t="n">
        <f aca="false">IFERROR('Price History'!R3+(INDEX('Price History'!R:R,MATCH(9.99E+307,'Price History'!$A:$A))-'Price History'!R3)*(ROW()-3)/(MATCH(9.99E+307,'Returns (Calc)'!$A:$A)-3),"")</f>
        <v>57.4448427672956</v>
      </c>
      <c r="AM130" s="111" t="n">
        <f aca="false">IFERROR('Price History'!S3+(INDEX('Price History'!S:S,MATCH(9.99E+307,'Price History'!$A:$A))-'Price History'!S3)*(ROW()-3)/(MATCH(9.99E+307,'Returns (Calc)'!$A:$A)-3),"")</f>
        <v>131.369308176101</v>
      </c>
      <c r="AN130" s="111" t="n">
        <f aca="false">IFERROR('Price History'!T3+(INDEX('Price History'!T:T,MATCH(9.99E+307,'Price History'!$A:$A))-'Price History'!T3)*(ROW()-3)/(MATCH(9.99E+307,'Returns (Calc)'!$A:$A)-3),"")</f>
        <v>49.5783018867925</v>
      </c>
      <c r="AO130" s="112" t="n">
        <f aca="false">IFERROR('Price History'!V3+(INDEX('Price History'!V:V,MATCH(9.99E+307,'Price History'!$A:$A))-'Price History'!V3)*(ROW()-3)/(MATCH(9.99E+307,'Returns (Calc)'!$A:$A)-3),"")</f>
        <v>299.584213836478</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V131" s="110" t="n">
        <f aca="false">IFERROR(IF(OR(NOT(ISNUMBER('Price History'!V132)),NOT(ISNUMBER('Price History'!V131)),'Price History'!V131=0),"",'Price History'!V132/'Price History'!V131-1),"")</f>
        <v>-0.013323875026987</v>
      </c>
      <c r="W131" s="111" t="n">
        <f aca="false">IFERROR('Price History'!B3+(INDEX('Price History'!B:B,MATCH(9.99E+307,'Price History'!$A:$A))-'Price History'!B3)*(ROW()-3)/(MATCH(9.99E+307,'Returns (Calc)'!$A:$A)-3),"")</f>
        <v>313.680691823899</v>
      </c>
      <c r="X131" s="111" t="n">
        <f aca="false">IFERROR('Price History'!C3+(INDEX('Price History'!C:C,MATCH(9.99E+307,'Price History'!$A:$A))-'Price History'!C3)*(ROW()-3)/(MATCH(9.99E+307,'Returns (Calc)'!$A:$A)-3),"")</f>
        <v>164.526918238994</v>
      </c>
      <c r="Y131" s="111" t="n">
        <f aca="false">IFERROR('Price History'!D3+(INDEX('Price History'!D:D,MATCH(9.99E+307,'Price History'!$A:$A))-'Price History'!D3)*(ROW()-3)/(MATCH(9.99E+307,'Returns (Calc)'!$A:$A)-3),"")</f>
        <v>1509.5586163522</v>
      </c>
      <c r="Z131" s="111" t="n">
        <f aca="false">IFERROR('Price History'!E3+(INDEX('Price History'!E:E,MATCH(9.99E+307,'Price History'!$A:$A))-'Price History'!E3)*(ROW()-3)/(MATCH(9.99E+307,'Returns (Calc)'!$A:$A)-3),"")</f>
        <v>304.299245283019</v>
      </c>
      <c r="AA131" s="111" t="n">
        <f aca="false">IFERROR('Price History'!F3+(INDEX('Price History'!F:F,MATCH(9.99E+307,'Price History'!$A:$A))-'Price History'!F3)*(ROW()-3)/(MATCH(9.99E+307,'Returns (Calc)'!$A:$A)-3),"")</f>
        <v>178.777735849057</v>
      </c>
      <c r="AB131" s="111" t="n">
        <f aca="false">IFERROR('Price History'!G3+(INDEX('Price History'!G:G,MATCH(9.99E+307,'Price History'!$A:$A))-'Price History'!G3)*(ROW()-3)/(MATCH(9.99E+307,'Returns (Calc)'!$A:$A)-3),"")</f>
        <v>158.752830188679</v>
      </c>
      <c r="AC131" s="111" t="n">
        <f aca="false">IFERROR('Price History'!H3+(INDEX('Price History'!H:H,MATCH(9.99E+307,'Price History'!$A:$A))-'Price History'!H3)*(ROW()-3)/(MATCH(9.99E+307,'Returns (Calc)'!$A:$A)-3),"")</f>
        <v>830.937044025157</v>
      </c>
      <c r="AD131" s="111" t="n">
        <f aca="false">IFERROR('Price History'!I3+(INDEX('Price History'!I:I,MATCH(9.99E+307,'Price History'!$A:$A))-'Price History'!I3)*(ROW()-3)/(MATCH(9.99E+307,'Returns (Calc)'!$A:$A)-3),"")</f>
        <v>193.411509433962</v>
      </c>
      <c r="AE131" s="111" t="n">
        <f aca="false">IFERROR('Price History'!J3+(INDEX('Price History'!J:J,MATCH(9.99E+307,'Price History'!$A:$A))-'Price History'!J3)*(ROW()-3)/(MATCH(9.99E+307,'Returns (Calc)'!$A:$A)-3),"")</f>
        <v>134.64358490566</v>
      </c>
      <c r="AF131" s="111" t="n">
        <f aca="false">IFERROR('Price History'!K3+(INDEX('Price History'!K:K,MATCH(9.99E+307,'Price History'!$A:$A))-'Price History'!K3)*(ROW()-3)/(MATCH(9.99E+307,'Returns (Calc)'!$A:$A)-3),"")</f>
        <v>143.345597484277</v>
      </c>
      <c r="AG131" s="111" t="n">
        <f aca="false">IFERROR('Price History'!L3+(INDEX('Price History'!L:L,MATCH(9.99E+307,'Price History'!$A:$A))-'Price History'!L3)*(ROW()-3)/(MATCH(9.99E+307,'Returns (Calc)'!$A:$A)-3),"")</f>
        <v>363.221194968554</v>
      </c>
      <c r="AH131" s="111" t="n">
        <f aca="false">IFERROR('Price History'!M3+(INDEX('Price History'!M:M,MATCH(9.99E+307,'Price History'!$A:$A))-'Price History'!M3)*(ROW()-3)/(MATCH(9.99E+307,'Returns (Calc)'!$A:$A)-3),"")</f>
        <v>232.368867924528</v>
      </c>
      <c r="AI131" s="111" t="n">
        <f aca="false">IFERROR('Price History'!N3+(INDEX('Price History'!N:N,MATCH(9.99E+307,'Price History'!$A:$A))-'Price History'!N3)*(ROW()-3)/(MATCH(9.99E+307,'Returns (Calc)'!$A:$A)-3),"")</f>
        <v>507.855471698113</v>
      </c>
      <c r="AJ131" s="111" t="n">
        <f aca="false">IFERROR('Price History'!O3+(INDEX('Price History'!O:O,MATCH(9.99E+307,'Price History'!$A:$A))-'Price History'!O3)*(ROW()-3)/(MATCH(9.99E+307,'Returns (Calc)'!$A:$A)-3),"")</f>
        <v>118.335786163522</v>
      </c>
      <c r="AK131" s="111" t="n">
        <f aca="false">IFERROR('Price History'!Q3+(INDEX('Price History'!Q:Q,MATCH(9.99E+307,'Price History'!$A:$A))-'Price History'!Q3)*(ROW()-3)/(MATCH(9.99E+307,'Returns (Calc)'!$A:$A)-3),"")</f>
        <v>65.8440251572327</v>
      </c>
      <c r="AL131" s="111" t="n">
        <f aca="false">IFERROR('Price History'!R3+(INDEX('Price History'!R:R,MATCH(9.99E+307,'Price History'!$A:$A))-'Price History'!R3)*(ROW()-3)/(MATCH(9.99E+307,'Returns (Calc)'!$A:$A)-3),"")</f>
        <v>57.5206289308176</v>
      </c>
      <c r="AM131" s="111" t="n">
        <f aca="false">IFERROR('Price History'!S3+(INDEX('Price History'!S:S,MATCH(9.99E+307,'Price History'!$A:$A))-'Price History'!S3)*(ROW()-3)/(MATCH(9.99E+307,'Returns (Calc)'!$A:$A)-3),"")</f>
        <v>131.942767295598</v>
      </c>
      <c r="AN131" s="111" t="n">
        <f aca="false">IFERROR('Price History'!T3+(INDEX('Price History'!T:T,MATCH(9.99E+307,'Price History'!$A:$A))-'Price History'!T3)*(ROW()-3)/(MATCH(9.99E+307,'Returns (Calc)'!$A:$A)-3),"")</f>
        <v>49.7567924528302</v>
      </c>
      <c r="AO131" s="112" t="n">
        <f aca="false">IFERROR('Price History'!V3+(INDEX('Price History'!V:V,MATCH(9.99E+307,'Price History'!$A:$A))-'Price History'!V3)*(ROW()-3)/(MATCH(9.99E+307,'Returns (Calc)'!$A:$A)-3),"")</f>
        <v>301.943144654088</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V132" s="110" t="n">
        <f aca="false">IFERROR(IF(OR(NOT(ISNUMBER('Price History'!V133)),NOT(ISNUMBER('Price History'!V132)),'Price History'!V132=0),"",'Price History'!V133/'Price History'!V132-1),"")</f>
        <v>0.0302897689975306</v>
      </c>
      <c r="W132" s="111" t="n">
        <f aca="false">IFERROR('Price History'!B3+(INDEX('Price History'!B:B,MATCH(9.99E+307,'Price History'!$A:$A))-'Price History'!B3)*(ROW()-3)/(MATCH(9.99E+307,'Returns (Calc)'!$A:$A)-3),"")</f>
        <v>312.159056603774</v>
      </c>
      <c r="X132" s="111" t="n">
        <f aca="false">IFERROR('Price History'!C3+(INDEX('Price History'!C:C,MATCH(9.99E+307,'Price History'!$A:$A))-'Price History'!C3)*(ROW()-3)/(MATCH(9.99E+307,'Returns (Calc)'!$A:$A)-3),"")</f>
        <v>165.470566037736</v>
      </c>
      <c r="Y132" s="111" t="n">
        <f aca="false">IFERROR('Price History'!D3+(INDEX('Price History'!D:D,MATCH(9.99E+307,'Price History'!$A:$A))-'Price History'!D3)*(ROW()-3)/(MATCH(9.99E+307,'Returns (Calc)'!$A:$A)-3),"")</f>
        <v>1516.18188679245</v>
      </c>
      <c r="Z132" s="111" t="n">
        <f aca="false">IFERROR('Price History'!E3+(INDEX('Price History'!E:E,MATCH(9.99E+307,'Price History'!$A:$A))-'Price History'!E3)*(ROW()-3)/(MATCH(9.99E+307,'Returns (Calc)'!$A:$A)-3),"")</f>
        <v>306.028301886792</v>
      </c>
      <c r="AA132" s="111" t="n">
        <f aca="false">IFERROR('Price History'!F3+(INDEX('Price History'!F:F,MATCH(9.99E+307,'Price History'!$A:$A))-'Price History'!F3)*(ROW()-3)/(MATCH(9.99E+307,'Returns (Calc)'!$A:$A)-3),"")</f>
        <v>179.884905660377</v>
      </c>
      <c r="AB132" s="111" t="n">
        <f aca="false">IFERROR('Price History'!G3+(INDEX('Price History'!G:G,MATCH(9.99E+307,'Price History'!$A:$A))-'Price History'!G3)*(ROW()-3)/(MATCH(9.99E+307,'Returns (Calc)'!$A:$A)-3),"")</f>
        <v>159.618867924528</v>
      </c>
      <c r="AC132" s="111" t="n">
        <f aca="false">IFERROR('Price History'!H3+(INDEX('Price History'!H:H,MATCH(9.99E+307,'Price History'!$A:$A))-'Price History'!H3)*(ROW()-3)/(MATCH(9.99E+307,'Returns (Calc)'!$A:$A)-3),"")</f>
        <v>836.925849056604</v>
      </c>
      <c r="AD132" s="111" t="n">
        <f aca="false">IFERROR('Price History'!I3+(INDEX('Price History'!I:I,MATCH(9.99E+307,'Price History'!$A:$A))-'Price History'!I3)*(ROW()-3)/(MATCH(9.99E+307,'Returns (Calc)'!$A:$A)-3),"")</f>
        <v>194.603396226415</v>
      </c>
      <c r="AE132" s="111" t="n">
        <f aca="false">IFERROR('Price History'!J3+(INDEX('Price History'!J:J,MATCH(9.99E+307,'Price History'!$A:$A))-'Price History'!J3)*(ROW()-3)/(MATCH(9.99E+307,'Returns (Calc)'!$A:$A)-3),"")</f>
        <v>134.730566037736</v>
      </c>
      <c r="AF132" s="111" t="n">
        <f aca="false">IFERROR('Price History'!K3+(INDEX('Price History'!K:K,MATCH(9.99E+307,'Price History'!$A:$A))-'Price History'!K3)*(ROW()-3)/(MATCH(9.99E+307,'Returns (Calc)'!$A:$A)-3),"")</f>
        <v>144.345094339623</v>
      </c>
      <c r="AG132" s="111" t="n">
        <f aca="false">IFERROR('Price History'!L3+(INDEX('Price History'!L:L,MATCH(9.99E+307,'Price History'!$A:$A))-'Price History'!L3)*(ROW()-3)/(MATCH(9.99E+307,'Returns (Calc)'!$A:$A)-3),"")</f>
        <v>365.340188679245</v>
      </c>
      <c r="AH132" s="111" t="n">
        <f aca="false">IFERROR('Price History'!M3+(INDEX('Price History'!M:M,MATCH(9.99E+307,'Price History'!$A:$A))-'Price History'!M3)*(ROW()-3)/(MATCH(9.99E+307,'Returns (Calc)'!$A:$A)-3),"")</f>
        <v>233.922452830189</v>
      </c>
      <c r="AI132" s="111" t="n">
        <f aca="false">IFERROR('Price History'!N3+(INDEX('Price History'!N:N,MATCH(9.99E+307,'Price History'!$A:$A))-'Price History'!N3)*(ROW()-3)/(MATCH(9.99E+307,'Returns (Calc)'!$A:$A)-3),"")</f>
        <v>509.089811320755</v>
      </c>
      <c r="AJ132" s="111" t="n">
        <f aca="false">IFERROR('Price History'!O3+(INDEX('Price History'!O:O,MATCH(9.99E+307,'Price History'!$A:$A))-'Price History'!O3)*(ROW()-3)/(MATCH(9.99E+307,'Returns (Calc)'!$A:$A)-3),"")</f>
        <v>118.613018867925</v>
      </c>
      <c r="AK132" s="111" t="n">
        <f aca="false">IFERROR('Price History'!Q3+(INDEX('Price History'!Q:Q,MATCH(9.99E+307,'Price History'!$A:$A))-'Price History'!Q3)*(ROW()-3)/(MATCH(9.99E+307,'Returns (Calc)'!$A:$A)-3),"")</f>
        <v>65.9690566037736</v>
      </c>
      <c r="AL132" s="111" t="n">
        <f aca="false">IFERROR('Price History'!R3+(INDEX('Price History'!R:R,MATCH(9.99E+307,'Price History'!$A:$A))-'Price History'!R3)*(ROW()-3)/(MATCH(9.99E+307,'Returns (Calc)'!$A:$A)-3),"")</f>
        <v>57.5964150943396</v>
      </c>
      <c r="AM132" s="111" t="n">
        <f aca="false">IFERROR('Price History'!S3+(INDEX('Price History'!S:S,MATCH(9.99E+307,'Price History'!$A:$A))-'Price History'!S3)*(ROW()-3)/(MATCH(9.99E+307,'Returns (Calc)'!$A:$A)-3),"")</f>
        <v>132.516226415094</v>
      </c>
      <c r="AN132" s="111" t="n">
        <f aca="false">IFERROR('Price History'!T3+(INDEX('Price History'!T:T,MATCH(9.99E+307,'Price History'!$A:$A))-'Price History'!T3)*(ROW()-3)/(MATCH(9.99E+307,'Returns (Calc)'!$A:$A)-3),"")</f>
        <v>49.9352830188679</v>
      </c>
      <c r="AO132" s="112" t="n">
        <f aca="false">IFERROR('Price History'!V3+(INDEX('Price History'!V:V,MATCH(9.99E+307,'Price History'!$A:$A))-'Price History'!V3)*(ROW()-3)/(MATCH(9.99E+307,'Returns (Calc)'!$A:$A)-3),"")</f>
        <v>304.302075471698</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V133" s="110" t="n">
        <f aca="false">IFERROR(IF(OR(NOT(ISNUMBER('Price History'!V134)),NOT(ISNUMBER('Price History'!V133)),'Price History'!V133=0),"",'Price History'!V134/'Price History'!V133-1),"")</f>
        <v>-0.0508191747572816</v>
      </c>
      <c r="W133" s="111" t="n">
        <f aca="false">IFERROR('Price History'!B3+(INDEX('Price History'!B:B,MATCH(9.99E+307,'Price History'!$A:$A))-'Price History'!B3)*(ROW()-3)/(MATCH(9.99E+307,'Returns (Calc)'!$A:$A)-3),"")</f>
        <v>310.637421383648</v>
      </c>
      <c r="X133" s="111" t="n">
        <f aca="false">IFERROR('Price History'!C3+(INDEX('Price History'!C:C,MATCH(9.99E+307,'Price History'!$A:$A))-'Price History'!C3)*(ROW()-3)/(MATCH(9.99E+307,'Returns (Calc)'!$A:$A)-3),"")</f>
        <v>166.414213836478</v>
      </c>
      <c r="Y133" s="111" t="n">
        <f aca="false">IFERROR('Price History'!D3+(INDEX('Price History'!D:D,MATCH(9.99E+307,'Price History'!$A:$A))-'Price History'!D3)*(ROW()-3)/(MATCH(9.99E+307,'Returns (Calc)'!$A:$A)-3),"")</f>
        <v>1522.8051572327</v>
      </c>
      <c r="Z133" s="111" t="n">
        <f aca="false">IFERROR('Price History'!E3+(INDEX('Price History'!E:E,MATCH(9.99E+307,'Price History'!$A:$A))-'Price History'!E3)*(ROW()-3)/(MATCH(9.99E+307,'Returns (Calc)'!$A:$A)-3),"")</f>
        <v>307.757358490566</v>
      </c>
      <c r="AA133" s="111" t="n">
        <f aca="false">IFERROR('Price History'!F3+(INDEX('Price History'!F:F,MATCH(9.99E+307,'Price History'!$A:$A))-'Price History'!F3)*(ROW()-3)/(MATCH(9.99E+307,'Returns (Calc)'!$A:$A)-3),"")</f>
        <v>180.992075471698</v>
      </c>
      <c r="AB133" s="111" t="n">
        <f aca="false">IFERROR('Price History'!G3+(INDEX('Price History'!G:G,MATCH(9.99E+307,'Price History'!$A:$A))-'Price History'!G3)*(ROW()-3)/(MATCH(9.99E+307,'Returns (Calc)'!$A:$A)-3),"")</f>
        <v>160.484905660377</v>
      </c>
      <c r="AC133" s="111" t="n">
        <f aca="false">IFERROR('Price History'!H3+(INDEX('Price History'!H:H,MATCH(9.99E+307,'Price History'!$A:$A))-'Price History'!H3)*(ROW()-3)/(MATCH(9.99E+307,'Returns (Calc)'!$A:$A)-3),"")</f>
        <v>842.91465408805</v>
      </c>
      <c r="AD133" s="111" t="n">
        <f aca="false">IFERROR('Price History'!I3+(INDEX('Price History'!I:I,MATCH(9.99E+307,'Price History'!$A:$A))-'Price History'!I3)*(ROW()-3)/(MATCH(9.99E+307,'Returns (Calc)'!$A:$A)-3),"")</f>
        <v>195.795283018868</v>
      </c>
      <c r="AE133" s="111" t="n">
        <f aca="false">IFERROR('Price History'!J3+(INDEX('Price History'!J:J,MATCH(9.99E+307,'Price History'!$A:$A))-'Price History'!J3)*(ROW()-3)/(MATCH(9.99E+307,'Returns (Calc)'!$A:$A)-3),"")</f>
        <v>134.817547169811</v>
      </c>
      <c r="AF133" s="111" t="n">
        <f aca="false">IFERROR('Price History'!K3+(INDEX('Price History'!K:K,MATCH(9.99E+307,'Price History'!$A:$A))-'Price History'!K3)*(ROW()-3)/(MATCH(9.99E+307,'Returns (Calc)'!$A:$A)-3),"")</f>
        <v>145.344591194969</v>
      </c>
      <c r="AG133" s="111" t="n">
        <f aca="false">IFERROR('Price History'!L3+(INDEX('Price History'!L:L,MATCH(9.99E+307,'Price History'!$A:$A))-'Price History'!L3)*(ROW()-3)/(MATCH(9.99E+307,'Returns (Calc)'!$A:$A)-3),"")</f>
        <v>367.459182389937</v>
      </c>
      <c r="AH133" s="111" t="n">
        <f aca="false">IFERROR('Price History'!M3+(INDEX('Price History'!M:M,MATCH(9.99E+307,'Price History'!$A:$A))-'Price History'!M3)*(ROW()-3)/(MATCH(9.99E+307,'Returns (Calc)'!$A:$A)-3),"")</f>
        <v>235.476037735849</v>
      </c>
      <c r="AI133" s="111" t="n">
        <f aca="false">IFERROR('Price History'!N3+(INDEX('Price History'!N:N,MATCH(9.99E+307,'Price History'!$A:$A))-'Price History'!N3)*(ROW()-3)/(MATCH(9.99E+307,'Returns (Calc)'!$A:$A)-3),"")</f>
        <v>510.324150943396</v>
      </c>
      <c r="AJ133" s="111" t="n">
        <f aca="false">IFERROR('Price History'!O3+(INDEX('Price History'!O:O,MATCH(9.99E+307,'Price History'!$A:$A))-'Price History'!O3)*(ROW()-3)/(MATCH(9.99E+307,'Returns (Calc)'!$A:$A)-3),"")</f>
        <v>118.890251572327</v>
      </c>
      <c r="AK133" s="111" t="n">
        <f aca="false">IFERROR('Price History'!Q3+(INDEX('Price History'!Q:Q,MATCH(9.99E+307,'Price History'!$A:$A))-'Price History'!Q3)*(ROW()-3)/(MATCH(9.99E+307,'Returns (Calc)'!$A:$A)-3),"")</f>
        <v>66.0940880503145</v>
      </c>
      <c r="AL133" s="111" t="n">
        <f aca="false">IFERROR('Price History'!R3+(INDEX('Price History'!R:R,MATCH(9.99E+307,'Price History'!$A:$A))-'Price History'!R3)*(ROW()-3)/(MATCH(9.99E+307,'Returns (Calc)'!$A:$A)-3),"")</f>
        <v>57.6722012578616</v>
      </c>
      <c r="AM133" s="111" t="n">
        <f aca="false">IFERROR('Price History'!S3+(INDEX('Price History'!S:S,MATCH(9.99E+307,'Price History'!$A:$A))-'Price History'!S3)*(ROW()-3)/(MATCH(9.99E+307,'Returns (Calc)'!$A:$A)-3),"")</f>
        <v>133.089685534591</v>
      </c>
      <c r="AN133" s="111" t="n">
        <f aca="false">IFERROR('Price History'!T3+(INDEX('Price History'!T:T,MATCH(9.99E+307,'Price History'!$A:$A))-'Price History'!T3)*(ROW()-3)/(MATCH(9.99E+307,'Returns (Calc)'!$A:$A)-3),"")</f>
        <v>50.1137735849057</v>
      </c>
      <c r="AO133" s="112" t="n">
        <f aca="false">IFERROR('Price History'!V3+(INDEX('Price History'!V:V,MATCH(9.99E+307,'Price History'!$A:$A))-'Price History'!V3)*(ROW()-3)/(MATCH(9.99E+307,'Returns (Calc)'!$A:$A)-3),"")</f>
        <v>306.661006289308</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V134" s="110" t="n">
        <f aca="false">IFERROR(IF(OR(NOT(ISNUMBER('Price History'!V135)),NOT(ISNUMBER('Price History'!V134)),'Price History'!V134=0),"",'Price History'!V135/'Price History'!V134-1),"")</f>
        <v>0.0218635128655904</v>
      </c>
      <c r="W134" s="111" t="n">
        <f aca="false">IFERROR('Price History'!B3+(INDEX('Price History'!B:B,MATCH(9.99E+307,'Price History'!$A:$A))-'Price History'!B3)*(ROW()-3)/(MATCH(9.99E+307,'Returns (Calc)'!$A:$A)-3),"")</f>
        <v>309.115786163522</v>
      </c>
      <c r="X134" s="111" t="n">
        <f aca="false">IFERROR('Price History'!C3+(INDEX('Price History'!C:C,MATCH(9.99E+307,'Price History'!$A:$A))-'Price History'!C3)*(ROW()-3)/(MATCH(9.99E+307,'Returns (Calc)'!$A:$A)-3),"")</f>
        <v>167.35786163522</v>
      </c>
      <c r="Y134" s="111" t="n">
        <f aca="false">IFERROR('Price History'!D3+(INDEX('Price History'!D:D,MATCH(9.99E+307,'Price History'!$A:$A))-'Price History'!D3)*(ROW()-3)/(MATCH(9.99E+307,'Returns (Calc)'!$A:$A)-3),"")</f>
        <v>1529.42842767296</v>
      </c>
      <c r="Z134" s="111" t="n">
        <f aca="false">IFERROR('Price History'!E3+(INDEX('Price History'!E:E,MATCH(9.99E+307,'Price History'!$A:$A))-'Price History'!E3)*(ROW()-3)/(MATCH(9.99E+307,'Returns (Calc)'!$A:$A)-3),"")</f>
        <v>309.48641509434</v>
      </c>
      <c r="AA134" s="111" t="n">
        <f aca="false">IFERROR('Price History'!F3+(INDEX('Price History'!F:F,MATCH(9.99E+307,'Price History'!$A:$A))-'Price History'!F3)*(ROW()-3)/(MATCH(9.99E+307,'Returns (Calc)'!$A:$A)-3),"")</f>
        <v>182.099245283019</v>
      </c>
      <c r="AB134" s="111" t="n">
        <f aca="false">IFERROR('Price History'!G3+(INDEX('Price History'!G:G,MATCH(9.99E+307,'Price History'!$A:$A))-'Price History'!G3)*(ROW()-3)/(MATCH(9.99E+307,'Returns (Calc)'!$A:$A)-3),"")</f>
        <v>161.350943396226</v>
      </c>
      <c r="AC134" s="111" t="n">
        <f aca="false">IFERROR('Price History'!H3+(INDEX('Price History'!H:H,MATCH(9.99E+307,'Price History'!$A:$A))-'Price History'!H3)*(ROW()-3)/(MATCH(9.99E+307,'Returns (Calc)'!$A:$A)-3),"")</f>
        <v>848.903459119497</v>
      </c>
      <c r="AD134" s="111" t="n">
        <f aca="false">IFERROR('Price History'!I3+(INDEX('Price History'!I:I,MATCH(9.99E+307,'Price History'!$A:$A))-'Price History'!I3)*(ROW()-3)/(MATCH(9.99E+307,'Returns (Calc)'!$A:$A)-3),"")</f>
        <v>196.987169811321</v>
      </c>
      <c r="AE134" s="111" t="n">
        <f aca="false">IFERROR('Price History'!J3+(INDEX('Price History'!J:J,MATCH(9.99E+307,'Price History'!$A:$A))-'Price History'!J3)*(ROW()-3)/(MATCH(9.99E+307,'Returns (Calc)'!$A:$A)-3),"")</f>
        <v>134.904528301887</v>
      </c>
      <c r="AF134" s="111" t="n">
        <f aca="false">IFERROR('Price History'!K3+(INDEX('Price History'!K:K,MATCH(9.99E+307,'Price History'!$A:$A))-'Price History'!K3)*(ROW()-3)/(MATCH(9.99E+307,'Returns (Calc)'!$A:$A)-3),"")</f>
        <v>146.344088050314</v>
      </c>
      <c r="AG134" s="111" t="n">
        <f aca="false">IFERROR('Price History'!L3+(INDEX('Price History'!L:L,MATCH(9.99E+307,'Price History'!$A:$A))-'Price History'!L3)*(ROW()-3)/(MATCH(9.99E+307,'Returns (Calc)'!$A:$A)-3),"")</f>
        <v>369.578176100629</v>
      </c>
      <c r="AH134" s="111" t="n">
        <f aca="false">IFERROR('Price History'!M3+(INDEX('Price History'!M:M,MATCH(9.99E+307,'Price History'!$A:$A))-'Price History'!M3)*(ROW()-3)/(MATCH(9.99E+307,'Returns (Calc)'!$A:$A)-3),"")</f>
        <v>237.029622641509</v>
      </c>
      <c r="AI134" s="111" t="n">
        <f aca="false">IFERROR('Price History'!N3+(INDEX('Price History'!N:N,MATCH(9.99E+307,'Price History'!$A:$A))-'Price History'!N3)*(ROW()-3)/(MATCH(9.99E+307,'Returns (Calc)'!$A:$A)-3),"")</f>
        <v>511.558490566038</v>
      </c>
      <c r="AJ134" s="111" t="n">
        <f aca="false">IFERROR('Price History'!O3+(INDEX('Price History'!O:O,MATCH(9.99E+307,'Price History'!$A:$A))-'Price History'!O3)*(ROW()-3)/(MATCH(9.99E+307,'Returns (Calc)'!$A:$A)-3),"")</f>
        <v>119.16748427673</v>
      </c>
      <c r="AK134" s="111" t="n">
        <f aca="false">IFERROR('Price History'!Q3+(INDEX('Price History'!Q:Q,MATCH(9.99E+307,'Price History'!$A:$A))-'Price History'!Q3)*(ROW()-3)/(MATCH(9.99E+307,'Returns (Calc)'!$A:$A)-3),"")</f>
        <v>66.2191194968553</v>
      </c>
      <c r="AL134" s="111" t="n">
        <f aca="false">IFERROR('Price History'!R3+(INDEX('Price History'!R:R,MATCH(9.99E+307,'Price History'!$A:$A))-'Price History'!R3)*(ROW()-3)/(MATCH(9.99E+307,'Returns (Calc)'!$A:$A)-3),"")</f>
        <v>57.7479874213837</v>
      </c>
      <c r="AM134" s="111" t="n">
        <f aca="false">IFERROR('Price History'!S3+(INDEX('Price History'!S:S,MATCH(9.99E+307,'Price History'!$A:$A))-'Price History'!S3)*(ROW()-3)/(MATCH(9.99E+307,'Returns (Calc)'!$A:$A)-3),"")</f>
        <v>133.663144654088</v>
      </c>
      <c r="AN134" s="111" t="n">
        <f aca="false">IFERROR('Price History'!T3+(INDEX('Price History'!T:T,MATCH(9.99E+307,'Price History'!$A:$A))-'Price History'!T3)*(ROW()-3)/(MATCH(9.99E+307,'Returns (Calc)'!$A:$A)-3),"")</f>
        <v>50.2922641509434</v>
      </c>
      <c r="AO134" s="112" t="n">
        <f aca="false">IFERROR('Price History'!V3+(INDEX('Price History'!V:V,MATCH(9.99E+307,'Price History'!$A:$A))-'Price History'!V3)*(ROW()-3)/(MATCH(9.99E+307,'Returns (Calc)'!$A:$A)-3),"")</f>
        <v>309.019937106918</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V135" s="110" t="n">
        <f aca="false">IFERROR(IF(OR(NOT(ISNUMBER('Price History'!V136)),NOT(ISNUMBER('Price History'!V135)),'Price History'!V135=0),"",'Price History'!V136/'Price History'!V135-1),"")</f>
        <v>-0.00250242422346647</v>
      </c>
      <c r="W135" s="111" t="n">
        <f aca="false">IFERROR('Price History'!B3+(INDEX('Price History'!B:B,MATCH(9.99E+307,'Price History'!$A:$A))-'Price History'!B3)*(ROW()-3)/(MATCH(9.99E+307,'Returns (Calc)'!$A:$A)-3),"")</f>
        <v>307.594150943396</v>
      </c>
      <c r="X135" s="111" t="n">
        <f aca="false">IFERROR('Price History'!C3+(INDEX('Price History'!C:C,MATCH(9.99E+307,'Price History'!$A:$A))-'Price History'!C3)*(ROW()-3)/(MATCH(9.99E+307,'Returns (Calc)'!$A:$A)-3),"")</f>
        <v>168.301509433962</v>
      </c>
      <c r="Y135" s="111" t="n">
        <f aca="false">IFERROR('Price History'!D3+(INDEX('Price History'!D:D,MATCH(9.99E+307,'Price History'!$A:$A))-'Price History'!D3)*(ROW()-3)/(MATCH(9.99E+307,'Returns (Calc)'!$A:$A)-3),"")</f>
        <v>1536.05169811321</v>
      </c>
      <c r="Z135" s="111" t="n">
        <f aca="false">IFERROR('Price History'!E3+(INDEX('Price History'!E:E,MATCH(9.99E+307,'Price History'!$A:$A))-'Price History'!E3)*(ROW()-3)/(MATCH(9.99E+307,'Returns (Calc)'!$A:$A)-3),"")</f>
        <v>311.215471698113</v>
      </c>
      <c r="AA135" s="111" t="n">
        <f aca="false">IFERROR('Price History'!F3+(INDEX('Price History'!F:F,MATCH(9.99E+307,'Price History'!$A:$A))-'Price History'!F3)*(ROW()-3)/(MATCH(9.99E+307,'Returns (Calc)'!$A:$A)-3),"")</f>
        <v>183.20641509434</v>
      </c>
      <c r="AB135" s="111" t="n">
        <f aca="false">IFERROR('Price History'!G3+(INDEX('Price History'!G:G,MATCH(9.99E+307,'Price History'!$A:$A))-'Price History'!G3)*(ROW()-3)/(MATCH(9.99E+307,'Returns (Calc)'!$A:$A)-3),"")</f>
        <v>162.216981132075</v>
      </c>
      <c r="AC135" s="111" t="n">
        <f aca="false">IFERROR('Price History'!H3+(INDEX('Price History'!H:H,MATCH(9.99E+307,'Price History'!$A:$A))-'Price History'!H3)*(ROW()-3)/(MATCH(9.99E+307,'Returns (Calc)'!$A:$A)-3),"")</f>
        <v>854.892264150943</v>
      </c>
      <c r="AD135" s="111" t="n">
        <f aca="false">IFERROR('Price History'!I3+(INDEX('Price History'!I:I,MATCH(9.99E+307,'Price History'!$A:$A))-'Price History'!I3)*(ROW()-3)/(MATCH(9.99E+307,'Returns (Calc)'!$A:$A)-3),"")</f>
        <v>198.179056603774</v>
      </c>
      <c r="AE135" s="111" t="n">
        <f aca="false">IFERROR('Price History'!J3+(INDEX('Price History'!J:J,MATCH(9.99E+307,'Price History'!$A:$A))-'Price History'!J3)*(ROW()-3)/(MATCH(9.99E+307,'Returns (Calc)'!$A:$A)-3),"")</f>
        <v>134.991509433962</v>
      </c>
      <c r="AF135" s="111" t="n">
        <f aca="false">IFERROR('Price History'!K3+(INDEX('Price History'!K:K,MATCH(9.99E+307,'Price History'!$A:$A))-'Price History'!K3)*(ROW()-3)/(MATCH(9.99E+307,'Returns (Calc)'!$A:$A)-3),"")</f>
        <v>147.34358490566</v>
      </c>
      <c r="AG135" s="111" t="n">
        <f aca="false">IFERROR('Price History'!L3+(INDEX('Price History'!L:L,MATCH(9.99E+307,'Price History'!$A:$A))-'Price History'!L3)*(ROW()-3)/(MATCH(9.99E+307,'Returns (Calc)'!$A:$A)-3),"")</f>
        <v>371.697169811321</v>
      </c>
      <c r="AH135" s="111" t="n">
        <f aca="false">IFERROR('Price History'!M3+(INDEX('Price History'!M:M,MATCH(9.99E+307,'Price History'!$A:$A))-'Price History'!M3)*(ROW()-3)/(MATCH(9.99E+307,'Returns (Calc)'!$A:$A)-3),"")</f>
        <v>238.58320754717</v>
      </c>
      <c r="AI135" s="111" t="n">
        <f aca="false">IFERROR('Price History'!N3+(INDEX('Price History'!N:N,MATCH(9.99E+307,'Price History'!$A:$A))-'Price History'!N3)*(ROW()-3)/(MATCH(9.99E+307,'Returns (Calc)'!$A:$A)-3),"")</f>
        <v>512.792830188679</v>
      </c>
      <c r="AJ135" s="111" t="n">
        <f aca="false">IFERROR('Price History'!O3+(INDEX('Price History'!O:O,MATCH(9.99E+307,'Price History'!$A:$A))-'Price History'!O3)*(ROW()-3)/(MATCH(9.99E+307,'Returns (Calc)'!$A:$A)-3),"")</f>
        <v>119.444716981132</v>
      </c>
      <c r="AK135" s="111" t="n">
        <f aca="false">IFERROR('Price History'!Q3+(INDEX('Price History'!Q:Q,MATCH(9.99E+307,'Price History'!$A:$A))-'Price History'!Q3)*(ROW()-3)/(MATCH(9.99E+307,'Returns (Calc)'!$A:$A)-3),"")</f>
        <v>66.3441509433962</v>
      </c>
      <c r="AL135" s="111" t="n">
        <f aca="false">IFERROR('Price History'!R3+(INDEX('Price History'!R:R,MATCH(9.99E+307,'Price History'!$A:$A))-'Price History'!R3)*(ROW()-3)/(MATCH(9.99E+307,'Returns (Calc)'!$A:$A)-3),"")</f>
        <v>57.8237735849057</v>
      </c>
      <c r="AM135" s="111" t="n">
        <f aca="false">IFERROR('Price History'!S3+(INDEX('Price History'!S:S,MATCH(9.99E+307,'Price History'!$A:$A))-'Price History'!S3)*(ROW()-3)/(MATCH(9.99E+307,'Returns (Calc)'!$A:$A)-3),"")</f>
        <v>134.236603773585</v>
      </c>
      <c r="AN135" s="111" t="n">
        <f aca="false">IFERROR('Price History'!T3+(INDEX('Price History'!T:T,MATCH(9.99E+307,'Price History'!$A:$A))-'Price History'!T3)*(ROW()-3)/(MATCH(9.99E+307,'Returns (Calc)'!$A:$A)-3),"")</f>
        <v>50.4707547169811</v>
      </c>
      <c r="AO135" s="112" t="n">
        <f aca="false">IFERROR('Price History'!V3+(INDEX('Price History'!V:V,MATCH(9.99E+307,'Price History'!$A:$A))-'Price History'!V3)*(ROW()-3)/(MATCH(9.99E+307,'Returns (Calc)'!$A:$A)-3),"")</f>
        <v>311.378867924528</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V136" s="110" t="n">
        <f aca="false">IFERROR(IF(OR(NOT(ISNUMBER('Price History'!V137)),NOT(ISNUMBER('Price History'!V136)),'Price History'!V136=0),"",'Price History'!V137/'Price History'!V136-1),"")</f>
        <v>-0.00868638088369023</v>
      </c>
      <c r="W136" s="111" t="n">
        <f aca="false">IFERROR('Price History'!B3+(INDEX('Price History'!B:B,MATCH(9.99E+307,'Price History'!$A:$A))-'Price History'!B3)*(ROW()-3)/(MATCH(9.99E+307,'Returns (Calc)'!$A:$A)-3),"")</f>
        <v>306.07251572327</v>
      </c>
      <c r="X136" s="111" t="n">
        <f aca="false">IFERROR('Price History'!C3+(INDEX('Price History'!C:C,MATCH(9.99E+307,'Price History'!$A:$A))-'Price History'!C3)*(ROW()-3)/(MATCH(9.99E+307,'Returns (Calc)'!$A:$A)-3),"")</f>
        <v>169.245157232704</v>
      </c>
      <c r="Y136" s="111" t="n">
        <f aca="false">IFERROR('Price History'!D3+(INDEX('Price History'!D:D,MATCH(9.99E+307,'Price History'!$A:$A))-'Price History'!D3)*(ROW()-3)/(MATCH(9.99E+307,'Returns (Calc)'!$A:$A)-3),"")</f>
        <v>1542.67496855346</v>
      </c>
      <c r="Z136" s="111" t="n">
        <f aca="false">IFERROR('Price History'!E3+(INDEX('Price History'!E:E,MATCH(9.99E+307,'Price History'!$A:$A))-'Price History'!E3)*(ROW()-3)/(MATCH(9.99E+307,'Returns (Calc)'!$A:$A)-3),"")</f>
        <v>312.944528301887</v>
      </c>
      <c r="AA136" s="111" t="n">
        <f aca="false">IFERROR('Price History'!F3+(INDEX('Price History'!F:F,MATCH(9.99E+307,'Price History'!$A:$A))-'Price History'!F3)*(ROW()-3)/(MATCH(9.99E+307,'Returns (Calc)'!$A:$A)-3),"")</f>
        <v>184.31358490566</v>
      </c>
      <c r="AB136" s="111" t="n">
        <f aca="false">IFERROR('Price History'!G3+(INDEX('Price History'!G:G,MATCH(9.99E+307,'Price History'!$A:$A))-'Price History'!G3)*(ROW()-3)/(MATCH(9.99E+307,'Returns (Calc)'!$A:$A)-3),"")</f>
        <v>163.083018867925</v>
      </c>
      <c r="AC136" s="111" t="n">
        <f aca="false">IFERROR('Price History'!H3+(INDEX('Price History'!H:H,MATCH(9.99E+307,'Price History'!$A:$A))-'Price History'!H3)*(ROW()-3)/(MATCH(9.99E+307,'Returns (Calc)'!$A:$A)-3),"")</f>
        <v>860.88106918239</v>
      </c>
      <c r="AD136" s="111" t="n">
        <f aca="false">IFERROR('Price History'!I3+(INDEX('Price History'!I:I,MATCH(9.99E+307,'Price History'!$A:$A))-'Price History'!I3)*(ROW()-3)/(MATCH(9.99E+307,'Returns (Calc)'!$A:$A)-3),"")</f>
        <v>199.370943396226</v>
      </c>
      <c r="AE136" s="111" t="n">
        <f aca="false">IFERROR('Price History'!J3+(INDEX('Price History'!J:J,MATCH(9.99E+307,'Price History'!$A:$A))-'Price History'!J3)*(ROW()-3)/(MATCH(9.99E+307,'Returns (Calc)'!$A:$A)-3),"")</f>
        <v>135.078490566038</v>
      </c>
      <c r="AF136" s="111" t="n">
        <f aca="false">IFERROR('Price History'!K3+(INDEX('Price History'!K:K,MATCH(9.99E+307,'Price History'!$A:$A))-'Price History'!K3)*(ROW()-3)/(MATCH(9.99E+307,'Returns (Calc)'!$A:$A)-3),"")</f>
        <v>148.343081761006</v>
      </c>
      <c r="AG136" s="111" t="n">
        <f aca="false">IFERROR('Price History'!L3+(INDEX('Price History'!L:L,MATCH(9.99E+307,'Price History'!$A:$A))-'Price History'!L3)*(ROW()-3)/(MATCH(9.99E+307,'Returns (Calc)'!$A:$A)-3),"")</f>
        <v>373.816163522013</v>
      </c>
      <c r="AH136" s="111" t="n">
        <f aca="false">IFERROR('Price History'!M3+(INDEX('Price History'!M:M,MATCH(9.99E+307,'Price History'!$A:$A))-'Price History'!M3)*(ROW()-3)/(MATCH(9.99E+307,'Returns (Calc)'!$A:$A)-3),"")</f>
        <v>240.13679245283</v>
      </c>
      <c r="AI136" s="111" t="n">
        <f aca="false">IFERROR('Price History'!N3+(INDEX('Price History'!N:N,MATCH(9.99E+307,'Price History'!$A:$A))-'Price History'!N3)*(ROW()-3)/(MATCH(9.99E+307,'Returns (Calc)'!$A:$A)-3),"")</f>
        <v>514.027169811321</v>
      </c>
      <c r="AJ136" s="111" t="n">
        <f aca="false">IFERROR('Price History'!O3+(INDEX('Price History'!O:O,MATCH(9.99E+307,'Price History'!$A:$A))-'Price History'!O3)*(ROW()-3)/(MATCH(9.99E+307,'Returns (Calc)'!$A:$A)-3),"")</f>
        <v>119.721949685535</v>
      </c>
      <c r="AK136" s="111" t="n">
        <f aca="false">IFERROR('Price History'!Q3+(INDEX('Price History'!Q:Q,MATCH(9.99E+307,'Price History'!$A:$A))-'Price History'!Q3)*(ROW()-3)/(MATCH(9.99E+307,'Returns (Calc)'!$A:$A)-3),"")</f>
        <v>66.4691823899371</v>
      </c>
      <c r="AL136" s="111" t="n">
        <f aca="false">IFERROR('Price History'!R3+(INDEX('Price History'!R:R,MATCH(9.99E+307,'Price History'!$A:$A))-'Price History'!R3)*(ROW()-3)/(MATCH(9.99E+307,'Returns (Calc)'!$A:$A)-3),"")</f>
        <v>57.8995597484277</v>
      </c>
      <c r="AM136" s="111" t="n">
        <f aca="false">IFERROR('Price History'!S3+(INDEX('Price History'!S:S,MATCH(9.99E+307,'Price History'!$A:$A))-'Price History'!S3)*(ROW()-3)/(MATCH(9.99E+307,'Returns (Calc)'!$A:$A)-3),"")</f>
        <v>134.810062893082</v>
      </c>
      <c r="AN136" s="111" t="n">
        <f aca="false">IFERROR('Price History'!T3+(INDEX('Price History'!T:T,MATCH(9.99E+307,'Price History'!$A:$A))-'Price History'!T3)*(ROW()-3)/(MATCH(9.99E+307,'Returns (Calc)'!$A:$A)-3),"")</f>
        <v>50.6492452830189</v>
      </c>
      <c r="AO136" s="112" t="n">
        <f aca="false">IFERROR('Price History'!V3+(INDEX('Price History'!V:V,MATCH(9.99E+307,'Price History'!$A:$A))-'Price History'!V3)*(ROW()-3)/(MATCH(9.99E+307,'Returns (Calc)'!$A:$A)-3),"")</f>
        <v>313.737798742138</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V137" s="110" t="n">
        <f aca="false">IFERROR(IF(OR(NOT(ISNUMBER('Price History'!V138)),NOT(ISNUMBER('Price History'!V137)),'Price History'!V137=0),"",'Price History'!V138/'Price History'!V137-1),"")</f>
        <v>-0.0322029609009237</v>
      </c>
      <c r="W137" s="111" t="n">
        <f aca="false">IFERROR('Price History'!B3+(INDEX('Price History'!B:B,MATCH(9.99E+307,'Price History'!$A:$A))-'Price History'!B3)*(ROW()-3)/(MATCH(9.99E+307,'Returns (Calc)'!$A:$A)-3),"")</f>
        <v>304.550880503145</v>
      </c>
      <c r="X137" s="111" t="n">
        <f aca="false">IFERROR('Price History'!C3+(INDEX('Price History'!C:C,MATCH(9.99E+307,'Price History'!$A:$A))-'Price History'!C3)*(ROW()-3)/(MATCH(9.99E+307,'Returns (Calc)'!$A:$A)-3),"")</f>
        <v>170.188805031447</v>
      </c>
      <c r="Y137" s="111" t="n">
        <f aca="false">IFERROR('Price History'!D3+(INDEX('Price History'!D:D,MATCH(9.99E+307,'Price History'!$A:$A))-'Price History'!D3)*(ROW()-3)/(MATCH(9.99E+307,'Returns (Calc)'!$A:$A)-3),"")</f>
        <v>1549.29823899371</v>
      </c>
      <c r="Z137" s="111" t="n">
        <f aca="false">IFERROR('Price History'!E3+(INDEX('Price History'!E:E,MATCH(9.99E+307,'Price History'!$A:$A))-'Price History'!E3)*(ROW()-3)/(MATCH(9.99E+307,'Returns (Calc)'!$A:$A)-3),"")</f>
        <v>314.67358490566</v>
      </c>
      <c r="AA137" s="111" t="n">
        <f aca="false">IFERROR('Price History'!F3+(INDEX('Price History'!F:F,MATCH(9.99E+307,'Price History'!$A:$A))-'Price History'!F3)*(ROW()-3)/(MATCH(9.99E+307,'Returns (Calc)'!$A:$A)-3),"")</f>
        <v>185.420754716981</v>
      </c>
      <c r="AB137" s="111" t="n">
        <f aca="false">IFERROR('Price History'!G3+(INDEX('Price History'!G:G,MATCH(9.99E+307,'Price History'!$A:$A))-'Price History'!G3)*(ROW()-3)/(MATCH(9.99E+307,'Returns (Calc)'!$A:$A)-3),"")</f>
        <v>163.949056603774</v>
      </c>
      <c r="AC137" s="111" t="n">
        <f aca="false">IFERROR('Price History'!H3+(INDEX('Price History'!H:H,MATCH(9.99E+307,'Price History'!$A:$A))-'Price History'!H3)*(ROW()-3)/(MATCH(9.99E+307,'Returns (Calc)'!$A:$A)-3),"")</f>
        <v>866.869874213837</v>
      </c>
      <c r="AD137" s="111" t="n">
        <f aca="false">IFERROR('Price History'!I3+(INDEX('Price History'!I:I,MATCH(9.99E+307,'Price History'!$A:$A))-'Price History'!I3)*(ROW()-3)/(MATCH(9.99E+307,'Returns (Calc)'!$A:$A)-3),"")</f>
        <v>200.562830188679</v>
      </c>
      <c r="AE137" s="111" t="n">
        <f aca="false">IFERROR('Price History'!J3+(INDEX('Price History'!J:J,MATCH(9.99E+307,'Price History'!$A:$A))-'Price History'!J3)*(ROW()-3)/(MATCH(9.99E+307,'Returns (Calc)'!$A:$A)-3),"")</f>
        <v>135.165471698113</v>
      </c>
      <c r="AF137" s="111" t="n">
        <f aca="false">IFERROR('Price History'!K3+(INDEX('Price History'!K:K,MATCH(9.99E+307,'Price History'!$A:$A))-'Price History'!K3)*(ROW()-3)/(MATCH(9.99E+307,'Returns (Calc)'!$A:$A)-3),"")</f>
        <v>149.342578616352</v>
      </c>
      <c r="AG137" s="111" t="n">
        <f aca="false">IFERROR('Price History'!L3+(INDEX('Price History'!L:L,MATCH(9.99E+307,'Price History'!$A:$A))-'Price History'!L3)*(ROW()-3)/(MATCH(9.99E+307,'Returns (Calc)'!$A:$A)-3),"")</f>
        <v>375.935157232704</v>
      </c>
      <c r="AH137" s="111" t="n">
        <f aca="false">IFERROR('Price History'!M3+(INDEX('Price History'!M:M,MATCH(9.99E+307,'Price History'!$A:$A))-'Price History'!M3)*(ROW()-3)/(MATCH(9.99E+307,'Returns (Calc)'!$A:$A)-3),"")</f>
        <v>241.690377358491</v>
      </c>
      <c r="AI137" s="111" t="n">
        <f aca="false">IFERROR('Price History'!N3+(INDEX('Price History'!N:N,MATCH(9.99E+307,'Price History'!$A:$A))-'Price History'!N3)*(ROW()-3)/(MATCH(9.99E+307,'Returns (Calc)'!$A:$A)-3),"")</f>
        <v>515.261509433962</v>
      </c>
      <c r="AJ137" s="111" t="n">
        <f aca="false">IFERROR('Price History'!O3+(INDEX('Price History'!O:O,MATCH(9.99E+307,'Price History'!$A:$A))-'Price History'!O3)*(ROW()-3)/(MATCH(9.99E+307,'Returns (Calc)'!$A:$A)-3),"")</f>
        <v>119.999182389937</v>
      </c>
      <c r="AK137" s="111" t="n">
        <f aca="false">IFERROR('Price History'!Q3+(INDEX('Price History'!Q:Q,MATCH(9.99E+307,'Price History'!$A:$A))-'Price History'!Q3)*(ROW()-3)/(MATCH(9.99E+307,'Returns (Calc)'!$A:$A)-3),"")</f>
        <v>66.594213836478</v>
      </c>
      <c r="AL137" s="111" t="n">
        <f aca="false">IFERROR('Price History'!R3+(INDEX('Price History'!R:R,MATCH(9.99E+307,'Price History'!$A:$A))-'Price History'!R3)*(ROW()-3)/(MATCH(9.99E+307,'Returns (Calc)'!$A:$A)-3),"")</f>
        <v>57.9753459119497</v>
      </c>
      <c r="AM137" s="111" t="n">
        <f aca="false">IFERROR('Price History'!S3+(INDEX('Price History'!S:S,MATCH(9.99E+307,'Price History'!$A:$A))-'Price History'!S3)*(ROW()-3)/(MATCH(9.99E+307,'Returns (Calc)'!$A:$A)-3),"")</f>
        <v>135.383522012579</v>
      </c>
      <c r="AN137" s="111" t="n">
        <f aca="false">IFERROR('Price History'!T3+(INDEX('Price History'!T:T,MATCH(9.99E+307,'Price History'!$A:$A))-'Price History'!T3)*(ROW()-3)/(MATCH(9.99E+307,'Returns (Calc)'!$A:$A)-3),"")</f>
        <v>50.8277358490566</v>
      </c>
      <c r="AO137" s="112" t="n">
        <f aca="false">IFERROR('Price History'!V3+(INDEX('Price History'!V:V,MATCH(9.99E+307,'Price History'!$A:$A))-'Price History'!V3)*(ROW()-3)/(MATCH(9.99E+307,'Returns (Calc)'!$A:$A)-3),"")</f>
        <v>316.096729559748</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V138" s="110" t="n">
        <f aca="false">IFERROR(IF(OR(NOT(ISNUMBER('Price History'!V139)),NOT(ISNUMBER('Price History'!V138)),'Price History'!V138=0),"",'Price History'!V139/'Price History'!V138-1),"")</f>
        <v>-0.0179773811858535</v>
      </c>
      <c r="W138" s="111" t="n">
        <f aca="false">IFERROR('Price History'!B3+(INDEX('Price History'!B:B,MATCH(9.99E+307,'Price History'!$A:$A))-'Price History'!B3)*(ROW()-3)/(MATCH(9.99E+307,'Returns (Calc)'!$A:$A)-3),"")</f>
        <v>303.029245283019</v>
      </c>
      <c r="X138" s="111" t="n">
        <f aca="false">IFERROR('Price History'!C3+(INDEX('Price History'!C:C,MATCH(9.99E+307,'Price History'!$A:$A))-'Price History'!C3)*(ROW()-3)/(MATCH(9.99E+307,'Returns (Calc)'!$A:$A)-3),"")</f>
        <v>171.132452830189</v>
      </c>
      <c r="Y138" s="111" t="n">
        <f aca="false">IFERROR('Price History'!D3+(INDEX('Price History'!D:D,MATCH(9.99E+307,'Price History'!$A:$A))-'Price History'!D3)*(ROW()-3)/(MATCH(9.99E+307,'Returns (Calc)'!$A:$A)-3),"")</f>
        <v>1555.92150943396</v>
      </c>
      <c r="Z138" s="111" t="n">
        <f aca="false">IFERROR('Price History'!E3+(INDEX('Price History'!E:E,MATCH(9.99E+307,'Price History'!$A:$A))-'Price History'!E3)*(ROW()-3)/(MATCH(9.99E+307,'Returns (Calc)'!$A:$A)-3),"")</f>
        <v>316.402641509434</v>
      </c>
      <c r="AA138" s="111" t="n">
        <f aca="false">IFERROR('Price History'!F3+(INDEX('Price History'!F:F,MATCH(9.99E+307,'Price History'!$A:$A))-'Price History'!F3)*(ROW()-3)/(MATCH(9.99E+307,'Returns (Calc)'!$A:$A)-3),"")</f>
        <v>186.527924528302</v>
      </c>
      <c r="AB138" s="111" t="n">
        <f aca="false">IFERROR('Price History'!G3+(INDEX('Price History'!G:G,MATCH(9.99E+307,'Price History'!$A:$A))-'Price History'!G3)*(ROW()-3)/(MATCH(9.99E+307,'Returns (Calc)'!$A:$A)-3),"")</f>
        <v>164.815094339623</v>
      </c>
      <c r="AC138" s="111" t="n">
        <f aca="false">IFERROR('Price History'!H3+(INDEX('Price History'!H:H,MATCH(9.99E+307,'Price History'!$A:$A))-'Price History'!H3)*(ROW()-3)/(MATCH(9.99E+307,'Returns (Calc)'!$A:$A)-3),"")</f>
        <v>872.858679245283</v>
      </c>
      <c r="AD138" s="111" t="n">
        <f aca="false">IFERROR('Price History'!I3+(INDEX('Price History'!I:I,MATCH(9.99E+307,'Price History'!$A:$A))-'Price History'!I3)*(ROW()-3)/(MATCH(9.99E+307,'Returns (Calc)'!$A:$A)-3),"")</f>
        <v>201.754716981132</v>
      </c>
      <c r="AE138" s="111" t="n">
        <f aca="false">IFERROR('Price History'!J3+(INDEX('Price History'!J:J,MATCH(9.99E+307,'Price History'!$A:$A))-'Price History'!J3)*(ROW()-3)/(MATCH(9.99E+307,'Returns (Calc)'!$A:$A)-3),"")</f>
        <v>135.252452830189</v>
      </c>
      <c r="AF138" s="111" t="n">
        <f aca="false">IFERROR('Price History'!K3+(INDEX('Price History'!K:K,MATCH(9.99E+307,'Price History'!$A:$A))-'Price History'!K3)*(ROW()-3)/(MATCH(9.99E+307,'Returns (Calc)'!$A:$A)-3),"")</f>
        <v>150.342075471698</v>
      </c>
      <c r="AG138" s="111" t="n">
        <f aca="false">IFERROR('Price History'!L3+(INDEX('Price History'!L:L,MATCH(9.99E+307,'Price History'!$A:$A))-'Price History'!L3)*(ROW()-3)/(MATCH(9.99E+307,'Returns (Calc)'!$A:$A)-3),"")</f>
        <v>378.054150943396</v>
      </c>
      <c r="AH138" s="111" t="n">
        <f aca="false">IFERROR('Price History'!M3+(INDEX('Price History'!M:M,MATCH(9.99E+307,'Price History'!$A:$A))-'Price History'!M3)*(ROW()-3)/(MATCH(9.99E+307,'Returns (Calc)'!$A:$A)-3),"")</f>
        <v>243.243962264151</v>
      </c>
      <c r="AI138" s="111" t="n">
        <f aca="false">IFERROR('Price History'!N3+(INDEX('Price History'!N:N,MATCH(9.99E+307,'Price History'!$A:$A))-'Price History'!N3)*(ROW()-3)/(MATCH(9.99E+307,'Returns (Calc)'!$A:$A)-3),"")</f>
        <v>516.495849056604</v>
      </c>
      <c r="AJ138" s="111" t="n">
        <f aca="false">IFERROR('Price History'!O3+(INDEX('Price History'!O:O,MATCH(9.99E+307,'Price History'!$A:$A))-'Price History'!O3)*(ROW()-3)/(MATCH(9.99E+307,'Returns (Calc)'!$A:$A)-3),"")</f>
        <v>120.27641509434</v>
      </c>
      <c r="AK138" s="111" t="n">
        <f aca="false">IFERROR('Price History'!Q3+(INDEX('Price History'!Q:Q,MATCH(9.99E+307,'Price History'!$A:$A))-'Price History'!Q3)*(ROW()-3)/(MATCH(9.99E+307,'Returns (Calc)'!$A:$A)-3),"")</f>
        <v>66.7192452830189</v>
      </c>
      <c r="AL138" s="111" t="n">
        <f aca="false">IFERROR('Price History'!R3+(INDEX('Price History'!R:R,MATCH(9.99E+307,'Price History'!$A:$A))-'Price History'!R3)*(ROW()-3)/(MATCH(9.99E+307,'Returns (Calc)'!$A:$A)-3),"")</f>
        <v>58.0511320754717</v>
      </c>
      <c r="AM138" s="111" t="n">
        <f aca="false">IFERROR('Price History'!S3+(INDEX('Price History'!S:S,MATCH(9.99E+307,'Price History'!$A:$A))-'Price History'!S3)*(ROW()-3)/(MATCH(9.99E+307,'Returns (Calc)'!$A:$A)-3),"")</f>
        <v>135.956981132075</v>
      </c>
      <c r="AN138" s="111" t="n">
        <f aca="false">IFERROR('Price History'!T3+(INDEX('Price History'!T:T,MATCH(9.99E+307,'Price History'!$A:$A))-'Price History'!T3)*(ROW()-3)/(MATCH(9.99E+307,'Returns (Calc)'!$A:$A)-3),"")</f>
        <v>51.0062264150943</v>
      </c>
      <c r="AO138" s="112" t="n">
        <f aca="false">IFERROR('Price History'!V3+(INDEX('Price History'!V:V,MATCH(9.99E+307,'Price History'!$A:$A))-'Price History'!V3)*(ROW()-3)/(MATCH(9.99E+307,'Returns (Calc)'!$A:$A)-3),"")</f>
        <v>318.455660377358</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V139" s="110" t="n">
        <f aca="false">IFERROR(IF(OR(NOT(ISNUMBER('Price History'!V140)),NOT(ISNUMBER('Price History'!V139)),'Price History'!V139=0),"",'Price History'!V140/'Price History'!V139-1),"")</f>
        <v>-0.0202369857542271</v>
      </c>
      <c r="W139" s="111" t="n">
        <f aca="false">IFERROR('Price History'!B3+(INDEX('Price History'!B:B,MATCH(9.99E+307,'Price History'!$A:$A))-'Price History'!B3)*(ROW()-3)/(MATCH(9.99E+307,'Returns (Calc)'!$A:$A)-3),"")</f>
        <v>301.507610062893</v>
      </c>
      <c r="X139" s="111" t="n">
        <f aca="false">IFERROR('Price History'!C3+(INDEX('Price History'!C:C,MATCH(9.99E+307,'Price History'!$A:$A))-'Price History'!C3)*(ROW()-3)/(MATCH(9.99E+307,'Returns (Calc)'!$A:$A)-3),"")</f>
        <v>172.076100628931</v>
      </c>
      <c r="Y139" s="111" t="n">
        <f aca="false">IFERROR('Price History'!D3+(INDEX('Price History'!D:D,MATCH(9.99E+307,'Price History'!$A:$A))-'Price History'!D3)*(ROW()-3)/(MATCH(9.99E+307,'Returns (Calc)'!$A:$A)-3),"")</f>
        <v>1562.54477987421</v>
      </c>
      <c r="Z139" s="111" t="n">
        <f aca="false">IFERROR('Price History'!E3+(INDEX('Price History'!E:E,MATCH(9.99E+307,'Price History'!$A:$A))-'Price History'!E3)*(ROW()-3)/(MATCH(9.99E+307,'Returns (Calc)'!$A:$A)-3),"")</f>
        <v>318.131698113208</v>
      </c>
      <c r="AA139" s="111" t="n">
        <f aca="false">IFERROR('Price History'!F3+(INDEX('Price History'!F:F,MATCH(9.99E+307,'Price History'!$A:$A))-'Price History'!F3)*(ROW()-3)/(MATCH(9.99E+307,'Returns (Calc)'!$A:$A)-3),"")</f>
        <v>187.635094339623</v>
      </c>
      <c r="AB139" s="111" t="n">
        <f aca="false">IFERROR('Price History'!G3+(INDEX('Price History'!G:G,MATCH(9.99E+307,'Price History'!$A:$A))-'Price History'!G3)*(ROW()-3)/(MATCH(9.99E+307,'Returns (Calc)'!$A:$A)-3),"")</f>
        <v>165.681132075472</v>
      </c>
      <c r="AC139" s="111" t="n">
        <f aca="false">IFERROR('Price History'!H3+(INDEX('Price History'!H:H,MATCH(9.99E+307,'Price History'!$A:$A))-'Price History'!H3)*(ROW()-3)/(MATCH(9.99E+307,'Returns (Calc)'!$A:$A)-3),"")</f>
        <v>878.84748427673</v>
      </c>
      <c r="AD139" s="111" t="n">
        <f aca="false">IFERROR('Price History'!I3+(INDEX('Price History'!I:I,MATCH(9.99E+307,'Price History'!$A:$A))-'Price History'!I3)*(ROW()-3)/(MATCH(9.99E+307,'Returns (Calc)'!$A:$A)-3),"")</f>
        <v>202.946603773585</v>
      </c>
      <c r="AE139" s="111" t="n">
        <f aca="false">IFERROR('Price History'!J3+(INDEX('Price History'!J:J,MATCH(9.99E+307,'Price History'!$A:$A))-'Price History'!J3)*(ROW()-3)/(MATCH(9.99E+307,'Returns (Calc)'!$A:$A)-3),"")</f>
        <v>135.339433962264</v>
      </c>
      <c r="AF139" s="111" t="n">
        <f aca="false">IFERROR('Price History'!K3+(INDEX('Price History'!K:K,MATCH(9.99E+307,'Price History'!$A:$A))-'Price History'!K3)*(ROW()-3)/(MATCH(9.99E+307,'Returns (Calc)'!$A:$A)-3),"")</f>
        <v>151.341572327044</v>
      </c>
      <c r="AG139" s="111" t="n">
        <f aca="false">IFERROR('Price History'!L3+(INDEX('Price History'!L:L,MATCH(9.99E+307,'Price History'!$A:$A))-'Price History'!L3)*(ROW()-3)/(MATCH(9.99E+307,'Returns (Calc)'!$A:$A)-3),"")</f>
        <v>380.173144654088</v>
      </c>
      <c r="AH139" s="111" t="n">
        <f aca="false">IFERROR('Price History'!M3+(INDEX('Price History'!M:M,MATCH(9.99E+307,'Price History'!$A:$A))-'Price History'!M3)*(ROW()-3)/(MATCH(9.99E+307,'Returns (Calc)'!$A:$A)-3),"")</f>
        <v>244.797547169811</v>
      </c>
      <c r="AI139" s="111" t="n">
        <f aca="false">IFERROR('Price History'!N3+(INDEX('Price History'!N:N,MATCH(9.99E+307,'Price History'!$A:$A))-'Price History'!N3)*(ROW()-3)/(MATCH(9.99E+307,'Returns (Calc)'!$A:$A)-3),"")</f>
        <v>517.730188679245</v>
      </c>
      <c r="AJ139" s="111" t="n">
        <f aca="false">IFERROR('Price History'!O3+(INDEX('Price History'!O:O,MATCH(9.99E+307,'Price History'!$A:$A))-'Price History'!O3)*(ROW()-3)/(MATCH(9.99E+307,'Returns (Calc)'!$A:$A)-3),"")</f>
        <v>120.553647798742</v>
      </c>
      <c r="AK139" s="111" t="n">
        <f aca="false">IFERROR('Price History'!Q3+(INDEX('Price History'!Q:Q,MATCH(9.99E+307,'Price History'!$A:$A))-'Price History'!Q3)*(ROW()-3)/(MATCH(9.99E+307,'Returns (Calc)'!$A:$A)-3),"")</f>
        <v>66.8442767295598</v>
      </c>
      <c r="AL139" s="111" t="n">
        <f aca="false">IFERROR('Price History'!R3+(INDEX('Price History'!R:R,MATCH(9.99E+307,'Price History'!$A:$A))-'Price History'!R3)*(ROW()-3)/(MATCH(9.99E+307,'Returns (Calc)'!$A:$A)-3),"")</f>
        <v>58.1269182389937</v>
      </c>
      <c r="AM139" s="111" t="n">
        <f aca="false">IFERROR('Price History'!S3+(INDEX('Price History'!S:S,MATCH(9.99E+307,'Price History'!$A:$A))-'Price History'!S3)*(ROW()-3)/(MATCH(9.99E+307,'Returns (Calc)'!$A:$A)-3),"")</f>
        <v>136.530440251572</v>
      </c>
      <c r="AN139" s="111" t="n">
        <f aca="false">IFERROR('Price History'!T3+(INDEX('Price History'!T:T,MATCH(9.99E+307,'Price History'!$A:$A))-'Price History'!T3)*(ROW()-3)/(MATCH(9.99E+307,'Returns (Calc)'!$A:$A)-3),"")</f>
        <v>51.1847169811321</v>
      </c>
      <c r="AO139" s="112" t="n">
        <f aca="false">IFERROR('Price History'!V3+(INDEX('Price History'!V:V,MATCH(9.99E+307,'Price History'!$A:$A))-'Price History'!V3)*(ROW()-3)/(MATCH(9.99E+307,'Returns (Calc)'!$A:$A)-3),"")</f>
        <v>320.814591194969</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V140" s="110" t="str">
        <f aca="false">IFERROR(IF(OR(NOT(ISNUMBER('Price History'!V141)),NOT(ISNUMBER('Price History'!V140)),'Price History'!V140=0),"",'Price History'!V141/'Price History'!V140-1),"")</f>
        <v/>
      </c>
      <c r="W140" s="111" t="n">
        <f aca="false">IFERROR('Price History'!B3+(INDEX('Price History'!B:B,MATCH(9.99E+307,'Price History'!$A:$A))-'Price History'!B3)*(ROW()-3)/(MATCH(9.99E+307,'Returns (Calc)'!$A:$A)-3),"")</f>
        <v>299.985974842767</v>
      </c>
      <c r="X140" s="111" t="n">
        <f aca="false">IFERROR('Price History'!C3+(INDEX('Price History'!C:C,MATCH(9.99E+307,'Price History'!$A:$A))-'Price History'!C3)*(ROW()-3)/(MATCH(9.99E+307,'Returns (Calc)'!$A:$A)-3),"")</f>
        <v>173.019748427673</v>
      </c>
      <c r="Y140" s="111" t="n">
        <f aca="false">IFERROR('Price History'!D3+(INDEX('Price History'!D:D,MATCH(9.99E+307,'Price History'!$A:$A))-'Price History'!D3)*(ROW()-3)/(MATCH(9.99E+307,'Returns (Calc)'!$A:$A)-3),"")</f>
        <v>1569.16805031447</v>
      </c>
      <c r="Z140" s="111" t="n">
        <f aca="false">IFERROR('Price History'!E3+(INDEX('Price History'!E:E,MATCH(9.99E+307,'Price History'!$A:$A))-'Price History'!E3)*(ROW()-3)/(MATCH(9.99E+307,'Returns (Calc)'!$A:$A)-3),"")</f>
        <v>319.860754716981</v>
      </c>
      <c r="AA140" s="111" t="n">
        <f aca="false">IFERROR('Price History'!F3+(INDEX('Price History'!F:F,MATCH(9.99E+307,'Price History'!$A:$A))-'Price History'!F3)*(ROW()-3)/(MATCH(9.99E+307,'Returns (Calc)'!$A:$A)-3),"")</f>
        <v>188.742264150943</v>
      </c>
      <c r="AB140" s="111" t="n">
        <f aca="false">IFERROR('Price History'!G3+(INDEX('Price History'!G:G,MATCH(9.99E+307,'Price History'!$A:$A))-'Price History'!G3)*(ROW()-3)/(MATCH(9.99E+307,'Returns (Calc)'!$A:$A)-3),"")</f>
        <v>166.547169811321</v>
      </c>
      <c r="AC140" s="111" t="n">
        <f aca="false">IFERROR('Price History'!H3+(INDEX('Price History'!H:H,MATCH(9.99E+307,'Price History'!$A:$A))-'Price History'!H3)*(ROW()-3)/(MATCH(9.99E+307,'Returns (Calc)'!$A:$A)-3),"")</f>
        <v>884.836289308176</v>
      </c>
      <c r="AD140" s="111" t="n">
        <f aca="false">IFERROR('Price History'!I3+(INDEX('Price History'!I:I,MATCH(9.99E+307,'Price History'!$A:$A))-'Price History'!I3)*(ROW()-3)/(MATCH(9.99E+307,'Returns (Calc)'!$A:$A)-3),"")</f>
        <v>204.138490566038</v>
      </c>
      <c r="AE140" s="111" t="n">
        <f aca="false">IFERROR('Price History'!J3+(INDEX('Price History'!J:J,MATCH(9.99E+307,'Price History'!$A:$A))-'Price History'!J3)*(ROW()-3)/(MATCH(9.99E+307,'Returns (Calc)'!$A:$A)-3),"")</f>
        <v>135.42641509434</v>
      </c>
      <c r="AF140" s="111" t="n">
        <f aca="false">IFERROR('Price History'!K3+(INDEX('Price History'!K:K,MATCH(9.99E+307,'Price History'!$A:$A))-'Price History'!K3)*(ROW()-3)/(MATCH(9.99E+307,'Returns (Calc)'!$A:$A)-3),"")</f>
        <v>152.34106918239</v>
      </c>
      <c r="AG140" s="111" t="n">
        <f aca="false">IFERROR('Price History'!L3+(INDEX('Price History'!L:L,MATCH(9.99E+307,'Price History'!$A:$A))-'Price History'!L3)*(ROW()-3)/(MATCH(9.99E+307,'Returns (Calc)'!$A:$A)-3),"")</f>
        <v>382.29213836478</v>
      </c>
      <c r="AH140" s="111" t="n">
        <f aca="false">IFERROR('Price History'!M3+(INDEX('Price History'!M:M,MATCH(9.99E+307,'Price History'!$A:$A))-'Price History'!M3)*(ROW()-3)/(MATCH(9.99E+307,'Returns (Calc)'!$A:$A)-3),"")</f>
        <v>246.351132075472</v>
      </c>
      <c r="AI140" s="111" t="n">
        <f aca="false">IFERROR('Price History'!N3+(INDEX('Price History'!N:N,MATCH(9.99E+307,'Price History'!$A:$A))-'Price History'!N3)*(ROW()-3)/(MATCH(9.99E+307,'Returns (Calc)'!$A:$A)-3),"")</f>
        <v>518.964528301887</v>
      </c>
      <c r="AJ140" s="111" t="n">
        <f aca="false">IFERROR('Price History'!O3+(INDEX('Price History'!O:O,MATCH(9.99E+307,'Price History'!$A:$A))-'Price History'!O3)*(ROW()-3)/(MATCH(9.99E+307,'Returns (Calc)'!$A:$A)-3),"")</f>
        <v>120.830880503145</v>
      </c>
      <c r="AK140" s="111" t="n">
        <f aca="false">IFERROR('Price History'!Q3+(INDEX('Price History'!Q:Q,MATCH(9.99E+307,'Price History'!$A:$A))-'Price History'!Q3)*(ROW()-3)/(MATCH(9.99E+307,'Returns (Calc)'!$A:$A)-3),"")</f>
        <v>66.9693081761006</v>
      </c>
      <c r="AL140" s="111" t="n">
        <f aca="false">IFERROR('Price History'!R3+(INDEX('Price History'!R:R,MATCH(9.99E+307,'Price History'!$A:$A))-'Price History'!R3)*(ROW()-3)/(MATCH(9.99E+307,'Returns (Calc)'!$A:$A)-3),"")</f>
        <v>58.2027044025157</v>
      </c>
      <c r="AM140" s="111" t="n">
        <f aca="false">IFERROR('Price History'!S3+(INDEX('Price History'!S:S,MATCH(9.99E+307,'Price History'!$A:$A))-'Price History'!S3)*(ROW()-3)/(MATCH(9.99E+307,'Returns (Calc)'!$A:$A)-3),"")</f>
        <v>137.103899371069</v>
      </c>
      <c r="AN140" s="111" t="n">
        <f aca="false">IFERROR('Price History'!T3+(INDEX('Price History'!T:T,MATCH(9.99E+307,'Price History'!$A:$A))-'Price History'!T3)*(ROW()-3)/(MATCH(9.99E+307,'Returns (Calc)'!$A:$A)-3),"")</f>
        <v>51.3632075471698</v>
      </c>
      <c r="AO140" s="112" t="n">
        <f aca="false">IFERROR('Price History'!V3+(INDEX('Price History'!V:V,MATCH(9.99E+307,'Price History'!$A:$A))-'Price History'!V3)*(ROW()-3)/(MATCH(9.99E+307,'Returns (Calc)'!$A:$A)-3),"")</f>
        <v>323.173522012579</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V141" s="110" t="str">
        <f aca="false">IFERROR(IF(OR(NOT(ISNUMBER('Price History'!V142)),NOT(ISNUMBER('Price History'!V141)),'Price History'!V141=0),"",'Price History'!V142/'Price History'!V141-1),"")</f>
        <v/>
      </c>
      <c r="W141" s="111" t="n">
        <f aca="false">IFERROR('Price History'!B3+(INDEX('Price History'!B:B,MATCH(9.99E+307,'Price History'!$A:$A))-'Price History'!B3)*(ROW()-3)/(MATCH(9.99E+307,'Returns (Calc)'!$A:$A)-3),"")</f>
        <v>298.464339622642</v>
      </c>
      <c r="X141" s="111" t="n">
        <f aca="false">IFERROR('Price History'!C3+(INDEX('Price History'!C:C,MATCH(9.99E+307,'Price History'!$A:$A))-'Price History'!C3)*(ROW()-3)/(MATCH(9.99E+307,'Returns (Calc)'!$A:$A)-3),"")</f>
        <v>173.963396226415</v>
      </c>
      <c r="Y141" s="111" t="n">
        <f aca="false">IFERROR('Price History'!D3+(INDEX('Price History'!D:D,MATCH(9.99E+307,'Price History'!$A:$A))-'Price History'!D3)*(ROW()-3)/(MATCH(9.99E+307,'Returns (Calc)'!$A:$A)-3),"")</f>
        <v>1575.79132075472</v>
      </c>
      <c r="Z141" s="111" t="n">
        <f aca="false">IFERROR('Price History'!E3+(INDEX('Price History'!E:E,MATCH(9.99E+307,'Price History'!$A:$A))-'Price History'!E3)*(ROW()-3)/(MATCH(9.99E+307,'Returns (Calc)'!$A:$A)-3),"")</f>
        <v>321.589811320755</v>
      </c>
      <c r="AA141" s="111" t="n">
        <f aca="false">IFERROR('Price History'!F3+(INDEX('Price History'!F:F,MATCH(9.99E+307,'Price History'!$A:$A))-'Price History'!F3)*(ROW()-3)/(MATCH(9.99E+307,'Returns (Calc)'!$A:$A)-3),"")</f>
        <v>189.849433962264</v>
      </c>
      <c r="AB141" s="111" t="n">
        <f aca="false">IFERROR('Price History'!G3+(INDEX('Price History'!G:G,MATCH(9.99E+307,'Price History'!$A:$A))-'Price History'!G3)*(ROW()-3)/(MATCH(9.99E+307,'Returns (Calc)'!$A:$A)-3),"")</f>
        <v>167.41320754717</v>
      </c>
      <c r="AC141" s="111" t="n">
        <f aca="false">IFERROR('Price History'!H3+(INDEX('Price History'!H:H,MATCH(9.99E+307,'Price History'!$A:$A))-'Price History'!H3)*(ROW()-3)/(MATCH(9.99E+307,'Returns (Calc)'!$A:$A)-3),"")</f>
        <v>890.825094339623</v>
      </c>
      <c r="AD141" s="111" t="n">
        <f aca="false">IFERROR('Price History'!I3+(INDEX('Price History'!I:I,MATCH(9.99E+307,'Price History'!$A:$A))-'Price History'!I3)*(ROW()-3)/(MATCH(9.99E+307,'Returns (Calc)'!$A:$A)-3),"")</f>
        <v>205.330377358491</v>
      </c>
      <c r="AE141" s="111" t="n">
        <f aca="false">IFERROR('Price History'!J3+(INDEX('Price History'!J:J,MATCH(9.99E+307,'Price History'!$A:$A))-'Price History'!J3)*(ROW()-3)/(MATCH(9.99E+307,'Returns (Calc)'!$A:$A)-3),"")</f>
        <v>135.513396226415</v>
      </c>
      <c r="AF141" s="111" t="n">
        <f aca="false">IFERROR('Price History'!K3+(INDEX('Price History'!K:K,MATCH(9.99E+307,'Price History'!$A:$A))-'Price History'!K3)*(ROW()-3)/(MATCH(9.99E+307,'Returns (Calc)'!$A:$A)-3),"")</f>
        <v>153.340566037736</v>
      </c>
      <c r="AG141" s="111" t="n">
        <f aca="false">IFERROR('Price History'!L3+(INDEX('Price History'!L:L,MATCH(9.99E+307,'Price History'!$A:$A))-'Price History'!L3)*(ROW()-3)/(MATCH(9.99E+307,'Returns (Calc)'!$A:$A)-3),"")</f>
        <v>384.411132075472</v>
      </c>
      <c r="AH141" s="111" t="n">
        <f aca="false">IFERROR('Price History'!M3+(INDEX('Price History'!M:M,MATCH(9.99E+307,'Price History'!$A:$A))-'Price History'!M3)*(ROW()-3)/(MATCH(9.99E+307,'Returns (Calc)'!$A:$A)-3),"")</f>
        <v>247.904716981132</v>
      </c>
      <c r="AI141" s="111" t="n">
        <f aca="false">IFERROR('Price History'!N3+(INDEX('Price History'!N:N,MATCH(9.99E+307,'Price History'!$A:$A))-'Price History'!N3)*(ROW()-3)/(MATCH(9.99E+307,'Returns (Calc)'!$A:$A)-3),"")</f>
        <v>520.198867924528</v>
      </c>
      <c r="AJ141" s="111" t="n">
        <f aca="false">IFERROR('Price History'!O3+(INDEX('Price History'!O:O,MATCH(9.99E+307,'Price History'!$A:$A))-'Price History'!O3)*(ROW()-3)/(MATCH(9.99E+307,'Returns (Calc)'!$A:$A)-3),"")</f>
        <v>121.108113207547</v>
      </c>
      <c r="AK141" s="111" t="n">
        <f aca="false">IFERROR('Price History'!Q3+(INDEX('Price History'!Q:Q,MATCH(9.99E+307,'Price History'!$A:$A))-'Price History'!Q3)*(ROW()-3)/(MATCH(9.99E+307,'Returns (Calc)'!$A:$A)-3),"")</f>
        <v>67.0943396226415</v>
      </c>
      <c r="AL141" s="111" t="n">
        <f aca="false">IFERROR('Price History'!R3+(INDEX('Price History'!R:R,MATCH(9.99E+307,'Price History'!$A:$A))-'Price History'!R3)*(ROW()-3)/(MATCH(9.99E+307,'Returns (Calc)'!$A:$A)-3),"")</f>
        <v>58.2784905660377</v>
      </c>
      <c r="AM141" s="111" t="n">
        <f aca="false">IFERROR('Price History'!S3+(INDEX('Price History'!S:S,MATCH(9.99E+307,'Price History'!$A:$A))-'Price History'!S3)*(ROW()-3)/(MATCH(9.99E+307,'Returns (Calc)'!$A:$A)-3),"")</f>
        <v>137.677358490566</v>
      </c>
      <c r="AN141" s="111" t="n">
        <f aca="false">IFERROR('Price History'!T3+(INDEX('Price History'!T:T,MATCH(9.99E+307,'Price History'!$A:$A))-'Price History'!T3)*(ROW()-3)/(MATCH(9.99E+307,'Returns (Calc)'!$A:$A)-3),"")</f>
        <v>51.5416981132075</v>
      </c>
      <c r="AO141" s="112" t="n">
        <f aca="false">IFERROR('Price History'!V3+(INDEX('Price History'!V:V,MATCH(9.99E+307,'Price History'!$A:$A))-'Price History'!V3)*(ROW()-3)/(MATCH(9.99E+307,'Returns (Calc)'!$A:$A)-3),"")</f>
        <v>325.532452830189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V142" s="110" t="n">
        <f aca="false">IFERROR(IF(OR(NOT(ISNUMBER('Price History'!V143)),NOT(ISNUMBER('Price History'!V142)),'Price History'!V142=0),"",'Price History'!V143/'Price History'!V142-1),"")</f>
        <v>0.0415938252465613</v>
      </c>
      <c r="W142" s="111" t="n">
        <f aca="false">IFERROR('Price History'!B3+(INDEX('Price History'!B:B,MATCH(9.99E+307,'Price History'!$A:$A))-'Price History'!B3)*(ROW()-3)/(MATCH(9.99E+307,'Returns (Calc)'!$A:$A)-3),"")</f>
        <v>296.942704402516</v>
      </c>
      <c r="X142" s="111" t="n">
        <f aca="false">IFERROR('Price History'!C3+(INDEX('Price History'!C:C,MATCH(9.99E+307,'Price History'!$A:$A))-'Price History'!C3)*(ROW()-3)/(MATCH(9.99E+307,'Returns (Calc)'!$A:$A)-3),"")</f>
        <v>174.907044025157</v>
      </c>
      <c r="Y142" s="111" t="n">
        <f aca="false">IFERROR('Price History'!D3+(INDEX('Price History'!D:D,MATCH(9.99E+307,'Price History'!$A:$A))-'Price History'!D3)*(ROW()-3)/(MATCH(9.99E+307,'Returns (Calc)'!$A:$A)-3),"")</f>
        <v>1582.41459119497</v>
      </c>
      <c r="Z142" s="111" t="n">
        <f aca="false">IFERROR('Price History'!E3+(INDEX('Price History'!E:E,MATCH(9.99E+307,'Price History'!$A:$A))-'Price History'!E3)*(ROW()-3)/(MATCH(9.99E+307,'Returns (Calc)'!$A:$A)-3),"")</f>
        <v>323.318867924528</v>
      </c>
      <c r="AA142" s="111" t="n">
        <f aca="false">IFERROR('Price History'!F3+(INDEX('Price History'!F:F,MATCH(9.99E+307,'Price History'!$A:$A))-'Price History'!F3)*(ROW()-3)/(MATCH(9.99E+307,'Returns (Calc)'!$A:$A)-3),"")</f>
        <v>190.956603773585</v>
      </c>
      <c r="AB142" s="111" t="n">
        <f aca="false">IFERROR('Price History'!G3+(INDEX('Price History'!G:G,MATCH(9.99E+307,'Price History'!$A:$A))-'Price History'!G3)*(ROW()-3)/(MATCH(9.99E+307,'Returns (Calc)'!$A:$A)-3),"")</f>
        <v>168.279245283019</v>
      </c>
      <c r="AC142" s="111" t="n">
        <f aca="false">IFERROR('Price History'!H3+(INDEX('Price History'!H:H,MATCH(9.99E+307,'Price History'!$A:$A))-'Price History'!H3)*(ROW()-3)/(MATCH(9.99E+307,'Returns (Calc)'!$A:$A)-3),"")</f>
        <v>896.813899371069</v>
      </c>
      <c r="AD142" s="111" t="n">
        <f aca="false">IFERROR('Price History'!I3+(INDEX('Price History'!I:I,MATCH(9.99E+307,'Price History'!$A:$A))-'Price History'!I3)*(ROW()-3)/(MATCH(9.99E+307,'Returns (Calc)'!$A:$A)-3),"")</f>
        <v>206.522264150943</v>
      </c>
      <c r="AE142" s="111" t="n">
        <f aca="false">IFERROR('Price History'!J3+(INDEX('Price History'!J:J,MATCH(9.99E+307,'Price History'!$A:$A))-'Price History'!J3)*(ROW()-3)/(MATCH(9.99E+307,'Returns (Calc)'!$A:$A)-3),"")</f>
        <v>135.600377358491</v>
      </c>
      <c r="AF142" s="111" t="n">
        <f aca="false">IFERROR('Price History'!K3+(INDEX('Price History'!K:K,MATCH(9.99E+307,'Price History'!$A:$A))-'Price History'!K3)*(ROW()-3)/(MATCH(9.99E+307,'Returns (Calc)'!$A:$A)-3),"")</f>
        <v>154.340062893082</v>
      </c>
      <c r="AG142" s="111" t="n">
        <f aca="false">IFERROR('Price History'!L3+(INDEX('Price History'!L:L,MATCH(9.99E+307,'Price History'!$A:$A))-'Price History'!L3)*(ROW()-3)/(MATCH(9.99E+307,'Returns (Calc)'!$A:$A)-3),"")</f>
        <v>386.530125786164</v>
      </c>
      <c r="AH142" s="111" t="n">
        <f aca="false">IFERROR('Price History'!M3+(INDEX('Price History'!M:M,MATCH(9.99E+307,'Price History'!$A:$A))-'Price History'!M3)*(ROW()-3)/(MATCH(9.99E+307,'Returns (Calc)'!$A:$A)-3),"")</f>
        <v>249.458301886792</v>
      </c>
      <c r="AI142" s="111" t="n">
        <f aca="false">IFERROR('Price History'!N3+(INDEX('Price History'!N:N,MATCH(9.99E+307,'Price History'!$A:$A))-'Price History'!N3)*(ROW()-3)/(MATCH(9.99E+307,'Returns (Calc)'!$A:$A)-3),"")</f>
        <v>521.43320754717</v>
      </c>
      <c r="AJ142" s="111" t="n">
        <f aca="false">IFERROR('Price History'!O3+(INDEX('Price History'!O:O,MATCH(9.99E+307,'Price History'!$A:$A))-'Price History'!O3)*(ROW()-3)/(MATCH(9.99E+307,'Returns (Calc)'!$A:$A)-3),"")</f>
        <v>121.38534591195</v>
      </c>
      <c r="AK142" s="111" t="n">
        <f aca="false">IFERROR('Price History'!Q3+(INDEX('Price History'!Q:Q,MATCH(9.99E+307,'Price History'!$A:$A))-'Price History'!Q3)*(ROW()-3)/(MATCH(9.99E+307,'Returns (Calc)'!$A:$A)-3),"")</f>
        <v>67.2193710691824</v>
      </c>
      <c r="AL142" s="111" t="n">
        <f aca="false">IFERROR('Price History'!R3+(INDEX('Price History'!R:R,MATCH(9.99E+307,'Price History'!$A:$A))-'Price History'!R3)*(ROW()-3)/(MATCH(9.99E+307,'Returns (Calc)'!$A:$A)-3),"")</f>
        <v>58.3542767295597</v>
      </c>
      <c r="AM142" s="111" t="n">
        <f aca="false">IFERROR('Price History'!S3+(INDEX('Price History'!S:S,MATCH(9.99E+307,'Price History'!$A:$A))-'Price History'!S3)*(ROW()-3)/(MATCH(9.99E+307,'Returns (Calc)'!$A:$A)-3),"")</f>
        <v>138.250817610063</v>
      </c>
      <c r="AN142" s="111" t="n">
        <f aca="false">IFERROR('Price History'!T3+(INDEX('Price History'!T:T,MATCH(9.99E+307,'Price History'!$A:$A))-'Price History'!T3)*(ROW()-3)/(MATCH(9.99E+307,'Returns (Calc)'!$A:$A)-3),"")</f>
        <v>51.7201886792453</v>
      </c>
      <c r="AO142" s="112" t="n">
        <f aca="false">IFERROR('Price History'!V3+(INDEX('Price History'!V:V,MATCH(9.99E+307,'Price History'!$A:$A))-'Price History'!V3)*(ROW()-3)/(MATCH(9.99E+307,'Returns (Calc)'!$A:$A)-3),"")</f>
        <v>327.891383647799</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V143" s="110" t="n">
        <f aca="false">IFERROR(IF(OR(NOT(ISNUMBER('Price History'!V144)),NOT(ISNUMBER('Price History'!V143)),'Price History'!V143=0),"",'Price History'!V144/'Price History'!V143-1),"")</f>
        <v>-0.0239723858382418</v>
      </c>
      <c r="W143" s="111" t="n">
        <f aca="false">IFERROR('Price History'!B3+(INDEX('Price History'!B:B,MATCH(9.99E+307,'Price History'!$A:$A))-'Price History'!B3)*(ROW()-3)/(MATCH(9.99E+307,'Returns (Calc)'!$A:$A)-3),"")</f>
        <v>295.42106918239</v>
      </c>
      <c r="X143" s="111" t="n">
        <f aca="false">IFERROR('Price History'!C3+(INDEX('Price History'!C:C,MATCH(9.99E+307,'Price History'!$A:$A))-'Price History'!C3)*(ROW()-3)/(MATCH(9.99E+307,'Returns (Calc)'!$A:$A)-3),"")</f>
        <v>175.850691823899</v>
      </c>
      <c r="Y143" s="111" t="n">
        <f aca="false">IFERROR('Price History'!D3+(INDEX('Price History'!D:D,MATCH(9.99E+307,'Price History'!$A:$A))-'Price History'!D3)*(ROW()-3)/(MATCH(9.99E+307,'Returns (Calc)'!$A:$A)-3),"")</f>
        <v>1589.03786163522</v>
      </c>
      <c r="Z143" s="111" t="n">
        <f aca="false">IFERROR('Price History'!E3+(INDEX('Price History'!E:E,MATCH(9.99E+307,'Price History'!$A:$A))-'Price History'!E3)*(ROW()-3)/(MATCH(9.99E+307,'Returns (Calc)'!$A:$A)-3),"")</f>
        <v>325.047924528302</v>
      </c>
      <c r="AA143" s="111" t="n">
        <f aca="false">IFERROR('Price History'!F3+(INDEX('Price History'!F:F,MATCH(9.99E+307,'Price History'!$A:$A))-'Price History'!F3)*(ROW()-3)/(MATCH(9.99E+307,'Returns (Calc)'!$A:$A)-3),"")</f>
        <v>192.063773584906</v>
      </c>
      <c r="AB143" s="111" t="n">
        <f aca="false">IFERROR('Price History'!G3+(INDEX('Price History'!G:G,MATCH(9.99E+307,'Price History'!$A:$A))-'Price History'!G3)*(ROW()-3)/(MATCH(9.99E+307,'Returns (Calc)'!$A:$A)-3),"")</f>
        <v>169.145283018868</v>
      </c>
      <c r="AC143" s="111" t="n">
        <f aca="false">IFERROR('Price History'!H3+(INDEX('Price History'!H:H,MATCH(9.99E+307,'Price History'!$A:$A))-'Price History'!H3)*(ROW()-3)/(MATCH(9.99E+307,'Returns (Calc)'!$A:$A)-3),"")</f>
        <v>902.802704402516</v>
      </c>
      <c r="AD143" s="111" t="n">
        <f aca="false">IFERROR('Price History'!I3+(INDEX('Price History'!I:I,MATCH(9.99E+307,'Price History'!$A:$A))-'Price History'!I3)*(ROW()-3)/(MATCH(9.99E+307,'Returns (Calc)'!$A:$A)-3),"")</f>
        <v>207.714150943396</v>
      </c>
      <c r="AE143" s="111" t="n">
        <f aca="false">IFERROR('Price History'!J3+(INDEX('Price History'!J:J,MATCH(9.99E+307,'Price History'!$A:$A))-'Price History'!J3)*(ROW()-3)/(MATCH(9.99E+307,'Returns (Calc)'!$A:$A)-3),"")</f>
        <v>135.687358490566</v>
      </c>
      <c r="AF143" s="111" t="n">
        <f aca="false">IFERROR('Price History'!K3+(INDEX('Price History'!K:K,MATCH(9.99E+307,'Price History'!$A:$A))-'Price History'!K3)*(ROW()-3)/(MATCH(9.99E+307,'Returns (Calc)'!$A:$A)-3),"")</f>
        <v>155.339559748428</v>
      </c>
      <c r="AG143" s="111" t="n">
        <f aca="false">IFERROR('Price History'!L3+(INDEX('Price History'!L:L,MATCH(9.99E+307,'Price History'!$A:$A))-'Price History'!L3)*(ROW()-3)/(MATCH(9.99E+307,'Returns (Calc)'!$A:$A)-3),"")</f>
        <v>388.649119496855</v>
      </c>
      <c r="AH143" s="111" t="n">
        <f aca="false">IFERROR('Price History'!M3+(INDEX('Price History'!M:M,MATCH(9.99E+307,'Price History'!$A:$A))-'Price History'!M3)*(ROW()-3)/(MATCH(9.99E+307,'Returns (Calc)'!$A:$A)-3),"")</f>
        <v>251.011886792453</v>
      </c>
      <c r="AI143" s="111" t="n">
        <f aca="false">IFERROR('Price History'!N3+(INDEX('Price History'!N:N,MATCH(9.99E+307,'Price History'!$A:$A))-'Price History'!N3)*(ROW()-3)/(MATCH(9.99E+307,'Returns (Calc)'!$A:$A)-3),"")</f>
        <v>522.667547169811</v>
      </c>
      <c r="AJ143" s="111" t="n">
        <f aca="false">IFERROR('Price History'!O3+(INDEX('Price History'!O:O,MATCH(9.99E+307,'Price History'!$A:$A))-'Price History'!O3)*(ROW()-3)/(MATCH(9.99E+307,'Returns (Calc)'!$A:$A)-3),"")</f>
        <v>121.662578616352</v>
      </c>
      <c r="AK143" s="111" t="n">
        <f aca="false">IFERROR('Price History'!Q3+(INDEX('Price History'!Q:Q,MATCH(9.99E+307,'Price History'!$A:$A))-'Price History'!Q3)*(ROW()-3)/(MATCH(9.99E+307,'Returns (Calc)'!$A:$A)-3),"")</f>
        <v>67.3444025157233</v>
      </c>
      <c r="AL143" s="111" t="n">
        <f aca="false">IFERROR('Price History'!R3+(INDEX('Price History'!R:R,MATCH(9.99E+307,'Price History'!$A:$A))-'Price History'!R3)*(ROW()-3)/(MATCH(9.99E+307,'Returns (Calc)'!$A:$A)-3),"")</f>
        <v>58.4300628930818</v>
      </c>
      <c r="AM143" s="111" t="n">
        <f aca="false">IFERROR('Price History'!S3+(INDEX('Price History'!S:S,MATCH(9.99E+307,'Price History'!$A:$A))-'Price History'!S3)*(ROW()-3)/(MATCH(9.99E+307,'Returns (Calc)'!$A:$A)-3),"")</f>
        <v>138.82427672956</v>
      </c>
      <c r="AN143" s="111" t="n">
        <f aca="false">IFERROR('Price History'!T3+(INDEX('Price History'!T:T,MATCH(9.99E+307,'Price History'!$A:$A))-'Price History'!T3)*(ROW()-3)/(MATCH(9.99E+307,'Returns (Calc)'!$A:$A)-3),"")</f>
        <v>51.898679245283</v>
      </c>
      <c r="AO143" s="112" t="n">
        <f aca="false">IFERROR('Price History'!V3+(INDEX('Price History'!V:V,MATCH(9.99E+307,'Price History'!$A:$A))-'Price History'!V3)*(ROW()-3)/(MATCH(9.99E+307,'Returns (Calc)'!$A:$A)-3),"")</f>
        <v>330.250314465409</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V144" s="110" t="n">
        <f aca="false">IFERROR(IF(OR(NOT(ISNUMBER('Price History'!V145)),NOT(ISNUMBER('Price History'!V144)),'Price History'!V144=0),"",'Price History'!V145/'Price History'!V144-1),"")</f>
        <v>0.0601213458356316</v>
      </c>
      <c r="W144" s="111" t="n">
        <f aca="false">IFERROR('Price History'!B3+(INDEX('Price History'!B:B,MATCH(9.99E+307,'Price History'!$A:$A))-'Price History'!B3)*(ROW()-3)/(MATCH(9.99E+307,'Returns (Calc)'!$A:$A)-3),"")</f>
        <v>293.899433962264</v>
      </c>
      <c r="X144" s="111" t="n">
        <f aca="false">IFERROR('Price History'!C3+(INDEX('Price History'!C:C,MATCH(9.99E+307,'Price History'!$A:$A))-'Price History'!C3)*(ROW()-3)/(MATCH(9.99E+307,'Returns (Calc)'!$A:$A)-3),"")</f>
        <v>176.794339622642</v>
      </c>
      <c r="Y144" s="111" t="n">
        <f aca="false">IFERROR('Price History'!D3+(INDEX('Price History'!D:D,MATCH(9.99E+307,'Price History'!$A:$A))-'Price History'!D3)*(ROW()-3)/(MATCH(9.99E+307,'Returns (Calc)'!$A:$A)-3),"")</f>
        <v>1595.66113207547</v>
      </c>
      <c r="Z144" s="111" t="n">
        <f aca="false">IFERROR('Price History'!E3+(INDEX('Price History'!E:E,MATCH(9.99E+307,'Price History'!$A:$A))-'Price History'!E3)*(ROW()-3)/(MATCH(9.99E+307,'Returns (Calc)'!$A:$A)-3),"")</f>
        <v>326.776981132075</v>
      </c>
      <c r="AA144" s="111" t="n">
        <f aca="false">IFERROR('Price History'!F3+(INDEX('Price History'!F:F,MATCH(9.99E+307,'Price History'!$A:$A))-'Price History'!F3)*(ROW()-3)/(MATCH(9.99E+307,'Returns (Calc)'!$A:$A)-3),"")</f>
        <v>193.170943396226</v>
      </c>
      <c r="AB144" s="111" t="n">
        <f aca="false">IFERROR('Price History'!G3+(INDEX('Price History'!G:G,MATCH(9.99E+307,'Price History'!$A:$A))-'Price History'!G3)*(ROW()-3)/(MATCH(9.99E+307,'Returns (Calc)'!$A:$A)-3),"")</f>
        <v>170.011320754717</v>
      </c>
      <c r="AC144" s="111" t="n">
        <f aca="false">IFERROR('Price History'!H3+(INDEX('Price History'!H:H,MATCH(9.99E+307,'Price History'!$A:$A))-'Price History'!H3)*(ROW()-3)/(MATCH(9.99E+307,'Returns (Calc)'!$A:$A)-3),"")</f>
        <v>908.791509433962</v>
      </c>
      <c r="AD144" s="111" t="n">
        <f aca="false">IFERROR('Price History'!I3+(INDEX('Price History'!I:I,MATCH(9.99E+307,'Price History'!$A:$A))-'Price History'!I3)*(ROW()-3)/(MATCH(9.99E+307,'Returns (Calc)'!$A:$A)-3),"")</f>
        <v>208.906037735849</v>
      </c>
      <c r="AE144" s="111" t="n">
        <f aca="false">IFERROR('Price History'!J3+(INDEX('Price History'!J:J,MATCH(9.99E+307,'Price History'!$A:$A))-'Price History'!J3)*(ROW()-3)/(MATCH(9.99E+307,'Returns (Calc)'!$A:$A)-3),"")</f>
        <v>135.774339622642</v>
      </c>
      <c r="AF144" s="111" t="n">
        <f aca="false">IFERROR('Price History'!K3+(INDEX('Price History'!K:K,MATCH(9.99E+307,'Price History'!$A:$A))-'Price History'!K3)*(ROW()-3)/(MATCH(9.99E+307,'Returns (Calc)'!$A:$A)-3),"")</f>
        <v>156.339056603774</v>
      </c>
      <c r="AG144" s="111" t="n">
        <f aca="false">IFERROR('Price History'!L3+(INDEX('Price History'!L:L,MATCH(9.99E+307,'Price History'!$A:$A))-'Price History'!L3)*(ROW()-3)/(MATCH(9.99E+307,'Returns (Calc)'!$A:$A)-3),"")</f>
        <v>390.768113207547</v>
      </c>
      <c r="AH144" s="111" t="n">
        <f aca="false">IFERROR('Price History'!M3+(INDEX('Price History'!M:M,MATCH(9.99E+307,'Price History'!$A:$A))-'Price History'!M3)*(ROW()-3)/(MATCH(9.99E+307,'Returns (Calc)'!$A:$A)-3),"")</f>
        <v>252.565471698113</v>
      </c>
      <c r="AI144" s="111" t="n">
        <f aca="false">IFERROR('Price History'!N3+(INDEX('Price History'!N:N,MATCH(9.99E+307,'Price History'!$A:$A))-'Price History'!N3)*(ROW()-3)/(MATCH(9.99E+307,'Returns (Calc)'!$A:$A)-3),"")</f>
        <v>523.901886792453</v>
      </c>
      <c r="AJ144" s="111" t="n">
        <f aca="false">IFERROR('Price History'!O3+(INDEX('Price History'!O:O,MATCH(9.99E+307,'Price History'!$A:$A))-'Price History'!O3)*(ROW()-3)/(MATCH(9.99E+307,'Returns (Calc)'!$A:$A)-3),"")</f>
        <v>121.939811320755</v>
      </c>
      <c r="AK144" s="111" t="n">
        <f aca="false">IFERROR('Price History'!Q3+(INDEX('Price History'!Q:Q,MATCH(9.99E+307,'Price History'!$A:$A))-'Price History'!Q3)*(ROW()-3)/(MATCH(9.99E+307,'Returns (Calc)'!$A:$A)-3),"")</f>
        <v>67.4694339622642</v>
      </c>
      <c r="AL144" s="111" t="n">
        <f aca="false">IFERROR('Price History'!R3+(INDEX('Price History'!R:R,MATCH(9.99E+307,'Price History'!$A:$A))-'Price History'!R3)*(ROW()-3)/(MATCH(9.99E+307,'Returns (Calc)'!$A:$A)-3),"")</f>
        <v>58.5058490566038</v>
      </c>
      <c r="AM144" s="111" t="n">
        <f aca="false">IFERROR('Price History'!S3+(INDEX('Price History'!S:S,MATCH(9.99E+307,'Price History'!$A:$A))-'Price History'!S3)*(ROW()-3)/(MATCH(9.99E+307,'Returns (Calc)'!$A:$A)-3),"")</f>
        <v>139.397735849057</v>
      </c>
      <c r="AN144" s="111" t="n">
        <f aca="false">IFERROR('Price History'!T3+(INDEX('Price History'!T:T,MATCH(9.99E+307,'Price History'!$A:$A))-'Price History'!T3)*(ROW()-3)/(MATCH(9.99E+307,'Returns (Calc)'!$A:$A)-3),"")</f>
        <v>52.0771698113208</v>
      </c>
      <c r="AO144" s="112" t="n">
        <f aca="false">IFERROR('Price History'!V3+(INDEX('Price History'!V:V,MATCH(9.99E+307,'Price History'!$A:$A))-'Price History'!V3)*(ROW()-3)/(MATCH(9.99E+307,'Returns (Calc)'!$A:$A)-3),"")</f>
        <v>332.609245283019</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V145" s="110" t="n">
        <f aca="false">IFERROR(IF(OR(NOT(ISNUMBER('Price History'!V146)),NOT(ISNUMBER('Price History'!V145)),'Price History'!V145=0),"",'Price History'!V146/'Price History'!V145-1),"")</f>
        <v>-0.0281569443594295</v>
      </c>
      <c r="W145" s="111" t="n">
        <f aca="false">IFERROR('Price History'!B3+(INDEX('Price History'!B:B,MATCH(9.99E+307,'Price History'!$A:$A))-'Price History'!B3)*(ROW()-3)/(MATCH(9.99E+307,'Returns (Calc)'!$A:$A)-3),"")</f>
        <v>292.377798742138</v>
      </c>
      <c r="X145" s="111" t="n">
        <f aca="false">IFERROR('Price History'!C3+(INDEX('Price History'!C:C,MATCH(9.99E+307,'Price History'!$A:$A))-'Price History'!C3)*(ROW()-3)/(MATCH(9.99E+307,'Returns (Calc)'!$A:$A)-3),"")</f>
        <v>177.737987421384</v>
      </c>
      <c r="Y145" s="111" t="n">
        <f aca="false">IFERROR('Price History'!D3+(INDEX('Price History'!D:D,MATCH(9.99E+307,'Price History'!$A:$A))-'Price History'!D3)*(ROW()-3)/(MATCH(9.99E+307,'Returns (Calc)'!$A:$A)-3),"")</f>
        <v>1602.28440251572</v>
      </c>
      <c r="Z145" s="111" t="n">
        <f aca="false">IFERROR('Price History'!E3+(INDEX('Price History'!E:E,MATCH(9.99E+307,'Price History'!$A:$A))-'Price History'!E3)*(ROW()-3)/(MATCH(9.99E+307,'Returns (Calc)'!$A:$A)-3),"")</f>
        <v>328.506037735849</v>
      </c>
      <c r="AA145" s="111" t="n">
        <f aca="false">IFERROR('Price History'!F3+(INDEX('Price History'!F:F,MATCH(9.99E+307,'Price History'!$A:$A))-'Price History'!F3)*(ROW()-3)/(MATCH(9.99E+307,'Returns (Calc)'!$A:$A)-3),"")</f>
        <v>194.278113207547</v>
      </c>
      <c r="AB145" s="111" t="n">
        <f aca="false">IFERROR('Price History'!G3+(INDEX('Price History'!G:G,MATCH(9.99E+307,'Price History'!$A:$A))-'Price History'!G3)*(ROW()-3)/(MATCH(9.99E+307,'Returns (Calc)'!$A:$A)-3),"")</f>
        <v>170.877358490566</v>
      </c>
      <c r="AC145" s="111" t="n">
        <f aca="false">IFERROR('Price History'!H3+(INDEX('Price History'!H:H,MATCH(9.99E+307,'Price History'!$A:$A))-'Price History'!H3)*(ROW()-3)/(MATCH(9.99E+307,'Returns (Calc)'!$A:$A)-3),"")</f>
        <v>914.780314465409</v>
      </c>
      <c r="AD145" s="111" t="n">
        <f aca="false">IFERROR('Price History'!I3+(INDEX('Price History'!I:I,MATCH(9.99E+307,'Price History'!$A:$A))-'Price History'!I3)*(ROW()-3)/(MATCH(9.99E+307,'Returns (Calc)'!$A:$A)-3),"")</f>
        <v>210.097924528302</v>
      </c>
      <c r="AE145" s="111" t="n">
        <f aca="false">IFERROR('Price History'!J3+(INDEX('Price History'!J:J,MATCH(9.99E+307,'Price History'!$A:$A))-'Price History'!J3)*(ROW()-3)/(MATCH(9.99E+307,'Returns (Calc)'!$A:$A)-3),"")</f>
        <v>135.861320754717</v>
      </c>
      <c r="AF145" s="111" t="n">
        <f aca="false">IFERROR('Price History'!K3+(INDEX('Price History'!K:K,MATCH(9.99E+307,'Price History'!$A:$A))-'Price History'!K3)*(ROW()-3)/(MATCH(9.99E+307,'Returns (Calc)'!$A:$A)-3),"")</f>
        <v>157.33855345912</v>
      </c>
      <c r="AG145" s="111" t="n">
        <f aca="false">IFERROR('Price History'!L3+(INDEX('Price History'!L:L,MATCH(9.99E+307,'Price History'!$A:$A))-'Price History'!L3)*(ROW()-3)/(MATCH(9.99E+307,'Returns (Calc)'!$A:$A)-3),"")</f>
        <v>392.887106918239</v>
      </c>
      <c r="AH145" s="111" t="n">
        <f aca="false">IFERROR('Price History'!M3+(INDEX('Price History'!M:M,MATCH(9.99E+307,'Price History'!$A:$A))-'Price History'!M3)*(ROW()-3)/(MATCH(9.99E+307,'Returns (Calc)'!$A:$A)-3),"")</f>
        <v>254.119056603774</v>
      </c>
      <c r="AI145" s="111" t="n">
        <f aca="false">IFERROR('Price History'!N3+(INDEX('Price History'!N:N,MATCH(9.99E+307,'Price History'!$A:$A))-'Price History'!N3)*(ROW()-3)/(MATCH(9.99E+307,'Returns (Calc)'!$A:$A)-3),"")</f>
        <v>525.136226415094</v>
      </c>
      <c r="AJ145" s="111" t="n">
        <f aca="false">IFERROR('Price History'!O3+(INDEX('Price History'!O:O,MATCH(9.99E+307,'Price History'!$A:$A))-'Price History'!O3)*(ROW()-3)/(MATCH(9.99E+307,'Returns (Calc)'!$A:$A)-3),"")</f>
        <v>122.217044025157</v>
      </c>
      <c r="AK145" s="111" t="n">
        <f aca="false">IFERROR('Price History'!Q3+(INDEX('Price History'!Q:Q,MATCH(9.99E+307,'Price History'!$A:$A))-'Price History'!Q3)*(ROW()-3)/(MATCH(9.99E+307,'Returns (Calc)'!$A:$A)-3),"")</f>
        <v>67.594465408805</v>
      </c>
      <c r="AL145" s="111" t="n">
        <f aca="false">IFERROR('Price History'!R3+(INDEX('Price History'!R:R,MATCH(9.99E+307,'Price History'!$A:$A))-'Price History'!R3)*(ROW()-3)/(MATCH(9.99E+307,'Returns (Calc)'!$A:$A)-3),"")</f>
        <v>58.5816352201258</v>
      </c>
      <c r="AM145" s="111" t="n">
        <f aca="false">IFERROR('Price History'!S3+(INDEX('Price History'!S:S,MATCH(9.99E+307,'Price History'!$A:$A))-'Price History'!S3)*(ROW()-3)/(MATCH(9.99E+307,'Returns (Calc)'!$A:$A)-3),"")</f>
        <v>139.971194968553</v>
      </c>
      <c r="AN145" s="111" t="n">
        <f aca="false">IFERROR('Price History'!T3+(INDEX('Price History'!T:T,MATCH(9.99E+307,'Price History'!$A:$A))-'Price History'!T3)*(ROW()-3)/(MATCH(9.99E+307,'Returns (Calc)'!$A:$A)-3),"")</f>
        <v>52.2556603773585</v>
      </c>
      <c r="AO145" s="112" t="n">
        <f aca="false">IFERROR('Price History'!V3+(INDEX('Price History'!V:V,MATCH(9.99E+307,'Price History'!$A:$A))-'Price History'!V3)*(ROW()-3)/(MATCH(9.99E+307,'Returns (Calc)'!$A:$A)-3),"")</f>
        <v>334.968176100629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V146" s="110" t="n">
        <f aca="false">IFERROR(IF(OR(NOT(ISNUMBER('Price History'!V147)),NOT(ISNUMBER('Price History'!V146)),'Price History'!V146=0),"",'Price History'!V147/'Price History'!V146-1),"")</f>
        <v>0.0239654846633495</v>
      </c>
      <c r="W146" s="111" t="n">
        <f aca="false">IFERROR('Price History'!B3+(INDEX('Price History'!B:B,MATCH(9.99E+307,'Price History'!$A:$A))-'Price History'!B3)*(ROW()-3)/(MATCH(9.99E+307,'Returns (Calc)'!$A:$A)-3),"")</f>
        <v>290.856163522013</v>
      </c>
      <c r="X146" s="111" t="n">
        <f aca="false">IFERROR('Price History'!C3+(INDEX('Price History'!C:C,MATCH(9.99E+307,'Price History'!$A:$A))-'Price History'!C3)*(ROW()-3)/(MATCH(9.99E+307,'Returns (Calc)'!$A:$A)-3),"")</f>
        <v>178.681635220126</v>
      </c>
      <c r="Y146" s="111" t="n">
        <f aca="false">IFERROR('Price History'!D3+(INDEX('Price History'!D:D,MATCH(9.99E+307,'Price History'!$A:$A))-'Price History'!D3)*(ROW()-3)/(MATCH(9.99E+307,'Returns (Calc)'!$A:$A)-3),"")</f>
        <v>1608.90767295598</v>
      </c>
      <c r="Z146" s="111" t="n">
        <f aca="false">IFERROR('Price History'!E3+(INDEX('Price History'!E:E,MATCH(9.99E+307,'Price History'!$A:$A))-'Price History'!E3)*(ROW()-3)/(MATCH(9.99E+307,'Returns (Calc)'!$A:$A)-3),"")</f>
        <v>330.235094339623</v>
      </c>
      <c r="AA146" s="111" t="n">
        <f aca="false">IFERROR('Price History'!F3+(INDEX('Price History'!F:F,MATCH(9.99E+307,'Price History'!$A:$A))-'Price History'!F3)*(ROW()-3)/(MATCH(9.99E+307,'Returns (Calc)'!$A:$A)-3),"")</f>
        <v>195.385283018868</v>
      </c>
      <c r="AB146" s="111" t="n">
        <f aca="false">IFERROR('Price History'!G3+(INDEX('Price History'!G:G,MATCH(9.99E+307,'Price History'!$A:$A))-'Price History'!G3)*(ROW()-3)/(MATCH(9.99E+307,'Returns (Calc)'!$A:$A)-3),"")</f>
        <v>171.743396226415</v>
      </c>
      <c r="AC146" s="111" t="n">
        <f aca="false">IFERROR('Price History'!H3+(INDEX('Price History'!H:H,MATCH(9.99E+307,'Price History'!$A:$A))-'Price History'!H3)*(ROW()-3)/(MATCH(9.99E+307,'Returns (Calc)'!$A:$A)-3),"")</f>
        <v>920.769119496855</v>
      </c>
      <c r="AD146" s="111" t="n">
        <f aca="false">IFERROR('Price History'!I3+(INDEX('Price History'!I:I,MATCH(9.99E+307,'Price History'!$A:$A))-'Price History'!I3)*(ROW()-3)/(MATCH(9.99E+307,'Returns (Calc)'!$A:$A)-3),"")</f>
        <v>211.289811320755</v>
      </c>
      <c r="AE146" s="111" t="n">
        <f aca="false">IFERROR('Price History'!J3+(INDEX('Price History'!J:J,MATCH(9.99E+307,'Price History'!$A:$A))-'Price History'!J3)*(ROW()-3)/(MATCH(9.99E+307,'Returns (Calc)'!$A:$A)-3),"")</f>
        <v>135.948301886792</v>
      </c>
      <c r="AF146" s="111" t="n">
        <f aca="false">IFERROR('Price History'!K3+(INDEX('Price History'!K:K,MATCH(9.99E+307,'Price History'!$A:$A))-'Price History'!K3)*(ROW()-3)/(MATCH(9.99E+307,'Returns (Calc)'!$A:$A)-3),"")</f>
        <v>158.338050314465</v>
      </c>
      <c r="AG146" s="111" t="n">
        <f aca="false">IFERROR('Price History'!L3+(INDEX('Price History'!L:L,MATCH(9.99E+307,'Price History'!$A:$A))-'Price History'!L3)*(ROW()-3)/(MATCH(9.99E+307,'Returns (Calc)'!$A:$A)-3),"")</f>
        <v>395.006100628931</v>
      </c>
      <c r="AH146" s="111" t="n">
        <f aca="false">IFERROR('Price History'!M3+(INDEX('Price History'!M:M,MATCH(9.99E+307,'Price History'!$A:$A))-'Price History'!M3)*(ROW()-3)/(MATCH(9.99E+307,'Returns (Calc)'!$A:$A)-3),"")</f>
        <v>255.672641509434</v>
      </c>
      <c r="AI146" s="111" t="n">
        <f aca="false">IFERROR('Price History'!N3+(INDEX('Price History'!N:N,MATCH(9.99E+307,'Price History'!$A:$A))-'Price History'!N3)*(ROW()-3)/(MATCH(9.99E+307,'Returns (Calc)'!$A:$A)-3),"")</f>
        <v>526.370566037736</v>
      </c>
      <c r="AJ146" s="111" t="n">
        <f aca="false">IFERROR('Price History'!O3+(INDEX('Price History'!O:O,MATCH(9.99E+307,'Price History'!$A:$A))-'Price History'!O3)*(ROW()-3)/(MATCH(9.99E+307,'Returns (Calc)'!$A:$A)-3),"")</f>
        <v>122.49427672956</v>
      </c>
      <c r="AK146" s="111" t="n">
        <f aca="false">IFERROR('Price History'!Q3+(INDEX('Price History'!Q:Q,MATCH(9.99E+307,'Price History'!$A:$A))-'Price History'!Q3)*(ROW()-3)/(MATCH(9.99E+307,'Returns (Calc)'!$A:$A)-3),"")</f>
        <v>67.7194968553459</v>
      </c>
      <c r="AL146" s="111" t="n">
        <f aca="false">IFERROR('Price History'!R3+(INDEX('Price History'!R:R,MATCH(9.99E+307,'Price History'!$A:$A))-'Price History'!R3)*(ROW()-3)/(MATCH(9.99E+307,'Returns (Calc)'!$A:$A)-3),"")</f>
        <v>58.6574213836478</v>
      </c>
      <c r="AM146" s="111" t="n">
        <f aca="false">IFERROR('Price History'!S3+(INDEX('Price History'!S:S,MATCH(9.99E+307,'Price History'!$A:$A))-'Price History'!S3)*(ROW()-3)/(MATCH(9.99E+307,'Returns (Calc)'!$A:$A)-3),"")</f>
        <v>140.54465408805</v>
      </c>
      <c r="AN146" s="111" t="n">
        <f aca="false">IFERROR('Price History'!T3+(INDEX('Price History'!T:T,MATCH(9.99E+307,'Price History'!$A:$A))-'Price History'!T3)*(ROW()-3)/(MATCH(9.99E+307,'Returns (Calc)'!$A:$A)-3),"")</f>
        <v>52.4341509433962</v>
      </c>
      <c r="AO146" s="112" t="n">
        <f aca="false">IFERROR('Price History'!V3+(INDEX('Price History'!V:V,MATCH(9.99E+307,'Price History'!$A:$A))-'Price History'!V3)*(ROW()-3)/(MATCH(9.99E+307,'Returns (Calc)'!$A:$A)-3),"")</f>
        <v>337.327106918239</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V147" s="110" t="n">
        <f aca="false">IFERROR(IF(OR(NOT(ISNUMBER('Price History'!V148)),NOT(ISNUMBER('Price History'!V147)),'Price History'!V147=0),"",'Price History'!V148/'Price History'!V147-1),"")</f>
        <v>0.00959557127479616</v>
      </c>
      <c r="W147" s="111" t="n">
        <f aca="false">IFERROR('Price History'!B3+(INDEX('Price History'!B:B,MATCH(9.99E+307,'Price History'!$A:$A))-'Price History'!B3)*(ROW()-3)/(MATCH(9.99E+307,'Returns (Calc)'!$A:$A)-3),"")</f>
        <v>289.334528301887</v>
      </c>
      <c r="X147" s="111" t="n">
        <f aca="false">IFERROR('Price History'!C3+(INDEX('Price History'!C:C,MATCH(9.99E+307,'Price History'!$A:$A))-'Price History'!C3)*(ROW()-3)/(MATCH(9.99E+307,'Returns (Calc)'!$A:$A)-3),"")</f>
        <v>179.625283018868</v>
      </c>
      <c r="Y147" s="111" t="n">
        <f aca="false">IFERROR('Price History'!D3+(INDEX('Price History'!D:D,MATCH(9.99E+307,'Price History'!$A:$A))-'Price History'!D3)*(ROW()-3)/(MATCH(9.99E+307,'Returns (Calc)'!$A:$A)-3),"")</f>
        <v>1615.53094339623</v>
      </c>
      <c r="Z147" s="111" t="n">
        <f aca="false">IFERROR('Price History'!E3+(INDEX('Price History'!E:E,MATCH(9.99E+307,'Price History'!$A:$A))-'Price History'!E3)*(ROW()-3)/(MATCH(9.99E+307,'Returns (Calc)'!$A:$A)-3),"")</f>
        <v>331.964150943396</v>
      </c>
      <c r="AA147" s="111" t="n">
        <f aca="false">IFERROR('Price History'!F3+(INDEX('Price History'!F:F,MATCH(9.99E+307,'Price History'!$A:$A))-'Price History'!F3)*(ROW()-3)/(MATCH(9.99E+307,'Returns (Calc)'!$A:$A)-3),"")</f>
        <v>196.492452830189</v>
      </c>
      <c r="AB147" s="111" t="n">
        <f aca="false">IFERROR('Price History'!G3+(INDEX('Price History'!G:G,MATCH(9.99E+307,'Price History'!$A:$A))-'Price History'!G3)*(ROW()-3)/(MATCH(9.99E+307,'Returns (Calc)'!$A:$A)-3),"")</f>
        <v>172.609433962264</v>
      </c>
      <c r="AC147" s="111" t="n">
        <f aca="false">IFERROR('Price History'!H3+(INDEX('Price History'!H:H,MATCH(9.99E+307,'Price History'!$A:$A))-'Price History'!H3)*(ROW()-3)/(MATCH(9.99E+307,'Returns (Calc)'!$A:$A)-3),"")</f>
        <v>926.757924528302</v>
      </c>
      <c r="AD147" s="111" t="n">
        <f aca="false">IFERROR('Price History'!I3+(INDEX('Price History'!I:I,MATCH(9.99E+307,'Price History'!$A:$A))-'Price History'!I3)*(ROW()-3)/(MATCH(9.99E+307,'Returns (Calc)'!$A:$A)-3),"")</f>
        <v>212.481698113208</v>
      </c>
      <c r="AE147" s="111" t="n">
        <f aca="false">IFERROR('Price History'!J3+(INDEX('Price History'!J:J,MATCH(9.99E+307,'Price History'!$A:$A))-'Price History'!J3)*(ROW()-3)/(MATCH(9.99E+307,'Returns (Calc)'!$A:$A)-3),"")</f>
        <v>136.035283018868</v>
      </c>
      <c r="AF147" s="111" t="n">
        <f aca="false">IFERROR('Price History'!K3+(INDEX('Price History'!K:K,MATCH(9.99E+307,'Price History'!$A:$A))-'Price History'!K3)*(ROW()-3)/(MATCH(9.99E+307,'Returns (Calc)'!$A:$A)-3),"")</f>
        <v>159.337547169811</v>
      </c>
      <c r="AG147" s="111" t="n">
        <f aca="false">IFERROR('Price History'!L3+(INDEX('Price History'!L:L,MATCH(9.99E+307,'Price History'!$A:$A))-'Price History'!L3)*(ROW()-3)/(MATCH(9.99E+307,'Returns (Calc)'!$A:$A)-3),"")</f>
        <v>397.125094339623</v>
      </c>
      <c r="AH147" s="111" t="n">
        <f aca="false">IFERROR('Price History'!M3+(INDEX('Price History'!M:M,MATCH(9.99E+307,'Price History'!$A:$A))-'Price History'!M3)*(ROW()-3)/(MATCH(9.99E+307,'Returns (Calc)'!$A:$A)-3),"")</f>
        <v>257.226226415094</v>
      </c>
      <c r="AI147" s="111" t="n">
        <f aca="false">IFERROR('Price History'!N3+(INDEX('Price History'!N:N,MATCH(9.99E+307,'Price History'!$A:$A))-'Price History'!N3)*(ROW()-3)/(MATCH(9.99E+307,'Returns (Calc)'!$A:$A)-3),"")</f>
        <v>527.604905660377</v>
      </c>
      <c r="AJ147" s="111" t="n">
        <f aca="false">IFERROR('Price History'!O3+(INDEX('Price History'!O:O,MATCH(9.99E+307,'Price History'!$A:$A))-'Price History'!O3)*(ROW()-3)/(MATCH(9.99E+307,'Returns (Calc)'!$A:$A)-3),"")</f>
        <v>122.771509433962</v>
      </c>
      <c r="AK147" s="111" t="n">
        <f aca="false">IFERROR('Price History'!Q3+(INDEX('Price History'!Q:Q,MATCH(9.99E+307,'Price History'!$A:$A))-'Price History'!Q3)*(ROW()-3)/(MATCH(9.99E+307,'Returns (Calc)'!$A:$A)-3),"")</f>
        <v>67.8445283018868</v>
      </c>
      <c r="AL147" s="111" t="n">
        <f aca="false">IFERROR('Price History'!R3+(INDEX('Price History'!R:R,MATCH(9.99E+307,'Price History'!$A:$A))-'Price History'!R3)*(ROW()-3)/(MATCH(9.99E+307,'Returns (Calc)'!$A:$A)-3),"")</f>
        <v>58.7332075471698</v>
      </c>
      <c r="AM147" s="111" t="n">
        <f aca="false">IFERROR('Price History'!S3+(INDEX('Price History'!S:S,MATCH(9.99E+307,'Price History'!$A:$A))-'Price History'!S3)*(ROW()-3)/(MATCH(9.99E+307,'Returns (Calc)'!$A:$A)-3),"")</f>
        <v>141.118113207547</v>
      </c>
      <c r="AN147" s="111" t="n">
        <f aca="false">IFERROR('Price History'!T3+(INDEX('Price History'!T:T,MATCH(9.99E+307,'Price History'!$A:$A))-'Price History'!T3)*(ROW()-3)/(MATCH(9.99E+307,'Returns (Calc)'!$A:$A)-3),"")</f>
        <v>52.612641509434</v>
      </c>
      <c r="AO147" s="112" t="n">
        <f aca="false">IFERROR('Price History'!V3+(INDEX('Price History'!V:V,MATCH(9.99E+307,'Price History'!$A:$A))-'Price History'!V3)*(ROW()-3)/(MATCH(9.99E+307,'Returns (Calc)'!$A:$A)-3),"")</f>
        <v>339.686037735849</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V148" s="110" t="n">
        <f aca="false">IFERROR(IF(OR(NOT(ISNUMBER('Price History'!V149)),NOT(ISNUMBER('Price History'!V148)),'Price History'!V148=0),"",'Price History'!V149/'Price History'!V148-1),"")</f>
        <v>-0.00767660767051503</v>
      </c>
      <c r="W148" s="111" t="n">
        <f aca="false">IFERROR('Price History'!B3+(INDEX('Price History'!B:B,MATCH(9.99E+307,'Price History'!$A:$A))-'Price History'!B3)*(ROW()-3)/(MATCH(9.99E+307,'Returns (Calc)'!$A:$A)-3),"")</f>
        <v>287.812893081761</v>
      </c>
      <c r="X148" s="111" t="n">
        <f aca="false">IFERROR('Price History'!C3+(INDEX('Price History'!C:C,MATCH(9.99E+307,'Price History'!$A:$A))-'Price History'!C3)*(ROW()-3)/(MATCH(9.99E+307,'Returns (Calc)'!$A:$A)-3),"")</f>
        <v>180.56893081761</v>
      </c>
      <c r="Y148" s="111" t="n">
        <f aca="false">IFERROR('Price History'!D3+(INDEX('Price History'!D:D,MATCH(9.99E+307,'Price History'!$A:$A))-'Price History'!D3)*(ROW()-3)/(MATCH(9.99E+307,'Returns (Calc)'!$A:$A)-3),"")</f>
        <v>1622.15421383648</v>
      </c>
      <c r="Z148" s="111" t="n">
        <f aca="false">IFERROR('Price History'!E3+(INDEX('Price History'!E:E,MATCH(9.99E+307,'Price History'!$A:$A))-'Price History'!E3)*(ROW()-3)/(MATCH(9.99E+307,'Returns (Calc)'!$A:$A)-3),"")</f>
        <v>333.69320754717</v>
      </c>
      <c r="AA148" s="111" t="n">
        <f aca="false">IFERROR('Price History'!F3+(INDEX('Price History'!F:F,MATCH(9.99E+307,'Price History'!$A:$A))-'Price History'!F3)*(ROW()-3)/(MATCH(9.99E+307,'Returns (Calc)'!$A:$A)-3),"")</f>
        <v>197.599622641509</v>
      </c>
      <c r="AB148" s="111" t="n">
        <f aca="false">IFERROR('Price History'!G3+(INDEX('Price History'!G:G,MATCH(9.99E+307,'Price History'!$A:$A))-'Price History'!G3)*(ROW()-3)/(MATCH(9.99E+307,'Returns (Calc)'!$A:$A)-3),"")</f>
        <v>173.475471698113</v>
      </c>
      <c r="AC148" s="111" t="n">
        <f aca="false">IFERROR('Price History'!H3+(INDEX('Price History'!H:H,MATCH(9.99E+307,'Price History'!$A:$A))-'Price History'!H3)*(ROW()-3)/(MATCH(9.99E+307,'Returns (Calc)'!$A:$A)-3),"")</f>
        <v>932.746729559748</v>
      </c>
      <c r="AD148" s="111" t="n">
        <f aca="false">IFERROR('Price History'!I3+(INDEX('Price History'!I:I,MATCH(9.99E+307,'Price History'!$A:$A))-'Price History'!I3)*(ROW()-3)/(MATCH(9.99E+307,'Returns (Calc)'!$A:$A)-3),"")</f>
        <v>213.67358490566</v>
      </c>
      <c r="AE148" s="111" t="n">
        <f aca="false">IFERROR('Price History'!J3+(INDEX('Price History'!J:J,MATCH(9.99E+307,'Price History'!$A:$A))-'Price History'!J3)*(ROW()-3)/(MATCH(9.99E+307,'Returns (Calc)'!$A:$A)-3),"")</f>
        <v>136.122264150943</v>
      </c>
      <c r="AF148" s="111" t="n">
        <f aca="false">IFERROR('Price History'!K3+(INDEX('Price History'!K:K,MATCH(9.99E+307,'Price History'!$A:$A))-'Price History'!K3)*(ROW()-3)/(MATCH(9.99E+307,'Returns (Calc)'!$A:$A)-3),"")</f>
        <v>160.337044025157</v>
      </c>
      <c r="AG148" s="111" t="n">
        <f aca="false">IFERROR('Price History'!L3+(INDEX('Price History'!L:L,MATCH(9.99E+307,'Price History'!$A:$A))-'Price History'!L3)*(ROW()-3)/(MATCH(9.99E+307,'Returns (Calc)'!$A:$A)-3),"")</f>
        <v>399.244088050315</v>
      </c>
      <c r="AH148" s="111" t="n">
        <f aca="false">IFERROR('Price History'!M3+(INDEX('Price History'!M:M,MATCH(9.99E+307,'Price History'!$A:$A))-'Price History'!M3)*(ROW()-3)/(MATCH(9.99E+307,'Returns (Calc)'!$A:$A)-3),"")</f>
        <v>258.779811320755</v>
      </c>
      <c r="AI148" s="111" t="n">
        <f aca="false">IFERROR('Price History'!N3+(INDEX('Price History'!N:N,MATCH(9.99E+307,'Price History'!$A:$A))-'Price History'!N3)*(ROW()-3)/(MATCH(9.99E+307,'Returns (Calc)'!$A:$A)-3),"")</f>
        <v>528.839245283019</v>
      </c>
      <c r="AJ148" s="111" t="n">
        <f aca="false">IFERROR('Price History'!O3+(INDEX('Price History'!O:O,MATCH(9.99E+307,'Price History'!$A:$A))-'Price History'!O3)*(ROW()-3)/(MATCH(9.99E+307,'Returns (Calc)'!$A:$A)-3),"")</f>
        <v>123.048742138365</v>
      </c>
      <c r="AK148" s="111" t="n">
        <f aca="false">IFERROR('Price History'!Q3+(INDEX('Price History'!Q:Q,MATCH(9.99E+307,'Price History'!$A:$A))-'Price History'!Q3)*(ROW()-3)/(MATCH(9.99E+307,'Returns (Calc)'!$A:$A)-3),"")</f>
        <v>67.9695597484277</v>
      </c>
      <c r="AL148" s="111" t="n">
        <f aca="false">IFERROR('Price History'!R3+(INDEX('Price History'!R:R,MATCH(9.99E+307,'Price History'!$A:$A))-'Price History'!R3)*(ROW()-3)/(MATCH(9.99E+307,'Returns (Calc)'!$A:$A)-3),"")</f>
        <v>58.8089937106918</v>
      </c>
      <c r="AM148" s="111" t="n">
        <f aca="false">IFERROR('Price History'!S3+(INDEX('Price History'!S:S,MATCH(9.99E+307,'Price History'!$A:$A))-'Price History'!S3)*(ROW()-3)/(MATCH(9.99E+307,'Returns (Calc)'!$A:$A)-3),"")</f>
        <v>141.691572327044</v>
      </c>
      <c r="AN148" s="111" t="n">
        <f aca="false">IFERROR('Price History'!T3+(INDEX('Price History'!T:T,MATCH(9.99E+307,'Price History'!$A:$A))-'Price History'!T3)*(ROW()-3)/(MATCH(9.99E+307,'Returns (Calc)'!$A:$A)-3),"")</f>
        <v>52.7911320754717</v>
      </c>
      <c r="AO148" s="112" t="n">
        <f aca="false">IFERROR('Price History'!V3+(INDEX('Price History'!V:V,MATCH(9.99E+307,'Price History'!$A:$A))-'Price History'!V3)*(ROW()-3)/(MATCH(9.99E+307,'Returns (Calc)'!$A:$A)-3),"")</f>
        <v>342.044968553459</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V149" s="110" t="n">
        <f aca="false">IFERROR(IF(OR(NOT(ISNUMBER('Price History'!V150)),NOT(ISNUMBER('Price History'!V149)),'Price History'!V149=0),"",'Price History'!V150/'Price History'!V149-1),"")</f>
        <v>-0.00853415195702212</v>
      </c>
      <c r="W149" s="111" t="n">
        <f aca="false">IFERROR('Price History'!B3+(INDEX('Price History'!B:B,MATCH(9.99E+307,'Price History'!$A:$A))-'Price History'!B3)*(ROW()-3)/(MATCH(9.99E+307,'Returns (Calc)'!$A:$A)-3),"")</f>
        <v>286.291257861635</v>
      </c>
      <c r="X149" s="111" t="n">
        <f aca="false">IFERROR('Price History'!C3+(INDEX('Price History'!C:C,MATCH(9.99E+307,'Price History'!$A:$A))-'Price History'!C3)*(ROW()-3)/(MATCH(9.99E+307,'Returns (Calc)'!$A:$A)-3),"")</f>
        <v>181.512578616352</v>
      </c>
      <c r="Y149" s="111" t="n">
        <f aca="false">IFERROR('Price History'!D3+(INDEX('Price History'!D:D,MATCH(9.99E+307,'Price History'!$A:$A))-'Price History'!D3)*(ROW()-3)/(MATCH(9.99E+307,'Returns (Calc)'!$A:$A)-3),"")</f>
        <v>1628.77748427673</v>
      </c>
      <c r="Z149" s="111" t="n">
        <f aca="false">IFERROR('Price History'!E3+(INDEX('Price History'!E:E,MATCH(9.99E+307,'Price History'!$A:$A))-'Price History'!E3)*(ROW()-3)/(MATCH(9.99E+307,'Returns (Calc)'!$A:$A)-3),"")</f>
        <v>335.422264150943</v>
      </c>
      <c r="AA149" s="111" t="n">
        <f aca="false">IFERROR('Price History'!F3+(INDEX('Price History'!F:F,MATCH(9.99E+307,'Price History'!$A:$A))-'Price History'!F3)*(ROW()-3)/(MATCH(9.99E+307,'Returns (Calc)'!$A:$A)-3),"")</f>
        <v>198.70679245283</v>
      </c>
      <c r="AB149" s="111" t="n">
        <f aca="false">IFERROR('Price History'!G3+(INDEX('Price History'!G:G,MATCH(9.99E+307,'Price History'!$A:$A))-'Price History'!G3)*(ROW()-3)/(MATCH(9.99E+307,'Returns (Calc)'!$A:$A)-3),"")</f>
        <v>174.341509433962</v>
      </c>
      <c r="AC149" s="111" t="n">
        <f aca="false">IFERROR('Price History'!H3+(INDEX('Price History'!H:H,MATCH(9.99E+307,'Price History'!$A:$A))-'Price History'!H3)*(ROW()-3)/(MATCH(9.99E+307,'Returns (Calc)'!$A:$A)-3),"")</f>
        <v>938.735534591195</v>
      </c>
      <c r="AD149" s="111" t="n">
        <f aca="false">IFERROR('Price History'!I3+(INDEX('Price History'!I:I,MATCH(9.99E+307,'Price History'!$A:$A))-'Price History'!I3)*(ROW()-3)/(MATCH(9.99E+307,'Returns (Calc)'!$A:$A)-3),"")</f>
        <v>214.865471698113</v>
      </c>
      <c r="AE149" s="111" t="n">
        <f aca="false">IFERROR('Price History'!J3+(INDEX('Price History'!J:J,MATCH(9.99E+307,'Price History'!$A:$A))-'Price History'!J3)*(ROW()-3)/(MATCH(9.99E+307,'Returns (Calc)'!$A:$A)-3),"")</f>
        <v>136.209245283019</v>
      </c>
      <c r="AF149" s="111" t="n">
        <f aca="false">IFERROR('Price History'!K3+(INDEX('Price History'!K:K,MATCH(9.99E+307,'Price History'!$A:$A))-'Price History'!K3)*(ROW()-3)/(MATCH(9.99E+307,'Returns (Calc)'!$A:$A)-3),"")</f>
        <v>161.336540880503</v>
      </c>
      <c r="AG149" s="111" t="n">
        <f aca="false">IFERROR('Price History'!L3+(INDEX('Price History'!L:L,MATCH(9.99E+307,'Price History'!$A:$A))-'Price History'!L3)*(ROW()-3)/(MATCH(9.99E+307,'Returns (Calc)'!$A:$A)-3),"")</f>
        <v>401.363081761006</v>
      </c>
      <c r="AH149" s="111" t="n">
        <f aca="false">IFERROR('Price History'!M3+(INDEX('Price History'!M:M,MATCH(9.99E+307,'Price History'!$A:$A))-'Price History'!M3)*(ROW()-3)/(MATCH(9.99E+307,'Returns (Calc)'!$A:$A)-3),"")</f>
        <v>260.333396226415</v>
      </c>
      <c r="AI149" s="111" t="n">
        <f aca="false">IFERROR('Price History'!N3+(INDEX('Price History'!N:N,MATCH(9.99E+307,'Price History'!$A:$A))-'Price History'!N3)*(ROW()-3)/(MATCH(9.99E+307,'Returns (Calc)'!$A:$A)-3),"")</f>
        <v>530.07358490566</v>
      </c>
      <c r="AJ149" s="111" t="n">
        <f aca="false">IFERROR('Price History'!O3+(INDEX('Price History'!O:O,MATCH(9.99E+307,'Price History'!$A:$A))-'Price History'!O3)*(ROW()-3)/(MATCH(9.99E+307,'Returns (Calc)'!$A:$A)-3),"")</f>
        <v>123.325974842767</v>
      </c>
      <c r="AK149" s="111" t="n">
        <f aca="false">IFERROR('Price History'!Q3+(INDEX('Price History'!Q:Q,MATCH(9.99E+307,'Price History'!$A:$A))-'Price History'!Q3)*(ROW()-3)/(MATCH(9.99E+307,'Returns (Calc)'!$A:$A)-3),"")</f>
        <v>68.0945911949686</v>
      </c>
      <c r="AL149" s="111" t="n">
        <f aca="false">IFERROR('Price History'!R3+(INDEX('Price History'!R:R,MATCH(9.99E+307,'Price History'!$A:$A))-'Price History'!R3)*(ROW()-3)/(MATCH(9.99E+307,'Returns (Calc)'!$A:$A)-3),"")</f>
        <v>58.8847798742138</v>
      </c>
      <c r="AM149" s="111" t="n">
        <f aca="false">IFERROR('Price History'!S3+(INDEX('Price History'!S:S,MATCH(9.99E+307,'Price History'!$A:$A))-'Price History'!S3)*(ROW()-3)/(MATCH(9.99E+307,'Returns (Calc)'!$A:$A)-3),"")</f>
        <v>142.265031446541</v>
      </c>
      <c r="AN149" s="111" t="n">
        <f aca="false">IFERROR('Price History'!T3+(INDEX('Price History'!T:T,MATCH(9.99E+307,'Price History'!$A:$A))-'Price History'!T3)*(ROW()-3)/(MATCH(9.99E+307,'Returns (Calc)'!$A:$A)-3),"")</f>
        <v>52.9696226415094</v>
      </c>
      <c r="AO149" s="112" t="n">
        <f aca="false">IFERROR('Price History'!V3+(INDEX('Price History'!V:V,MATCH(9.99E+307,'Price History'!$A:$A))-'Price History'!V3)*(ROW()-3)/(MATCH(9.99E+307,'Returns (Calc)'!$A:$A)-3),"")</f>
        <v>344.403899371069</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V150" s="110" t="n">
        <f aca="false">IFERROR(IF(OR(NOT(ISNUMBER('Price History'!V151)),NOT(ISNUMBER('Price History'!V150)),'Price History'!V150=0),"",'Price History'!V151/'Price History'!V150-1),"")</f>
        <v>-0.00365359011672917</v>
      </c>
      <c r="W150" s="111" t="n">
        <f aca="false">IFERROR('Price History'!B3+(INDEX('Price History'!B:B,MATCH(9.99E+307,'Price History'!$A:$A))-'Price History'!B3)*(ROW()-3)/(MATCH(9.99E+307,'Returns (Calc)'!$A:$A)-3),"")</f>
        <v>284.769622641509</v>
      </c>
      <c r="X150" s="111" t="n">
        <f aca="false">IFERROR('Price History'!C3+(INDEX('Price History'!C:C,MATCH(9.99E+307,'Price History'!$A:$A))-'Price History'!C3)*(ROW()-3)/(MATCH(9.99E+307,'Returns (Calc)'!$A:$A)-3),"")</f>
        <v>182.456226415094</v>
      </c>
      <c r="Y150" s="111" t="n">
        <f aca="false">IFERROR('Price History'!D3+(INDEX('Price History'!D:D,MATCH(9.99E+307,'Price History'!$A:$A))-'Price History'!D3)*(ROW()-3)/(MATCH(9.99E+307,'Returns (Calc)'!$A:$A)-3),"")</f>
        <v>1635.40075471698</v>
      </c>
      <c r="Z150" s="111" t="n">
        <f aca="false">IFERROR('Price History'!E3+(INDEX('Price History'!E:E,MATCH(9.99E+307,'Price History'!$A:$A))-'Price History'!E3)*(ROW()-3)/(MATCH(9.99E+307,'Returns (Calc)'!$A:$A)-3),"")</f>
        <v>337.151320754717</v>
      </c>
      <c r="AA150" s="111" t="n">
        <f aca="false">IFERROR('Price History'!F3+(INDEX('Price History'!F:F,MATCH(9.99E+307,'Price History'!$A:$A))-'Price History'!F3)*(ROW()-3)/(MATCH(9.99E+307,'Returns (Calc)'!$A:$A)-3),"")</f>
        <v>199.813962264151</v>
      </c>
      <c r="AB150" s="111" t="n">
        <f aca="false">IFERROR('Price History'!G3+(INDEX('Price History'!G:G,MATCH(9.99E+307,'Price History'!$A:$A))-'Price History'!G3)*(ROW()-3)/(MATCH(9.99E+307,'Returns (Calc)'!$A:$A)-3),"")</f>
        <v>175.207547169811</v>
      </c>
      <c r="AC150" s="111" t="n">
        <f aca="false">IFERROR('Price History'!H3+(INDEX('Price History'!H:H,MATCH(9.99E+307,'Price History'!$A:$A))-'Price History'!H3)*(ROW()-3)/(MATCH(9.99E+307,'Returns (Calc)'!$A:$A)-3),"")</f>
        <v>944.724339622642</v>
      </c>
      <c r="AD150" s="111" t="n">
        <f aca="false">IFERROR('Price History'!I3+(INDEX('Price History'!I:I,MATCH(9.99E+307,'Price History'!$A:$A))-'Price History'!I3)*(ROW()-3)/(MATCH(9.99E+307,'Returns (Calc)'!$A:$A)-3),"")</f>
        <v>216.057358490566</v>
      </c>
      <c r="AE150" s="111" t="n">
        <f aca="false">IFERROR('Price History'!J3+(INDEX('Price History'!J:J,MATCH(9.99E+307,'Price History'!$A:$A))-'Price History'!J3)*(ROW()-3)/(MATCH(9.99E+307,'Returns (Calc)'!$A:$A)-3),"")</f>
        <v>136.296226415094</v>
      </c>
      <c r="AF150" s="111" t="n">
        <f aca="false">IFERROR('Price History'!K3+(INDEX('Price History'!K:K,MATCH(9.99E+307,'Price History'!$A:$A))-'Price History'!K3)*(ROW()-3)/(MATCH(9.99E+307,'Returns (Calc)'!$A:$A)-3),"")</f>
        <v>162.336037735849</v>
      </c>
      <c r="AG150" s="111" t="n">
        <f aca="false">IFERROR('Price History'!L3+(INDEX('Price History'!L:L,MATCH(9.99E+307,'Price History'!$A:$A))-'Price History'!L3)*(ROW()-3)/(MATCH(9.99E+307,'Returns (Calc)'!$A:$A)-3),"")</f>
        <v>403.482075471698</v>
      </c>
      <c r="AH150" s="111" t="n">
        <f aca="false">IFERROR('Price History'!M3+(INDEX('Price History'!M:M,MATCH(9.99E+307,'Price History'!$A:$A))-'Price History'!M3)*(ROW()-3)/(MATCH(9.99E+307,'Returns (Calc)'!$A:$A)-3),"")</f>
        <v>261.886981132075</v>
      </c>
      <c r="AI150" s="111" t="n">
        <f aca="false">IFERROR('Price History'!N3+(INDEX('Price History'!N:N,MATCH(9.99E+307,'Price History'!$A:$A))-'Price History'!N3)*(ROW()-3)/(MATCH(9.99E+307,'Returns (Calc)'!$A:$A)-3),"")</f>
        <v>531.307924528302</v>
      </c>
      <c r="AJ150" s="111" t="n">
        <f aca="false">IFERROR('Price History'!O3+(INDEX('Price History'!O:O,MATCH(9.99E+307,'Price History'!$A:$A))-'Price History'!O3)*(ROW()-3)/(MATCH(9.99E+307,'Returns (Calc)'!$A:$A)-3),"")</f>
        <v>123.60320754717</v>
      </c>
      <c r="AK150" s="111" t="n">
        <f aca="false">IFERROR('Price History'!Q3+(INDEX('Price History'!Q:Q,MATCH(9.99E+307,'Price History'!$A:$A))-'Price History'!Q3)*(ROW()-3)/(MATCH(9.99E+307,'Returns (Calc)'!$A:$A)-3),"")</f>
        <v>68.2196226415094</v>
      </c>
      <c r="AL150" s="111" t="n">
        <f aca="false">IFERROR('Price History'!R3+(INDEX('Price History'!R:R,MATCH(9.99E+307,'Price History'!$A:$A))-'Price History'!R3)*(ROW()-3)/(MATCH(9.99E+307,'Returns (Calc)'!$A:$A)-3),"")</f>
        <v>58.9605660377358</v>
      </c>
      <c r="AM150" s="111" t="n">
        <f aca="false">IFERROR('Price History'!S3+(INDEX('Price History'!S:S,MATCH(9.99E+307,'Price History'!$A:$A))-'Price History'!S3)*(ROW()-3)/(MATCH(9.99E+307,'Returns (Calc)'!$A:$A)-3),"")</f>
        <v>142.838490566038</v>
      </c>
      <c r="AN150" s="111" t="n">
        <f aca="false">IFERROR('Price History'!T3+(INDEX('Price History'!T:T,MATCH(9.99E+307,'Price History'!$A:$A))-'Price History'!T3)*(ROW()-3)/(MATCH(9.99E+307,'Returns (Calc)'!$A:$A)-3),"")</f>
        <v>53.1481132075472</v>
      </c>
      <c r="AO150" s="112" t="n">
        <f aca="false">IFERROR('Price History'!V3+(INDEX('Price History'!V:V,MATCH(9.99E+307,'Price History'!$A:$A))-'Price History'!V3)*(ROW()-3)/(MATCH(9.99E+307,'Returns (Calc)'!$A:$A)-3),"")</f>
        <v>346.762830188679</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V151" s="110" t="str">
        <f aca="false">IFERROR(IF(OR(NOT(ISNUMBER('Price History'!V152)),NOT(ISNUMBER('Price History'!V151)),'Price History'!V151=0),"",'Price History'!V152/'Price History'!V151-1),"")</f>
        <v/>
      </c>
      <c r="W151" s="111" t="n">
        <f aca="false">IFERROR('Price History'!B3+(INDEX('Price History'!B:B,MATCH(9.99E+307,'Price History'!$A:$A))-'Price History'!B3)*(ROW()-3)/(MATCH(9.99E+307,'Returns (Calc)'!$A:$A)-3),"")</f>
        <v>283.247987421384</v>
      </c>
      <c r="X151" s="111" t="n">
        <f aca="false">IFERROR('Price History'!C3+(INDEX('Price History'!C:C,MATCH(9.99E+307,'Price History'!$A:$A))-'Price History'!C3)*(ROW()-3)/(MATCH(9.99E+307,'Returns (Calc)'!$A:$A)-3),"")</f>
        <v>183.399874213836</v>
      </c>
      <c r="Y151" s="111" t="n">
        <f aca="false">IFERROR('Price History'!D3+(INDEX('Price History'!D:D,MATCH(9.99E+307,'Price History'!$A:$A))-'Price History'!D3)*(ROW()-3)/(MATCH(9.99E+307,'Returns (Calc)'!$A:$A)-3),"")</f>
        <v>1642.02402515723</v>
      </c>
      <c r="Z151" s="111" t="n">
        <f aca="false">IFERROR('Price History'!E3+(INDEX('Price History'!E:E,MATCH(9.99E+307,'Price History'!$A:$A))-'Price History'!E3)*(ROW()-3)/(MATCH(9.99E+307,'Returns (Calc)'!$A:$A)-3),"")</f>
        <v>338.880377358491</v>
      </c>
      <c r="AA151" s="111" t="n">
        <f aca="false">IFERROR('Price History'!F3+(INDEX('Price History'!F:F,MATCH(9.99E+307,'Price History'!$A:$A))-'Price History'!F3)*(ROW()-3)/(MATCH(9.99E+307,'Returns (Calc)'!$A:$A)-3),"")</f>
        <v>200.921132075472</v>
      </c>
      <c r="AB151" s="111" t="n">
        <f aca="false">IFERROR('Price History'!G3+(INDEX('Price History'!G:G,MATCH(9.99E+307,'Price History'!$A:$A))-'Price History'!G3)*(ROW()-3)/(MATCH(9.99E+307,'Returns (Calc)'!$A:$A)-3),"")</f>
        <v>176.07358490566</v>
      </c>
      <c r="AC151" s="111" t="n">
        <f aca="false">IFERROR('Price History'!H3+(INDEX('Price History'!H:H,MATCH(9.99E+307,'Price History'!$A:$A))-'Price History'!H3)*(ROW()-3)/(MATCH(9.99E+307,'Returns (Calc)'!$A:$A)-3),"")</f>
        <v>950.713144654088</v>
      </c>
      <c r="AD151" s="111" t="n">
        <f aca="false">IFERROR('Price History'!I3+(INDEX('Price History'!I:I,MATCH(9.99E+307,'Price History'!$A:$A))-'Price History'!I3)*(ROW()-3)/(MATCH(9.99E+307,'Returns (Calc)'!$A:$A)-3),"")</f>
        <v>217.249245283019</v>
      </c>
      <c r="AE151" s="111" t="n">
        <f aca="false">IFERROR('Price History'!J3+(INDEX('Price History'!J:J,MATCH(9.99E+307,'Price History'!$A:$A))-'Price History'!J3)*(ROW()-3)/(MATCH(9.99E+307,'Returns (Calc)'!$A:$A)-3),"")</f>
        <v>136.38320754717</v>
      </c>
      <c r="AF151" s="111" t="n">
        <f aca="false">IFERROR('Price History'!K3+(INDEX('Price History'!K:K,MATCH(9.99E+307,'Price History'!$A:$A))-'Price History'!K3)*(ROW()-3)/(MATCH(9.99E+307,'Returns (Calc)'!$A:$A)-3),"")</f>
        <v>163.335534591195</v>
      </c>
      <c r="AG151" s="111" t="n">
        <f aca="false">IFERROR('Price History'!L3+(INDEX('Price History'!L:L,MATCH(9.99E+307,'Price History'!$A:$A))-'Price History'!L3)*(ROW()-3)/(MATCH(9.99E+307,'Returns (Calc)'!$A:$A)-3),"")</f>
        <v>405.60106918239</v>
      </c>
      <c r="AH151" s="111" t="n">
        <f aca="false">IFERROR('Price History'!M3+(INDEX('Price History'!M:M,MATCH(9.99E+307,'Price History'!$A:$A))-'Price History'!M3)*(ROW()-3)/(MATCH(9.99E+307,'Returns (Calc)'!$A:$A)-3),"")</f>
        <v>263.440566037736</v>
      </c>
      <c r="AI151" s="111" t="n">
        <f aca="false">IFERROR('Price History'!N3+(INDEX('Price History'!N:N,MATCH(9.99E+307,'Price History'!$A:$A))-'Price History'!N3)*(ROW()-3)/(MATCH(9.99E+307,'Returns (Calc)'!$A:$A)-3),"")</f>
        <v>532.542264150943</v>
      </c>
      <c r="AJ151" s="111" t="n">
        <f aca="false">IFERROR('Price History'!O3+(INDEX('Price History'!O:O,MATCH(9.99E+307,'Price History'!$A:$A))-'Price History'!O3)*(ROW()-3)/(MATCH(9.99E+307,'Returns (Calc)'!$A:$A)-3),"")</f>
        <v>123.880440251572</v>
      </c>
      <c r="AK151" s="111" t="n">
        <f aca="false">IFERROR('Price History'!Q3+(INDEX('Price History'!Q:Q,MATCH(9.99E+307,'Price History'!$A:$A))-'Price History'!Q3)*(ROW()-3)/(MATCH(9.99E+307,'Returns (Calc)'!$A:$A)-3),"")</f>
        <v>68.3446540880503</v>
      </c>
      <c r="AL151" s="111" t="n">
        <f aca="false">IFERROR('Price History'!R3+(INDEX('Price History'!R:R,MATCH(9.99E+307,'Price History'!$A:$A))-'Price History'!R3)*(ROW()-3)/(MATCH(9.99E+307,'Returns (Calc)'!$A:$A)-3),"")</f>
        <v>59.0363522012579</v>
      </c>
      <c r="AM151" s="111" t="n">
        <f aca="false">IFERROR('Price History'!S3+(INDEX('Price History'!S:S,MATCH(9.99E+307,'Price History'!$A:$A))-'Price History'!S3)*(ROW()-3)/(MATCH(9.99E+307,'Returns (Calc)'!$A:$A)-3),"")</f>
        <v>143.411949685535</v>
      </c>
      <c r="AN151" s="111" t="n">
        <f aca="false">IFERROR('Price History'!T3+(INDEX('Price History'!T:T,MATCH(9.99E+307,'Price History'!$A:$A))-'Price History'!T3)*(ROW()-3)/(MATCH(9.99E+307,'Returns (Calc)'!$A:$A)-3),"")</f>
        <v>53.3266037735849</v>
      </c>
      <c r="AO151" s="112" t="n">
        <f aca="false">IFERROR('Price History'!V3+(INDEX('Price History'!V:V,MATCH(9.99E+307,'Price History'!$A:$A))-'Price History'!V3)*(ROW()-3)/(MATCH(9.99E+307,'Returns (Calc)'!$A:$A)-3),"")</f>
        <v>349.121761006289</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V152" s="110" t="str">
        <f aca="false">IFERROR(IF(OR(NOT(ISNUMBER('Price History'!V153)),NOT(ISNUMBER('Price History'!V152)),'Price History'!V152=0),"",'Price History'!V153/'Price History'!V152-1),"")</f>
        <v/>
      </c>
      <c r="W152" s="111" t="n">
        <f aca="false">IFERROR('Price History'!B3+(INDEX('Price History'!B:B,MATCH(9.99E+307,'Price History'!$A:$A))-'Price History'!B3)*(ROW()-3)/(MATCH(9.99E+307,'Returns (Calc)'!$A:$A)-3),"")</f>
        <v>281.726352201258</v>
      </c>
      <c r="X152" s="111" t="n">
        <f aca="false">IFERROR('Price History'!C3+(INDEX('Price History'!C:C,MATCH(9.99E+307,'Price History'!$A:$A))-'Price History'!C3)*(ROW()-3)/(MATCH(9.99E+307,'Returns (Calc)'!$A:$A)-3),"")</f>
        <v>184.343522012579</v>
      </c>
      <c r="Y152" s="111" t="n">
        <f aca="false">IFERROR('Price History'!D3+(INDEX('Price History'!D:D,MATCH(9.99E+307,'Price History'!$A:$A))-'Price History'!D3)*(ROW()-3)/(MATCH(9.99E+307,'Returns (Calc)'!$A:$A)-3),"")</f>
        <v>1648.64729559748</v>
      </c>
      <c r="Z152" s="111" t="n">
        <f aca="false">IFERROR('Price History'!E3+(INDEX('Price History'!E:E,MATCH(9.99E+307,'Price History'!$A:$A))-'Price History'!E3)*(ROW()-3)/(MATCH(9.99E+307,'Returns (Calc)'!$A:$A)-3),"")</f>
        <v>340.609433962264</v>
      </c>
      <c r="AA152" s="111" t="n">
        <f aca="false">IFERROR('Price History'!F3+(INDEX('Price History'!F:F,MATCH(9.99E+307,'Price History'!$A:$A))-'Price History'!F3)*(ROW()-3)/(MATCH(9.99E+307,'Returns (Calc)'!$A:$A)-3),"")</f>
        <v>202.028301886792</v>
      </c>
      <c r="AB152" s="111" t="n">
        <f aca="false">IFERROR('Price History'!G3+(INDEX('Price History'!G:G,MATCH(9.99E+307,'Price History'!$A:$A))-'Price History'!G3)*(ROW()-3)/(MATCH(9.99E+307,'Returns (Calc)'!$A:$A)-3),"")</f>
        <v>176.939622641509</v>
      </c>
      <c r="AC152" s="111" t="n">
        <f aca="false">IFERROR('Price History'!H3+(INDEX('Price History'!H:H,MATCH(9.99E+307,'Price History'!$A:$A))-'Price History'!H3)*(ROW()-3)/(MATCH(9.99E+307,'Returns (Calc)'!$A:$A)-3),"")</f>
        <v>956.701949685535</v>
      </c>
      <c r="AD152" s="111" t="n">
        <f aca="false">IFERROR('Price History'!I3+(INDEX('Price History'!I:I,MATCH(9.99E+307,'Price History'!$A:$A))-'Price History'!I3)*(ROW()-3)/(MATCH(9.99E+307,'Returns (Calc)'!$A:$A)-3),"")</f>
        <v>218.441132075472</v>
      </c>
      <c r="AE152" s="111" t="n">
        <f aca="false">IFERROR('Price History'!J3+(INDEX('Price History'!J:J,MATCH(9.99E+307,'Price History'!$A:$A))-'Price History'!J3)*(ROW()-3)/(MATCH(9.99E+307,'Returns (Calc)'!$A:$A)-3),"")</f>
        <v>136.470188679245</v>
      </c>
      <c r="AF152" s="111" t="n">
        <f aca="false">IFERROR('Price History'!K3+(INDEX('Price History'!K:K,MATCH(9.99E+307,'Price History'!$A:$A))-'Price History'!K3)*(ROW()-3)/(MATCH(9.99E+307,'Returns (Calc)'!$A:$A)-3),"")</f>
        <v>164.335031446541</v>
      </c>
      <c r="AG152" s="111" t="n">
        <f aca="false">IFERROR('Price History'!L3+(INDEX('Price History'!L:L,MATCH(9.99E+307,'Price History'!$A:$A))-'Price History'!L3)*(ROW()-3)/(MATCH(9.99E+307,'Returns (Calc)'!$A:$A)-3),"")</f>
        <v>407.720062893082</v>
      </c>
      <c r="AH152" s="111" t="n">
        <f aca="false">IFERROR('Price History'!M3+(INDEX('Price History'!M:M,MATCH(9.99E+307,'Price History'!$A:$A))-'Price History'!M3)*(ROW()-3)/(MATCH(9.99E+307,'Returns (Calc)'!$A:$A)-3),"")</f>
        <v>264.994150943396</v>
      </c>
      <c r="AI152" s="111" t="n">
        <f aca="false">IFERROR('Price History'!N3+(INDEX('Price History'!N:N,MATCH(9.99E+307,'Price History'!$A:$A))-'Price History'!N3)*(ROW()-3)/(MATCH(9.99E+307,'Returns (Calc)'!$A:$A)-3),"")</f>
        <v>533.776603773585</v>
      </c>
      <c r="AJ152" s="111" t="n">
        <f aca="false">IFERROR('Price History'!O3+(INDEX('Price History'!O:O,MATCH(9.99E+307,'Price History'!$A:$A))-'Price History'!O3)*(ROW()-3)/(MATCH(9.99E+307,'Returns (Calc)'!$A:$A)-3),"")</f>
        <v>124.157672955975</v>
      </c>
      <c r="AK152" s="111" t="n">
        <f aca="false">IFERROR('Price History'!Q3+(INDEX('Price History'!Q:Q,MATCH(9.99E+307,'Price History'!$A:$A))-'Price History'!Q3)*(ROW()-3)/(MATCH(9.99E+307,'Returns (Calc)'!$A:$A)-3),"")</f>
        <v>68.4696855345912</v>
      </c>
      <c r="AL152" s="111" t="n">
        <f aca="false">IFERROR('Price History'!R3+(INDEX('Price History'!R:R,MATCH(9.99E+307,'Price History'!$A:$A))-'Price History'!R3)*(ROW()-3)/(MATCH(9.99E+307,'Returns (Calc)'!$A:$A)-3),"")</f>
        <v>59.1121383647799</v>
      </c>
      <c r="AM152" s="111" t="n">
        <f aca="false">IFERROR('Price History'!S3+(INDEX('Price History'!S:S,MATCH(9.99E+307,'Price History'!$A:$A))-'Price History'!S3)*(ROW()-3)/(MATCH(9.99E+307,'Returns (Calc)'!$A:$A)-3),"")</f>
        <v>143.985408805031</v>
      </c>
      <c r="AN152" s="111" t="n">
        <f aca="false">IFERROR('Price History'!T3+(INDEX('Price History'!T:T,MATCH(9.99E+307,'Price History'!$A:$A))-'Price History'!T3)*(ROW()-3)/(MATCH(9.99E+307,'Returns (Calc)'!$A:$A)-3),"")</f>
        <v>53.5050943396226</v>
      </c>
      <c r="AO152" s="112" t="n">
        <f aca="false">IFERROR('Price History'!V3+(INDEX('Price History'!V:V,MATCH(9.99E+307,'Price History'!$A:$A))-'Price History'!V3)*(ROW()-3)/(MATCH(9.99E+307,'Returns (Calc)'!$A:$A)-3),"")</f>
        <v>351.480691823899</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V153" s="110" t="str">
        <f aca="false">IFERROR(IF(OR(NOT(ISNUMBER('Price History'!V154)),NOT(ISNUMBER('Price History'!V153)),'Price History'!V153=0),"",'Price History'!V154/'Price History'!V153-1),"")</f>
        <v/>
      </c>
      <c r="W153" s="111" t="n">
        <f aca="false">IFERROR('Price History'!B3+(INDEX('Price History'!B:B,MATCH(9.99E+307,'Price History'!$A:$A))-'Price History'!B3)*(ROW()-3)/(MATCH(9.99E+307,'Returns (Calc)'!$A:$A)-3),"")</f>
        <v>280.204716981132</v>
      </c>
      <c r="X153" s="111" t="n">
        <f aca="false">IFERROR('Price History'!C3+(INDEX('Price History'!C:C,MATCH(9.99E+307,'Price History'!$A:$A))-'Price History'!C3)*(ROW()-3)/(MATCH(9.99E+307,'Returns (Calc)'!$A:$A)-3),"")</f>
        <v>185.287169811321</v>
      </c>
      <c r="Y153" s="111" t="n">
        <f aca="false">IFERROR('Price History'!D3+(INDEX('Price History'!D:D,MATCH(9.99E+307,'Price History'!$A:$A))-'Price History'!D3)*(ROW()-3)/(MATCH(9.99E+307,'Returns (Calc)'!$A:$A)-3),"")</f>
        <v>1655.27056603774</v>
      </c>
      <c r="Z153" s="111" t="n">
        <f aca="false">IFERROR('Price History'!E3+(INDEX('Price History'!E:E,MATCH(9.99E+307,'Price History'!$A:$A))-'Price History'!E3)*(ROW()-3)/(MATCH(9.99E+307,'Returns (Calc)'!$A:$A)-3),"")</f>
        <v>342.338490566038</v>
      </c>
      <c r="AA153" s="111" t="n">
        <f aca="false">IFERROR('Price History'!F3+(INDEX('Price History'!F:F,MATCH(9.99E+307,'Price History'!$A:$A))-'Price History'!F3)*(ROW()-3)/(MATCH(9.99E+307,'Returns (Calc)'!$A:$A)-3),"")</f>
        <v>203.135471698113</v>
      </c>
      <c r="AB153" s="111" t="n">
        <f aca="false">IFERROR('Price History'!G3+(INDEX('Price History'!G:G,MATCH(9.99E+307,'Price History'!$A:$A))-'Price History'!G3)*(ROW()-3)/(MATCH(9.99E+307,'Returns (Calc)'!$A:$A)-3),"")</f>
        <v>177.805660377359</v>
      </c>
      <c r="AC153" s="111" t="n">
        <f aca="false">IFERROR('Price History'!H3+(INDEX('Price History'!H:H,MATCH(9.99E+307,'Price History'!$A:$A))-'Price History'!H3)*(ROW()-3)/(MATCH(9.99E+307,'Returns (Calc)'!$A:$A)-3),"")</f>
        <v>962.690754716981</v>
      </c>
      <c r="AD153" s="111" t="n">
        <f aca="false">IFERROR('Price History'!I3+(INDEX('Price History'!I:I,MATCH(9.99E+307,'Price History'!$A:$A))-'Price History'!I3)*(ROW()-3)/(MATCH(9.99E+307,'Returns (Calc)'!$A:$A)-3),"")</f>
        <v>219.633018867925</v>
      </c>
      <c r="AE153" s="111" t="n">
        <f aca="false">IFERROR('Price History'!J3+(INDEX('Price History'!J:J,MATCH(9.99E+307,'Price History'!$A:$A))-'Price History'!J3)*(ROW()-3)/(MATCH(9.99E+307,'Returns (Calc)'!$A:$A)-3),"")</f>
        <v>136.557169811321</v>
      </c>
      <c r="AF153" s="111" t="n">
        <f aca="false">IFERROR('Price History'!K3+(INDEX('Price History'!K:K,MATCH(9.99E+307,'Price History'!$A:$A))-'Price History'!K3)*(ROW()-3)/(MATCH(9.99E+307,'Returns (Calc)'!$A:$A)-3),"")</f>
        <v>165.334528301887</v>
      </c>
      <c r="AG153" s="111" t="n">
        <f aca="false">IFERROR('Price History'!L3+(INDEX('Price History'!L:L,MATCH(9.99E+307,'Price History'!$A:$A))-'Price History'!L3)*(ROW()-3)/(MATCH(9.99E+307,'Returns (Calc)'!$A:$A)-3),"")</f>
        <v>409.839056603774</v>
      </c>
      <c r="AH153" s="111" t="n">
        <f aca="false">IFERROR('Price History'!M3+(INDEX('Price History'!M:M,MATCH(9.99E+307,'Price History'!$A:$A))-'Price History'!M3)*(ROW()-3)/(MATCH(9.99E+307,'Returns (Calc)'!$A:$A)-3),"")</f>
        <v>266.547735849057</v>
      </c>
      <c r="AI153" s="111" t="n">
        <f aca="false">IFERROR('Price History'!N3+(INDEX('Price History'!N:N,MATCH(9.99E+307,'Price History'!$A:$A))-'Price History'!N3)*(ROW()-3)/(MATCH(9.99E+307,'Returns (Calc)'!$A:$A)-3),"")</f>
        <v>535.010943396226</v>
      </c>
      <c r="AJ153" s="111" t="n">
        <f aca="false">IFERROR('Price History'!O3+(INDEX('Price History'!O:O,MATCH(9.99E+307,'Price History'!$A:$A))-'Price History'!O3)*(ROW()-3)/(MATCH(9.99E+307,'Returns (Calc)'!$A:$A)-3),"")</f>
        <v>124.434905660377</v>
      </c>
      <c r="AK153" s="111" t="n">
        <f aca="false">IFERROR('Price History'!Q3+(INDEX('Price History'!Q:Q,MATCH(9.99E+307,'Price History'!$A:$A))-'Price History'!Q3)*(ROW()-3)/(MATCH(9.99E+307,'Returns (Calc)'!$A:$A)-3),"")</f>
        <v>68.5947169811321</v>
      </c>
      <c r="AL153" s="111" t="n">
        <f aca="false">IFERROR('Price History'!R3+(INDEX('Price History'!R:R,MATCH(9.99E+307,'Price History'!$A:$A))-'Price History'!R3)*(ROW()-3)/(MATCH(9.99E+307,'Returns (Calc)'!$A:$A)-3),"")</f>
        <v>59.1879245283019</v>
      </c>
      <c r="AM153" s="111" t="n">
        <f aca="false">IFERROR('Price History'!S3+(INDEX('Price History'!S:S,MATCH(9.99E+307,'Price History'!$A:$A))-'Price History'!S3)*(ROW()-3)/(MATCH(9.99E+307,'Returns (Calc)'!$A:$A)-3),"")</f>
        <v>144.558867924528</v>
      </c>
      <c r="AN153" s="111" t="n">
        <f aca="false">IFERROR('Price History'!T3+(INDEX('Price History'!T:T,MATCH(9.99E+307,'Price History'!$A:$A))-'Price History'!T3)*(ROW()-3)/(MATCH(9.99E+307,'Returns (Calc)'!$A:$A)-3),"")</f>
        <v>53.6835849056604</v>
      </c>
      <c r="AO153" s="112" t="n">
        <f aca="false">IFERROR('Price History'!V3+(INDEX('Price History'!V:V,MATCH(9.99E+307,'Price History'!$A:$A))-'Price History'!V3)*(ROW()-3)/(MATCH(9.99E+307,'Returns (Calc)'!$A:$A)-3),"")</f>
        <v>353.839622641509</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V154" s="110" t="str">
        <f aca="false">IFERROR(IF(OR(NOT(ISNUMBER('Price History'!V155)),NOT(ISNUMBER('Price History'!V154)),'Price History'!V154=0),"",'Price History'!V155/'Price History'!V154-1),"")</f>
        <v/>
      </c>
      <c r="W154" s="111" t="n">
        <f aca="false">IFERROR('Price History'!B3+(INDEX('Price History'!B:B,MATCH(9.99E+307,'Price History'!$A:$A))-'Price History'!B3)*(ROW()-3)/(MATCH(9.99E+307,'Returns (Calc)'!$A:$A)-3),"")</f>
        <v>278.683081761006</v>
      </c>
      <c r="X154" s="111" t="n">
        <f aca="false">IFERROR('Price History'!C3+(INDEX('Price History'!C:C,MATCH(9.99E+307,'Price History'!$A:$A))-'Price History'!C3)*(ROW()-3)/(MATCH(9.99E+307,'Returns (Calc)'!$A:$A)-3),"")</f>
        <v>186.230817610063</v>
      </c>
      <c r="Y154" s="111" t="n">
        <f aca="false">IFERROR('Price History'!D3+(INDEX('Price History'!D:D,MATCH(9.99E+307,'Price History'!$A:$A))-'Price History'!D3)*(ROW()-3)/(MATCH(9.99E+307,'Returns (Calc)'!$A:$A)-3),"")</f>
        <v>1661.89383647799</v>
      </c>
      <c r="Z154" s="111" t="n">
        <f aca="false">IFERROR('Price History'!E3+(INDEX('Price History'!E:E,MATCH(9.99E+307,'Price History'!$A:$A))-'Price History'!E3)*(ROW()-3)/(MATCH(9.99E+307,'Returns (Calc)'!$A:$A)-3),"")</f>
        <v>344.067547169811</v>
      </c>
      <c r="AA154" s="111" t="n">
        <f aca="false">IFERROR('Price History'!F3+(INDEX('Price History'!F:F,MATCH(9.99E+307,'Price History'!$A:$A))-'Price History'!F3)*(ROW()-3)/(MATCH(9.99E+307,'Returns (Calc)'!$A:$A)-3),"")</f>
        <v>204.242641509434</v>
      </c>
      <c r="AB154" s="111" t="n">
        <f aca="false">IFERROR('Price History'!G3+(INDEX('Price History'!G:G,MATCH(9.99E+307,'Price History'!$A:$A))-'Price History'!G3)*(ROW()-3)/(MATCH(9.99E+307,'Returns (Calc)'!$A:$A)-3),"")</f>
        <v>178.671698113208</v>
      </c>
      <c r="AC154" s="111" t="n">
        <f aca="false">IFERROR('Price History'!H3+(INDEX('Price History'!H:H,MATCH(9.99E+307,'Price History'!$A:$A))-'Price History'!H3)*(ROW()-3)/(MATCH(9.99E+307,'Returns (Calc)'!$A:$A)-3),"")</f>
        <v>968.679559748428</v>
      </c>
      <c r="AD154" s="111" t="n">
        <f aca="false">IFERROR('Price History'!I3+(INDEX('Price History'!I:I,MATCH(9.99E+307,'Price History'!$A:$A))-'Price History'!I3)*(ROW()-3)/(MATCH(9.99E+307,'Returns (Calc)'!$A:$A)-3),"")</f>
        <v>220.824905660377</v>
      </c>
      <c r="AE154" s="111" t="n">
        <f aca="false">IFERROR('Price History'!J3+(INDEX('Price History'!J:J,MATCH(9.99E+307,'Price History'!$A:$A))-'Price History'!J3)*(ROW()-3)/(MATCH(9.99E+307,'Returns (Calc)'!$A:$A)-3),"")</f>
        <v>136.644150943396</v>
      </c>
      <c r="AF154" s="111" t="n">
        <f aca="false">IFERROR('Price History'!K3+(INDEX('Price History'!K:K,MATCH(9.99E+307,'Price History'!$A:$A))-'Price History'!K3)*(ROW()-3)/(MATCH(9.99E+307,'Returns (Calc)'!$A:$A)-3),"")</f>
        <v>166.334025157233</v>
      </c>
      <c r="AG154" s="111" t="n">
        <f aca="false">IFERROR('Price History'!L3+(INDEX('Price History'!L:L,MATCH(9.99E+307,'Price History'!$A:$A))-'Price History'!L3)*(ROW()-3)/(MATCH(9.99E+307,'Returns (Calc)'!$A:$A)-3),"")</f>
        <v>411.958050314465</v>
      </c>
      <c r="AH154" s="111" t="n">
        <f aca="false">IFERROR('Price History'!M3+(INDEX('Price History'!M:M,MATCH(9.99E+307,'Price History'!$A:$A))-'Price History'!M3)*(ROW()-3)/(MATCH(9.99E+307,'Returns (Calc)'!$A:$A)-3),"")</f>
        <v>268.101320754717</v>
      </c>
      <c r="AI154" s="111" t="n">
        <f aca="false">IFERROR('Price History'!N3+(INDEX('Price History'!N:N,MATCH(9.99E+307,'Price History'!$A:$A))-'Price History'!N3)*(ROW()-3)/(MATCH(9.99E+307,'Returns (Calc)'!$A:$A)-3),"")</f>
        <v>536.245283018868</v>
      </c>
      <c r="AJ154" s="111" t="n">
        <f aca="false">IFERROR('Price History'!O3+(INDEX('Price History'!O:O,MATCH(9.99E+307,'Price History'!$A:$A))-'Price History'!O3)*(ROW()-3)/(MATCH(9.99E+307,'Returns (Calc)'!$A:$A)-3),"")</f>
        <v>124.71213836478</v>
      </c>
      <c r="AK154" s="111" t="n">
        <f aca="false">IFERROR('Price History'!Q3+(INDEX('Price History'!Q:Q,MATCH(9.99E+307,'Price History'!$A:$A))-'Price History'!Q3)*(ROW()-3)/(MATCH(9.99E+307,'Returns (Calc)'!$A:$A)-3),"")</f>
        <v>68.719748427673</v>
      </c>
      <c r="AL154" s="111" t="n">
        <f aca="false">IFERROR('Price History'!R3+(INDEX('Price History'!R:R,MATCH(9.99E+307,'Price History'!$A:$A))-'Price History'!R3)*(ROW()-3)/(MATCH(9.99E+307,'Returns (Calc)'!$A:$A)-3),"")</f>
        <v>59.2637106918239</v>
      </c>
      <c r="AM154" s="111" t="n">
        <f aca="false">IFERROR('Price History'!S3+(INDEX('Price History'!S:S,MATCH(9.99E+307,'Price History'!$A:$A))-'Price History'!S3)*(ROW()-3)/(MATCH(9.99E+307,'Returns (Calc)'!$A:$A)-3),"")</f>
        <v>145.132327044025</v>
      </c>
      <c r="AN154" s="111" t="n">
        <f aca="false">IFERROR('Price History'!T3+(INDEX('Price History'!T:T,MATCH(9.99E+307,'Price History'!$A:$A))-'Price History'!T3)*(ROW()-3)/(MATCH(9.99E+307,'Returns (Calc)'!$A:$A)-3),"")</f>
        <v>53.8620754716981</v>
      </c>
      <c r="AO154" s="112" t="n">
        <f aca="false">IFERROR('Price History'!V3+(INDEX('Price History'!V:V,MATCH(9.99E+307,'Price History'!$A:$A))-'Price History'!V3)*(ROW()-3)/(MATCH(9.99E+307,'Returns (Calc)'!$A:$A)-3),"")</f>
        <v>356.19855345912</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n">
        <f aca="false">IFERROR(IF(OR(NOT(ISNUMBER('Price History'!Q156)),NOT(ISNUMBER('Price History'!Q155)),'Price History'!Q155=0),"",'Price History'!Q156/'Price History'!Q155-1),"")</f>
        <v>-0.00921996194936336</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V155" s="110" t="n">
        <f aca="false">IFERROR(IF(OR(NOT(ISNUMBER('Price History'!V156)),NOT(ISNUMBER('Price History'!V155)),'Price History'!V155=0),"",'Price History'!V156/'Price History'!V155-1),"")</f>
        <v>0.0275034451079468</v>
      </c>
      <c r="W155" s="111" t="n">
        <f aca="false">IFERROR('Price History'!B3+(INDEX('Price History'!B:B,MATCH(9.99E+307,'Price History'!$A:$A))-'Price History'!B3)*(ROW()-3)/(MATCH(9.99E+307,'Returns (Calc)'!$A:$A)-3),"")</f>
        <v>277.161446540881</v>
      </c>
      <c r="X155" s="111" t="n">
        <f aca="false">IFERROR('Price History'!C3+(INDEX('Price History'!C:C,MATCH(9.99E+307,'Price History'!$A:$A))-'Price History'!C3)*(ROW()-3)/(MATCH(9.99E+307,'Returns (Calc)'!$A:$A)-3),"")</f>
        <v>187.174465408805</v>
      </c>
      <c r="Y155" s="111" t="n">
        <f aca="false">IFERROR('Price History'!D3+(INDEX('Price History'!D:D,MATCH(9.99E+307,'Price History'!$A:$A))-'Price History'!D3)*(ROW()-3)/(MATCH(9.99E+307,'Returns (Calc)'!$A:$A)-3),"")</f>
        <v>1668.51710691824</v>
      </c>
      <c r="Z155" s="111" t="n">
        <f aca="false">IFERROR('Price History'!E3+(INDEX('Price History'!E:E,MATCH(9.99E+307,'Price History'!$A:$A))-'Price History'!E3)*(ROW()-3)/(MATCH(9.99E+307,'Returns (Calc)'!$A:$A)-3),"")</f>
        <v>345.796603773585</v>
      </c>
      <c r="AA155" s="111" t="n">
        <f aca="false">IFERROR('Price History'!F3+(INDEX('Price History'!F:F,MATCH(9.99E+307,'Price History'!$A:$A))-'Price History'!F3)*(ROW()-3)/(MATCH(9.99E+307,'Returns (Calc)'!$A:$A)-3),"")</f>
        <v>205.349811320755</v>
      </c>
      <c r="AB155" s="111" t="n">
        <f aca="false">IFERROR('Price History'!G3+(INDEX('Price History'!G:G,MATCH(9.99E+307,'Price History'!$A:$A))-'Price History'!G3)*(ROW()-3)/(MATCH(9.99E+307,'Returns (Calc)'!$A:$A)-3),"")</f>
        <v>179.537735849057</v>
      </c>
      <c r="AC155" s="111" t="n">
        <f aca="false">IFERROR('Price History'!H3+(INDEX('Price History'!H:H,MATCH(9.99E+307,'Price History'!$A:$A))-'Price History'!H3)*(ROW()-3)/(MATCH(9.99E+307,'Returns (Calc)'!$A:$A)-3),"")</f>
        <v>974.668364779874</v>
      </c>
      <c r="AD155" s="111" t="n">
        <f aca="false">IFERROR('Price History'!I3+(INDEX('Price History'!I:I,MATCH(9.99E+307,'Price History'!$A:$A))-'Price History'!I3)*(ROW()-3)/(MATCH(9.99E+307,'Returns (Calc)'!$A:$A)-3),"")</f>
        <v>222.01679245283</v>
      </c>
      <c r="AE155" s="111" t="n">
        <f aca="false">IFERROR('Price History'!J3+(INDEX('Price History'!J:J,MATCH(9.99E+307,'Price History'!$A:$A))-'Price History'!J3)*(ROW()-3)/(MATCH(9.99E+307,'Returns (Calc)'!$A:$A)-3),"")</f>
        <v>136.731132075472</v>
      </c>
      <c r="AF155" s="111" t="n">
        <f aca="false">IFERROR('Price History'!K3+(INDEX('Price History'!K:K,MATCH(9.99E+307,'Price History'!$A:$A))-'Price History'!K3)*(ROW()-3)/(MATCH(9.99E+307,'Returns (Calc)'!$A:$A)-3),"")</f>
        <v>167.333522012579</v>
      </c>
      <c r="AG155" s="111" t="n">
        <f aca="false">IFERROR('Price History'!L3+(INDEX('Price History'!L:L,MATCH(9.99E+307,'Price History'!$A:$A))-'Price History'!L3)*(ROW()-3)/(MATCH(9.99E+307,'Returns (Calc)'!$A:$A)-3),"")</f>
        <v>414.077044025157</v>
      </c>
      <c r="AH155" s="111" t="n">
        <f aca="false">IFERROR('Price History'!M3+(INDEX('Price History'!M:M,MATCH(9.99E+307,'Price History'!$A:$A))-'Price History'!M3)*(ROW()-3)/(MATCH(9.99E+307,'Returns (Calc)'!$A:$A)-3),"")</f>
        <v>269.654905660377</v>
      </c>
      <c r="AI155" s="111" t="n">
        <f aca="false">IFERROR('Price History'!N3+(INDEX('Price History'!N:N,MATCH(9.99E+307,'Price History'!$A:$A))-'Price History'!N3)*(ROW()-3)/(MATCH(9.99E+307,'Returns (Calc)'!$A:$A)-3),"")</f>
        <v>537.479622641509</v>
      </c>
      <c r="AJ155" s="111" t="n">
        <f aca="false">IFERROR('Price History'!O3+(INDEX('Price History'!O:O,MATCH(9.99E+307,'Price History'!$A:$A))-'Price History'!O3)*(ROW()-3)/(MATCH(9.99E+307,'Returns (Calc)'!$A:$A)-3),"")</f>
        <v>124.989371069182</v>
      </c>
      <c r="AK155" s="111" t="n">
        <f aca="false">IFERROR('Price History'!Q3+(INDEX('Price History'!Q:Q,MATCH(9.99E+307,'Price History'!$A:$A))-'Price History'!Q3)*(ROW()-3)/(MATCH(9.99E+307,'Returns (Calc)'!$A:$A)-3),"")</f>
        <v>68.8447798742138</v>
      </c>
      <c r="AL155" s="111" t="n">
        <f aca="false">IFERROR('Price History'!R3+(INDEX('Price History'!R:R,MATCH(9.99E+307,'Price History'!$A:$A))-'Price History'!R3)*(ROW()-3)/(MATCH(9.99E+307,'Returns (Calc)'!$A:$A)-3),"")</f>
        <v>59.3394968553459</v>
      </c>
      <c r="AM155" s="111" t="n">
        <f aca="false">IFERROR('Price History'!S3+(INDEX('Price History'!S:S,MATCH(9.99E+307,'Price History'!$A:$A))-'Price History'!S3)*(ROW()-3)/(MATCH(9.99E+307,'Returns (Calc)'!$A:$A)-3),"")</f>
        <v>145.705786163522</v>
      </c>
      <c r="AN155" s="111" t="n">
        <f aca="false">IFERROR('Price History'!T3+(INDEX('Price History'!T:T,MATCH(9.99E+307,'Price History'!$A:$A))-'Price History'!T3)*(ROW()-3)/(MATCH(9.99E+307,'Returns (Calc)'!$A:$A)-3),"")</f>
        <v>54.0405660377359</v>
      </c>
      <c r="AO155" s="112" t="n">
        <f aca="false">IFERROR('Price History'!V3+(INDEX('Price History'!V:V,MATCH(9.99E+307,'Price History'!$A:$A))-'Price History'!V3)*(ROW()-3)/(MATCH(9.99E+307,'Returns (Calc)'!$A:$A)-3),"")</f>
        <v>358.55748427673</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n">
        <f aca="false">IFERROR(IF(OR(NOT(ISNUMBER('Price History'!Q157)),NOT(ISNUMBER('Price History'!Q156)),'Price History'!Q156=0),"",'Price History'!Q157/'Price History'!Q156-1),"")</f>
        <v>-0.0017725258493354</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V156" s="110" t="n">
        <f aca="false">IFERROR(IF(OR(NOT(ISNUMBER('Price History'!V157)),NOT(ISNUMBER('Price History'!V156)),'Price History'!V156=0),"",'Price History'!V157/'Price History'!V156-1),"")</f>
        <v>-0.00787929589270742</v>
      </c>
      <c r="W156" s="111" t="n">
        <f aca="false">IFERROR('Price History'!B3+(INDEX('Price History'!B:B,MATCH(9.99E+307,'Price History'!$A:$A))-'Price History'!B3)*(ROW()-3)/(MATCH(9.99E+307,'Returns (Calc)'!$A:$A)-3),"")</f>
        <v>275.639811320755</v>
      </c>
      <c r="X156" s="111" t="n">
        <f aca="false">IFERROR('Price History'!C3+(INDEX('Price History'!C:C,MATCH(9.99E+307,'Price History'!$A:$A))-'Price History'!C3)*(ROW()-3)/(MATCH(9.99E+307,'Returns (Calc)'!$A:$A)-3),"")</f>
        <v>188.118113207547</v>
      </c>
      <c r="Y156" s="111" t="n">
        <f aca="false">IFERROR('Price History'!D3+(INDEX('Price History'!D:D,MATCH(9.99E+307,'Price History'!$A:$A))-'Price History'!D3)*(ROW()-3)/(MATCH(9.99E+307,'Returns (Calc)'!$A:$A)-3),"")</f>
        <v>1675.14037735849</v>
      </c>
      <c r="Z156" s="111" t="n">
        <f aca="false">IFERROR('Price History'!E3+(INDEX('Price History'!E:E,MATCH(9.99E+307,'Price History'!$A:$A))-'Price History'!E3)*(ROW()-3)/(MATCH(9.99E+307,'Returns (Calc)'!$A:$A)-3),"")</f>
        <v>347.525660377358</v>
      </c>
      <c r="AA156" s="111" t="n">
        <f aca="false">IFERROR('Price History'!F3+(INDEX('Price History'!F:F,MATCH(9.99E+307,'Price History'!$A:$A))-'Price History'!F3)*(ROW()-3)/(MATCH(9.99E+307,'Returns (Calc)'!$A:$A)-3),"")</f>
        <v>206.456981132075</v>
      </c>
      <c r="AB156" s="111" t="n">
        <f aca="false">IFERROR('Price History'!G3+(INDEX('Price History'!G:G,MATCH(9.99E+307,'Price History'!$A:$A))-'Price History'!G3)*(ROW()-3)/(MATCH(9.99E+307,'Returns (Calc)'!$A:$A)-3),"")</f>
        <v>180.403773584906</v>
      </c>
      <c r="AC156" s="111" t="n">
        <f aca="false">IFERROR('Price History'!H3+(INDEX('Price History'!H:H,MATCH(9.99E+307,'Price History'!$A:$A))-'Price History'!H3)*(ROW()-3)/(MATCH(9.99E+307,'Returns (Calc)'!$A:$A)-3),"")</f>
        <v>980.657169811321</v>
      </c>
      <c r="AD156" s="111" t="n">
        <f aca="false">IFERROR('Price History'!I3+(INDEX('Price History'!I:I,MATCH(9.99E+307,'Price History'!$A:$A))-'Price History'!I3)*(ROW()-3)/(MATCH(9.99E+307,'Returns (Calc)'!$A:$A)-3),"")</f>
        <v>223.208679245283</v>
      </c>
      <c r="AE156" s="111" t="n">
        <f aca="false">IFERROR('Price History'!J3+(INDEX('Price History'!J:J,MATCH(9.99E+307,'Price History'!$A:$A))-'Price History'!J3)*(ROW()-3)/(MATCH(9.99E+307,'Returns (Calc)'!$A:$A)-3),"")</f>
        <v>136.818113207547</v>
      </c>
      <c r="AF156" s="111" t="n">
        <f aca="false">IFERROR('Price History'!K3+(INDEX('Price History'!K:K,MATCH(9.99E+307,'Price History'!$A:$A))-'Price History'!K3)*(ROW()-3)/(MATCH(9.99E+307,'Returns (Calc)'!$A:$A)-3),"")</f>
        <v>168.333018867925</v>
      </c>
      <c r="AG156" s="111" t="n">
        <f aca="false">IFERROR('Price History'!L3+(INDEX('Price History'!L:L,MATCH(9.99E+307,'Price History'!$A:$A))-'Price History'!L3)*(ROW()-3)/(MATCH(9.99E+307,'Returns (Calc)'!$A:$A)-3),"")</f>
        <v>416.196037735849</v>
      </c>
      <c r="AH156" s="111" t="n">
        <f aca="false">IFERROR('Price History'!M3+(INDEX('Price History'!M:M,MATCH(9.99E+307,'Price History'!$A:$A))-'Price History'!M3)*(ROW()-3)/(MATCH(9.99E+307,'Returns (Calc)'!$A:$A)-3),"")</f>
        <v>271.208490566038</v>
      </c>
      <c r="AI156" s="111" t="n">
        <f aca="false">IFERROR('Price History'!N3+(INDEX('Price History'!N:N,MATCH(9.99E+307,'Price History'!$A:$A))-'Price History'!N3)*(ROW()-3)/(MATCH(9.99E+307,'Returns (Calc)'!$A:$A)-3),"")</f>
        <v>538.713962264151</v>
      </c>
      <c r="AJ156" s="111" t="n">
        <f aca="false">IFERROR('Price History'!O3+(INDEX('Price History'!O:O,MATCH(9.99E+307,'Price History'!$A:$A))-'Price History'!O3)*(ROW()-3)/(MATCH(9.99E+307,'Returns (Calc)'!$A:$A)-3),"")</f>
        <v>125.266603773585</v>
      </c>
      <c r="AK156" s="111" t="n">
        <f aca="false">IFERROR('Price History'!Q3+(INDEX('Price History'!Q:Q,MATCH(9.99E+307,'Price History'!$A:$A))-'Price History'!Q3)*(ROW()-3)/(MATCH(9.99E+307,'Returns (Calc)'!$A:$A)-3),"")</f>
        <v>68.9698113207547</v>
      </c>
      <c r="AL156" s="111" t="n">
        <f aca="false">IFERROR('Price History'!R3+(INDEX('Price History'!R:R,MATCH(9.99E+307,'Price History'!$A:$A))-'Price History'!R3)*(ROW()-3)/(MATCH(9.99E+307,'Returns (Calc)'!$A:$A)-3),"")</f>
        <v>59.4152830188679</v>
      </c>
      <c r="AM156" s="111" t="n">
        <f aca="false">IFERROR('Price History'!S3+(INDEX('Price History'!S:S,MATCH(9.99E+307,'Price History'!$A:$A))-'Price History'!S3)*(ROW()-3)/(MATCH(9.99E+307,'Returns (Calc)'!$A:$A)-3),"")</f>
        <v>146.279245283019</v>
      </c>
      <c r="AN156" s="111" t="n">
        <f aca="false">IFERROR('Price History'!T3+(INDEX('Price History'!T:T,MATCH(9.99E+307,'Price History'!$A:$A))-'Price History'!T3)*(ROW()-3)/(MATCH(9.99E+307,'Returns (Calc)'!$A:$A)-3),"")</f>
        <v>54.2190566037736</v>
      </c>
      <c r="AO156" s="112" t="n">
        <f aca="false">IFERROR('Price History'!V3+(INDEX('Price History'!V:V,MATCH(9.99E+307,'Price History'!$A:$A))-'Price History'!V3)*(ROW()-3)/(MATCH(9.99E+307,'Returns (Calc)'!$A:$A)-3),"")</f>
        <v>360.91641509434</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n">
        <f aca="false">IFERROR(IF(OR(NOT(ISNUMBER('Price History'!Q158)),NOT(ISNUMBER('Price History'!Q157)),'Price History'!Q157=0),"",'Price History'!Q158/'Price History'!Q157-1),"")</f>
        <v>0.0128736312518498</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V157" s="110" t="n">
        <f aca="false">IFERROR(IF(OR(NOT(ISNUMBER('Price History'!V158)),NOT(ISNUMBER('Price History'!V157)),'Price History'!V157=0),"",'Price History'!V158/'Price History'!V157-1),"")</f>
        <v>0.0292046862678834</v>
      </c>
      <c r="W157" s="111" t="n">
        <f aca="false">IFERROR('Price History'!B3+(INDEX('Price History'!B:B,MATCH(9.99E+307,'Price History'!$A:$A))-'Price History'!B3)*(ROW()-3)/(MATCH(9.99E+307,'Returns (Calc)'!$A:$A)-3),"")</f>
        <v>274.118176100629</v>
      </c>
      <c r="X157" s="111" t="n">
        <f aca="false">IFERROR('Price History'!C3+(INDEX('Price History'!C:C,MATCH(9.99E+307,'Price History'!$A:$A))-'Price History'!C3)*(ROW()-3)/(MATCH(9.99E+307,'Returns (Calc)'!$A:$A)-3),"")</f>
        <v>189.061761006289</v>
      </c>
      <c r="Y157" s="111" t="n">
        <f aca="false">IFERROR('Price History'!D3+(INDEX('Price History'!D:D,MATCH(9.99E+307,'Price History'!$A:$A))-'Price History'!D3)*(ROW()-3)/(MATCH(9.99E+307,'Returns (Calc)'!$A:$A)-3),"")</f>
        <v>1681.76364779874</v>
      </c>
      <c r="Z157" s="111" t="n">
        <f aca="false">IFERROR('Price History'!E3+(INDEX('Price History'!E:E,MATCH(9.99E+307,'Price History'!$A:$A))-'Price History'!E3)*(ROW()-3)/(MATCH(9.99E+307,'Returns (Calc)'!$A:$A)-3),"")</f>
        <v>349.254716981132</v>
      </c>
      <c r="AA157" s="111" t="n">
        <f aca="false">IFERROR('Price History'!F3+(INDEX('Price History'!F:F,MATCH(9.99E+307,'Price History'!$A:$A))-'Price History'!F3)*(ROW()-3)/(MATCH(9.99E+307,'Returns (Calc)'!$A:$A)-3),"")</f>
        <v>207.564150943396</v>
      </c>
      <c r="AB157" s="111" t="n">
        <f aca="false">IFERROR('Price History'!G3+(INDEX('Price History'!G:G,MATCH(9.99E+307,'Price History'!$A:$A))-'Price History'!G3)*(ROW()-3)/(MATCH(9.99E+307,'Returns (Calc)'!$A:$A)-3),"")</f>
        <v>181.269811320755</v>
      </c>
      <c r="AC157" s="111" t="n">
        <f aca="false">IFERROR('Price History'!H3+(INDEX('Price History'!H:H,MATCH(9.99E+307,'Price History'!$A:$A))-'Price History'!H3)*(ROW()-3)/(MATCH(9.99E+307,'Returns (Calc)'!$A:$A)-3),"")</f>
        <v>986.645974842767</v>
      </c>
      <c r="AD157" s="111" t="n">
        <f aca="false">IFERROR('Price History'!I3+(INDEX('Price History'!I:I,MATCH(9.99E+307,'Price History'!$A:$A))-'Price History'!I3)*(ROW()-3)/(MATCH(9.99E+307,'Returns (Calc)'!$A:$A)-3),"")</f>
        <v>224.400566037736</v>
      </c>
      <c r="AE157" s="111" t="n">
        <f aca="false">IFERROR('Price History'!J3+(INDEX('Price History'!J:J,MATCH(9.99E+307,'Price History'!$A:$A))-'Price History'!J3)*(ROW()-3)/(MATCH(9.99E+307,'Returns (Calc)'!$A:$A)-3),"")</f>
        <v>136.905094339623</v>
      </c>
      <c r="AF157" s="111" t="n">
        <f aca="false">IFERROR('Price History'!K3+(INDEX('Price History'!K:K,MATCH(9.99E+307,'Price History'!$A:$A))-'Price History'!K3)*(ROW()-3)/(MATCH(9.99E+307,'Returns (Calc)'!$A:$A)-3),"")</f>
        <v>169.33251572327</v>
      </c>
      <c r="AG157" s="111" t="n">
        <f aca="false">IFERROR('Price History'!L3+(INDEX('Price History'!L:L,MATCH(9.99E+307,'Price History'!$A:$A))-'Price History'!L3)*(ROW()-3)/(MATCH(9.99E+307,'Returns (Calc)'!$A:$A)-3),"")</f>
        <v>418.315031446541</v>
      </c>
      <c r="AH157" s="111" t="n">
        <f aca="false">IFERROR('Price History'!M3+(INDEX('Price History'!M:M,MATCH(9.99E+307,'Price History'!$A:$A))-'Price History'!M3)*(ROW()-3)/(MATCH(9.99E+307,'Returns (Calc)'!$A:$A)-3),"")</f>
        <v>272.762075471698</v>
      </c>
      <c r="AI157" s="111" t="n">
        <f aca="false">IFERROR('Price History'!N3+(INDEX('Price History'!N:N,MATCH(9.99E+307,'Price History'!$A:$A))-'Price History'!N3)*(ROW()-3)/(MATCH(9.99E+307,'Returns (Calc)'!$A:$A)-3),"")</f>
        <v>539.948301886793</v>
      </c>
      <c r="AJ157" s="111" t="n">
        <f aca="false">IFERROR('Price History'!O3+(INDEX('Price History'!O:O,MATCH(9.99E+307,'Price History'!$A:$A))-'Price History'!O3)*(ROW()-3)/(MATCH(9.99E+307,'Returns (Calc)'!$A:$A)-3),"")</f>
        <v>125.543836477987</v>
      </c>
      <c r="AK157" s="111" t="n">
        <f aca="false">IFERROR('Price History'!Q3+(INDEX('Price History'!Q:Q,MATCH(9.99E+307,'Price History'!$A:$A))-'Price History'!Q3)*(ROW()-3)/(MATCH(9.99E+307,'Returns (Calc)'!$A:$A)-3),"")</f>
        <v>69.0948427672956</v>
      </c>
      <c r="AL157" s="111" t="n">
        <f aca="false">IFERROR('Price History'!R3+(INDEX('Price History'!R:R,MATCH(9.99E+307,'Price History'!$A:$A))-'Price History'!R3)*(ROW()-3)/(MATCH(9.99E+307,'Returns (Calc)'!$A:$A)-3),"")</f>
        <v>59.4910691823899</v>
      </c>
      <c r="AM157" s="111" t="n">
        <f aca="false">IFERROR('Price History'!S3+(INDEX('Price History'!S:S,MATCH(9.99E+307,'Price History'!$A:$A))-'Price History'!S3)*(ROW()-3)/(MATCH(9.99E+307,'Returns (Calc)'!$A:$A)-3),"")</f>
        <v>146.852704402516</v>
      </c>
      <c r="AN157" s="111" t="n">
        <f aca="false">IFERROR('Price History'!T3+(INDEX('Price History'!T:T,MATCH(9.99E+307,'Price History'!$A:$A))-'Price History'!T3)*(ROW()-3)/(MATCH(9.99E+307,'Returns (Calc)'!$A:$A)-3),"")</f>
        <v>54.3975471698113</v>
      </c>
      <c r="AO157" s="112" t="n">
        <f aca="false">IFERROR('Price History'!V3+(INDEX('Price History'!V:V,MATCH(9.99E+307,'Price History'!$A:$A))-'Price History'!V3)*(ROW()-3)/(MATCH(9.99E+307,'Returns (Calc)'!$A:$A)-3),"")</f>
        <v>363.27534591195</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n">
        <f aca="false">IFERROR(IF(OR(NOT(ISNUMBER('Price History'!Q159)),NOT(ISNUMBER('Price History'!Q158)),'Price History'!Q158=0),"",'Price History'!Q159/'Price History'!Q158-1),"")</f>
        <v>0.020598977355734</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c r="V158" s="110" t="n">
        <f aca="false">IFERROR(IF(OR(NOT(ISNUMBER('Price History'!V159)),NOT(ISNUMBER('Price History'!V158)),'Price History'!V158=0),"",'Price History'!V159/'Price History'!V158-1),"")</f>
        <v>-0.00990559584074435</v>
      </c>
      <c r="W158" s="112" t="n">
        <f aca="false">IFERROR('Price History'!B3+(INDEX('Price History'!B:B,MATCH(9.99E+307,'Price History'!$A:$A))-'Price History'!B3)*(ROW()-3)/(MATCH(9.99E+307,'Returns (Calc)'!$A:$A)-3),"")</f>
        <v>272.596540880503</v>
      </c>
      <c r="X158" s="112" t="n">
        <f aca="false">IFERROR('Price History'!C3+(INDEX('Price History'!C:C,MATCH(9.99E+307,'Price History'!$A:$A))-'Price History'!C3)*(ROW()-3)/(MATCH(9.99E+307,'Returns (Calc)'!$A:$A)-3),"")</f>
        <v>190.005408805031</v>
      </c>
      <c r="Y158" s="112" t="n">
        <f aca="false">IFERROR('Price History'!D3+(INDEX('Price History'!D:D,MATCH(9.99E+307,'Price History'!$A:$A))-'Price History'!D3)*(ROW()-3)/(MATCH(9.99E+307,'Returns (Calc)'!$A:$A)-3),"")</f>
        <v>1688.38691823899</v>
      </c>
      <c r="Z158" s="112" t="n">
        <f aca="false">IFERROR('Price History'!E3+(INDEX('Price History'!E:E,MATCH(9.99E+307,'Price History'!$A:$A))-'Price History'!E3)*(ROW()-3)/(MATCH(9.99E+307,'Returns (Calc)'!$A:$A)-3),"")</f>
        <v>350.983773584906</v>
      </c>
      <c r="AA158" s="112" t="n">
        <f aca="false">IFERROR('Price History'!F3+(INDEX('Price History'!F:F,MATCH(9.99E+307,'Price History'!$A:$A))-'Price History'!F3)*(ROW()-3)/(MATCH(9.99E+307,'Returns (Calc)'!$A:$A)-3),"")</f>
        <v>208.671320754717</v>
      </c>
      <c r="AB158" s="112" t="n">
        <f aca="false">IFERROR('Price History'!G3+(INDEX('Price History'!G:G,MATCH(9.99E+307,'Price History'!$A:$A))-'Price History'!G3)*(ROW()-3)/(MATCH(9.99E+307,'Returns (Calc)'!$A:$A)-3),"")</f>
        <v>182.135849056604</v>
      </c>
      <c r="AC158" s="112" t="n">
        <f aca="false">IFERROR('Price History'!H3+(INDEX('Price History'!H:H,MATCH(9.99E+307,'Price History'!$A:$A))-'Price History'!H3)*(ROW()-3)/(MATCH(9.99E+307,'Returns (Calc)'!$A:$A)-3),"")</f>
        <v>992.634779874214</v>
      </c>
      <c r="AD158" s="112" t="n">
        <f aca="false">IFERROR('Price History'!I3+(INDEX('Price History'!I:I,MATCH(9.99E+307,'Price History'!$A:$A))-'Price History'!I3)*(ROW()-3)/(MATCH(9.99E+307,'Returns (Calc)'!$A:$A)-3),"")</f>
        <v>225.592452830189</v>
      </c>
      <c r="AE158" s="112" t="n">
        <f aca="false">IFERROR('Price History'!J3+(INDEX('Price History'!J:J,MATCH(9.99E+307,'Price History'!$A:$A))-'Price History'!J3)*(ROW()-3)/(MATCH(9.99E+307,'Returns (Calc)'!$A:$A)-3),"")</f>
        <v>136.992075471698</v>
      </c>
      <c r="AF158" s="112" t="n">
        <f aca="false">IFERROR('Price History'!K3+(INDEX('Price History'!K:K,MATCH(9.99E+307,'Price History'!$A:$A))-'Price History'!K3)*(ROW()-3)/(MATCH(9.99E+307,'Returns (Calc)'!$A:$A)-3),"")</f>
        <v>170.332012578616</v>
      </c>
      <c r="AG158" s="112" t="n">
        <f aca="false">IFERROR('Price History'!L3+(INDEX('Price History'!L:L,MATCH(9.99E+307,'Price History'!$A:$A))-'Price History'!L3)*(ROW()-3)/(MATCH(9.99E+307,'Returns (Calc)'!$A:$A)-3),"")</f>
        <v>420.434025157233</v>
      </c>
      <c r="AH158" s="112" t="n">
        <f aca="false">IFERROR('Price History'!M3+(INDEX('Price History'!M:M,MATCH(9.99E+307,'Price History'!$A:$A))-'Price History'!M3)*(ROW()-3)/(MATCH(9.99E+307,'Returns (Calc)'!$A:$A)-3),"")</f>
        <v>274.315660377359</v>
      </c>
      <c r="AI158" s="112" t="n">
        <f aca="false">IFERROR('Price History'!N3+(INDEX('Price History'!N:N,MATCH(9.99E+307,'Price History'!$A:$A))-'Price History'!N3)*(ROW()-3)/(MATCH(9.99E+307,'Returns (Calc)'!$A:$A)-3),"")</f>
        <v>541.182641509434</v>
      </c>
      <c r="AJ158" s="112" t="n">
        <f aca="false">IFERROR('Price History'!O3+(INDEX('Price History'!O:O,MATCH(9.99E+307,'Price History'!$A:$A))-'Price History'!O3)*(ROW()-3)/(MATCH(9.99E+307,'Returns (Calc)'!$A:$A)-3),"")</f>
        <v>125.82106918239</v>
      </c>
      <c r="AK158" s="112" t="n">
        <f aca="false">IFERROR('Price History'!Q3+(INDEX('Price History'!Q:Q,MATCH(9.99E+307,'Price History'!$A:$A))-'Price History'!Q3)*(ROW()-3)/(MATCH(9.99E+307,'Returns (Calc)'!$A:$A)-3),"")</f>
        <v>69.2198742138365</v>
      </c>
      <c r="AL158" s="112" t="n">
        <f aca="false">IFERROR('Price History'!R3+(INDEX('Price History'!R:R,MATCH(9.99E+307,'Price History'!$A:$A))-'Price History'!R3)*(ROW()-3)/(MATCH(9.99E+307,'Returns (Calc)'!$A:$A)-3),"")</f>
        <v>59.566855345912</v>
      </c>
      <c r="AM158" s="112" t="n">
        <f aca="false">IFERROR('Price History'!S3+(INDEX('Price History'!S:S,MATCH(9.99E+307,'Price History'!$A:$A))-'Price History'!S3)*(ROW()-3)/(MATCH(9.99E+307,'Returns (Calc)'!$A:$A)-3),"")</f>
        <v>147.426163522013</v>
      </c>
      <c r="AN158" s="112" t="n">
        <f aca="false">IFERROR('Price History'!T3+(INDEX('Price History'!T:T,MATCH(9.99E+307,'Price History'!$A:$A))-'Price History'!T3)*(ROW()-3)/(MATCH(9.99E+307,'Returns (Calc)'!$A:$A)-3),"")</f>
        <v>54.5760377358491</v>
      </c>
      <c r="AO158" s="112" t="n">
        <f aca="false">IFERROR('Price History'!V3+(INDEX('Price History'!V:V,MATCH(9.99E+307,'Price History'!$A:$A))-'Price History'!V3)*(ROW()-3)/(MATCH(9.99E+307,'Returns (Calc)'!$A:$A)-3),"")</f>
        <v>365.63427672956</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c r="V159" s="110" t="n">
        <f aca="false">IFERROR(IF(OR(NOT(ISNUMBER('Price History'!V160)),NOT(ISNUMBER('Price History'!V159)),'Price History'!V159=0),"",'Price History'!V160/'Price History'!V159-1),"")</f>
        <v>0.0064118508691926</v>
      </c>
      <c r="W159" s="112" t="n">
        <f aca="false">IFERROR('Price History'!B3+(INDEX('Price History'!B:B,MATCH(9.99E+307,'Price History'!$A:$A))-'Price History'!B3)*(ROW()-3)/(MATCH(9.99E+307,'Returns (Calc)'!$A:$A)-3),"")</f>
        <v>271.074905660377</v>
      </c>
      <c r="X159" s="112" t="n">
        <f aca="false">IFERROR('Price History'!C3+(INDEX('Price History'!C:C,MATCH(9.99E+307,'Price History'!$A:$A))-'Price History'!C3)*(ROW()-3)/(MATCH(9.99E+307,'Returns (Calc)'!$A:$A)-3),"")</f>
        <v>190.949056603774</v>
      </c>
      <c r="Y159" s="112" t="n">
        <f aca="false">IFERROR('Price History'!D3+(INDEX('Price History'!D:D,MATCH(9.99E+307,'Price History'!$A:$A))-'Price History'!D3)*(ROW()-3)/(MATCH(9.99E+307,'Returns (Calc)'!$A:$A)-3),"")</f>
        <v>1695.01018867925</v>
      </c>
      <c r="Z159" s="112" t="n">
        <f aca="false">IFERROR('Price History'!E3+(INDEX('Price History'!E:E,MATCH(9.99E+307,'Price History'!$A:$A))-'Price History'!E3)*(ROW()-3)/(MATCH(9.99E+307,'Returns (Calc)'!$A:$A)-3),"")</f>
        <v>352.712830188679</v>
      </c>
      <c r="AA159" s="112" t="n">
        <f aca="false">IFERROR('Price History'!F3+(INDEX('Price History'!F:F,MATCH(9.99E+307,'Price History'!$A:$A))-'Price History'!F3)*(ROW()-3)/(MATCH(9.99E+307,'Returns (Calc)'!$A:$A)-3),"")</f>
        <v>209.778490566038</v>
      </c>
      <c r="AB159" s="112" t="n">
        <f aca="false">IFERROR('Price History'!G3+(INDEX('Price History'!G:G,MATCH(9.99E+307,'Price History'!$A:$A))-'Price History'!G3)*(ROW()-3)/(MATCH(9.99E+307,'Returns (Calc)'!$A:$A)-3),"")</f>
        <v>183.001886792453</v>
      </c>
      <c r="AC159" s="112" t="n">
        <f aca="false">IFERROR('Price History'!H3+(INDEX('Price History'!H:H,MATCH(9.99E+307,'Price History'!$A:$A))-'Price History'!H3)*(ROW()-3)/(MATCH(9.99E+307,'Returns (Calc)'!$A:$A)-3),"")</f>
        <v>998.62358490566</v>
      </c>
      <c r="AD159" s="112" t="n">
        <f aca="false">IFERROR('Price History'!I3+(INDEX('Price History'!I:I,MATCH(9.99E+307,'Price History'!$A:$A))-'Price History'!I3)*(ROW()-3)/(MATCH(9.99E+307,'Returns (Calc)'!$A:$A)-3),"")</f>
        <v>226.784339622642</v>
      </c>
      <c r="AE159" s="112" t="n">
        <f aca="false">IFERROR('Price History'!J3+(INDEX('Price History'!J:J,MATCH(9.99E+307,'Price History'!$A:$A))-'Price History'!J3)*(ROW()-3)/(MATCH(9.99E+307,'Returns (Calc)'!$A:$A)-3),"")</f>
        <v>137.079056603774</v>
      </c>
      <c r="AF159" s="112" t="n">
        <f aca="false">IFERROR('Price History'!K3+(INDEX('Price History'!K:K,MATCH(9.99E+307,'Price History'!$A:$A))-'Price History'!K3)*(ROW()-3)/(MATCH(9.99E+307,'Returns (Calc)'!$A:$A)-3),"")</f>
        <v>171.331509433962</v>
      </c>
      <c r="AG159" s="112" t="n">
        <f aca="false">IFERROR('Price History'!L3+(INDEX('Price History'!L:L,MATCH(9.99E+307,'Price History'!$A:$A))-'Price History'!L3)*(ROW()-3)/(MATCH(9.99E+307,'Returns (Calc)'!$A:$A)-3),"")</f>
        <v>422.553018867925</v>
      </c>
      <c r="AH159" s="112" t="n">
        <f aca="false">IFERROR('Price History'!M3+(INDEX('Price History'!M:M,MATCH(9.99E+307,'Price History'!$A:$A))-'Price History'!M3)*(ROW()-3)/(MATCH(9.99E+307,'Returns (Calc)'!$A:$A)-3),"")</f>
        <v>275.869245283019</v>
      </c>
      <c r="AI159" s="112" t="n">
        <f aca="false">IFERROR('Price History'!N3+(INDEX('Price History'!N:N,MATCH(9.99E+307,'Price History'!$A:$A))-'Price History'!N3)*(ROW()-3)/(MATCH(9.99E+307,'Returns (Calc)'!$A:$A)-3),"")</f>
        <v>542.416981132076</v>
      </c>
      <c r="AJ159" s="112" t="n">
        <f aca="false">IFERROR('Price History'!O3+(INDEX('Price History'!O:O,MATCH(9.99E+307,'Price History'!$A:$A))-'Price History'!O3)*(ROW()-3)/(MATCH(9.99E+307,'Returns (Calc)'!$A:$A)-3),"")</f>
        <v>126.098301886792</v>
      </c>
      <c r="AK159" s="112" t="n">
        <f aca="false">IFERROR('Price History'!Q3+(INDEX('Price History'!Q:Q,MATCH(9.99E+307,'Price History'!$A:$A))-'Price History'!Q3)*(ROW()-3)/(MATCH(9.99E+307,'Returns (Calc)'!$A:$A)-3),"")</f>
        <v>69.3449056603774</v>
      </c>
      <c r="AL159" s="112" t="n">
        <f aca="false">IFERROR('Price History'!R3+(INDEX('Price History'!R:R,MATCH(9.99E+307,'Price History'!$A:$A))-'Price History'!R3)*(ROW()-3)/(MATCH(9.99E+307,'Returns (Calc)'!$A:$A)-3),"")</f>
        <v>59.642641509434</v>
      </c>
      <c r="AM159" s="112" t="n">
        <f aca="false">IFERROR('Price History'!S3+(INDEX('Price History'!S:S,MATCH(9.99E+307,'Price History'!$A:$A))-'Price History'!S3)*(ROW()-3)/(MATCH(9.99E+307,'Returns (Calc)'!$A:$A)-3),"")</f>
        <v>147.999622641509</v>
      </c>
      <c r="AN159" s="112" t="n">
        <f aca="false">IFERROR('Price History'!T3+(INDEX('Price History'!T:T,MATCH(9.99E+307,'Price History'!$A:$A))-'Price History'!T3)*(ROW()-3)/(MATCH(9.99E+307,'Returns (Calc)'!$A:$A)-3),"")</f>
        <v>54.7545283018868</v>
      </c>
      <c r="AO159" s="112" t="n">
        <f aca="false">IFERROR('Price History'!V3+(INDEX('Price History'!V:V,MATCH(9.99E+307,'Price History'!$A:$A))-'Price History'!V3)*(ROW()-3)/(MATCH(9.99E+307,'Returns (Calc)'!$A:$A)-3),"")</f>
        <v>367.99320754717</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c r="V160" s="110" t="n">
        <f aca="false">IFERROR(IF(OR(NOT(ISNUMBER('Price History'!V161)),NOT(ISNUMBER('Price History'!V160)),'Price History'!V160=0),"",'Price History'!V161/'Price History'!V160-1),"")</f>
        <v>0.0189207744061515</v>
      </c>
      <c r="W160" s="112" t="n">
        <f aca="false">IFERROR('Price History'!B3+(INDEX('Price History'!B:B,MATCH(9.99E+307,'Price History'!$A:$A))-'Price History'!B3)*(ROW()-3)/(MATCH(9.99E+307,'Returns (Calc)'!$A:$A)-3),"")</f>
        <v>269.553270440252</v>
      </c>
      <c r="X160" s="112" t="n">
        <f aca="false">IFERROR('Price History'!C3+(INDEX('Price History'!C:C,MATCH(9.99E+307,'Price History'!$A:$A))-'Price History'!C3)*(ROW()-3)/(MATCH(9.99E+307,'Returns (Calc)'!$A:$A)-3),"")</f>
        <v>191.892704402516</v>
      </c>
      <c r="Y160" s="112" t="n">
        <f aca="false">IFERROR('Price History'!D3+(INDEX('Price History'!D:D,MATCH(9.99E+307,'Price History'!$A:$A))-'Price History'!D3)*(ROW()-3)/(MATCH(9.99E+307,'Returns (Calc)'!$A:$A)-3),"")</f>
        <v>1701.6334591195</v>
      </c>
      <c r="Z160" s="112" t="n">
        <f aca="false">IFERROR('Price History'!E3+(INDEX('Price History'!E:E,MATCH(9.99E+307,'Price History'!$A:$A))-'Price History'!E3)*(ROW()-3)/(MATCH(9.99E+307,'Returns (Calc)'!$A:$A)-3),"")</f>
        <v>354.441886792453</v>
      </c>
      <c r="AA160" s="112" t="n">
        <f aca="false">IFERROR('Price History'!F3+(INDEX('Price History'!F:F,MATCH(9.99E+307,'Price History'!$A:$A))-'Price History'!F3)*(ROW()-3)/(MATCH(9.99E+307,'Returns (Calc)'!$A:$A)-3),"")</f>
        <v>210.885660377358</v>
      </c>
      <c r="AB160" s="112" t="n">
        <f aca="false">IFERROR('Price History'!G3+(INDEX('Price History'!G:G,MATCH(9.99E+307,'Price History'!$A:$A))-'Price History'!G3)*(ROW()-3)/(MATCH(9.99E+307,'Returns (Calc)'!$A:$A)-3),"")</f>
        <v>183.867924528302</v>
      </c>
      <c r="AC160" s="112" t="n">
        <f aca="false">IFERROR('Price History'!H3+(INDEX('Price History'!H:H,MATCH(9.99E+307,'Price History'!$A:$A))-'Price History'!H3)*(ROW()-3)/(MATCH(9.99E+307,'Returns (Calc)'!$A:$A)-3),"")</f>
        <v>1004.61238993711</v>
      </c>
      <c r="AD160" s="112" t="n">
        <f aca="false">IFERROR('Price History'!I3+(INDEX('Price History'!I:I,MATCH(9.99E+307,'Price History'!$A:$A))-'Price History'!I3)*(ROW()-3)/(MATCH(9.99E+307,'Returns (Calc)'!$A:$A)-3),"")</f>
        <v>227.976226415094</v>
      </c>
      <c r="AE160" s="112" t="n">
        <f aca="false">IFERROR('Price History'!J3+(INDEX('Price History'!J:J,MATCH(9.99E+307,'Price History'!$A:$A))-'Price History'!J3)*(ROW()-3)/(MATCH(9.99E+307,'Returns (Calc)'!$A:$A)-3),"")</f>
        <v>137.166037735849</v>
      </c>
      <c r="AF160" s="112" t="n">
        <f aca="false">IFERROR('Price History'!K3+(INDEX('Price History'!K:K,MATCH(9.99E+307,'Price History'!$A:$A))-'Price History'!K3)*(ROW()-3)/(MATCH(9.99E+307,'Returns (Calc)'!$A:$A)-3),"")</f>
        <v>172.331006289308</v>
      </c>
      <c r="AG160" s="112" t="n">
        <f aca="false">IFERROR('Price History'!L3+(INDEX('Price History'!L:L,MATCH(9.99E+307,'Price History'!$A:$A))-'Price History'!L3)*(ROW()-3)/(MATCH(9.99E+307,'Returns (Calc)'!$A:$A)-3),"")</f>
        <v>424.672012578616</v>
      </c>
      <c r="AH160" s="112" t="n">
        <f aca="false">IFERROR('Price History'!M3+(INDEX('Price History'!M:M,MATCH(9.99E+307,'Price History'!$A:$A))-'Price History'!M3)*(ROW()-3)/(MATCH(9.99E+307,'Returns (Calc)'!$A:$A)-3),"")</f>
        <v>277.422830188679</v>
      </c>
      <c r="AI160" s="112" t="n">
        <f aca="false">IFERROR('Price History'!N3+(INDEX('Price History'!N:N,MATCH(9.99E+307,'Price History'!$A:$A))-'Price History'!N3)*(ROW()-3)/(MATCH(9.99E+307,'Returns (Calc)'!$A:$A)-3),"")</f>
        <v>543.651320754717</v>
      </c>
      <c r="AJ160" s="112" t="n">
        <f aca="false">IFERROR('Price History'!O3+(INDEX('Price History'!O:O,MATCH(9.99E+307,'Price History'!$A:$A))-'Price History'!O3)*(ROW()-3)/(MATCH(9.99E+307,'Returns (Calc)'!$A:$A)-3),"")</f>
        <v>126.375534591195</v>
      </c>
      <c r="AK160" s="112" t="n">
        <f aca="false">IFERROR('Price History'!Q3+(INDEX('Price History'!Q:Q,MATCH(9.99E+307,'Price History'!$A:$A))-'Price History'!Q3)*(ROW()-3)/(MATCH(9.99E+307,'Returns (Calc)'!$A:$A)-3),"")</f>
        <v>69.4699371069182</v>
      </c>
      <c r="AL160" s="112" t="n">
        <f aca="false">IFERROR('Price History'!R3+(INDEX('Price History'!R:R,MATCH(9.99E+307,'Price History'!$A:$A))-'Price History'!R3)*(ROW()-3)/(MATCH(9.99E+307,'Returns (Calc)'!$A:$A)-3),"")</f>
        <v>59.718427672956</v>
      </c>
      <c r="AM160" s="112" t="n">
        <f aca="false">IFERROR('Price History'!S3+(INDEX('Price History'!S:S,MATCH(9.99E+307,'Price History'!$A:$A))-'Price History'!S3)*(ROW()-3)/(MATCH(9.99E+307,'Returns (Calc)'!$A:$A)-3),"")</f>
        <v>148.573081761006</v>
      </c>
      <c r="AN160" s="112" t="n">
        <f aca="false">IFERROR('Price History'!T3+(INDEX('Price History'!T:T,MATCH(9.99E+307,'Price History'!$A:$A))-'Price History'!T3)*(ROW()-3)/(MATCH(9.99E+307,'Returns (Calc)'!$A:$A)-3),"")</f>
        <v>54.9330188679245</v>
      </c>
      <c r="AO160" s="112" t="n">
        <f aca="false">IFERROR('Price History'!V3+(INDEX('Price History'!V:V,MATCH(9.99E+307,'Price History'!$A:$A))-'Price History'!V3)*(ROW()-3)/(MATCH(9.99E+307,'Returns (Calc)'!$A:$A)-3),"")</f>
        <v>370.35213836478</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c r="V161" s="110" t="n">
        <f aca="false">IFERROR(IF(OR(NOT(ISNUMBER('Price History'!V162)),NOT(ISNUMBER('Price History'!V161)),'Price History'!V161=0),"",'Price History'!V162/'Price History'!V161-1),"")</f>
        <v>0.0284605433376455</v>
      </c>
      <c r="W161" s="112" t="n">
        <f aca="false">IFERROR('Price History'!B3+(INDEX('Price History'!B:B,MATCH(9.99E+307,'Price History'!$A:$A))-'Price History'!B3)*(ROW()-3)/(MATCH(9.99E+307,'Returns (Calc)'!$A:$A)-3),"")</f>
        <v>268.031635220126</v>
      </c>
      <c r="X161" s="112" t="n">
        <f aca="false">IFERROR('Price History'!C3+(INDEX('Price History'!C:C,MATCH(9.99E+307,'Price History'!$A:$A))-'Price History'!C3)*(ROW()-3)/(MATCH(9.99E+307,'Returns (Calc)'!$A:$A)-3),"")</f>
        <v>192.836352201258</v>
      </c>
      <c r="Y161" s="112" t="n">
        <f aca="false">IFERROR('Price History'!D3+(INDEX('Price History'!D:D,MATCH(9.99E+307,'Price History'!$A:$A))-'Price History'!D3)*(ROW()-3)/(MATCH(9.99E+307,'Returns (Calc)'!$A:$A)-3),"")</f>
        <v>1708.25672955975</v>
      </c>
      <c r="Z161" s="112" t="n">
        <f aca="false">IFERROR('Price History'!E3+(INDEX('Price History'!E:E,MATCH(9.99E+307,'Price History'!$A:$A))-'Price History'!E3)*(ROW()-3)/(MATCH(9.99E+307,'Returns (Calc)'!$A:$A)-3),"")</f>
        <v>356.170943396226</v>
      </c>
      <c r="AA161" s="112" t="n">
        <f aca="false">IFERROR('Price History'!F3+(INDEX('Price History'!F:F,MATCH(9.99E+307,'Price History'!$A:$A))-'Price History'!F3)*(ROW()-3)/(MATCH(9.99E+307,'Returns (Calc)'!$A:$A)-3),"")</f>
        <v>211.992830188679</v>
      </c>
      <c r="AB161" s="112" t="n">
        <f aca="false">IFERROR('Price History'!G3+(INDEX('Price History'!G:G,MATCH(9.99E+307,'Price History'!$A:$A))-'Price History'!G3)*(ROW()-3)/(MATCH(9.99E+307,'Returns (Calc)'!$A:$A)-3),"")</f>
        <v>184.733962264151</v>
      </c>
      <c r="AC161" s="112" t="n">
        <f aca="false">IFERROR('Price History'!H3+(INDEX('Price History'!H:H,MATCH(9.99E+307,'Price History'!$A:$A))-'Price History'!H3)*(ROW()-3)/(MATCH(9.99E+307,'Returns (Calc)'!$A:$A)-3),"")</f>
        <v>1010.60119496855</v>
      </c>
      <c r="AD161" s="112" t="n">
        <f aca="false">IFERROR('Price History'!I3+(INDEX('Price History'!I:I,MATCH(9.99E+307,'Price History'!$A:$A))-'Price History'!I3)*(ROW()-3)/(MATCH(9.99E+307,'Returns (Calc)'!$A:$A)-3),"")</f>
        <v>229.168113207547</v>
      </c>
      <c r="AE161" s="112" t="n">
        <f aca="false">IFERROR('Price History'!J3+(INDEX('Price History'!J:J,MATCH(9.99E+307,'Price History'!$A:$A))-'Price History'!J3)*(ROW()-3)/(MATCH(9.99E+307,'Returns (Calc)'!$A:$A)-3),"")</f>
        <v>137.253018867925</v>
      </c>
      <c r="AF161" s="112" t="n">
        <f aca="false">IFERROR('Price History'!K3+(INDEX('Price History'!K:K,MATCH(9.99E+307,'Price History'!$A:$A))-'Price History'!K3)*(ROW()-3)/(MATCH(9.99E+307,'Returns (Calc)'!$A:$A)-3),"")</f>
        <v>173.330503144654</v>
      </c>
      <c r="AG161" s="112" t="n">
        <f aca="false">IFERROR('Price History'!L3+(INDEX('Price History'!L:L,MATCH(9.99E+307,'Price History'!$A:$A))-'Price History'!L3)*(ROW()-3)/(MATCH(9.99E+307,'Returns (Calc)'!$A:$A)-3),"")</f>
        <v>426.791006289308</v>
      </c>
      <c r="AH161" s="112" t="n">
        <f aca="false">IFERROR('Price History'!M3+(INDEX('Price History'!M:M,MATCH(9.99E+307,'Price History'!$A:$A))-'Price History'!M3)*(ROW()-3)/(MATCH(9.99E+307,'Returns (Calc)'!$A:$A)-3),"")</f>
        <v>278.97641509434</v>
      </c>
      <c r="AI161" s="112" t="n">
        <f aca="false">IFERROR('Price History'!N3+(INDEX('Price History'!N:N,MATCH(9.99E+307,'Price History'!$A:$A))-'Price History'!N3)*(ROW()-3)/(MATCH(9.99E+307,'Returns (Calc)'!$A:$A)-3),"")</f>
        <v>544.885660377359</v>
      </c>
      <c r="AJ161" s="112" t="n">
        <f aca="false">IFERROR('Price History'!O3+(INDEX('Price History'!O:O,MATCH(9.99E+307,'Price History'!$A:$A))-'Price History'!O3)*(ROW()-3)/(MATCH(9.99E+307,'Returns (Calc)'!$A:$A)-3),"")</f>
        <v>126.652767295598</v>
      </c>
      <c r="AK161" s="112" t="n">
        <f aca="false">IFERROR('Price History'!Q3+(INDEX('Price History'!Q:Q,MATCH(9.99E+307,'Price History'!$A:$A))-'Price History'!Q3)*(ROW()-3)/(MATCH(9.99E+307,'Returns (Calc)'!$A:$A)-3),"")</f>
        <v>69.5949685534591</v>
      </c>
      <c r="AL161" s="112" t="n">
        <f aca="false">IFERROR('Price History'!R3+(INDEX('Price History'!R:R,MATCH(9.99E+307,'Price History'!$A:$A))-'Price History'!R3)*(ROW()-3)/(MATCH(9.99E+307,'Returns (Calc)'!$A:$A)-3),"")</f>
        <v>59.794213836478</v>
      </c>
      <c r="AM161" s="112" t="n">
        <f aca="false">IFERROR('Price History'!S3+(INDEX('Price History'!S:S,MATCH(9.99E+307,'Price History'!$A:$A))-'Price History'!S3)*(ROW()-3)/(MATCH(9.99E+307,'Returns (Calc)'!$A:$A)-3),"")</f>
        <v>149.146540880503</v>
      </c>
      <c r="AN161" s="112" t="n">
        <f aca="false">IFERROR('Price History'!T3+(INDEX('Price History'!T:T,MATCH(9.99E+307,'Price History'!$A:$A))-'Price History'!T3)*(ROW()-3)/(MATCH(9.99E+307,'Returns (Calc)'!$A:$A)-3),"")</f>
        <v>55.1115094339623</v>
      </c>
      <c r="AO161" s="112" t="n">
        <f aca="false">IFERROR('Price History'!V3+(INDEX('Price History'!V:V,MATCH(9.99E+307,'Price History'!$A:$A))-'Price History'!V3)*(ROW()-3)/(MATCH(9.99E+307,'Returns (Calc)'!$A:$A)-3),"")</f>
        <v>372.71106918239</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c r="V162" s="110" t="n">
        <f aca="false">IFERROR(IF(OR(NOT(ISNUMBER('Price History'!V163)),NOT(ISNUMBER('Price History'!V162)),'Price History'!V162=0),"",'Price History'!V163/'Price History'!V162-1),"")</f>
        <v>-0.0171121593291406</v>
      </c>
      <c r="W162" s="112" t="n">
        <f aca="false">IFERROR('Price History'!B3+(INDEX('Price History'!B:B,MATCH(9.99E+307,'Price History'!$A:$A))-'Price History'!B3)*(ROW()-3)/(MATCH(9.99E+307,'Returns (Calc)'!$A:$A)-3),"")</f>
        <v>266.51</v>
      </c>
      <c r="X162" s="112" t="n">
        <f aca="false">IFERROR('Price History'!C3+(INDEX('Price History'!C:C,MATCH(9.99E+307,'Price History'!$A:$A))-'Price History'!C3)*(ROW()-3)/(MATCH(9.99E+307,'Returns (Calc)'!$A:$A)-3),"")</f>
        <v>193.78</v>
      </c>
      <c r="Y162" s="112" t="n">
        <f aca="false">IFERROR('Price History'!D3+(INDEX('Price History'!D:D,MATCH(9.99E+307,'Price History'!$A:$A))-'Price History'!D3)*(ROW()-3)/(MATCH(9.99E+307,'Returns (Calc)'!$A:$A)-3),"")</f>
        <v>1714.88</v>
      </c>
      <c r="Z162" s="112" t="n">
        <f aca="false">IFERROR('Price History'!E3+(INDEX('Price History'!E:E,MATCH(9.99E+307,'Price History'!$A:$A))-'Price History'!E3)*(ROW()-3)/(MATCH(9.99E+307,'Returns (Calc)'!$A:$A)-3),"")</f>
        <v>357.9</v>
      </c>
      <c r="AA162" s="112" t="n">
        <f aca="false">IFERROR('Price History'!F3+(INDEX('Price History'!F:F,MATCH(9.99E+307,'Price History'!$A:$A))-'Price History'!F3)*(ROW()-3)/(MATCH(9.99E+307,'Returns (Calc)'!$A:$A)-3),"")</f>
        <v>213.1</v>
      </c>
      <c r="AB162" s="112" t="n">
        <f aca="false">IFERROR('Price History'!G3+(INDEX('Price History'!G:G,MATCH(9.99E+307,'Price History'!$A:$A))-'Price History'!G3)*(ROW()-3)/(MATCH(9.99E+307,'Returns (Calc)'!$A:$A)-3),"")</f>
        <v>185.6</v>
      </c>
      <c r="AC162" s="112" t="n">
        <f aca="false">IFERROR('Price History'!H3+(INDEX('Price History'!H:H,MATCH(9.99E+307,'Price History'!$A:$A))-'Price History'!H3)*(ROW()-3)/(MATCH(9.99E+307,'Returns (Calc)'!$A:$A)-3),"")</f>
        <v>1016.59</v>
      </c>
      <c r="AD162" s="112" t="n">
        <f aca="false">IFERROR('Price History'!I3+(INDEX('Price History'!I:I,MATCH(9.99E+307,'Price History'!$A:$A))-'Price History'!I3)*(ROW()-3)/(MATCH(9.99E+307,'Returns (Calc)'!$A:$A)-3),"")</f>
        <v>230.36</v>
      </c>
      <c r="AE162" s="112" t="n">
        <f aca="false">IFERROR('Price History'!J3+(INDEX('Price History'!J:J,MATCH(9.99E+307,'Price History'!$A:$A))-'Price History'!J3)*(ROW()-3)/(MATCH(9.99E+307,'Returns (Calc)'!$A:$A)-3),"")</f>
        <v>137.34</v>
      </c>
      <c r="AF162" s="112" t="n">
        <f aca="false">IFERROR('Price History'!K3+(INDEX('Price History'!K:K,MATCH(9.99E+307,'Price History'!$A:$A))-'Price History'!K3)*(ROW()-3)/(MATCH(9.99E+307,'Returns (Calc)'!$A:$A)-3),"")</f>
        <v>174.33</v>
      </c>
      <c r="AG162" s="112" t="n">
        <f aca="false">IFERROR('Price History'!L3+(INDEX('Price History'!L:L,MATCH(9.99E+307,'Price History'!$A:$A))-'Price History'!L3)*(ROW()-3)/(MATCH(9.99E+307,'Returns (Calc)'!$A:$A)-3),"")</f>
        <v>428.91</v>
      </c>
      <c r="AH162" s="112" t="n">
        <f aca="false">IFERROR('Price History'!M3+(INDEX('Price History'!M:M,MATCH(9.99E+307,'Price History'!$A:$A))-'Price History'!M3)*(ROW()-3)/(MATCH(9.99E+307,'Returns (Calc)'!$A:$A)-3),"")</f>
        <v>280.53</v>
      </c>
      <c r="AI162" s="112" t="n">
        <f aca="false">IFERROR('Price History'!N3+(INDEX('Price History'!N:N,MATCH(9.99E+307,'Price History'!$A:$A))-'Price History'!N3)*(ROW()-3)/(MATCH(9.99E+307,'Returns (Calc)'!$A:$A)-3),"")</f>
        <v>546.12</v>
      </c>
      <c r="AJ162" s="112" t="n">
        <f aca="false">IFERROR('Price History'!O3+(INDEX('Price History'!O:O,MATCH(9.99E+307,'Price History'!$A:$A))-'Price History'!O3)*(ROW()-3)/(MATCH(9.99E+307,'Returns (Calc)'!$A:$A)-3),"")</f>
        <v>126.93</v>
      </c>
      <c r="AK162" s="112" t="n">
        <f aca="false">IFERROR('Price History'!Q3+(INDEX('Price History'!Q:Q,MATCH(9.99E+307,'Price History'!$A:$A))-'Price History'!Q3)*(ROW()-3)/(MATCH(9.99E+307,'Returns (Calc)'!$A:$A)-3),"")</f>
        <v>69.72</v>
      </c>
      <c r="AL162" s="112" t="n">
        <f aca="false">IFERROR('Price History'!R3+(INDEX('Price History'!R:R,MATCH(9.99E+307,'Price History'!$A:$A))-'Price History'!R3)*(ROW()-3)/(MATCH(9.99E+307,'Returns (Calc)'!$A:$A)-3),"")</f>
        <v>59.87</v>
      </c>
      <c r="AM162" s="112" t="n">
        <f aca="false">IFERROR('Price History'!S3+(INDEX('Price History'!S:S,MATCH(9.99E+307,'Price History'!$A:$A))-'Price History'!S3)*(ROW()-3)/(MATCH(9.99E+307,'Returns (Calc)'!$A:$A)-3),"")</f>
        <v>149.72</v>
      </c>
      <c r="AN162" s="112" t="n">
        <f aca="false">IFERROR('Price History'!T3+(INDEX('Price History'!T:T,MATCH(9.99E+307,'Price History'!$A:$A))-'Price History'!T3)*(ROW()-3)/(MATCH(9.99E+307,'Returns (Calc)'!$A:$A)-3),"")</f>
        <v>55.29</v>
      </c>
      <c r="AO162" s="112"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0" t="s">
        <v>443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row>
    <row r="2" customFormat="false" ht="15" hidden="false" customHeight="true" outlineLevel="0" collapsed="false">
      <c r="A2" s="27" t="s">
        <v>444</v>
      </c>
      <c r="J2" s="113" t="n">
        <f aca="false">COUNTIF(AG6:AG26,"&gt;1")</f>
        <v>4</v>
      </c>
    </row>
    <row r="3" customFormat="false" ht="15" hidden="false" customHeight="true" outlineLevel="0" collapsed="false">
      <c r="A3" s="27" t="s">
        <v>445</v>
      </c>
      <c r="J3" s="113" t="str">
        <f aca="false">IF(J2&gt;0,"REVIEW REQUIRED","OK")</f>
        <v>REVIEW REQUIRED</v>
      </c>
    </row>
    <row r="5" customFormat="false" ht="27.75" hidden="false" customHeight="true" outlineLevel="0" collapsed="false">
      <c r="A5" s="114" t="s">
        <v>82</v>
      </c>
      <c r="B5" s="114" t="str">
        <f aca="false">'Returns (Calc)'!B2</f>
        <v>ADBE</v>
      </c>
      <c r="C5" s="114" t="str">
        <f aca="false">'Returns (Calc)'!C2</f>
        <v>ANET</v>
      </c>
      <c r="D5" s="114" t="str">
        <f aca="false">'Returns (Calc)'!D2</f>
        <v>ASML</v>
      </c>
      <c r="E5" s="114" t="str">
        <f aca="false">'Returns (Calc)'!E2</f>
        <v>AVGO</v>
      </c>
      <c r="F5" s="114" t="str">
        <f aca="false">'Returns (Calc)'!F2</f>
        <v>CRWD</v>
      </c>
      <c r="G5" s="114" t="str">
        <f aca="false">'Returns (Calc)'!G2</f>
        <v>KLAC</v>
      </c>
      <c r="H5" s="114" t="str">
        <f aca="false">'Returns (Calc)'!H2</f>
        <v>MU</v>
      </c>
      <c r="I5" s="114" t="str">
        <f aca="false">'Returns (Calc)'!I2</f>
        <v>NVDA</v>
      </c>
      <c r="J5" s="114" t="str">
        <f aca="false">'Returns (Calc)'!J2</f>
        <v>PLD</v>
      </c>
      <c r="K5" s="114" t="str">
        <f aca="false">'Returns (Calc)'!K2</f>
        <v>PLTR</v>
      </c>
      <c r="L5" s="114" t="str">
        <f aca="false">'Returns (Calc)'!L2</f>
        <v>TSM</v>
      </c>
      <c r="M5" s="114" t="str">
        <f aca="false">'Returns (Calc)'!M2</f>
        <v>VRT</v>
      </c>
      <c r="N5" s="114" t="str">
        <f aca="false">'Returns (Calc)'!N2</f>
        <v>VRTX</v>
      </c>
      <c r="O5" s="114" t="str">
        <f aca="false">'Returns (Calc)'!O2</f>
        <v>AVUV</v>
      </c>
      <c r="P5" s="114" t="n">
        <f aca="false">'Returns (Calc)'!P2</f>
        <v>0</v>
      </c>
      <c r="Q5" s="114" t="str">
        <f aca="false">'Returns (Calc)'!Q2</f>
        <v>HELO</v>
      </c>
      <c r="R5" s="114" t="str">
        <f aca="false">'Returns (Calc)'!R2</f>
        <v>JEPQ</v>
      </c>
      <c r="S5" s="114" t="str">
        <f aca="false">'Returns (Calc)'!S2</f>
        <v>SPMO</v>
      </c>
      <c r="T5" s="114" t="str">
        <f aca="false">'Returns (Calc)'!T2</f>
        <v>VFLO</v>
      </c>
      <c r="U5" s="114" t="n">
        <f aca="false">'Returns (Calc)'!U2</f>
        <v>0</v>
      </c>
      <c r="V5" s="114" t="str">
        <f aca="false">'Returns (Calc)'!V2</f>
        <v>V</v>
      </c>
      <c r="W5" s="115"/>
      <c r="X5" s="115"/>
      <c r="Y5" s="115"/>
      <c r="Z5" s="115"/>
      <c r="AA5" s="115"/>
      <c r="AB5" s="115"/>
      <c r="AC5" s="115"/>
      <c r="AD5" s="115"/>
      <c r="AE5" s="115"/>
      <c r="AF5" s="115"/>
      <c r="AG5" s="114" t="s">
        <v>446</v>
      </c>
    </row>
    <row r="6" customFormat="false" ht="15" hidden="false" customHeight="true" outlineLevel="0" collapsed="false">
      <c r="A6" s="116" t="str">
        <f aca="false">'Returns (Calc)'!B2</f>
        <v>ADBE</v>
      </c>
      <c r="B6" s="117" t="n">
        <v>1</v>
      </c>
      <c r="C6" s="117" t="n">
        <f aca="false">IFERROR(ROUND(CORREL('Returns (Calc)'!$B$3:$B$500,'Returns (Calc)'!$C$3:$C$500),2),"")</f>
        <v>0.22</v>
      </c>
      <c r="D6" s="117" t="n">
        <f aca="false">IFERROR(ROUND(CORREL('Returns (Calc)'!$B$3:$B$500,'Returns (Calc)'!$D$3:$D$500),2),"")</f>
        <v>0.02</v>
      </c>
      <c r="E6" s="117" t="n">
        <f aca="false">IFERROR(ROUND(CORREL('Returns (Calc)'!$B$3:$B$500,'Returns (Calc)'!$E$3:$E$500),2),"")</f>
        <v>0.17</v>
      </c>
      <c r="F6" s="117" t="n">
        <f aca="false">IFERROR(ROUND(CORREL('Returns (Calc)'!$B$3:$B$500,'Returns (Calc)'!$F$3:$F$500),2),"")</f>
        <v>0.42</v>
      </c>
      <c r="G6" s="117" t="n">
        <f aca="false">IFERROR(ROUND(CORREL('Returns (Calc)'!$B$3:$B$500,'Returns (Calc)'!$G$3:$G$500),2),"")</f>
        <v>-0.05</v>
      </c>
      <c r="H6" s="117" t="n">
        <f aca="false">IFERROR(ROUND(CORREL('Returns (Calc)'!$B$3:$B$500,'Returns (Calc)'!$H$3:$H$500),2),"")</f>
        <v>0.05</v>
      </c>
      <c r="I6" s="117" t="n">
        <f aca="false">IFERROR(ROUND(CORREL('Returns (Calc)'!$B$3:$B$500,'Returns (Calc)'!$I$3:$I$500),2),"")</f>
        <v>0.22</v>
      </c>
      <c r="J6" s="117" t="n">
        <f aca="false">IFERROR(ROUND(CORREL('Returns (Calc)'!$B$3:$B$500,'Returns (Calc)'!$J$3:$J$500),2),"")</f>
        <v>0.18</v>
      </c>
      <c r="K6" s="117" t="n">
        <f aca="false">IFERROR(ROUND(CORREL('Returns (Calc)'!$B$3:$B$500,'Returns (Calc)'!$K$3:$K$500),2),"")</f>
        <v>0.37</v>
      </c>
      <c r="L6" s="117" t="n">
        <f aca="false">IFERROR(ROUND(CORREL('Returns (Calc)'!$B$3:$B$500,'Returns (Calc)'!$L$3:$L$500),2),"")</f>
        <v>0.16</v>
      </c>
      <c r="M6" s="117" t="n">
        <f aca="false">IFERROR(ROUND(CORREL('Returns (Calc)'!$B$3:$B$500,'Returns (Calc)'!$M$3:$M$500),2),"")</f>
        <v>0.06</v>
      </c>
      <c r="N6" s="117" t="n">
        <f aca="false">IFERROR(ROUND(CORREL('Returns (Calc)'!$B$3:$B$500,'Returns (Calc)'!$N$3:$N$500),2),"")</f>
        <v>0.14</v>
      </c>
      <c r="O6" s="117" t="n">
        <f aca="false">IFERROR(ROUND(CORREL('Returns (Calc)'!$B$3:$B$500,'Returns (Calc)'!$O$3:$O$500),2),"")</f>
        <v>0.16</v>
      </c>
      <c r="P6" s="117" t="str">
        <f aca="false">IFERROR(ROUND(CORREL('Returns (Calc)'!$B$3:$B$500,'Returns (Calc)'!$P$3:$P$500),2),"")</f>
        <v/>
      </c>
      <c r="Q6" s="117" t="n">
        <f aca="false">IFERROR(ROUND(CORREL('Returns (Calc)'!$B$3:$B$500,'Returns (Calc)'!$Q$3:$Q$500),2),"")</f>
        <v>-0.07</v>
      </c>
      <c r="R6" s="117" t="n">
        <f aca="false">IFERROR(ROUND(CORREL('Returns (Calc)'!$B$3:$B$500,'Returns (Calc)'!$R$3:$R$500),2),"")</f>
        <v>0.31</v>
      </c>
      <c r="S6" s="117" t="n">
        <f aca="false">IFERROR(ROUND(CORREL('Returns (Calc)'!$B$3:$B$500,'Returns (Calc)'!$S$3:$S$500),2),"")</f>
        <v>0.23</v>
      </c>
      <c r="T6" s="117" t="n">
        <f aca="false">IFERROR(ROUND(CORREL('Returns (Calc)'!$B$3:$B$500,'Returns (Calc)'!$T$3:$T$500),2),"")</f>
        <v>0.42</v>
      </c>
      <c r="U6" s="117" t="str">
        <f aca="false">IFERROR(ROUND(CORREL('Returns (Calc)'!$B$3:$B$500,'Returns (Calc)'!$U$3:$U$500),2),"")</f>
        <v/>
      </c>
      <c r="V6" s="117" t="n">
        <f aca="false">IFERROR(ROUND(CORREL('Returns (Calc)'!$B$3:$B$500,'Returns (Calc)'!$V$3:$V$500),2),"")</f>
        <v>0.39</v>
      </c>
      <c r="AG6" s="118" t="n">
        <f aca="false">COUNTIF(B6:V6,"&gt;0.7")-1</f>
        <v>0</v>
      </c>
    </row>
    <row r="7" customFormat="false" ht="15" hidden="false" customHeight="true" outlineLevel="0" collapsed="false">
      <c r="A7" s="116" t="str">
        <f aca="false">'Returns (Calc)'!C2</f>
        <v>ANET</v>
      </c>
      <c r="B7" s="117" t="n">
        <f aca="false">IFERROR(ROUND(CORREL('Returns (Calc)'!$C$3:$C$500,'Returns (Calc)'!$B$3:$B$500),2),"")</f>
        <v>0.22</v>
      </c>
      <c r="C7" s="117" t="n">
        <v>1</v>
      </c>
      <c r="D7" s="117" t="n">
        <f aca="false">IFERROR(ROUND(CORREL('Returns (Calc)'!$C$3:$C$500,'Returns (Calc)'!$D$3:$D$500),2),"")</f>
        <v>0.39</v>
      </c>
      <c r="E7" s="117" t="n">
        <f aca="false">IFERROR(ROUND(CORREL('Returns (Calc)'!$C$3:$C$500,'Returns (Calc)'!$E$3:$E$500),2),"")</f>
        <v>0.58</v>
      </c>
      <c r="F7" s="117" t="n">
        <f aca="false">IFERROR(ROUND(CORREL('Returns (Calc)'!$C$3:$C$500,'Returns (Calc)'!$F$3:$F$500),2),"")</f>
        <v>0.38</v>
      </c>
      <c r="G7" s="117" t="n">
        <f aca="false">IFERROR(ROUND(CORREL('Returns (Calc)'!$C$3:$C$500,'Returns (Calc)'!$G$3:$G$500),2),"")</f>
        <v>0.44</v>
      </c>
      <c r="H7" s="117" t="n">
        <f aca="false">IFERROR(ROUND(CORREL('Returns (Calc)'!$C$3:$C$500,'Returns (Calc)'!$H$3:$H$500),2),"")</f>
        <v>0.35</v>
      </c>
      <c r="I7" s="117" t="n">
        <f aca="false">IFERROR(ROUND(CORREL('Returns (Calc)'!$C$3:$C$500,'Returns (Calc)'!$I$3:$I$500),2),"")</f>
        <v>0.53</v>
      </c>
      <c r="J7" s="117" t="n">
        <f aca="false">IFERROR(ROUND(CORREL('Returns (Calc)'!$C$3:$C$500,'Returns (Calc)'!$J$3:$J$500),2),"")</f>
        <v>0.18</v>
      </c>
      <c r="K7" s="117" t="n">
        <f aca="false">IFERROR(ROUND(CORREL('Returns (Calc)'!$C$3:$C$500,'Returns (Calc)'!$K$3:$K$500),2),"")</f>
        <v>0.33</v>
      </c>
      <c r="L7" s="117" t="n">
        <f aca="false">IFERROR(ROUND(CORREL('Returns (Calc)'!$C$3:$C$500,'Returns (Calc)'!$L$3:$L$500),2),"")</f>
        <v>0.55</v>
      </c>
      <c r="M7" s="117" t="n">
        <f aca="false">IFERROR(ROUND(CORREL('Returns (Calc)'!$C$3:$C$500,'Returns (Calc)'!$M$3:$M$500),2),"")</f>
        <v>0.59</v>
      </c>
      <c r="N7" s="117" t="n">
        <f aca="false">IFERROR(ROUND(CORREL('Returns (Calc)'!$C$3:$C$500,'Returns (Calc)'!$N$3:$N$500),2),"")</f>
        <v>0.04</v>
      </c>
      <c r="O7" s="117" t="n">
        <f aca="false">IFERROR(ROUND(CORREL('Returns (Calc)'!$C$3:$C$500,'Returns (Calc)'!$O$3:$O$500),2),"")</f>
        <v>0.35</v>
      </c>
      <c r="P7" s="117" t="str">
        <f aca="false">IFERROR(ROUND(CORREL('Returns (Calc)'!$C$3:$C$500,'Returns (Calc)'!$P$3:$P$500),2),"")</f>
        <v/>
      </c>
      <c r="Q7" s="117" t="n">
        <f aca="false">IFERROR(ROUND(CORREL('Returns (Calc)'!$C$3:$C$500,'Returns (Calc)'!$Q$3:$Q$500),2),"")</f>
        <v>0.02</v>
      </c>
      <c r="R7" s="117" t="n">
        <f aca="false">IFERROR(ROUND(CORREL('Returns (Calc)'!$C$3:$C$500,'Returns (Calc)'!$R$3:$R$500),2),"")</f>
        <v>0.64</v>
      </c>
      <c r="S7" s="117" t="n">
        <f aca="false">IFERROR(ROUND(CORREL('Returns (Calc)'!$C$3:$C$500,'Returns (Calc)'!$S$3:$S$500),2),"")</f>
        <v>0.64</v>
      </c>
      <c r="T7" s="117" t="n">
        <f aca="false">IFERROR(ROUND(CORREL('Returns (Calc)'!$C$3:$C$500,'Returns (Calc)'!$T$3:$T$500),2),"")</f>
        <v>0.34</v>
      </c>
      <c r="U7" s="117" t="str">
        <f aca="false">IFERROR(ROUND(CORREL('Returns (Calc)'!$C$3:$C$500,'Returns (Calc)'!$U$3:$U$500),2),"")</f>
        <v/>
      </c>
      <c r="V7" s="117" t="n">
        <f aca="false">IFERROR(ROUND(CORREL('Returns (Calc)'!$C$3:$C$500,'Returns (Calc)'!$V$3:$V$500),2),"")</f>
        <v>0.3</v>
      </c>
      <c r="AG7" s="118" t="n">
        <f aca="false">COUNTIF(B7:V7,"&gt;0.7")-1</f>
        <v>0</v>
      </c>
    </row>
    <row r="8" customFormat="false" ht="15" hidden="false" customHeight="true" outlineLevel="0" collapsed="false">
      <c r="A8" s="116" t="str">
        <f aca="false">'Returns (Calc)'!D2</f>
        <v>ASML</v>
      </c>
      <c r="B8" s="117" t="n">
        <f aca="false">IFERROR(ROUND(CORREL('Returns (Calc)'!$D$3:$D$500,'Returns (Calc)'!$B$3:$B$500),2),"")</f>
        <v>0.02</v>
      </c>
      <c r="C8" s="117" t="n">
        <f aca="false">IFERROR(ROUND(CORREL('Returns (Calc)'!$D$3:$D$500,'Returns (Calc)'!$C$3:$C$500),2),"")</f>
        <v>0.39</v>
      </c>
      <c r="D8" s="117" t="n">
        <v>1</v>
      </c>
      <c r="E8" s="117" t="n">
        <f aca="false">IFERROR(ROUND(CORREL('Returns (Calc)'!$D$3:$D$500,'Returns (Calc)'!$E$3:$E$500),2),"")</f>
        <v>0.5</v>
      </c>
      <c r="F8" s="117" t="n">
        <f aca="false">IFERROR(ROUND(CORREL('Returns (Calc)'!$D$3:$D$500,'Returns (Calc)'!$F$3:$F$500),2),"")</f>
        <v>0.32</v>
      </c>
      <c r="G8" s="117" t="n">
        <f aca="false">IFERROR(ROUND(CORREL('Returns (Calc)'!$D$3:$D$500,'Returns (Calc)'!$G$3:$G$500),2),"")</f>
        <v>0.77</v>
      </c>
      <c r="H8" s="117" t="n">
        <f aca="false">IFERROR(ROUND(CORREL('Returns (Calc)'!$D$3:$D$500,'Returns (Calc)'!$H$3:$H$500),2),"")</f>
        <v>0.6</v>
      </c>
      <c r="I8" s="117" t="n">
        <f aca="false">IFERROR(ROUND(CORREL('Returns (Calc)'!$D$3:$D$500,'Returns (Calc)'!$I$3:$I$500),2),"")</f>
        <v>0.49</v>
      </c>
      <c r="J8" s="117" t="n">
        <f aca="false">IFERROR(ROUND(CORREL('Returns (Calc)'!$D$3:$D$500,'Returns (Calc)'!$J$3:$J$500),2),"")</f>
        <v>0.28</v>
      </c>
      <c r="K8" s="117" t="n">
        <f aca="false">IFERROR(ROUND(CORREL('Returns (Calc)'!$D$3:$D$500,'Returns (Calc)'!$K$3:$K$500),2),"")</f>
        <v>0.21</v>
      </c>
      <c r="L8" s="117" t="n">
        <f aca="false">IFERROR(ROUND(CORREL('Returns (Calc)'!$D$3:$D$500,'Returns (Calc)'!$L$3:$L$500),2),"")</f>
        <v>0.63</v>
      </c>
      <c r="M8" s="117" t="n">
        <f aca="false">IFERROR(ROUND(CORREL('Returns (Calc)'!$D$3:$D$500,'Returns (Calc)'!$M$3:$M$500),2),"")</f>
        <v>0.43</v>
      </c>
      <c r="N8" s="117" t="n">
        <f aca="false">IFERROR(ROUND(CORREL('Returns (Calc)'!$D$3:$D$500,'Returns (Calc)'!$N$3:$N$500),2),"")</f>
        <v>0.12</v>
      </c>
      <c r="O8" s="117" t="n">
        <f aca="false">IFERROR(ROUND(CORREL('Returns (Calc)'!$D$3:$D$500,'Returns (Calc)'!$O$3:$O$500),2),"")</f>
        <v>0.39</v>
      </c>
      <c r="P8" s="117" t="str">
        <f aca="false">IFERROR(ROUND(CORREL('Returns (Calc)'!$D$3:$D$500,'Returns (Calc)'!$P$3:$P$500),2),"")</f>
        <v/>
      </c>
      <c r="Q8" s="117" t="n">
        <f aca="false">IFERROR(ROUND(CORREL('Returns (Calc)'!$D$3:$D$500,'Returns (Calc)'!$Q$3:$Q$500),2),"")</f>
        <v>-0.04</v>
      </c>
      <c r="R8" s="117" t="n">
        <f aca="false">IFERROR(ROUND(CORREL('Returns (Calc)'!$D$3:$D$500,'Returns (Calc)'!$R$3:$R$500),2),"")</f>
        <v>0.61</v>
      </c>
      <c r="S8" s="117" t="n">
        <f aca="false">IFERROR(ROUND(CORREL('Returns (Calc)'!$D$3:$D$500,'Returns (Calc)'!$S$3:$S$500),2),"")</f>
        <v>0.61</v>
      </c>
      <c r="T8" s="117" t="n">
        <f aca="false">IFERROR(ROUND(CORREL('Returns (Calc)'!$D$3:$D$500,'Returns (Calc)'!$T$3:$T$500),2),"")</f>
        <v>0.31</v>
      </c>
      <c r="U8" s="117" t="str">
        <f aca="false">IFERROR(ROUND(CORREL('Returns (Calc)'!$D$3:$D$500,'Returns (Calc)'!$U$3:$U$500),2),"")</f>
        <v/>
      </c>
      <c r="V8" s="117" t="n">
        <f aca="false">IFERROR(ROUND(CORREL('Returns (Calc)'!$D$3:$D$500,'Returns (Calc)'!$V$3:$V$500),2),"")</f>
        <v>0.06</v>
      </c>
      <c r="AG8" s="118" t="n">
        <f aca="false">COUNTIF(B8:V8,"&gt;0.7")-1</f>
        <v>1</v>
      </c>
    </row>
    <row r="9" customFormat="false" ht="15" hidden="false" customHeight="true" outlineLevel="0" collapsed="false">
      <c r="A9" s="116" t="str">
        <f aca="false">'Returns (Calc)'!E2</f>
        <v>AVGO</v>
      </c>
      <c r="B9" s="117" t="n">
        <f aca="false">IFERROR(ROUND(CORREL('Returns (Calc)'!$E$3:$E$500,'Returns (Calc)'!$B$3:$B$500),2),"")</f>
        <v>0.17</v>
      </c>
      <c r="C9" s="117" t="n">
        <f aca="false">IFERROR(ROUND(CORREL('Returns (Calc)'!$E$3:$E$500,'Returns (Calc)'!$C$3:$C$500),2),"")</f>
        <v>0.58</v>
      </c>
      <c r="D9" s="117" t="n">
        <f aca="false">IFERROR(ROUND(CORREL('Returns (Calc)'!$E$3:$E$500,'Returns (Calc)'!$D$3:$D$500),2),"")</f>
        <v>0.5</v>
      </c>
      <c r="E9" s="117" t="n">
        <v>1</v>
      </c>
      <c r="F9" s="117" t="n">
        <f aca="false">IFERROR(ROUND(CORREL('Returns (Calc)'!$E$3:$E$500,'Returns (Calc)'!$F$3:$F$500),2),"")</f>
        <v>0.41</v>
      </c>
      <c r="G9" s="117" t="n">
        <f aca="false">IFERROR(ROUND(CORREL('Returns (Calc)'!$E$3:$E$500,'Returns (Calc)'!$G$3:$G$500),2),"")</f>
        <v>0.54</v>
      </c>
      <c r="H9" s="117" t="n">
        <f aca="false">IFERROR(ROUND(CORREL('Returns (Calc)'!$E$3:$E$500,'Returns (Calc)'!$H$3:$H$500),2),"")</f>
        <v>0.48</v>
      </c>
      <c r="I9" s="117" t="n">
        <f aca="false">IFERROR(ROUND(CORREL('Returns (Calc)'!$E$3:$E$500,'Returns (Calc)'!$I$3:$I$500),2),"")</f>
        <v>0.62</v>
      </c>
      <c r="J9" s="117" t="n">
        <f aca="false">IFERROR(ROUND(CORREL('Returns (Calc)'!$E$3:$E$500,'Returns (Calc)'!$J$3:$J$500),2),"")</f>
        <v>0.22</v>
      </c>
      <c r="K9" s="117" t="n">
        <f aca="false">IFERROR(ROUND(CORREL('Returns (Calc)'!$E$3:$E$500,'Returns (Calc)'!$K$3:$K$500),2),"")</f>
        <v>0.38</v>
      </c>
      <c r="L9" s="117" t="n">
        <f aca="false">IFERROR(ROUND(CORREL('Returns (Calc)'!$E$3:$E$500,'Returns (Calc)'!$L$3:$L$500),2),"")</f>
        <v>0.63</v>
      </c>
      <c r="M9" s="117" t="n">
        <f aca="false">IFERROR(ROUND(CORREL('Returns (Calc)'!$E$3:$E$500,'Returns (Calc)'!$M$3:$M$500),2),"")</f>
        <v>0.53</v>
      </c>
      <c r="N9" s="117" t="n">
        <f aca="false">IFERROR(ROUND(CORREL('Returns (Calc)'!$E$3:$E$500,'Returns (Calc)'!$N$3:$N$500),2),"")</f>
        <v>0.15</v>
      </c>
      <c r="O9" s="117" t="n">
        <f aca="false">IFERROR(ROUND(CORREL('Returns (Calc)'!$E$3:$E$500,'Returns (Calc)'!$O$3:$O$500),2),"")</f>
        <v>0.29</v>
      </c>
      <c r="P9" s="117" t="str">
        <f aca="false">IFERROR(ROUND(CORREL('Returns (Calc)'!$E$3:$E$500,'Returns (Calc)'!$P$3:$P$500),2),"")</f>
        <v/>
      </c>
      <c r="Q9" s="117" t="n">
        <f aca="false">IFERROR(ROUND(CORREL('Returns (Calc)'!$E$3:$E$500,'Returns (Calc)'!$Q$3:$Q$500),2),"")</f>
        <v>-0.04</v>
      </c>
      <c r="R9" s="117" t="n">
        <f aca="false">IFERROR(ROUND(CORREL('Returns (Calc)'!$E$3:$E$500,'Returns (Calc)'!$R$3:$R$500),2),"")</f>
        <v>0.72</v>
      </c>
      <c r="S9" s="117" t="n">
        <f aca="false">IFERROR(ROUND(CORREL('Returns (Calc)'!$E$3:$E$500,'Returns (Calc)'!$S$3:$S$500),2),"")</f>
        <v>0.73</v>
      </c>
      <c r="T9" s="117" t="n">
        <f aca="false">IFERROR(ROUND(CORREL('Returns (Calc)'!$E$3:$E$500,'Returns (Calc)'!$T$3:$T$500),2),"")</f>
        <v>0.26</v>
      </c>
      <c r="U9" s="117" t="str">
        <f aca="false">IFERROR(ROUND(CORREL('Returns (Calc)'!$E$3:$E$500,'Returns (Calc)'!$U$3:$U$500),2),"")</f>
        <v/>
      </c>
      <c r="V9" s="117" t="n">
        <f aca="false">IFERROR(ROUND(CORREL('Returns (Calc)'!$E$3:$E$500,'Returns (Calc)'!$V$3:$V$500),2),"")</f>
        <v>0.23</v>
      </c>
      <c r="AG9" s="118" t="n">
        <f aca="false">COUNTIF(B9:V9,"&gt;0.7")-1</f>
        <v>2</v>
      </c>
    </row>
    <row r="10" customFormat="false" ht="15" hidden="false" customHeight="true" outlineLevel="0" collapsed="false">
      <c r="A10" s="116" t="str">
        <f aca="false">'Returns (Calc)'!F2</f>
        <v>CRWD</v>
      </c>
      <c r="B10" s="117" t="n">
        <f aca="false">IFERROR(ROUND(CORREL('Returns (Calc)'!$F$3:$F$500,'Returns (Calc)'!$B$3:$B$500),2),"")</f>
        <v>0.42</v>
      </c>
      <c r="C10" s="117" t="n">
        <f aca="false">IFERROR(ROUND(CORREL('Returns (Calc)'!$F$3:$F$500,'Returns (Calc)'!$C$3:$C$500),2),"")</f>
        <v>0.38</v>
      </c>
      <c r="D10" s="117" t="n">
        <f aca="false">IFERROR(ROUND(CORREL('Returns (Calc)'!$F$3:$F$500,'Returns (Calc)'!$D$3:$D$500),2),"")</f>
        <v>0.32</v>
      </c>
      <c r="E10" s="117" t="n">
        <f aca="false">IFERROR(ROUND(CORREL('Returns (Calc)'!$F$3:$F$500,'Returns (Calc)'!$E$3:$E$500),2),"")</f>
        <v>0.41</v>
      </c>
      <c r="F10" s="117" t="n">
        <v>1</v>
      </c>
      <c r="G10" s="117" t="n">
        <f aca="false">IFERROR(ROUND(CORREL('Returns (Calc)'!$F$3:$F$500,'Returns (Calc)'!$G$3:$G$500),2),"")</f>
        <v>0.34</v>
      </c>
      <c r="H10" s="117" t="n">
        <f aca="false">IFERROR(ROUND(CORREL('Returns (Calc)'!$F$3:$F$500,'Returns (Calc)'!$H$3:$H$500),2),"")</f>
        <v>0.32</v>
      </c>
      <c r="I10" s="117" t="n">
        <f aca="false">IFERROR(ROUND(CORREL('Returns (Calc)'!$F$3:$F$500,'Returns (Calc)'!$I$3:$I$500),2),"")</f>
        <v>0.46</v>
      </c>
      <c r="J10" s="117" t="n">
        <f aca="false">IFERROR(ROUND(CORREL('Returns (Calc)'!$F$3:$F$500,'Returns (Calc)'!$J$3:$J$500),2),"")</f>
        <v>0.1</v>
      </c>
      <c r="K10" s="117" t="n">
        <f aca="false">IFERROR(ROUND(CORREL('Returns (Calc)'!$F$3:$F$500,'Returns (Calc)'!$K$3:$K$500),2),"")</f>
        <v>0.5</v>
      </c>
      <c r="L10" s="117" t="n">
        <f aca="false">IFERROR(ROUND(CORREL('Returns (Calc)'!$F$3:$F$500,'Returns (Calc)'!$L$3:$L$500),2),"")</f>
        <v>0.38</v>
      </c>
      <c r="M10" s="117" t="n">
        <f aca="false">IFERROR(ROUND(CORREL('Returns (Calc)'!$F$3:$F$500,'Returns (Calc)'!$M$3:$M$500),2),"")</f>
        <v>0.42</v>
      </c>
      <c r="N10" s="117" t="n">
        <f aca="false">IFERROR(ROUND(CORREL('Returns (Calc)'!$F$3:$F$500,'Returns (Calc)'!$N$3:$N$500),2),"")</f>
        <v>0.18</v>
      </c>
      <c r="O10" s="117" t="n">
        <f aca="false">IFERROR(ROUND(CORREL('Returns (Calc)'!$F$3:$F$500,'Returns (Calc)'!$O$3:$O$500),2),"")</f>
        <v>0.22</v>
      </c>
      <c r="P10" s="117" t="str">
        <f aca="false">IFERROR(ROUND(CORREL('Returns (Calc)'!$F$3:$F$500,'Returns (Calc)'!$P$3:$P$500),2),"")</f>
        <v/>
      </c>
      <c r="Q10" s="117" t="n">
        <f aca="false">IFERROR(ROUND(CORREL('Returns (Calc)'!$F$3:$F$500,'Returns (Calc)'!$Q$3:$Q$500),2),"")</f>
        <v>-0.03</v>
      </c>
      <c r="R10" s="117" t="n">
        <f aca="false">IFERROR(ROUND(CORREL('Returns (Calc)'!$F$3:$F$500,'Returns (Calc)'!$R$3:$R$500),2),"")</f>
        <v>0.53</v>
      </c>
      <c r="S10" s="117" t="n">
        <f aca="false">IFERROR(ROUND(CORREL('Returns (Calc)'!$F$3:$F$500,'Returns (Calc)'!$S$3:$S$500),2),"")</f>
        <v>0.53</v>
      </c>
      <c r="T10" s="117" t="n">
        <f aca="false">IFERROR(ROUND(CORREL('Returns (Calc)'!$F$3:$F$500,'Returns (Calc)'!$T$3:$T$500),2),"")</f>
        <v>0.32</v>
      </c>
      <c r="U10" s="117" t="str">
        <f aca="false">IFERROR(ROUND(CORREL('Returns (Calc)'!$F$3:$F$500,'Returns (Calc)'!$U$3:$U$500),2),"")</f>
        <v/>
      </c>
      <c r="V10" s="117" t="n">
        <f aca="false">IFERROR(ROUND(CORREL('Returns (Calc)'!$F$3:$F$500,'Returns (Calc)'!$V$3:$V$500),2),"")</f>
        <v>0.25</v>
      </c>
      <c r="AG10" s="118" t="n">
        <f aca="false">COUNTIF(B10:V10,"&gt;0.7")-1</f>
        <v>0</v>
      </c>
    </row>
    <row r="11" customFormat="false" ht="15" hidden="false" customHeight="true" outlineLevel="0" collapsed="false">
      <c r="A11" s="116" t="str">
        <f aca="false">'Returns (Calc)'!G2</f>
        <v>KLAC</v>
      </c>
      <c r="B11" s="117" t="n">
        <f aca="false">IFERROR(ROUND(CORREL('Returns (Calc)'!$G$3:$G$500,'Returns (Calc)'!$B$3:$B$500),2),"")</f>
        <v>-0.05</v>
      </c>
      <c r="C11" s="117" t="n">
        <f aca="false">IFERROR(ROUND(CORREL('Returns (Calc)'!$G$3:$G$500,'Returns (Calc)'!$C$3:$C$500),2),"")</f>
        <v>0.44</v>
      </c>
      <c r="D11" s="117" t="n">
        <f aca="false">IFERROR(ROUND(CORREL('Returns (Calc)'!$G$3:$G$500,'Returns (Calc)'!$D$3:$D$500),2),"")</f>
        <v>0.77</v>
      </c>
      <c r="E11" s="117" t="n">
        <f aca="false">IFERROR(ROUND(CORREL('Returns (Calc)'!$G$3:$G$500,'Returns (Calc)'!$E$3:$E$500),2),"")</f>
        <v>0.54</v>
      </c>
      <c r="F11" s="117" t="n">
        <f aca="false">IFERROR(ROUND(CORREL('Returns (Calc)'!$G$3:$G$500,'Returns (Calc)'!$F$3:$F$500),2),"")</f>
        <v>0.34</v>
      </c>
      <c r="G11" s="117" t="n">
        <v>1</v>
      </c>
      <c r="H11" s="117" t="n">
        <f aca="false">IFERROR(ROUND(CORREL('Returns (Calc)'!$G$3:$G$500,'Returns (Calc)'!$H$3:$H$500),2),"")</f>
        <v>0.6</v>
      </c>
      <c r="I11" s="117" t="n">
        <f aca="false">IFERROR(ROUND(CORREL('Returns (Calc)'!$G$3:$G$500,'Returns (Calc)'!$I$3:$I$500),2),"")</f>
        <v>0.52</v>
      </c>
      <c r="J11" s="117" t="n">
        <f aca="false">IFERROR(ROUND(CORREL('Returns (Calc)'!$G$3:$G$500,'Returns (Calc)'!$J$3:$J$500),2),"")</f>
        <v>0.28</v>
      </c>
      <c r="K11" s="117" t="n">
        <f aca="false">IFERROR(ROUND(CORREL('Returns (Calc)'!$G$3:$G$500,'Returns (Calc)'!$K$3:$K$500),2),"")</f>
        <v>0.25</v>
      </c>
      <c r="L11" s="117" t="n">
        <f aca="false">IFERROR(ROUND(CORREL('Returns (Calc)'!$G$3:$G$500,'Returns (Calc)'!$L$3:$L$500),2),"")</f>
        <v>0.61</v>
      </c>
      <c r="M11" s="117" t="n">
        <f aca="false">IFERROR(ROUND(CORREL('Returns (Calc)'!$G$3:$G$500,'Returns (Calc)'!$M$3:$M$500),2),"")</f>
        <v>0.51</v>
      </c>
      <c r="N11" s="117" t="n">
        <f aca="false">IFERROR(ROUND(CORREL('Returns (Calc)'!$G$3:$G$500,'Returns (Calc)'!$N$3:$N$500),2),"")</f>
        <v>0.16</v>
      </c>
      <c r="O11" s="117" t="n">
        <f aca="false">IFERROR(ROUND(CORREL('Returns (Calc)'!$G$3:$G$500,'Returns (Calc)'!$O$3:$O$500),2),"")</f>
        <v>0.43</v>
      </c>
      <c r="P11" s="117" t="str">
        <f aca="false">IFERROR(ROUND(CORREL('Returns (Calc)'!$G$3:$G$500,'Returns (Calc)'!$P$3:$P$500),2),"")</f>
        <v/>
      </c>
      <c r="Q11" s="117" t="n">
        <f aca="false">IFERROR(ROUND(CORREL('Returns (Calc)'!$G$3:$G$500,'Returns (Calc)'!$Q$3:$Q$500),2),"")</f>
        <v>-0.02</v>
      </c>
      <c r="R11" s="117" t="n">
        <f aca="false">IFERROR(ROUND(CORREL('Returns (Calc)'!$G$3:$G$500,'Returns (Calc)'!$R$3:$R$500),2),"")</f>
        <v>0.62</v>
      </c>
      <c r="S11" s="117" t="n">
        <f aca="false">IFERROR(ROUND(CORREL('Returns (Calc)'!$G$3:$G$500,'Returns (Calc)'!$S$3:$S$500),2),"")</f>
        <v>0.67</v>
      </c>
      <c r="T11" s="117" t="n">
        <f aca="false">IFERROR(ROUND(CORREL('Returns (Calc)'!$G$3:$G$500,'Returns (Calc)'!$T$3:$T$500),2),"")</f>
        <v>0.31</v>
      </c>
      <c r="U11" s="117" t="str">
        <f aca="false">IFERROR(ROUND(CORREL('Returns (Calc)'!$G$3:$G$500,'Returns (Calc)'!$U$3:$U$500),2),"")</f>
        <v/>
      </c>
      <c r="V11" s="117" t="n">
        <f aca="false">IFERROR(ROUND(CORREL('Returns (Calc)'!$G$3:$G$500,'Returns (Calc)'!$V$3:$V$500),2),"")</f>
        <v>0.03</v>
      </c>
      <c r="AG11" s="118" t="n">
        <f aca="false">COUNTIF(B11:V11,"&gt;0.7")-1</f>
        <v>1</v>
      </c>
    </row>
    <row r="12" customFormat="false" ht="15" hidden="false" customHeight="true" outlineLevel="0" collapsed="false">
      <c r="A12" s="116" t="str">
        <f aca="false">'Returns (Calc)'!H2</f>
        <v>MU</v>
      </c>
      <c r="B12" s="117" t="n">
        <f aca="false">IFERROR(ROUND(CORREL('Returns (Calc)'!$H$3:$H$500,'Returns (Calc)'!$B$3:$B$500),2),"")</f>
        <v>0.05</v>
      </c>
      <c r="C12" s="117" t="n">
        <f aca="false">IFERROR(ROUND(CORREL('Returns (Calc)'!$H$3:$H$500,'Returns (Calc)'!$C$3:$C$500),2),"")</f>
        <v>0.35</v>
      </c>
      <c r="D12" s="117" t="n">
        <f aca="false">IFERROR(ROUND(CORREL('Returns (Calc)'!$H$3:$H$500,'Returns (Calc)'!$D$3:$D$500),2),"")</f>
        <v>0.6</v>
      </c>
      <c r="E12" s="117" t="n">
        <f aca="false">IFERROR(ROUND(CORREL('Returns (Calc)'!$H$3:$H$500,'Returns (Calc)'!$E$3:$E$500),2),"")</f>
        <v>0.48</v>
      </c>
      <c r="F12" s="117" t="n">
        <f aca="false">IFERROR(ROUND(CORREL('Returns (Calc)'!$H$3:$H$500,'Returns (Calc)'!$F$3:$F$500),2),"")</f>
        <v>0.32</v>
      </c>
      <c r="G12" s="117" t="n">
        <f aca="false">IFERROR(ROUND(CORREL('Returns (Calc)'!$H$3:$H$500,'Returns (Calc)'!$G$3:$G$500),2),"")</f>
        <v>0.6</v>
      </c>
      <c r="H12" s="117" t="n">
        <v>1</v>
      </c>
      <c r="I12" s="117" t="n">
        <f aca="false">IFERROR(ROUND(CORREL('Returns (Calc)'!$H$3:$H$500,'Returns (Calc)'!$I$3:$I$500),2),"")</f>
        <v>0.5</v>
      </c>
      <c r="J12" s="117" t="n">
        <f aca="false">IFERROR(ROUND(CORREL('Returns (Calc)'!$H$3:$H$500,'Returns (Calc)'!$J$3:$J$500),2),"")</f>
        <v>0.2</v>
      </c>
      <c r="K12" s="117" t="n">
        <f aca="false">IFERROR(ROUND(CORREL('Returns (Calc)'!$H$3:$H$500,'Returns (Calc)'!$K$3:$K$500),2),"")</f>
        <v>0.17</v>
      </c>
      <c r="L12" s="117" t="n">
        <f aca="false">IFERROR(ROUND(CORREL('Returns (Calc)'!$H$3:$H$500,'Returns (Calc)'!$L$3:$L$500),2),"")</f>
        <v>0.55</v>
      </c>
      <c r="M12" s="117" t="n">
        <f aca="false">IFERROR(ROUND(CORREL('Returns (Calc)'!$H$3:$H$500,'Returns (Calc)'!$M$3:$M$500),2),"")</f>
        <v>0.5</v>
      </c>
      <c r="N12" s="117" t="n">
        <f aca="false">IFERROR(ROUND(CORREL('Returns (Calc)'!$H$3:$H$500,'Returns (Calc)'!$N$3:$N$500),2),"")</f>
        <v>0.18</v>
      </c>
      <c r="O12" s="117" t="n">
        <f aca="false">IFERROR(ROUND(CORREL('Returns (Calc)'!$H$3:$H$500,'Returns (Calc)'!$O$3:$O$500),2),"")</f>
        <v>0.36</v>
      </c>
      <c r="P12" s="117" t="str">
        <f aca="false">IFERROR(ROUND(CORREL('Returns (Calc)'!$H$3:$H$500,'Returns (Calc)'!$P$3:$P$500),2),"")</f>
        <v/>
      </c>
      <c r="Q12" s="117" t="n">
        <f aca="false">IFERROR(ROUND(CORREL('Returns (Calc)'!$H$3:$H$500,'Returns (Calc)'!$Q$3:$Q$500),2),"")</f>
        <v>-0.1</v>
      </c>
      <c r="R12" s="117" t="n">
        <f aca="false">IFERROR(ROUND(CORREL('Returns (Calc)'!$H$3:$H$500,'Returns (Calc)'!$R$3:$R$500),2),"")</f>
        <v>0.61</v>
      </c>
      <c r="S12" s="117" t="n">
        <f aca="false">IFERROR(ROUND(CORREL('Returns (Calc)'!$H$3:$H$500,'Returns (Calc)'!$S$3:$S$500),2),"")</f>
        <v>0.66</v>
      </c>
      <c r="T12" s="117" t="n">
        <f aca="false">IFERROR(ROUND(CORREL('Returns (Calc)'!$H$3:$H$500,'Returns (Calc)'!$T$3:$T$500),2),"")</f>
        <v>0.43</v>
      </c>
      <c r="U12" s="117" t="str">
        <f aca="false">IFERROR(ROUND(CORREL('Returns (Calc)'!$H$3:$H$500,'Returns (Calc)'!$U$3:$U$500),2),"")</f>
        <v/>
      </c>
      <c r="V12" s="117" t="n">
        <f aca="false">IFERROR(ROUND(CORREL('Returns (Calc)'!$H$3:$H$500,'Returns (Calc)'!$V$3:$V$500),2),"")</f>
        <v>0.05</v>
      </c>
      <c r="AG12" s="118" t="n">
        <f aca="false">COUNTIF(B12:V12,"&gt;0.7")-1</f>
        <v>0</v>
      </c>
    </row>
    <row r="13" customFormat="false" ht="15" hidden="false" customHeight="true" outlineLevel="0" collapsed="false">
      <c r="A13" s="116" t="str">
        <f aca="false">'Returns (Calc)'!I2</f>
        <v>NVDA</v>
      </c>
      <c r="B13" s="117" t="n">
        <f aca="false">IFERROR(ROUND(CORREL('Returns (Calc)'!$I$3:$I$500,'Returns (Calc)'!$B$3:$B$500),2),"")</f>
        <v>0.22</v>
      </c>
      <c r="C13" s="117" t="n">
        <f aca="false">IFERROR(ROUND(CORREL('Returns (Calc)'!$I$3:$I$500,'Returns (Calc)'!$C$3:$C$500),2),"")</f>
        <v>0.53</v>
      </c>
      <c r="D13" s="117" t="n">
        <f aca="false">IFERROR(ROUND(CORREL('Returns (Calc)'!$I$3:$I$500,'Returns (Calc)'!$D$3:$D$500),2),"")</f>
        <v>0.49</v>
      </c>
      <c r="E13" s="117" t="n">
        <f aca="false">IFERROR(ROUND(CORREL('Returns (Calc)'!$I$3:$I$500,'Returns (Calc)'!$E$3:$E$500),2),"")</f>
        <v>0.62</v>
      </c>
      <c r="F13" s="117" t="n">
        <f aca="false">IFERROR(ROUND(CORREL('Returns (Calc)'!$I$3:$I$500,'Returns (Calc)'!$F$3:$F$500),2),"")</f>
        <v>0.46</v>
      </c>
      <c r="G13" s="117" t="n">
        <f aca="false">IFERROR(ROUND(CORREL('Returns (Calc)'!$I$3:$I$500,'Returns (Calc)'!$G$3:$G$500),2),"")</f>
        <v>0.52</v>
      </c>
      <c r="H13" s="117" t="n">
        <f aca="false">IFERROR(ROUND(CORREL('Returns (Calc)'!$I$3:$I$500,'Returns (Calc)'!$H$3:$H$500),2),"")</f>
        <v>0.5</v>
      </c>
      <c r="I13" s="117" t="n">
        <v>1</v>
      </c>
      <c r="J13" s="117" t="n">
        <f aca="false">IFERROR(ROUND(CORREL('Returns (Calc)'!$I$3:$I$500,'Returns (Calc)'!$J$3:$J$500),2),"")</f>
        <v>0.17</v>
      </c>
      <c r="K13" s="117" t="n">
        <f aca="false">IFERROR(ROUND(CORREL('Returns (Calc)'!$I$3:$I$500,'Returns (Calc)'!$K$3:$K$500),2),"")</f>
        <v>0.45</v>
      </c>
      <c r="L13" s="117" t="n">
        <f aca="false">IFERROR(ROUND(CORREL('Returns (Calc)'!$I$3:$I$500,'Returns (Calc)'!$L$3:$L$500),2),"")</f>
        <v>0.64</v>
      </c>
      <c r="M13" s="117" t="n">
        <f aca="false">IFERROR(ROUND(CORREL('Returns (Calc)'!$I$3:$I$500,'Returns (Calc)'!$M$3:$M$500),2),"")</f>
        <v>0.65</v>
      </c>
      <c r="N13" s="117" t="n">
        <f aca="false">IFERROR(ROUND(CORREL('Returns (Calc)'!$I$3:$I$500,'Returns (Calc)'!$N$3:$N$500),2),"")</f>
        <v>0.13</v>
      </c>
      <c r="O13" s="117" t="n">
        <f aca="false">IFERROR(ROUND(CORREL('Returns (Calc)'!$I$3:$I$500,'Returns (Calc)'!$O$3:$O$500),2),"")</f>
        <v>0.28</v>
      </c>
      <c r="P13" s="117" t="str">
        <f aca="false">IFERROR(ROUND(CORREL('Returns (Calc)'!$I$3:$I$500,'Returns (Calc)'!$P$3:$P$500),2),"")</f>
        <v/>
      </c>
      <c r="Q13" s="117" t="n">
        <f aca="false">IFERROR(ROUND(CORREL('Returns (Calc)'!$I$3:$I$500,'Returns (Calc)'!$Q$3:$Q$500),2),"")</f>
        <v>-0.07</v>
      </c>
      <c r="R13" s="117" t="n">
        <f aca="false">IFERROR(ROUND(CORREL('Returns (Calc)'!$I$3:$I$500,'Returns (Calc)'!$R$3:$R$500),2),"")</f>
        <v>0.71</v>
      </c>
      <c r="S13" s="117" t="n">
        <f aca="false">IFERROR(ROUND(CORREL('Returns (Calc)'!$I$3:$I$500,'Returns (Calc)'!$S$3:$S$500),2),"")</f>
        <v>0.74</v>
      </c>
      <c r="T13" s="117" t="n">
        <f aca="false">IFERROR(ROUND(CORREL('Returns (Calc)'!$I$3:$I$500,'Returns (Calc)'!$T$3:$T$500),2),"")</f>
        <v>0.29</v>
      </c>
      <c r="U13" s="117" t="str">
        <f aca="false">IFERROR(ROUND(CORREL('Returns (Calc)'!$I$3:$I$500,'Returns (Calc)'!$U$3:$U$500),2),"")</f>
        <v/>
      </c>
      <c r="V13" s="117" t="n">
        <f aca="false">IFERROR(ROUND(CORREL('Returns (Calc)'!$I$3:$I$500,'Returns (Calc)'!$V$3:$V$500),2),"")</f>
        <v>0.23</v>
      </c>
      <c r="AG13" s="118" t="n">
        <f aca="false">COUNTIF(B13:V13,"&gt;0.7")-1</f>
        <v>2</v>
      </c>
    </row>
    <row r="14" customFormat="false" ht="15" hidden="false" customHeight="true" outlineLevel="0" collapsed="false">
      <c r="A14" s="116" t="str">
        <f aca="false">'Returns (Calc)'!J2</f>
        <v>PLD</v>
      </c>
      <c r="B14" s="117" t="n">
        <f aca="false">IFERROR(ROUND(CORREL('Returns (Calc)'!$J$3:$J$500,'Returns (Calc)'!$B$3:$B$500),2),"")</f>
        <v>0.18</v>
      </c>
      <c r="C14" s="117" t="n">
        <f aca="false">IFERROR(ROUND(CORREL('Returns (Calc)'!$J$3:$J$500,'Returns (Calc)'!$C$3:$C$500),2),"")</f>
        <v>0.18</v>
      </c>
      <c r="D14" s="117" t="n">
        <f aca="false">IFERROR(ROUND(CORREL('Returns (Calc)'!$J$3:$J$500,'Returns (Calc)'!$D$3:$D$500),2),"")</f>
        <v>0.28</v>
      </c>
      <c r="E14" s="117" t="n">
        <f aca="false">IFERROR(ROUND(CORREL('Returns (Calc)'!$J$3:$J$500,'Returns (Calc)'!$E$3:$E$500),2),"")</f>
        <v>0.22</v>
      </c>
      <c r="F14" s="117" t="n">
        <f aca="false">IFERROR(ROUND(CORREL('Returns (Calc)'!$J$3:$J$500,'Returns (Calc)'!$F$3:$F$500),2),"")</f>
        <v>0.1</v>
      </c>
      <c r="G14" s="117" t="n">
        <f aca="false">IFERROR(ROUND(CORREL('Returns (Calc)'!$J$3:$J$500,'Returns (Calc)'!$G$3:$G$500),2),"")</f>
        <v>0.28</v>
      </c>
      <c r="H14" s="117" t="n">
        <f aca="false">IFERROR(ROUND(CORREL('Returns (Calc)'!$J$3:$J$500,'Returns (Calc)'!$H$3:$H$500),2),"")</f>
        <v>0.2</v>
      </c>
      <c r="I14" s="117" t="n">
        <f aca="false">IFERROR(ROUND(CORREL('Returns (Calc)'!$J$3:$J$500,'Returns (Calc)'!$I$3:$I$500),2),"")</f>
        <v>0.17</v>
      </c>
      <c r="J14" s="117" t="n">
        <v>1</v>
      </c>
      <c r="K14" s="117" t="n">
        <f aca="false">IFERROR(ROUND(CORREL('Returns (Calc)'!$J$3:$J$500,'Returns (Calc)'!$K$3:$K$500),2),"")</f>
        <v>0.13</v>
      </c>
      <c r="L14" s="117" t="n">
        <f aca="false">IFERROR(ROUND(CORREL('Returns (Calc)'!$J$3:$J$500,'Returns (Calc)'!$L$3:$L$500),2),"")</f>
        <v>0.21</v>
      </c>
      <c r="M14" s="117" t="n">
        <f aca="false">IFERROR(ROUND(CORREL('Returns (Calc)'!$J$3:$J$500,'Returns (Calc)'!$M$3:$M$500),2),"")</f>
        <v>0.14</v>
      </c>
      <c r="N14" s="117" t="n">
        <f aca="false">IFERROR(ROUND(CORREL('Returns (Calc)'!$J$3:$J$500,'Returns (Calc)'!$N$3:$N$500),2),"")</f>
        <v>0.25</v>
      </c>
      <c r="O14" s="117" t="n">
        <f aca="false">IFERROR(ROUND(CORREL('Returns (Calc)'!$J$3:$J$500,'Returns (Calc)'!$O$3:$O$500),2),"")</f>
        <v>0.62</v>
      </c>
      <c r="P14" s="117" t="str">
        <f aca="false">IFERROR(ROUND(CORREL('Returns (Calc)'!$J$3:$J$500,'Returns (Calc)'!$P$3:$P$500),2),"")</f>
        <v/>
      </c>
      <c r="Q14" s="117" t="n">
        <f aca="false">IFERROR(ROUND(CORREL('Returns (Calc)'!$J$3:$J$500,'Returns (Calc)'!$Q$3:$Q$500),2),"")</f>
        <v>-0.11</v>
      </c>
      <c r="R14" s="117" t="n">
        <f aca="false">IFERROR(ROUND(CORREL('Returns (Calc)'!$J$3:$J$500,'Returns (Calc)'!$R$3:$R$500),2),"")</f>
        <v>0.36</v>
      </c>
      <c r="S14" s="117" t="n">
        <f aca="false">IFERROR(ROUND(CORREL('Returns (Calc)'!$J$3:$J$500,'Returns (Calc)'!$S$3:$S$500),2),"")</f>
        <v>0.35</v>
      </c>
      <c r="T14" s="117" t="n">
        <f aca="false">IFERROR(ROUND(CORREL('Returns (Calc)'!$J$3:$J$500,'Returns (Calc)'!$T$3:$T$500),2),"")</f>
        <v>0.52</v>
      </c>
      <c r="U14" s="117" t="str">
        <f aca="false">IFERROR(ROUND(CORREL('Returns (Calc)'!$J$3:$J$500,'Returns (Calc)'!$U$3:$U$500),2),"")</f>
        <v/>
      </c>
      <c r="V14" s="117" t="n">
        <f aca="false">IFERROR(ROUND(CORREL('Returns (Calc)'!$J$3:$J$500,'Returns (Calc)'!$V$3:$V$500),2),"")</f>
        <v>0.4</v>
      </c>
      <c r="AG14" s="118" t="n">
        <f aca="false">COUNTIF(B14:V14,"&gt;0.7")-1</f>
        <v>0</v>
      </c>
    </row>
    <row r="15" customFormat="false" ht="15" hidden="false" customHeight="true" outlineLevel="0" collapsed="false">
      <c r="A15" s="116" t="str">
        <f aca="false">'Returns (Calc)'!K2</f>
        <v>PLTR</v>
      </c>
      <c r="B15" s="117" t="n">
        <f aca="false">IFERROR(ROUND(CORREL('Returns (Calc)'!$K$3:$K$500,'Returns (Calc)'!$B$3:$B$500),2),"")</f>
        <v>0.37</v>
      </c>
      <c r="C15" s="117" t="n">
        <f aca="false">IFERROR(ROUND(CORREL('Returns (Calc)'!$K$3:$K$500,'Returns (Calc)'!$C$3:$C$500),2),"")</f>
        <v>0.33</v>
      </c>
      <c r="D15" s="117" t="n">
        <f aca="false">IFERROR(ROUND(CORREL('Returns (Calc)'!$K$3:$K$500,'Returns (Calc)'!$D$3:$D$500),2),"")</f>
        <v>0.21</v>
      </c>
      <c r="E15" s="117" t="n">
        <f aca="false">IFERROR(ROUND(CORREL('Returns (Calc)'!$K$3:$K$500,'Returns (Calc)'!$E$3:$E$500),2),"")</f>
        <v>0.38</v>
      </c>
      <c r="F15" s="117" t="n">
        <f aca="false">IFERROR(ROUND(CORREL('Returns (Calc)'!$K$3:$K$500,'Returns (Calc)'!$F$3:$F$500),2),"")</f>
        <v>0.5</v>
      </c>
      <c r="G15" s="117" t="n">
        <f aca="false">IFERROR(ROUND(CORREL('Returns (Calc)'!$K$3:$K$500,'Returns (Calc)'!$G$3:$G$500),2),"")</f>
        <v>0.25</v>
      </c>
      <c r="H15" s="117" t="n">
        <f aca="false">IFERROR(ROUND(CORREL('Returns (Calc)'!$K$3:$K$500,'Returns (Calc)'!$H$3:$H$500),2),"")</f>
        <v>0.17</v>
      </c>
      <c r="I15" s="117" t="n">
        <f aca="false">IFERROR(ROUND(CORREL('Returns (Calc)'!$K$3:$K$500,'Returns (Calc)'!$I$3:$I$500),2),"")</f>
        <v>0.45</v>
      </c>
      <c r="J15" s="117" t="n">
        <f aca="false">IFERROR(ROUND(CORREL('Returns (Calc)'!$K$3:$K$500,'Returns (Calc)'!$J$3:$J$500),2),"")</f>
        <v>0.13</v>
      </c>
      <c r="K15" s="117" t="n">
        <v>1</v>
      </c>
      <c r="L15" s="117" t="n">
        <f aca="false">IFERROR(ROUND(CORREL('Returns (Calc)'!$K$3:$K$500,'Returns (Calc)'!$L$3:$L$500),2),"")</f>
        <v>0.38</v>
      </c>
      <c r="M15" s="117" t="n">
        <f aca="false">IFERROR(ROUND(CORREL('Returns (Calc)'!$K$3:$K$500,'Returns (Calc)'!$M$3:$M$500),2),"")</f>
        <v>0.32</v>
      </c>
      <c r="N15" s="117" t="n">
        <f aca="false">IFERROR(ROUND(CORREL('Returns (Calc)'!$K$3:$K$500,'Returns (Calc)'!$N$3:$N$500),2),"")</f>
        <v>0.07</v>
      </c>
      <c r="O15" s="117" t="n">
        <f aca="false">IFERROR(ROUND(CORREL('Returns (Calc)'!$K$3:$K$500,'Returns (Calc)'!$O$3:$O$500),2),"")</f>
        <v>0.25</v>
      </c>
      <c r="P15" s="117" t="str">
        <f aca="false">IFERROR(ROUND(CORREL('Returns (Calc)'!$K$3:$K$500,'Returns (Calc)'!$P$3:$P$500),2),"")</f>
        <v/>
      </c>
      <c r="Q15" s="117" t="n">
        <f aca="false">IFERROR(ROUND(CORREL('Returns (Calc)'!$K$3:$K$500,'Returns (Calc)'!$Q$3:$Q$500),2),"")</f>
        <v>-0.03</v>
      </c>
      <c r="R15" s="117" t="n">
        <f aca="false">IFERROR(ROUND(CORREL('Returns (Calc)'!$K$3:$K$500,'Returns (Calc)'!$R$3:$R$500),2),"")</f>
        <v>0.48</v>
      </c>
      <c r="S15" s="117" t="n">
        <f aca="false">IFERROR(ROUND(CORREL('Returns (Calc)'!$K$3:$K$500,'Returns (Calc)'!$S$3:$S$500),2),"")</f>
        <v>0.44</v>
      </c>
      <c r="T15" s="117" t="n">
        <f aca="false">IFERROR(ROUND(CORREL('Returns (Calc)'!$K$3:$K$500,'Returns (Calc)'!$T$3:$T$500),2),"")</f>
        <v>0.35</v>
      </c>
      <c r="U15" s="117" t="str">
        <f aca="false">IFERROR(ROUND(CORREL('Returns (Calc)'!$K$3:$K$500,'Returns (Calc)'!$U$3:$U$500),2),"")</f>
        <v/>
      </c>
      <c r="V15" s="117" t="n">
        <f aca="false">IFERROR(ROUND(CORREL('Returns (Calc)'!$K$3:$K$500,'Returns (Calc)'!$V$3:$V$500),2),"")</f>
        <v>0.24</v>
      </c>
      <c r="AG15" s="118" t="n">
        <f aca="false">COUNTIF(B15:V15,"&gt;0.7")-1</f>
        <v>0</v>
      </c>
    </row>
    <row r="16" customFormat="false" ht="15" hidden="false" customHeight="true" outlineLevel="0" collapsed="false">
      <c r="A16" s="116" t="str">
        <f aca="false">'Returns (Calc)'!L2</f>
        <v>TSM</v>
      </c>
      <c r="B16" s="117" t="n">
        <f aca="false">IFERROR(ROUND(CORREL('Returns (Calc)'!$L$3:$L$500,'Returns (Calc)'!$B$3:$B$500),2),"")</f>
        <v>0.16</v>
      </c>
      <c r="C16" s="117" t="n">
        <f aca="false">IFERROR(ROUND(CORREL('Returns (Calc)'!$L$3:$L$500,'Returns (Calc)'!$C$3:$C$500),2),"")</f>
        <v>0.55</v>
      </c>
      <c r="D16" s="117" t="n">
        <f aca="false">IFERROR(ROUND(CORREL('Returns (Calc)'!$L$3:$L$500,'Returns (Calc)'!$D$3:$D$500),2),"")</f>
        <v>0.63</v>
      </c>
      <c r="E16" s="117" t="n">
        <f aca="false">IFERROR(ROUND(CORREL('Returns (Calc)'!$L$3:$L$500,'Returns (Calc)'!$E$3:$E$500),2),"")</f>
        <v>0.63</v>
      </c>
      <c r="F16" s="117" t="n">
        <f aca="false">IFERROR(ROUND(CORREL('Returns (Calc)'!$L$3:$L$500,'Returns (Calc)'!$F$3:$F$500),2),"")</f>
        <v>0.38</v>
      </c>
      <c r="G16" s="117" t="n">
        <f aca="false">IFERROR(ROUND(CORREL('Returns (Calc)'!$L$3:$L$500,'Returns (Calc)'!$G$3:$G$500),2),"")</f>
        <v>0.61</v>
      </c>
      <c r="H16" s="117" t="n">
        <f aca="false">IFERROR(ROUND(CORREL('Returns (Calc)'!$L$3:$L$500,'Returns (Calc)'!$H$3:$H$500),2),"")</f>
        <v>0.55</v>
      </c>
      <c r="I16" s="117" t="n">
        <f aca="false">IFERROR(ROUND(CORREL('Returns (Calc)'!$L$3:$L$500,'Returns (Calc)'!$I$3:$I$500),2),"")</f>
        <v>0.64</v>
      </c>
      <c r="J16" s="117" t="n">
        <f aca="false">IFERROR(ROUND(CORREL('Returns (Calc)'!$L$3:$L$500,'Returns (Calc)'!$J$3:$J$500),2),"")</f>
        <v>0.21</v>
      </c>
      <c r="K16" s="117" t="n">
        <f aca="false">IFERROR(ROUND(CORREL('Returns (Calc)'!$L$3:$L$500,'Returns (Calc)'!$K$3:$K$500),2),"")</f>
        <v>0.38</v>
      </c>
      <c r="L16" s="117" t="n">
        <v>1</v>
      </c>
      <c r="M16" s="117" t="n">
        <f aca="false">IFERROR(ROUND(CORREL('Returns (Calc)'!$L$3:$L$500,'Returns (Calc)'!$M$3:$M$500),2),"")</f>
        <v>0.6</v>
      </c>
      <c r="N16" s="117" t="n">
        <f aca="false">IFERROR(ROUND(CORREL('Returns (Calc)'!$L$3:$L$500,'Returns (Calc)'!$N$3:$N$500),2),"")</f>
        <v>0.15</v>
      </c>
      <c r="O16" s="117" t="n">
        <f aca="false">IFERROR(ROUND(CORREL('Returns (Calc)'!$L$3:$L$500,'Returns (Calc)'!$O$3:$O$500),2),"")</f>
        <v>0.33</v>
      </c>
      <c r="P16" s="117" t="str">
        <f aca="false">IFERROR(ROUND(CORREL('Returns (Calc)'!$L$3:$L$500,'Returns (Calc)'!$P$3:$P$500),2),"")</f>
        <v/>
      </c>
      <c r="Q16" s="117" t="n">
        <f aca="false">IFERROR(ROUND(CORREL('Returns (Calc)'!$L$3:$L$500,'Returns (Calc)'!$Q$3:$Q$500),2),"")</f>
        <v>0.02</v>
      </c>
      <c r="R16" s="117" t="n">
        <f aca="false">IFERROR(ROUND(CORREL('Returns (Calc)'!$L$3:$L$500,'Returns (Calc)'!$R$3:$R$500),2),"")</f>
        <v>0.67</v>
      </c>
      <c r="S16" s="117" t="n">
        <f aca="false">IFERROR(ROUND(CORREL('Returns (Calc)'!$L$3:$L$500,'Returns (Calc)'!$S$3:$S$500),2),"")</f>
        <v>0.69</v>
      </c>
      <c r="T16" s="117" t="n">
        <f aca="false">IFERROR(ROUND(CORREL('Returns (Calc)'!$L$3:$L$500,'Returns (Calc)'!$T$3:$T$500),2),"")</f>
        <v>0.29</v>
      </c>
      <c r="U16" s="117" t="str">
        <f aca="false">IFERROR(ROUND(CORREL('Returns (Calc)'!$L$3:$L$500,'Returns (Calc)'!$U$3:$U$500),2),"")</f>
        <v/>
      </c>
      <c r="V16" s="117" t="n">
        <f aca="false">IFERROR(ROUND(CORREL('Returns (Calc)'!$L$3:$L$500,'Returns (Calc)'!$V$3:$V$500),2),"")</f>
        <v>0.13</v>
      </c>
      <c r="AG16" s="118" t="n">
        <f aca="false">COUNTIF(B16:V16,"&gt;0.7")-1</f>
        <v>0</v>
      </c>
    </row>
    <row r="17" customFormat="false" ht="15" hidden="false" customHeight="true" outlineLevel="0" collapsed="false">
      <c r="A17" s="116" t="str">
        <f aca="false">'Returns (Calc)'!M2</f>
        <v>VRT</v>
      </c>
      <c r="B17" s="117" t="n">
        <f aca="false">IFERROR(ROUND(CORREL('Returns (Calc)'!$M$3:$M$500,'Returns (Calc)'!$B$3:$B$500),2),"")</f>
        <v>0.06</v>
      </c>
      <c r="C17" s="117" t="n">
        <f aca="false">IFERROR(ROUND(CORREL('Returns (Calc)'!$M$3:$M$500,'Returns (Calc)'!$C$3:$C$500),2),"")</f>
        <v>0.59</v>
      </c>
      <c r="D17" s="117" t="n">
        <f aca="false">IFERROR(ROUND(CORREL('Returns (Calc)'!$M$3:$M$500,'Returns (Calc)'!$D$3:$D$500),2),"")</f>
        <v>0.43</v>
      </c>
      <c r="E17" s="117" t="n">
        <f aca="false">IFERROR(ROUND(CORREL('Returns (Calc)'!$M$3:$M$500,'Returns (Calc)'!$E$3:$E$500),2),"")</f>
        <v>0.53</v>
      </c>
      <c r="F17" s="117" t="n">
        <f aca="false">IFERROR(ROUND(CORREL('Returns (Calc)'!$M$3:$M$500,'Returns (Calc)'!$F$3:$F$500),2),"")</f>
        <v>0.42</v>
      </c>
      <c r="G17" s="117" t="n">
        <f aca="false">IFERROR(ROUND(CORREL('Returns (Calc)'!$M$3:$M$500,'Returns (Calc)'!$G$3:$G$500),2),"")</f>
        <v>0.51</v>
      </c>
      <c r="H17" s="117" t="n">
        <f aca="false">IFERROR(ROUND(CORREL('Returns (Calc)'!$M$3:$M$500,'Returns (Calc)'!$H$3:$H$500),2),"")</f>
        <v>0.5</v>
      </c>
      <c r="I17" s="117" t="n">
        <f aca="false">IFERROR(ROUND(CORREL('Returns (Calc)'!$M$3:$M$500,'Returns (Calc)'!$I$3:$I$500),2),"")</f>
        <v>0.65</v>
      </c>
      <c r="J17" s="117" t="n">
        <f aca="false">IFERROR(ROUND(CORREL('Returns (Calc)'!$M$3:$M$500,'Returns (Calc)'!$J$3:$J$500),2),"")</f>
        <v>0.14</v>
      </c>
      <c r="K17" s="117" t="n">
        <f aca="false">IFERROR(ROUND(CORREL('Returns (Calc)'!$M$3:$M$500,'Returns (Calc)'!$K$3:$K$500),2),"")</f>
        <v>0.32</v>
      </c>
      <c r="L17" s="117" t="n">
        <f aca="false">IFERROR(ROUND(CORREL('Returns (Calc)'!$M$3:$M$500,'Returns (Calc)'!$L$3:$L$500),2),"")</f>
        <v>0.6</v>
      </c>
      <c r="M17" s="117" t="n">
        <v>1</v>
      </c>
      <c r="N17" s="117" t="n">
        <f aca="false">IFERROR(ROUND(CORREL('Returns (Calc)'!$M$3:$M$500,'Returns (Calc)'!$N$3:$N$500),2),"")</f>
        <v>0.11</v>
      </c>
      <c r="O17" s="117" t="n">
        <f aca="false">IFERROR(ROUND(CORREL('Returns (Calc)'!$M$3:$M$500,'Returns (Calc)'!$O$3:$O$500),2),"")</f>
        <v>0.34</v>
      </c>
      <c r="P17" s="117" t="str">
        <f aca="false">IFERROR(ROUND(CORREL('Returns (Calc)'!$M$3:$M$500,'Returns (Calc)'!$P$3:$P$500),2),"")</f>
        <v/>
      </c>
      <c r="Q17" s="117" t="n">
        <f aca="false">IFERROR(ROUND(CORREL('Returns (Calc)'!$M$3:$M$500,'Returns (Calc)'!$Q$3:$Q$500),2),"")</f>
        <v>-0</v>
      </c>
      <c r="R17" s="117" t="n">
        <f aca="false">IFERROR(ROUND(CORREL('Returns (Calc)'!$M$3:$M$500,'Returns (Calc)'!$R$3:$R$500),2),"")</f>
        <v>0.62</v>
      </c>
      <c r="S17" s="117" t="n">
        <f aca="false">IFERROR(ROUND(CORREL('Returns (Calc)'!$M$3:$M$500,'Returns (Calc)'!$S$3:$S$500),2),"")</f>
        <v>0.66</v>
      </c>
      <c r="T17" s="117" t="n">
        <f aca="false">IFERROR(ROUND(CORREL('Returns (Calc)'!$M$3:$M$500,'Returns (Calc)'!$T$3:$T$500),2),"")</f>
        <v>0.29</v>
      </c>
      <c r="U17" s="117" t="str">
        <f aca="false">IFERROR(ROUND(CORREL('Returns (Calc)'!$M$3:$M$500,'Returns (Calc)'!$U$3:$U$500),2),"")</f>
        <v/>
      </c>
      <c r="V17" s="117" t="n">
        <f aca="false">IFERROR(ROUND(CORREL('Returns (Calc)'!$M$3:$M$500,'Returns (Calc)'!$V$3:$V$500),2),"")</f>
        <v>0.16</v>
      </c>
      <c r="AG17" s="118" t="n">
        <f aca="false">COUNTIF(B17:V17,"&gt;0.7")-1</f>
        <v>0</v>
      </c>
    </row>
    <row r="18" customFormat="false" ht="15" hidden="false" customHeight="true" outlineLevel="0" collapsed="false">
      <c r="A18" s="116" t="str">
        <f aca="false">'Returns (Calc)'!N2</f>
        <v>VRTX</v>
      </c>
      <c r="B18" s="117" t="n">
        <f aca="false">IFERROR(ROUND(CORREL('Returns (Calc)'!$N$3:$N$500,'Returns (Calc)'!$B$3:$B$500),2),"")</f>
        <v>0.14</v>
      </c>
      <c r="C18" s="117" t="n">
        <f aca="false">IFERROR(ROUND(CORREL('Returns (Calc)'!$N$3:$N$500,'Returns (Calc)'!$C$3:$C$500),2),"")</f>
        <v>0.04</v>
      </c>
      <c r="D18" s="117" t="n">
        <f aca="false">IFERROR(ROUND(CORREL('Returns (Calc)'!$N$3:$N$500,'Returns (Calc)'!$D$3:$D$500),2),"")</f>
        <v>0.12</v>
      </c>
      <c r="E18" s="117" t="n">
        <f aca="false">IFERROR(ROUND(CORREL('Returns (Calc)'!$N$3:$N$500,'Returns (Calc)'!$E$3:$E$500),2),"")</f>
        <v>0.15</v>
      </c>
      <c r="F18" s="117" t="n">
        <f aca="false">IFERROR(ROUND(CORREL('Returns (Calc)'!$N$3:$N$500,'Returns (Calc)'!$F$3:$F$500),2),"")</f>
        <v>0.18</v>
      </c>
      <c r="G18" s="117" t="n">
        <f aca="false">IFERROR(ROUND(CORREL('Returns (Calc)'!$N$3:$N$500,'Returns (Calc)'!$G$3:$G$500),2),"")</f>
        <v>0.16</v>
      </c>
      <c r="H18" s="117" t="n">
        <f aca="false">IFERROR(ROUND(CORREL('Returns (Calc)'!$N$3:$N$500,'Returns (Calc)'!$H$3:$H$500),2),"")</f>
        <v>0.18</v>
      </c>
      <c r="I18" s="117" t="n">
        <f aca="false">IFERROR(ROUND(CORREL('Returns (Calc)'!$N$3:$N$500,'Returns (Calc)'!$I$3:$I$500),2),"")</f>
        <v>0.13</v>
      </c>
      <c r="J18" s="117" t="n">
        <f aca="false">IFERROR(ROUND(CORREL('Returns (Calc)'!$N$3:$N$500,'Returns (Calc)'!$J$3:$J$500),2),"")</f>
        <v>0.25</v>
      </c>
      <c r="K18" s="117" t="n">
        <f aca="false">IFERROR(ROUND(CORREL('Returns (Calc)'!$N$3:$N$500,'Returns (Calc)'!$K$3:$K$500),2),"")</f>
        <v>0.07</v>
      </c>
      <c r="L18" s="117" t="n">
        <f aca="false">IFERROR(ROUND(CORREL('Returns (Calc)'!$N$3:$N$500,'Returns (Calc)'!$L$3:$L$500),2),"")</f>
        <v>0.15</v>
      </c>
      <c r="M18" s="117" t="n">
        <f aca="false">IFERROR(ROUND(CORREL('Returns (Calc)'!$N$3:$N$500,'Returns (Calc)'!$M$3:$M$500),2),"")</f>
        <v>0.11</v>
      </c>
      <c r="N18" s="117" t="n">
        <v>1</v>
      </c>
      <c r="O18" s="117" t="n">
        <f aca="false">IFERROR(ROUND(CORREL('Returns (Calc)'!$N$3:$N$500,'Returns (Calc)'!$O$3:$O$500),2),"")</f>
        <v>0.23</v>
      </c>
      <c r="P18" s="117" t="str">
        <f aca="false">IFERROR(ROUND(CORREL('Returns (Calc)'!$N$3:$N$500,'Returns (Calc)'!$P$3:$P$500),2),"")</f>
        <v/>
      </c>
      <c r="Q18" s="117" t="n">
        <f aca="false">IFERROR(ROUND(CORREL('Returns (Calc)'!$N$3:$N$500,'Returns (Calc)'!$Q$3:$Q$500),2),"")</f>
        <v>0.03</v>
      </c>
      <c r="R18" s="117" t="n">
        <f aca="false">IFERROR(ROUND(CORREL('Returns (Calc)'!$N$3:$N$500,'Returns (Calc)'!$R$3:$R$500),2),"")</f>
        <v>0.19</v>
      </c>
      <c r="S18" s="117" t="n">
        <f aca="false">IFERROR(ROUND(CORREL('Returns (Calc)'!$N$3:$N$500,'Returns (Calc)'!$S$3:$S$500),2),"")</f>
        <v>0.16</v>
      </c>
      <c r="T18" s="117" t="n">
        <f aca="false">IFERROR(ROUND(CORREL('Returns (Calc)'!$N$3:$N$500,'Returns (Calc)'!$T$3:$T$500),2),"")</f>
        <v>0.32</v>
      </c>
      <c r="U18" s="117" t="str">
        <f aca="false">IFERROR(ROUND(CORREL('Returns (Calc)'!$N$3:$N$500,'Returns (Calc)'!$U$3:$U$500),2),"")</f>
        <v/>
      </c>
      <c r="V18" s="117" t="n">
        <f aca="false">IFERROR(ROUND(CORREL('Returns (Calc)'!$N$3:$N$500,'Returns (Calc)'!$V$3:$V$500),2),"")</f>
        <v>0.2</v>
      </c>
      <c r="AG18" s="118" t="n">
        <f aca="false">COUNTIF(B18:V18,"&gt;0.7")-1</f>
        <v>0</v>
      </c>
    </row>
    <row r="19" customFormat="false" ht="15" hidden="false" customHeight="true" outlineLevel="0" collapsed="false">
      <c r="A19" s="116" t="str">
        <f aca="false">'Returns (Calc)'!O2</f>
        <v>AVUV</v>
      </c>
      <c r="B19" s="117" t="n">
        <f aca="false">IFERROR(ROUND(CORREL('Returns (Calc)'!$O$3:$O$500,'Returns (Calc)'!$B$3:$B$500),2),"")</f>
        <v>0.16</v>
      </c>
      <c r="C19" s="117" t="n">
        <f aca="false">IFERROR(ROUND(CORREL('Returns (Calc)'!$O$3:$O$500,'Returns (Calc)'!$C$3:$C$500),2),"")</f>
        <v>0.35</v>
      </c>
      <c r="D19" s="117" t="n">
        <f aca="false">IFERROR(ROUND(CORREL('Returns (Calc)'!$O$3:$O$500,'Returns (Calc)'!$D$3:$D$500),2),"")</f>
        <v>0.39</v>
      </c>
      <c r="E19" s="117" t="n">
        <f aca="false">IFERROR(ROUND(CORREL('Returns (Calc)'!$O$3:$O$500,'Returns (Calc)'!$E$3:$E$500),2),"")</f>
        <v>0.29</v>
      </c>
      <c r="F19" s="117" t="n">
        <f aca="false">IFERROR(ROUND(CORREL('Returns (Calc)'!$O$3:$O$500,'Returns (Calc)'!$F$3:$F$500),2),"")</f>
        <v>0.22</v>
      </c>
      <c r="G19" s="117" t="n">
        <f aca="false">IFERROR(ROUND(CORREL('Returns (Calc)'!$O$3:$O$500,'Returns (Calc)'!$G$3:$G$500),2),"")</f>
        <v>0.43</v>
      </c>
      <c r="H19" s="117" t="n">
        <f aca="false">IFERROR(ROUND(CORREL('Returns (Calc)'!$O$3:$O$500,'Returns (Calc)'!$H$3:$H$500),2),"")</f>
        <v>0.36</v>
      </c>
      <c r="I19" s="117" t="n">
        <f aca="false">IFERROR(ROUND(CORREL('Returns (Calc)'!$O$3:$O$500,'Returns (Calc)'!$I$3:$I$500),2),"")</f>
        <v>0.28</v>
      </c>
      <c r="J19" s="117" t="n">
        <f aca="false">IFERROR(ROUND(CORREL('Returns (Calc)'!$O$3:$O$500,'Returns (Calc)'!$J$3:$J$500),2),"")</f>
        <v>0.62</v>
      </c>
      <c r="K19" s="117" t="n">
        <f aca="false">IFERROR(ROUND(CORREL('Returns (Calc)'!$O$3:$O$500,'Returns (Calc)'!$K$3:$K$500),2),"")</f>
        <v>0.25</v>
      </c>
      <c r="L19" s="117" t="n">
        <f aca="false">IFERROR(ROUND(CORREL('Returns (Calc)'!$O$3:$O$500,'Returns (Calc)'!$L$3:$L$500),2),"")</f>
        <v>0.33</v>
      </c>
      <c r="M19" s="117" t="n">
        <f aca="false">IFERROR(ROUND(CORREL('Returns (Calc)'!$O$3:$O$500,'Returns (Calc)'!$M$3:$M$500),2),"")</f>
        <v>0.34</v>
      </c>
      <c r="N19" s="117" t="n">
        <f aca="false">IFERROR(ROUND(CORREL('Returns (Calc)'!$O$3:$O$500,'Returns (Calc)'!$N$3:$N$500),2),"")</f>
        <v>0.23</v>
      </c>
      <c r="O19" s="117" t="n">
        <v>1</v>
      </c>
      <c r="P19" s="117" t="str">
        <f aca="false">IFERROR(ROUND(CORREL('Returns (Calc)'!$O$3:$O$500,'Returns (Calc)'!$P$3:$P$500),2),"")</f>
        <v/>
      </c>
      <c r="Q19" s="117" t="n">
        <f aca="false">IFERROR(ROUND(CORREL('Returns (Calc)'!$O$3:$O$500,'Returns (Calc)'!$Q$3:$Q$500),2),"")</f>
        <v>-0.03</v>
      </c>
      <c r="R19" s="117" t="n">
        <f aca="false">IFERROR(ROUND(CORREL('Returns (Calc)'!$O$3:$O$500,'Returns (Calc)'!$R$3:$R$500),2),"")</f>
        <v>0.54</v>
      </c>
      <c r="S19" s="117" t="n">
        <f aca="false">IFERROR(ROUND(CORREL('Returns (Calc)'!$O$3:$O$500,'Returns (Calc)'!$S$3:$S$500),2),"")</f>
        <v>0.5</v>
      </c>
      <c r="T19" s="117" t="n">
        <f aca="false">IFERROR(ROUND(CORREL('Returns (Calc)'!$O$3:$O$500,'Returns (Calc)'!$T$3:$T$500),2),"")</f>
        <v>0.79</v>
      </c>
      <c r="U19" s="117" t="str">
        <f aca="false">IFERROR(ROUND(CORREL('Returns (Calc)'!$O$3:$O$500,'Returns (Calc)'!$U$3:$U$500),2),"")</f>
        <v/>
      </c>
      <c r="V19" s="117" t="n">
        <f aca="false">IFERROR(ROUND(CORREL('Returns (Calc)'!$O$3:$O$500,'Returns (Calc)'!$V$3:$V$500),2),"")</f>
        <v>0.39</v>
      </c>
      <c r="AG19" s="118" t="n">
        <f aca="false">COUNTIF(B19:V19,"&gt;0.7")-1</f>
        <v>1</v>
      </c>
    </row>
    <row r="20" customFormat="false" ht="15" hidden="false" customHeight="true" outlineLevel="0" collapsed="false">
      <c r="A20" s="116" t="n">
        <f aca="false">'Returns (Calc)'!P2</f>
        <v>0</v>
      </c>
      <c r="B20" s="117" t="str">
        <f aca="false">IFERROR(ROUND(CORREL('Returns (Calc)'!$P$3:$P$500,'Returns (Calc)'!$B$3:$B$500),2),"")</f>
        <v/>
      </c>
      <c r="C20" s="117" t="str">
        <f aca="false">IFERROR(ROUND(CORREL('Returns (Calc)'!$P$3:$P$500,'Returns (Calc)'!$C$3:$C$500),2),"")</f>
        <v/>
      </c>
      <c r="D20" s="117" t="str">
        <f aca="false">IFERROR(ROUND(CORREL('Returns (Calc)'!$P$3:$P$500,'Returns (Calc)'!$D$3:$D$500),2),"")</f>
        <v/>
      </c>
      <c r="E20" s="117" t="str">
        <f aca="false">IFERROR(ROUND(CORREL('Returns (Calc)'!$P$3:$P$500,'Returns (Calc)'!$E$3:$E$500),2),"")</f>
        <v/>
      </c>
      <c r="F20" s="117" t="str">
        <f aca="false">IFERROR(ROUND(CORREL('Returns (Calc)'!$P$3:$P$500,'Returns (Calc)'!$F$3:$F$500),2),"")</f>
        <v/>
      </c>
      <c r="G20" s="117" t="str">
        <f aca="false">IFERROR(ROUND(CORREL('Returns (Calc)'!$P$3:$P$500,'Returns (Calc)'!$G$3:$G$500),2),"")</f>
        <v/>
      </c>
      <c r="H20" s="117" t="str">
        <f aca="false">IFERROR(ROUND(CORREL('Returns (Calc)'!$P$3:$P$500,'Returns (Calc)'!$H$3:$H$500),2),"")</f>
        <v/>
      </c>
      <c r="I20" s="117" t="str">
        <f aca="false">IFERROR(ROUND(CORREL('Returns (Calc)'!$P$3:$P$500,'Returns (Calc)'!$I$3:$I$500),2),"")</f>
        <v/>
      </c>
      <c r="J20" s="117" t="str">
        <f aca="false">IFERROR(ROUND(CORREL('Returns (Calc)'!$P$3:$P$500,'Returns (Calc)'!$J$3:$J$500),2),"")</f>
        <v/>
      </c>
      <c r="K20" s="117" t="str">
        <f aca="false">IFERROR(ROUND(CORREL('Returns (Calc)'!$P$3:$P$500,'Returns (Calc)'!$K$3:$K$500),2),"")</f>
        <v/>
      </c>
      <c r="L20" s="117" t="str">
        <f aca="false">IFERROR(ROUND(CORREL('Returns (Calc)'!$P$3:$P$500,'Returns (Calc)'!$L$3:$L$500),2),"")</f>
        <v/>
      </c>
      <c r="M20" s="117" t="str">
        <f aca="false">IFERROR(ROUND(CORREL('Returns (Calc)'!$P$3:$P$500,'Returns (Calc)'!$M$3:$M$500),2),"")</f>
        <v/>
      </c>
      <c r="N20" s="117" t="str">
        <f aca="false">IFERROR(ROUND(CORREL('Returns (Calc)'!$P$3:$P$500,'Returns (Calc)'!$N$3:$N$500),2),"")</f>
        <v/>
      </c>
      <c r="O20" s="117" t="str">
        <f aca="false">IFERROR(ROUND(CORREL('Returns (Calc)'!$P$3:$P$500,'Returns (Calc)'!$O$3:$O$500),2),"")</f>
        <v/>
      </c>
      <c r="P20" s="117" t="n">
        <v>1</v>
      </c>
      <c r="Q20" s="117" t="str">
        <f aca="false">IFERROR(ROUND(CORREL('Returns (Calc)'!$P$3:$P$500,'Returns (Calc)'!$Q$3:$Q$500),2),"")</f>
        <v/>
      </c>
      <c r="R20" s="117" t="str">
        <f aca="false">IFERROR(ROUND(CORREL('Returns (Calc)'!$P$3:$P$500,'Returns (Calc)'!$R$3:$R$500),2),"")</f>
        <v/>
      </c>
      <c r="S20" s="117" t="str">
        <f aca="false">IFERROR(ROUND(CORREL('Returns (Calc)'!$P$3:$P$500,'Returns (Calc)'!$S$3:$S$500),2),"")</f>
        <v/>
      </c>
      <c r="T20" s="117" t="str">
        <f aca="false">IFERROR(ROUND(CORREL('Returns (Calc)'!$P$3:$P$500,'Returns (Calc)'!$T$3:$T$500),2),"")</f>
        <v/>
      </c>
      <c r="U20" s="117" t="str">
        <f aca="false">IFERROR(ROUND(CORREL('Returns (Calc)'!$P$3:$P$500,'Returns (Calc)'!$U$3:$U$500),2),"")</f>
        <v/>
      </c>
      <c r="V20" s="117" t="str">
        <f aca="false">IFERROR(ROUND(CORREL('Returns (Calc)'!$P$3:$P$500,'Returns (Calc)'!$V$3:$V$500),2),"")</f>
        <v/>
      </c>
      <c r="AG20" s="118" t="n">
        <f aca="false">COUNTIF(B20:V20,"&gt;0.7")-1</f>
        <v>0</v>
      </c>
    </row>
    <row r="21" customFormat="false" ht="15" hidden="false" customHeight="true" outlineLevel="0" collapsed="false">
      <c r="A21" s="116" t="str">
        <f aca="false">'Returns (Calc)'!Q2</f>
        <v>HELO</v>
      </c>
      <c r="B21" s="117" t="n">
        <f aca="false">IFERROR(ROUND(CORREL('Returns (Calc)'!$Q$3:$Q$500,'Returns (Calc)'!$B$3:$B$500),2),"")</f>
        <v>-0.07</v>
      </c>
      <c r="C21" s="117" t="n">
        <f aca="false">IFERROR(ROUND(CORREL('Returns (Calc)'!$Q$3:$Q$500,'Returns (Calc)'!$C$3:$C$500),2),"")</f>
        <v>0.02</v>
      </c>
      <c r="D21" s="117" t="n">
        <f aca="false">IFERROR(ROUND(CORREL('Returns (Calc)'!$Q$3:$Q$500,'Returns (Calc)'!$D$3:$D$500),2),"")</f>
        <v>-0.04</v>
      </c>
      <c r="E21" s="117" t="n">
        <f aca="false">IFERROR(ROUND(CORREL('Returns (Calc)'!$Q$3:$Q$500,'Returns (Calc)'!$E$3:$E$500),2),"")</f>
        <v>-0.04</v>
      </c>
      <c r="F21" s="117" t="n">
        <f aca="false">IFERROR(ROUND(CORREL('Returns (Calc)'!$Q$3:$Q$500,'Returns (Calc)'!$F$3:$F$500),2),"")</f>
        <v>-0.03</v>
      </c>
      <c r="G21" s="117" t="n">
        <f aca="false">IFERROR(ROUND(CORREL('Returns (Calc)'!$Q$3:$Q$500,'Returns (Calc)'!$G$3:$G$500),2),"")</f>
        <v>-0.02</v>
      </c>
      <c r="H21" s="117" t="n">
        <f aca="false">IFERROR(ROUND(CORREL('Returns (Calc)'!$Q$3:$Q$500,'Returns (Calc)'!$H$3:$H$500),2),"")</f>
        <v>-0.1</v>
      </c>
      <c r="I21" s="117" t="n">
        <f aca="false">IFERROR(ROUND(CORREL('Returns (Calc)'!$Q$3:$Q$500,'Returns (Calc)'!$I$3:$I$500),2),"")</f>
        <v>-0.07</v>
      </c>
      <c r="J21" s="117" t="n">
        <f aca="false">IFERROR(ROUND(CORREL('Returns (Calc)'!$Q$3:$Q$500,'Returns (Calc)'!$J$3:$J$500),2),"")</f>
        <v>-0.11</v>
      </c>
      <c r="K21" s="117" t="n">
        <f aca="false">IFERROR(ROUND(CORREL('Returns (Calc)'!$Q$3:$Q$500,'Returns (Calc)'!$K$3:$K$500),2),"")</f>
        <v>-0.03</v>
      </c>
      <c r="L21" s="117" t="n">
        <f aca="false">IFERROR(ROUND(CORREL('Returns (Calc)'!$Q$3:$Q$500,'Returns (Calc)'!$L$3:$L$500),2),"")</f>
        <v>0.02</v>
      </c>
      <c r="M21" s="117" t="n">
        <f aca="false">IFERROR(ROUND(CORREL('Returns (Calc)'!$Q$3:$Q$500,'Returns (Calc)'!$M$3:$M$500),2),"")</f>
        <v>-0</v>
      </c>
      <c r="N21" s="117" t="n">
        <f aca="false">IFERROR(ROUND(CORREL('Returns (Calc)'!$Q$3:$Q$500,'Returns (Calc)'!$N$3:$N$500),2),"")</f>
        <v>0.03</v>
      </c>
      <c r="O21" s="117" t="n">
        <f aca="false">IFERROR(ROUND(CORREL('Returns (Calc)'!$Q$3:$Q$500,'Returns (Calc)'!$O$3:$O$500),2),"")</f>
        <v>-0.03</v>
      </c>
      <c r="P21" s="117" t="str">
        <f aca="false">IFERROR(ROUND(CORREL('Returns (Calc)'!$Q$3:$Q$500,'Returns (Calc)'!$P$3:$P$500),2),"")</f>
        <v/>
      </c>
      <c r="Q21" s="117" t="n">
        <v>1</v>
      </c>
      <c r="R21" s="117" t="n">
        <f aca="false">IFERROR(ROUND(CORREL('Returns (Calc)'!$Q$3:$Q$500,'Returns (Calc)'!$R$3:$R$500),2),"")</f>
        <v>-0.01</v>
      </c>
      <c r="S21" s="117" t="n">
        <f aca="false">IFERROR(ROUND(CORREL('Returns (Calc)'!$Q$3:$Q$500,'Returns (Calc)'!$S$3:$S$500),2),"")</f>
        <v>-0.01</v>
      </c>
      <c r="T21" s="117" t="n">
        <f aca="false">IFERROR(ROUND(CORREL('Returns (Calc)'!$Q$3:$Q$500,'Returns (Calc)'!$T$3:$T$500),2),"")</f>
        <v>-0.07</v>
      </c>
      <c r="U21" s="117" t="str">
        <f aca="false">IFERROR(ROUND(CORREL('Returns (Calc)'!$Q$3:$Q$500,'Returns (Calc)'!$U$3:$U$500),2),"")</f>
        <v/>
      </c>
      <c r="V21" s="117" t="n">
        <f aca="false">IFERROR(ROUND(CORREL('Returns (Calc)'!$Q$3:$Q$500,'Returns (Calc)'!$V$3:$V$500),2),"")</f>
        <v>-0.1</v>
      </c>
      <c r="AG21" s="118" t="n">
        <f aca="false">COUNTIF(B21:V21,"&gt;0.7")-1</f>
        <v>0</v>
      </c>
    </row>
    <row r="22" customFormat="false" ht="15" hidden="false" customHeight="true" outlineLevel="0" collapsed="false">
      <c r="A22" s="116" t="str">
        <f aca="false">'Returns (Calc)'!R2</f>
        <v>JEPQ</v>
      </c>
      <c r="B22" s="117" t="n">
        <f aca="false">IFERROR(ROUND(CORREL('Returns (Calc)'!$R$3:$R$500,'Returns (Calc)'!$B$3:$B$500),2),"")</f>
        <v>0.31</v>
      </c>
      <c r="C22" s="117" t="n">
        <f aca="false">IFERROR(ROUND(CORREL('Returns (Calc)'!$R$3:$R$500,'Returns (Calc)'!$C$3:$C$500),2),"")</f>
        <v>0.64</v>
      </c>
      <c r="D22" s="117" t="n">
        <f aca="false">IFERROR(ROUND(CORREL('Returns (Calc)'!$R$3:$R$500,'Returns (Calc)'!$D$3:$D$500),2),"")</f>
        <v>0.61</v>
      </c>
      <c r="E22" s="117" t="n">
        <f aca="false">IFERROR(ROUND(CORREL('Returns (Calc)'!$R$3:$R$500,'Returns (Calc)'!$E$3:$E$500),2),"")</f>
        <v>0.72</v>
      </c>
      <c r="F22" s="117" t="n">
        <f aca="false">IFERROR(ROUND(CORREL('Returns (Calc)'!$R$3:$R$500,'Returns (Calc)'!$F$3:$F$500),2),"")</f>
        <v>0.53</v>
      </c>
      <c r="G22" s="117" t="n">
        <f aca="false">IFERROR(ROUND(CORREL('Returns (Calc)'!$R$3:$R$500,'Returns (Calc)'!$G$3:$G$500),2),"")</f>
        <v>0.62</v>
      </c>
      <c r="H22" s="117" t="n">
        <f aca="false">IFERROR(ROUND(CORREL('Returns (Calc)'!$R$3:$R$500,'Returns (Calc)'!$H$3:$H$500),2),"")</f>
        <v>0.61</v>
      </c>
      <c r="I22" s="117" t="n">
        <f aca="false">IFERROR(ROUND(CORREL('Returns (Calc)'!$R$3:$R$500,'Returns (Calc)'!$I$3:$I$500),2),"")</f>
        <v>0.71</v>
      </c>
      <c r="J22" s="117" t="n">
        <f aca="false">IFERROR(ROUND(CORREL('Returns (Calc)'!$R$3:$R$500,'Returns (Calc)'!$J$3:$J$500),2),"")</f>
        <v>0.36</v>
      </c>
      <c r="K22" s="117" t="n">
        <f aca="false">IFERROR(ROUND(CORREL('Returns (Calc)'!$R$3:$R$500,'Returns (Calc)'!$K$3:$K$500),2),"")</f>
        <v>0.48</v>
      </c>
      <c r="L22" s="117" t="n">
        <f aca="false">IFERROR(ROUND(CORREL('Returns (Calc)'!$R$3:$R$500,'Returns (Calc)'!$L$3:$L$500),2),"")</f>
        <v>0.67</v>
      </c>
      <c r="M22" s="117" t="n">
        <f aca="false">IFERROR(ROUND(CORREL('Returns (Calc)'!$R$3:$R$500,'Returns (Calc)'!$M$3:$M$500),2),"")</f>
        <v>0.62</v>
      </c>
      <c r="N22" s="117" t="n">
        <f aca="false">IFERROR(ROUND(CORREL('Returns (Calc)'!$R$3:$R$500,'Returns (Calc)'!$N$3:$N$500),2),"")</f>
        <v>0.19</v>
      </c>
      <c r="O22" s="117" t="n">
        <f aca="false">IFERROR(ROUND(CORREL('Returns (Calc)'!$R$3:$R$500,'Returns (Calc)'!$O$3:$O$500),2),"")</f>
        <v>0.54</v>
      </c>
      <c r="P22" s="117" t="str">
        <f aca="false">IFERROR(ROUND(CORREL('Returns (Calc)'!$R$3:$R$500,'Returns (Calc)'!$P$3:$P$500),2),"")</f>
        <v/>
      </c>
      <c r="Q22" s="117" t="n">
        <f aca="false">IFERROR(ROUND(CORREL('Returns (Calc)'!$R$3:$R$500,'Returns (Calc)'!$Q$3:$Q$500),2),"")</f>
        <v>-0.01</v>
      </c>
      <c r="R22" s="117" t="n">
        <v>1</v>
      </c>
      <c r="S22" s="117" t="n">
        <f aca="false">IFERROR(ROUND(CORREL('Returns (Calc)'!$R$3:$R$500,'Returns (Calc)'!$S$3:$S$500),2),"")</f>
        <v>0.88</v>
      </c>
      <c r="T22" s="117" t="n">
        <f aca="false">IFERROR(ROUND(CORREL('Returns (Calc)'!$R$3:$R$500,'Returns (Calc)'!$T$3:$T$500),2),"")</f>
        <v>0.57</v>
      </c>
      <c r="U22" s="117" t="str">
        <f aca="false">IFERROR(ROUND(CORREL('Returns (Calc)'!$R$3:$R$500,'Returns (Calc)'!$U$3:$U$500),2),"")</f>
        <v/>
      </c>
      <c r="V22" s="117" t="n">
        <f aca="false">IFERROR(ROUND(CORREL('Returns (Calc)'!$R$3:$R$500,'Returns (Calc)'!$V$3:$V$500),2),"")</f>
        <v>0.44</v>
      </c>
      <c r="AG22" s="118" t="n">
        <f aca="false">COUNTIF(B22:V22,"&gt;0.7")-1</f>
        <v>3</v>
      </c>
    </row>
    <row r="23" customFormat="false" ht="15" hidden="false" customHeight="true" outlineLevel="0" collapsed="false">
      <c r="A23" s="116" t="str">
        <f aca="false">'Returns (Calc)'!S2</f>
        <v>SPMO</v>
      </c>
      <c r="B23" s="117" t="n">
        <f aca="false">IFERROR(ROUND(CORREL('Returns (Calc)'!$S$3:$S$500,'Returns (Calc)'!$B$3:$B$500),2),"")</f>
        <v>0.23</v>
      </c>
      <c r="C23" s="117" t="n">
        <f aca="false">IFERROR(ROUND(CORREL('Returns (Calc)'!$S$3:$S$500,'Returns (Calc)'!$C$3:$C$500),2),"")</f>
        <v>0.64</v>
      </c>
      <c r="D23" s="117" t="n">
        <f aca="false">IFERROR(ROUND(CORREL('Returns (Calc)'!$S$3:$S$500,'Returns (Calc)'!$D$3:$D$500),2),"")</f>
        <v>0.61</v>
      </c>
      <c r="E23" s="117" t="n">
        <f aca="false">IFERROR(ROUND(CORREL('Returns (Calc)'!$S$3:$S$500,'Returns (Calc)'!$E$3:$E$500),2),"")</f>
        <v>0.73</v>
      </c>
      <c r="F23" s="117" t="n">
        <f aca="false">IFERROR(ROUND(CORREL('Returns (Calc)'!$S$3:$S$500,'Returns (Calc)'!$F$3:$F$500),2),"")</f>
        <v>0.53</v>
      </c>
      <c r="G23" s="117" t="n">
        <f aca="false">IFERROR(ROUND(CORREL('Returns (Calc)'!$S$3:$S$500,'Returns (Calc)'!$G$3:$G$500),2),"")</f>
        <v>0.67</v>
      </c>
      <c r="H23" s="117" t="n">
        <f aca="false">IFERROR(ROUND(CORREL('Returns (Calc)'!$S$3:$S$500,'Returns (Calc)'!$H$3:$H$500),2),"")</f>
        <v>0.66</v>
      </c>
      <c r="I23" s="117" t="n">
        <f aca="false">IFERROR(ROUND(CORREL('Returns (Calc)'!$S$3:$S$500,'Returns (Calc)'!$I$3:$I$500),2),"")</f>
        <v>0.74</v>
      </c>
      <c r="J23" s="117" t="n">
        <f aca="false">IFERROR(ROUND(CORREL('Returns (Calc)'!$S$3:$S$500,'Returns (Calc)'!$J$3:$J$500),2),"")</f>
        <v>0.35</v>
      </c>
      <c r="K23" s="117" t="n">
        <f aca="false">IFERROR(ROUND(CORREL('Returns (Calc)'!$S$3:$S$500,'Returns (Calc)'!$K$3:$K$500),2),"")</f>
        <v>0.44</v>
      </c>
      <c r="L23" s="117" t="n">
        <f aca="false">IFERROR(ROUND(CORREL('Returns (Calc)'!$S$3:$S$500,'Returns (Calc)'!$L$3:$L$500),2),"")</f>
        <v>0.69</v>
      </c>
      <c r="M23" s="117" t="n">
        <f aca="false">IFERROR(ROUND(CORREL('Returns (Calc)'!$S$3:$S$500,'Returns (Calc)'!$M$3:$M$500),2),"")</f>
        <v>0.66</v>
      </c>
      <c r="N23" s="117" t="n">
        <f aca="false">IFERROR(ROUND(CORREL('Returns (Calc)'!$S$3:$S$500,'Returns (Calc)'!$N$3:$N$500),2),"")</f>
        <v>0.16</v>
      </c>
      <c r="O23" s="117" t="n">
        <f aca="false">IFERROR(ROUND(CORREL('Returns (Calc)'!$S$3:$S$500,'Returns (Calc)'!$O$3:$O$500),2),"")</f>
        <v>0.5</v>
      </c>
      <c r="P23" s="117" t="str">
        <f aca="false">IFERROR(ROUND(CORREL('Returns (Calc)'!$S$3:$S$500,'Returns (Calc)'!$P$3:$P$500),2),"")</f>
        <v/>
      </c>
      <c r="Q23" s="117" t="n">
        <f aca="false">IFERROR(ROUND(CORREL('Returns (Calc)'!$S$3:$S$500,'Returns (Calc)'!$Q$3:$Q$500),2),"")</f>
        <v>-0.01</v>
      </c>
      <c r="R23" s="117" t="n">
        <f aca="false">IFERROR(ROUND(CORREL('Returns (Calc)'!$S$3:$S$500,'Returns (Calc)'!$R$3:$R$500),2),"")</f>
        <v>0.88</v>
      </c>
      <c r="S23" s="117" t="n">
        <v>1</v>
      </c>
      <c r="T23" s="117" t="n">
        <f aca="false">IFERROR(ROUND(CORREL('Returns (Calc)'!$S$3:$S$500,'Returns (Calc)'!$T$3:$T$500),2),"")</f>
        <v>0.52</v>
      </c>
      <c r="U23" s="117" t="str">
        <f aca="false">IFERROR(ROUND(CORREL('Returns (Calc)'!$S$3:$S$500,'Returns (Calc)'!$U$3:$U$500),2),"")</f>
        <v/>
      </c>
      <c r="V23" s="117" t="n">
        <f aca="false">IFERROR(ROUND(CORREL('Returns (Calc)'!$S$3:$S$500,'Returns (Calc)'!$V$3:$V$500),2),"")</f>
        <v>0.42</v>
      </c>
      <c r="AG23" s="118" t="n">
        <f aca="false">COUNTIF(B23:V23,"&gt;0.7")-1</f>
        <v>3</v>
      </c>
    </row>
    <row r="24" customFormat="false" ht="15" hidden="false" customHeight="true" outlineLevel="0" collapsed="false">
      <c r="A24" s="116" t="str">
        <f aca="false">'Returns (Calc)'!T2</f>
        <v>VFLO</v>
      </c>
      <c r="B24" s="117" t="n">
        <f aca="false">IFERROR(ROUND(CORREL('Returns (Calc)'!$T$3:$T$500,'Returns (Calc)'!$B$3:$B$500),2),"")</f>
        <v>0.42</v>
      </c>
      <c r="C24" s="117" t="n">
        <f aca="false">IFERROR(ROUND(CORREL('Returns (Calc)'!$T$3:$T$500,'Returns (Calc)'!$C$3:$C$500),2),"")</f>
        <v>0.34</v>
      </c>
      <c r="D24" s="117" t="n">
        <f aca="false">IFERROR(ROUND(CORREL('Returns (Calc)'!$T$3:$T$500,'Returns (Calc)'!$D$3:$D$500),2),"")</f>
        <v>0.31</v>
      </c>
      <c r="E24" s="117" t="n">
        <f aca="false">IFERROR(ROUND(CORREL('Returns (Calc)'!$T$3:$T$500,'Returns (Calc)'!$E$3:$E$500),2),"")</f>
        <v>0.26</v>
      </c>
      <c r="F24" s="117" t="n">
        <f aca="false">IFERROR(ROUND(CORREL('Returns (Calc)'!$T$3:$T$500,'Returns (Calc)'!$F$3:$F$500),2),"")</f>
        <v>0.32</v>
      </c>
      <c r="G24" s="117" t="n">
        <f aca="false">IFERROR(ROUND(CORREL('Returns (Calc)'!$T$3:$T$500,'Returns (Calc)'!$G$3:$G$500),2),"")</f>
        <v>0.31</v>
      </c>
      <c r="H24" s="117" t="n">
        <f aca="false">IFERROR(ROUND(CORREL('Returns (Calc)'!$T$3:$T$500,'Returns (Calc)'!$H$3:$H$500),2),"")</f>
        <v>0.43</v>
      </c>
      <c r="I24" s="117" t="n">
        <f aca="false">IFERROR(ROUND(CORREL('Returns (Calc)'!$T$3:$T$500,'Returns (Calc)'!$I$3:$I$500),2),"")</f>
        <v>0.29</v>
      </c>
      <c r="J24" s="117" t="n">
        <f aca="false">IFERROR(ROUND(CORREL('Returns (Calc)'!$T$3:$T$500,'Returns (Calc)'!$J$3:$J$500),2),"")</f>
        <v>0.52</v>
      </c>
      <c r="K24" s="117" t="n">
        <f aca="false">IFERROR(ROUND(CORREL('Returns (Calc)'!$T$3:$T$500,'Returns (Calc)'!$K$3:$K$500),2),"")</f>
        <v>0.35</v>
      </c>
      <c r="L24" s="117" t="n">
        <f aca="false">IFERROR(ROUND(CORREL('Returns (Calc)'!$T$3:$T$500,'Returns (Calc)'!$L$3:$L$500),2),"")</f>
        <v>0.29</v>
      </c>
      <c r="M24" s="117" t="n">
        <f aca="false">IFERROR(ROUND(CORREL('Returns (Calc)'!$T$3:$T$500,'Returns (Calc)'!$M$3:$M$500),2),"")</f>
        <v>0.29</v>
      </c>
      <c r="N24" s="117" t="n">
        <f aca="false">IFERROR(ROUND(CORREL('Returns (Calc)'!$T$3:$T$500,'Returns (Calc)'!$N$3:$N$500),2),"")</f>
        <v>0.32</v>
      </c>
      <c r="O24" s="117" t="n">
        <f aca="false">IFERROR(ROUND(CORREL('Returns (Calc)'!$T$3:$T$500,'Returns (Calc)'!$O$3:$O$500),2),"")</f>
        <v>0.79</v>
      </c>
      <c r="P24" s="117" t="str">
        <f aca="false">IFERROR(ROUND(CORREL('Returns (Calc)'!$T$3:$T$500,'Returns (Calc)'!$P$3:$P$500),2),"")</f>
        <v/>
      </c>
      <c r="Q24" s="117" t="n">
        <f aca="false">IFERROR(ROUND(CORREL('Returns (Calc)'!$T$3:$T$500,'Returns (Calc)'!$Q$3:$Q$500),2),"")</f>
        <v>-0.07</v>
      </c>
      <c r="R24" s="117" t="n">
        <f aca="false">IFERROR(ROUND(CORREL('Returns (Calc)'!$T$3:$T$500,'Returns (Calc)'!$R$3:$R$500),2),"")</f>
        <v>0.57</v>
      </c>
      <c r="S24" s="117" t="n">
        <f aca="false">IFERROR(ROUND(CORREL('Returns (Calc)'!$T$3:$T$500,'Returns (Calc)'!$S$3:$S$500),2),"")</f>
        <v>0.52</v>
      </c>
      <c r="T24" s="117" t="n">
        <v>1</v>
      </c>
      <c r="U24" s="117" t="str">
        <f aca="false">IFERROR(ROUND(CORREL('Returns (Calc)'!$T$3:$T$500,'Returns (Calc)'!$U$3:$U$500),2),"")</f>
        <v/>
      </c>
      <c r="V24" s="117" t="n">
        <f aca="false">IFERROR(ROUND(CORREL('Returns (Calc)'!$T$3:$T$500,'Returns (Calc)'!$V$3:$V$500),2),"")</f>
        <v>0.46</v>
      </c>
      <c r="AG24" s="118" t="n">
        <f aca="false">COUNTIF(B24:V24,"&gt;0.7")-1</f>
        <v>1</v>
      </c>
    </row>
    <row r="25" customFormat="false" ht="15" hidden="false" customHeight="true" outlineLevel="0" collapsed="false">
      <c r="A25" s="116" t="n">
        <f aca="false">'Returns (Calc)'!U2</f>
        <v>0</v>
      </c>
      <c r="B25" s="117" t="str">
        <f aca="false">IFERROR(ROUND(CORREL('Returns (Calc)'!$U$3:$U$500,'Returns (Calc)'!$B$3:$B$500),2),"")</f>
        <v/>
      </c>
      <c r="C25" s="117" t="str">
        <f aca="false">IFERROR(ROUND(CORREL('Returns (Calc)'!$U$3:$U$500,'Returns (Calc)'!$C$3:$C$500),2),"")</f>
        <v/>
      </c>
      <c r="D25" s="117" t="str">
        <f aca="false">IFERROR(ROUND(CORREL('Returns (Calc)'!$U$3:$U$500,'Returns (Calc)'!$D$3:$D$500),2),"")</f>
        <v/>
      </c>
      <c r="E25" s="117" t="str">
        <f aca="false">IFERROR(ROUND(CORREL('Returns (Calc)'!$U$3:$U$500,'Returns (Calc)'!$E$3:$E$500),2),"")</f>
        <v/>
      </c>
      <c r="F25" s="117" t="str">
        <f aca="false">IFERROR(ROUND(CORREL('Returns (Calc)'!$U$3:$U$500,'Returns (Calc)'!$F$3:$F$500),2),"")</f>
        <v/>
      </c>
      <c r="G25" s="117" t="str">
        <f aca="false">IFERROR(ROUND(CORREL('Returns (Calc)'!$U$3:$U$500,'Returns (Calc)'!$G$3:$G$500),2),"")</f>
        <v/>
      </c>
      <c r="H25" s="117" t="str">
        <f aca="false">IFERROR(ROUND(CORREL('Returns (Calc)'!$U$3:$U$500,'Returns (Calc)'!$H$3:$H$500),2),"")</f>
        <v/>
      </c>
      <c r="I25" s="117" t="str">
        <f aca="false">IFERROR(ROUND(CORREL('Returns (Calc)'!$U$3:$U$500,'Returns (Calc)'!$I$3:$I$500),2),"")</f>
        <v/>
      </c>
      <c r="J25" s="117" t="str">
        <f aca="false">IFERROR(ROUND(CORREL('Returns (Calc)'!$U$3:$U$500,'Returns (Calc)'!$J$3:$J$500),2),"")</f>
        <v/>
      </c>
      <c r="K25" s="117" t="str">
        <f aca="false">IFERROR(ROUND(CORREL('Returns (Calc)'!$U$3:$U$500,'Returns (Calc)'!$K$3:$K$500),2),"")</f>
        <v/>
      </c>
      <c r="L25" s="117" t="str">
        <f aca="false">IFERROR(ROUND(CORREL('Returns (Calc)'!$U$3:$U$500,'Returns (Calc)'!$L$3:$L$500),2),"")</f>
        <v/>
      </c>
      <c r="M25" s="117" t="str">
        <f aca="false">IFERROR(ROUND(CORREL('Returns (Calc)'!$U$3:$U$500,'Returns (Calc)'!$M$3:$M$500),2),"")</f>
        <v/>
      </c>
      <c r="N25" s="117" t="str">
        <f aca="false">IFERROR(ROUND(CORREL('Returns (Calc)'!$U$3:$U$500,'Returns (Calc)'!$N$3:$N$500),2),"")</f>
        <v/>
      </c>
      <c r="O25" s="117" t="str">
        <f aca="false">IFERROR(ROUND(CORREL('Returns (Calc)'!$U$3:$U$500,'Returns (Calc)'!$O$3:$O$500),2),"")</f>
        <v/>
      </c>
      <c r="P25" s="117" t="str">
        <f aca="false">IFERROR(ROUND(CORREL('Returns (Calc)'!$U$3:$U$500,'Returns (Calc)'!$P$3:$P$500),2),"")</f>
        <v/>
      </c>
      <c r="Q25" s="117" t="str">
        <f aca="false">IFERROR(ROUND(CORREL('Returns (Calc)'!$U$3:$U$500,'Returns (Calc)'!$Q$3:$Q$500),2),"")</f>
        <v/>
      </c>
      <c r="R25" s="117" t="str">
        <f aca="false">IFERROR(ROUND(CORREL('Returns (Calc)'!$U$3:$U$500,'Returns (Calc)'!$R$3:$R$500),2),"")</f>
        <v/>
      </c>
      <c r="S25" s="117" t="str">
        <f aca="false">IFERROR(ROUND(CORREL('Returns (Calc)'!$U$3:$U$500,'Returns (Calc)'!$S$3:$S$500),2),"")</f>
        <v/>
      </c>
      <c r="T25" s="117" t="str">
        <f aca="false">IFERROR(ROUND(CORREL('Returns (Calc)'!$U$3:$U$500,'Returns (Calc)'!$T$3:$T$500),2),"")</f>
        <v/>
      </c>
      <c r="U25" s="117" t="n">
        <v>1</v>
      </c>
      <c r="V25" s="117" t="str">
        <f aca="false">IFERROR(ROUND(CORREL('Returns (Calc)'!$U$3:$U$500,'Returns (Calc)'!$V$3:$V$500),2),"")</f>
        <v/>
      </c>
      <c r="AG25" s="118" t="n">
        <f aca="false">COUNTIF(B25:V25,"&gt;0.7")-1</f>
        <v>0</v>
      </c>
    </row>
    <row r="26" customFormat="false" ht="15" hidden="false" customHeight="true" outlineLevel="0" collapsed="false">
      <c r="A26" s="116" t="str">
        <f aca="false">'Returns (Calc)'!V2</f>
        <v>V</v>
      </c>
      <c r="B26" s="117" t="n">
        <f aca="false">IFERROR(ROUND(CORREL('Returns (Calc)'!$V$3:$V$500,'Returns (Calc)'!$B$3:$B$500),2),"")</f>
        <v>0.39</v>
      </c>
      <c r="C26" s="117" t="n">
        <f aca="false">IFERROR(ROUND(CORREL('Returns (Calc)'!$V$3:$V$500,'Returns (Calc)'!$C$3:$C$500),2),"")</f>
        <v>0.3</v>
      </c>
      <c r="D26" s="117" t="n">
        <f aca="false">IFERROR(ROUND(CORREL('Returns (Calc)'!$V$3:$V$500,'Returns (Calc)'!$D$3:$D$500),2),"")</f>
        <v>0.06</v>
      </c>
      <c r="E26" s="117" t="n">
        <f aca="false">IFERROR(ROUND(CORREL('Returns (Calc)'!$V$3:$V$500,'Returns (Calc)'!$E$3:$E$500),2),"")</f>
        <v>0.23</v>
      </c>
      <c r="F26" s="117" t="n">
        <f aca="false">IFERROR(ROUND(CORREL('Returns (Calc)'!$V$3:$V$500,'Returns (Calc)'!$F$3:$F$500),2),"")</f>
        <v>0.25</v>
      </c>
      <c r="G26" s="117" t="n">
        <f aca="false">IFERROR(ROUND(CORREL('Returns (Calc)'!$V$3:$V$500,'Returns (Calc)'!$G$3:$G$500),2),"")</f>
        <v>0.03</v>
      </c>
      <c r="H26" s="117" t="n">
        <f aca="false">IFERROR(ROUND(CORREL('Returns (Calc)'!$V$3:$V$500,'Returns (Calc)'!$H$3:$H$500),2),"")</f>
        <v>0.05</v>
      </c>
      <c r="I26" s="117" t="n">
        <f aca="false">IFERROR(ROUND(CORREL('Returns (Calc)'!$V$3:$V$500,'Returns (Calc)'!$I$3:$I$500),2),"")</f>
        <v>0.23</v>
      </c>
      <c r="J26" s="117" t="n">
        <f aca="false">IFERROR(ROUND(CORREL('Returns (Calc)'!$V$3:$V$500,'Returns (Calc)'!$J$3:$J$500),2),"")</f>
        <v>0.4</v>
      </c>
      <c r="K26" s="117" t="n">
        <f aca="false">IFERROR(ROUND(CORREL('Returns (Calc)'!$V$3:$V$500,'Returns (Calc)'!$K$3:$K$500),2),"")</f>
        <v>0.24</v>
      </c>
      <c r="L26" s="117" t="n">
        <f aca="false">IFERROR(ROUND(CORREL('Returns (Calc)'!$V$3:$V$500,'Returns (Calc)'!$L$3:$L$500),2),"")</f>
        <v>0.13</v>
      </c>
      <c r="M26" s="117" t="n">
        <f aca="false">IFERROR(ROUND(CORREL('Returns (Calc)'!$V$3:$V$500,'Returns (Calc)'!$M$3:$M$500),2),"")</f>
        <v>0.16</v>
      </c>
      <c r="N26" s="117" t="n">
        <f aca="false">IFERROR(ROUND(CORREL('Returns (Calc)'!$V$3:$V$500,'Returns (Calc)'!$N$3:$N$500),2),"")</f>
        <v>0.2</v>
      </c>
      <c r="O26" s="117" t="n">
        <f aca="false">IFERROR(ROUND(CORREL('Returns (Calc)'!$V$3:$V$500,'Returns (Calc)'!$O$3:$O$500),2),"")</f>
        <v>0.39</v>
      </c>
      <c r="P26" s="117" t="str">
        <f aca="false">IFERROR(ROUND(CORREL('Returns (Calc)'!$V$3:$V$500,'Returns (Calc)'!$P$3:$P$500),2),"")</f>
        <v/>
      </c>
      <c r="Q26" s="117" t="n">
        <f aca="false">IFERROR(ROUND(CORREL('Returns (Calc)'!$V$3:$V$500,'Returns (Calc)'!$Q$3:$Q$500),2),"")</f>
        <v>-0.1</v>
      </c>
      <c r="R26" s="117" t="n">
        <f aca="false">IFERROR(ROUND(CORREL('Returns (Calc)'!$V$3:$V$500,'Returns (Calc)'!$R$3:$R$500),2),"")</f>
        <v>0.44</v>
      </c>
      <c r="S26" s="117" t="n">
        <f aca="false">IFERROR(ROUND(CORREL('Returns (Calc)'!$V$3:$V$500,'Returns (Calc)'!$S$3:$S$500),2),"")</f>
        <v>0.42</v>
      </c>
      <c r="T26" s="117" t="n">
        <f aca="false">IFERROR(ROUND(CORREL('Returns (Calc)'!$V$3:$V$500,'Returns (Calc)'!$T$3:$T$500),2),"")</f>
        <v>0.46</v>
      </c>
      <c r="U26" s="117" t="str">
        <f aca="false">IFERROR(ROUND(CORREL('Returns (Calc)'!$V$3:$V$500,'Returns (Calc)'!$U$3:$U$500),2),"")</f>
        <v/>
      </c>
      <c r="V26" s="117" t="n">
        <v>1</v>
      </c>
      <c r="AG26" s="118"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9" t="s">
        <v>447</v>
      </c>
      <c r="B1" s="119"/>
      <c r="C1" s="119"/>
      <c r="D1" s="119"/>
      <c r="E1" s="119"/>
      <c r="F1" s="119"/>
      <c r="G1" s="119"/>
      <c r="H1" s="119"/>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6" t="n">
        <v>700739.19</v>
      </c>
      <c r="C3" s="120" t="n">
        <f aca="false">IF(B3="","",B3)</f>
        <v>700739.19</v>
      </c>
      <c r="D3" s="121"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6" t="n">
        <v>751223.12</v>
      </c>
      <c r="C4" s="120" t="n">
        <f aca="false">IF(B4="","",MAX(C3,B4))</f>
        <v>751223.12</v>
      </c>
      <c r="D4" s="121"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6"/>
      <c r="C5" s="120" t="str">
        <f aca="false">IF(B5="","",MAX(C4,B5))</f>
        <v/>
      </c>
      <c r="D5" s="121"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6"/>
      <c r="C6" s="120" t="str">
        <f aca="false">IF(B6="","",MAX(C5,B6))</f>
        <v/>
      </c>
      <c r="D6" s="121"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6"/>
      <c r="C7" s="120" t="str">
        <f aca="false">IF(B7="","",MAX(C6,B7))</f>
        <v/>
      </c>
      <c r="D7" s="121"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6"/>
      <c r="C8" s="120" t="str">
        <f aca="false">IF(B8="","",MAX(C7,B8))</f>
        <v/>
      </c>
      <c r="D8" s="121"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6"/>
      <c r="C9" s="120" t="str">
        <f aca="false">IF(B9="","",MAX(C8,B9))</f>
        <v/>
      </c>
      <c r="D9" s="121"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6"/>
      <c r="C10" s="120" t="str">
        <f aca="false">IF(B10="","",MAX(C9,B10))</f>
        <v/>
      </c>
      <c r="D10" s="121"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6"/>
      <c r="C11" s="120" t="str">
        <f aca="false">IF(B11="","",MAX(C10,B11))</f>
        <v/>
      </c>
      <c r="D11" s="121"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6"/>
      <c r="C12" s="120" t="str">
        <f aca="false">IF(B12="","",MAX(C11,B12))</f>
        <v/>
      </c>
      <c r="D12" s="121"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6"/>
      <c r="C13" s="120" t="str">
        <f aca="false">IF(B13="","",MAX(C12,B13))</f>
        <v/>
      </c>
      <c r="D13" s="121"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6"/>
      <c r="C14" s="120" t="str">
        <f aca="false">IF(B14="","",MAX(C13,B14))</f>
        <v/>
      </c>
      <c r="D14" s="121"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6"/>
      <c r="C15" s="120" t="str">
        <f aca="false">IF(B15="","",MAX(C14,B15))</f>
        <v/>
      </c>
      <c r="D15" s="121"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6"/>
      <c r="C16" s="120" t="str">
        <f aca="false">IF(B16="","",MAX(C15,B16))</f>
        <v/>
      </c>
      <c r="D16" s="121"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6"/>
      <c r="C17" s="120" t="str">
        <f aca="false">IF(B17="","",MAX(C16,B17))</f>
        <v/>
      </c>
      <c r="D17" s="121"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6"/>
      <c r="C18" s="120" t="str">
        <f aca="false">IF(B18="","",MAX(C17,B18))</f>
        <v/>
      </c>
      <c r="D18" s="121"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6"/>
      <c r="C19" s="120" t="str">
        <f aca="false">IF(B19="","",MAX(C18,B19))</f>
        <v/>
      </c>
      <c r="D19" s="121"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6"/>
      <c r="C20" s="120" t="str">
        <f aca="false">IF(B20="","",MAX(C19,B20))</f>
        <v/>
      </c>
      <c r="D20" s="121"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6"/>
      <c r="C21" s="120" t="str">
        <f aca="false">IF(B21="","",MAX(C20,B21))</f>
        <v/>
      </c>
      <c r="D21" s="121"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6"/>
      <c r="C22" s="120" t="str">
        <f aca="false">IF(B22="","",MAX(C21,B22))</f>
        <v/>
      </c>
      <c r="D22" s="121"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6"/>
      <c r="C23" s="120" t="str">
        <f aca="false">IF(B23="","",MAX(C22,B23))</f>
        <v/>
      </c>
      <c r="D23" s="121"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6"/>
      <c r="C24" s="120" t="str">
        <f aca="false">IF(B24="","",MAX(C23,B24))</f>
        <v/>
      </c>
      <c r="D24" s="121"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6"/>
      <c r="C25" s="120" t="str">
        <f aca="false">IF(B25="","",MAX(C24,B25))</f>
        <v/>
      </c>
      <c r="D25" s="121"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6"/>
      <c r="C26" s="120" t="str">
        <f aca="false">IF(B26="","",MAX(C25,B26))</f>
        <v/>
      </c>
      <c r="D26" s="121"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6"/>
      <c r="C27" s="120" t="str">
        <f aca="false">IF(B27="","",MAX(C26,B27))</f>
        <v/>
      </c>
      <c r="D27" s="121"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6"/>
      <c r="C28" s="120" t="str">
        <f aca="false">IF(B28="","",MAX(C27,B28))</f>
        <v/>
      </c>
      <c r="D28" s="121"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6"/>
      <c r="C29" s="120" t="str">
        <f aca="false">IF(B29="","",MAX(C28,B29))</f>
        <v/>
      </c>
      <c r="D29" s="121"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6"/>
      <c r="C30" s="120" t="str">
        <f aca="false">IF(B30="","",MAX(C29,B30))</f>
        <v/>
      </c>
      <c r="D30" s="121"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6"/>
      <c r="C31" s="120" t="str">
        <f aca="false">IF(B31="","",MAX(C30,B31))</f>
        <v/>
      </c>
      <c r="D31" s="121"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6"/>
      <c r="C32" s="120" t="str">
        <f aca="false">IF(B32="","",MAX(C31,B32))</f>
        <v/>
      </c>
      <c r="D32" s="121"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6"/>
      <c r="C33" s="120" t="str">
        <f aca="false">IF(B33="","",MAX(C32,B33))</f>
        <v/>
      </c>
      <c r="D33" s="121"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6"/>
      <c r="C34" s="120" t="str">
        <f aca="false">IF(B34="","",MAX(C33,B34))</f>
        <v/>
      </c>
      <c r="D34" s="121"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6"/>
      <c r="C35" s="120" t="str">
        <f aca="false">IF(B35="","",MAX(C34,B35))</f>
        <v/>
      </c>
      <c r="D35" s="121"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6"/>
      <c r="C36" s="120" t="str">
        <f aca="false">IF(B36="","",MAX(C35,B36))</f>
        <v/>
      </c>
      <c r="D36" s="121"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6"/>
      <c r="C37" s="120" t="str">
        <f aca="false">IF(B37="","",MAX(C36,B37))</f>
        <v/>
      </c>
      <c r="D37" s="121"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6"/>
      <c r="C38" s="120" t="str">
        <f aca="false">IF(B38="","",MAX(C37,B38))</f>
        <v/>
      </c>
      <c r="D38" s="121"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6"/>
      <c r="C39" s="120" t="str">
        <f aca="false">IF(B39="","",MAX(C38,B39))</f>
        <v/>
      </c>
      <c r="D39" s="121"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6"/>
      <c r="C40" s="120" t="str">
        <f aca="false">IF(B40="","",MAX(C39,B40))</f>
        <v/>
      </c>
      <c r="D40" s="121"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6"/>
      <c r="C41" s="120" t="str">
        <f aca="false">IF(B41="","",MAX(C40,B41))</f>
        <v/>
      </c>
      <c r="D41" s="121"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6"/>
      <c r="C42" s="120" t="str">
        <f aca="false">IF(B42="","",MAX(C41,B42))</f>
        <v/>
      </c>
      <c r="D42" s="121"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2" t="s">
        <v>456</v>
      </c>
      <c r="B1" s="122"/>
      <c r="C1" s="122"/>
      <c r="D1" s="122"/>
      <c r="E1" s="122"/>
      <c r="F1" s="122"/>
      <c r="G1" s="122"/>
      <c r="H1" s="122"/>
      <c r="I1" s="122"/>
      <c r="J1" s="122"/>
      <c r="K1" s="122"/>
      <c r="L1" s="122"/>
      <c r="M1" s="122"/>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87"/>
      <c r="B3" s="87"/>
      <c r="C3" s="87"/>
      <c r="D3" s="123"/>
      <c r="E3" s="87"/>
      <c r="F3" s="87"/>
      <c r="G3" s="123"/>
      <c r="H3" s="87"/>
      <c r="I3" s="108" t="str">
        <f aca="false">IF(D3="","",D3+90)</f>
        <v/>
      </c>
      <c r="J3" s="124"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23"/>
      <c r="E4" s="87"/>
      <c r="F4" s="87"/>
      <c r="G4" s="123"/>
      <c r="H4" s="87"/>
      <c r="I4" s="108" t="str">
        <f aca="false">IF(D4="","",D4+90)</f>
        <v/>
      </c>
      <c r="J4" s="124"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23"/>
      <c r="E5" s="87"/>
      <c r="F5" s="87"/>
      <c r="G5" s="123"/>
      <c r="H5" s="87"/>
      <c r="I5" s="108" t="str">
        <f aca="false">IF(D5="","",D5+90)</f>
        <v/>
      </c>
      <c r="J5" s="124"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23"/>
      <c r="E6" s="87"/>
      <c r="F6" s="87"/>
      <c r="G6" s="123"/>
      <c r="H6" s="87"/>
      <c r="I6" s="108" t="str">
        <f aca="false">IF(D6="","",D6+90)</f>
        <v/>
      </c>
      <c r="J6" s="124"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23"/>
      <c r="E7" s="87"/>
      <c r="F7" s="87"/>
      <c r="G7" s="123"/>
      <c r="H7" s="87"/>
      <c r="I7" s="108" t="str">
        <f aca="false">IF(D7="","",D7+90)</f>
        <v/>
      </c>
      <c r="J7" s="124"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23"/>
      <c r="E8" s="87"/>
      <c r="F8" s="87"/>
      <c r="G8" s="123"/>
      <c r="H8" s="87"/>
      <c r="I8" s="108" t="str">
        <f aca="false">IF(D8="","",D8+90)</f>
        <v/>
      </c>
      <c r="J8" s="124"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23"/>
      <c r="E9" s="87"/>
      <c r="F9" s="87"/>
      <c r="G9" s="123"/>
      <c r="H9" s="87"/>
      <c r="I9" s="108" t="str">
        <f aca="false">IF(D9="","",D9+90)</f>
        <v/>
      </c>
      <c r="J9" s="124"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23"/>
      <c r="E10" s="87"/>
      <c r="F10" s="87"/>
      <c r="G10" s="123"/>
      <c r="H10" s="87"/>
      <c r="I10" s="108" t="str">
        <f aca="false">IF(D10="","",D10+90)</f>
        <v/>
      </c>
      <c r="J10" s="124"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23"/>
      <c r="E11" s="87"/>
      <c r="F11" s="87"/>
      <c r="G11" s="123"/>
      <c r="H11" s="87"/>
      <c r="I11" s="108" t="str">
        <f aca="false">IF(D11="","",D11+90)</f>
        <v/>
      </c>
      <c r="J11" s="124"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23"/>
      <c r="E12" s="87"/>
      <c r="F12" s="87"/>
      <c r="G12" s="123"/>
      <c r="H12" s="87"/>
      <c r="I12" s="108" t="str">
        <f aca="false">IF(D12="","",D12+90)</f>
        <v/>
      </c>
      <c r="J12" s="124"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23"/>
      <c r="E13" s="87"/>
      <c r="F13" s="87"/>
      <c r="G13" s="123"/>
      <c r="H13" s="87"/>
      <c r="I13" s="108" t="str">
        <f aca="false">IF(D13="","",D13+90)</f>
        <v/>
      </c>
      <c r="J13" s="124"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23"/>
      <c r="E14" s="87"/>
      <c r="F14" s="87"/>
      <c r="G14" s="123"/>
      <c r="H14" s="87"/>
      <c r="I14" s="108" t="str">
        <f aca="false">IF(D14="","",D14+90)</f>
        <v/>
      </c>
      <c r="J14" s="124"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23"/>
      <c r="E15" s="87"/>
      <c r="F15" s="87"/>
      <c r="G15" s="123"/>
      <c r="H15" s="87"/>
      <c r="I15" s="108" t="str">
        <f aca="false">IF(D15="","",D15+90)</f>
        <v/>
      </c>
      <c r="J15" s="124"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23"/>
      <c r="E16" s="87"/>
      <c r="F16" s="87"/>
      <c r="G16" s="123"/>
      <c r="H16" s="87"/>
      <c r="I16" s="108" t="str">
        <f aca="false">IF(D16="","",D16+90)</f>
        <v/>
      </c>
      <c r="J16" s="124"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23"/>
      <c r="E17" s="87"/>
      <c r="F17" s="87"/>
      <c r="G17" s="123"/>
      <c r="H17" s="87"/>
      <c r="I17" s="108" t="str">
        <f aca="false">IF(D17="","",D17+90)</f>
        <v/>
      </c>
      <c r="J17" s="124"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23"/>
      <c r="E18" s="87"/>
      <c r="F18" s="87"/>
      <c r="G18" s="123"/>
      <c r="H18" s="87"/>
      <c r="I18" s="108" t="str">
        <f aca="false">IF(D18="","",D18+90)</f>
        <v/>
      </c>
      <c r="J18" s="124"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23"/>
      <c r="E19" s="87"/>
      <c r="F19" s="87"/>
      <c r="G19" s="123"/>
      <c r="H19" s="87"/>
      <c r="I19" s="108" t="str">
        <f aca="false">IF(D19="","",D19+90)</f>
        <v/>
      </c>
      <c r="J19" s="124"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23"/>
      <c r="E20" s="87"/>
      <c r="F20" s="87"/>
      <c r="G20" s="123"/>
      <c r="H20" s="87"/>
      <c r="I20" s="108" t="str">
        <f aca="false">IF(D20="","",D20+90)</f>
        <v/>
      </c>
      <c r="J20" s="124"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23"/>
      <c r="E21" s="87"/>
      <c r="F21" s="87"/>
      <c r="G21" s="123"/>
      <c r="H21" s="87"/>
      <c r="I21" s="108" t="str">
        <f aca="false">IF(D21="","",D21+90)</f>
        <v/>
      </c>
      <c r="J21" s="124"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23"/>
      <c r="E22" s="87"/>
      <c r="F22" s="87"/>
      <c r="G22" s="123"/>
      <c r="H22" s="87"/>
      <c r="I22" s="108" t="str">
        <f aca="false">IF(D22="","",D22+90)</f>
        <v/>
      </c>
      <c r="J22" s="124"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5" t="s">
        <v>467</v>
      </c>
      <c r="B1" s="105"/>
      <c r="C1" s="105"/>
      <c r="D1" s="105"/>
      <c r="E1" s="105"/>
      <c r="F1" s="105"/>
      <c r="G1" s="105"/>
      <c r="H1" s="105"/>
      <c r="I1" s="105"/>
      <c r="J1" s="105"/>
      <c r="K1" s="105"/>
      <c r="L1" s="105"/>
      <c r="M1" s="105"/>
      <c r="N1" s="105"/>
      <c r="O1" s="105"/>
      <c r="P1" s="105"/>
      <c r="Q1" s="105"/>
      <c r="R1" s="105"/>
      <c r="S1" s="105"/>
      <c r="T1" s="105"/>
    </row>
    <row r="2" customFormat="false" ht="15.75" hidden="false" customHeight="true" outlineLevel="0" collapsed="false">
      <c r="D2" s="125" t="s">
        <v>468</v>
      </c>
      <c r="E2" s="125"/>
      <c r="F2" s="125"/>
      <c r="G2" s="125"/>
      <c r="H2" s="125"/>
      <c r="I2" s="126" t="s">
        <v>469</v>
      </c>
      <c r="J2" s="126"/>
      <c r="K2" s="126"/>
      <c r="L2" s="126"/>
      <c r="M2" s="126"/>
      <c r="N2" s="127" t="s">
        <v>470</v>
      </c>
      <c r="O2" s="127"/>
      <c r="P2" s="127"/>
      <c r="Q2" s="127"/>
      <c r="R2" s="127"/>
      <c r="S2" s="128" t="s">
        <v>471</v>
      </c>
      <c r="T2" s="128"/>
      <c r="U2" s="128"/>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29"/>
      <c r="F4" s="38"/>
      <c r="G4" s="39" t="str">
        <f aca="false">IF(OR(C4="",D4="",E4="",F4=""),"",IFERROR(((D4*E4+F4)/C4)^(1/5)-1,"n/a"))</f>
        <v/>
      </c>
      <c r="H4" s="35"/>
      <c r="I4" s="38"/>
      <c r="J4" s="129"/>
      <c r="K4" s="38"/>
      <c r="L4" s="39" t="str">
        <f aca="false">IF(OR(C4="",I4="",J4="",K4=""),"",IFERROR(((I4*J4+K4)/C4)^(1/5)-1,"n/a"))</f>
        <v/>
      </c>
      <c r="M4" s="35"/>
      <c r="N4" s="38"/>
      <c r="O4" s="129"/>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29"/>
      <c r="F5" s="38"/>
      <c r="G5" s="39" t="str">
        <f aca="false">IF(OR(C5="",D5="",E5="",F5=""),"",IFERROR(((D5*E5+F5)/C5)^(1/5)-1,"n/a"))</f>
        <v/>
      </c>
      <c r="H5" s="35"/>
      <c r="I5" s="38"/>
      <c r="J5" s="129"/>
      <c r="K5" s="38"/>
      <c r="L5" s="39" t="str">
        <f aca="false">IF(OR(C5="",I5="",J5="",K5=""),"",IFERROR(((I5*J5+K5)/C5)^(1/5)-1,"n/a"))</f>
        <v/>
      </c>
      <c r="M5" s="35"/>
      <c r="N5" s="38"/>
      <c r="O5" s="129"/>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29"/>
      <c r="F6" s="38"/>
      <c r="G6" s="39" t="str">
        <f aca="false">IF(OR(C6="",D6="",E6="",F6=""),"",IFERROR(((D6*E6+F6)/C6)^(1/5)-1,"n/a"))</f>
        <v/>
      </c>
      <c r="H6" s="35"/>
      <c r="I6" s="38"/>
      <c r="J6" s="129"/>
      <c r="K6" s="38"/>
      <c r="L6" s="39" t="str">
        <f aca="false">IF(OR(C6="",I6="",J6="",K6=""),"",IFERROR(((I6*J6+K6)/C6)^(1/5)-1,"n/a"))</f>
        <v/>
      </c>
      <c r="M6" s="35"/>
      <c r="N6" s="38"/>
      <c r="O6" s="129"/>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29"/>
      <c r="F7" s="38"/>
      <c r="G7" s="39" t="str">
        <f aca="false">IF(OR(C7="",D7="",E7="",F7=""),"",IFERROR(((D7*E7+F7)/C7)^(1/5)-1,"n/a"))</f>
        <v/>
      </c>
      <c r="H7" s="35"/>
      <c r="I7" s="38"/>
      <c r="J7" s="129"/>
      <c r="K7" s="38"/>
      <c r="L7" s="39" t="str">
        <f aca="false">IF(OR(C7="",I7="",J7="",K7=""),"",IFERROR(((I7*J7+K7)/C7)^(1/5)-1,"n/a"))</f>
        <v/>
      </c>
      <c r="M7" s="35"/>
      <c r="N7" s="38"/>
      <c r="O7" s="129"/>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29"/>
      <c r="F8" s="38"/>
      <c r="G8" s="39" t="str">
        <f aca="false">IF(OR(C8="",D8="",E8="",F8=""),"",IFERROR(((D8*E8+F8)/C8)^(1/5)-1,"n/a"))</f>
        <v/>
      </c>
      <c r="H8" s="35"/>
      <c r="I8" s="38"/>
      <c r="J8" s="129"/>
      <c r="K8" s="38"/>
      <c r="L8" s="39" t="str">
        <f aca="false">IF(OR(C8="",I8="",J8="",K8=""),"",IFERROR(((I8*J8+K8)/C8)^(1/5)-1,"n/a"))</f>
        <v/>
      </c>
      <c r="M8" s="35"/>
      <c r="N8" s="38"/>
      <c r="O8" s="129"/>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29"/>
      <c r="F9" s="38"/>
      <c r="G9" s="39" t="str">
        <f aca="false">IF(OR(C9="",D9="",E9="",F9=""),"",IFERROR(((D9*E9+F9)/C9)^(1/5)-1,"n/a"))</f>
        <v/>
      </c>
      <c r="H9" s="35"/>
      <c r="I9" s="38"/>
      <c r="J9" s="129"/>
      <c r="K9" s="38"/>
      <c r="L9" s="39" t="str">
        <f aca="false">IF(OR(C9="",I9="",J9="",K9=""),"",IFERROR(((I9*J9+K9)/C9)^(1/5)-1,"n/a"))</f>
        <v/>
      </c>
      <c r="M9" s="35"/>
      <c r="N9" s="38"/>
      <c r="O9" s="129"/>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29"/>
      <c r="F10" s="38"/>
      <c r="G10" s="39" t="str">
        <f aca="false">IF(OR(C10="",D10="",E10="",F10=""),"",IFERROR(((D10*E10+F10)/C10)^(1/5)-1,"n/a"))</f>
        <v/>
      </c>
      <c r="H10" s="35"/>
      <c r="I10" s="38"/>
      <c r="J10" s="129"/>
      <c r="K10" s="38"/>
      <c r="L10" s="39" t="str">
        <f aca="false">IF(OR(C10="",I10="",J10="",K10=""),"",IFERROR(((I10*J10+K10)/C10)^(1/5)-1,"n/a"))</f>
        <v/>
      </c>
      <c r="M10" s="35"/>
      <c r="N10" s="38"/>
      <c r="O10" s="129"/>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29"/>
      <c r="F11" s="38"/>
      <c r="G11" s="39" t="str">
        <f aca="false">IF(OR(C11="",D11="",E11="",F11=""),"",IFERROR(((D11*E11+F11)/C11)^(1/5)-1,"n/a"))</f>
        <v/>
      </c>
      <c r="H11" s="35"/>
      <c r="I11" s="38"/>
      <c r="J11" s="129"/>
      <c r="K11" s="38"/>
      <c r="L11" s="39" t="str">
        <f aca="false">IF(OR(C11="",I11="",J11="",K11=""),"",IFERROR(((I11*J11+K11)/C11)^(1/5)-1,"n/a"))</f>
        <v/>
      </c>
      <c r="M11" s="35"/>
      <c r="N11" s="38"/>
      <c r="O11" s="129"/>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29"/>
      <c r="F12" s="38"/>
      <c r="G12" s="39" t="str">
        <f aca="false">IF(OR(C12="",D12="",E12="",F12=""),"",IFERROR(((D12*E12+F12)/C12)^(1/5)-1,"n/a"))</f>
        <v/>
      </c>
      <c r="H12" s="35"/>
      <c r="I12" s="38"/>
      <c r="J12" s="129"/>
      <c r="K12" s="38"/>
      <c r="L12" s="39" t="str">
        <f aca="false">IF(OR(C12="",I12="",J12="",K12=""),"",IFERROR(((I12*J12+K12)/C12)^(1/5)-1,"n/a"))</f>
        <v/>
      </c>
      <c r="M12" s="35"/>
      <c r="N12" s="38"/>
      <c r="O12" s="129"/>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29"/>
      <c r="F13" s="38"/>
      <c r="G13" s="39" t="str">
        <f aca="false">IF(OR(C13="",D13="",E13="",F13=""),"",IFERROR(((D13*E13+F13)/C13)^(1/5)-1,"n/a"))</f>
        <v/>
      </c>
      <c r="H13" s="35"/>
      <c r="I13" s="38"/>
      <c r="J13" s="129"/>
      <c r="K13" s="38"/>
      <c r="L13" s="39" t="str">
        <f aca="false">IF(OR(C13="",I13="",J13="",K13=""),"",IFERROR(((I13*J13+K13)/C13)^(1/5)-1,"n/a"))</f>
        <v/>
      </c>
      <c r="M13" s="35"/>
      <c r="N13" s="38"/>
      <c r="O13" s="129"/>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29"/>
      <c r="F14" s="38"/>
      <c r="G14" s="39" t="str">
        <f aca="false">IF(OR(C14="",D14="",E14="",F14=""),"",IFERROR(((D14*E14+F14)/C14)^(1/5)-1,"n/a"))</f>
        <v/>
      </c>
      <c r="H14" s="35"/>
      <c r="I14" s="38"/>
      <c r="J14" s="129"/>
      <c r="K14" s="38"/>
      <c r="L14" s="39" t="str">
        <f aca="false">IF(OR(C14="",I14="",J14="",K14=""),"",IFERROR(((I14*J14+K14)/C14)^(1/5)-1,"n/a"))</f>
        <v/>
      </c>
      <c r="M14" s="35"/>
      <c r="N14" s="38"/>
      <c r="O14" s="129"/>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29"/>
      <c r="F15" s="38"/>
      <c r="G15" s="39" t="str">
        <f aca="false">IF(OR(C15="",D15="",E15="",F15=""),"",IFERROR(((D15*E15+F15)/C15)^(1/5)-1,"n/a"))</f>
        <v/>
      </c>
      <c r="H15" s="35"/>
      <c r="I15" s="38"/>
      <c r="J15" s="129"/>
      <c r="K15" s="38"/>
      <c r="L15" s="39" t="str">
        <f aca="false">IF(OR(C15="",I15="",J15="",K15=""),"",IFERROR(((I15*J15+K15)/C15)^(1/5)-1,"n/a"))</f>
        <v/>
      </c>
      <c r="M15" s="35"/>
      <c r="N15" s="38"/>
      <c r="O15" s="129"/>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29"/>
      <c r="F16" s="38"/>
      <c r="G16" s="39" t="str">
        <f aca="false">IF(OR(C16="",D16="",E16="",F16=""),"",IFERROR(((D16*E16+F16)/C16)^(1/5)-1,"n/a"))</f>
        <v/>
      </c>
      <c r="H16" s="35"/>
      <c r="I16" s="38"/>
      <c r="J16" s="129"/>
      <c r="K16" s="38"/>
      <c r="L16" s="39" t="str">
        <f aca="false">IF(OR(C16="",I16="",J16="",K16=""),"",IFERROR(((I16*J16+K16)/C16)^(1/5)-1,"n/a"))</f>
        <v/>
      </c>
      <c r="M16" s="35"/>
      <c r="N16" s="38"/>
      <c r="O16" s="129"/>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29"/>
      <c r="F17" s="38"/>
      <c r="G17" s="39" t="str">
        <f aca="false">IF(OR(C17="",D17="",E17="",F17=""),"",IFERROR(((D17*E17+F17)/C17)^(1/5)-1,"n/a"))</f>
        <v/>
      </c>
      <c r="H17" s="35"/>
      <c r="I17" s="38"/>
      <c r="J17" s="129"/>
      <c r="K17" s="38"/>
      <c r="L17" s="39" t="str">
        <f aca="false">IF(OR(C17="",I17="",J17="",K17=""),"",IFERROR(((I17*J17+K17)/C17)^(1/5)-1,"n/a"))</f>
        <v/>
      </c>
      <c r="M17" s="35"/>
      <c r="N17" s="38"/>
      <c r="O17" s="129"/>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29"/>
      <c r="F18" s="38"/>
      <c r="G18" s="39" t="str">
        <f aca="false">IF(OR(C18="",D18="",E18="",F18=""),"",IFERROR(((D18*E18+F18)/C18)^(1/5)-1,"n/a"))</f>
        <v/>
      </c>
      <c r="H18" s="35"/>
      <c r="I18" s="38"/>
      <c r="J18" s="129"/>
      <c r="K18" s="38"/>
      <c r="L18" s="39" t="str">
        <f aca="false">IF(OR(C18="",I18="",J18="",K18=""),"",IFERROR(((I18*J18+K18)/C18)^(1/5)-1,"n/a"))</f>
        <v/>
      </c>
      <c r="M18" s="35"/>
      <c r="N18" s="38"/>
      <c r="O18" s="129"/>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29"/>
      <c r="F19" s="38"/>
      <c r="G19" s="39" t="str">
        <f aca="false">IF(OR(C19="",D19="",E19="",F19=""),"",IFERROR(((D19*E19+F19)/C19)^(1/5)-1,"n/a"))</f>
        <v/>
      </c>
      <c r="H19" s="35"/>
      <c r="I19" s="38"/>
      <c r="J19" s="129"/>
      <c r="K19" s="38"/>
      <c r="L19" s="39" t="str">
        <f aca="false">IF(OR(C19="",I19="",J19="",K19=""),"",IFERROR(((I19*J19+K19)/C19)^(1/5)-1,"n/a"))</f>
        <v/>
      </c>
      <c r="M19" s="35"/>
      <c r="N19" s="38"/>
      <c r="O19" s="129"/>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29" t="n">
        <v>61.48</v>
      </c>
      <c r="F20" s="38" t="n">
        <v>32</v>
      </c>
      <c r="G20" s="39" t="n">
        <f aca="false">IF(OR(C20="",D20="",E20="",F20=""),"",IFERROR(((D20*E20+F20)/C20)^(1/5)-1,"n/a"))</f>
        <v>0.0847777537329333</v>
      </c>
      <c r="H20" s="35" t="s">
        <v>482</v>
      </c>
      <c r="I20" s="38" t="n">
        <v>19.14</v>
      </c>
      <c r="J20" s="129" t="n">
        <v>50</v>
      </c>
      <c r="K20" s="38" t="n">
        <v>28</v>
      </c>
      <c r="L20" s="39" t="n">
        <f aca="false">IF(OR(C20="",I20="",J20="",K20=""),"",IFERROR(((I20*J20+K20)/C20)^(1/5)-1,"n/a"))</f>
        <v>0.00366015400817998</v>
      </c>
      <c r="M20" s="35" t="s">
        <v>482</v>
      </c>
      <c r="N20" s="38" t="n">
        <v>26.51</v>
      </c>
      <c r="O20" s="129"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29" t="n">
        <v>34.36</v>
      </c>
      <c r="F21" s="38" t="n">
        <v>16</v>
      </c>
      <c r="G21" s="39" t="n">
        <f aca="false">IF(OR(C21="",D21="",E21="",F21=""),"",IFERROR(((D21*E21+F21)/C21)^(1/5)-1,"n/a"))</f>
        <v>0.105673995986338</v>
      </c>
      <c r="H21" s="35" t="s">
        <v>483</v>
      </c>
      <c r="I21" s="38" t="n">
        <v>14.14</v>
      </c>
      <c r="J21" s="129" t="n">
        <v>28</v>
      </c>
      <c r="K21" s="38" t="n">
        <v>14</v>
      </c>
      <c r="L21" s="39" t="n">
        <f aca="false">IF(OR(C21="",I21="",J21="",K21=""),"",IFERROR(((I21*J21+K21)/C21)^(1/5)-1,"n/a"))</f>
        <v>0.0149373117952127</v>
      </c>
      <c r="M21" s="35" t="s">
        <v>482</v>
      </c>
      <c r="N21" s="38" t="n">
        <v>21.33</v>
      </c>
      <c r="O21" s="129"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29"/>
      <c r="F22" s="38"/>
      <c r="G22" s="39" t="str">
        <f aca="false">IF(OR(C22="",D22="",E22="",F22=""),"",IFERROR(((D22*E22+F22)/C22)^(1/5)-1,"n/a"))</f>
        <v/>
      </c>
      <c r="H22" s="35"/>
      <c r="I22" s="38"/>
      <c r="J22" s="129"/>
      <c r="K22" s="38"/>
      <c r="L22" s="39" t="str">
        <f aca="false">IF(OR(C22="",I22="",J22="",K22=""),"",IFERROR(((I22*J22+K22)/C22)^(1/5)-1,"n/a"))</f>
        <v/>
      </c>
      <c r="M22" s="35"/>
      <c r="N22" s="38"/>
      <c r="O22" s="129"/>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29"/>
      <c r="F23" s="38"/>
      <c r="G23" s="39" t="str">
        <f aca="false">IF(OR(C23="",D23="",E23="",F23=""),"",IFERROR(((D23*E23+F23)/C23)^(1/5)-1,"n/a"))</f>
        <v/>
      </c>
      <c r="H23" s="35"/>
      <c r="I23" s="38"/>
      <c r="J23" s="129"/>
      <c r="K23" s="38"/>
      <c r="L23" s="39" t="str">
        <f aca="false">IF(OR(C23="",I23="",J23="",K23=""),"",IFERROR(((I23*J23+K23)/C23)^(1/5)-1,"n/a"))</f>
        <v/>
      </c>
      <c r="M23" s="35"/>
      <c r="N23" s="38"/>
      <c r="O23" s="129"/>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0"/>
      <c r="B24" s="130"/>
      <c r="C24" s="131"/>
      <c r="D24" s="131"/>
      <c r="E24" s="132"/>
      <c r="F24" s="131"/>
      <c r="G24" s="133" t="str">
        <f aca="false">IF(OR(C24="",D24="",E24="",F24=""),"",IFERROR(((D24*E24+F24)/C24)^(1/5)-1,"n/a"))</f>
        <v/>
      </c>
      <c r="H24" s="130"/>
      <c r="I24" s="131"/>
      <c r="J24" s="132"/>
      <c r="K24" s="131"/>
      <c r="L24" s="133" t="str">
        <f aca="false">IF(OR(C24="",I24="",J24="",K24=""),"",IFERROR(((I24*J24+K24)/C24)^(1/5)-1,"n/a"))</f>
        <v/>
      </c>
      <c r="M24" s="130"/>
      <c r="N24" s="131"/>
      <c r="O24" s="132"/>
      <c r="P24" s="131"/>
      <c r="Q24" s="133" t="str">
        <f aca="false">IF(OR(C24="",N24="",O24="",P24=""),"",IFERROR(((N24*O24+P24)/C24)^(1/5)-1,"n/a"))</f>
        <v/>
      </c>
      <c r="R24" s="130"/>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0"/>
      <c r="B25" s="130"/>
      <c r="C25" s="131"/>
      <c r="D25" s="131"/>
      <c r="E25" s="132"/>
      <c r="F25" s="131"/>
      <c r="G25" s="133" t="str">
        <f aca="false">IF(OR(C25="",D25="",E25="",F25=""),"",IFERROR(((D25*E25+F25)/C25)^(1/5)-1,"n/a"))</f>
        <v/>
      </c>
      <c r="H25" s="130"/>
      <c r="I25" s="131"/>
      <c r="J25" s="132"/>
      <c r="K25" s="131"/>
      <c r="L25" s="133" t="str">
        <f aca="false">IF(OR(C25="",I25="",J25="",K25=""),"",IFERROR(((I25*J25+K25)/C25)^(1/5)-1,"n/a"))</f>
        <v/>
      </c>
      <c r="M25" s="130"/>
      <c r="N25" s="131"/>
      <c r="O25" s="132"/>
      <c r="P25" s="131"/>
      <c r="Q25" s="133" t="str">
        <f aca="false">IF(OR(C25="",N25="",O25="",P25=""),"",IFERROR(((N25*O25+P25)/C25)^(1/5)-1,"n/a"))</f>
        <v/>
      </c>
      <c r="R25" s="130"/>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0"/>
      <c r="B26" s="130"/>
      <c r="C26" s="131"/>
      <c r="D26" s="131"/>
      <c r="E26" s="132"/>
      <c r="F26" s="131"/>
      <c r="G26" s="133" t="str">
        <f aca="false">IF(OR(C26="",D26="",E26="",F26=""),"",IFERROR(((D26*E26+F26)/C26)^(1/5)-1,"n/a"))</f>
        <v/>
      </c>
      <c r="H26" s="130"/>
      <c r="I26" s="131"/>
      <c r="J26" s="132"/>
      <c r="K26" s="131"/>
      <c r="L26" s="133" t="str">
        <f aca="false">IF(OR(C26="",I26="",J26="",K26=""),"",IFERROR(((I26*J26+K26)/C26)^(1/5)-1,"n/a"))</f>
        <v/>
      </c>
      <c r="M26" s="130"/>
      <c r="N26" s="131"/>
      <c r="O26" s="132"/>
      <c r="P26" s="131"/>
      <c r="Q26" s="133" t="str">
        <f aca="false">IF(OR(C26="",N26="",O26="",P26=""),"",IFERROR(((N26*O26+P26)/C26)^(1/5)-1,"n/a"))</f>
        <v/>
      </c>
      <c r="R26" s="130"/>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0"/>
      <c r="B27" s="130"/>
      <c r="C27" s="131"/>
      <c r="D27" s="131"/>
      <c r="E27" s="132"/>
      <c r="F27" s="131"/>
      <c r="G27" s="133" t="str">
        <f aca="false">IF(OR(C27="",D27="",E27="",F27=""),"",IFERROR(((D27*E27+F27)/C27)^(1/5)-1,"n/a"))</f>
        <v/>
      </c>
      <c r="H27" s="130"/>
      <c r="I27" s="131"/>
      <c r="J27" s="132"/>
      <c r="K27" s="131"/>
      <c r="L27" s="133" t="str">
        <f aca="false">IF(OR(C27="",I27="",J27="",K27=""),"",IFERROR(((I27*J27+K27)/C27)^(1/5)-1,"n/a"))</f>
        <v/>
      </c>
      <c r="M27" s="130"/>
      <c r="N27" s="131"/>
      <c r="O27" s="132"/>
      <c r="P27" s="131"/>
      <c r="Q27" s="133" t="str">
        <f aca="false">IF(OR(C27="",N27="",O27="",P27=""),"",IFERROR(((N27*O27+P27)/C27)^(1/5)-1,"n/a"))</f>
        <v/>
      </c>
      <c r="R27" s="130"/>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0"/>
      <c r="B28" s="130"/>
      <c r="C28" s="131"/>
      <c r="D28" s="131"/>
      <c r="E28" s="132"/>
      <c r="F28" s="131"/>
      <c r="G28" s="133" t="str">
        <f aca="false">IF(OR(C28="",D28="",E28="",F28=""),"",IFERROR(((D28*E28+F28)/C28)^(1/5)-1,"n/a"))</f>
        <v/>
      </c>
      <c r="H28" s="130"/>
      <c r="I28" s="131"/>
      <c r="J28" s="132"/>
      <c r="K28" s="131"/>
      <c r="L28" s="133" t="str">
        <f aca="false">IF(OR(C28="",I28="",J28="",K28=""),"",IFERROR(((I28*J28+K28)/C28)^(1/5)-1,"n/a"))</f>
        <v/>
      </c>
      <c r="M28" s="130"/>
      <c r="N28" s="131"/>
      <c r="O28" s="132"/>
      <c r="P28" s="131"/>
      <c r="Q28" s="133" t="str">
        <f aca="false">IF(OR(C28="",N28="",O28="",P28=""),"",IFERROR(((N28*O28+P28)/C28)^(1/5)-1,"n/a"))</f>
        <v/>
      </c>
      <c r="R28" s="130"/>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0"/>
      <c r="B29" s="130"/>
      <c r="C29" s="131"/>
      <c r="D29" s="131"/>
      <c r="E29" s="132"/>
      <c r="F29" s="131"/>
      <c r="G29" s="133" t="str">
        <f aca="false">IF(OR(C29="",D29="",E29="",F29=""),"",IFERROR(((D29*E29+F29)/C29)^(1/5)-1,"n/a"))</f>
        <v/>
      </c>
      <c r="H29" s="130"/>
      <c r="I29" s="131"/>
      <c r="J29" s="132"/>
      <c r="K29" s="131"/>
      <c r="L29" s="133" t="str">
        <f aca="false">IF(OR(C29="",I29="",J29="",K29=""),"",IFERROR(((I29*J29+K29)/C29)^(1/5)-1,"n/a"))</f>
        <v/>
      </c>
      <c r="M29" s="130"/>
      <c r="N29" s="131"/>
      <c r="O29" s="132"/>
      <c r="P29" s="131"/>
      <c r="Q29" s="133" t="str">
        <f aca="false">IF(OR(C29="",N29="",O29="",P29=""),"",IFERROR(((N29*O29+P29)/C29)^(1/5)-1,"n/a"))</f>
        <v/>
      </c>
      <c r="R29" s="130"/>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0"/>
      <c r="B30" s="130"/>
      <c r="C30" s="131"/>
      <c r="D30" s="131"/>
      <c r="E30" s="132"/>
      <c r="F30" s="131"/>
      <c r="G30" s="133" t="str">
        <f aca="false">IF(OR(C30="",D30="",E30="",F30=""),"",IFERROR(((D30*E30+F30)/C30)^(1/5)-1,"n/a"))</f>
        <v/>
      </c>
      <c r="H30" s="130"/>
      <c r="I30" s="131"/>
      <c r="J30" s="132"/>
      <c r="K30" s="131"/>
      <c r="L30" s="133" t="str">
        <f aca="false">IF(OR(C30="",I30="",J30="",K30=""),"",IFERROR(((I30*J30+K30)/C30)^(1/5)-1,"n/a"))</f>
        <v/>
      </c>
      <c r="M30" s="130"/>
      <c r="N30" s="131"/>
      <c r="O30" s="132"/>
      <c r="P30" s="131"/>
      <c r="Q30" s="133" t="str">
        <f aca="false">IF(OR(C30="",N30="",O30="",P30=""),"",IFERROR(((N30*O30+P30)/C30)^(1/5)-1,"n/a"))</f>
        <v/>
      </c>
      <c r="R30" s="130"/>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0"/>
      <c r="B31" s="130"/>
      <c r="C31" s="131"/>
      <c r="D31" s="131"/>
      <c r="E31" s="132"/>
      <c r="F31" s="131"/>
      <c r="G31" s="133" t="str">
        <f aca="false">IF(OR(C31="",D31="",E31="",F31=""),"",IFERROR(((D31*E31+F31)/C31)^(1/5)-1,"n/a"))</f>
        <v/>
      </c>
      <c r="H31" s="130"/>
      <c r="I31" s="131"/>
      <c r="J31" s="132"/>
      <c r="K31" s="131"/>
      <c r="L31" s="133" t="str">
        <f aca="false">IF(OR(C31="",I31="",J31="",K31=""),"",IFERROR(((I31*J31+K31)/C31)^(1/5)-1,"n/a"))</f>
        <v/>
      </c>
      <c r="M31" s="130"/>
      <c r="N31" s="131"/>
      <c r="O31" s="132"/>
      <c r="P31" s="131"/>
      <c r="Q31" s="133" t="str">
        <f aca="false">IF(OR(C31="",N31="",O31="",P31=""),"",IFERROR(((N31*O31+P31)/C31)^(1/5)-1,"n/a"))</f>
        <v/>
      </c>
      <c r="R31" s="130"/>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0"/>
      <c r="B32" s="130"/>
      <c r="C32" s="131"/>
      <c r="D32" s="131"/>
      <c r="E32" s="132"/>
      <c r="F32" s="131"/>
      <c r="G32" s="133" t="str">
        <f aca="false">IF(OR(C32="",D32="",E32="",F32=""),"",IFERROR(((D32*E32+F32)/C32)^(1/5)-1,"n/a"))</f>
        <v/>
      </c>
      <c r="H32" s="130"/>
      <c r="I32" s="131"/>
      <c r="J32" s="132"/>
      <c r="K32" s="131"/>
      <c r="L32" s="133" t="str">
        <f aca="false">IF(OR(C32="",I32="",J32="",K32=""),"",IFERROR(((I32*J32+K32)/C32)^(1/5)-1,"n/a"))</f>
        <v/>
      </c>
      <c r="M32" s="130"/>
      <c r="N32" s="131"/>
      <c r="O32" s="132"/>
      <c r="P32" s="131"/>
      <c r="Q32" s="133" t="str">
        <f aca="false">IF(OR(C32="",N32="",O32="",P32=""),"",IFERROR(((N32*O32+P32)/C32)^(1/5)-1,"n/a"))</f>
        <v/>
      </c>
      <c r="R32" s="130"/>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0"/>
      <c r="B33" s="130"/>
      <c r="C33" s="131"/>
      <c r="D33" s="131"/>
      <c r="E33" s="132"/>
      <c r="F33" s="131"/>
      <c r="G33" s="133" t="str">
        <f aca="false">IF(OR(C33="",D33="",E33="",F33=""),"",IFERROR(((D33*E33+F33)/C33)^(1/5)-1,"n/a"))</f>
        <v/>
      </c>
      <c r="H33" s="130"/>
      <c r="I33" s="131"/>
      <c r="J33" s="132"/>
      <c r="K33" s="131"/>
      <c r="L33" s="133" t="str">
        <f aca="false">IF(OR(C33="",I33="",J33="",K33=""),"",IFERROR(((I33*J33+K33)/C33)^(1/5)-1,"n/a"))</f>
        <v/>
      </c>
      <c r="M33" s="130"/>
      <c r="N33" s="131"/>
      <c r="O33" s="132"/>
      <c r="P33" s="131"/>
      <c r="Q33" s="133" t="str">
        <f aca="false">IF(OR(C33="",N33="",O33="",P33=""),"",IFERROR(((N33*O33+P33)/C33)^(1/5)-1,"n/a"))</f>
        <v/>
      </c>
      <c r="R33" s="130"/>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0"/>
      <c r="B34" s="130"/>
      <c r="C34" s="131"/>
      <c r="D34" s="131"/>
      <c r="E34" s="132"/>
      <c r="F34" s="131"/>
      <c r="G34" s="133" t="str">
        <f aca="false">IF(OR(C34="",D34="",E34="",F34=""),"",IFERROR(((D34*E34+F34)/C34)^(1/5)-1,"n/a"))</f>
        <v/>
      </c>
      <c r="H34" s="130"/>
      <c r="I34" s="131"/>
      <c r="J34" s="132"/>
      <c r="K34" s="131"/>
      <c r="L34" s="133" t="str">
        <f aca="false">IF(OR(C34="",I34="",J34="",K34=""),"",IFERROR(((I34*J34+K34)/C34)^(1/5)-1,"n/a"))</f>
        <v/>
      </c>
      <c r="M34" s="130"/>
      <c r="N34" s="131"/>
      <c r="O34" s="132"/>
      <c r="P34" s="131"/>
      <c r="Q34" s="133" t="str">
        <f aca="false">IF(OR(C34="",N34="",O34="",P34=""),"",IFERROR(((N34*O34+P34)/C34)^(1/5)-1,"n/a"))</f>
        <v/>
      </c>
      <c r="R34" s="130"/>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0"/>
      <c r="B35" s="130"/>
      <c r="C35" s="131"/>
      <c r="D35" s="131"/>
      <c r="E35" s="132"/>
      <c r="F35" s="131"/>
      <c r="G35" s="133" t="str">
        <f aca="false">IF(OR(C35="",D35="",E35="",F35=""),"",IFERROR(((D35*E35+F35)/C35)^(1/5)-1,"n/a"))</f>
        <v/>
      </c>
      <c r="H35" s="130"/>
      <c r="I35" s="131"/>
      <c r="J35" s="132"/>
      <c r="K35" s="131"/>
      <c r="L35" s="133" t="str">
        <f aca="false">IF(OR(C35="",I35="",J35="",K35=""),"",IFERROR(((I35*J35+K35)/C35)^(1/5)-1,"n/a"))</f>
        <v/>
      </c>
      <c r="M35" s="130"/>
      <c r="N35" s="131"/>
      <c r="O35" s="132"/>
      <c r="P35" s="131"/>
      <c r="Q35" s="133" t="str">
        <f aca="false">IF(OR(C35="",N35="",O35="",P35=""),"",IFERROR(((N35*O35+P35)/C35)^(1/5)-1,"n/a"))</f>
        <v/>
      </c>
      <c r="R35" s="130"/>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0"/>
      <c r="B36" s="130"/>
      <c r="C36" s="131"/>
      <c r="D36" s="131"/>
      <c r="E36" s="132"/>
      <c r="F36" s="131"/>
      <c r="G36" s="133" t="str">
        <f aca="false">IF(OR(C36="",D36="",E36="",F36=""),"",IFERROR(((D36*E36+F36)/C36)^(1/5)-1,"n/a"))</f>
        <v/>
      </c>
      <c r="H36" s="130"/>
      <c r="I36" s="131"/>
      <c r="J36" s="132"/>
      <c r="K36" s="131"/>
      <c r="L36" s="133" t="str">
        <f aca="false">IF(OR(C36="",I36="",J36="",K36=""),"",IFERROR(((I36*J36+K36)/C36)^(1/5)-1,"n/a"))</f>
        <v/>
      </c>
      <c r="M36" s="130"/>
      <c r="N36" s="131"/>
      <c r="O36" s="132"/>
      <c r="P36" s="131"/>
      <c r="Q36" s="133" t="str">
        <f aca="false">IF(OR(C36="",N36="",O36="",P36=""),"",IFERROR(((N36*O36+P36)/C36)^(1/5)-1,"n/a"))</f>
        <v/>
      </c>
      <c r="R36" s="130"/>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0"/>
      <c r="B37" s="130"/>
      <c r="C37" s="131"/>
      <c r="D37" s="131"/>
      <c r="E37" s="132"/>
      <c r="F37" s="131"/>
      <c r="G37" s="133" t="str">
        <f aca="false">IF(OR(C37="",D37="",E37="",F37=""),"",IFERROR(((D37*E37+F37)/C37)^(1/5)-1,"n/a"))</f>
        <v/>
      </c>
      <c r="H37" s="130"/>
      <c r="I37" s="131"/>
      <c r="J37" s="132"/>
      <c r="K37" s="131"/>
      <c r="L37" s="133" t="str">
        <f aca="false">IF(OR(C37="",I37="",J37="",K37=""),"",IFERROR(((I37*J37+K37)/C37)^(1/5)-1,"n/a"))</f>
        <v/>
      </c>
      <c r="M37" s="130"/>
      <c r="N37" s="131"/>
      <c r="O37" s="132"/>
      <c r="P37" s="131"/>
      <c r="Q37" s="133" t="str">
        <f aca="false">IF(OR(C37="",N37="",O37="",P37=""),"",IFERROR(((N37*O37+P37)/C37)^(1/5)-1,"n/a"))</f>
        <v/>
      </c>
      <c r="R37" s="130"/>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0"/>
      <c r="B38" s="130"/>
      <c r="C38" s="131"/>
      <c r="D38" s="131"/>
      <c r="E38" s="132"/>
      <c r="F38" s="131"/>
      <c r="G38" s="133" t="str">
        <f aca="false">IF(OR(C38="",D38="",E38="",F38=""),"",IFERROR(((D38*E38+F38)/C38)^(1/5)-1,"n/a"))</f>
        <v/>
      </c>
      <c r="H38" s="130"/>
      <c r="I38" s="131"/>
      <c r="J38" s="132"/>
      <c r="K38" s="131"/>
      <c r="L38" s="133" t="str">
        <f aca="false">IF(OR(C38="",I38="",J38="",K38=""),"",IFERROR(((I38*J38+K38)/C38)^(1/5)-1,"n/a"))</f>
        <v/>
      </c>
      <c r="M38" s="130"/>
      <c r="N38" s="131"/>
      <c r="O38" s="132"/>
      <c r="P38" s="131"/>
      <c r="Q38" s="133" t="str">
        <f aca="false">IF(OR(C38="",N38="",O38="",P38=""),"",IFERROR(((N38*O38+P38)/C38)^(1/5)-1,"n/a"))</f>
        <v/>
      </c>
      <c r="R38" s="130"/>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0"/>
      <c r="B39" s="130"/>
      <c r="C39" s="131"/>
      <c r="D39" s="131"/>
      <c r="E39" s="132"/>
      <c r="F39" s="131"/>
      <c r="G39" s="133" t="str">
        <f aca="false">IF(OR(C39="",D39="",E39="",F39=""),"",IFERROR(((D39*E39+F39)/C39)^(1/5)-1,"n/a"))</f>
        <v/>
      </c>
      <c r="H39" s="130"/>
      <c r="I39" s="131"/>
      <c r="J39" s="132"/>
      <c r="K39" s="131"/>
      <c r="L39" s="133" t="str">
        <f aca="false">IF(OR(C39="",I39="",J39="",K39=""),"",IFERROR(((I39*J39+K39)/C39)^(1/5)-1,"n/a"))</f>
        <v/>
      </c>
      <c r="M39" s="130"/>
      <c r="N39" s="131"/>
      <c r="O39" s="132"/>
      <c r="P39" s="131"/>
      <c r="Q39" s="133" t="str">
        <f aca="false">IF(OR(C39="",N39="",O39="",P39=""),"",IFERROR(((N39*O39+P39)/C39)^(1/5)-1,"n/a"))</f>
        <v/>
      </c>
      <c r="R39" s="130"/>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0"/>
      <c r="B40" s="130"/>
      <c r="C40" s="131"/>
      <c r="D40" s="131"/>
      <c r="E40" s="132"/>
      <c r="F40" s="131"/>
      <c r="G40" s="133" t="str">
        <f aca="false">IF(OR(C40="",D40="",E40="",F40=""),"",IFERROR(((D40*E40+F40)/C40)^(1/5)-1,"n/a"))</f>
        <v/>
      </c>
      <c r="H40" s="130"/>
      <c r="I40" s="131"/>
      <c r="J40" s="132"/>
      <c r="K40" s="131"/>
      <c r="L40" s="133" t="str">
        <f aca="false">IF(OR(C40="",I40="",J40="",K40=""),"",IFERROR(((I40*J40+K40)/C40)^(1/5)-1,"n/a"))</f>
        <v/>
      </c>
      <c r="M40" s="130"/>
      <c r="N40" s="131"/>
      <c r="O40" s="132"/>
      <c r="P40" s="131"/>
      <c r="Q40" s="133" t="str">
        <f aca="false">IF(OR(C40="",N40="",O40="",P40=""),"",IFERROR(((N40*O40+P40)/C40)^(1/5)-1,"n/a"))</f>
        <v/>
      </c>
      <c r="R40" s="130"/>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0"/>
      <c r="B41" s="130"/>
      <c r="C41" s="131"/>
      <c r="D41" s="131"/>
      <c r="E41" s="132"/>
      <c r="F41" s="131"/>
      <c r="G41" s="133" t="str">
        <f aca="false">IF(OR(C41="",D41="",E41="",F41=""),"",IFERROR(((D41*E41+F41)/C41)^(1/5)-1,"n/a"))</f>
        <v/>
      </c>
      <c r="H41" s="130"/>
      <c r="I41" s="131"/>
      <c r="J41" s="132"/>
      <c r="K41" s="131"/>
      <c r="L41" s="133" t="str">
        <f aca="false">IF(OR(C41="",I41="",J41="",K41=""),"",IFERROR(((I41*J41+K41)/C41)^(1/5)-1,"n/a"))</f>
        <v/>
      </c>
      <c r="M41" s="130"/>
      <c r="N41" s="131"/>
      <c r="O41" s="132"/>
      <c r="P41" s="131"/>
      <c r="Q41" s="133" t="str">
        <f aca="false">IF(OR(C41="",N41="",O41="",P41=""),"",IFERROR(((N41*O41+P41)/C41)^(1/5)-1,"n/a"))</f>
        <v/>
      </c>
      <c r="R41" s="130"/>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0"/>
      <c r="B42" s="130"/>
      <c r="C42" s="131"/>
      <c r="D42" s="131"/>
      <c r="E42" s="132"/>
      <c r="F42" s="131"/>
      <c r="G42" s="133" t="str">
        <f aca="false">IF(OR(C42="",D42="",E42="",F42=""),"",IFERROR(((D42*E42+F42)/C42)^(1/5)-1,"n/a"))</f>
        <v/>
      </c>
      <c r="H42" s="130"/>
      <c r="I42" s="131"/>
      <c r="J42" s="132"/>
      <c r="K42" s="131"/>
      <c r="L42" s="133" t="str">
        <f aca="false">IF(OR(C42="",I42="",J42="",K42=""),"",IFERROR(((I42*J42+K42)/C42)^(1/5)-1,"n/a"))</f>
        <v/>
      </c>
      <c r="M42" s="130"/>
      <c r="N42" s="131"/>
      <c r="O42" s="132"/>
      <c r="P42" s="131"/>
      <c r="Q42" s="133" t="str">
        <f aca="false">IF(OR(C42="",N42="",O42="",P42=""),"",IFERROR(((N42*O42+P42)/C42)^(1/5)-1,"n/a"))</f>
        <v/>
      </c>
      <c r="R42" s="130"/>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0"/>
      <c r="B43" s="130"/>
      <c r="C43" s="131"/>
      <c r="D43" s="131"/>
      <c r="E43" s="132"/>
      <c r="F43" s="131"/>
      <c r="G43" s="133" t="str">
        <f aca="false">IF(OR(C43="",D43="",E43="",F43=""),"",IFERROR(((D43*E43+F43)/C43)^(1/5)-1,"n/a"))</f>
        <v/>
      </c>
      <c r="H43" s="130"/>
      <c r="I43" s="131"/>
      <c r="J43" s="132"/>
      <c r="K43" s="131"/>
      <c r="L43" s="133" t="str">
        <f aca="false">IF(OR(C43="",I43="",J43="",K43=""),"",IFERROR(((I43*J43+K43)/C43)^(1/5)-1,"n/a"))</f>
        <v/>
      </c>
      <c r="M43" s="130"/>
      <c r="N43" s="131"/>
      <c r="O43" s="132"/>
      <c r="P43" s="131"/>
      <c r="Q43" s="133" t="str">
        <f aca="false">IF(OR(C43="",N43="",O43="",P43=""),"",IFERROR(((N43*O43+P43)/C43)^(1/5)-1,"n/a"))</f>
        <v/>
      </c>
      <c r="R43" s="130"/>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0"/>
      <c r="B44" s="130"/>
      <c r="C44" s="131"/>
      <c r="D44" s="131"/>
      <c r="E44" s="132"/>
      <c r="F44" s="131"/>
      <c r="G44" s="133" t="str">
        <f aca="false">IF(OR(C44="",D44="",E44="",F44=""),"",IFERROR(((D44*E44+F44)/C44)^(1/5)-1,"n/a"))</f>
        <v/>
      </c>
      <c r="H44" s="130"/>
      <c r="I44" s="131"/>
      <c r="J44" s="132"/>
      <c r="K44" s="131"/>
      <c r="L44" s="133" t="str">
        <f aca="false">IF(OR(C44="",I44="",J44="",K44=""),"",IFERROR(((I44*J44+K44)/C44)^(1/5)-1,"n/a"))</f>
        <v/>
      </c>
      <c r="M44" s="130"/>
      <c r="N44" s="131"/>
      <c r="O44" s="132"/>
      <c r="P44" s="131"/>
      <c r="Q44" s="133" t="str">
        <f aca="false">IF(OR(C44="",N44="",O44="",P44=""),"",IFERROR(((N44*O44+P44)/C44)^(1/5)-1,"n/a"))</f>
        <v/>
      </c>
      <c r="R44" s="130"/>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0"/>
      <c r="B45" s="130"/>
      <c r="C45" s="131"/>
      <c r="D45" s="131"/>
      <c r="E45" s="132"/>
      <c r="F45" s="131"/>
      <c r="G45" s="133" t="str">
        <f aca="false">IF(OR(C45="",D45="",E45="",F45=""),"",IFERROR(((D45*E45+F45)/C45)^(1/5)-1,"n/a"))</f>
        <v/>
      </c>
      <c r="H45" s="130"/>
      <c r="I45" s="131"/>
      <c r="J45" s="132"/>
      <c r="K45" s="131"/>
      <c r="L45" s="133" t="str">
        <f aca="false">IF(OR(C45="",I45="",J45="",K45=""),"",IFERROR(((I45*J45+K45)/C45)^(1/5)-1,"n/a"))</f>
        <v/>
      </c>
      <c r="M45" s="130"/>
      <c r="N45" s="131"/>
      <c r="O45" s="132"/>
      <c r="P45" s="131"/>
      <c r="Q45" s="133" t="str">
        <f aca="false">IF(OR(C45="",N45="",O45="",P45=""),"",IFERROR(((N45*O45+P45)/C45)^(1/5)-1,"n/a"))</f>
        <v/>
      </c>
      <c r="R45" s="130"/>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0"/>
      <c r="B46" s="130"/>
      <c r="C46" s="131"/>
      <c r="D46" s="131"/>
      <c r="E46" s="132"/>
      <c r="F46" s="131"/>
      <c r="G46" s="133" t="str">
        <f aca="false">IF(OR(C46="",D46="",E46="",F46=""),"",IFERROR(((D46*E46+F46)/C46)^(1/5)-1,"n/a"))</f>
        <v/>
      </c>
      <c r="H46" s="130"/>
      <c r="I46" s="131"/>
      <c r="J46" s="132"/>
      <c r="K46" s="131"/>
      <c r="L46" s="133" t="str">
        <f aca="false">IF(OR(C46="",I46="",J46="",K46=""),"",IFERROR(((I46*J46+K46)/C46)^(1/5)-1,"n/a"))</f>
        <v/>
      </c>
      <c r="M46" s="130"/>
      <c r="N46" s="131"/>
      <c r="O46" s="132"/>
      <c r="P46" s="131"/>
      <c r="Q46" s="133" t="str">
        <f aca="false">IF(OR(C46="",N46="",O46="",P46=""),"",IFERROR(((N46*O46+P46)/C46)^(1/5)-1,"n/a"))</f>
        <v/>
      </c>
      <c r="R46" s="130"/>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0"/>
      <c r="B47" s="130"/>
      <c r="C47" s="131"/>
      <c r="D47" s="131"/>
      <c r="E47" s="132"/>
      <c r="F47" s="131"/>
      <c r="G47" s="133" t="str">
        <f aca="false">IF(OR(C47="",D47="",E47="",F47=""),"",IFERROR(((D47*E47+F47)/C47)^(1/5)-1,"n/a"))</f>
        <v/>
      </c>
      <c r="H47" s="130"/>
      <c r="I47" s="131"/>
      <c r="J47" s="132"/>
      <c r="K47" s="131"/>
      <c r="L47" s="133" t="str">
        <f aca="false">IF(OR(C47="",I47="",J47="",K47=""),"",IFERROR(((I47*J47+K47)/C47)^(1/5)-1,"n/a"))</f>
        <v/>
      </c>
      <c r="M47" s="130"/>
      <c r="N47" s="131"/>
      <c r="O47" s="132"/>
      <c r="P47" s="131"/>
      <c r="Q47" s="133" t="str">
        <f aca="false">IF(OR(C47="",N47="",O47="",P47=""),"",IFERROR(((N47*O47+P47)/C47)^(1/5)-1,"n/a"))</f>
        <v/>
      </c>
      <c r="R47" s="130"/>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0"/>
      <c r="B48" s="130"/>
      <c r="C48" s="131"/>
      <c r="D48" s="131"/>
      <c r="E48" s="132"/>
      <c r="F48" s="131"/>
      <c r="G48" s="133" t="str">
        <f aca="false">IF(OR(C48="",D48="",E48="",F48=""),"",IFERROR(((D48*E48+F48)/C48)^(1/5)-1,"n/a"))</f>
        <v/>
      </c>
      <c r="H48" s="130"/>
      <c r="I48" s="131"/>
      <c r="J48" s="132"/>
      <c r="K48" s="131"/>
      <c r="L48" s="133" t="str">
        <f aca="false">IF(OR(C48="",I48="",J48="",K48=""),"",IFERROR(((I48*J48+K48)/C48)^(1/5)-1,"n/a"))</f>
        <v/>
      </c>
      <c r="M48" s="130"/>
      <c r="N48" s="131"/>
      <c r="O48" s="132"/>
      <c r="P48" s="131"/>
      <c r="Q48" s="133" t="str">
        <f aca="false">IF(OR(C48="",N48="",O48="",P48=""),"",IFERROR(((N48*O48+P48)/C48)^(1/5)-1,"n/a"))</f>
        <v/>
      </c>
      <c r="R48" s="130"/>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0"/>
      <c r="B49" s="130"/>
      <c r="C49" s="131"/>
      <c r="D49" s="131"/>
      <c r="E49" s="132"/>
      <c r="F49" s="131"/>
      <c r="G49" s="133" t="str">
        <f aca="false">IF(OR(C49="",D49="",E49="",F49=""),"",IFERROR(((D49*E49+F49)/C49)^(1/5)-1,"n/a"))</f>
        <v/>
      </c>
      <c r="H49" s="130"/>
      <c r="I49" s="131"/>
      <c r="J49" s="132"/>
      <c r="K49" s="131"/>
      <c r="L49" s="133" t="str">
        <f aca="false">IF(OR(C49="",I49="",J49="",K49=""),"",IFERROR(((I49*J49+K49)/C49)^(1/5)-1,"n/a"))</f>
        <v/>
      </c>
      <c r="M49" s="130"/>
      <c r="N49" s="131"/>
      <c r="O49" s="132"/>
      <c r="P49" s="131"/>
      <c r="Q49" s="133" t="str">
        <f aca="false">IF(OR(C49="",N49="",O49="",P49=""),"",IFERROR(((N49*O49+P49)/C49)^(1/5)-1,"n/a"))</f>
        <v/>
      </c>
      <c r="R49" s="130"/>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0"/>
      <c r="B50" s="130"/>
      <c r="C50" s="131"/>
      <c r="D50" s="131"/>
      <c r="E50" s="132"/>
      <c r="F50" s="131"/>
      <c r="G50" s="133" t="str">
        <f aca="false">IF(OR(C50="",D50="",E50="",F50=""),"",IFERROR(((D50*E50+F50)/C50)^(1/5)-1,"n/a"))</f>
        <v/>
      </c>
      <c r="H50" s="130"/>
      <c r="I50" s="131"/>
      <c r="J50" s="132"/>
      <c r="K50" s="131"/>
      <c r="L50" s="133" t="str">
        <f aca="false">IF(OR(C50="",I50="",J50="",K50=""),"",IFERROR(((I50*J50+K50)/C50)^(1/5)-1,"n/a"))</f>
        <v/>
      </c>
      <c r="M50" s="130"/>
      <c r="N50" s="131"/>
      <c r="O50" s="132"/>
      <c r="P50" s="131"/>
      <c r="Q50" s="133" t="str">
        <f aca="false">IF(OR(C50="",N50="",O50="",P50=""),"",IFERROR(((N50*O50+P50)/C50)^(1/5)-1,"n/a"))</f>
        <v/>
      </c>
      <c r="R50" s="130"/>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4" t="s">
        <v>485</v>
      </c>
      <c r="F2" s="134"/>
      <c r="G2" s="134"/>
      <c r="H2" s="134"/>
      <c r="I2" s="134"/>
      <c r="J2" s="134"/>
      <c r="K2" s="134"/>
      <c r="L2" s="134"/>
      <c r="M2" s="134"/>
      <c r="N2" s="134"/>
      <c r="O2" s="134"/>
      <c r="P2" s="134"/>
      <c r="Q2" s="134"/>
      <c r="R2" s="134"/>
      <c r="S2" s="134"/>
      <c r="T2" s="135" t="s">
        <v>486</v>
      </c>
      <c r="U2" s="135"/>
      <c r="V2" s="135"/>
      <c r="W2" s="135"/>
      <c r="X2" s="135"/>
      <c r="Y2" s="135"/>
      <c r="Z2" s="135"/>
    </row>
    <row r="3" customFormat="false" ht="54" hidden="false" customHeight="true" outlineLevel="0" collapsed="false">
      <c r="A3" s="136" t="s">
        <v>82</v>
      </c>
      <c r="B3" s="136" t="s">
        <v>274</v>
      </c>
      <c r="C3" s="136" t="s">
        <v>487</v>
      </c>
      <c r="D3" s="136" t="s">
        <v>488</v>
      </c>
      <c r="E3" s="136" t="s">
        <v>489</v>
      </c>
      <c r="F3" s="136" t="s">
        <v>490</v>
      </c>
      <c r="G3" s="136" t="s">
        <v>491</v>
      </c>
      <c r="H3" s="136" t="s">
        <v>492</v>
      </c>
      <c r="I3" s="136" t="s">
        <v>493</v>
      </c>
      <c r="J3" s="136" t="s">
        <v>491</v>
      </c>
      <c r="K3" s="136" t="s">
        <v>494</v>
      </c>
      <c r="L3" s="136" t="s">
        <v>495</v>
      </c>
      <c r="M3" s="136" t="s">
        <v>491</v>
      </c>
      <c r="N3" s="136" t="s">
        <v>496</v>
      </c>
      <c r="O3" s="136" t="s">
        <v>497</v>
      </c>
      <c r="P3" s="136" t="s">
        <v>491</v>
      </c>
      <c r="Q3" s="136" t="s">
        <v>498</v>
      </c>
      <c r="R3" s="136" t="s">
        <v>499</v>
      </c>
      <c r="S3" s="136" t="s">
        <v>491</v>
      </c>
      <c r="T3" s="136" t="s">
        <v>500</v>
      </c>
      <c r="U3" s="136" t="s">
        <v>501</v>
      </c>
      <c r="V3" s="136" t="s">
        <v>502</v>
      </c>
      <c r="W3" s="136" t="s">
        <v>503</v>
      </c>
      <c r="X3" s="136" t="s">
        <v>504</v>
      </c>
      <c r="Y3" s="136" t="s">
        <v>505</v>
      </c>
      <c r="Z3" s="136" t="s">
        <v>506</v>
      </c>
      <c r="AA3" s="136" t="s">
        <v>507</v>
      </c>
      <c r="AB3" s="136" t="s">
        <v>465</v>
      </c>
    </row>
    <row r="4" customFormat="false" ht="15" hidden="false" customHeight="true" outlineLevel="0" collapsed="false">
      <c r="A4" s="84"/>
      <c r="B4" s="84"/>
      <c r="C4" s="137"/>
      <c r="D4" s="137"/>
      <c r="E4" s="84"/>
      <c r="F4" s="84"/>
      <c r="G4" s="138" t="str">
        <f aca="false">IF(OR(E4="",F4=""),"",IF(AND(E4&lt;=2,F4&lt;=2),"TRIGGER","OK"))</f>
        <v/>
      </c>
      <c r="H4" s="84"/>
      <c r="I4" s="84"/>
      <c r="J4" s="138" t="str">
        <f aca="false">IF(OR(H4="",I4=""),"",IF(AND(H4&lt;=2,I4&lt;=2),"TRIGGER","OK"))</f>
        <v/>
      </c>
      <c r="K4" s="84"/>
      <c r="L4" s="84"/>
      <c r="M4" s="138" t="str">
        <f aca="false">IF(OR(K4="",L4=""),"",IF(AND(K4&lt;=2,L4&lt;=2),"TRIGGER","OK"))</f>
        <v/>
      </c>
      <c r="N4" s="84"/>
      <c r="O4" s="84"/>
      <c r="P4" s="138" t="str">
        <f aca="false">IF(OR(N4="",O4=""),"",IF(AND(N4&lt;=2,O4&lt;=2),"TRIGGER","OK"))</f>
        <v/>
      </c>
      <c r="Q4" s="84"/>
      <c r="R4" s="84"/>
      <c r="S4" s="138" t="str">
        <f aca="false">IF(OR(Q4="",R4=""),"",IF(AND(Q4&lt;=2,R4&lt;=2),"TRIGGER","OK"))</f>
        <v/>
      </c>
      <c r="T4" s="139"/>
      <c r="U4" s="139"/>
      <c r="V4" s="137"/>
      <c r="W4" s="137"/>
      <c r="X4" s="84"/>
      <c r="Y4" s="84"/>
      <c r="Z4" s="13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7"/>
      <c r="D5" s="137"/>
      <c r="E5" s="84"/>
      <c r="F5" s="84"/>
      <c r="G5" s="138" t="str">
        <f aca="false">IF(OR(E5="",F5=""),"",IF(AND(E5&lt;=2,F5&lt;=2),"TRIGGER","OK"))</f>
        <v/>
      </c>
      <c r="H5" s="84"/>
      <c r="I5" s="84"/>
      <c r="J5" s="138" t="str">
        <f aca="false">IF(OR(H5="",I5=""),"",IF(AND(H5&lt;=2,I5&lt;=2),"TRIGGER","OK"))</f>
        <v/>
      </c>
      <c r="K5" s="84"/>
      <c r="L5" s="84"/>
      <c r="M5" s="138" t="str">
        <f aca="false">IF(OR(K5="",L5=""),"",IF(AND(K5&lt;=2,L5&lt;=2),"TRIGGER","OK"))</f>
        <v/>
      </c>
      <c r="N5" s="84"/>
      <c r="O5" s="84"/>
      <c r="P5" s="138" t="str">
        <f aca="false">IF(OR(N5="",O5=""),"",IF(AND(N5&lt;=2,O5&lt;=2),"TRIGGER","OK"))</f>
        <v/>
      </c>
      <c r="Q5" s="84"/>
      <c r="R5" s="84"/>
      <c r="S5" s="138" t="str">
        <f aca="false">IF(OR(Q5="",R5=""),"",IF(AND(Q5&lt;=2,R5&lt;=2),"TRIGGER","OK"))</f>
        <v/>
      </c>
      <c r="T5" s="139"/>
      <c r="U5" s="139"/>
      <c r="V5" s="137"/>
      <c r="W5" s="137"/>
      <c r="X5" s="84"/>
      <c r="Y5" s="84"/>
      <c r="Z5" s="13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7"/>
      <c r="D6" s="137"/>
      <c r="E6" s="84"/>
      <c r="F6" s="84"/>
      <c r="G6" s="138" t="str">
        <f aca="false">IF(OR(E6="",F6=""),"",IF(AND(E6&lt;=2,F6&lt;=2),"TRIGGER","OK"))</f>
        <v/>
      </c>
      <c r="H6" s="84"/>
      <c r="I6" s="84"/>
      <c r="J6" s="138" t="str">
        <f aca="false">IF(OR(H6="",I6=""),"",IF(AND(H6&lt;=2,I6&lt;=2),"TRIGGER","OK"))</f>
        <v/>
      </c>
      <c r="K6" s="84"/>
      <c r="L6" s="84"/>
      <c r="M6" s="138" t="str">
        <f aca="false">IF(OR(K6="",L6=""),"",IF(AND(K6&lt;=2,L6&lt;=2),"TRIGGER","OK"))</f>
        <v/>
      </c>
      <c r="N6" s="84"/>
      <c r="O6" s="84"/>
      <c r="P6" s="138" t="str">
        <f aca="false">IF(OR(N6="",O6=""),"",IF(AND(N6&lt;=2,O6&lt;=2),"TRIGGER","OK"))</f>
        <v/>
      </c>
      <c r="Q6" s="84"/>
      <c r="R6" s="84"/>
      <c r="S6" s="138" t="str">
        <f aca="false">IF(OR(Q6="",R6=""),"",IF(AND(Q6&lt;=2,R6&lt;=2),"TRIGGER","OK"))</f>
        <v/>
      </c>
      <c r="T6" s="139"/>
      <c r="U6" s="139"/>
      <c r="V6" s="137"/>
      <c r="W6" s="137"/>
      <c r="X6" s="84"/>
      <c r="Y6" s="84"/>
      <c r="Z6" s="13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7"/>
      <c r="D7" s="137"/>
      <c r="E7" s="84"/>
      <c r="F7" s="84"/>
      <c r="G7" s="138" t="str">
        <f aca="false">IF(OR(E7="",F7=""),"",IF(AND(E7&lt;=2,F7&lt;=2),"TRIGGER","OK"))</f>
        <v/>
      </c>
      <c r="H7" s="84"/>
      <c r="I7" s="84"/>
      <c r="J7" s="138" t="str">
        <f aca="false">IF(OR(H7="",I7=""),"",IF(AND(H7&lt;=2,I7&lt;=2),"TRIGGER","OK"))</f>
        <v/>
      </c>
      <c r="K7" s="84"/>
      <c r="L7" s="84"/>
      <c r="M7" s="138" t="str">
        <f aca="false">IF(OR(K7="",L7=""),"",IF(AND(K7&lt;=2,L7&lt;=2),"TRIGGER","OK"))</f>
        <v/>
      </c>
      <c r="N7" s="84"/>
      <c r="O7" s="84"/>
      <c r="P7" s="138" t="str">
        <f aca="false">IF(OR(N7="",O7=""),"",IF(AND(N7&lt;=2,O7&lt;=2),"TRIGGER","OK"))</f>
        <v/>
      </c>
      <c r="Q7" s="84"/>
      <c r="R7" s="84"/>
      <c r="S7" s="138" t="str">
        <f aca="false">IF(OR(Q7="",R7=""),"",IF(AND(Q7&lt;=2,R7&lt;=2),"TRIGGER","OK"))</f>
        <v/>
      </c>
      <c r="T7" s="139"/>
      <c r="U7" s="139"/>
      <c r="V7" s="137"/>
      <c r="W7" s="137"/>
      <c r="X7" s="84"/>
      <c r="Y7" s="84"/>
      <c r="Z7" s="13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7"/>
      <c r="D8" s="137"/>
      <c r="E8" s="84"/>
      <c r="F8" s="84"/>
      <c r="G8" s="138" t="str">
        <f aca="false">IF(OR(E8="",F8=""),"",IF(AND(E8&lt;=2,F8&lt;=2),"TRIGGER","OK"))</f>
        <v/>
      </c>
      <c r="H8" s="84"/>
      <c r="I8" s="84"/>
      <c r="J8" s="138" t="str">
        <f aca="false">IF(OR(H8="",I8=""),"",IF(AND(H8&lt;=2,I8&lt;=2),"TRIGGER","OK"))</f>
        <v/>
      </c>
      <c r="K8" s="84"/>
      <c r="L8" s="84"/>
      <c r="M8" s="138" t="str">
        <f aca="false">IF(OR(K8="",L8=""),"",IF(AND(K8&lt;=2,L8&lt;=2),"TRIGGER","OK"))</f>
        <v/>
      </c>
      <c r="N8" s="84"/>
      <c r="O8" s="84"/>
      <c r="P8" s="138" t="str">
        <f aca="false">IF(OR(N8="",O8=""),"",IF(AND(N8&lt;=2,O8&lt;=2),"TRIGGER","OK"))</f>
        <v/>
      </c>
      <c r="Q8" s="84"/>
      <c r="R8" s="84"/>
      <c r="S8" s="138" t="str">
        <f aca="false">IF(OR(Q8="",R8=""),"",IF(AND(Q8&lt;=2,R8&lt;=2),"TRIGGER","OK"))</f>
        <v/>
      </c>
      <c r="T8" s="139"/>
      <c r="U8" s="139"/>
      <c r="V8" s="137"/>
      <c r="W8" s="137"/>
      <c r="X8" s="84"/>
      <c r="Y8" s="84"/>
      <c r="Z8" s="13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7"/>
      <c r="D9" s="137"/>
      <c r="E9" s="84"/>
      <c r="F9" s="84"/>
      <c r="G9" s="138" t="str">
        <f aca="false">IF(OR(E9="",F9=""),"",IF(AND(E9&lt;=2,F9&lt;=2),"TRIGGER","OK"))</f>
        <v/>
      </c>
      <c r="H9" s="84"/>
      <c r="I9" s="84"/>
      <c r="J9" s="138" t="str">
        <f aca="false">IF(OR(H9="",I9=""),"",IF(AND(H9&lt;=2,I9&lt;=2),"TRIGGER","OK"))</f>
        <v/>
      </c>
      <c r="K9" s="84"/>
      <c r="L9" s="84"/>
      <c r="M9" s="138" t="str">
        <f aca="false">IF(OR(K9="",L9=""),"",IF(AND(K9&lt;=2,L9&lt;=2),"TRIGGER","OK"))</f>
        <v/>
      </c>
      <c r="N9" s="84"/>
      <c r="O9" s="84"/>
      <c r="P9" s="138" t="str">
        <f aca="false">IF(OR(N9="",O9=""),"",IF(AND(N9&lt;=2,O9&lt;=2),"TRIGGER","OK"))</f>
        <v/>
      </c>
      <c r="Q9" s="84"/>
      <c r="R9" s="84"/>
      <c r="S9" s="138" t="str">
        <f aca="false">IF(OR(Q9="",R9=""),"",IF(AND(Q9&lt;=2,R9&lt;=2),"TRIGGER","OK"))</f>
        <v/>
      </c>
      <c r="T9" s="139"/>
      <c r="U9" s="139"/>
      <c r="V9" s="137"/>
      <c r="W9" s="137"/>
      <c r="X9" s="84"/>
      <c r="Y9" s="84"/>
      <c r="Z9" s="13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7"/>
      <c r="D10" s="137"/>
      <c r="E10" s="84"/>
      <c r="F10" s="84"/>
      <c r="G10" s="138" t="str">
        <f aca="false">IF(OR(E10="",F10=""),"",IF(AND(E10&lt;=2,F10&lt;=2),"TRIGGER","OK"))</f>
        <v/>
      </c>
      <c r="H10" s="84"/>
      <c r="I10" s="84"/>
      <c r="J10" s="138" t="str">
        <f aca="false">IF(OR(H10="",I10=""),"",IF(AND(H10&lt;=2,I10&lt;=2),"TRIGGER","OK"))</f>
        <v/>
      </c>
      <c r="K10" s="84"/>
      <c r="L10" s="84"/>
      <c r="M10" s="138" t="str">
        <f aca="false">IF(OR(K10="",L10=""),"",IF(AND(K10&lt;=2,L10&lt;=2),"TRIGGER","OK"))</f>
        <v/>
      </c>
      <c r="N10" s="84"/>
      <c r="O10" s="84"/>
      <c r="P10" s="138" t="str">
        <f aca="false">IF(OR(N10="",O10=""),"",IF(AND(N10&lt;=2,O10&lt;=2),"TRIGGER","OK"))</f>
        <v/>
      </c>
      <c r="Q10" s="84"/>
      <c r="R10" s="84"/>
      <c r="S10" s="138" t="str">
        <f aca="false">IF(OR(Q10="",R10=""),"",IF(AND(Q10&lt;=2,R10&lt;=2),"TRIGGER","OK"))</f>
        <v/>
      </c>
      <c r="T10" s="139"/>
      <c r="U10" s="139"/>
      <c r="V10" s="137"/>
      <c r="W10" s="137"/>
      <c r="X10" s="84"/>
      <c r="Y10" s="84"/>
      <c r="Z10" s="13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7"/>
      <c r="D11" s="137"/>
      <c r="E11" s="84"/>
      <c r="F11" s="84"/>
      <c r="G11" s="138" t="str">
        <f aca="false">IF(OR(E11="",F11=""),"",IF(AND(E11&lt;=2,F11&lt;=2),"TRIGGER","OK"))</f>
        <v/>
      </c>
      <c r="H11" s="84"/>
      <c r="I11" s="84"/>
      <c r="J11" s="138" t="str">
        <f aca="false">IF(OR(H11="",I11=""),"",IF(AND(H11&lt;=2,I11&lt;=2),"TRIGGER","OK"))</f>
        <v/>
      </c>
      <c r="K11" s="84"/>
      <c r="L11" s="84"/>
      <c r="M11" s="138" t="str">
        <f aca="false">IF(OR(K11="",L11=""),"",IF(AND(K11&lt;=2,L11&lt;=2),"TRIGGER","OK"))</f>
        <v/>
      </c>
      <c r="N11" s="84"/>
      <c r="O11" s="84"/>
      <c r="P11" s="138" t="str">
        <f aca="false">IF(OR(N11="",O11=""),"",IF(AND(N11&lt;=2,O11&lt;=2),"TRIGGER","OK"))</f>
        <v/>
      </c>
      <c r="Q11" s="84"/>
      <c r="R11" s="84"/>
      <c r="S11" s="138" t="str">
        <f aca="false">IF(OR(Q11="",R11=""),"",IF(AND(Q11&lt;=2,R11&lt;=2),"TRIGGER","OK"))</f>
        <v/>
      </c>
      <c r="T11" s="139"/>
      <c r="U11" s="139"/>
      <c r="V11" s="137"/>
      <c r="W11" s="137"/>
      <c r="X11" s="84"/>
      <c r="Y11" s="84"/>
      <c r="Z11" s="13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7"/>
      <c r="D12" s="137"/>
      <c r="E12" s="84"/>
      <c r="F12" s="84"/>
      <c r="G12" s="138" t="str">
        <f aca="false">IF(OR(E12="",F12=""),"",IF(AND(E12&lt;=2,F12&lt;=2),"TRIGGER","OK"))</f>
        <v/>
      </c>
      <c r="H12" s="84"/>
      <c r="I12" s="84"/>
      <c r="J12" s="138" t="str">
        <f aca="false">IF(OR(H12="",I12=""),"",IF(AND(H12&lt;=2,I12&lt;=2),"TRIGGER","OK"))</f>
        <v/>
      </c>
      <c r="K12" s="84"/>
      <c r="L12" s="84"/>
      <c r="M12" s="138" t="str">
        <f aca="false">IF(OR(K12="",L12=""),"",IF(AND(K12&lt;=2,L12&lt;=2),"TRIGGER","OK"))</f>
        <v/>
      </c>
      <c r="N12" s="84"/>
      <c r="O12" s="84"/>
      <c r="P12" s="138" t="str">
        <f aca="false">IF(OR(N12="",O12=""),"",IF(AND(N12&lt;=2,O12&lt;=2),"TRIGGER","OK"))</f>
        <v/>
      </c>
      <c r="Q12" s="84"/>
      <c r="R12" s="84"/>
      <c r="S12" s="138" t="str">
        <f aca="false">IF(OR(Q12="",R12=""),"",IF(AND(Q12&lt;=2,R12&lt;=2),"TRIGGER","OK"))</f>
        <v/>
      </c>
      <c r="T12" s="139"/>
      <c r="U12" s="139"/>
      <c r="V12" s="137"/>
      <c r="W12" s="137"/>
      <c r="X12" s="84"/>
      <c r="Y12" s="84"/>
      <c r="Z12" s="13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7"/>
      <c r="D13" s="137"/>
      <c r="E13" s="84"/>
      <c r="F13" s="84"/>
      <c r="G13" s="138" t="str">
        <f aca="false">IF(OR(E13="",F13=""),"",IF(AND(E13&lt;=2,F13&lt;=2),"TRIGGER","OK"))</f>
        <v/>
      </c>
      <c r="H13" s="84"/>
      <c r="I13" s="84"/>
      <c r="J13" s="138" t="str">
        <f aca="false">IF(OR(H13="",I13=""),"",IF(AND(H13&lt;=2,I13&lt;=2),"TRIGGER","OK"))</f>
        <v/>
      </c>
      <c r="K13" s="84"/>
      <c r="L13" s="84"/>
      <c r="M13" s="138" t="str">
        <f aca="false">IF(OR(K13="",L13=""),"",IF(AND(K13&lt;=2,L13&lt;=2),"TRIGGER","OK"))</f>
        <v/>
      </c>
      <c r="N13" s="84"/>
      <c r="O13" s="84"/>
      <c r="P13" s="138" t="str">
        <f aca="false">IF(OR(N13="",O13=""),"",IF(AND(N13&lt;=2,O13&lt;=2),"TRIGGER","OK"))</f>
        <v/>
      </c>
      <c r="Q13" s="84"/>
      <c r="R13" s="84"/>
      <c r="S13" s="138" t="str">
        <f aca="false">IF(OR(Q13="",R13=""),"",IF(AND(Q13&lt;=2,R13&lt;=2),"TRIGGER","OK"))</f>
        <v/>
      </c>
      <c r="T13" s="139"/>
      <c r="U13" s="139"/>
      <c r="V13" s="137"/>
      <c r="W13" s="137"/>
      <c r="X13" s="84"/>
      <c r="Y13" s="84"/>
      <c r="Z13" s="13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7"/>
      <c r="D14" s="137"/>
      <c r="E14" s="84"/>
      <c r="F14" s="84"/>
      <c r="G14" s="138" t="str">
        <f aca="false">IF(OR(E14="",F14=""),"",IF(AND(E14&lt;=2,F14&lt;=2),"TRIGGER","OK"))</f>
        <v/>
      </c>
      <c r="H14" s="84"/>
      <c r="I14" s="84"/>
      <c r="J14" s="138" t="str">
        <f aca="false">IF(OR(H14="",I14=""),"",IF(AND(H14&lt;=2,I14&lt;=2),"TRIGGER","OK"))</f>
        <v/>
      </c>
      <c r="K14" s="84"/>
      <c r="L14" s="84"/>
      <c r="M14" s="138" t="str">
        <f aca="false">IF(OR(K14="",L14=""),"",IF(AND(K14&lt;=2,L14&lt;=2),"TRIGGER","OK"))</f>
        <v/>
      </c>
      <c r="N14" s="84"/>
      <c r="O14" s="84"/>
      <c r="P14" s="138" t="str">
        <f aca="false">IF(OR(N14="",O14=""),"",IF(AND(N14&lt;=2,O14&lt;=2),"TRIGGER","OK"))</f>
        <v/>
      </c>
      <c r="Q14" s="84"/>
      <c r="R14" s="84"/>
      <c r="S14" s="138" t="str">
        <f aca="false">IF(OR(Q14="",R14=""),"",IF(AND(Q14&lt;=2,R14&lt;=2),"TRIGGER","OK"))</f>
        <v/>
      </c>
      <c r="T14" s="139"/>
      <c r="U14" s="139"/>
      <c r="V14" s="137"/>
      <c r="W14" s="137"/>
      <c r="X14" s="84"/>
      <c r="Y14" s="84"/>
      <c r="Z14" s="13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7"/>
      <c r="D15" s="137"/>
      <c r="E15" s="84"/>
      <c r="F15" s="84"/>
      <c r="G15" s="138" t="str">
        <f aca="false">IF(OR(E15="",F15=""),"",IF(AND(E15&lt;=2,F15&lt;=2),"TRIGGER","OK"))</f>
        <v/>
      </c>
      <c r="H15" s="84"/>
      <c r="I15" s="84"/>
      <c r="J15" s="138" t="str">
        <f aca="false">IF(OR(H15="",I15=""),"",IF(AND(H15&lt;=2,I15&lt;=2),"TRIGGER","OK"))</f>
        <v/>
      </c>
      <c r="K15" s="84"/>
      <c r="L15" s="84"/>
      <c r="M15" s="138" t="str">
        <f aca="false">IF(OR(K15="",L15=""),"",IF(AND(K15&lt;=2,L15&lt;=2),"TRIGGER","OK"))</f>
        <v/>
      </c>
      <c r="N15" s="84"/>
      <c r="O15" s="84"/>
      <c r="P15" s="138" t="str">
        <f aca="false">IF(OR(N15="",O15=""),"",IF(AND(N15&lt;=2,O15&lt;=2),"TRIGGER","OK"))</f>
        <v/>
      </c>
      <c r="Q15" s="84"/>
      <c r="R15" s="84"/>
      <c r="S15" s="138" t="str">
        <f aca="false">IF(OR(Q15="",R15=""),"",IF(AND(Q15&lt;=2,R15&lt;=2),"TRIGGER","OK"))</f>
        <v/>
      </c>
      <c r="T15" s="139"/>
      <c r="U15" s="139"/>
      <c r="V15" s="137"/>
      <c r="W15" s="137"/>
      <c r="X15" s="84"/>
      <c r="Y15" s="84"/>
      <c r="Z15" s="13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7"/>
      <c r="D16" s="137"/>
      <c r="E16" s="84"/>
      <c r="F16" s="84"/>
      <c r="G16" s="138" t="str">
        <f aca="false">IF(OR(E16="",F16=""),"",IF(AND(E16&lt;=2,F16&lt;=2),"TRIGGER","OK"))</f>
        <v/>
      </c>
      <c r="H16" s="84"/>
      <c r="I16" s="84"/>
      <c r="J16" s="138" t="str">
        <f aca="false">IF(OR(H16="",I16=""),"",IF(AND(H16&lt;=2,I16&lt;=2),"TRIGGER","OK"))</f>
        <v/>
      </c>
      <c r="K16" s="84"/>
      <c r="L16" s="84"/>
      <c r="M16" s="138" t="str">
        <f aca="false">IF(OR(K16="",L16=""),"",IF(AND(K16&lt;=2,L16&lt;=2),"TRIGGER","OK"))</f>
        <v/>
      </c>
      <c r="N16" s="84"/>
      <c r="O16" s="84"/>
      <c r="P16" s="138" t="str">
        <f aca="false">IF(OR(N16="",O16=""),"",IF(AND(N16&lt;=2,O16&lt;=2),"TRIGGER","OK"))</f>
        <v/>
      </c>
      <c r="Q16" s="84"/>
      <c r="R16" s="84"/>
      <c r="S16" s="138" t="str">
        <f aca="false">IF(OR(Q16="",R16=""),"",IF(AND(Q16&lt;=2,R16&lt;=2),"TRIGGER","OK"))</f>
        <v/>
      </c>
      <c r="T16" s="139"/>
      <c r="U16" s="139"/>
      <c r="V16" s="137"/>
      <c r="W16" s="137"/>
      <c r="X16" s="84"/>
      <c r="Y16" s="84"/>
      <c r="Z16" s="13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7"/>
      <c r="D17" s="137"/>
      <c r="E17" s="84"/>
      <c r="F17" s="84"/>
      <c r="G17" s="138" t="str">
        <f aca="false">IF(OR(E17="",F17=""),"",IF(AND(E17&lt;=2,F17&lt;=2),"TRIGGER","OK"))</f>
        <v/>
      </c>
      <c r="H17" s="84"/>
      <c r="I17" s="84"/>
      <c r="J17" s="138" t="str">
        <f aca="false">IF(OR(H17="",I17=""),"",IF(AND(H17&lt;=2,I17&lt;=2),"TRIGGER","OK"))</f>
        <v/>
      </c>
      <c r="K17" s="84"/>
      <c r="L17" s="84"/>
      <c r="M17" s="138" t="str">
        <f aca="false">IF(OR(K17="",L17=""),"",IF(AND(K17&lt;=2,L17&lt;=2),"TRIGGER","OK"))</f>
        <v/>
      </c>
      <c r="N17" s="84"/>
      <c r="O17" s="84"/>
      <c r="P17" s="138" t="str">
        <f aca="false">IF(OR(N17="",O17=""),"",IF(AND(N17&lt;=2,O17&lt;=2),"TRIGGER","OK"))</f>
        <v/>
      </c>
      <c r="Q17" s="84"/>
      <c r="R17" s="84"/>
      <c r="S17" s="138" t="str">
        <f aca="false">IF(OR(Q17="",R17=""),"",IF(AND(Q17&lt;=2,R17&lt;=2),"TRIGGER","OK"))</f>
        <v/>
      </c>
      <c r="T17" s="139"/>
      <c r="U17" s="139"/>
      <c r="V17" s="137"/>
      <c r="W17" s="137"/>
      <c r="X17" s="84"/>
      <c r="Y17" s="84"/>
      <c r="Z17" s="13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7"/>
      <c r="D18" s="137"/>
      <c r="E18" s="84"/>
      <c r="F18" s="84"/>
      <c r="G18" s="138" t="str">
        <f aca="false">IF(OR(E18="",F18=""),"",IF(AND(E18&lt;=2,F18&lt;=2),"TRIGGER","OK"))</f>
        <v/>
      </c>
      <c r="H18" s="84"/>
      <c r="I18" s="84"/>
      <c r="J18" s="138" t="str">
        <f aca="false">IF(OR(H18="",I18=""),"",IF(AND(H18&lt;=2,I18&lt;=2),"TRIGGER","OK"))</f>
        <v/>
      </c>
      <c r="K18" s="84"/>
      <c r="L18" s="84"/>
      <c r="M18" s="138" t="str">
        <f aca="false">IF(OR(K18="",L18=""),"",IF(AND(K18&lt;=2,L18&lt;=2),"TRIGGER","OK"))</f>
        <v/>
      </c>
      <c r="N18" s="84"/>
      <c r="O18" s="84"/>
      <c r="P18" s="138" t="str">
        <f aca="false">IF(OR(N18="",O18=""),"",IF(AND(N18&lt;=2,O18&lt;=2),"TRIGGER","OK"))</f>
        <v/>
      </c>
      <c r="Q18" s="84"/>
      <c r="R18" s="84"/>
      <c r="S18" s="138" t="str">
        <f aca="false">IF(OR(Q18="",R18=""),"",IF(AND(Q18&lt;=2,R18&lt;=2),"TRIGGER","OK"))</f>
        <v/>
      </c>
      <c r="T18" s="139"/>
      <c r="U18" s="139"/>
      <c r="V18" s="137"/>
      <c r="W18" s="137"/>
      <c r="X18" s="84"/>
      <c r="Y18" s="84"/>
      <c r="Z18" s="13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7"/>
      <c r="D19" s="137"/>
      <c r="E19" s="84"/>
      <c r="F19" s="84"/>
      <c r="G19" s="138" t="str">
        <f aca="false">IF(OR(E19="",F19=""),"",IF(AND(E19&lt;=2,F19&lt;=2),"TRIGGER","OK"))</f>
        <v/>
      </c>
      <c r="H19" s="84"/>
      <c r="I19" s="84"/>
      <c r="J19" s="138" t="str">
        <f aca="false">IF(OR(H19="",I19=""),"",IF(AND(H19&lt;=2,I19&lt;=2),"TRIGGER","OK"))</f>
        <v/>
      </c>
      <c r="K19" s="84"/>
      <c r="L19" s="84"/>
      <c r="M19" s="138" t="str">
        <f aca="false">IF(OR(K19="",L19=""),"",IF(AND(K19&lt;=2,L19&lt;=2),"TRIGGER","OK"))</f>
        <v/>
      </c>
      <c r="N19" s="84"/>
      <c r="O19" s="84"/>
      <c r="P19" s="138" t="str">
        <f aca="false">IF(OR(N19="",O19=""),"",IF(AND(N19&lt;=2,O19&lt;=2),"TRIGGER","OK"))</f>
        <v/>
      </c>
      <c r="Q19" s="84"/>
      <c r="R19" s="84"/>
      <c r="S19" s="138" t="str">
        <f aca="false">IF(OR(Q19="",R19=""),"",IF(AND(Q19&lt;=2,R19&lt;=2),"TRIGGER","OK"))</f>
        <v/>
      </c>
      <c r="T19" s="139"/>
      <c r="U19" s="139"/>
      <c r="V19" s="137"/>
      <c r="W19" s="137"/>
      <c r="X19" s="84"/>
      <c r="Y19" s="84"/>
      <c r="Z19" s="13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7"/>
      <c r="D20" s="137"/>
      <c r="E20" s="84"/>
      <c r="F20" s="84"/>
      <c r="G20" s="138" t="str">
        <f aca="false">IF(OR(E20="",F20=""),"",IF(AND(E20&lt;=2,F20&lt;=2),"TRIGGER","OK"))</f>
        <v/>
      </c>
      <c r="H20" s="84"/>
      <c r="I20" s="84"/>
      <c r="J20" s="138" t="str">
        <f aca="false">IF(OR(H20="",I20=""),"",IF(AND(H20&lt;=2,I20&lt;=2),"TRIGGER","OK"))</f>
        <v/>
      </c>
      <c r="K20" s="84"/>
      <c r="L20" s="84"/>
      <c r="M20" s="138" t="str">
        <f aca="false">IF(OR(K20="",L20=""),"",IF(AND(K20&lt;=2,L20&lt;=2),"TRIGGER","OK"))</f>
        <v/>
      </c>
      <c r="N20" s="84"/>
      <c r="O20" s="84"/>
      <c r="P20" s="138" t="str">
        <f aca="false">IF(OR(N20="",O20=""),"",IF(AND(N20&lt;=2,O20&lt;=2),"TRIGGER","OK"))</f>
        <v/>
      </c>
      <c r="Q20" s="84"/>
      <c r="R20" s="84"/>
      <c r="S20" s="138" t="str">
        <f aca="false">IF(OR(Q20="",R20=""),"",IF(AND(Q20&lt;=2,R20&lt;=2),"TRIGGER","OK"))</f>
        <v/>
      </c>
      <c r="T20" s="139"/>
      <c r="U20" s="139"/>
      <c r="V20" s="137"/>
      <c r="W20" s="137"/>
      <c r="X20" s="84"/>
      <c r="Y20" s="84"/>
      <c r="Z20" s="13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7"/>
      <c r="D21" s="137"/>
      <c r="E21" s="84"/>
      <c r="F21" s="84"/>
      <c r="G21" s="138" t="str">
        <f aca="false">IF(OR(E21="",F21=""),"",IF(AND(E21&lt;=2,F21&lt;=2),"TRIGGER","OK"))</f>
        <v/>
      </c>
      <c r="H21" s="84"/>
      <c r="I21" s="84"/>
      <c r="J21" s="138" t="str">
        <f aca="false">IF(OR(H21="",I21=""),"",IF(AND(H21&lt;=2,I21&lt;=2),"TRIGGER","OK"))</f>
        <v/>
      </c>
      <c r="K21" s="84"/>
      <c r="L21" s="84"/>
      <c r="M21" s="138" t="str">
        <f aca="false">IF(OR(K21="",L21=""),"",IF(AND(K21&lt;=2,L21&lt;=2),"TRIGGER","OK"))</f>
        <v/>
      </c>
      <c r="N21" s="84"/>
      <c r="O21" s="84"/>
      <c r="P21" s="138" t="str">
        <f aca="false">IF(OR(N21="",O21=""),"",IF(AND(N21&lt;=2,O21&lt;=2),"TRIGGER","OK"))</f>
        <v/>
      </c>
      <c r="Q21" s="84"/>
      <c r="R21" s="84"/>
      <c r="S21" s="138" t="str">
        <f aca="false">IF(OR(Q21="",R21=""),"",IF(AND(Q21&lt;=2,R21&lt;=2),"TRIGGER","OK"))</f>
        <v/>
      </c>
      <c r="T21" s="139"/>
      <c r="U21" s="139"/>
      <c r="V21" s="137"/>
      <c r="W21" s="137"/>
      <c r="X21" s="84"/>
      <c r="Y21" s="84"/>
      <c r="Z21" s="13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7"/>
      <c r="D22" s="137"/>
      <c r="E22" s="84"/>
      <c r="F22" s="84"/>
      <c r="G22" s="138" t="str">
        <f aca="false">IF(OR(E22="",F22=""),"",IF(AND(E22&lt;=2,F22&lt;=2),"TRIGGER","OK"))</f>
        <v/>
      </c>
      <c r="H22" s="84"/>
      <c r="I22" s="84"/>
      <c r="J22" s="138" t="str">
        <f aca="false">IF(OR(H22="",I22=""),"",IF(AND(H22&lt;=2,I22&lt;=2),"TRIGGER","OK"))</f>
        <v/>
      </c>
      <c r="K22" s="84"/>
      <c r="L22" s="84"/>
      <c r="M22" s="138" t="str">
        <f aca="false">IF(OR(K22="",L22=""),"",IF(AND(K22&lt;=2,L22&lt;=2),"TRIGGER","OK"))</f>
        <v/>
      </c>
      <c r="N22" s="84"/>
      <c r="O22" s="84"/>
      <c r="P22" s="138" t="str">
        <f aca="false">IF(OR(N22="",O22=""),"",IF(AND(N22&lt;=2,O22&lt;=2),"TRIGGER","OK"))</f>
        <v/>
      </c>
      <c r="Q22" s="84"/>
      <c r="R22" s="84"/>
      <c r="S22" s="138" t="str">
        <f aca="false">IF(OR(Q22="",R22=""),"",IF(AND(Q22&lt;=2,R22&lt;=2),"TRIGGER","OK"))</f>
        <v/>
      </c>
      <c r="T22" s="139"/>
      <c r="U22" s="139"/>
      <c r="V22" s="137"/>
      <c r="W22" s="137"/>
      <c r="X22" s="84"/>
      <c r="Y22" s="84"/>
      <c r="Z22" s="13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7"/>
      <c r="D23" s="137"/>
      <c r="E23" s="84"/>
      <c r="F23" s="84"/>
      <c r="G23" s="138" t="str">
        <f aca="false">IF(OR(E23="",F23=""),"",IF(AND(E23&lt;=2,F23&lt;=2),"TRIGGER","OK"))</f>
        <v/>
      </c>
      <c r="H23" s="84"/>
      <c r="I23" s="84"/>
      <c r="J23" s="138" t="str">
        <f aca="false">IF(OR(H23="",I23=""),"",IF(AND(H23&lt;=2,I23&lt;=2),"TRIGGER","OK"))</f>
        <v/>
      </c>
      <c r="K23" s="84"/>
      <c r="L23" s="84"/>
      <c r="M23" s="138" t="str">
        <f aca="false">IF(OR(K23="",L23=""),"",IF(AND(K23&lt;=2,L23&lt;=2),"TRIGGER","OK"))</f>
        <v/>
      </c>
      <c r="N23" s="84"/>
      <c r="O23" s="84"/>
      <c r="P23" s="138" t="str">
        <f aca="false">IF(OR(N23="",O23=""),"",IF(AND(N23&lt;=2,O23&lt;=2),"TRIGGER","OK"))</f>
        <v/>
      </c>
      <c r="Q23" s="84"/>
      <c r="R23" s="84"/>
      <c r="S23" s="138" t="str">
        <f aca="false">IF(OR(Q23="",R23=""),"",IF(AND(Q23&lt;=2,R23&lt;=2),"TRIGGER","OK"))</f>
        <v/>
      </c>
      <c r="T23" s="139"/>
      <c r="U23" s="139"/>
      <c r="V23" s="137"/>
      <c r="W23" s="137"/>
      <c r="X23" s="84"/>
      <c r="Y23" s="84"/>
      <c r="Z23" s="13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2" t="s">
        <v>508</v>
      </c>
      <c r="B1" s="122"/>
      <c r="C1" s="122"/>
      <c r="D1" s="122"/>
      <c r="E1" s="122"/>
      <c r="F1" s="122"/>
      <c r="G1" s="122"/>
      <c r="H1" s="122"/>
      <c r="I1" s="122"/>
      <c r="J1" s="122"/>
      <c r="K1" s="122"/>
      <c r="L1" s="122"/>
      <c r="M1" s="122"/>
      <c r="N1" s="122"/>
      <c r="O1" s="122"/>
      <c r="P1" s="122"/>
      <c r="Q1" s="122"/>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0" t="s">
        <v>96</v>
      </c>
      <c r="B3" s="84" t="s">
        <v>97</v>
      </c>
      <c r="C3" s="141" t="n">
        <v>46241</v>
      </c>
      <c r="D3" s="142" t="n">
        <v>266.38</v>
      </c>
      <c r="E3" s="84" t="n">
        <v>85.8</v>
      </c>
      <c r="F3" s="84" t="s">
        <v>325</v>
      </c>
      <c r="G3" s="84" t="s">
        <v>523</v>
      </c>
      <c r="H3" s="142" t="n">
        <v>773.26</v>
      </c>
      <c r="I3" s="84" t="s">
        <v>524</v>
      </c>
      <c r="J3" s="141"/>
      <c r="K3" s="142"/>
      <c r="L3" s="84"/>
      <c r="M3" s="142" t="n">
        <v>259.32</v>
      </c>
      <c r="N3" s="142" t="n">
        <v>765.04</v>
      </c>
      <c r="O3" s="143" t="n">
        <f aca="false">IF(OR(D3="",M3=""),"",M3/D3-1)</f>
        <v>-0.026503491253097</v>
      </c>
      <c r="P3" s="144" t="n">
        <f aca="false">IF(OR(H3="",N3=""),"",N3/H3-1)</f>
        <v>-0.0106303183922614</v>
      </c>
      <c r="Q3" s="143" t="n">
        <f aca="false">IF(OR(O3="",P3=""),"",O3-P3)</f>
        <v>-0.0158731728608357</v>
      </c>
    </row>
    <row r="4" customFormat="false" ht="15" hidden="false" customHeight="true" outlineLevel="0" collapsed="false">
      <c r="A4" s="140" t="s">
        <v>162</v>
      </c>
      <c r="B4" s="84" t="s">
        <v>163</v>
      </c>
      <c r="C4" s="141" t="n">
        <v>46241</v>
      </c>
      <c r="D4" s="142" t="n">
        <v>488.77</v>
      </c>
      <c r="E4" s="84" t="n">
        <v>75.6</v>
      </c>
      <c r="F4" s="84" t="s">
        <v>325</v>
      </c>
      <c r="G4" s="84" t="s">
        <v>525</v>
      </c>
      <c r="H4" s="142" t="n">
        <v>773.26</v>
      </c>
      <c r="I4" s="84" t="s">
        <v>524</v>
      </c>
      <c r="J4" s="141"/>
      <c r="K4" s="142"/>
      <c r="L4" s="84"/>
      <c r="M4" s="142" t="n">
        <v>478.7</v>
      </c>
      <c r="N4" s="142" t="n">
        <v>765.04</v>
      </c>
      <c r="O4" s="143" t="n">
        <f aca="false">IF(OR(D4="",M4=""),"",M4/D4-1)</f>
        <v>-0.0206027374838881</v>
      </c>
      <c r="P4" s="144" t="n">
        <f aca="false">IF(OR(H4="",N4=""),"",N4/H4-1)</f>
        <v>-0.0106303183922614</v>
      </c>
      <c r="Q4" s="143" t="n">
        <f aca="false">IF(OR(O4="",P4=""),"",O4-P4)</f>
        <v>-0.00997241909162672</v>
      </c>
    </row>
    <row r="5" customFormat="false" ht="15" hidden="false" customHeight="true" outlineLevel="0" collapsed="false">
      <c r="A5" s="140" t="s">
        <v>165</v>
      </c>
      <c r="B5" s="84" t="s">
        <v>331</v>
      </c>
      <c r="C5" s="141" t="n">
        <v>46241</v>
      </c>
      <c r="D5" s="142" t="n">
        <v>139.92</v>
      </c>
      <c r="E5" s="84" t="n">
        <v>82</v>
      </c>
      <c r="F5" s="84" t="s">
        <v>325</v>
      </c>
      <c r="G5" s="84" t="s">
        <v>523</v>
      </c>
      <c r="H5" s="142" t="n">
        <v>773.26</v>
      </c>
      <c r="I5" s="84" t="s">
        <v>524</v>
      </c>
      <c r="J5" s="141"/>
      <c r="K5" s="142"/>
      <c r="L5" s="84"/>
      <c r="M5" s="142" t="n">
        <v>139.06</v>
      </c>
      <c r="N5" s="142" t="n">
        <v>765.04</v>
      </c>
      <c r="O5" s="143" t="n">
        <f aca="false">IF(OR(D5="",M5=""),"",M5/D5-1)</f>
        <v>-0.00614636935391644</v>
      </c>
      <c r="P5" s="144" t="n">
        <f aca="false">IF(OR(H5="",N5=""),"",N5/H5-1)</f>
        <v>-0.0106303183922614</v>
      </c>
      <c r="Q5" s="143" t="n">
        <f aca="false">IF(OR(O5="",P5=""),"",O5-P5)</f>
        <v>0.00448394903834493</v>
      </c>
    </row>
    <row r="6" customFormat="false" ht="15" hidden="false" customHeight="true" outlineLevel="0" collapsed="false">
      <c r="A6" s="140" t="s">
        <v>119</v>
      </c>
      <c r="B6" s="84" t="s">
        <v>120</v>
      </c>
      <c r="C6" s="141" t="n">
        <v>46273</v>
      </c>
      <c r="D6" s="142" t="n">
        <v>368.97</v>
      </c>
      <c r="E6" s="84" t="n">
        <v>86.4</v>
      </c>
      <c r="F6" s="84" t="s">
        <v>325</v>
      </c>
      <c r="G6" s="84" t="s">
        <v>523</v>
      </c>
      <c r="H6" s="142" t="n">
        <v>767.53</v>
      </c>
      <c r="I6" s="84" t="s">
        <v>524</v>
      </c>
      <c r="J6" s="141"/>
      <c r="K6" s="142"/>
      <c r="L6" s="84"/>
      <c r="M6" s="142" t="n">
        <v>367.68</v>
      </c>
      <c r="N6" s="142" t="n">
        <v>767.53</v>
      </c>
      <c r="O6" s="143" t="n">
        <f aca="false">IF(OR(D6="",M6=""),"",M6/D6-1)</f>
        <v>-0.00349621920481347</v>
      </c>
      <c r="P6" s="144" t="n">
        <f aca="false">IF(OR(H6="",N6=""),"",N6/H6-1)</f>
        <v>0</v>
      </c>
      <c r="Q6" s="143" t="n">
        <f aca="false">IF(OR(O6="",P6=""),"",O6-P6)</f>
        <v>-0.00349621920481347</v>
      </c>
    </row>
    <row r="7" customFormat="false" ht="15" hidden="false" customHeight="true" outlineLevel="0" collapsed="false">
      <c r="A7" s="140"/>
      <c r="B7" s="84"/>
      <c r="C7" s="141"/>
      <c r="D7" s="142"/>
      <c r="E7" s="84"/>
      <c r="F7" s="84"/>
      <c r="G7" s="84"/>
      <c r="H7" s="142"/>
      <c r="I7" s="84"/>
      <c r="J7" s="141"/>
      <c r="K7" s="142"/>
      <c r="L7" s="84"/>
      <c r="M7" s="142"/>
      <c r="N7" s="142"/>
      <c r="O7" s="143" t="str">
        <f aca="false">IF(OR(D7="",M7=""),"",M7/D7-1)</f>
        <v/>
      </c>
      <c r="P7" s="144" t="str">
        <f aca="false">IF(OR(H7="",N7=""),"",N7/H7-1)</f>
        <v/>
      </c>
      <c r="Q7" s="143" t="str">
        <f aca="false">IF(OR(O7="",P7=""),"",O7-P7)</f>
        <v/>
      </c>
    </row>
    <row r="8" customFormat="false" ht="15" hidden="false" customHeight="true" outlineLevel="0" collapsed="false">
      <c r="A8" s="140"/>
      <c r="B8" s="84"/>
      <c r="C8" s="141"/>
      <c r="D8" s="142"/>
      <c r="E8" s="84"/>
      <c r="F8" s="84"/>
      <c r="G8" s="84"/>
      <c r="H8" s="142"/>
      <c r="I8" s="84"/>
      <c r="J8" s="141"/>
      <c r="K8" s="142"/>
      <c r="L8" s="84"/>
      <c r="M8" s="142"/>
      <c r="N8" s="142"/>
      <c r="O8" s="143" t="str">
        <f aca="false">IF(OR(D8="",M8=""),"",M8/D8-1)</f>
        <v/>
      </c>
      <c r="P8" s="144" t="str">
        <f aca="false">IF(OR(H8="",N8=""),"",N8/H8-1)</f>
        <v/>
      </c>
      <c r="Q8" s="143" t="str">
        <f aca="false">IF(OR(O8="",P8=""),"",O8-P8)</f>
        <v/>
      </c>
    </row>
    <row r="9" customFormat="false" ht="15" hidden="false" customHeight="true" outlineLevel="0" collapsed="false">
      <c r="A9" s="140"/>
      <c r="B9" s="84"/>
      <c r="C9" s="141"/>
      <c r="D9" s="142"/>
      <c r="E9" s="84"/>
      <c r="F9" s="84"/>
      <c r="G9" s="84"/>
      <c r="H9" s="142"/>
      <c r="I9" s="84"/>
      <c r="J9" s="141"/>
      <c r="K9" s="142"/>
      <c r="L9" s="84"/>
      <c r="M9" s="142"/>
      <c r="N9" s="142"/>
      <c r="O9" s="143" t="str">
        <f aca="false">IF(OR(D9="",M9=""),"",M9/D9-1)</f>
        <v/>
      </c>
      <c r="P9" s="144" t="str">
        <f aca="false">IF(OR(H9="",N9=""),"",N9/H9-1)</f>
        <v/>
      </c>
      <c r="Q9" s="143" t="str">
        <f aca="false">IF(OR(O9="",P9=""),"",O9-P9)</f>
        <v/>
      </c>
    </row>
    <row r="10" customFormat="false" ht="15" hidden="false" customHeight="true" outlineLevel="0" collapsed="false">
      <c r="A10" s="140"/>
      <c r="B10" s="84"/>
      <c r="C10" s="141"/>
      <c r="D10" s="142"/>
      <c r="E10" s="84"/>
      <c r="F10" s="84"/>
      <c r="G10" s="84"/>
      <c r="H10" s="142"/>
      <c r="I10" s="84"/>
      <c r="J10" s="141"/>
      <c r="K10" s="142"/>
      <c r="L10" s="84"/>
      <c r="M10" s="142"/>
      <c r="N10" s="142"/>
      <c r="O10" s="143" t="str">
        <f aca="false">IF(OR(D10="",M10=""),"",M10/D10-1)</f>
        <v/>
      </c>
      <c r="P10" s="144" t="str">
        <f aca="false">IF(OR(H10="",N10=""),"",N10/H10-1)</f>
        <v/>
      </c>
      <c r="Q10" s="143" t="str">
        <f aca="false">IF(OR(O10="",P10=""),"",O10-P10)</f>
        <v/>
      </c>
    </row>
    <row r="11" customFormat="false" ht="15" hidden="false" customHeight="true" outlineLevel="0" collapsed="false">
      <c r="A11" s="140"/>
      <c r="B11" s="84"/>
      <c r="C11" s="141"/>
      <c r="D11" s="142"/>
      <c r="E11" s="84"/>
      <c r="F11" s="84"/>
      <c r="G11" s="84"/>
      <c r="H11" s="142"/>
      <c r="I11" s="84"/>
      <c r="J11" s="141"/>
      <c r="K11" s="142"/>
      <c r="L11" s="84"/>
      <c r="M11" s="142"/>
      <c r="N11" s="142"/>
      <c r="O11" s="143" t="str">
        <f aca="false">IF(OR(D11="",M11=""),"",M11/D11-1)</f>
        <v/>
      </c>
      <c r="P11" s="144" t="str">
        <f aca="false">IF(OR(H11="",N11=""),"",N11/H11-1)</f>
        <v/>
      </c>
      <c r="Q11" s="143" t="str">
        <f aca="false">IF(OR(O11="",P11=""),"",O11-P11)</f>
        <v/>
      </c>
    </row>
    <row r="12" customFormat="false" ht="15" hidden="false" customHeight="true" outlineLevel="0" collapsed="false">
      <c r="A12" s="140"/>
      <c r="B12" s="84"/>
      <c r="C12" s="141"/>
      <c r="D12" s="142"/>
      <c r="E12" s="84"/>
      <c r="F12" s="84"/>
      <c r="G12" s="84"/>
      <c r="H12" s="142"/>
      <c r="I12" s="84"/>
      <c r="J12" s="141"/>
      <c r="K12" s="142"/>
      <c r="L12" s="84"/>
      <c r="M12" s="142"/>
      <c r="N12" s="142"/>
      <c r="O12" s="143" t="str">
        <f aca="false">IF(OR(D12="",M12=""),"",M12/D12-1)</f>
        <v/>
      </c>
      <c r="P12" s="144" t="str">
        <f aca="false">IF(OR(H12="",N12=""),"",N12/H12-1)</f>
        <v/>
      </c>
      <c r="Q12" s="143" t="str">
        <f aca="false">IF(OR(O12="",P12=""),"",O12-P12)</f>
        <v/>
      </c>
    </row>
    <row r="13" customFormat="false" ht="15" hidden="false" customHeight="true" outlineLevel="0" collapsed="false">
      <c r="A13" s="140"/>
      <c r="B13" s="84"/>
      <c r="C13" s="141"/>
      <c r="D13" s="142"/>
      <c r="E13" s="84"/>
      <c r="F13" s="84"/>
      <c r="G13" s="84"/>
      <c r="H13" s="142"/>
      <c r="I13" s="84"/>
      <c r="J13" s="141"/>
      <c r="K13" s="142"/>
      <c r="L13" s="84"/>
      <c r="M13" s="142"/>
      <c r="N13" s="142"/>
      <c r="O13" s="143" t="str">
        <f aca="false">IF(OR(D13="",M13=""),"",M13/D13-1)</f>
        <v/>
      </c>
      <c r="P13" s="144" t="str">
        <f aca="false">IF(OR(H13="",N13=""),"",N13/H13-1)</f>
        <v/>
      </c>
      <c r="Q13" s="143" t="str">
        <f aca="false">IF(OR(O13="",P13=""),"",O13-P13)</f>
        <v/>
      </c>
    </row>
    <row r="14" customFormat="false" ht="15" hidden="false" customHeight="true" outlineLevel="0" collapsed="false">
      <c r="A14" s="140"/>
      <c r="B14" s="84"/>
      <c r="C14" s="141"/>
      <c r="D14" s="142"/>
      <c r="E14" s="84"/>
      <c r="F14" s="84"/>
      <c r="G14" s="84"/>
      <c r="H14" s="142"/>
      <c r="I14" s="84"/>
      <c r="J14" s="141"/>
      <c r="K14" s="142"/>
      <c r="L14" s="84"/>
      <c r="M14" s="142"/>
      <c r="N14" s="142"/>
      <c r="O14" s="143" t="str">
        <f aca="false">IF(OR(D14="",M14=""),"",M14/D14-1)</f>
        <v/>
      </c>
      <c r="P14" s="144" t="str">
        <f aca="false">IF(OR(H14="",N14=""),"",N14/H14-1)</f>
        <v/>
      </c>
      <c r="Q14" s="143" t="str">
        <f aca="false">IF(OR(O14="",P14=""),"",O14-P14)</f>
        <v/>
      </c>
    </row>
    <row r="15" customFormat="false" ht="15" hidden="false" customHeight="true" outlineLevel="0" collapsed="false">
      <c r="A15" s="140"/>
      <c r="B15" s="84"/>
      <c r="C15" s="141"/>
      <c r="D15" s="142"/>
      <c r="E15" s="84"/>
      <c r="F15" s="84"/>
      <c r="G15" s="84"/>
      <c r="H15" s="142"/>
      <c r="I15" s="84"/>
      <c r="J15" s="141"/>
      <c r="K15" s="142"/>
      <c r="L15" s="84"/>
      <c r="M15" s="142"/>
      <c r="N15" s="142"/>
      <c r="O15" s="143" t="str">
        <f aca="false">IF(OR(D15="",M15=""),"",M15/D15-1)</f>
        <v/>
      </c>
      <c r="P15" s="144" t="str">
        <f aca="false">IF(OR(H15="",N15=""),"",N15/H15-1)</f>
        <v/>
      </c>
      <c r="Q15" s="143" t="str">
        <f aca="false">IF(OR(O15="",P15=""),"",O15-P15)</f>
        <v/>
      </c>
    </row>
    <row r="16" customFormat="false" ht="15" hidden="false" customHeight="true" outlineLevel="0" collapsed="false">
      <c r="A16" s="140"/>
      <c r="B16" s="84"/>
      <c r="C16" s="141"/>
      <c r="D16" s="142"/>
      <c r="E16" s="84"/>
      <c r="F16" s="84"/>
      <c r="G16" s="84"/>
      <c r="H16" s="142"/>
      <c r="I16" s="84"/>
      <c r="J16" s="141"/>
      <c r="K16" s="142"/>
      <c r="L16" s="84"/>
      <c r="M16" s="142"/>
      <c r="N16" s="142"/>
      <c r="O16" s="143" t="str">
        <f aca="false">IF(OR(D16="",M16=""),"",M16/D16-1)</f>
        <v/>
      </c>
      <c r="P16" s="144" t="str">
        <f aca="false">IF(OR(H16="",N16=""),"",N16/H16-1)</f>
        <v/>
      </c>
      <c r="Q16" s="143" t="str">
        <f aca="false">IF(OR(O16="",P16=""),"",O16-P16)</f>
        <v/>
      </c>
    </row>
    <row r="17" customFormat="false" ht="15" hidden="false" customHeight="true" outlineLevel="0" collapsed="false">
      <c r="A17" s="140"/>
      <c r="B17" s="84"/>
      <c r="C17" s="141"/>
      <c r="D17" s="142"/>
      <c r="E17" s="84"/>
      <c r="F17" s="84"/>
      <c r="G17" s="84"/>
      <c r="H17" s="142"/>
      <c r="I17" s="84"/>
      <c r="J17" s="141"/>
      <c r="K17" s="142"/>
      <c r="L17" s="84"/>
      <c r="M17" s="142"/>
      <c r="N17" s="142"/>
      <c r="O17" s="143" t="str">
        <f aca="false">IF(OR(D17="",M17=""),"",M17/D17-1)</f>
        <v/>
      </c>
      <c r="P17" s="144" t="str">
        <f aca="false">IF(OR(H17="",N17=""),"",N17/H17-1)</f>
        <v/>
      </c>
      <c r="Q17" s="143" t="str">
        <f aca="false">IF(OR(O17="",P17=""),"",O17-P17)</f>
        <v/>
      </c>
    </row>
    <row r="18" customFormat="false" ht="15" hidden="false" customHeight="true" outlineLevel="0" collapsed="false">
      <c r="A18" s="140"/>
      <c r="B18" s="84"/>
      <c r="C18" s="141"/>
      <c r="D18" s="142"/>
      <c r="E18" s="84"/>
      <c r="F18" s="84"/>
      <c r="G18" s="84"/>
      <c r="H18" s="142"/>
      <c r="I18" s="84"/>
      <c r="J18" s="141"/>
      <c r="K18" s="142"/>
      <c r="L18" s="84"/>
      <c r="M18" s="142"/>
      <c r="N18" s="142"/>
      <c r="O18" s="143" t="str">
        <f aca="false">IF(OR(D18="",M18=""),"",M18/D18-1)</f>
        <v/>
      </c>
      <c r="P18" s="144" t="str">
        <f aca="false">IF(OR(H18="",N18=""),"",N18/H18-1)</f>
        <v/>
      </c>
      <c r="Q18" s="143" t="str">
        <f aca="false">IF(OR(O18="",P18=""),"",O18-P18)</f>
        <v/>
      </c>
    </row>
    <row r="19" customFormat="false" ht="15" hidden="false" customHeight="true" outlineLevel="0" collapsed="false">
      <c r="A19" s="140"/>
      <c r="B19" s="84"/>
      <c r="C19" s="141"/>
      <c r="D19" s="142"/>
      <c r="E19" s="84"/>
      <c r="F19" s="84"/>
      <c r="G19" s="84"/>
      <c r="H19" s="142"/>
      <c r="I19" s="84"/>
      <c r="J19" s="141"/>
      <c r="K19" s="142"/>
      <c r="L19" s="84"/>
      <c r="M19" s="142"/>
      <c r="N19" s="142"/>
      <c r="O19" s="143" t="str">
        <f aca="false">IF(OR(D19="",M19=""),"",M19/D19-1)</f>
        <v/>
      </c>
      <c r="P19" s="144" t="str">
        <f aca="false">IF(OR(H19="",N19=""),"",N19/H19-1)</f>
        <v/>
      </c>
      <c r="Q19" s="143" t="str">
        <f aca="false">IF(OR(O19="",P19=""),"",O19-P19)</f>
        <v/>
      </c>
    </row>
    <row r="20" customFormat="false" ht="15" hidden="false" customHeight="true" outlineLevel="0" collapsed="false">
      <c r="A20" s="140"/>
      <c r="B20" s="84"/>
      <c r="C20" s="141"/>
      <c r="D20" s="142"/>
      <c r="E20" s="84"/>
      <c r="F20" s="84"/>
      <c r="G20" s="84"/>
      <c r="H20" s="142"/>
      <c r="I20" s="84"/>
      <c r="J20" s="141"/>
      <c r="K20" s="142"/>
      <c r="L20" s="84"/>
      <c r="M20" s="142"/>
      <c r="N20" s="142"/>
      <c r="O20" s="143" t="str">
        <f aca="false">IF(OR(D20="",M20=""),"",M20/D20-1)</f>
        <v/>
      </c>
      <c r="P20" s="144" t="str">
        <f aca="false">IF(OR(H20="",N20=""),"",N20/H20-1)</f>
        <v/>
      </c>
      <c r="Q20" s="143" t="str">
        <f aca="false">IF(OR(O20="",P20=""),"",O20-P20)</f>
        <v/>
      </c>
    </row>
    <row r="21" customFormat="false" ht="15" hidden="false" customHeight="true" outlineLevel="0" collapsed="false">
      <c r="A21" s="140"/>
      <c r="B21" s="84"/>
      <c r="C21" s="141"/>
      <c r="D21" s="142"/>
      <c r="E21" s="84"/>
      <c r="F21" s="84"/>
      <c r="G21" s="84"/>
      <c r="H21" s="142"/>
      <c r="I21" s="84"/>
      <c r="J21" s="141"/>
      <c r="K21" s="142"/>
      <c r="L21" s="84"/>
      <c r="M21" s="142"/>
      <c r="N21" s="142"/>
      <c r="O21" s="143" t="str">
        <f aca="false">IF(OR(D21="",M21=""),"",M21/D21-1)</f>
        <v/>
      </c>
      <c r="P21" s="144" t="str">
        <f aca="false">IF(OR(H21="",N21=""),"",N21/H21-1)</f>
        <v/>
      </c>
      <c r="Q21" s="143" t="str">
        <f aca="false">IF(OR(O21="",P21=""),"",O21-P21)</f>
        <v/>
      </c>
    </row>
    <row r="22" customFormat="false" ht="15" hidden="false" customHeight="true" outlineLevel="0" collapsed="false">
      <c r="A22" s="140"/>
      <c r="B22" s="84"/>
      <c r="C22" s="141"/>
      <c r="D22" s="142"/>
      <c r="E22" s="84"/>
      <c r="F22" s="84"/>
      <c r="G22" s="84"/>
      <c r="H22" s="142"/>
      <c r="I22" s="84"/>
      <c r="J22" s="141"/>
      <c r="K22" s="142"/>
      <c r="L22" s="84"/>
      <c r="M22" s="142"/>
      <c r="N22" s="142"/>
      <c r="O22" s="143" t="str">
        <f aca="false">IF(OR(D22="",M22=""),"",M22/D22-1)</f>
        <v/>
      </c>
      <c r="P22" s="144" t="str">
        <f aca="false">IF(OR(H22="",N22=""),"",N22/H22-1)</f>
        <v/>
      </c>
      <c r="Q22" s="143" t="str">
        <f aca="false">IF(OR(O22="",P22=""),"",O22-P22)</f>
        <v/>
      </c>
    </row>
    <row r="23" customFormat="false" ht="15" hidden="false" customHeight="true" outlineLevel="0" collapsed="false">
      <c r="A23" s="140"/>
      <c r="B23" s="84"/>
      <c r="C23" s="141"/>
      <c r="D23" s="142"/>
      <c r="E23" s="84"/>
      <c r="F23" s="84"/>
      <c r="G23" s="84"/>
      <c r="H23" s="142"/>
      <c r="I23" s="84"/>
      <c r="J23" s="141"/>
      <c r="K23" s="142"/>
      <c r="L23" s="84"/>
      <c r="M23" s="142"/>
      <c r="N23" s="142"/>
      <c r="O23" s="143" t="str">
        <f aca="false">IF(OR(D23="",M23=""),"",M23/D23-1)</f>
        <v/>
      </c>
      <c r="P23" s="144" t="str">
        <f aca="false">IF(OR(H23="",N23=""),"",N23/H23-1)</f>
        <v/>
      </c>
      <c r="Q23" s="143" t="str">
        <f aca="false">IF(OR(O23="",P23=""),"",O23-P23)</f>
        <v/>
      </c>
    </row>
    <row r="24" customFormat="false" ht="15" hidden="false" customHeight="true" outlineLevel="0" collapsed="false">
      <c r="A24" s="140"/>
      <c r="B24" s="84"/>
      <c r="C24" s="141"/>
      <c r="D24" s="142"/>
      <c r="E24" s="84"/>
      <c r="F24" s="84"/>
      <c r="G24" s="84"/>
      <c r="H24" s="142"/>
      <c r="I24" s="84"/>
      <c r="J24" s="141"/>
      <c r="K24" s="142"/>
      <c r="L24" s="84"/>
      <c r="M24" s="142"/>
      <c r="N24" s="142"/>
      <c r="O24" s="143" t="str">
        <f aca="false">IF(OR(D24="",M24=""),"",M24/D24-1)</f>
        <v/>
      </c>
      <c r="P24" s="144" t="str">
        <f aca="false">IF(OR(H24="",N24=""),"",N24/H24-1)</f>
        <v/>
      </c>
      <c r="Q24" s="143" t="str">
        <f aca="false">IF(OR(O24="",P24=""),"",O24-P24)</f>
        <v/>
      </c>
    </row>
    <row r="25" customFormat="false" ht="15" hidden="false" customHeight="true" outlineLevel="0" collapsed="false">
      <c r="A25" s="140"/>
      <c r="B25" s="84"/>
      <c r="C25" s="141"/>
      <c r="D25" s="142"/>
      <c r="E25" s="84"/>
      <c r="F25" s="84"/>
      <c r="G25" s="84"/>
      <c r="H25" s="142"/>
      <c r="I25" s="84"/>
      <c r="J25" s="141"/>
      <c r="K25" s="142"/>
      <c r="L25" s="84"/>
      <c r="M25" s="142"/>
      <c r="N25" s="142"/>
      <c r="O25" s="143" t="str">
        <f aca="false">IF(OR(D25="",M25=""),"",M25/D25-1)</f>
        <v/>
      </c>
      <c r="P25" s="144" t="str">
        <f aca="false">IF(OR(H25="",N25=""),"",N25/H25-1)</f>
        <v/>
      </c>
      <c r="Q25" s="143" t="str">
        <f aca="false">IF(OR(O25="",P25=""),"",O25-P25)</f>
        <v/>
      </c>
    </row>
    <row r="26" customFormat="false" ht="15" hidden="false" customHeight="true" outlineLevel="0" collapsed="false">
      <c r="A26" s="140"/>
      <c r="B26" s="84"/>
      <c r="C26" s="141"/>
      <c r="D26" s="142"/>
      <c r="E26" s="84"/>
      <c r="F26" s="84"/>
      <c r="G26" s="84"/>
      <c r="H26" s="142"/>
      <c r="I26" s="84"/>
      <c r="J26" s="141"/>
      <c r="K26" s="142"/>
      <c r="L26" s="84"/>
      <c r="M26" s="142"/>
      <c r="N26" s="142"/>
      <c r="O26" s="143" t="str">
        <f aca="false">IF(OR(D26="",M26=""),"",M26/D26-1)</f>
        <v/>
      </c>
      <c r="P26" s="144" t="str">
        <f aca="false">IF(OR(H26="",N26=""),"",N26/H26-1)</f>
        <v/>
      </c>
      <c r="Q26" s="143" t="str">
        <f aca="false">IF(OR(O26="",P26=""),"",O26-P26)</f>
        <v/>
      </c>
    </row>
    <row r="27" customFormat="false" ht="15" hidden="false" customHeight="true" outlineLevel="0" collapsed="false">
      <c r="A27" s="140"/>
      <c r="B27" s="84"/>
      <c r="C27" s="141"/>
      <c r="D27" s="142"/>
      <c r="E27" s="84"/>
      <c r="F27" s="84"/>
      <c r="G27" s="84"/>
      <c r="H27" s="142"/>
      <c r="I27" s="84"/>
      <c r="J27" s="141"/>
      <c r="K27" s="142"/>
      <c r="L27" s="84"/>
      <c r="M27" s="142"/>
      <c r="N27" s="142"/>
      <c r="O27" s="143" t="str">
        <f aca="false">IF(OR(D27="",M27=""),"",M27/D27-1)</f>
        <v/>
      </c>
      <c r="P27" s="144" t="str">
        <f aca="false">IF(OR(H27="",N27=""),"",N27/H27-1)</f>
        <v/>
      </c>
      <c r="Q27" s="143" t="str">
        <f aca="false">IF(OR(O27="",P27=""),"",O27-P27)</f>
        <v/>
      </c>
    </row>
    <row r="28" customFormat="false" ht="15" hidden="false" customHeight="true" outlineLevel="0" collapsed="false">
      <c r="A28" s="140"/>
      <c r="B28" s="84"/>
      <c r="C28" s="141"/>
      <c r="D28" s="142"/>
      <c r="E28" s="84"/>
      <c r="F28" s="84"/>
      <c r="G28" s="84"/>
      <c r="H28" s="142"/>
      <c r="I28" s="84"/>
      <c r="J28" s="141"/>
      <c r="K28" s="142"/>
      <c r="L28" s="84"/>
      <c r="M28" s="142"/>
      <c r="N28" s="142"/>
      <c r="O28" s="143" t="str">
        <f aca="false">IF(OR(D28="",M28=""),"",M28/D28-1)</f>
        <v/>
      </c>
      <c r="P28" s="144" t="str">
        <f aca="false">IF(OR(H28="",N28=""),"",N28/H28-1)</f>
        <v/>
      </c>
      <c r="Q28" s="143" t="str">
        <f aca="false">IF(OR(O28="",P28=""),"",O28-P28)</f>
        <v/>
      </c>
    </row>
    <row r="29" customFormat="false" ht="15" hidden="false" customHeight="true" outlineLevel="0" collapsed="false">
      <c r="A29" s="140"/>
      <c r="B29" s="84"/>
      <c r="C29" s="141"/>
      <c r="D29" s="142"/>
      <c r="E29" s="84"/>
      <c r="F29" s="84"/>
      <c r="G29" s="84"/>
      <c r="H29" s="142"/>
      <c r="I29" s="84"/>
      <c r="J29" s="141"/>
      <c r="K29" s="142"/>
      <c r="L29" s="84"/>
      <c r="M29" s="142"/>
      <c r="N29" s="142"/>
      <c r="O29" s="143" t="str">
        <f aca="false">IF(OR(D29="",M29=""),"",M29/D29-1)</f>
        <v/>
      </c>
      <c r="P29" s="144" t="str">
        <f aca="false">IF(OR(H29="",N29=""),"",N29/H29-1)</f>
        <v/>
      </c>
      <c r="Q29" s="143" t="str">
        <f aca="false">IF(OR(O29="",P29=""),"",O29-P29)</f>
        <v/>
      </c>
    </row>
    <row r="30" customFormat="false" ht="15" hidden="false" customHeight="true" outlineLevel="0" collapsed="false">
      <c r="A30" s="140"/>
      <c r="B30" s="84"/>
      <c r="C30" s="141"/>
      <c r="D30" s="142"/>
      <c r="E30" s="84"/>
      <c r="F30" s="84"/>
      <c r="G30" s="84"/>
      <c r="H30" s="142"/>
      <c r="I30" s="84"/>
      <c r="J30" s="141"/>
      <c r="K30" s="142"/>
      <c r="L30" s="84"/>
      <c r="M30" s="142"/>
      <c r="N30" s="142"/>
      <c r="O30" s="143" t="str">
        <f aca="false">IF(OR(D30="",M30=""),"",M30/D30-1)</f>
        <v/>
      </c>
      <c r="P30" s="144" t="str">
        <f aca="false">IF(OR(H30="",N30=""),"",N30/H30-1)</f>
        <v/>
      </c>
      <c r="Q30" s="143" t="str">
        <f aca="false">IF(OR(O30="",P30=""),"",O30-P30)</f>
        <v/>
      </c>
    </row>
    <row r="31" customFormat="false" ht="15" hidden="false" customHeight="true" outlineLevel="0" collapsed="false">
      <c r="A31" s="140"/>
      <c r="B31" s="84"/>
      <c r="C31" s="141"/>
      <c r="D31" s="142"/>
      <c r="E31" s="84"/>
      <c r="F31" s="84"/>
      <c r="G31" s="84"/>
      <c r="H31" s="142"/>
      <c r="I31" s="84"/>
      <c r="J31" s="141"/>
      <c r="K31" s="142"/>
      <c r="L31" s="84"/>
      <c r="M31" s="142"/>
      <c r="N31" s="142"/>
      <c r="O31" s="143" t="str">
        <f aca="false">IF(OR(D31="",M31=""),"",M31/D31-1)</f>
        <v/>
      </c>
      <c r="P31" s="144" t="str">
        <f aca="false">IF(OR(H31="",N31=""),"",N31/H31-1)</f>
        <v/>
      </c>
      <c r="Q31" s="143" t="str">
        <f aca="false">IF(OR(O31="",P31=""),"",O31-P31)</f>
        <v/>
      </c>
    </row>
    <row r="32" customFormat="false" ht="15" hidden="false" customHeight="true" outlineLevel="0" collapsed="false">
      <c r="A32" s="140"/>
      <c r="B32" s="84"/>
      <c r="C32" s="141"/>
      <c r="D32" s="142"/>
      <c r="E32" s="84"/>
      <c r="F32" s="84"/>
      <c r="G32" s="84"/>
      <c r="H32" s="142"/>
      <c r="I32" s="84"/>
      <c r="J32" s="141"/>
      <c r="K32" s="142"/>
      <c r="L32" s="84"/>
      <c r="M32" s="142"/>
      <c r="N32" s="142"/>
      <c r="O32" s="143" t="str">
        <f aca="false">IF(OR(D32="",M32=""),"",M32/D32-1)</f>
        <v/>
      </c>
      <c r="P32" s="144" t="str">
        <f aca="false">IF(OR(H32="",N32=""),"",N32/H32-1)</f>
        <v/>
      </c>
      <c r="Q32" s="143" t="str">
        <f aca="false">IF(OR(O32="",P32=""),"",O32-P32)</f>
        <v/>
      </c>
    </row>
    <row r="34" customFormat="false" ht="25.5" hidden="false" customHeight="true" outlineLevel="0" collapsed="false">
      <c r="A34" s="145" t="s">
        <v>526</v>
      </c>
      <c r="B34" s="145"/>
      <c r="C34" s="145"/>
      <c r="D34" s="145"/>
      <c r="E34" s="145"/>
      <c r="F34" s="145"/>
      <c r="G34" s="145"/>
      <c r="H34" s="145"/>
      <c r="I34" s="145"/>
      <c r="J34" s="145"/>
      <c r="K34" s="145"/>
      <c r="L34" s="145"/>
      <c r="M34" s="145"/>
      <c r="N34" s="145"/>
      <c r="O34" s="145"/>
      <c r="P34" s="145"/>
      <c r="Q34" s="145"/>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6" width="13"/>
    <col collapsed="false" customWidth="true" hidden="false" outlineLevel="0" max="2" min="2" style="146" width="15.33"/>
    <col collapsed="false" customWidth="true" hidden="false" outlineLevel="0" max="3" min="3" style="1" width="111.51"/>
  </cols>
  <sheetData>
    <row r="1" customFormat="false" ht="27.75" hidden="false" customHeight="true" outlineLevel="0" collapsed="false">
      <c r="A1" s="93" t="s">
        <v>527</v>
      </c>
      <c r="B1" s="93"/>
      <c r="C1" s="93"/>
    </row>
    <row r="2" customFormat="false" ht="18" hidden="false" customHeight="true" outlineLevel="0" collapsed="false">
      <c r="A2" s="107" t="s">
        <v>448</v>
      </c>
      <c r="B2" s="107" t="s">
        <v>82</v>
      </c>
      <c r="C2" s="107" t="s">
        <v>205</v>
      </c>
    </row>
    <row r="3" customFormat="false" ht="15" hidden="false" customHeight="true" outlineLevel="0" collapsed="false">
      <c r="A3" s="81" t="n">
        <v>46241</v>
      </c>
      <c r="B3" s="80" t="s">
        <v>168</v>
      </c>
      <c r="C3" s="147" t="s">
        <v>528</v>
      </c>
    </row>
    <row r="4" customFormat="false" ht="15" hidden="false" customHeight="true" outlineLevel="0" collapsed="false">
      <c r="A4" s="81" t="n">
        <v>46241</v>
      </c>
      <c r="B4" s="80" t="s">
        <v>171</v>
      </c>
      <c r="C4" s="147" t="s">
        <v>529</v>
      </c>
    </row>
    <row r="5" customFormat="false" ht="15" hidden="false" customHeight="true" outlineLevel="0" collapsed="false">
      <c r="A5" s="81" t="n">
        <v>46241</v>
      </c>
      <c r="B5" s="80" t="s">
        <v>179</v>
      </c>
      <c r="C5" s="147" t="s">
        <v>530</v>
      </c>
    </row>
    <row r="6" customFormat="false" ht="27.75" hidden="false" customHeight="true" outlineLevel="0" collapsed="false">
      <c r="A6" s="81" t="n">
        <v>46241</v>
      </c>
      <c r="B6" s="80" t="s">
        <v>162</v>
      </c>
      <c r="C6" s="147" t="s">
        <v>531</v>
      </c>
    </row>
    <row r="7" customFormat="false" ht="30" hidden="false" customHeight="true" outlineLevel="0" collapsed="false">
      <c r="A7" s="81" t="n">
        <v>46241</v>
      </c>
      <c r="B7" s="80" t="s">
        <v>532</v>
      </c>
      <c r="C7" s="147" t="s">
        <v>533</v>
      </c>
    </row>
    <row r="8" customFormat="false" ht="28.5" hidden="false" customHeight="true" outlineLevel="0" collapsed="false">
      <c r="A8" s="81" t="n">
        <v>46241</v>
      </c>
      <c r="B8" s="80" t="s">
        <v>532</v>
      </c>
      <c r="C8" s="147" t="s">
        <v>534</v>
      </c>
    </row>
    <row r="9" customFormat="false" ht="30" hidden="false" customHeight="true" outlineLevel="0" collapsed="false">
      <c r="A9" s="81" t="n">
        <v>46241</v>
      </c>
      <c r="B9" s="80" t="s">
        <v>535</v>
      </c>
      <c r="C9" s="147" t="s">
        <v>536</v>
      </c>
    </row>
    <row r="10" customFormat="false" ht="28.5" hidden="false" customHeight="true" outlineLevel="0" collapsed="false">
      <c r="A10" s="81" t="n">
        <v>46241</v>
      </c>
      <c r="B10" s="80" t="s">
        <v>537</v>
      </c>
      <c r="C10" s="147" t="s">
        <v>538</v>
      </c>
    </row>
    <row r="11" customFormat="false" ht="28.5" hidden="false" customHeight="true" outlineLevel="0" collapsed="false">
      <c r="A11" s="81" t="n">
        <v>46241</v>
      </c>
      <c r="B11" s="80" t="s">
        <v>130</v>
      </c>
      <c r="C11" s="147" t="s">
        <v>539</v>
      </c>
    </row>
    <row r="12" customFormat="false" ht="75" hidden="false" customHeight="true" outlineLevel="0" collapsed="false">
      <c r="A12" s="81" t="n">
        <v>46273</v>
      </c>
      <c r="B12" s="80" t="s">
        <v>540</v>
      </c>
      <c r="C12" s="147" t="s">
        <v>541</v>
      </c>
    </row>
    <row r="13" customFormat="false" ht="60" hidden="false" customHeight="true" outlineLevel="0" collapsed="false">
      <c r="A13" s="81" t="n">
        <v>46295</v>
      </c>
      <c r="B13" s="80" t="s">
        <v>542</v>
      </c>
      <c r="C13" s="147" t="s">
        <v>543</v>
      </c>
    </row>
    <row r="14" customFormat="false" ht="57.75" hidden="false" customHeight="true" outlineLevel="0" collapsed="false">
      <c r="A14" s="81" t="n">
        <v>46302</v>
      </c>
      <c r="B14" s="80" t="s">
        <v>544</v>
      </c>
      <c r="C14" s="147" t="s">
        <v>545</v>
      </c>
    </row>
    <row r="15" customFormat="false" ht="105" hidden="false" customHeight="true" outlineLevel="0" collapsed="false">
      <c r="A15" s="81" t="n">
        <v>46320</v>
      </c>
      <c r="B15" s="80" t="s">
        <v>546</v>
      </c>
      <c r="C15" s="147" t="s">
        <v>547</v>
      </c>
    </row>
    <row r="16" customFormat="false" ht="30.75" hidden="false" customHeight="true" outlineLevel="0" collapsed="false">
      <c r="A16" s="81" t="n">
        <v>46335</v>
      </c>
      <c r="B16" s="80" t="s">
        <v>548</v>
      </c>
      <c r="C16" s="147" t="s">
        <v>549</v>
      </c>
    </row>
    <row r="17" customFormat="false" ht="30.75" hidden="false" customHeight="true" outlineLevel="0" collapsed="false">
      <c r="A17" s="81" t="n">
        <v>46387</v>
      </c>
      <c r="B17" s="80" t="s">
        <v>550</v>
      </c>
      <c r="C17" s="147" t="s">
        <v>551</v>
      </c>
    </row>
    <row r="18" customFormat="false" ht="86.25" hidden="false" customHeight="true" outlineLevel="0" collapsed="false">
      <c r="A18" s="81" t="n">
        <v>46412</v>
      </c>
      <c r="B18" s="80" t="s">
        <v>552</v>
      </c>
      <c r="C18" s="147" t="s">
        <v>553</v>
      </c>
    </row>
    <row r="19" customFormat="false" ht="100.5" hidden="false" customHeight="true" outlineLevel="0" collapsed="false">
      <c r="A19" s="81" t="n">
        <v>46252</v>
      </c>
      <c r="B19" s="148" t="s">
        <v>554</v>
      </c>
      <c r="C19" s="147" t="s">
        <v>555</v>
      </c>
    </row>
    <row r="20" customFormat="false" ht="75.75" hidden="false" customHeight="true" outlineLevel="0" collapsed="false">
      <c r="A20" s="81" t="n">
        <v>46258</v>
      </c>
      <c r="B20" s="148" t="s">
        <v>556</v>
      </c>
      <c r="C20" s="147" t="s">
        <v>557</v>
      </c>
    </row>
    <row r="21" customFormat="false" ht="15" hidden="false" customHeight="true" outlineLevel="0" collapsed="false">
      <c r="A21" s="81" t="n">
        <v>46260</v>
      </c>
      <c r="B21" s="80" t="s">
        <v>558</v>
      </c>
      <c r="C21" s="147" t="s">
        <v>559</v>
      </c>
    </row>
    <row r="22" customFormat="false" ht="15" hidden="false" customHeight="true" outlineLevel="0" collapsed="false">
      <c r="A22" s="81" t="n">
        <v>46272</v>
      </c>
      <c r="B22" s="80" t="s">
        <v>560</v>
      </c>
      <c r="C22" s="147" t="s">
        <v>561</v>
      </c>
    </row>
    <row r="23" customFormat="false" ht="15" hidden="false" customHeight="true" outlineLevel="0" collapsed="false">
      <c r="A23" s="81" t="n">
        <v>46302</v>
      </c>
      <c r="B23" s="80" t="s">
        <v>562</v>
      </c>
      <c r="C23" s="147" t="s">
        <v>563</v>
      </c>
    </row>
    <row r="24" customFormat="false" ht="15" hidden="false" customHeight="true" outlineLevel="0" collapsed="false">
      <c r="A24" s="81" t="n">
        <v>46310</v>
      </c>
      <c r="B24" s="80" t="s">
        <v>564</v>
      </c>
      <c r="C24" s="147" t="s">
        <v>563</v>
      </c>
    </row>
    <row r="25" customFormat="false" ht="15" hidden="false" customHeight="true" outlineLevel="0" collapsed="false">
      <c r="A25" s="81" t="n">
        <v>46335</v>
      </c>
      <c r="B25" s="80" t="s">
        <v>565</v>
      </c>
      <c r="C25" s="147" t="s">
        <v>563</v>
      </c>
    </row>
    <row r="26" customFormat="false" ht="15" hidden="false" customHeight="true" outlineLevel="0" collapsed="false">
      <c r="A26" s="81" t="n">
        <v>46342</v>
      </c>
      <c r="B26" s="80" t="s">
        <v>566</v>
      </c>
      <c r="C26" s="147" t="s">
        <v>563</v>
      </c>
    </row>
    <row r="27" customFormat="false" ht="15" hidden="false" customHeight="true" outlineLevel="0" collapsed="false">
      <c r="A27" s="81" t="n">
        <v>46363</v>
      </c>
      <c r="B27" s="80" t="s">
        <v>567</v>
      </c>
      <c r="C27" s="147" t="s">
        <v>563</v>
      </c>
    </row>
    <row r="28" customFormat="false" ht="15" hidden="false" customHeight="true" outlineLevel="0" collapsed="false">
      <c r="A28" s="81" t="n">
        <v>46371</v>
      </c>
      <c r="B28" s="80" t="s">
        <v>568</v>
      </c>
      <c r="C28" s="147" t="s">
        <v>563</v>
      </c>
    </row>
    <row r="29" customFormat="false" ht="15" hidden="false" customHeight="true" outlineLevel="0" collapsed="false">
      <c r="A29" s="81" t="n">
        <v>46394</v>
      </c>
      <c r="B29" s="80" t="s">
        <v>569</v>
      </c>
      <c r="C29" s="147" t="s">
        <v>563</v>
      </c>
    </row>
    <row r="30" customFormat="false" ht="15" hidden="false" customHeight="true" outlineLevel="0" collapsed="false">
      <c r="A30" s="81" t="n">
        <v>46402</v>
      </c>
      <c r="B30" s="80" t="s">
        <v>570</v>
      </c>
      <c r="C30" s="147" t="s">
        <v>563</v>
      </c>
    </row>
    <row r="31" customFormat="false" ht="15" hidden="false" customHeight="true" outlineLevel="0" collapsed="false">
      <c r="A31" s="81" t="n">
        <v>46426</v>
      </c>
      <c r="B31" s="80" t="s">
        <v>571</v>
      </c>
      <c r="C31" s="147" t="s">
        <v>563</v>
      </c>
    </row>
    <row r="32" customFormat="false" ht="15" hidden="false" customHeight="true" outlineLevel="0" collapsed="false">
      <c r="A32" s="81" t="n">
        <v>46434</v>
      </c>
      <c r="B32" s="80" t="s">
        <v>572</v>
      </c>
      <c r="C32" s="147" t="s">
        <v>563</v>
      </c>
    </row>
    <row r="33" customFormat="false" ht="15" hidden="false" customHeight="true" outlineLevel="0" collapsed="false">
      <c r="A33" s="81" t="n">
        <v>46454</v>
      </c>
      <c r="B33" s="80" t="s">
        <v>573</v>
      </c>
      <c r="C33" s="147" t="s">
        <v>563</v>
      </c>
    </row>
    <row r="34" customFormat="false" ht="15" hidden="false" customHeight="true" outlineLevel="0" collapsed="false">
      <c r="A34" s="81" t="n">
        <v>46461</v>
      </c>
      <c r="B34" s="80" t="s">
        <v>574</v>
      </c>
      <c r="C34" s="147" t="s">
        <v>575</v>
      </c>
    </row>
    <row r="35" customFormat="false" ht="15" hidden="false" customHeight="true" outlineLevel="0" collapsed="false">
      <c r="A35" s="81" t="n">
        <v>46273</v>
      </c>
      <c r="B35" s="80" t="s">
        <v>576</v>
      </c>
      <c r="C35" s="147" t="s">
        <v>577</v>
      </c>
    </row>
    <row r="36" customFormat="false" ht="15" hidden="false" customHeight="true" outlineLevel="0" collapsed="false">
      <c r="A36" s="81" t="n">
        <v>46276</v>
      </c>
      <c r="B36" s="80" t="s">
        <v>578</v>
      </c>
      <c r="C36" s="147" t="s">
        <v>579</v>
      </c>
    </row>
    <row r="37" customFormat="false" ht="15" hidden="false" customHeight="true" outlineLevel="0" collapsed="false">
      <c r="A37" s="81" t="n">
        <v>46276</v>
      </c>
      <c r="B37" s="80" t="s">
        <v>580</v>
      </c>
      <c r="C37" s="147" t="s">
        <v>581</v>
      </c>
    </row>
    <row r="38" customFormat="false" ht="15" hidden="false" customHeight="true" outlineLevel="0" collapsed="false">
      <c r="A38" s="81" t="n">
        <v>46276</v>
      </c>
      <c r="B38" s="80" t="s">
        <v>582</v>
      </c>
      <c r="C38" s="147" t="s">
        <v>583</v>
      </c>
    </row>
    <row r="39" customFormat="false" ht="15" hidden="false" customHeight="true" outlineLevel="0" collapsed="false">
      <c r="A39" s="81"/>
      <c r="B39" s="80"/>
      <c r="C39" s="147"/>
    </row>
    <row r="40" customFormat="false" ht="15" hidden="false" customHeight="true" outlineLevel="0" collapsed="false">
      <c r="A40" s="81"/>
      <c r="B40" s="80"/>
      <c r="C40" s="147"/>
    </row>
    <row r="41" customFormat="false" ht="15" hidden="false" customHeight="true" outlineLevel="0" collapsed="false">
      <c r="A41" s="81"/>
      <c r="B41" s="80"/>
      <c r="C41" s="147"/>
    </row>
    <row r="42" customFormat="false" ht="15" hidden="false" customHeight="true" outlineLevel="0" collapsed="false">
      <c r="A42" s="81"/>
      <c r="B42" s="80"/>
      <c r="C42" s="147"/>
    </row>
    <row r="43" customFormat="false" ht="15" hidden="false" customHeight="true" outlineLevel="0" collapsed="false">
      <c r="A43" s="81"/>
      <c r="B43" s="80"/>
      <c r="C43" s="147"/>
    </row>
    <row r="44" customFormat="false" ht="15" hidden="false" customHeight="true" outlineLevel="0" collapsed="false">
      <c r="A44" s="81"/>
      <c r="B44" s="80"/>
      <c r="C44" s="147"/>
    </row>
    <row r="45" customFormat="false" ht="15" hidden="false" customHeight="true" outlineLevel="0" collapsed="false">
      <c r="A45" s="81"/>
      <c r="B45" s="80"/>
      <c r="C45" s="147"/>
    </row>
    <row r="46" customFormat="false" ht="15" hidden="false" customHeight="true" outlineLevel="0" collapsed="false">
      <c r="A46" s="81"/>
      <c r="B46" s="80"/>
      <c r="C46" s="147"/>
    </row>
    <row r="47" customFormat="false" ht="15" hidden="false" customHeight="true" outlineLevel="0" collapsed="false">
      <c r="A47" s="81"/>
      <c r="B47" s="80"/>
      <c r="C47" s="147"/>
    </row>
    <row r="48" customFormat="false" ht="15" hidden="false" customHeight="true" outlineLevel="0" collapsed="false">
      <c r="A48" s="81"/>
      <c r="B48" s="80"/>
      <c r="C48" s="147"/>
    </row>
    <row r="49" customFormat="false" ht="15" hidden="false" customHeight="true" outlineLevel="0" collapsed="false">
      <c r="A49" s="81"/>
      <c r="B49" s="80"/>
      <c r="C49" s="147"/>
    </row>
    <row r="50" customFormat="false" ht="15" hidden="false" customHeight="true" outlineLevel="0" collapsed="false">
      <c r="A50" s="81"/>
      <c r="B50" s="80"/>
      <c r="C50" s="147"/>
    </row>
    <row r="51" customFormat="false" ht="15" hidden="false" customHeight="true" outlineLevel="0" collapsed="false">
      <c r="A51" s="81"/>
      <c r="B51" s="80"/>
      <c r="C51" s="147"/>
    </row>
    <row r="52" customFormat="false" ht="15" hidden="false" customHeight="true" outlineLevel="0" collapsed="false">
      <c r="A52" s="81"/>
      <c r="B52" s="80"/>
      <c r="C52" s="147"/>
    </row>
    <row r="53" customFormat="false" ht="15" hidden="false" customHeight="true" outlineLevel="0" collapsed="false">
      <c r="A53" s="81"/>
      <c r="B53" s="80"/>
      <c r="C53" s="147"/>
    </row>
    <row r="54" customFormat="false" ht="15" hidden="false" customHeight="true" outlineLevel="0" collapsed="false">
      <c r="A54" s="81"/>
      <c r="B54" s="80"/>
      <c r="C54" s="147"/>
    </row>
    <row r="55" customFormat="false" ht="15" hidden="false" customHeight="true" outlineLevel="0" collapsed="false">
      <c r="A55" s="81"/>
      <c r="B55" s="80"/>
      <c r="C55" s="147"/>
    </row>
    <row r="56" customFormat="false" ht="15" hidden="false" customHeight="true" outlineLevel="0" collapsed="false">
      <c r="A56" s="81"/>
      <c r="B56" s="80"/>
      <c r="C56" s="147"/>
    </row>
    <row r="57" customFormat="false" ht="15" hidden="false" customHeight="true" outlineLevel="0" collapsed="false">
      <c r="A57" s="81"/>
      <c r="B57" s="80"/>
      <c r="C57" s="147"/>
    </row>
    <row r="58" customFormat="false" ht="15" hidden="false" customHeight="true" outlineLevel="0" collapsed="false">
      <c r="A58" s="81"/>
      <c r="B58" s="80"/>
      <c r="C58" s="147"/>
    </row>
    <row r="59" customFormat="false" ht="15" hidden="false" customHeight="true" outlineLevel="0" collapsed="false">
      <c r="A59" s="81"/>
      <c r="B59" s="80"/>
      <c r="C59" s="147"/>
    </row>
    <row r="60" customFormat="false" ht="15" hidden="false" customHeight="true" outlineLevel="0" collapsed="false">
      <c r="A60" s="81"/>
      <c r="B60" s="80"/>
      <c r="C60" s="147"/>
    </row>
    <row r="61" customFormat="false" ht="15" hidden="false" customHeight="true" outlineLevel="0" collapsed="false">
      <c r="A61" s="81"/>
      <c r="B61" s="80"/>
      <c r="C61" s="147"/>
    </row>
    <row r="62" customFormat="false" ht="15" hidden="false" customHeight="true" outlineLevel="0" collapsed="false">
      <c r="A62" s="81"/>
      <c r="B62" s="80"/>
      <c r="C62" s="147"/>
    </row>
    <row r="63" customFormat="false" ht="15" hidden="false" customHeight="true" outlineLevel="0" collapsed="false">
      <c r="A63" s="81"/>
      <c r="B63" s="80"/>
      <c r="C63" s="147"/>
    </row>
    <row r="64" customFormat="false" ht="15" hidden="false" customHeight="true" outlineLevel="0" collapsed="false">
      <c r="A64" s="81"/>
      <c r="B64" s="80"/>
      <c r="C64" s="147"/>
    </row>
    <row r="65" customFormat="false" ht="15" hidden="false" customHeight="true" outlineLevel="0" collapsed="false">
      <c r="A65" s="81"/>
      <c r="B65" s="80"/>
      <c r="C65" s="147"/>
    </row>
    <row r="66" customFormat="false" ht="15" hidden="false" customHeight="true" outlineLevel="0" collapsed="false">
      <c r="A66" s="81"/>
      <c r="B66" s="80"/>
      <c r="C66" s="147"/>
    </row>
    <row r="67" customFormat="false" ht="15" hidden="false" customHeight="true" outlineLevel="0" collapsed="false">
      <c r="A67" s="81"/>
      <c r="B67" s="80"/>
      <c r="C67" s="147"/>
    </row>
    <row r="68" customFormat="false" ht="15" hidden="false" customHeight="true" outlineLevel="0" collapsed="false">
      <c r="A68" s="81"/>
      <c r="B68" s="80"/>
      <c r="C68" s="147"/>
    </row>
    <row r="69" customFormat="false" ht="15" hidden="false" customHeight="true" outlineLevel="0" collapsed="false">
      <c r="A69" s="81"/>
      <c r="B69" s="80"/>
      <c r="C69" s="147"/>
    </row>
    <row r="70" customFormat="false" ht="15" hidden="false" customHeight="true" outlineLevel="0" collapsed="false">
      <c r="A70" s="81"/>
      <c r="B70" s="80"/>
      <c r="C70" s="147"/>
    </row>
    <row r="71" customFormat="false" ht="15" hidden="false" customHeight="true" outlineLevel="0" collapsed="false">
      <c r="A71" s="81"/>
      <c r="B71" s="80"/>
      <c r="C71" s="147"/>
    </row>
    <row r="72" customFormat="false" ht="15" hidden="false" customHeight="true" outlineLevel="0" collapsed="false">
      <c r="A72" s="81"/>
      <c r="B72" s="80"/>
      <c r="C72" s="147"/>
    </row>
    <row r="73" customFormat="false" ht="15" hidden="false" customHeight="true" outlineLevel="0" collapsed="false">
      <c r="A73" s="81"/>
      <c r="B73" s="80"/>
      <c r="C73" s="147"/>
    </row>
    <row r="74" customFormat="false" ht="15" hidden="false" customHeight="true" outlineLevel="0" collapsed="false">
      <c r="A74" s="81"/>
      <c r="B74" s="80"/>
      <c r="C74" s="147"/>
    </row>
    <row r="75" customFormat="false" ht="15" hidden="false" customHeight="true" outlineLevel="0" collapsed="false">
      <c r="A75" s="81"/>
      <c r="B75" s="80"/>
      <c r="C75" s="147"/>
    </row>
    <row r="76" customFormat="false" ht="15" hidden="false" customHeight="true" outlineLevel="0" collapsed="false">
      <c r="A76" s="81"/>
      <c r="B76" s="80"/>
      <c r="C76" s="147"/>
    </row>
    <row r="77" customFormat="false" ht="15" hidden="false" customHeight="true" outlineLevel="0" collapsed="false">
      <c r="A77" s="81"/>
      <c r="B77" s="80"/>
      <c r="C77" s="147"/>
    </row>
    <row r="78" customFormat="false" ht="15" hidden="false" customHeight="true" outlineLevel="0" collapsed="false">
      <c r="A78" s="81"/>
      <c r="B78" s="80"/>
      <c r="C78" s="147"/>
    </row>
    <row r="79" customFormat="false" ht="15" hidden="false" customHeight="true" outlineLevel="0" collapsed="false">
      <c r="A79" s="81"/>
      <c r="B79" s="80"/>
      <c r="C79" s="147"/>
    </row>
    <row r="80" customFormat="false" ht="15" hidden="false" customHeight="true" outlineLevel="0" collapsed="false">
      <c r="A80" s="81"/>
      <c r="B80" s="80"/>
      <c r="C80" s="147"/>
    </row>
    <row r="81" customFormat="false" ht="15" hidden="false" customHeight="true" outlineLevel="0" collapsed="false">
      <c r="A81" s="81"/>
      <c r="B81" s="80"/>
      <c r="C81" s="147"/>
    </row>
    <row r="82" customFormat="false" ht="15" hidden="false" customHeight="true" outlineLevel="0" collapsed="false">
      <c r="A82" s="81"/>
      <c r="B82" s="80"/>
      <c r="C82" s="147"/>
    </row>
    <row r="83" customFormat="false" ht="15" hidden="false" customHeight="true" outlineLevel="0" collapsed="false">
      <c r="A83" s="81"/>
      <c r="B83" s="80"/>
      <c r="C83" s="147"/>
    </row>
    <row r="84" customFormat="false" ht="15" hidden="false" customHeight="true" outlineLevel="0" collapsed="false">
      <c r="A84" s="81"/>
      <c r="B84" s="80"/>
      <c r="C84" s="147"/>
    </row>
    <row r="85" customFormat="false" ht="15" hidden="false" customHeight="true" outlineLevel="0" collapsed="false">
      <c r="A85" s="81"/>
      <c r="B85" s="80"/>
      <c r="C85" s="147"/>
    </row>
    <row r="86" customFormat="false" ht="15" hidden="false" customHeight="true" outlineLevel="0" collapsed="false">
      <c r="A86" s="81"/>
      <c r="B86" s="80"/>
      <c r="C86" s="147"/>
    </row>
    <row r="87" customFormat="false" ht="15" hidden="false" customHeight="true" outlineLevel="0" collapsed="false">
      <c r="A87" s="81"/>
      <c r="B87" s="80"/>
      <c r="C87" s="147"/>
    </row>
    <row r="88" customFormat="false" ht="15" hidden="false" customHeight="true" outlineLevel="0" collapsed="false">
      <c r="A88" s="81"/>
      <c r="B88" s="80"/>
      <c r="C88" s="147"/>
    </row>
    <row r="89" customFormat="false" ht="15" hidden="false" customHeight="true" outlineLevel="0" collapsed="false">
      <c r="A89" s="81"/>
      <c r="B89" s="80"/>
      <c r="C89" s="147"/>
    </row>
    <row r="90" customFormat="false" ht="15" hidden="false" customHeight="true" outlineLevel="0" collapsed="false">
      <c r="A90" s="81"/>
      <c r="B90" s="80"/>
      <c r="C90" s="147"/>
    </row>
    <row r="91" customFormat="false" ht="15" hidden="false" customHeight="true" outlineLevel="0" collapsed="false">
      <c r="A91" s="81"/>
      <c r="B91" s="80"/>
      <c r="C91" s="147"/>
    </row>
    <row r="92" customFormat="false" ht="15" hidden="false" customHeight="true" outlineLevel="0" collapsed="false">
      <c r="A92" s="81"/>
      <c r="B92" s="80"/>
      <c r="C92" s="147"/>
    </row>
    <row r="93" customFormat="false" ht="15" hidden="false" customHeight="true" outlineLevel="0" collapsed="false">
      <c r="A93" s="81"/>
      <c r="B93" s="80"/>
      <c r="C93" s="147"/>
    </row>
    <row r="94" customFormat="false" ht="15" hidden="false" customHeight="true" outlineLevel="0" collapsed="false">
      <c r="A94" s="81"/>
      <c r="B94" s="80"/>
      <c r="C94" s="147"/>
    </row>
    <row r="95" customFormat="false" ht="15" hidden="false" customHeight="true" outlineLevel="0" collapsed="false">
      <c r="A95" s="81"/>
      <c r="B95" s="80"/>
      <c r="C95" s="147"/>
    </row>
    <row r="96" customFormat="false" ht="15" hidden="false" customHeight="true" outlineLevel="0" collapsed="false">
      <c r="A96" s="81"/>
      <c r="B96" s="80"/>
      <c r="C96" s="147"/>
    </row>
    <row r="97" customFormat="false" ht="15" hidden="false" customHeight="true" outlineLevel="0" collapsed="false">
      <c r="A97" s="81"/>
      <c r="B97" s="80"/>
      <c r="C97" s="147"/>
    </row>
    <row r="98" customFormat="false" ht="15" hidden="false" customHeight="true" outlineLevel="0" collapsed="false">
      <c r="A98" s="81"/>
      <c r="B98" s="80"/>
      <c r="C98" s="147"/>
    </row>
    <row r="99" customFormat="false" ht="15" hidden="false" customHeight="true" outlineLevel="0" collapsed="false">
      <c r="A99" s="81"/>
      <c r="B99" s="80"/>
      <c r="C99" s="147"/>
    </row>
    <row r="100" customFormat="false" ht="15" hidden="false" customHeight="true" outlineLevel="0" collapsed="false">
      <c r="A100" s="81"/>
      <c r="B100" s="80"/>
      <c r="C100" s="147"/>
    </row>
    <row r="101" customFormat="false" ht="15" hidden="false" customHeight="true" outlineLevel="0" collapsed="false">
      <c r="A101" s="81"/>
      <c r="B101" s="80"/>
      <c r="C101" s="147"/>
    </row>
    <row r="102" customFormat="false" ht="15" hidden="false" customHeight="true" outlineLevel="0" collapsed="false">
      <c r="A102" s="81"/>
      <c r="B102" s="80"/>
      <c r="C102" s="147"/>
    </row>
    <row r="103" customFormat="false" ht="15" hidden="false" customHeight="true" outlineLevel="0" collapsed="false">
      <c r="A103" s="81"/>
      <c r="B103" s="80"/>
      <c r="C103" s="147"/>
    </row>
    <row r="104" customFormat="false" ht="15" hidden="false" customHeight="true" outlineLevel="0" collapsed="false">
      <c r="A104" s="81"/>
      <c r="B104" s="80"/>
      <c r="C104" s="147"/>
    </row>
    <row r="105" customFormat="false" ht="15" hidden="false" customHeight="true" outlineLevel="0" collapsed="false">
      <c r="A105" s="81"/>
      <c r="B105" s="80"/>
      <c r="C105" s="147"/>
    </row>
    <row r="106" customFormat="false" ht="15" hidden="false" customHeight="true" outlineLevel="0" collapsed="false">
      <c r="A106" s="81"/>
      <c r="B106" s="80"/>
      <c r="C106" s="147"/>
    </row>
    <row r="107" customFormat="false" ht="15" hidden="false" customHeight="true" outlineLevel="0" collapsed="false">
      <c r="A107" s="81"/>
      <c r="B107" s="80"/>
      <c r="C107" s="147"/>
    </row>
    <row r="108" customFormat="false" ht="15" hidden="false" customHeight="true" outlineLevel="0" collapsed="false">
      <c r="A108" s="81"/>
      <c r="B108" s="80"/>
      <c r="C108" s="147"/>
    </row>
    <row r="109" customFormat="false" ht="15" hidden="false" customHeight="true" outlineLevel="0" collapsed="false">
      <c r="A109" s="81"/>
      <c r="B109" s="80"/>
      <c r="C109" s="147"/>
    </row>
    <row r="110" customFormat="false" ht="15" hidden="false" customHeight="true" outlineLevel="0" collapsed="false">
      <c r="A110" s="81"/>
      <c r="B110" s="80"/>
      <c r="C110" s="147"/>
    </row>
    <row r="111" customFormat="false" ht="15" hidden="false" customHeight="true" outlineLevel="0" collapsed="false">
      <c r="A111" s="81"/>
      <c r="B111" s="80"/>
      <c r="C111" s="147"/>
    </row>
    <row r="112" customFormat="false" ht="15" hidden="false" customHeight="true" outlineLevel="0" collapsed="false">
      <c r="A112" s="81"/>
      <c r="B112" s="80"/>
      <c r="C112" s="147"/>
    </row>
    <row r="113" customFormat="false" ht="15" hidden="false" customHeight="true" outlineLevel="0" collapsed="false">
      <c r="A113" s="81"/>
      <c r="B113" s="80"/>
      <c r="C113" s="147"/>
    </row>
    <row r="114" customFormat="false" ht="15" hidden="false" customHeight="true" outlineLevel="0" collapsed="false">
      <c r="A114" s="81"/>
      <c r="B114" s="80"/>
      <c r="C114" s="147"/>
    </row>
    <row r="115" customFormat="false" ht="15" hidden="false" customHeight="true" outlineLevel="0" collapsed="false">
      <c r="A115" s="81"/>
      <c r="B115" s="80"/>
      <c r="C115" s="147"/>
    </row>
    <row r="116" customFormat="false" ht="15" hidden="false" customHeight="true" outlineLevel="0" collapsed="false">
      <c r="A116" s="81"/>
      <c r="B116" s="80"/>
      <c r="C116" s="147"/>
    </row>
    <row r="117" customFormat="false" ht="15" hidden="false" customHeight="true" outlineLevel="0" collapsed="false">
      <c r="A117" s="81"/>
      <c r="B117" s="80"/>
      <c r="C117" s="147"/>
    </row>
    <row r="118" customFormat="false" ht="15" hidden="false" customHeight="true" outlineLevel="0" collapsed="false">
      <c r="A118" s="81"/>
      <c r="B118" s="80"/>
      <c r="C118" s="147"/>
    </row>
    <row r="119" customFormat="false" ht="15" hidden="false" customHeight="true" outlineLevel="0" collapsed="false">
      <c r="A119" s="81"/>
      <c r="B119" s="80"/>
      <c r="C119" s="147"/>
    </row>
    <row r="120" customFormat="false" ht="15" hidden="false" customHeight="true" outlineLevel="0" collapsed="false">
      <c r="A120" s="81"/>
      <c r="B120" s="80"/>
      <c r="C120" s="147"/>
    </row>
    <row r="121" customFormat="false" ht="15" hidden="false" customHeight="true" outlineLevel="0" collapsed="false">
      <c r="A121" s="81"/>
      <c r="B121" s="80"/>
      <c r="C121" s="147"/>
    </row>
    <row r="122" customFormat="false" ht="15" hidden="false" customHeight="true" outlineLevel="0" collapsed="false">
      <c r="A122" s="81"/>
      <c r="B122" s="80"/>
      <c r="C122" s="147"/>
    </row>
    <row r="123" customFormat="false" ht="15" hidden="false" customHeight="true" outlineLevel="0" collapsed="false">
      <c r="A123" s="81"/>
      <c r="B123" s="80"/>
      <c r="C123" s="147"/>
    </row>
    <row r="124" customFormat="false" ht="15" hidden="false" customHeight="true" outlineLevel="0" collapsed="false">
      <c r="A124" s="81"/>
      <c r="B124" s="80"/>
      <c r="C124" s="147"/>
    </row>
    <row r="125" customFormat="false" ht="15" hidden="false" customHeight="true" outlineLevel="0" collapsed="false">
      <c r="A125" s="81"/>
      <c r="B125" s="80"/>
      <c r="C125" s="147"/>
    </row>
    <row r="126" customFormat="false" ht="15" hidden="false" customHeight="true" outlineLevel="0" collapsed="false">
      <c r="A126" s="81"/>
      <c r="B126" s="80"/>
      <c r="C126" s="147"/>
    </row>
    <row r="127" customFormat="false" ht="15" hidden="false" customHeight="true" outlineLevel="0" collapsed="false">
      <c r="A127" s="81"/>
      <c r="B127" s="80"/>
      <c r="C127" s="147"/>
    </row>
    <row r="128" customFormat="false" ht="15" hidden="false" customHeight="true" outlineLevel="0" collapsed="false">
      <c r="A128" s="81"/>
      <c r="B128" s="80"/>
      <c r="C128" s="147"/>
    </row>
    <row r="129" customFormat="false" ht="15" hidden="false" customHeight="true" outlineLevel="0" collapsed="false">
      <c r="A129" s="81"/>
      <c r="B129" s="80"/>
      <c r="C129" s="147"/>
    </row>
    <row r="130" customFormat="false" ht="15" hidden="false" customHeight="true" outlineLevel="0" collapsed="false">
      <c r="A130" s="81"/>
      <c r="B130" s="80"/>
      <c r="C130" s="147"/>
    </row>
    <row r="131" customFormat="false" ht="15" hidden="false" customHeight="true" outlineLevel="0" collapsed="false">
      <c r="A131" s="81"/>
      <c r="B131" s="80"/>
      <c r="C131" s="147"/>
    </row>
    <row r="132" customFormat="false" ht="15" hidden="false" customHeight="true" outlineLevel="0" collapsed="false">
      <c r="A132" s="81"/>
      <c r="B132" s="80"/>
      <c r="C132" s="147"/>
    </row>
    <row r="133" customFormat="false" ht="15" hidden="false" customHeight="true" outlineLevel="0" collapsed="false">
      <c r="A133" s="81"/>
      <c r="B133" s="80"/>
      <c r="C133" s="147"/>
    </row>
    <row r="134" customFormat="false" ht="15" hidden="false" customHeight="true" outlineLevel="0" collapsed="false">
      <c r="A134" s="81"/>
      <c r="B134" s="80"/>
      <c r="C134" s="147"/>
    </row>
    <row r="135" customFormat="false" ht="15" hidden="false" customHeight="true" outlineLevel="0" collapsed="false">
      <c r="A135" s="81"/>
      <c r="B135" s="80"/>
      <c r="C135" s="147"/>
    </row>
    <row r="136" customFormat="false" ht="15" hidden="false" customHeight="true" outlineLevel="0" collapsed="false">
      <c r="A136" s="81"/>
      <c r="B136" s="80"/>
      <c r="C136" s="147"/>
    </row>
    <row r="137" customFormat="false" ht="15" hidden="false" customHeight="true" outlineLevel="0" collapsed="false">
      <c r="A137" s="81"/>
      <c r="B137" s="80"/>
      <c r="C137" s="147"/>
    </row>
    <row r="138" customFormat="false" ht="15" hidden="false" customHeight="true" outlineLevel="0" collapsed="false">
      <c r="A138" s="81"/>
      <c r="B138" s="80"/>
      <c r="C138" s="147"/>
    </row>
    <row r="139" customFormat="false" ht="15" hidden="false" customHeight="true" outlineLevel="0" collapsed="false">
      <c r="A139" s="81"/>
      <c r="B139" s="80"/>
      <c r="C139" s="147"/>
    </row>
    <row r="140" customFormat="false" ht="15" hidden="false" customHeight="true" outlineLevel="0" collapsed="false">
      <c r="A140" s="81"/>
      <c r="B140" s="80"/>
      <c r="C140" s="147"/>
    </row>
    <row r="141" customFormat="false" ht="15" hidden="false" customHeight="true" outlineLevel="0" collapsed="false">
      <c r="A141" s="81"/>
      <c r="B141" s="80"/>
      <c r="C141" s="147"/>
    </row>
    <row r="142" customFormat="false" ht="15" hidden="false" customHeight="true" outlineLevel="0" collapsed="false">
      <c r="A142" s="81"/>
      <c r="B142" s="80"/>
      <c r="C142" s="147"/>
    </row>
    <row r="143" customFormat="false" ht="15" hidden="false" customHeight="true" outlineLevel="0" collapsed="false">
      <c r="A143" s="81"/>
      <c r="B143" s="80"/>
      <c r="C143" s="147"/>
    </row>
    <row r="144" customFormat="false" ht="15" hidden="false" customHeight="true" outlineLevel="0" collapsed="false">
      <c r="A144" s="81"/>
      <c r="B144" s="80"/>
      <c r="C144" s="147"/>
    </row>
    <row r="145" customFormat="false" ht="15" hidden="false" customHeight="true" outlineLevel="0" collapsed="false">
      <c r="A145" s="81"/>
      <c r="B145" s="80"/>
      <c r="C145" s="147"/>
    </row>
    <row r="146" customFormat="false" ht="15" hidden="false" customHeight="true" outlineLevel="0" collapsed="false">
      <c r="A146" s="81"/>
      <c r="B146" s="80"/>
      <c r="C146" s="147"/>
    </row>
    <row r="147" customFormat="false" ht="15" hidden="false" customHeight="true" outlineLevel="0" collapsed="false">
      <c r="A147" s="81"/>
      <c r="B147" s="80"/>
      <c r="C147" s="147"/>
    </row>
    <row r="148" customFormat="false" ht="15" hidden="false" customHeight="true" outlineLevel="0" collapsed="false">
      <c r="A148" s="81"/>
      <c r="B148" s="80"/>
      <c r="C148" s="147"/>
    </row>
    <row r="149" customFormat="false" ht="15" hidden="false" customHeight="true" outlineLevel="0" collapsed="false">
      <c r="A149" s="81"/>
      <c r="B149" s="80"/>
      <c r="C149" s="147"/>
    </row>
    <row r="150" customFormat="false" ht="15" hidden="false" customHeight="true" outlineLevel="0" collapsed="false">
      <c r="A150" s="81"/>
      <c r="B150" s="80"/>
      <c r="C150" s="147"/>
    </row>
    <row r="151" customFormat="false" ht="15" hidden="false" customHeight="true" outlineLevel="0" collapsed="false">
      <c r="A151" s="81"/>
      <c r="B151" s="80"/>
      <c r="C151" s="147"/>
    </row>
    <row r="152" customFormat="false" ht="15" hidden="false" customHeight="true" outlineLevel="0" collapsed="false">
      <c r="A152" s="81"/>
      <c r="B152" s="80"/>
      <c r="C152" s="147"/>
    </row>
    <row r="153" customFormat="false" ht="15" hidden="false" customHeight="true" outlineLevel="0" collapsed="false">
      <c r="A153" s="81"/>
      <c r="B153" s="80"/>
      <c r="C153" s="147"/>
    </row>
    <row r="154" customFormat="false" ht="15" hidden="false" customHeight="true" outlineLevel="0" collapsed="false">
      <c r="A154" s="81"/>
      <c r="B154" s="80"/>
      <c r="C154" s="147"/>
    </row>
    <row r="155" customFormat="false" ht="15" hidden="false" customHeight="true" outlineLevel="0" collapsed="false">
      <c r="A155" s="81"/>
      <c r="B155" s="80"/>
      <c r="C155" s="147"/>
    </row>
    <row r="156" customFormat="false" ht="15" hidden="false" customHeight="true" outlineLevel="0" collapsed="false">
      <c r="A156" s="81"/>
      <c r="B156" s="80"/>
      <c r="C156" s="147"/>
    </row>
    <row r="157" customFormat="false" ht="15" hidden="false" customHeight="true" outlineLevel="0" collapsed="false">
      <c r="A157" s="81"/>
      <c r="B157" s="80"/>
      <c r="C157" s="147"/>
    </row>
    <row r="158" customFormat="false" ht="15" hidden="false" customHeight="true" outlineLevel="0" collapsed="false">
      <c r="A158" s="81"/>
      <c r="B158" s="80"/>
      <c r="C158" s="147"/>
    </row>
    <row r="159" customFormat="false" ht="15" hidden="false" customHeight="true" outlineLevel="0" collapsed="false">
      <c r="A159" s="81"/>
      <c r="B159" s="80"/>
      <c r="C159" s="147"/>
    </row>
    <row r="160" customFormat="false" ht="15" hidden="false" customHeight="true" outlineLevel="0" collapsed="false">
      <c r="A160" s="81"/>
      <c r="B160" s="80"/>
      <c r="C160" s="147"/>
    </row>
    <row r="161" customFormat="false" ht="15" hidden="false" customHeight="true" outlineLevel="0" collapsed="false">
      <c r="A161" s="81"/>
      <c r="B161" s="80"/>
      <c r="C161" s="147"/>
    </row>
    <row r="162" customFormat="false" ht="15" hidden="false" customHeight="true" outlineLevel="0" collapsed="false">
      <c r="A162" s="81"/>
      <c r="B162" s="80"/>
      <c r="C162" s="147"/>
    </row>
    <row r="163" customFormat="false" ht="15" hidden="false" customHeight="true" outlineLevel="0" collapsed="false">
      <c r="A163" s="81"/>
      <c r="B163" s="80"/>
      <c r="C163" s="147"/>
    </row>
    <row r="164" customFormat="false" ht="15" hidden="false" customHeight="true" outlineLevel="0" collapsed="false">
      <c r="A164" s="81"/>
      <c r="B164" s="80"/>
      <c r="C164" s="147"/>
    </row>
    <row r="165" customFormat="false" ht="15" hidden="false" customHeight="true" outlineLevel="0" collapsed="false">
      <c r="A165" s="81"/>
      <c r="B165" s="80"/>
      <c r="C165" s="147"/>
    </row>
    <row r="166" customFormat="false" ht="15" hidden="false" customHeight="true" outlineLevel="0" collapsed="false">
      <c r="A166" s="81"/>
      <c r="B166" s="80"/>
      <c r="C166" s="147"/>
    </row>
    <row r="167" customFormat="false" ht="15" hidden="false" customHeight="true" outlineLevel="0" collapsed="false">
      <c r="A167" s="81"/>
      <c r="B167" s="80"/>
      <c r="C167" s="147"/>
    </row>
    <row r="168" customFormat="false" ht="15" hidden="false" customHeight="true" outlineLevel="0" collapsed="false">
      <c r="A168" s="81"/>
      <c r="B168" s="80"/>
      <c r="C168" s="147"/>
    </row>
    <row r="169" customFormat="false" ht="15" hidden="false" customHeight="true" outlineLevel="0" collapsed="false">
      <c r="A169" s="81"/>
      <c r="B169" s="80"/>
      <c r="C169" s="147"/>
    </row>
    <row r="170" customFormat="false" ht="15" hidden="false" customHeight="true" outlineLevel="0" collapsed="false">
      <c r="A170" s="81"/>
      <c r="B170" s="80"/>
      <c r="C170" s="147"/>
    </row>
    <row r="171" customFormat="false" ht="15" hidden="false" customHeight="true" outlineLevel="0" collapsed="false">
      <c r="A171" s="81"/>
      <c r="B171" s="80"/>
      <c r="C171" s="147"/>
    </row>
    <row r="172" customFormat="false" ht="15" hidden="false" customHeight="true" outlineLevel="0" collapsed="false">
      <c r="A172" s="81"/>
      <c r="B172" s="80"/>
      <c r="C172" s="147"/>
    </row>
    <row r="173" customFormat="false" ht="15" hidden="false" customHeight="true" outlineLevel="0" collapsed="false">
      <c r="A173" s="81"/>
      <c r="B173" s="80"/>
      <c r="C173" s="147"/>
    </row>
    <row r="174" customFormat="false" ht="15" hidden="false" customHeight="true" outlineLevel="0" collapsed="false">
      <c r="A174" s="81"/>
      <c r="B174" s="80"/>
      <c r="C174" s="147"/>
    </row>
    <row r="175" customFormat="false" ht="15" hidden="false" customHeight="true" outlineLevel="0" collapsed="false">
      <c r="A175" s="81"/>
      <c r="B175" s="80"/>
      <c r="C175" s="147"/>
    </row>
    <row r="176" customFormat="false" ht="15" hidden="false" customHeight="true" outlineLevel="0" collapsed="false">
      <c r="A176" s="81"/>
      <c r="B176" s="80"/>
      <c r="C176" s="147"/>
    </row>
    <row r="177" customFormat="false" ht="15" hidden="false" customHeight="true" outlineLevel="0" collapsed="false">
      <c r="A177" s="81"/>
      <c r="B177" s="80"/>
      <c r="C177" s="147"/>
    </row>
    <row r="178" customFormat="false" ht="15" hidden="false" customHeight="true" outlineLevel="0" collapsed="false">
      <c r="A178" s="81"/>
      <c r="B178" s="80"/>
      <c r="C178" s="147"/>
    </row>
    <row r="179" customFormat="false" ht="15" hidden="false" customHeight="true" outlineLevel="0" collapsed="false">
      <c r="A179" s="81"/>
      <c r="B179" s="80"/>
      <c r="C179" s="147"/>
    </row>
    <row r="180" customFormat="false" ht="15" hidden="false" customHeight="true" outlineLevel="0" collapsed="false">
      <c r="A180" s="81"/>
      <c r="B180" s="80"/>
      <c r="C180" s="147"/>
    </row>
    <row r="181" customFormat="false" ht="15" hidden="false" customHeight="true" outlineLevel="0" collapsed="false">
      <c r="A181" s="81"/>
      <c r="B181" s="80"/>
      <c r="C181" s="147"/>
    </row>
    <row r="182" customFormat="false" ht="15" hidden="false" customHeight="true" outlineLevel="0" collapsed="false">
      <c r="A182" s="81"/>
      <c r="B182" s="80"/>
      <c r="C182" s="147"/>
    </row>
    <row r="183" customFormat="false" ht="15" hidden="false" customHeight="true" outlineLevel="0" collapsed="false">
      <c r="A183" s="81"/>
      <c r="B183" s="80"/>
      <c r="C183" s="147"/>
    </row>
    <row r="184" customFormat="false" ht="15" hidden="false" customHeight="true" outlineLevel="0" collapsed="false">
      <c r="A184" s="81"/>
      <c r="B184" s="80"/>
      <c r="C184" s="147"/>
    </row>
    <row r="185" customFormat="false" ht="15" hidden="false" customHeight="true" outlineLevel="0" collapsed="false">
      <c r="A185" s="81"/>
      <c r="B185" s="80"/>
      <c r="C185" s="147"/>
    </row>
    <row r="186" customFormat="false" ht="15" hidden="false" customHeight="true" outlineLevel="0" collapsed="false">
      <c r="A186" s="81"/>
      <c r="B186" s="80"/>
      <c r="C186" s="147"/>
    </row>
    <row r="187" customFormat="false" ht="15" hidden="false" customHeight="true" outlineLevel="0" collapsed="false">
      <c r="A187" s="81"/>
      <c r="B187" s="80"/>
      <c r="C187" s="147"/>
    </row>
    <row r="188" customFormat="false" ht="15" hidden="false" customHeight="true" outlineLevel="0" collapsed="false">
      <c r="A188" s="81"/>
      <c r="B188" s="80"/>
      <c r="C188" s="147"/>
    </row>
    <row r="189" customFormat="false" ht="15" hidden="false" customHeight="true" outlineLevel="0" collapsed="false">
      <c r="A189" s="81"/>
      <c r="B189" s="80"/>
      <c r="C189" s="147"/>
    </row>
    <row r="190" customFormat="false" ht="15" hidden="false" customHeight="true" outlineLevel="0" collapsed="false">
      <c r="A190" s="81"/>
      <c r="B190" s="80"/>
      <c r="C190" s="147"/>
    </row>
    <row r="191" customFormat="false" ht="15" hidden="false" customHeight="true" outlineLevel="0" collapsed="false">
      <c r="A191" s="81"/>
      <c r="B191" s="80"/>
      <c r="C191" s="147"/>
    </row>
    <row r="192" customFormat="false" ht="15" hidden="false" customHeight="true" outlineLevel="0" collapsed="false">
      <c r="A192" s="81"/>
      <c r="B192" s="80"/>
      <c r="C192" s="147"/>
    </row>
    <row r="193" customFormat="false" ht="15" hidden="false" customHeight="true" outlineLevel="0" collapsed="false">
      <c r="A193" s="81"/>
      <c r="B193" s="80"/>
      <c r="C193" s="147"/>
    </row>
    <row r="194" customFormat="false" ht="15" hidden="false" customHeight="true" outlineLevel="0" collapsed="false">
      <c r="A194" s="81"/>
      <c r="B194" s="80"/>
      <c r="C194" s="147"/>
    </row>
    <row r="195" customFormat="false" ht="15" hidden="false" customHeight="true" outlineLevel="0" collapsed="false">
      <c r="A195" s="81"/>
      <c r="B195" s="80"/>
      <c r="C195" s="147"/>
    </row>
    <row r="196" customFormat="false" ht="15" hidden="false" customHeight="true" outlineLevel="0" collapsed="false">
      <c r="A196" s="81"/>
      <c r="B196" s="80"/>
      <c r="C196" s="147"/>
    </row>
    <row r="197" customFormat="false" ht="15" hidden="false" customHeight="true" outlineLevel="0" collapsed="false">
      <c r="A197" s="81"/>
      <c r="B197" s="80"/>
      <c r="C197" s="147"/>
    </row>
    <row r="198" customFormat="false" ht="15" hidden="false" customHeight="true" outlineLevel="0" collapsed="false">
      <c r="A198" s="81"/>
      <c r="B198" s="80"/>
      <c r="C198" s="147"/>
    </row>
    <row r="199" customFormat="false" ht="15" hidden="false" customHeight="true" outlineLevel="0" collapsed="false">
      <c r="A199" s="81"/>
      <c r="B199" s="80"/>
      <c r="C199" s="147"/>
    </row>
    <row r="200" customFormat="false" ht="15" hidden="false" customHeight="true" outlineLevel="0" collapsed="false">
      <c r="A200" s="81"/>
      <c r="B200" s="80"/>
      <c r="C200" s="147"/>
    </row>
    <row r="201" customFormat="false" ht="15" hidden="false" customHeight="true" outlineLevel="0" collapsed="false">
      <c r="A201" s="81"/>
      <c r="B201" s="80"/>
      <c r="C201" s="147"/>
    </row>
    <row r="202" customFormat="false" ht="15" hidden="false" customHeight="true" outlineLevel="0" collapsed="false">
      <c r="A202" s="81"/>
      <c r="B202" s="80"/>
      <c r="C202" s="147"/>
    </row>
    <row r="203" customFormat="false" ht="15" hidden="false" customHeight="true" outlineLevel="0" collapsed="false">
      <c r="A203" s="81"/>
      <c r="B203" s="80"/>
      <c r="C203" s="147"/>
    </row>
    <row r="204" customFormat="false" ht="15" hidden="false" customHeight="true" outlineLevel="0" collapsed="false">
      <c r="A204" s="81"/>
      <c r="B204" s="80"/>
      <c r="C204" s="147"/>
    </row>
    <row r="205" customFormat="false" ht="15" hidden="false" customHeight="true" outlineLevel="0" collapsed="false">
      <c r="A205" s="81"/>
      <c r="B205" s="80"/>
      <c r="C205" s="147"/>
    </row>
    <row r="206" customFormat="false" ht="15" hidden="false" customHeight="true" outlineLevel="0" collapsed="false">
      <c r="A206" s="81"/>
      <c r="B206" s="80"/>
      <c r="C206" s="147"/>
    </row>
    <row r="207" customFormat="false" ht="15" hidden="false" customHeight="true" outlineLevel="0" collapsed="false">
      <c r="A207" s="81"/>
      <c r="B207" s="80"/>
      <c r="C207" s="147"/>
    </row>
    <row r="208" customFormat="false" ht="15" hidden="false" customHeight="true" outlineLevel="0" collapsed="false">
      <c r="A208" s="81"/>
      <c r="B208" s="80"/>
      <c r="C208" s="147"/>
    </row>
    <row r="209" customFormat="false" ht="15" hidden="false" customHeight="true" outlineLevel="0" collapsed="false">
      <c r="A209" s="81"/>
      <c r="B209" s="80"/>
      <c r="C209" s="147"/>
    </row>
    <row r="210" customFormat="false" ht="15" hidden="false" customHeight="true" outlineLevel="0" collapsed="false">
      <c r="A210" s="81"/>
      <c r="B210" s="80"/>
      <c r="C210" s="147"/>
    </row>
    <row r="211" customFormat="false" ht="15" hidden="false" customHeight="true" outlineLevel="0" collapsed="false">
      <c r="A211" s="81"/>
      <c r="B211" s="80"/>
      <c r="C211" s="147"/>
    </row>
    <row r="212" customFormat="false" ht="15" hidden="false" customHeight="true" outlineLevel="0" collapsed="false">
      <c r="A212" s="81"/>
      <c r="B212" s="80"/>
      <c r="C212" s="147"/>
    </row>
    <row r="213" customFormat="false" ht="15" hidden="false" customHeight="true" outlineLevel="0" collapsed="false">
      <c r="A213" s="81"/>
      <c r="B213" s="80"/>
      <c r="C213" s="147"/>
    </row>
    <row r="214" customFormat="false" ht="15" hidden="false" customHeight="true" outlineLevel="0" collapsed="false">
      <c r="A214" s="81"/>
      <c r="B214" s="80"/>
      <c r="C214" s="147"/>
    </row>
    <row r="215" customFormat="false" ht="15" hidden="false" customHeight="true" outlineLevel="0" collapsed="false">
      <c r="A215" s="81"/>
      <c r="B215" s="80"/>
      <c r="C215" s="147"/>
    </row>
    <row r="216" customFormat="false" ht="15" hidden="false" customHeight="true" outlineLevel="0" collapsed="false">
      <c r="A216" s="81"/>
      <c r="B216" s="80"/>
      <c r="C216" s="147"/>
    </row>
    <row r="217" customFormat="false" ht="15" hidden="false" customHeight="true" outlineLevel="0" collapsed="false">
      <c r="A217" s="81"/>
      <c r="B217" s="80"/>
      <c r="C217" s="147"/>
    </row>
    <row r="218" customFormat="false" ht="15" hidden="false" customHeight="true" outlineLevel="0" collapsed="false">
      <c r="A218" s="81"/>
      <c r="B218" s="80"/>
      <c r="C218" s="147"/>
    </row>
    <row r="219" customFormat="false" ht="15" hidden="false" customHeight="true" outlineLevel="0" collapsed="false">
      <c r="A219" s="81"/>
      <c r="B219" s="80"/>
      <c r="C219" s="147"/>
    </row>
    <row r="220" customFormat="false" ht="15" hidden="false" customHeight="true" outlineLevel="0" collapsed="false">
      <c r="A220" s="81"/>
      <c r="B220" s="80"/>
      <c r="C220" s="147"/>
    </row>
    <row r="221" customFormat="false" ht="15" hidden="false" customHeight="true" outlineLevel="0" collapsed="false">
      <c r="A221" s="81"/>
      <c r="B221" s="80"/>
      <c r="C221" s="147"/>
    </row>
    <row r="222" customFormat="false" ht="15" hidden="false" customHeight="true" outlineLevel="0" collapsed="false">
      <c r="A222" s="81"/>
      <c r="B222" s="80"/>
      <c r="C222" s="147"/>
    </row>
    <row r="223" customFormat="false" ht="15" hidden="false" customHeight="true" outlineLevel="0" collapsed="false">
      <c r="A223" s="81"/>
      <c r="B223" s="80"/>
      <c r="C223" s="147"/>
    </row>
    <row r="224" customFormat="false" ht="15" hidden="false" customHeight="true" outlineLevel="0" collapsed="false">
      <c r="A224" s="81"/>
      <c r="B224" s="80"/>
      <c r="C224" s="147"/>
    </row>
    <row r="225" customFormat="false" ht="15" hidden="false" customHeight="true" outlineLevel="0" collapsed="false">
      <c r="A225" s="81"/>
      <c r="B225" s="80"/>
      <c r="C225" s="147"/>
    </row>
    <row r="226" customFormat="false" ht="15" hidden="false" customHeight="true" outlineLevel="0" collapsed="false">
      <c r="A226" s="81"/>
      <c r="B226" s="80"/>
      <c r="C226" s="147"/>
    </row>
    <row r="227" customFormat="false" ht="15" hidden="false" customHeight="true" outlineLevel="0" collapsed="false">
      <c r="A227" s="81"/>
      <c r="B227" s="80"/>
      <c r="C227" s="147"/>
    </row>
    <row r="228" customFormat="false" ht="15" hidden="false" customHeight="true" outlineLevel="0" collapsed="false">
      <c r="A228" s="81"/>
      <c r="B228" s="80"/>
      <c r="C228" s="147"/>
    </row>
    <row r="229" customFormat="false" ht="15" hidden="false" customHeight="true" outlineLevel="0" collapsed="false">
      <c r="A229" s="81"/>
      <c r="B229" s="80"/>
      <c r="C229" s="147"/>
    </row>
    <row r="230" customFormat="false" ht="15" hidden="false" customHeight="true" outlineLevel="0" collapsed="false">
      <c r="A230" s="81"/>
      <c r="B230" s="80"/>
      <c r="C230" s="147"/>
    </row>
    <row r="231" customFormat="false" ht="15" hidden="false" customHeight="true" outlineLevel="0" collapsed="false">
      <c r="A231" s="81"/>
      <c r="B231" s="80"/>
      <c r="C231" s="147"/>
    </row>
    <row r="232" customFormat="false" ht="15" hidden="false" customHeight="true" outlineLevel="0" collapsed="false">
      <c r="A232" s="81"/>
      <c r="B232" s="80"/>
      <c r="C232" s="147"/>
    </row>
    <row r="233" customFormat="false" ht="15" hidden="false" customHeight="true" outlineLevel="0" collapsed="false">
      <c r="A233" s="81"/>
      <c r="B233" s="80"/>
      <c r="C233" s="147"/>
    </row>
    <row r="234" customFormat="false" ht="15" hidden="false" customHeight="true" outlineLevel="0" collapsed="false">
      <c r="A234" s="81"/>
      <c r="B234" s="80"/>
      <c r="C234" s="147"/>
    </row>
    <row r="235" customFormat="false" ht="15" hidden="false" customHeight="true" outlineLevel="0" collapsed="false">
      <c r="A235" s="81"/>
      <c r="B235" s="80"/>
      <c r="C235" s="147"/>
    </row>
    <row r="236" customFormat="false" ht="15" hidden="false" customHeight="true" outlineLevel="0" collapsed="false">
      <c r="A236" s="81"/>
      <c r="B236" s="80"/>
      <c r="C236" s="147"/>
    </row>
    <row r="237" customFormat="false" ht="15" hidden="false" customHeight="true" outlineLevel="0" collapsed="false">
      <c r="A237" s="81"/>
      <c r="B237" s="80"/>
      <c r="C237" s="147"/>
    </row>
    <row r="238" customFormat="false" ht="15" hidden="false" customHeight="true" outlineLevel="0" collapsed="false">
      <c r="A238" s="81"/>
      <c r="B238" s="80"/>
      <c r="C238" s="147"/>
    </row>
    <row r="239" customFormat="false" ht="15" hidden="false" customHeight="true" outlineLevel="0" collapsed="false">
      <c r="A239" s="81"/>
      <c r="B239" s="80"/>
      <c r="C239" s="147"/>
    </row>
    <row r="240" customFormat="false" ht="15" hidden="false" customHeight="true" outlineLevel="0" collapsed="false">
      <c r="A240" s="81"/>
      <c r="B240" s="80"/>
      <c r="C240" s="147"/>
    </row>
    <row r="241" customFormat="false" ht="15" hidden="false" customHeight="true" outlineLevel="0" collapsed="false">
      <c r="A241" s="81"/>
      <c r="B241" s="80"/>
      <c r="C241" s="147"/>
    </row>
    <row r="242" customFormat="false" ht="15" hidden="false" customHeight="true" outlineLevel="0" collapsed="false">
      <c r="A242" s="81"/>
      <c r="B242" s="80"/>
      <c r="C242" s="147"/>
    </row>
    <row r="243" customFormat="false" ht="15" hidden="false" customHeight="true" outlineLevel="0" collapsed="false">
      <c r="A243" s="81"/>
      <c r="B243" s="80"/>
      <c r="C243" s="147"/>
    </row>
    <row r="244" customFormat="false" ht="15" hidden="false" customHeight="true" outlineLevel="0" collapsed="false">
      <c r="A244" s="81"/>
      <c r="B244" s="80"/>
      <c r="C244" s="147"/>
    </row>
    <row r="245" customFormat="false" ht="15" hidden="false" customHeight="true" outlineLevel="0" collapsed="false">
      <c r="A245" s="81"/>
      <c r="B245" s="80"/>
      <c r="C245" s="147"/>
    </row>
    <row r="246" customFormat="false" ht="15" hidden="false" customHeight="true" outlineLevel="0" collapsed="false">
      <c r="A246" s="81"/>
      <c r="B246" s="80"/>
      <c r="C246" s="147"/>
    </row>
    <row r="247" customFormat="false" ht="15" hidden="false" customHeight="true" outlineLevel="0" collapsed="false">
      <c r="A247" s="81"/>
      <c r="B247" s="80"/>
      <c r="C247" s="147"/>
    </row>
    <row r="248" customFormat="false" ht="15" hidden="false" customHeight="true" outlineLevel="0" collapsed="false">
      <c r="A248" s="81"/>
      <c r="B248" s="80"/>
      <c r="C248" s="147"/>
    </row>
    <row r="249" customFormat="false" ht="15" hidden="false" customHeight="true" outlineLevel="0" collapsed="false">
      <c r="A249" s="81"/>
      <c r="B249" s="80"/>
      <c r="C249" s="147"/>
    </row>
    <row r="250" customFormat="false" ht="15" hidden="false" customHeight="true" outlineLevel="0" collapsed="false">
      <c r="A250" s="81"/>
      <c r="B250" s="80"/>
      <c r="C250" s="147"/>
    </row>
    <row r="251" customFormat="false" ht="15" hidden="false" customHeight="true" outlineLevel="0" collapsed="false">
      <c r="A251" s="81"/>
      <c r="B251" s="80"/>
      <c r="C251" s="147"/>
    </row>
    <row r="252" customFormat="false" ht="15" hidden="false" customHeight="true" outlineLevel="0" collapsed="false">
      <c r="A252" s="81"/>
      <c r="B252" s="80"/>
      <c r="C252" s="147"/>
    </row>
    <row r="253" customFormat="false" ht="15" hidden="false" customHeight="true" outlineLevel="0" collapsed="false">
      <c r="A253" s="81"/>
      <c r="B253" s="80"/>
      <c r="C253" s="147"/>
    </row>
    <row r="254" customFormat="false" ht="15" hidden="false" customHeight="true" outlineLevel="0" collapsed="false">
      <c r="A254" s="81"/>
      <c r="B254" s="80"/>
      <c r="C254" s="147"/>
    </row>
    <row r="255" customFormat="false" ht="15" hidden="false" customHeight="true" outlineLevel="0" collapsed="false">
      <c r="A255" s="81"/>
      <c r="B255" s="80"/>
      <c r="C255" s="147"/>
    </row>
    <row r="256" customFormat="false" ht="15" hidden="false" customHeight="true" outlineLevel="0" collapsed="false">
      <c r="A256" s="81"/>
      <c r="B256" s="80"/>
      <c r="C256" s="147"/>
    </row>
    <row r="257" customFormat="false" ht="15" hidden="false" customHeight="true" outlineLevel="0" collapsed="false">
      <c r="A257" s="81"/>
      <c r="B257" s="80"/>
      <c r="C257" s="147"/>
    </row>
    <row r="258" customFormat="false" ht="15" hidden="false" customHeight="true" outlineLevel="0" collapsed="false">
      <c r="A258" s="81"/>
      <c r="B258" s="80"/>
      <c r="C258" s="147"/>
    </row>
    <row r="259" customFormat="false" ht="15" hidden="false" customHeight="true" outlineLevel="0" collapsed="false">
      <c r="A259" s="81"/>
      <c r="B259" s="80"/>
      <c r="C259" s="147"/>
    </row>
    <row r="260" customFormat="false" ht="15" hidden="false" customHeight="true" outlineLevel="0" collapsed="false">
      <c r="A260" s="81"/>
      <c r="B260" s="80"/>
      <c r="C260" s="147"/>
    </row>
    <row r="261" customFormat="false" ht="15" hidden="false" customHeight="true" outlineLevel="0" collapsed="false">
      <c r="A261" s="81"/>
      <c r="B261" s="80"/>
      <c r="C261" s="147"/>
    </row>
    <row r="262" customFormat="false" ht="15" hidden="false" customHeight="true" outlineLevel="0" collapsed="false">
      <c r="A262" s="81"/>
      <c r="B262" s="80"/>
      <c r="C262" s="147"/>
    </row>
    <row r="263" customFormat="false" ht="15" hidden="false" customHeight="true" outlineLevel="0" collapsed="false">
      <c r="A263" s="81"/>
      <c r="B263" s="80"/>
      <c r="C263" s="147"/>
    </row>
    <row r="264" customFormat="false" ht="15" hidden="false" customHeight="true" outlineLevel="0" collapsed="false">
      <c r="A264" s="81"/>
      <c r="B264" s="80"/>
      <c r="C264" s="147"/>
    </row>
    <row r="265" customFormat="false" ht="15" hidden="false" customHeight="true" outlineLevel="0" collapsed="false">
      <c r="A265" s="81"/>
      <c r="B265" s="80"/>
      <c r="C265" s="147"/>
    </row>
    <row r="266" customFormat="false" ht="15" hidden="false" customHeight="true" outlineLevel="0" collapsed="false">
      <c r="A266" s="81"/>
      <c r="B266" s="80"/>
      <c r="C266" s="147"/>
    </row>
    <row r="267" customFormat="false" ht="15" hidden="false" customHeight="true" outlineLevel="0" collapsed="false">
      <c r="A267" s="81"/>
      <c r="B267" s="80"/>
      <c r="C267" s="147"/>
    </row>
    <row r="268" customFormat="false" ht="15" hidden="false" customHeight="true" outlineLevel="0" collapsed="false">
      <c r="A268" s="81"/>
      <c r="B268" s="80"/>
      <c r="C268" s="147"/>
    </row>
    <row r="269" customFormat="false" ht="15" hidden="false" customHeight="true" outlineLevel="0" collapsed="false">
      <c r="A269" s="81"/>
      <c r="B269" s="80"/>
      <c r="C269" s="147"/>
    </row>
    <row r="270" customFormat="false" ht="15" hidden="false" customHeight="true" outlineLevel="0" collapsed="false">
      <c r="A270" s="81"/>
      <c r="B270" s="80"/>
      <c r="C270" s="147"/>
    </row>
    <row r="271" customFormat="false" ht="15" hidden="false" customHeight="true" outlineLevel="0" collapsed="false">
      <c r="A271" s="81"/>
      <c r="B271" s="80"/>
      <c r="C271" s="147"/>
    </row>
    <row r="272" customFormat="false" ht="15" hidden="false" customHeight="true" outlineLevel="0" collapsed="false">
      <c r="A272" s="81"/>
      <c r="B272" s="80"/>
      <c r="C272" s="147"/>
    </row>
    <row r="273" customFormat="false" ht="15" hidden="false" customHeight="true" outlineLevel="0" collapsed="false">
      <c r="A273" s="81"/>
      <c r="B273" s="80"/>
      <c r="C273" s="147"/>
    </row>
    <row r="274" customFormat="false" ht="15" hidden="false" customHeight="true" outlineLevel="0" collapsed="false">
      <c r="A274" s="81"/>
      <c r="B274" s="80"/>
      <c r="C274" s="147"/>
    </row>
    <row r="275" customFormat="false" ht="15" hidden="false" customHeight="true" outlineLevel="0" collapsed="false">
      <c r="A275" s="81"/>
      <c r="B275" s="80"/>
      <c r="C275" s="147"/>
    </row>
    <row r="276" customFormat="false" ht="15" hidden="false" customHeight="true" outlineLevel="0" collapsed="false">
      <c r="A276" s="81"/>
      <c r="B276" s="80"/>
      <c r="C276" s="147"/>
    </row>
    <row r="277" customFormat="false" ht="15" hidden="false" customHeight="true" outlineLevel="0" collapsed="false">
      <c r="A277" s="81"/>
      <c r="B277" s="80"/>
      <c r="C277" s="147"/>
    </row>
    <row r="278" customFormat="false" ht="15" hidden="false" customHeight="true" outlineLevel="0" collapsed="false">
      <c r="A278" s="81"/>
      <c r="B278" s="80"/>
      <c r="C278" s="147"/>
    </row>
    <row r="279" customFormat="false" ht="15" hidden="false" customHeight="true" outlineLevel="0" collapsed="false">
      <c r="A279" s="81"/>
      <c r="B279" s="80"/>
      <c r="C279" s="147"/>
    </row>
    <row r="280" customFormat="false" ht="15" hidden="false" customHeight="true" outlineLevel="0" collapsed="false">
      <c r="A280" s="81"/>
      <c r="B280" s="80"/>
      <c r="C280" s="147"/>
    </row>
    <row r="281" customFormat="false" ht="15" hidden="false" customHeight="true" outlineLevel="0" collapsed="false">
      <c r="A281" s="81"/>
      <c r="B281" s="80"/>
      <c r="C281" s="147"/>
    </row>
    <row r="282" customFormat="false" ht="15" hidden="false" customHeight="true" outlineLevel="0" collapsed="false">
      <c r="A282" s="81"/>
      <c r="B282" s="80"/>
      <c r="C282" s="147"/>
    </row>
    <row r="283" customFormat="false" ht="15" hidden="false" customHeight="true" outlineLevel="0" collapsed="false">
      <c r="A283" s="81"/>
      <c r="B283" s="80"/>
      <c r="C283" s="147"/>
    </row>
    <row r="284" customFormat="false" ht="15" hidden="false" customHeight="true" outlineLevel="0" collapsed="false">
      <c r="A284" s="81"/>
      <c r="B284" s="80"/>
      <c r="C284" s="147"/>
    </row>
    <row r="285" customFormat="false" ht="15" hidden="false" customHeight="true" outlineLevel="0" collapsed="false">
      <c r="A285" s="81"/>
      <c r="B285" s="80"/>
      <c r="C285" s="147"/>
    </row>
    <row r="286" customFormat="false" ht="15" hidden="false" customHeight="true" outlineLevel="0" collapsed="false">
      <c r="A286" s="81"/>
      <c r="B286" s="80"/>
      <c r="C286" s="147"/>
    </row>
    <row r="287" customFormat="false" ht="15" hidden="false" customHeight="true" outlineLevel="0" collapsed="false">
      <c r="A287" s="81"/>
      <c r="B287" s="80"/>
      <c r="C287" s="147"/>
    </row>
    <row r="288" customFormat="false" ht="15" hidden="false" customHeight="true" outlineLevel="0" collapsed="false">
      <c r="A288" s="81"/>
      <c r="B288" s="80"/>
      <c r="C288" s="147"/>
    </row>
    <row r="289" customFormat="false" ht="15" hidden="false" customHeight="true" outlineLevel="0" collapsed="false">
      <c r="A289" s="81"/>
      <c r="B289" s="80"/>
      <c r="C289" s="147"/>
    </row>
    <row r="290" customFormat="false" ht="15" hidden="false" customHeight="true" outlineLevel="0" collapsed="false">
      <c r="A290" s="81"/>
      <c r="B290" s="80"/>
      <c r="C290" s="147"/>
    </row>
    <row r="291" customFormat="false" ht="15" hidden="false" customHeight="true" outlineLevel="0" collapsed="false">
      <c r="A291" s="81"/>
      <c r="B291" s="80"/>
      <c r="C291" s="147"/>
    </row>
    <row r="292" customFormat="false" ht="15" hidden="false" customHeight="true" outlineLevel="0" collapsed="false">
      <c r="A292" s="81"/>
      <c r="B292" s="80"/>
      <c r="C292" s="147"/>
    </row>
    <row r="293" customFormat="false" ht="15" hidden="false" customHeight="true" outlineLevel="0" collapsed="false">
      <c r="A293" s="81"/>
      <c r="B293" s="80"/>
      <c r="C293" s="147"/>
    </row>
    <row r="294" customFormat="false" ht="15" hidden="false" customHeight="true" outlineLevel="0" collapsed="false">
      <c r="A294" s="81"/>
      <c r="B294" s="80"/>
      <c r="C294" s="147"/>
    </row>
    <row r="295" customFormat="false" ht="15" hidden="false" customHeight="true" outlineLevel="0" collapsed="false">
      <c r="A295" s="81"/>
      <c r="B295" s="80"/>
      <c r="C295" s="147"/>
    </row>
    <row r="296" customFormat="false" ht="15" hidden="false" customHeight="true" outlineLevel="0" collapsed="false">
      <c r="A296" s="81"/>
      <c r="B296" s="80"/>
      <c r="C296" s="147"/>
    </row>
    <row r="297" customFormat="false" ht="15" hidden="false" customHeight="true" outlineLevel="0" collapsed="false">
      <c r="A297" s="81"/>
      <c r="B297" s="80"/>
      <c r="C297" s="147"/>
    </row>
    <row r="298" customFormat="false" ht="15" hidden="false" customHeight="true" outlineLevel="0" collapsed="false">
      <c r="A298" s="81"/>
      <c r="B298" s="80"/>
      <c r="C298" s="147"/>
    </row>
    <row r="299" customFormat="false" ht="15" hidden="false" customHeight="true" outlineLevel="0" collapsed="false">
      <c r="A299" s="81"/>
      <c r="B299" s="80"/>
      <c r="C299" s="147"/>
    </row>
    <row r="300" customFormat="false" ht="15" hidden="false" customHeight="true" outlineLevel="0" collapsed="false">
      <c r="A300" s="81"/>
      <c r="B300" s="80"/>
      <c r="C300" s="147"/>
    </row>
    <row r="301" customFormat="false" ht="15" hidden="false" customHeight="true" outlineLevel="0" collapsed="false">
      <c r="A301" s="81"/>
      <c r="B301" s="80"/>
      <c r="C301" s="147"/>
    </row>
    <row r="302" customFormat="false" ht="15" hidden="false" customHeight="true" outlineLevel="0" collapsed="false">
      <c r="A302" s="81"/>
      <c r="B302" s="80"/>
      <c r="C302" s="147"/>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49" t="s">
        <v>584</v>
      </c>
      <c r="B1" s="149"/>
      <c r="C1" s="149"/>
      <c r="D1" s="149"/>
      <c r="E1" s="149"/>
      <c r="F1" s="149"/>
    </row>
    <row r="2" customFormat="false" ht="15" hidden="false" customHeight="true" outlineLevel="0" collapsed="false">
      <c r="A2" s="27" t="s">
        <v>585</v>
      </c>
      <c r="C2" s="113" t="n">
        <f aca="false">COUNTIF(F5:F500,"OVERDUE")</f>
        <v>0</v>
      </c>
    </row>
    <row r="4" customFormat="false" ht="27.75" hidden="false" customHeight="true" outlineLevel="0" collapsed="false">
      <c r="A4" s="114" t="s">
        <v>586</v>
      </c>
      <c r="B4" s="114" t="s">
        <v>587</v>
      </c>
      <c r="C4" s="114" t="s">
        <v>588</v>
      </c>
      <c r="D4" s="114" t="s">
        <v>589</v>
      </c>
      <c r="E4" s="114" t="s">
        <v>590</v>
      </c>
      <c r="F4" s="114" t="s">
        <v>452</v>
      </c>
    </row>
    <row r="5" customFormat="false" ht="15" hidden="false" customHeight="true" outlineLevel="0" collapsed="false">
      <c r="A5" s="118" t="s">
        <v>542</v>
      </c>
      <c r="B5" s="150" t="s">
        <v>591</v>
      </c>
      <c r="C5" s="118"/>
      <c r="D5" s="118"/>
      <c r="E5" s="151" t="n">
        <f aca="false">IFERROR(INDEX(Journal!$A:$A,MATCH($A5,Journal!$B:$B,0)),"")</f>
        <v>46295</v>
      </c>
      <c r="F5" s="118" t="str">
        <f aca="true">IF(C5="Y","Done",IF(AND(E5&lt;&gt;"",TODAY()&gt;E5),"OVERDUE","Pending"))</f>
        <v>Pending</v>
      </c>
    </row>
    <row r="6" customFormat="false" ht="15" hidden="false" customHeight="true" outlineLevel="0" collapsed="false">
      <c r="A6" s="118" t="s">
        <v>542</v>
      </c>
      <c r="B6" s="150" t="s">
        <v>592</v>
      </c>
      <c r="C6" s="118"/>
      <c r="D6" s="118"/>
      <c r="E6" s="151" t="n">
        <f aca="false">IFERROR(INDEX(Journal!$A:$A,MATCH($A6,Journal!$B:$B,0)),"")</f>
        <v>46295</v>
      </c>
      <c r="F6" s="118" t="str">
        <f aca="true">IF(C6="Y","Done",IF(AND(E6&lt;&gt;"",TODAY()&gt;E6),"OVERDUE","Pending"))</f>
        <v>Pending</v>
      </c>
    </row>
    <row r="7" customFormat="false" ht="15" hidden="false" customHeight="true" outlineLevel="0" collapsed="false">
      <c r="A7" s="118" t="s">
        <v>542</v>
      </c>
      <c r="B7" s="150" t="s">
        <v>593</v>
      </c>
      <c r="C7" s="118"/>
      <c r="D7" s="118"/>
      <c r="E7" s="151" t="n">
        <f aca="false">IFERROR(INDEX(Journal!$A:$A,MATCH($A7,Journal!$B:$B,0)),"")</f>
        <v>46295</v>
      </c>
      <c r="F7" s="118" t="str">
        <f aca="true">IF(C7="Y","Done",IF(AND(E7&lt;&gt;"",TODAY()&gt;E7),"OVERDUE","Pending"))</f>
        <v>Pending</v>
      </c>
    </row>
    <row r="8" customFormat="false" ht="15" hidden="false" customHeight="true" outlineLevel="0" collapsed="false">
      <c r="A8" s="118" t="s">
        <v>542</v>
      </c>
      <c r="B8" s="150" t="s">
        <v>594</v>
      </c>
      <c r="C8" s="118"/>
      <c r="D8" s="118"/>
      <c r="E8" s="151" t="n">
        <f aca="false">IFERROR(INDEX(Journal!$A:$A,MATCH($A8,Journal!$B:$B,0)),"")</f>
        <v>46295</v>
      </c>
      <c r="F8" s="118" t="str">
        <f aca="true">IF(C8="Y","Done",IF(AND(E8&lt;&gt;"",TODAY()&gt;E8),"OVERDUE","Pending"))</f>
        <v>Pending</v>
      </c>
    </row>
    <row r="9" customFormat="false" ht="15" hidden="false" customHeight="true" outlineLevel="0" collapsed="false">
      <c r="A9" s="118" t="s">
        <v>542</v>
      </c>
      <c r="B9" s="150" t="s">
        <v>595</v>
      </c>
      <c r="C9" s="118"/>
      <c r="D9" s="118"/>
      <c r="E9" s="151" t="n">
        <f aca="false">IFERROR(INDEX(Journal!$A:$A,MATCH($A9,Journal!$B:$B,0)),"")</f>
        <v>46295</v>
      </c>
      <c r="F9" s="118" t="str">
        <f aca="true">IF(C9="Y","Done",IF(AND(E9&lt;&gt;"",TODAY()&gt;E9),"OVERDUE","Pending"))</f>
        <v>Pending</v>
      </c>
    </row>
    <row r="10" customFormat="false" ht="15" hidden="false" customHeight="true" outlineLevel="0" collapsed="false">
      <c r="A10" s="118" t="s">
        <v>542</v>
      </c>
      <c r="B10" s="150" t="s">
        <v>596</v>
      </c>
      <c r="C10" s="118"/>
      <c r="D10" s="118"/>
      <c r="E10" s="151" t="n">
        <f aca="false">IFERROR(INDEX(Journal!$A:$A,MATCH($A10,Journal!$B:$B,0)),"")</f>
        <v>46295</v>
      </c>
      <c r="F10" s="118" t="str">
        <f aca="true">IF(C10="Y","Done",IF(AND(E10&lt;&gt;"",TODAY()&gt;E10),"OVERDUE","Pending"))</f>
        <v>Pending</v>
      </c>
    </row>
    <row r="11" customFormat="false" ht="23.25" hidden="false" customHeight="true" outlineLevel="0" collapsed="false">
      <c r="A11" s="118" t="s">
        <v>546</v>
      </c>
      <c r="B11" s="150" t="s">
        <v>597</v>
      </c>
      <c r="C11" s="118"/>
      <c r="D11" s="118"/>
      <c r="E11" s="151" t="n">
        <f aca="false">IFERROR(INDEX(Journal!$A:$A,MATCH($A11,Journal!$B:$B,0)),"")</f>
        <v>46320</v>
      </c>
      <c r="F11" s="118" t="str">
        <f aca="true">IF(C11="Y","Done",IF(AND(E11&lt;&gt;"",TODAY()&gt;E11),"OVERDUE","Pending"))</f>
        <v>Pending</v>
      </c>
    </row>
    <row r="12" customFormat="false" ht="15" hidden="false" customHeight="true" outlineLevel="0" collapsed="false">
      <c r="A12" s="118" t="s">
        <v>546</v>
      </c>
      <c r="B12" s="150" t="s">
        <v>598</v>
      </c>
      <c r="C12" s="118"/>
      <c r="D12" s="118"/>
      <c r="E12" s="151" t="n">
        <f aca="false">IFERROR(INDEX(Journal!$A:$A,MATCH($A12,Journal!$B:$B,0)),"")</f>
        <v>46320</v>
      </c>
      <c r="F12" s="118" t="str">
        <f aca="true">IF(C12="Y","Done",IF(AND(E12&lt;&gt;"",TODAY()&gt;E12),"OVERDUE","Pending"))</f>
        <v>Pending</v>
      </c>
    </row>
    <row r="13" customFormat="false" ht="23.25" hidden="false" customHeight="true" outlineLevel="0" collapsed="false">
      <c r="A13" s="118" t="s">
        <v>546</v>
      </c>
      <c r="B13" s="150" t="s">
        <v>599</v>
      </c>
      <c r="C13" s="118"/>
      <c r="D13" s="118"/>
      <c r="E13" s="151" t="n">
        <f aca="false">IFERROR(INDEX(Journal!$A:$A,MATCH($A13,Journal!$B:$B,0)),"")</f>
        <v>46320</v>
      </c>
      <c r="F13" s="118" t="str">
        <f aca="true">IF(C13="Y","Done",IF(AND(E13&lt;&gt;"",TODAY()&gt;E13),"OVERDUE","Pending"))</f>
        <v>Pending</v>
      </c>
    </row>
    <row r="14" customFormat="false" ht="15" hidden="false" customHeight="true" outlineLevel="0" collapsed="false">
      <c r="A14" s="118" t="s">
        <v>546</v>
      </c>
      <c r="B14" s="150" t="s">
        <v>594</v>
      </c>
      <c r="C14" s="118"/>
      <c r="D14" s="118"/>
      <c r="E14" s="151" t="n">
        <f aca="false">IFERROR(INDEX(Journal!$A:$A,MATCH($A14,Journal!$B:$B,0)),"")</f>
        <v>46320</v>
      </c>
      <c r="F14" s="118" t="str">
        <f aca="true">IF(C14="Y","Done",IF(AND(E14&lt;&gt;"",TODAY()&gt;E14),"OVERDUE","Pending"))</f>
        <v>Pending</v>
      </c>
    </row>
    <row r="15" customFormat="false" ht="15" hidden="false" customHeight="true" outlineLevel="0" collapsed="false">
      <c r="A15" s="118" t="s">
        <v>546</v>
      </c>
      <c r="B15" s="150" t="s">
        <v>595</v>
      </c>
      <c r="C15" s="118"/>
      <c r="D15" s="118"/>
      <c r="E15" s="151" t="n">
        <f aca="false">IFERROR(INDEX(Journal!$A:$A,MATCH($A15,Journal!$B:$B,0)),"")</f>
        <v>46320</v>
      </c>
      <c r="F15" s="118" t="str">
        <f aca="true">IF(C15="Y","Done",IF(AND(E15&lt;&gt;"",TODAY()&gt;E15),"OVERDUE","Pending"))</f>
        <v>Pending</v>
      </c>
    </row>
    <row r="16" customFormat="false" ht="15" hidden="false" customHeight="true" outlineLevel="0" collapsed="false">
      <c r="A16" s="118" t="s">
        <v>546</v>
      </c>
      <c r="B16" s="150" t="s">
        <v>596</v>
      </c>
      <c r="C16" s="118"/>
      <c r="D16" s="118"/>
      <c r="E16" s="151" t="n">
        <f aca="false">IFERROR(INDEX(Journal!$A:$A,MATCH($A16,Journal!$B:$B,0)),"")</f>
        <v>46320</v>
      </c>
      <c r="F16" s="118" t="str">
        <f aca="true">IF(C16="Y","Done",IF(AND(E16&lt;&gt;"",TODAY()&gt;E16),"OVERDUE","Pending"))</f>
        <v>Pending</v>
      </c>
    </row>
    <row r="17" customFormat="false" ht="15" hidden="false" customHeight="true" outlineLevel="0" collapsed="false">
      <c r="A17" s="118" t="s">
        <v>550</v>
      </c>
      <c r="B17" s="150" t="s">
        <v>591</v>
      </c>
      <c r="C17" s="118"/>
      <c r="D17" s="118"/>
      <c r="E17" s="151" t="n">
        <f aca="false">IFERROR(INDEX(Journal!$A:$A,MATCH($A17,Journal!$B:$B,0)),"")</f>
        <v>46387</v>
      </c>
      <c r="F17" s="118" t="str">
        <f aca="true">IF(C17="Y","Done",IF(AND(E17&lt;&gt;"",TODAY()&gt;E17),"OVERDUE","Pending"))</f>
        <v>Pending</v>
      </c>
    </row>
    <row r="18" customFormat="false" ht="15" hidden="false" customHeight="true" outlineLevel="0" collapsed="false">
      <c r="A18" s="118" t="s">
        <v>550</v>
      </c>
      <c r="B18" s="150" t="s">
        <v>592</v>
      </c>
      <c r="C18" s="118"/>
      <c r="D18" s="118"/>
      <c r="E18" s="151" t="n">
        <f aca="false">IFERROR(INDEX(Journal!$A:$A,MATCH($A18,Journal!$B:$B,0)),"")</f>
        <v>46387</v>
      </c>
      <c r="F18" s="118" t="str">
        <f aca="true">IF(C18="Y","Done",IF(AND(E18&lt;&gt;"",TODAY()&gt;E18),"OVERDUE","Pending"))</f>
        <v>Pending</v>
      </c>
    </row>
    <row r="19" customFormat="false" ht="15" hidden="false" customHeight="true" outlineLevel="0" collapsed="false">
      <c r="A19" s="118" t="s">
        <v>550</v>
      </c>
      <c r="B19" s="150" t="s">
        <v>593</v>
      </c>
      <c r="C19" s="118"/>
      <c r="D19" s="118"/>
      <c r="E19" s="151" t="n">
        <f aca="false">IFERROR(INDEX(Journal!$A:$A,MATCH($A19,Journal!$B:$B,0)),"")</f>
        <v>46387</v>
      </c>
      <c r="F19" s="118" t="str">
        <f aca="true">IF(C19="Y","Done",IF(AND(E19&lt;&gt;"",TODAY()&gt;E19),"OVERDUE","Pending"))</f>
        <v>Pending</v>
      </c>
    </row>
    <row r="20" customFormat="false" ht="15" hidden="false" customHeight="true" outlineLevel="0" collapsed="false">
      <c r="A20" s="118" t="s">
        <v>550</v>
      </c>
      <c r="B20" s="150" t="s">
        <v>594</v>
      </c>
      <c r="C20" s="118"/>
      <c r="D20" s="118"/>
      <c r="E20" s="151" t="n">
        <f aca="false">IFERROR(INDEX(Journal!$A:$A,MATCH($A20,Journal!$B:$B,0)),"")</f>
        <v>46387</v>
      </c>
      <c r="F20" s="118" t="str">
        <f aca="true">IF(C20="Y","Done",IF(AND(E20&lt;&gt;"",TODAY()&gt;E20),"OVERDUE","Pending"))</f>
        <v>Pending</v>
      </c>
    </row>
    <row r="21" customFormat="false" ht="15" hidden="false" customHeight="true" outlineLevel="0" collapsed="false">
      <c r="A21" s="118" t="s">
        <v>550</v>
      </c>
      <c r="B21" s="150" t="s">
        <v>595</v>
      </c>
      <c r="C21" s="118"/>
      <c r="D21" s="118"/>
      <c r="E21" s="151" t="n">
        <f aca="false">IFERROR(INDEX(Journal!$A:$A,MATCH($A21,Journal!$B:$B,0)),"")</f>
        <v>46387</v>
      </c>
      <c r="F21" s="118" t="str">
        <f aca="true">IF(C21="Y","Done",IF(AND(E21&lt;&gt;"",TODAY()&gt;E21),"OVERDUE","Pending"))</f>
        <v>Pending</v>
      </c>
    </row>
    <row r="22" customFormat="false" ht="15" hidden="false" customHeight="true" outlineLevel="0" collapsed="false">
      <c r="A22" s="118" t="s">
        <v>550</v>
      </c>
      <c r="B22" s="150" t="s">
        <v>596</v>
      </c>
      <c r="C22" s="118"/>
      <c r="D22" s="118"/>
      <c r="E22" s="151" t="n">
        <f aca="false">IFERROR(INDEX(Journal!$A:$A,MATCH($A22,Journal!$B:$B,0)),"")</f>
        <v>46387</v>
      </c>
      <c r="F22" s="118" t="str">
        <f aca="true">IF(C22="Y","Done",IF(AND(E22&lt;&gt;"",TODAY()&gt;E22),"OVERDUE","Pending"))</f>
        <v>Pending</v>
      </c>
    </row>
    <row r="23" customFormat="false" ht="15" hidden="false" customHeight="true" outlineLevel="0" collapsed="false">
      <c r="A23" s="118" t="s">
        <v>552</v>
      </c>
      <c r="B23" s="150" t="s">
        <v>600</v>
      </c>
      <c r="C23" s="118"/>
      <c r="D23" s="118"/>
      <c r="E23" s="151" t="n">
        <f aca="false">IFERROR(INDEX(Journal!$A:$A,MATCH($A23,Journal!$B:$B,0)),"")</f>
        <v>46412</v>
      </c>
      <c r="F23" s="118" t="str">
        <f aca="true">IF(C23="Y","Done",IF(AND(E23&lt;&gt;"",TODAY()&gt;E23),"OVERDUE","Pending"))</f>
        <v>Pending</v>
      </c>
    </row>
    <row r="24" customFormat="false" ht="23.25" hidden="false" customHeight="true" outlineLevel="0" collapsed="false">
      <c r="A24" s="118" t="s">
        <v>552</v>
      </c>
      <c r="B24" s="150" t="s">
        <v>601</v>
      </c>
      <c r="C24" s="118"/>
      <c r="D24" s="118"/>
      <c r="E24" s="151" t="n">
        <f aca="false">IFERROR(INDEX(Journal!$A:$A,MATCH($A24,Journal!$B:$B,0)),"")</f>
        <v>46412</v>
      </c>
      <c r="F24" s="118" t="str">
        <f aca="true">IF(C24="Y","Done",IF(AND(E24&lt;&gt;"",TODAY()&gt;E24),"OVERDUE","Pending"))</f>
        <v>Pending</v>
      </c>
    </row>
    <row r="25" customFormat="false" ht="15" hidden="false" customHeight="true" outlineLevel="0" collapsed="false">
      <c r="A25" s="118" t="s">
        <v>552</v>
      </c>
      <c r="B25" s="150" t="s">
        <v>594</v>
      </c>
      <c r="C25" s="118"/>
      <c r="D25" s="118"/>
      <c r="E25" s="151" t="n">
        <f aca="false">IFERROR(INDEX(Journal!$A:$A,MATCH($A25,Journal!$B:$B,0)),"")</f>
        <v>46412</v>
      </c>
      <c r="F25" s="118" t="str">
        <f aca="true">IF(C25="Y","Done",IF(AND(E25&lt;&gt;"",TODAY()&gt;E25),"OVERDUE","Pending"))</f>
        <v>Pending</v>
      </c>
    </row>
    <row r="26" customFormat="false" ht="15" hidden="false" customHeight="true" outlineLevel="0" collapsed="false">
      <c r="A26" s="118" t="s">
        <v>552</v>
      </c>
      <c r="B26" s="150" t="s">
        <v>595</v>
      </c>
      <c r="C26" s="118"/>
      <c r="D26" s="118"/>
      <c r="E26" s="151" t="n">
        <f aca="false">IFERROR(INDEX(Journal!$A:$A,MATCH($A26,Journal!$B:$B,0)),"")</f>
        <v>46412</v>
      </c>
      <c r="F26" s="118" t="str">
        <f aca="true">IF(C26="Y","Done",IF(AND(E26&lt;&gt;"",TODAY()&gt;E26),"OVERDUE","Pending"))</f>
        <v>Pending</v>
      </c>
    </row>
    <row r="27" customFormat="false" ht="15" hidden="false" customHeight="true" outlineLevel="0" collapsed="false">
      <c r="A27" s="118" t="s">
        <v>552</v>
      </c>
      <c r="B27" s="150" t="s">
        <v>596</v>
      </c>
      <c r="C27" s="118"/>
      <c r="D27" s="118"/>
      <c r="E27" s="151" t="n">
        <f aca="false">IFERROR(INDEX(Journal!$A:$A,MATCH($A27,Journal!$B:$B,0)),"")</f>
        <v>46412</v>
      </c>
      <c r="F27" s="118" t="str">
        <f aca="true">IF(C27="Y","Done",IF(AND(E27&lt;&gt;"",TODAY()&gt;E27),"OVERDUE","Pending"))</f>
        <v>Pending</v>
      </c>
    </row>
    <row r="28" customFormat="false" ht="15" hidden="false" customHeight="true" outlineLevel="0" collapsed="false">
      <c r="A28" s="118" t="s">
        <v>562</v>
      </c>
      <c r="B28" s="150" t="s">
        <v>602</v>
      </c>
      <c r="C28" s="118"/>
      <c r="D28" s="118"/>
      <c r="E28" s="151" t="n">
        <f aca="false">IFERROR(INDEX(Journal!$A:$A,MATCH($A28,Journal!$B:$B,0)),"")</f>
        <v>46302</v>
      </c>
      <c r="F28" s="118" t="str">
        <f aca="true">IF(C28="Y","Done",IF(AND(E28&lt;&gt;"",TODAY()&gt;E28),"OVERDUE","Pending"))</f>
        <v>Pending</v>
      </c>
    </row>
    <row r="29" customFormat="false" ht="15" hidden="false" customHeight="true" outlineLevel="0" collapsed="false">
      <c r="A29" s="118" t="s">
        <v>562</v>
      </c>
      <c r="B29" s="150" t="s">
        <v>603</v>
      </c>
      <c r="C29" s="118"/>
      <c r="D29" s="118"/>
      <c r="E29" s="151" t="n">
        <f aca="false">IFERROR(INDEX(Journal!$A:$A,MATCH($A29,Journal!$B:$B,0)),"")</f>
        <v>46302</v>
      </c>
      <c r="F29" s="118" t="str">
        <f aca="true">IF(C29="Y","Done",IF(AND(E29&lt;&gt;"",TODAY()&gt;E29),"OVERDUE","Pending"))</f>
        <v>Pending</v>
      </c>
    </row>
    <row r="30" customFormat="false" ht="45.75" hidden="false" customHeight="true" outlineLevel="0" collapsed="false">
      <c r="A30" s="118" t="s">
        <v>562</v>
      </c>
      <c r="B30" s="150" t="s">
        <v>604</v>
      </c>
      <c r="C30" s="118"/>
      <c r="D30" s="118"/>
      <c r="E30" s="151" t="n">
        <f aca="false">IFERROR(INDEX(Journal!$A:$A,MATCH($A30,Journal!$B:$B,0)),"")</f>
        <v>46302</v>
      </c>
      <c r="F30" s="118" t="str">
        <f aca="true">IF(C30="Y","Done",IF(AND(E30&lt;&gt;"",TODAY()&gt;E30),"OVERDUE","Pending"))</f>
        <v>Pending</v>
      </c>
    </row>
    <row r="31" customFormat="false" ht="15" hidden="false" customHeight="true" outlineLevel="0" collapsed="false">
      <c r="A31" s="118" t="s">
        <v>562</v>
      </c>
      <c r="B31" s="150" t="s">
        <v>605</v>
      </c>
      <c r="C31" s="118"/>
      <c r="D31" s="118"/>
      <c r="E31" s="151" t="n">
        <f aca="false">IFERROR(INDEX(Journal!$A:$A,MATCH($A31,Journal!$B:$B,0)),"")</f>
        <v>46302</v>
      </c>
      <c r="F31" s="118" t="str">
        <f aca="true">IF(C31="Y","Done",IF(AND(E31&lt;&gt;"",TODAY()&gt;E31),"OVERDUE","Pending"))</f>
        <v>Pending</v>
      </c>
    </row>
    <row r="32" customFormat="false" ht="15" hidden="false" customHeight="true" outlineLevel="0" collapsed="false">
      <c r="A32" s="118" t="s">
        <v>562</v>
      </c>
      <c r="B32" s="150" t="s">
        <v>606</v>
      </c>
      <c r="C32" s="118"/>
      <c r="D32" s="118"/>
      <c r="E32" s="151" t="n">
        <f aca="false">IFERROR(INDEX(Journal!$A:$A,MATCH($A32,Journal!$B:$B,0)),"")</f>
        <v>46302</v>
      </c>
      <c r="F32" s="118" t="str">
        <f aca="true">IF(C32="Y","Done",IF(AND(E32&lt;&gt;"",TODAY()&gt;E32),"OVERDUE","Pending"))</f>
        <v>Pending</v>
      </c>
    </row>
    <row r="33" customFormat="false" ht="15" hidden="false" customHeight="true" outlineLevel="0" collapsed="false">
      <c r="A33" s="118" t="s">
        <v>562</v>
      </c>
      <c r="B33" s="150" t="s">
        <v>607</v>
      </c>
      <c r="C33" s="118"/>
      <c r="D33" s="118"/>
      <c r="E33" s="151" t="n">
        <f aca="false">IFERROR(INDEX(Journal!$A:$A,MATCH($A33,Journal!$B:$B,0)),"")</f>
        <v>46302</v>
      </c>
      <c r="F33" s="118" t="str">
        <f aca="true">IF(C33="Y","Done",IF(AND(E33&lt;&gt;"",TODAY()&gt;E33),"OVERDUE","Pending"))</f>
        <v>Pending</v>
      </c>
    </row>
    <row r="34" customFormat="false" ht="15" hidden="false" customHeight="true" outlineLevel="0" collapsed="false">
      <c r="A34" s="118" t="s">
        <v>562</v>
      </c>
      <c r="B34" s="150" t="s">
        <v>594</v>
      </c>
      <c r="C34" s="118"/>
      <c r="D34" s="118"/>
      <c r="E34" s="151" t="n">
        <f aca="false">IFERROR(INDEX(Journal!$A:$A,MATCH($A34,Journal!$B:$B,0)),"")</f>
        <v>46302</v>
      </c>
      <c r="F34" s="118" t="str">
        <f aca="true">IF(C34="Y","Done",IF(AND(E34&lt;&gt;"",TODAY()&gt;E34),"OVERDUE","Pending"))</f>
        <v>Pending</v>
      </c>
    </row>
    <row r="35" customFormat="false" ht="15" hidden="false" customHeight="true" outlineLevel="0" collapsed="false">
      <c r="A35" s="118" t="s">
        <v>562</v>
      </c>
      <c r="B35" s="150" t="s">
        <v>595</v>
      </c>
      <c r="C35" s="118"/>
      <c r="D35" s="118"/>
      <c r="E35" s="151" t="n">
        <f aca="false">IFERROR(INDEX(Journal!$A:$A,MATCH($A35,Journal!$B:$B,0)),"")</f>
        <v>46302</v>
      </c>
      <c r="F35" s="118" t="str">
        <f aca="true">IF(C35="Y","Done",IF(AND(E35&lt;&gt;"",TODAY()&gt;E35),"OVERDUE","Pending"))</f>
        <v>Pending</v>
      </c>
    </row>
    <row r="36" customFormat="false" ht="15" hidden="false" customHeight="true" outlineLevel="0" collapsed="false">
      <c r="A36" s="118" t="s">
        <v>562</v>
      </c>
      <c r="B36" s="150" t="s">
        <v>596</v>
      </c>
      <c r="C36" s="118"/>
      <c r="D36" s="118"/>
      <c r="E36" s="151" t="n">
        <f aca="false">IFERROR(INDEX(Journal!$A:$A,MATCH($A36,Journal!$B:$B,0)),"")</f>
        <v>46302</v>
      </c>
      <c r="F36" s="118" t="str">
        <f aca="true">IF(C36="Y","Done",IF(AND(E36&lt;&gt;"",TODAY()&gt;E36),"OVERDUE","Pending"))</f>
        <v>Pending</v>
      </c>
    </row>
    <row r="37" customFormat="false" ht="15" hidden="false" customHeight="true" outlineLevel="0" collapsed="false">
      <c r="A37" s="118" t="s">
        <v>564</v>
      </c>
      <c r="B37" s="150" t="s">
        <v>602</v>
      </c>
      <c r="C37" s="118"/>
      <c r="D37" s="118"/>
      <c r="E37" s="151" t="n">
        <f aca="false">IFERROR(INDEX(Journal!$A:$A,MATCH($A37,Journal!$B:$B,0)),"")</f>
        <v>46310</v>
      </c>
      <c r="F37" s="118" t="str">
        <f aca="true">IF(C37="Y","Done",IF(AND(E37&lt;&gt;"",TODAY()&gt;E37),"OVERDUE","Pending"))</f>
        <v>Pending</v>
      </c>
    </row>
    <row r="38" customFormat="false" ht="15" hidden="false" customHeight="true" outlineLevel="0" collapsed="false">
      <c r="A38" s="118" t="s">
        <v>564</v>
      </c>
      <c r="B38" s="150" t="s">
        <v>603</v>
      </c>
      <c r="C38" s="118"/>
      <c r="D38" s="118"/>
      <c r="E38" s="151" t="n">
        <f aca="false">IFERROR(INDEX(Journal!$A:$A,MATCH($A38,Journal!$B:$B,0)),"")</f>
        <v>46310</v>
      </c>
      <c r="F38" s="118" t="str">
        <f aca="true">IF(C38="Y","Done",IF(AND(E38&lt;&gt;"",TODAY()&gt;E38),"OVERDUE","Pending"))</f>
        <v>Pending</v>
      </c>
    </row>
    <row r="39" customFormat="false" ht="45.75" hidden="false" customHeight="true" outlineLevel="0" collapsed="false">
      <c r="A39" s="118" t="s">
        <v>564</v>
      </c>
      <c r="B39" s="150" t="s">
        <v>604</v>
      </c>
      <c r="C39" s="118"/>
      <c r="D39" s="118"/>
      <c r="E39" s="151" t="n">
        <f aca="false">IFERROR(INDEX(Journal!$A:$A,MATCH($A39,Journal!$B:$B,0)),"")</f>
        <v>46310</v>
      </c>
      <c r="F39" s="118" t="str">
        <f aca="true">IF(C39="Y","Done",IF(AND(E39&lt;&gt;"",TODAY()&gt;E39),"OVERDUE","Pending"))</f>
        <v>Pending</v>
      </c>
    </row>
    <row r="40" customFormat="false" ht="15" hidden="false" customHeight="true" outlineLevel="0" collapsed="false">
      <c r="A40" s="118" t="s">
        <v>564</v>
      </c>
      <c r="B40" s="150" t="s">
        <v>605</v>
      </c>
      <c r="C40" s="118"/>
      <c r="D40" s="118"/>
      <c r="E40" s="151" t="n">
        <f aca="false">IFERROR(INDEX(Journal!$A:$A,MATCH($A40,Journal!$B:$B,0)),"")</f>
        <v>46310</v>
      </c>
      <c r="F40" s="118" t="str">
        <f aca="true">IF(C40="Y","Done",IF(AND(E40&lt;&gt;"",TODAY()&gt;E40),"OVERDUE","Pending"))</f>
        <v>Pending</v>
      </c>
    </row>
    <row r="41" customFormat="false" ht="15" hidden="false" customHeight="true" outlineLevel="0" collapsed="false">
      <c r="A41" s="118" t="s">
        <v>564</v>
      </c>
      <c r="B41" s="150" t="s">
        <v>606</v>
      </c>
      <c r="C41" s="118"/>
      <c r="D41" s="118"/>
      <c r="E41" s="151" t="n">
        <f aca="false">IFERROR(INDEX(Journal!$A:$A,MATCH($A41,Journal!$B:$B,0)),"")</f>
        <v>46310</v>
      </c>
      <c r="F41" s="118" t="str">
        <f aca="true">IF(C41="Y","Done",IF(AND(E41&lt;&gt;"",TODAY()&gt;E41),"OVERDUE","Pending"))</f>
        <v>Pending</v>
      </c>
    </row>
    <row r="42" customFormat="false" ht="15" hidden="false" customHeight="true" outlineLevel="0" collapsed="false">
      <c r="A42" s="118" t="s">
        <v>564</v>
      </c>
      <c r="B42" s="150" t="s">
        <v>607</v>
      </c>
      <c r="C42" s="118"/>
      <c r="D42" s="118"/>
      <c r="E42" s="151" t="n">
        <f aca="false">IFERROR(INDEX(Journal!$A:$A,MATCH($A42,Journal!$B:$B,0)),"")</f>
        <v>46310</v>
      </c>
      <c r="F42" s="118" t="str">
        <f aca="true">IF(C42="Y","Done",IF(AND(E42&lt;&gt;"",TODAY()&gt;E42),"OVERDUE","Pending"))</f>
        <v>Pending</v>
      </c>
    </row>
    <row r="43" customFormat="false" ht="15" hidden="false" customHeight="true" outlineLevel="0" collapsed="false">
      <c r="A43" s="118" t="s">
        <v>564</v>
      </c>
      <c r="B43" s="150" t="s">
        <v>594</v>
      </c>
      <c r="C43" s="118"/>
      <c r="D43" s="118"/>
      <c r="E43" s="151" t="n">
        <f aca="false">IFERROR(INDEX(Journal!$A:$A,MATCH($A43,Journal!$B:$B,0)),"")</f>
        <v>46310</v>
      </c>
      <c r="F43" s="118" t="str">
        <f aca="true">IF(C43="Y","Done",IF(AND(E43&lt;&gt;"",TODAY()&gt;E43),"OVERDUE","Pending"))</f>
        <v>Pending</v>
      </c>
    </row>
    <row r="44" customFormat="false" ht="15" hidden="false" customHeight="true" outlineLevel="0" collapsed="false">
      <c r="A44" s="118" t="s">
        <v>564</v>
      </c>
      <c r="B44" s="150" t="s">
        <v>595</v>
      </c>
      <c r="C44" s="118"/>
      <c r="D44" s="118"/>
      <c r="E44" s="151" t="n">
        <f aca="false">IFERROR(INDEX(Journal!$A:$A,MATCH($A44,Journal!$B:$B,0)),"")</f>
        <v>46310</v>
      </c>
      <c r="F44" s="118" t="str">
        <f aca="true">IF(C44="Y","Done",IF(AND(E44&lt;&gt;"",TODAY()&gt;E44),"OVERDUE","Pending"))</f>
        <v>Pending</v>
      </c>
    </row>
    <row r="45" customFormat="false" ht="15" hidden="false" customHeight="true" outlineLevel="0" collapsed="false">
      <c r="A45" s="118" t="s">
        <v>564</v>
      </c>
      <c r="B45" s="150" t="s">
        <v>596</v>
      </c>
      <c r="C45" s="118"/>
      <c r="D45" s="118"/>
      <c r="E45" s="151" t="n">
        <f aca="false">IFERROR(INDEX(Journal!$A:$A,MATCH($A45,Journal!$B:$B,0)),"")</f>
        <v>46310</v>
      </c>
      <c r="F45" s="118" t="str">
        <f aca="true">IF(C45="Y","Done",IF(AND(E45&lt;&gt;"",TODAY()&gt;E45),"OVERDUE","Pending"))</f>
        <v>Pending</v>
      </c>
    </row>
    <row r="46" customFormat="false" ht="15" hidden="false" customHeight="true" outlineLevel="0" collapsed="false">
      <c r="A46" s="118" t="s">
        <v>565</v>
      </c>
      <c r="B46" s="150" t="s">
        <v>602</v>
      </c>
      <c r="C46" s="118"/>
      <c r="D46" s="118"/>
      <c r="E46" s="151" t="n">
        <f aca="false">IFERROR(INDEX(Journal!$A:$A,MATCH($A46,Journal!$B:$B,0)),"")</f>
        <v>46335</v>
      </c>
      <c r="F46" s="118" t="str">
        <f aca="true">IF(C46="Y","Done",IF(AND(E46&lt;&gt;"",TODAY()&gt;E46),"OVERDUE","Pending"))</f>
        <v>Pending</v>
      </c>
    </row>
    <row r="47" customFormat="false" ht="15" hidden="false" customHeight="true" outlineLevel="0" collapsed="false">
      <c r="A47" s="118" t="s">
        <v>565</v>
      </c>
      <c r="B47" s="150" t="s">
        <v>603</v>
      </c>
      <c r="C47" s="118"/>
      <c r="D47" s="118"/>
      <c r="E47" s="151" t="n">
        <f aca="false">IFERROR(INDEX(Journal!$A:$A,MATCH($A47,Journal!$B:$B,0)),"")</f>
        <v>46335</v>
      </c>
      <c r="F47" s="118" t="str">
        <f aca="true">IF(C47="Y","Done",IF(AND(E47&lt;&gt;"",TODAY()&gt;E47),"OVERDUE","Pending"))</f>
        <v>Pending</v>
      </c>
    </row>
    <row r="48" customFormat="false" ht="45.75" hidden="false" customHeight="true" outlineLevel="0" collapsed="false">
      <c r="A48" s="118" t="s">
        <v>565</v>
      </c>
      <c r="B48" s="150" t="s">
        <v>604</v>
      </c>
      <c r="C48" s="118"/>
      <c r="D48" s="118"/>
      <c r="E48" s="151" t="n">
        <f aca="false">IFERROR(INDEX(Journal!$A:$A,MATCH($A48,Journal!$B:$B,0)),"")</f>
        <v>46335</v>
      </c>
      <c r="F48" s="118" t="str">
        <f aca="true">IF(C48="Y","Done",IF(AND(E48&lt;&gt;"",TODAY()&gt;E48),"OVERDUE","Pending"))</f>
        <v>Pending</v>
      </c>
    </row>
    <row r="49" customFormat="false" ht="15" hidden="false" customHeight="true" outlineLevel="0" collapsed="false">
      <c r="A49" s="118" t="s">
        <v>565</v>
      </c>
      <c r="B49" s="150" t="s">
        <v>605</v>
      </c>
      <c r="C49" s="118"/>
      <c r="D49" s="118"/>
      <c r="E49" s="151" t="n">
        <f aca="false">IFERROR(INDEX(Journal!$A:$A,MATCH($A49,Journal!$B:$B,0)),"")</f>
        <v>46335</v>
      </c>
      <c r="F49" s="118" t="str">
        <f aca="true">IF(C49="Y","Done",IF(AND(E49&lt;&gt;"",TODAY()&gt;E49),"OVERDUE","Pending"))</f>
        <v>Pending</v>
      </c>
    </row>
    <row r="50" customFormat="false" ht="15" hidden="false" customHeight="true" outlineLevel="0" collapsed="false">
      <c r="A50" s="118" t="s">
        <v>565</v>
      </c>
      <c r="B50" s="150" t="s">
        <v>606</v>
      </c>
      <c r="C50" s="118"/>
      <c r="D50" s="118"/>
      <c r="E50" s="151" t="n">
        <f aca="false">IFERROR(INDEX(Journal!$A:$A,MATCH($A50,Journal!$B:$B,0)),"")</f>
        <v>46335</v>
      </c>
      <c r="F50" s="118" t="str">
        <f aca="true">IF(C50="Y","Done",IF(AND(E50&lt;&gt;"",TODAY()&gt;E50),"OVERDUE","Pending"))</f>
        <v>Pending</v>
      </c>
    </row>
    <row r="51" customFormat="false" ht="15" hidden="false" customHeight="true" outlineLevel="0" collapsed="false">
      <c r="A51" s="118" t="s">
        <v>565</v>
      </c>
      <c r="B51" s="150" t="s">
        <v>607</v>
      </c>
      <c r="C51" s="118"/>
      <c r="D51" s="118"/>
      <c r="E51" s="151" t="n">
        <f aca="false">IFERROR(INDEX(Journal!$A:$A,MATCH($A51,Journal!$B:$B,0)),"")</f>
        <v>46335</v>
      </c>
      <c r="F51" s="118" t="str">
        <f aca="true">IF(C51="Y","Done",IF(AND(E51&lt;&gt;"",TODAY()&gt;E51),"OVERDUE","Pending"))</f>
        <v>Pending</v>
      </c>
    </row>
    <row r="52" customFormat="false" ht="15" hidden="false" customHeight="true" outlineLevel="0" collapsed="false">
      <c r="A52" s="118" t="s">
        <v>565</v>
      </c>
      <c r="B52" s="150" t="s">
        <v>594</v>
      </c>
      <c r="C52" s="118"/>
      <c r="D52" s="118"/>
      <c r="E52" s="151" t="n">
        <f aca="false">IFERROR(INDEX(Journal!$A:$A,MATCH($A52,Journal!$B:$B,0)),"")</f>
        <v>46335</v>
      </c>
      <c r="F52" s="118" t="str">
        <f aca="true">IF(C52="Y","Done",IF(AND(E52&lt;&gt;"",TODAY()&gt;E52),"OVERDUE","Pending"))</f>
        <v>Pending</v>
      </c>
    </row>
    <row r="53" customFormat="false" ht="15" hidden="false" customHeight="true" outlineLevel="0" collapsed="false">
      <c r="A53" s="118" t="s">
        <v>565</v>
      </c>
      <c r="B53" s="150" t="s">
        <v>595</v>
      </c>
      <c r="C53" s="118"/>
      <c r="D53" s="118"/>
      <c r="E53" s="151" t="n">
        <f aca="false">IFERROR(INDEX(Journal!$A:$A,MATCH($A53,Journal!$B:$B,0)),"")</f>
        <v>46335</v>
      </c>
      <c r="F53" s="118" t="str">
        <f aca="true">IF(C53="Y","Done",IF(AND(E53&lt;&gt;"",TODAY()&gt;E53),"OVERDUE","Pending"))</f>
        <v>Pending</v>
      </c>
    </row>
    <row r="54" customFormat="false" ht="15" hidden="false" customHeight="true" outlineLevel="0" collapsed="false">
      <c r="A54" s="118" t="s">
        <v>565</v>
      </c>
      <c r="B54" s="150" t="s">
        <v>596</v>
      </c>
      <c r="C54" s="118"/>
      <c r="D54" s="118"/>
      <c r="E54" s="151" t="n">
        <f aca="false">IFERROR(INDEX(Journal!$A:$A,MATCH($A54,Journal!$B:$B,0)),"")</f>
        <v>46335</v>
      </c>
      <c r="F54" s="118" t="str">
        <f aca="true">IF(C54="Y","Done",IF(AND(E54&lt;&gt;"",TODAY()&gt;E54),"OVERDUE","Pending"))</f>
        <v>Pending</v>
      </c>
    </row>
    <row r="55" customFormat="false" ht="15" hidden="false" customHeight="true" outlineLevel="0" collapsed="false">
      <c r="A55" s="118" t="s">
        <v>566</v>
      </c>
      <c r="B55" s="150" t="s">
        <v>602</v>
      </c>
      <c r="C55" s="118"/>
      <c r="D55" s="118"/>
      <c r="E55" s="151" t="n">
        <f aca="false">IFERROR(INDEX(Journal!$A:$A,MATCH($A55,Journal!$B:$B,0)),"")</f>
        <v>46342</v>
      </c>
      <c r="F55" s="118" t="str">
        <f aca="true">IF(C55="Y","Done",IF(AND(E55&lt;&gt;"",TODAY()&gt;E55),"OVERDUE","Pending"))</f>
        <v>Pending</v>
      </c>
    </row>
    <row r="56" customFormat="false" ht="15" hidden="false" customHeight="true" outlineLevel="0" collapsed="false">
      <c r="A56" s="118" t="s">
        <v>566</v>
      </c>
      <c r="B56" s="150" t="s">
        <v>603</v>
      </c>
      <c r="C56" s="118"/>
      <c r="D56" s="118"/>
      <c r="E56" s="151" t="n">
        <f aca="false">IFERROR(INDEX(Journal!$A:$A,MATCH($A56,Journal!$B:$B,0)),"")</f>
        <v>46342</v>
      </c>
      <c r="F56" s="118" t="str">
        <f aca="true">IF(C56="Y","Done",IF(AND(E56&lt;&gt;"",TODAY()&gt;E56),"OVERDUE","Pending"))</f>
        <v>Pending</v>
      </c>
    </row>
    <row r="57" customFormat="false" ht="45.75" hidden="false" customHeight="true" outlineLevel="0" collapsed="false">
      <c r="A57" s="118" t="s">
        <v>566</v>
      </c>
      <c r="B57" s="150" t="s">
        <v>604</v>
      </c>
      <c r="C57" s="118"/>
      <c r="D57" s="118"/>
      <c r="E57" s="151" t="n">
        <f aca="false">IFERROR(INDEX(Journal!$A:$A,MATCH($A57,Journal!$B:$B,0)),"")</f>
        <v>46342</v>
      </c>
      <c r="F57" s="118" t="str">
        <f aca="true">IF(C57="Y","Done",IF(AND(E57&lt;&gt;"",TODAY()&gt;E57),"OVERDUE","Pending"))</f>
        <v>Pending</v>
      </c>
    </row>
    <row r="58" customFormat="false" ht="15" hidden="false" customHeight="true" outlineLevel="0" collapsed="false">
      <c r="A58" s="118" t="s">
        <v>566</v>
      </c>
      <c r="B58" s="150" t="s">
        <v>605</v>
      </c>
      <c r="C58" s="118"/>
      <c r="D58" s="118"/>
      <c r="E58" s="151" t="n">
        <f aca="false">IFERROR(INDEX(Journal!$A:$A,MATCH($A58,Journal!$B:$B,0)),"")</f>
        <v>46342</v>
      </c>
      <c r="F58" s="118" t="str">
        <f aca="true">IF(C58="Y","Done",IF(AND(E58&lt;&gt;"",TODAY()&gt;E58),"OVERDUE","Pending"))</f>
        <v>Pending</v>
      </c>
    </row>
    <row r="59" customFormat="false" ht="15" hidden="false" customHeight="true" outlineLevel="0" collapsed="false">
      <c r="A59" s="118" t="s">
        <v>566</v>
      </c>
      <c r="B59" s="150" t="s">
        <v>606</v>
      </c>
      <c r="C59" s="118"/>
      <c r="D59" s="118"/>
      <c r="E59" s="151" t="n">
        <f aca="false">IFERROR(INDEX(Journal!$A:$A,MATCH($A59,Journal!$B:$B,0)),"")</f>
        <v>46342</v>
      </c>
      <c r="F59" s="118" t="str">
        <f aca="true">IF(C59="Y","Done",IF(AND(E59&lt;&gt;"",TODAY()&gt;E59),"OVERDUE","Pending"))</f>
        <v>Pending</v>
      </c>
    </row>
    <row r="60" customFormat="false" ht="15" hidden="false" customHeight="true" outlineLevel="0" collapsed="false">
      <c r="A60" s="118" t="s">
        <v>566</v>
      </c>
      <c r="B60" s="150" t="s">
        <v>607</v>
      </c>
      <c r="C60" s="118"/>
      <c r="D60" s="118"/>
      <c r="E60" s="151" t="n">
        <f aca="false">IFERROR(INDEX(Journal!$A:$A,MATCH($A60,Journal!$B:$B,0)),"")</f>
        <v>46342</v>
      </c>
      <c r="F60" s="118" t="str">
        <f aca="true">IF(C60="Y","Done",IF(AND(E60&lt;&gt;"",TODAY()&gt;E60),"OVERDUE","Pending"))</f>
        <v>Pending</v>
      </c>
    </row>
    <row r="61" customFormat="false" ht="15" hidden="false" customHeight="true" outlineLevel="0" collapsed="false">
      <c r="A61" s="118" t="s">
        <v>566</v>
      </c>
      <c r="B61" s="150" t="s">
        <v>594</v>
      </c>
      <c r="C61" s="118"/>
      <c r="D61" s="118"/>
      <c r="E61" s="151" t="n">
        <f aca="false">IFERROR(INDEX(Journal!$A:$A,MATCH($A61,Journal!$B:$B,0)),"")</f>
        <v>46342</v>
      </c>
      <c r="F61" s="118" t="str">
        <f aca="true">IF(C61="Y","Done",IF(AND(E61&lt;&gt;"",TODAY()&gt;E61),"OVERDUE","Pending"))</f>
        <v>Pending</v>
      </c>
    </row>
    <row r="62" customFormat="false" ht="15" hidden="false" customHeight="true" outlineLevel="0" collapsed="false">
      <c r="A62" s="118" t="s">
        <v>566</v>
      </c>
      <c r="B62" s="150" t="s">
        <v>595</v>
      </c>
      <c r="C62" s="118"/>
      <c r="D62" s="118"/>
      <c r="E62" s="151" t="n">
        <f aca="false">IFERROR(INDEX(Journal!$A:$A,MATCH($A62,Journal!$B:$B,0)),"")</f>
        <v>46342</v>
      </c>
      <c r="F62" s="118" t="str">
        <f aca="true">IF(C62="Y","Done",IF(AND(E62&lt;&gt;"",TODAY()&gt;E62),"OVERDUE","Pending"))</f>
        <v>Pending</v>
      </c>
    </row>
    <row r="63" customFormat="false" ht="15" hidden="false" customHeight="true" outlineLevel="0" collapsed="false">
      <c r="A63" s="118" t="s">
        <v>566</v>
      </c>
      <c r="B63" s="150" t="s">
        <v>596</v>
      </c>
      <c r="C63" s="118"/>
      <c r="D63" s="118"/>
      <c r="E63" s="151" t="n">
        <f aca="false">IFERROR(INDEX(Journal!$A:$A,MATCH($A63,Journal!$B:$B,0)),"")</f>
        <v>46342</v>
      </c>
      <c r="F63" s="118" t="str">
        <f aca="true">IF(C63="Y","Done",IF(AND(E63&lt;&gt;"",TODAY()&gt;E63),"OVERDUE","Pending"))</f>
        <v>Pending</v>
      </c>
    </row>
    <row r="64" customFormat="false" ht="15" hidden="false" customHeight="true" outlineLevel="0" collapsed="false">
      <c r="A64" s="118" t="s">
        <v>567</v>
      </c>
      <c r="B64" s="150" t="s">
        <v>602</v>
      </c>
      <c r="C64" s="118"/>
      <c r="D64" s="118"/>
      <c r="E64" s="151" t="n">
        <f aca="false">IFERROR(INDEX(Journal!$A:$A,MATCH($A64,Journal!$B:$B,0)),"")</f>
        <v>46363</v>
      </c>
      <c r="F64" s="118" t="str">
        <f aca="true">IF(C64="Y","Done",IF(AND(E64&lt;&gt;"",TODAY()&gt;E64),"OVERDUE","Pending"))</f>
        <v>Pending</v>
      </c>
    </row>
    <row r="65" customFormat="false" ht="15" hidden="false" customHeight="true" outlineLevel="0" collapsed="false">
      <c r="A65" s="118" t="s">
        <v>567</v>
      </c>
      <c r="B65" s="150" t="s">
        <v>603</v>
      </c>
      <c r="C65" s="118"/>
      <c r="D65" s="118"/>
      <c r="E65" s="151" t="n">
        <f aca="false">IFERROR(INDEX(Journal!$A:$A,MATCH($A65,Journal!$B:$B,0)),"")</f>
        <v>46363</v>
      </c>
      <c r="F65" s="118" t="str">
        <f aca="true">IF(C65="Y","Done",IF(AND(E65&lt;&gt;"",TODAY()&gt;E65),"OVERDUE","Pending"))</f>
        <v>Pending</v>
      </c>
    </row>
    <row r="66" customFormat="false" ht="45.75" hidden="false" customHeight="true" outlineLevel="0" collapsed="false">
      <c r="A66" s="118" t="s">
        <v>567</v>
      </c>
      <c r="B66" s="150" t="s">
        <v>604</v>
      </c>
      <c r="C66" s="118"/>
      <c r="D66" s="118"/>
      <c r="E66" s="151" t="n">
        <f aca="false">IFERROR(INDEX(Journal!$A:$A,MATCH($A66,Journal!$B:$B,0)),"")</f>
        <v>46363</v>
      </c>
      <c r="F66" s="118" t="str">
        <f aca="true">IF(C66="Y","Done",IF(AND(E66&lt;&gt;"",TODAY()&gt;E66),"OVERDUE","Pending"))</f>
        <v>Pending</v>
      </c>
    </row>
    <row r="67" customFormat="false" ht="15" hidden="false" customHeight="true" outlineLevel="0" collapsed="false">
      <c r="A67" s="118" t="s">
        <v>567</v>
      </c>
      <c r="B67" s="150" t="s">
        <v>605</v>
      </c>
      <c r="C67" s="118"/>
      <c r="D67" s="118"/>
      <c r="E67" s="151" t="n">
        <f aca="false">IFERROR(INDEX(Journal!$A:$A,MATCH($A67,Journal!$B:$B,0)),"")</f>
        <v>46363</v>
      </c>
      <c r="F67" s="118" t="str">
        <f aca="true">IF(C67="Y","Done",IF(AND(E67&lt;&gt;"",TODAY()&gt;E67),"OVERDUE","Pending"))</f>
        <v>Pending</v>
      </c>
    </row>
    <row r="68" customFormat="false" ht="15" hidden="false" customHeight="true" outlineLevel="0" collapsed="false">
      <c r="A68" s="118" t="s">
        <v>567</v>
      </c>
      <c r="B68" s="150" t="s">
        <v>606</v>
      </c>
      <c r="C68" s="118"/>
      <c r="D68" s="118"/>
      <c r="E68" s="151" t="n">
        <f aca="false">IFERROR(INDEX(Journal!$A:$A,MATCH($A68,Journal!$B:$B,0)),"")</f>
        <v>46363</v>
      </c>
      <c r="F68" s="118" t="str">
        <f aca="true">IF(C68="Y","Done",IF(AND(E68&lt;&gt;"",TODAY()&gt;E68),"OVERDUE","Pending"))</f>
        <v>Pending</v>
      </c>
    </row>
    <row r="69" customFormat="false" ht="15" hidden="false" customHeight="true" outlineLevel="0" collapsed="false">
      <c r="A69" s="118" t="s">
        <v>567</v>
      </c>
      <c r="B69" s="150" t="s">
        <v>607</v>
      </c>
      <c r="C69" s="118"/>
      <c r="D69" s="118"/>
      <c r="E69" s="151" t="n">
        <f aca="false">IFERROR(INDEX(Journal!$A:$A,MATCH($A69,Journal!$B:$B,0)),"")</f>
        <v>46363</v>
      </c>
      <c r="F69" s="118" t="str">
        <f aca="true">IF(C69="Y","Done",IF(AND(E69&lt;&gt;"",TODAY()&gt;E69),"OVERDUE","Pending"))</f>
        <v>Pending</v>
      </c>
    </row>
    <row r="70" customFormat="false" ht="15" hidden="false" customHeight="true" outlineLevel="0" collapsed="false">
      <c r="A70" s="118" t="s">
        <v>567</v>
      </c>
      <c r="B70" s="150" t="s">
        <v>594</v>
      </c>
      <c r="C70" s="118"/>
      <c r="D70" s="118"/>
      <c r="E70" s="151" t="n">
        <f aca="false">IFERROR(INDEX(Journal!$A:$A,MATCH($A70,Journal!$B:$B,0)),"")</f>
        <v>46363</v>
      </c>
      <c r="F70" s="118" t="str">
        <f aca="true">IF(C70="Y","Done",IF(AND(E70&lt;&gt;"",TODAY()&gt;E70),"OVERDUE","Pending"))</f>
        <v>Pending</v>
      </c>
    </row>
    <row r="71" customFormat="false" ht="15" hidden="false" customHeight="true" outlineLevel="0" collapsed="false">
      <c r="A71" s="118" t="s">
        <v>567</v>
      </c>
      <c r="B71" s="150" t="s">
        <v>595</v>
      </c>
      <c r="C71" s="118"/>
      <c r="D71" s="118"/>
      <c r="E71" s="151" t="n">
        <f aca="false">IFERROR(INDEX(Journal!$A:$A,MATCH($A71,Journal!$B:$B,0)),"")</f>
        <v>46363</v>
      </c>
      <c r="F71" s="118" t="str">
        <f aca="true">IF(C71="Y","Done",IF(AND(E71&lt;&gt;"",TODAY()&gt;E71),"OVERDUE","Pending"))</f>
        <v>Pending</v>
      </c>
    </row>
    <row r="72" customFormat="false" ht="15" hidden="false" customHeight="true" outlineLevel="0" collapsed="false">
      <c r="A72" s="118" t="s">
        <v>567</v>
      </c>
      <c r="B72" s="150" t="s">
        <v>596</v>
      </c>
      <c r="C72" s="118"/>
      <c r="D72" s="118"/>
      <c r="E72" s="151" t="n">
        <f aca="false">IFERROR(INDEX(Journal!$A:$A,MATCH($A72,Journal!$B:$B,0)),"")</f>
        <v>46363</v>
      </c>
      <c r="F72" s="118" t="str">
        <f aca="true">IF(C72="Y","Done",IF(AND(E72&lt;&gt;"",TODAY()&gt;E72),"OVERDUE","Pending"))</f>
        <v>Pending</v>
      </c>
    </row>
    <row r="73" customFormat="false" ht="15" hidden="false" customHeight="true" outlineLevel="0" collapsed="false">
      <c r="A73" s="118" t="s">
        <v>568</v>
      </c>
      <c r="B73" s="150" t="s">
        <v>602</v>
      </c>
      <c r="C73" s="118"/>
      <c r="D73" s="118"/>
      <c r="E73" s="151" t="n">
        <f aca="false">IFERROR(INDEX(Journal!$A:$A,MATCH($A73,Journal!$B:$B,0)),"")</f>
        <v>46371</v>
      </c>
      <c r="F73" s="118" t="str">
        <f aca="true">IF(C73="Y","Done",IF(AND(E73&lt;&gt;"",TODAY()&gt;E73),"OVERDUE","Pending"))</f>
        <v>Pending</v>
      </c>
    </row>
    <row r="74" customFormat="false" ht="15" hidden="false" customHeight="true" outlineLevel="0" collapsed="false">
      <c r="A74" s="118" t="s">
        <v>568</v>
      </c>
      <c r="B74" s="150" t="s">
        <v>603</v>
      </c>
      <c r="C74" s="118"/>
      <c r="D74" s="118"/>
      <c r="E74" s="151" t="n">
        <f aca="false">IFERROR(INDEX(Journal!$A:$A,MATCH($A74,Journal!$B:$B,0)),"")</f>
        <v>46371</v>
      </c>
      <c r="F74" s="118" t="str">
        <f aca="true">IF(C74="Y","Done",IF(AND(E74&lt;&gt;"",TODAY()&gt;E74),"OVERDUE","Pending"))</f>
        <v>Pending</v>
      </c>
    </row>
    <row r="75" customFormat="false" ht="45.75" hidden="false" customHeight="true" outlineLevel="0" collapsed="false">
      <c r="A75" s="118" t="s">
        <v>568</v>
      </c>
      <c r="B75" s="150" t="s">
        <v>604</v>
      </c>
      <c r="C75" s="118"/>
      <c r="D75" s="118"/>
      <c r="E75" s="151" t="n">
        <f aca="false">IFERROR(INDEX(Journal!$A:$A,MATCH($A75,Journal!$B:$B,0)),"")</f>
        <v>46371</v>
      </c>
      <c r="F75" s="118" t="str">
        <f aca="true">IF(C75="Y","Done",IF(AND(E75&lt;&gt;"",TODAY()&gt;E75),"OVERDUE","Pending"))</f>
        <v>Pending</v>
      </c>
    </row>
    <row r="76" customFormat="false" ht="15" hidden="false" customHeight="true" outlineLevel="0" collapsed="false">
      <c r="A76" s="118" t="s">
        <v>568</v>
      </c>
      <c r="B76" s="150" t="s">
        <v>605</v>
      </c>
      <c r="C76" s="118"/>
      <c r="D76" s="118"/>
      <c r="E76" s="151" t="n">
        <f aca="false">IFERROR(INDEX(Journal!$A:$A,MATCH($A76,Journal!$B:$B,0)),"")</f>
        <v>46371</v>
      </c>
      <c r="F76" s="118" t="str">
        <f aca="true">IF(C76="Y","Done",IF(AND(E76&lt;&gt;"",TODAY()&gt;E76),"OVERDUE","Pending"))</f>
        <v>Pending</v>
      </c>
    </row>
    <row r="77" customFormat="false" ht="15" hidden="false" customHeight="true" outlineLevel="0" collapsed="false">
      <c r="A77" s="118" t="s">
        <v>568</v>
      </c>
      <c r="B77" s="150" t="s">
        <v>606</v>
      </c>
      <c r="C77" s="118"/>
      <c r="D77" s="118"/>
      <c r="E77" s="151" t="n">
        <f aca="false">IFERROR(INDEX(Journal!$A:$A,MATCH($A77,Journal!$B:$B,0)),"")</f>
        <v>46371</v>
      </c>
      <c r="F77" s="118" t="str">
        <f aca="true">IF(C77="Y","Done",IF(AND(E77&lt;&gt;"",TODAY()&gt;E77),"OVERDUE","Pending"))</f>
        <v>Pending</v>
      </c>
    </row>
    <row r="78" customFormat="false" ht="15" hidden="false" customHeight="true" outlineLevel="0" collapsed="false">
      <c r="A78" s="118" t="s">
        <v>568</v>
      </c>
      <c r="B78" s="150" t="s">
        <v>607</v>
      </c>
      <c r="C78" s="118"/>
      <c r="D78" s="118"/>
      <c r="E78" s="151" t="n">
        <f aca="false">IFERROR(INDEX(Journal!$A:$A,MATCH($A78,Journal!$B:$B,0)),"")</f>
        <v>46371</v>
      </c>
      <c r="F78" s="118" t="str">
        <f aca="true">IF(C78="Y","Done",IF(AND(E78&lt;&gt;"",TODAY()&gt;E78),"OVERDUE","Pending"))</f>
        <v>Pending</v>
      </c>
    </row>
    <row r="79" customFormat="false" ht="15" hidden="false" customHeight="true" outlineLevel="0" collapsed="false">
      <c r="A79" s="118" t="s">
        <v>568</v>
      </c>
      <c r="B79" s="150" t="s">
        <v>594</v>
      </c>
      <c r="C79" s="118"/>
      <c r="D79" s="118"/>
      <c r="E79" s="151" t="n">
        <f aca="false">IFERROR(INDEX(Journal!$A:$A,MATCH($A79,Journal!$B:$B,0)),"")</f>
        <v>46371</v>
      </c>
      <c r="F79" s="118" t="str">
        <f aca="true">IF(C79="Y","Done",IF(AND(E79&lt;&gt;"",TODAY()&gt;E79),"OVERDUE","Pending"))</f>
        <v>Pending</v>
      </c>
    </row>
    <row r="80" customFormat="false" ht="15" hidden="false" customHeight="true" outlineLevel="0" collapsed="false">
      <c r="A80" s="118" t="s">
        <v>568</v>
      </c>
      <c r="B80" s="150" t="s">
        <v>595</v>
      </c>
      <c r="C80" s="118"/>
      <c r="D80" s="118"/>
      <c r="E80" s="151" t="n">
        <f aca="false">IFERROR(INDEX(Journal!$A:$A,MATCH($A80,Journal!$B:$B,0)),"")</f>
        <v>46371</v>
      </c>
      <c r="F80" s="118" t="str">
        <f aca="true">IF(C80="Y","Done",IF(AND(E80&lt;&gt;"",TODAY()&gt;E80),"OVERDUE","Pending"))</f>
        <v>Pending</v>
      </c>
    </row>
    <row r="81" customFormat="false" ht="15" hidden="false" customHeight="true" outlineLevel="0" collapsed="false">
      <c r="A81" s="118" t="s">
        <v>568</v>
      </c>
      <c r="B81" s="150" t="s">
        <v>596</v>
      </c>
      <c r="C81" s="118"/>
      <c r="D81" s="118"/>
      <c r="E81" s="151" t="n">
        <f aca="false">IFERROR(INDEX(Journal!$A:$A,MATCH($A81,Journal!$B:$B,0)),"")</f>
        <v>46371</v>
      </c>
      <c r="F81" s="118" t="str">
        <f aca="true">IF(C81="Y","Done",IF(AND(E81&lt;&gt;"",TODAY()&gt;E81),"OVERDUE","Pending"))</f>
        <v>Pending</v>
      </c>
    </row>
    <row r="82" customFormat="false" ht="15" hidden="false" customHeight="true" outlineLevel="0" collapsed="false">
      <c r="A82" s="118" t="s">
        <v>569</v>
      </c>
      <c r="B82" s="150" t="s">
        <v>602</v>
      </c>
      <c r="C82" s="118"/>
      <c r="D82" s="118"/>
      <c r="E82" s="151" t="n">
        <f aca="false">IFERROR(INDEX(Journal!$A:$A,MATCH($A82,Journal!$B:$B,0)),"")</f>
        <v>46394</v>
      </c>
      <c r="F82" s="118" t="str">
        <f aca="true">IF(C82="Y","Done",IF(AND(E82&lt;&gt;"",TODAY()&gt;E82),"OVERDUE","Pending"))</f>
        <v>Pending</v>
      </c>
    </row>
    <row r="83" customFormat="false" ht="15" hidden="false" customHeight="true" outlineLevel="0" collapsed="false">
      <c r="A83" s="118" t="s">
        <v>569</v>
      </c>
      <c r="B83" s="150" t="s">
        <v>603</v>
      </c>
      <c r="C83" s="118"/>
      <c r="D83" s="118"/>
      <c r="E83" s="151" t="n">
        <f aca="false">IFERROR(INDEX(Journal!$A:$A,MATCH($A83,Journal!$B:$B,0)),"")</f>
        <v>46394</v>
      </c>
      <c r="F83" s="118" t="str">
        <f aca="true">IF(C83="Y","Done",IF(AND(E83&lt;&gt;"",TODAY()&gt;E83),"OVERDUE","Pending"))</f>
        <v>Pending</v>
      </c>
    </row>
    <row r="84" customFormat="false" ht="45.75" hidden="false" customHeight="true" outlineLevel="0" collapsed="false">
      <c r="A84" s="118" t="s">
        <v>569</v>
      </c>
      <c r="B84" s="150" t="s">
        <v>604</v>
      </c>
      <c r="C84" s="118"/>
      <c r="D84" s="118"/>
      <c r="E84" s="151" t="n">
        <f aca="false">IFERROR(INDEX(Journal!$A:$A,MATCH($A84,Journal!$B:$B,0)),"")</f>
        <v>46394</v>
      </c>
      <c r="F84" s="118" t="str">
        <f aca="true">IF(C84="Y","Done",IF(AND(E84&lt;&gt;"",TODAY()&gt;E84),"OVERDUE","Pending"))</f>
        <v>Pending</v>
      </c>
    </row>
    <row r="85" customFormat="false" ht="15" hidden="false" customHeight="true" outlineLevel="0" collapsed="false">
      <c r="A85" s="118" t="s">
        <v>569</v>
      </c>
      <c r="B85" s="150" t="s">
        <v>605</v>
      </c>
      <c r="C85" s="118"/>
      <c r="D85" s="118"/>
      <c r="E85" s="151" t="n">
        <f aca="false">IFERROR(INDEX(Journal!$A:$A,MATCH($A85,Journal!$B:$B,0)),"")</f>
        <v>46394</v>
      </c>
      <c r="F85" s="118" t="str">
        <f aca="true">IF(C85="Y","Done",IF(AND(E85&lt;&gt;"",TODAY()&gt;E85),"OVERDUE","Pending"))</f>
        <v>Pending</v>
      </c>
    </row>
    <row r="86" customFormat="false" ht="15" hidden="false" customHeight="true" outlineLevel="0" collapsed="false">
      <c r="A86" s="118" t="s">
        <v>569</v>
      </c>
      <c r="B86" s="150" t="s">
        <v>606</v>
      </c>
      <c r="C86" s="118"/>
      <c r="D86" s="118"/>
      <c r="E86" s="151" t="n">
        <f aca="false">IFERROR(INDEX(Journal!$A:$A,MATCH($A86,Journal!$B:$B,0)),"")</f>
        <v>46394</v>
      </c>
      <c r="F86" s="118" t="str">
        <f aca="true">IF(C86="Y","Done",IF(AND(E86&lt;&gt;"",TODAY()&gt;E86),"OVERDUE","Pending"))</f>
        <v>Pending</v>
      </c>
    </row>
    <row r="87" customFormat="false" ht="15" hidden="false" customHeight="true" outlineLevel="0" collapsed="false">
      <c r="A87" s="118" t="s">
        <v>569</v>
      </c>
      <c r="B87" s="150" t="s">
        <v>607</v>
      </c>
      <c r="C87" s="118"/>
      <c r="D87" s="118"/>
      <c r="E87" s="151" t="n">
        <f aca="false">IFERROR(INDEX(Journal!$A:$A,MATCH($A87,Journal!$B:$B,0)),"")</f>
        <v>46394</v>
      </c>
      <c r="F87" s="118" t="str">
        <f aca="true">IF(C87="Y","Done",IF(AND(E87&lt;&gt;"",TODAY()&gt;E87),"OVERDUE","Pending"))</f>
        <v>Pending</v>
      </c>
    </row>
    <row r="88" customFormat="false" ht="15" hidden="false" customHeight="true" outlineLevel="0" collapsed="false">
      <c r="A88" s="118" t="s">
        <v>569</v>
      </c>
      <c r="B88" s="150" t="s">
        <v>594</v>
      </c>
      <c r="C88" s="118"/>
      <c r="D88" s="118"/>
      <c r="E88" s="151" t="n">
        <f aca="false">IFERROR(INDEX(Journal!$A:$A,MATCH($A88,Journal!$B:$B,0)),"")</f>
        <v>46394</v>
      </c>
      <c r="F88" s="118" t="str">
        <f aca="true">IF(C88="Y","Done",IF(AND(E88&lt;&gt;"",TODAY()&gt;E88),"OVERDUE","Pending"))</f>
        <v>Pending</v>
      </c>
    </row>
    <row r="89" customFormat="false" ht="15" hidden="false" customHeight="true" outlineLevel="0" collapsed="false">
      <c r="A89" s="118" t="s">
        <v>569</v>
      </c>
      <c r="B89" s="150" t="s">
        <v>595</v>
      </c>
      <c r="C89" s="118"/>
      <c r="D89" s="118"/>
      <c r="E89" s="151" t="n">
        <f aca="false">IFERROR(INDEX(Journal!$A:$A,MATCH($A89,Journal!$B:$B,0)),"")</f>
        <v>46394</v>
      </c>
      <c r="F89" s="118" t="str">
        <f aca="true">IF(C89="Y","Done",IF(AND(E89&lt;&gt;"",TODAY()&gt;E89),"OVERDUE","Pending"))</f>
        <v>Pending</v>
      </c>
    </row>
    <row r="90" customFormat="false" ht="15" hidden="false" customHeight="true" outlineLevel="0" collapsed="false">
      <c r="A90" s="118" t="s">
        <v>569</v>
      </c>
      <c r="B90" s="150" t="s">
        <v>596</v>
      </c>
      <c r="C90" s="118"/>
      <c r="D90" s="118"/>
      <c r="E90" s="151" t="n">
        <f aca="false">IFERROR(INDEX(Journal!$A:$A,MATCH($A90,Journal!$B:$B,0)),"")</f>
        <v>46394</v>
      </c>
      <c r="F90" s="118" t="str">
        <f aca="true">IF(C90="Y","Done",IF(AND(E90&lt;&gt;"",TODAY()&gt;E90),"OVERDUE","Pending"))</f>
        <v>Pending</v>
      </c>
    </row>
    <row r="91" customFormat="false" ht="15" hidden="false" customHeight="true" outlineLevel="0" collapsed="false">
      <c r="A91" s="118" t="s">
        <v>570</v>
      </c>
      <c r="B91" s="150" t="s">
        <v>602</v>
      </c>
      <c r="C91" s="118"/>
      <c r="D91" s="118"/>
      <c r="E91" s="151" t="n">
        <f aca="false">IFERROR(INDEX(Journal!$A:$A,MATCH($A91,Journal!$B:$B,0)),"")</f>
        <v>46402</v>
      </c>
      <c r="F91" s="118" t="str">
        <f aca="true">IF(C91="Y","Done",IF(AND(E91&lt;&gt;"",TODAY()&gt;E91),"OVERDUE","Pending"))</f>
        <v>Pending</v>
      </c>
    </row>
    <row r="92" customFormat="false" ht="15" hidden="false" customHeight="true" outlineLevel="0" collapsed="false">
      <c r="A92" s="118" t="s">
        <v>570</v>
      </c>
      <c r="B92" s="150" t="s">
        <v>603</v>
      </c>
      <c r="C92" s="118"/>
      <c r="D92" s="118"/>
      <c r="E92" s="151" t="n">
        <f aca="false">IFERROR(INDEX(Journal!$A:$A,MATCH($A92,Journal!$B:$B,0)),"")</f>
        <v>46402</v>
      </c>
      <c r="F92" s="118" t="str">
        <f aca="true">IF(C92="Y","Done",IF(AND(E92&lt;&gt;"",TODAY()&gt;E92),"OVERDUE","Pending"))</f>
        <v>Pending</v>
      </c>
    </row>
    <row r="93" customFormat="false" ht="45.75" hidden="false" customHeight="true" outlineLevel="0" collapsed="false">
      <c r="A93" s="118" t="s">
        <v>570</v>
      </c>
      <c r="B93" s="150" t="s">
        <v>604</v>
      </c>
      <c r="C93" s="118"/>
      <c r="D93" s="118"/>
      <c r="E93" s="151" t="n">
        <f aca="false">IFERROR(INDEX(Journal!$A:$A,MATCH($A93,Journal!$B:$B,0)),"")</f>
        <v>46402</v>
      </c>
      <c r="F93" s="118" t="str">
        <f aca="true">IF(C93="Y","Done",IF(AND(E93&lt;&gt;"",TODAY()&gt;E93),"OVERDUE","Pending"))</f>
        <v>Pending</v>
      </c>
    </row>
    <row r="94" customFormat="false" ht="15" hidden="false" customHeight="true" outlineLevel="0" collapsed="false">
      <c r="A94" s="118" t="s">
        <v>570</v>
      </c>
      <c r="B94" s="150" t="s">
        <v>605</v>
      </c>
      <c r="C94" s="118"/>
      <c r="D94" s="118"/>
      <c r="E94" s="151" t="n">
        <f aca="false">IFERROR(INDEX(Journal!$A:$A,MATCH($A94,Journal!$B:$B,0)),"")</f>
        <v>46402</v>
      </c>
      <c r="F94" s="118" t="str">
        <f aca="true">IF(C94="Y","Done",IF(AND(E94&lt;&gt;"",TODAY()&gt;E94),"OVERDUE","Pending"))</f>
        <v>Pending</v>
      </c>
    </row>
    <row r="95" customFormat="false" ht="15" hidden="false" customHeight="true" outlineLevel="0" collapsed="false">
      <c r="A95" s="118" t="s">
        <v>570</v>
      </c>
      <c r="B95" s="150" t="s">
        <v>606</v>
      </c>
      <c r="C95" s="118"/>
      <c r="D95" s="118"/>
      <c r="E95" s="151" t="n">
        <f aca="false">IFERROR(INDEX(Journal!$A:$A,MATCH($A95,Journal!$B:$B,0)),"")</f>
        <v>46402</v>
      </c>
      <c r="F95" s="118" t="str">
        <f aca="true">IF(C95="Y","Done",IF(AND(E95&lt;&gt;"",TODAY()&gt;E95),"OVERDUE","Pending"))</f>
        <v>Pending</v>
      </c>
    </row>
    <row r="96" customFormat="false" ht="15" hidden="false" customHeight="true" outlineLevel="0" collapsed="false">
      <c r="A96" s="118" t="s">
        <v>570</v>
      </c>
      <c r="B96" s="150" t="s">
        <v>607</v>
      </c>
      <c r="C96" s="118"/>
      <c r="D96" s="118"/>
      <c r="E96" s="151" t="n">
        <f aca="false">IFERROR(INDEX(Journal!$A:$A,MATCH($A96,Journal!$B:$B,0)),"")</f>
        <v>46402</v>
      </c>
      <c r="F96" s="118" t="str">
        <f aca="true">IF(C96="Y","Done",IF(AND(E96&lt;&gt;"",TODAY()&gt;E96),"OVERDUE","Pending"))</f>
        <v>Pending</v>
      </c>
    </row>
    <row r="97" customFormat="false" ht="15" hidden="false" customHeight="true" outlineLevel="0" collapsed="false">
      <c r="A97" s="118" t="s">
        <v>570</v>
      </c>
      <c r="B97" s="150" t="s">
        <v>594</v>
      </c>
      <c r="C97" s="118"/>
      <c r="D97" s="118"/>
      <c r="E97" s="151" t="n">
        <f aca="false">IFERROR(INDEX(Journal!$A:$A,MATCH($A97,Journal!$B:$B,0)),"")</f>
        <v>46402</v>
      </c>
      <c r="F97" s="118" t="str">
        <f aca="true">IF(C97="Y","Done",IF(AND(E97&lt;&gt;"",TODAY()&gt;E97),"OVERDUE","Pending"))</f>
        <v>Pending</v>
      </c>
    </row>
    <row r="98" customFormat="false" ht="15" hidden="false" customHeight="true" outlineLevel="0" collapsed="false">
      <c r="A98" s="118" t="s">
        <v>570</v>
      </c>
      <c r="B98" s="150" t="s">
        <v>595</v>
      </c>
      <c r="C98" s="118"/>
      <c r="D98" s="118"/>
      <c r="E98" s="151" t="n">
        <f aca="false">IFERROR(INDEX(Journal!$A:$A,MATCH($A98,Journal!$B:$B,0)),"")</f>
        <v>46402</v>
      </c>
      <c r="F98" s="118" t="str">
        <f aca="true">IF(C98="Y","Done",IF(AND(E98&lt;&gt;"",TODAY()&gt;E98),"OVERDUE","Pending"))</f>
        <v>Pending</v>
      </c>
    </row>
    <row r="99" customFormat="false" ht="15" hidden="false" customHeight="true" outlineLevel="0" collapsed="false">
      <c r="A99" s="118" t="s">
        <v>570</v>
      </c>
      <c r="B99" s="150" t="s">
        <v>596</v>
      </c>
      <c r="C99" s="118"/>
      <c r="D99" s="118"/>
      <c r="E99" s="151" t="n">
        <f aca="false">IFERROR(INDEX(Journal!$A:$A,MATCH($A99,Journal!$B:$B,0)),"")</f>
        <v>46402</v>
      </c>
      <c r="F99" s="118" t="str">
        <f aca="true">IF(C99="Y","Done",IF(AND(E99&lt;&gt;"",TODAY()&gt;E99),"OVERDUE","Pending"))</f>
        <v>Pending</v>
      </c>
    </row>
    <row r="100" customFormat="false" ht="15" hidden="false" customHeight="true" outlineLevel="0" collapsed="false">
      <c r="A100" s="118" t="s">
        <v>571</v>
      </c>
      <c r="B100" s="150" t="s">
        <v>602</v>
      </c>
      <c r="C100" s="118"/>
      <c r="D100" s="118"/>
      <c r="E100" s="151" t="n">
        <f aca="false">IFERROR(INDEX(Journal!$A:$A,MATCH($A100,Journal!$B:$B,0)),"")</f>
        <v>46426</v>
      </c>
      <c r="F100" s="118" t="str">
        <f aca="true">IF(C100="Y","Done",IF(AND(E100&lt;&gt;"",TODAY()&gt;E100),"OVERDUE","Pending"))</f>
        <v>Pending</v>
      </c>
    </row>
    <row r="101" customFormat="false" ht="15" hidden="false" customHeight="true" outlineLevel="0" collapsed="false">
      <c r="A101" s="118" t="s">
        <v>571</v>
      </c>
      <c r="B101" s="150" t="s">
        <v>603</v>
      </c>
      <c r="C101" s="118"/>
      <c r="D101" s="118"/>
      <c r="E101" s="151" t="n">
        <f aca="false">IFERROR(INDEX(Journal!$A:$A,MATCH($A101,Journal!$B:$B,0)),"")</f>
        <v>46426</v>
      </c>
      <c r="F101" s="118" t="str">
        <f aca="true">IF(C101="Y","Done",IF(AND(E101&lt;&gt;"",TODAY()&gt;E101),"OVERDUE","Pending"))</f>
        <v>Pending</v>
      </c>
    </row>
    <row r="102" customFormat="false" ht="45.75" hidden="false" customHeight="true" outlineLevel="0" collapsed="false">
      <c r="A102" s="118" t="s">
        <v>571</v>
      </c>
      <c r="B102" s="150" t="s">
        <v>604</v>
      </c>
      <c r="C102" s="118"/>
      <c r="D102" s="118"/>
      <c r="E102" s="151" t="n">
        <f aca="false">IFERROR(INDEX(Journal!$A:$A,MATCH($A102,Journal!$B:$B,0)),"")</f>
        <v>46426</v>
      </c>
      <c r="F102" s="118" t="str">
        <f aca="true">IF(C102="Y","Done",IF(AND(E102&lt;&gt;"",TODAY()&gt;E102),"OVERDUE","Pending"))</f>
        <v>Pending</v>
      </c>
    </row>
    <row r="103" customFormat="false" ht="15" hidden="false" customHeight="true" outlineLevel="0" collapsed="false">
      <c r="A103" s="118" t="s">
        <v>571</v>
      </c>
      <c r="B103" s="150" t="s">
        <v>605</v>
      </c>
      <c r="C103" s="118"/>
      <c r="D103" s="118"/>
      <c r="E103" s="151" t="n">
        <f aca="false">IFERROR(INDEX(Journal!$A:$A,MATCH($A103,Journal!$B:$B,0)),"")</f>
        <v>46426</v>
      </c>
      <c r="F103" s="118" t="str">
        <f aca="true">IF(C103="Y","Done",IF(AND(E103&lt;&gt;"",TODAY()&gt;E103),"OVERDUE","Pending"))</f>
        <v>Pending</v>
      </c>
    </row>
    <row r="104" customFormat="false" ht="15" hidden="false" customHeight="true" outlineLevel="0" collapsed="false">
      <c r="A104" s="118" t="s">
        <v>571</v>
      </c>
      <c r="B104" s="150" t="s">
        <v>606</v>
      </c>
      <c r="C104" s="118"/>
      <c r="D104" s="118"/>
      <c r="E104" s="151" t="n">
        <f aca="false">IFERROR(INDEX(Journal!$A:$A,MATCH($A104,Journal!$B:$B,0)),"")</f>
        <v>46426</v>
      </c>
      <c r="F104" s="118" t="str">
        <f aca="true">IF(C104="Y","Done",IF(AND(E104&lt;&gt;"",TODAY()&gt;E104),"OVERDUE","Pending"))</f>
        <v>Pending</v>
      </c>
    </row>
    <row r="105" customFormat="false" ht="15" hidden="false" customHeight="true" outlineLevel="0" collapsed="false">
      <c r="A105" s="118" t="s">
        <v>571</v>
      </c>
      <c r="B105" s="150" t="s">
        <v>607</v>
      </c>
      <c r="C105" s="118"/>
      <c r="D105" s="118"/>
      <c r="E105" s="151" t="n">
        <f aca="false">IFERROR(INDEX(Journal!$A:$A,MATCH($A105,Journal!$B:$B,0)),"")</f>
        <v>46426</v>
      </c>
      <c r="F105" s="118" t="str">
        <f aca="true">IF(C105="Y","Done",IF(AND(E105&lt;&gt;"",TODAY()&gt;E105),"OVERDUE","Pending"))</f>
        <v>Pending</v>
      </c>
    </row>
    <row r="106" customFormat="false" ht="15" hidden="false" customHeight="true" outlineLevel="0" collapsed="false">
      <c r="A106" s="118" t="s">
        <v>571</v>
      </c>
      <c r="B106" s="150" t="s">
        <v>594</v>
      </c>
      <c r="C106" s="118"/>
      <c r="D106" s="118"/>
      <c r="E106" s="151" t="n">
        <f aca="false">IFERROR(INDEX(Journal!$A:$A,MATCH($A106,Journal!$B:$B,0)),"")</f>
        <v>46426</v>
      </c>
      <c r="F106" s="118" t="str">
        <f aca="true">IF(C106="Y","Done",IF(AND(E106&lt;&gt;"",TODAY()&gt;E106),"OVERDUE","Pending"))</f>
        <v>Pending</v>
      </c>
    </row>
    <row r="107" customFormat="false" ht="15" hidden="false" customHeight="true" outlineLevel="0" collapsed="false">
      <c r="A107" s="118" t="s">
        <v>571</v>
      </c>
      <c r="B107" s="150" t="s">
        <v>595</v>
      </c>
      <c r="C107" s="118"/>
      <c r="D107" s="118"/>
      <c r="E107" s="151" t="n">
        <f aca="false">IFERROR(INDEX(Journal!$A:$A,MATCH($A107,Journal!$B:$B,0)),"")</f>
        <v>46426</v>
      </c>
      <c r="F107" s="118" t="str">
        <f aca="true">IF(C107="Y","Done",IF(AND(E107&lt;&gt;"",TODAY()&gt;E107),"OVERDUE","Pending"))</f>
        <v>Pending</v>
      </c>
    </row>
    <row r="108" customFormat="false" ht="15" hidden="false" customHeight="true" outlineLevel="0" collapsed="false">
      <c r="A108" s="118" t="s">
        <v>571</v>
      </c>
      <c r="B108" s="150" t="s">
        <v>596</v>
      </c>
      <c r="C108" s="118"/>
      <c r="D108" s="118"/>
      <c r="E108" s="151" t="n">
        <f aca="false">IFERROR(INDEX(Journal!$A:$A,MATCH($A108,Journal!$B:$B,0)),"")</f>
        <v>46426</v>
      </c>
      <c r="F108" s="118" t="str">
        <f aca="true">IF(C108="Y","Done",IF(AND(E108&lt;&gt;"",TODAY()&gt;E108),"OVERDUE","Pending"))</f>
        <v>Pending</v>
      </c>
    </row>
    <row r="109" customFormat="false" ht="15" hidden="false" customHeight="true" outlineLevel="0" collapsed="false">
      <c r="A109" s="118" t="s">
        <v>572</v>
      </c>
      <c r="B109" s="150" t="s">
        <v>602</v>
      </c>
      <c r="C109" s="118"/>
      <c r="D109" s="118"/>
      <c r="E109" s="151" t="n">
        <f aca="false">IFERROR(INDEX(Journal!$A:$A,MATCH($A109,Journal!$B:$B,0)),"")</f>
        <v>46434</v>
      </c>
      <c r="F109" s="118" t="str">
        <f aca="true">IF(C109="Y","Done",IF(AND(E109&lt;&gt;"",TODAY()&gt;E109),"OVERDUE","Pending"))</f>
        <v>Pending</v>
      </c>
    </row>
    <row r="110" customFormat="false" ht="15" hidden="false" customHeight="true" outlineLevel="0" collapsed="false">
      <c r="A110" s="118" t="s">
        <v>572</v>
      </c>
      <c r="B110" s="150" t="s">
        <v>603</v>
      </c>
      <c r="C110" s="118"/>
      <c r="D110" s="118"/>
      <c r="E110" s="151" t="n">
        <f aca="false">IFERROR(INDEX(Journal!$A:$A,MATCH($A110,Journal!$B:$B,0)),"")</f>
        <v>46434</v>
      </c>
      <c r="F110" s="118" t="str">
        <f aca="true">IF(C110="Y","Done",IF(AND(E110&lt;&gt;"",TODAY()&gt;E110),"OVERDUE","Pending"))</f>
        <v>Pending</v>
      </c>
    </row>
    <row r="111" customFormat="false" ht="45.75" hidden="false" customHeight="true" outlineLevel="0" collapsed="false">
      <c r="A111" s="118" t="s">
        <v>572</v>
      </c>
      <c r="B111" s="150" t="s">
        <v>604</v>
      </c>
      <c r="C111" s="118"/>
      <c r="D111" s="118"/>
      <c r="E111" s="151" t="n">
        <f aca="false">IFERROR(INDEX(Journal!$A:$A,MATCH($A111,Journal!$B:$B,0)),"")</f>
        <v>46434</v>
      </c>
      <c r="F111" s="118" t="str">
        <f aca="true">IF(C111="Y","Done",IF(AND(E111&lt;&gt;"",TODAY()&gt;E111),"OVERDUE","Pending"))</f>
        <v>Pending</v>
      </c>
    </row>
    <row r="112" customFormat="false" ht="15" hidden="false" customHeight="true" outlineLevel="0" collapsed="false">
      <c r="A112" s="118" t="s">
        <v>572</v>
      </c>
      <c r="B112" s="150" t="s">
        <v>605</v>
      </c>
      <c r="C112" s="118"/>
      <c r="D112" s="118"/>
      <c r="E112" s="151" t="n">
        <f aca="false">IFERROR(INDEX(Journal!$A:$A,MATCH($A112,Journal!$B:$B,0)),"")</f>
        <v>46434</v>
      </c>
      <c r="F112" s="118" t="str">
        <f aca="true">IF(C112="Y","Done",IF(AND(E112&lt;&gt;"",TODAY()&gt;E112),"OVERDUE","Pending"))</f>
        <v>Pending</v>
      </c>
    </row>
    <row r="113" customFormat="false" ht="15" hidden="false" customHeight="true" outlineLevel="0" collapsed="false">
      <c r="A113" s="118" t="s">
        <v>572</v>
      </c>
      <c r="B113" s="150" t="s">
        <v>606</v>
      </c>
      <c r="C113" s="118"/>
      <c r="D113" s="118"/>
      <c r="E113" s="151" t="n">
        <f aca="false">IFERROR(INDEX(Journal!$A:$A,MATCH($A113,Journal!$B:$B,0)),"")</f>
        <v>46434</v>
      </c>
      <c r="F113" s="118" t="str">
        <f aca="true">IF(C113="Y","Done",IF(AND(E113&lt;&gt;"",TODAY()&gt;E113),"OVERDUE","Pending"))</f>
        <v>Pending</v>
      </c>
    </row>
    <row r="114" customFormat="false" ht="15" hidden="false" customHeight="true" outlineLevel="0" collapsed="false">
      <c r="A114" s="118" t="s">
        <v>572</v>
      </c>
      <c r="B114" s="150" t="s">
        <v>607</v>
      </c>
      <c r="C114" s="118"/>
      <c r="D114" s="118"/>
      <c r="E114" s="151" t="n">
        <f aca="false">IFERROR(INDEX(Journal!$A:$A,MATCH($A114,Journal!$B:$B,0)),"")</f>
        <v>46434</v>
      </c>
      <c r="F114" s="118" t="str">
        <f aca="true">IF(C114="Y","Done",IF(AND(E114&lt;&gt;"",TODAY()&gt;E114),"OVERDUE","Pending"))</f>
        <v>Pending</v>
      </c>
    </row>
    <row r="115" customFormat="false" ht="15" hidden="false" customHeight="true" outlineLevel="0" collapsed="false">
      <c r="A115" s="118" t="s">
        <v>572</v>
      </c>
      <c r="B115" s="150" t="s">
        <v>594</v>
      </c>
      <c r="C115" s="118"/>
      <c r="D115" s="118"/>
      <c r="E115" s="151" t="n">
        <f aca="false">IFERROR(INDEX(Journal!$A:$A,MATCH($A115,Journal!$B:$B,0)),"")</f>
        <v>46434</v>
      </c>
      <c r="F115" s="118" t="str">
        <f aca="true">IF(C115="Y","Done",IF(AND(E115&lt;&gt;"",TODAY()&gt;E115),"OVERDUE","Pending"))</f>
        <v>Pending</v>
      </c>
    </row>
    <row r="116" customFormat="false" ht="15" hidden="false" customHeight="true" outlineLevel="0" collapsed="false">
      <c r="A116" s="118" t="s">
        <v>572</v>
      </c>
      <c r="B116" s="150" t="s">
        <v>595</v>
      </c>
      <c r="C116" s="118"/>
      <c r="D116" s="118"/>
      <c r="E116" s="151" t="n">
        <f aca="false">IFERROR(INDEX(Journal!$A:$A,MATCH($A116,Journal!$B:$B,0)),"")</f>
        <v>46434</v>
      </c>
      <c r="F116" s="118" t="str">
        <f aca="true">IF(C116="Y","Done",IF(AND(E116&lt;&gt;"",TODAY()&gt;E116),"OVERDUE","Pending"))</f>
        <v>Pending</v>
      </c>
    </row>
    <row r="117" customFormat="false" ht="15" hidden="false" customHeight="true" outlineLevel="0" collapsed="false">
      <c r="A117" s="118" t="s">
        <v>572</v>
      </c>
      <c r="B117" s="150" t="s">
        <v>596</v>
      </c>
      <c r="C117" s="118"/>
      <c r="D117" s="118"/>
      <c r="E117" s="151" t="n">
        <f aca="false">IFERROR(INDEX(Journal!$A:$A,MATCH($A117,Journal!$B:$B,0)),"")</f>
        <v>46434</v>
      </c>
      <c r="F117" s="118" t="str">
        <f aca="true">IF(C117="Y","Done",IF(AND(E117&lt;&gt;"",TODAY()&gt;E117),"OVERDUE","Pending"))</f>
        <v>Pending</v>
      </c>
    </row>
    <row r="118" customFormat="false" ht="15" hidden="false" customHeight="true" outlineLevel="0" collapsed="false">
      <c r="A118" s="118" t="s">
        <v>573</v>
      </c>
      <c r="B118" s="150" t="s">
        <v>602</v>
      </c>
      <c r="C118" s="118"/>
      <c r="D118" s="118"/>
      <c r="E118" s="151" t="n">
        <f aca="false">IFERROR(INDEX(Journal!$A:$A,MATCH($A118,Journal!$B:$B,0)),"")</f>
        <v>46454</v>
      </c>
      <c r="F118" s="118" t="str">
        <f aca="true">IF(C118="Y","Done",IF(AND(E118&lt;&gt;"",TODAY()&gt;E118),"OVERDUE","Pending"))</f>
        <v>Pending</v>
      </c>
    </row>
    <row r="119" customFormat="false" ht="15" hidden="false" customHeight="true" outlineLevel="0" collapsed="false">
      <c r="A119" s="118" t="s">
        <v>573</v>
      </c>
      <c r="B119" s="150" t="s">
        <v>603</v>
      </c>
      <c r="C119" s="118"/>
      <c r="D119" s="118"/>
      <c r="E119" s="151" t="n">
        <f aca="false">IFERROR(INDEX(Journal!$A:$A,MATCH($A119,Journal!$B:$B,0)),"")</f>
        <v>46454</v>
      </c>
      <c r="F119" s="118" t="str">
        <f aca="true">IF(C119="Y","Done",IF(AND(E119&lt;&gt;"",TODAY()&gt;E119),"OVERDUE","Pending"))</f>
        <v>Pending</v>
      </c>
    </row>
    <row r="120" customFormat="false" ht="45.75" hidden="false" customHeight="true" outlineLevel="0" collapsed="false">
      <c r="A120" s="118" t="s">
        <v>573</v>
      </c>
      <c r="B120" s="150" t="s">
        <v>604</v>
      </c>
      <c r="C120" s="118"/>
      <c r="D120" s="118"/>
      <c r="E120" s="151" t="n">
        <f aca="false">IFERROR(INDEX(Journal!$A:$A,MATCH($A120,Journal!$B:$B,0)),"")</f>
        <v>46454</v>
      </c>
      <c r="F120" s="118" t="str">
        <f aca="true">IF(C120="Y","Done",IF(AND(E120&lt;&gt;"",TODAY()&gt;E120),"OVERDUE","Pending"))</f>
        <v>Pending</v>
      </c>
    </row>
    <row r="121" customFormat="false" ht="15" hidden="false" customHeight="true" outlineLevel="0" collapsed="false">
      <c r="A121" s="118" t="s">
        <v>573</v>
      </c>
      <c r="B121" s="150" t="s">
        <v>605</v>
      </c>
      <c r="C121" s="118"/>
      <c r="D121" s="118"/>
      <c r="E121" s="151" t="n">
        <f aca="false">IFERROR(INDEX(Journal!$A:$A,MATCH($A121,Journal!$B:$B,0)),"")</f>
        <v>46454</v>
      </c>
      <c r="F121" s="118" t="str">
        <f aca="true">IF(C121="Y","Done",IF(AND(E121&lt;&gt;"",TODAY()&gt;E121),"OVERDUE","Pending"))</f>
        <v>Pending</v>
      </c>
    </row>
    <row r="122" customFormat="false" ht="15" hidden="false" customHeight="true" outlineLevel="0" collapsed="false">
      <c r="A122" s="118" t="s">
        <v>573</v>
      </c>
      <c r="B122" s="150" t="s">
        <v>606</v>
      </c>
      <c r="C122" s="118"/>
      <c r="D122" s="118"/>
      <c r="E122" s="151" t="n">
        <f aca="false">IFERROR(INDEX(Journal!$A:$A,MATCH($A122,Journal!$B:$B,0)),"")</f>
        <v>46454</v>
      </c>
      <c r="F122" s="118" t="str">
        <f aca="true">IF(C122="Y","Done",IF(AND(E122&lt;&gt;"",TODAY()&gt;E122),"OVERDUE","Pending"))</f>
        <v>Pending</v>
      </c>
    </row>
    <row r="123" customFormat="false" ht="15" hidden="false" customHeight="true" outlineLevel="0" collapsed="false">
      <c r="A123" s="118" t="s">
        <v>573</v>
      </c>
      <c r="B123" s="150" t="s">
        <v>607</v>
      </c>
      <c r="C123" s="118"/>
      <c r="D123" s="118"/>
      <c r="E123" s="151" t="n">
        <f aca="false">IFERROR(INDEX(Journal!$A:$A,MATCH($A123,Journal!$B:$B,0)),"")</f>
        <v>46454</v>
      </c>
      <c r="F123" s="118" t="str">
        <f aca="true">IF(C123="Y","Done",IF(AND(E123&lt;&gt;"",TODAY()&gt;E123),"OVERDUE","Pending"))</f>
        <v>Pending</v>
      </c>
    </row>
    <row r="124" customFormat="false" ht="15" hidden="false" customHeight="true" outlineLevel="0" collapsed="false">
      <c r="A124" s="118" t="s">
        <v>573</v>
      </c>
      <c r="B124" s="150" t="s">
        <v>594</v>
      </c>
      <c r="C124" s="118"/>
      <c r="D124" s="118"/>
      <c r="E124" s="151" t="n">
        <f aca="false">IFERROR(INDEX(Journal!$A:$A,MATCH($A124,Journal!$B:$B,0)),"")</f>
        <v>46454</v>
      </c>
      <c r="F124" s="118" t="str">
        <f aca="true">IF(C124="Y","Done",IF(AND(E124&lt;&gt;"",TODAY()&gt;E124),"OVERDUE","Pending"))</f>
        <v>Pending</v>
      </c>
    </row>
    <row r="125" customFormat="false" ht="15" hidden="false" customHeight="true" outlineLevel="0" collapsed="false">
      <c r="A125" s="118" t="s">
        <v>573</v>
      </c>
      <c r="B125" s="150" t="s">
        <v>595</v>
      </c>
      <c r="C125" s="118"/>
      <c r="D125" s="118"/>
      <c r="E125" s="151" t="n">
        <f aca="false">IFERROR(INDEX(Journal!$A:$A,MATCH($A125,Journal!$B:$B,0)),"")</f>
        <v>46454</v>
      </c>
      <c r="F125" s="118" t="str">
        <f aca="true">IF(C125="Y","Done",IF(AND(E125&lt;&gt;"",TODAY()&gt;E125),"OVERDUE","Pending"))</f>
        <v>Pending</v>
      </c>
    </row>
    <row r="126" customFormat="false" ht="15" hidden="false" customHeight="true" outlineLevel="0" collapsed="false">
      <c r="A126" s="118" t="s">
        <v>573</v>
      </c>
      <c r="B126" s="150" t="s">
        <v>596</v>
      </c>
      <c r="C126" s="118"/>
      <c r="D126" s="118"/>
      <c r="E126" s="151" t="n">
        <f aca="false">IFERROR(INDEX(Journal!$A:$A,MATCH($A126,Journal!$B:$B,0)),"")</f>
        <v>46454</v>
      </c>
      <c r="F126" s="118" t="str">
        <f aca="true">IF(C126="Y","Done",IF(AND(E126&lt;&gt;"",TODAY()&gt;E126),"OVERDUE","Pending"))</f>
        <v>Pending</v>
      </c>
    </row>
    <row r="127" customFormat="false" ht="15" hidden="false" customHeight="true" outlineLevel="0" collapsed="false">
      <c r="A127" s="118" t="s">
        <v>574</v>
      </c>
      <c r="B127" s="150" t="s">
        <v>602</v>
      </c>
      <c r="C127" s="118"/>
      <c r="D127" s="118"/>
      <c r="E127" s="151" t="n">
        <f aca="false">IFERROR(INDEX(Journal!$A:$A,MATCH($A127,Journal!$B:$B,0)),"")</f>
        <v>46461</v>
      </c>
      <c r="F127" s="118" t="str">
        <f aca="true">IF(C127="Y","Done",IF(AND(E127&lt;&gt;"",TODAY()&gt;E127),"OVERDUE","Pending"))</f>
        <v>Pending</v>
      </c>
    </row>
    <row r="128" customFormat="false" ht="15" hidden="false" customHeight="true" outlineLevel="0" collapsed="false">
      <c r="A128" s="118" t="s">
        <v>574</v>
      </c>
      <c r="B128" s="150" t="s">
        <v>603</v>
      </c>
      <c r="C128" s="118"/>
      <c r="D128" s="118"/>
      <c r="E128" s="151" t="n">
        <f aca="false">IFERROR(INDEX(Journal!$A:$A,MATCH($A128,Journal!$B:$B,0)),"")</f>
        <v>46461</v>
      </c>
      <c r="F128" s="118" t="str">
        <f aca="true">IF(C128="Y","Done",IF(AND(E128&lt;&gt;"",TODAY()&gt;E128),"OVERDUE","Pending"))</f>
        <v>Pending</v>
      </c>
    </row>
    <row r="129" customFormat="false" ht="45.75" hidden="false" customHeight="true" outlineLevel="0" collapsed="false">
      <c r="A129" s="118" t="s">
        <v>574</v>
      </c>
      <c r="B129" s="150" t="s">
        <v>604</v>
      </c>
      <c r="C129" s="118"/>
      <c r="D129" s="118"/>
      <c r="E129" s="151" t="n">
        <f aca="false">IFERROR(INDEX(Journal!$A:$A,MATCH($A129,Journal!$B:$B,0)),"")</f>
        <v>46461</v>
      </c>
      <c r="F129" s="118" t="str">
        <f aca="true">IF(C129="Y","Done",IF(AND(E129&lt;&gt;"",TODAY()&gt;E129),"OVERDUE","Pending"))</f>
        <v>Pending</v>
      </c>
    </row>
    <row r="130" customFormat="false" ht="15" hidden="false" customHeight="true" outlineLevel="0" collapsed="false">
      <c r="A130" s="118" t="s">
        <v>574</v>
      </c>
      <c r="B130" s="150" t="s">
        <v>605</v>
      </c>
      <c r="C130" s="118"/>
      <c r="D130" s="118"/>
      <c r="E130" s="151" t="n">
        <f aca="false">IFERROR(INDEX(Journal!$A:$A,MATCH($A130,Journal!$B:$B,0)),"")</f>
        <v>46461</v>
      </c>
      <c r="F130" s="118" t="str">
        <f aca="true">IF(C130="Y","Done",IF(AND(E130&lt;&gt;"",TODAY()&gt;E130),"OVERDUE","Pending"))</f>
        <v>Pending</v>
      </c>
    </row>
    <row r="131" customFormat="false" ht="15" hidden="false" customHeight="true" outlineLevel="0" collapsed="false">
      <c r="A131" s="118" t="s">
        <v>574</v>
      </c>
      <c r="B131" s="150" t="s">
        <v>606</v>
      </c>
      <c r="C131" s="118"/>
      <c r="D131" s="118"/>
      <c r="E131" s="151" t="n">
        <f aca="false">IFERROR(INDEX(Journal!$A:$A,MATCH($A131,Journal!$B:$B,0)),"")</f>
        <v>46461</v>
      </c>
      <c r="F131" s="118" t="str">
        <f aca="true">IF(C131="Y","Done",IF(AND(E131&lt;&gt;"",TODAY()&gt;E131),"OVERDUE","Pending"))</f>
        <v>Pending</v>
      </c>
    </row>
    <row r="132" customFormat="false" ht="15" hidden="false" customHeight="true" outlineLevel="0" collapsed="false">
      <c r="A132" s="118" t="s">
        <v>574</v>
      </c>
      <c r="B132" s="150" t="s">
        <v>607</v>
      </c>
      <c r="C132" s="118"/>
      <c r="D132" s="118"/>
      <c r="E132" s="151" t="n">
        <f aca="false">IFERROR(INDEX(Journal!$A:$A,MATCH($A132,Journal!$B:$B,0)),"")</f>
        <v>46461</v>
      </c>
      <c r="F132" s="118" t="str">
        <f aca="true">IF(C132="Y","Done",IF(AND(E132&lt;&gt;"",TODAY()&gt;E132),"OVERDUE","Pending"))</f>
        <v>Pending</v>
      </c>
    </row>
    <row r="133" customFormat="false" ht="15" hidden="false" customHeight="true" outlineLevel="0" collapsed="false">
      <c r="A133" s="118" t="s">
        <v>574</v>
      </c>
      <c r="B133" s="150" t="s">
        <v>594</v>
      </c>
      <c r="C133" s="118"/>
      <c r="D133" s="118"/>
      <c r="E133" s="151" t="n">
        <f aca="false">IFERROR(INDEX(Journal!$A:$A,MATCH($A133,Journal!$B:$B,0)),"")</f>
        <v>46461</v>
      </c>
      <c r="F133" s="118" t="str">
        <f aca="true">IF(C133="Y","Done",IF(AND(E133&lt;&gt;"",TODAY()&gt;E133),"OVERDUE","Pending"))</f>
        <v>Pending</v>
      </c>
    </row>
    <row r="134" customFormat="false" ht="15" hidden="false" customHeight="true" outlineLevel="0" collapsed="false">
      <c r="A134" s="118" t="s">
        <v>574</v>
      </c>
      <c r="B134" s="150" t="s">
        <v>595</v>
      </c>
      <c r="C134" s="118"/>
      <c r="D134" s="118"/>
      <c r="E134" s="151" t="n">
        <f aca="false">IFERROR(INDEX(Journal!$A:$A,MATCH($A134,Journal!$B:$B,0)),"")</f>
        <v>46461</v>
      </c>
      <c r="F134" s="118" t="str">
        <f aca="true">IF(C134="Y","Done",IF(AND(E134&lt;&gt;"",TODAY()&gt;E134),"OVERDUE","Pending"))</f>
        <v>Pending</v>
      </c>
    </row>
    <row r="135" customFormat="false" ht="15" hidden="false" customHeight="true" outlineLevel="0" collapsed="false">
      <c r="A135" s="118" t="s">
        <v>574</v>
      </c>
      <c r="B135" s="150" t="s">
        <v>596</v>
      </c>
      <c r="C135" s="118"/>
      <c r="D135" s="118"/>
      <c r="E135" s="151" t="n">
        <f aca="false">IFERROR(INDEX(Journal!$A:$A,MATCH($A135,Journal!$B:$B,0)),"")</f>
        <v>46461</v>
      </c>
      <c r="F135" s="118"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608</v>
      </c>
      <c r="B1" s="8"/>
      <c r="C1" s="8"/>
      <c r="D1" s="8"/>
      <c r="E1" s="8"/>
      <c r="F1" s="8"/>
    </row>
    <row r="2" customFormat="false" ht="15" hidden="false" customHeight="true" outlineLevel="0" collapsed="false">
      <c r="A2" s="152" t="s">
        <v>609</v>
      </c>
      <c r="B2" s="152"/>
      <c r="C2" s="152"/>
      <c r="D2" s="152"/>
      <c r="E2" s="152"/>
      <c r="F2" s="152"/>
    </row>
    <row r="4" customFormat="false" ht="15" hidden="false" customHeight="true" outlineLevel="0" collapsed="false">
      <c r="A4" s="153" t="s">
        <v>610</v>
      </c>
      <c r="B4" s="153"/>
      <c r="C4" s="153"/>
      <c r="D4" s="153"/>
      <c r="E4" s="153"/>
      <c r="F4" s="153"/>
    </row>
    <row r="5" customFormat="false" ht="15" hidden="false" customHeight="true" outlineLevel="0" collapsed="false">
      <c r="A5" s="154" t="s">
        <v>611</v>
      </c>
      <c r="B5" s="154" t="s">
        <v>612</v>
      </c>
      <c r="C5" s="154" t="s">
        <v>613</v>
      </c>
      <c r="D5" s="154" t="s">
        <v>614</v>
      </c>
    </row>
    <row r="6" customFormat="false" ht="15" hidden="false" customHeight="true" outlineLevel="0" collapsed="false">
      <c r="A6" s="155" t="s">
        <v>615</v>
      </c>
      <c r="B6" s="155" t="s">
        <v>616</v>
      </c>
      <c r="C6" s="155" t="s">
        <v>616</v>
      </c>
      <c r="D6" s="156" t="s">
        <v>617</v>
      </c>
      <c r="E6" s="156"/>
      <c r="F6" s="156"/>
    </row>
    <row r="8" customFormat="false" ht="15" hidden="false" customHeight="true" outlineLevel="0" collapsed="false">
      <c r="A8" s="153" t="s">
        <v>618</v>
      </c>
      <c r="B8" s="153"/>
      <c r="C8" s="153"/>
      <c r="D8" s="153"/>
      <c r="E8" s="153"/>
      <c r="F8" s="153"/>
    </row>
    <row r="9" customFormat="false" ht="15" hidden="false" customHeight="true" outlineLevel="0" collapsed="false">
      <c r="A9" s="154" t="s">
        <v>611</v>
      </c>
      <c r="B9" s="154" t="s">
        <v>612</v>
      </c>
      <c r="C9" s="154" t="s">
        <v>613</v>
      </c>
      <c r="D9" s="154" t="s">
        <v>614</v>
      </c>
    </row>
    <row r="10" customFormat="false" ht="27.75" hidden="false" customHeight="true" outlineLevel="0" collapsed="false">
      <c r="A10" s="155" t="s">
        <v>619</v>
      </c>
      <c r="B10" s="155" t="s">
        <v>616</v>
      </c>
      <c r="C10" s="155" t="s">
        <v>620</v>
      </c>
      <c r="D10" s="156" t="s">
        <v>621</v>
      </c>
      <c r="E10" s="156"/>
      <c r="F10" s="156"/>
    </row>
    <row r="12" customFormat="false" ht="15" hidden="false" customHeight="true" outlineLevel="0" collapsed="false">
      <c r="A12" s="153" t="s">
        <v>622</v>
      </c>
      <c r="B12" s="153"/>
      <c r="C12" s="153"/>
      <c r="D12" s="153"/>
      <c r="E12" s="153"/>
      <c r="F12" s="153"/>
    </row>
    <row r="13" customFormat="false" ht="15" hidden="false" customHeight="true" outlineLevel="0" collapsed="false">
      <c r="A13" s="154" t="s">
        <v>611</v>
      </c>
      <c r="B13" s="154" t="s">
        <v>612</v>
      </c>
      <c r="C13" s="154" t="s">
        <v>613</v>
      </c>
      <c r="D13" s="154" t="s">
        <v>614</v>
      </c>
    </row>
    <row r="14" customFormat="false" ht="369" hidden="false" customHeight="true" outlineLevel="0" collapsed="false">
      <c r="A14" s="155" t="s">
        <v>623</v>
      </c>
      <c r="B14" s="155" t="s">
        <v>624</v>
      </c>
      <c r="C14" s="155" t="s">
        <v>625</v>
      </c>
      <c r="D14" s="156" t="s">
        <v>626</v>
      </c>
      <c r="E14" s="156"/>
      <c r="F14" s="156"/>
    </row>
    <row r="16" customFormat="false" ht="15" hidden="false" customHeight="true" outlineLevel="0" collapsed="false">
      <c r="A16" s="153" t="s">
        <v>627</v>
      </c>
      <c r="B16" s="153"/>
      <c r="C16" s="153"/>
      <c r="D16" s="153"/>
      <c r="E16" s="153"/>
      <c r="F16" s="153"/>
    </row>
    <row r="17" customFormat="false" ht="15" hidden="false" customHeight="true" outlineLevel="0" collapsed="false">
      <c r="A17" s="154" t="s">
        <v>611</v>
      </c>
      <c r="B17" s="154" t="s">
        <v>612</v>
      </c>
      <c r="C17" s="154" t="s">
        <v>613</v>
      </c>
      <c r="D17" s="154" t="s">
        <v>614</v>
      </c>
    </row>
    <row r="18" customFormat="false" ht="45.75" hidden="false" customHeight="true" outlineLevel="0" collapsed="false">
      <c r="A18" s="155" t="s">
        <v>623</v>
      </c>
      <c r="B18" s="155" t="s">
        <v>628</v>
      </c>
      <c r="C18" s="155" t="s">
        <v>629</v>
      </c>
      <c r="D18" s="156" t="s">
        <v>630</v>
      </c>
      <c r="E18" s="156"/>
      <c r="F18" s="156"/>
    </row>
    <row r="20" customFormat="false" ht="15" hidden="false" customHeight="true" outlineLevel="0" collapsed="false">
      <c r="A20" s="153" t="s">
        <v>631</v>
      </c>
      <c r="B20" s="153"/>
      <c r="C20" s="153"/>
      <c r="D20" s="153"/>
      <c r="E20" s="153"/>
      <c r="F20" s="153"/>
    </row>
    <row r="21" customFormat="false" ht="15" hidden="false" customHeight="true" outlineLevel="0" collapsed="false">
      <c r="A21" s="154" t="s">
        <v>611</v>
      </c>
      <c r="B21" s="154" t="s">
        <v>612</v>
      </c>
      <c r="C21" s="154" t="s">
        <v>613</v>
      </c>
      <c r="D21" s="154" t="s">
        <v>614</v>
      </c>
    </row>
    <row r="22" customFormat="false" ht="351" hidden="false" customHeight="true" outlineLevel="0" collapsed="false">
      <c r="A22" s="155" t="s">
        <v>632</v>
      </c>
      <c r="B22" s="155" t="s">
        <v>616</v>
      </c>
      <c r="C22" s="155" t="s">
        <v>633</v>
      </c>
      <c r="D22" s="156" t="s">
        <v>634</v>
      </c>
      <c r="E22" s="156"/>
      <c r="F22" s="156"/>
    </row>
    <row r="24" customFormat="false" ht="15" hidden="false" customHeight="true" outlineLevel="0" collapsed="false">
      <c r="A24" s="153" t="s">
        <v>635</v>
      </c>
      <c r="B24" s="153"/>
      <c r="C24" s="153"/>
      <c r="D24" s="153"/>
      <c r="E24" s="153"/>
      <c r="F24" s="153"/>
    </row>
    <row r="25" customFormat="false" ht="15" hidden="false" customHeight="true" outlineLevel="0" collapsed="false">
      <c r="A25" s="154" t="s">
        <v>611</v>
      </c>
      <c r="B25" s="154" t="s">
        <v>612</v>
      </c>
      <c r="C25" s="154" t="s">
        <v>613</v>
      </c>
      <c r="D25" s="154" t="s">
        <v>614</v>
      </c>
    </row>
    <row r="26" customFormat="false" ht="54.75" hidden="false" customHeight="true" outlineLevel="0" collapsed="false">
      <c r="A26" s="155" t="s">
        <v>623</v>
      </c>
      <c r="B26" s="155" t="s">
        <v>636</v>
      </c>
      <c r="C26" s="155" t="s">
        <v>637</v>
      </c>
      <c r="D26" s="156" t="s">
        <v>638</v>
      </c>
      <c r="E26" s="156"/>
      <c r="F26" s="156"/>
    </row>
    <row r="28" customFormat="false" ht="15" hidden="false" customHeight="true" outlineLevel="0" collapsed="false">
      <c r="A28" s="153" t="s">
        <v>639</v>
      </c>
      <c r="B28" s="153"/>
      <c r="C28" s="153"/>
      <c r="D28" s="153"/>
      <c r="E28" s="153"/>
      <c r="F28" s="153"/>
    </row>
    <row r="29" customFormat="false" ht="15" hidden="false" customHeight="true" outlineLevel="0" collapsed="false">
      <c r="A29" s="154" t="s">
        <v>611</v>
      </c>
      <c r="B29" s="154" t="s">
        <v>612</v>
      </c>
      <c r="C29" s="154" t="s">
        <v>613</v>
      </c>
      <c r="D29" s="154" t="s">
        <v>614</v>
      </c>
    </row>
    <row r="30" customFormat="false" ht="144.75" hidden="false" customHeight="true" outlineLevel="0" collapsed="false">
      <c r="A30" s="155" t="s">
        <v>640</v>
      </c>
      <c r="B30" s="155" t="s">
        <v>641</v>
      </c>
      <c r="C30" s="155" t="s">
        <v>642</v>
      </c>
      <c r="D30" s="156" t="s">
        <v>643</v>
      </c>
      <c r="E30" s="156"/>
      <c r="F30" s="156"/>
    </row>
    <row r="32" customFormat="false" ht="15" hidden="false" customHeight="true" outlineLevel="0" collapsed="false">
      <c r="A32" s="153" t="s">
        <v>644</v>
      </c>
      <c r="B32" s="153"/>
      <c r="C32" s="153"/>
      <c r="D32" s="153"/>
      <c r="E32" s="153"/>
      <c r="F32" s="153"/>
    </row>
    <row r="33" customFormat="false" ht="15" hidden="false" customHeight="true" outlineLevel="0" collapsed="false">
      <c r="A33" s="154" t="s">
        <v>611</v>
      </c>
      <c r="B33" s="154" t="s">
        <v>612</v>
      </c>
      <c r="C33" s="154" t="s">
        <v>613</v>
      </c>
      <c r="D33" s="154" t="s">
        <v>614</v>
      </c>
    </row>
    <row r="34" customFormat="false" ht="99.75" hidden="false" customHeight="true" outlineLevel="0" collapsed="false">
      <c r="A34" s="155" t="s">
        <v>623</v>
      </c>
      <c r="B34" s="155" t="s">
        <v>645</v>
      </c>
      <c r="C34" s="155" t="s">
        <v>646</v>
      </c>
      <c r="D34" s="156" t="s">
        <v>647</v>
      </c>
      <c r="E34" s="156"/>
      <c r="F34" s="156"/>
    </row>
    <row r="36" customFormat="false" ht="15" hidden="false" customHeight="true" outlineLevel="0" collapsed="false">
      <c r="A36" s="153" t="s">
        <v>648</v>
      </c>
      <c r="B36" s="153"/>
      <c r="C36" s="153"/>
      <c r="D36" s="153"/>
      <c r="E36" s="153"/>
      <c r="F36" s="153"/>
    </row>
    <row r="37" customFormat="false" ht="15" hidden="false" customHeight="true" outlineLevel="0" collapsed="false">
      <c r="A37" s="154" t="s">
        <v>611</v>
      </c>
      <c r="B37" s="154" t="s">
        <v>612</v>
      </c>
      <c r="C37" s="154" t="s">
        <v>613</v>
      </c>
      <c r="D37" s="154" t="s">
        <v>614</v>
      </c>
    </row>
    <row r="38" customFormat="false" ht="162" hidden="false" customHeight="true" outlineLevel="0" collapsed="false">
      <c r="A38" s="155" t="s">
        <v>632</v>
      </c>
      <c r="B38" s="155" t="s">
        <v>616</v>
      </c>
      <c r="C38" s="155" t="s">
        <v>649</v>
      </c>
      <c r="D38" s="156" t="s">
        <v>650</v>
      </c>
      <c r="E38" s="156"/>
      <c r="F38" s="156"/>
    </row>
    <row r="40" customFormat="false" ht="15" hidden="false" customHeight="true" outlineLevel="0" collapsed="false">
      <c r="A40" s="153" t="s">
        <v>651</v>
      </c>
      <c r="B40" s="153"/>
      <c r="C40" s="153"/>
      <c r="D40" s="153"/>
      <c r="E40" s="153"/>
      <c r="F40" s="153"/>
    </row>
    <row r="41" customFormat="false" ht="15" hidden="false" customHeight="true" outlineLevel="0" collapsed="false">
      <c r="A41" s="154" t="s">
        <v>611</v>
      </c>
      <c r="B41" s="154" t="s">
        <v>612</v>
      </c>
      <c r="C41" s="154" t="s">
        <v>613</v>
      </c>
      <c r="D41" s="154" t="s">
        <v>614</v>
      </c>
    </row>
    <row r="42" customFormat="false" ht="90.75" hidden="false" customHeight="true" outlineLevel="0" collapsed="false">
      <c r="A42" s="155" t="s">
        <v>652</v>
      </c>
      <c r="B42" s="155" t="s">
        <v>616</v>
      </c>
      <c r="C42" s="155" t="s">
        <v>653</v>
      </c>
      <c r="D42" s="156" t="s">
        <v>654</v>
      </c>
      <c r="E42" s="156"/>
      <c r="F42" s="156"/>
    </row>
    <row r="44" customFormat="false" ht="15" hidden="false" customHeight="true" outlineLevel="0" collapsed="false">
      <c r="A44" s="153" t="s">
        <v>655</v>
      </c>
      <c r="B44" s="153"/>
      <c r="C44" s="153"/>
      <c r="D44" s="153"/>
      <c r="E44" s="153"/>
      <c r="F44" s="153"/>
    </row>
    <row r="45" customFormat="false" ht="15" hidden="false" customHeight="true" outlineLevel="0" collapsed="false">
      <c r="A45" s="154" t="s">
        <v>611</v>
      </c>
      <c r="B45" s="154" t="s">
        <v>612</v>
      </c>
      <c r="C45" s="154" t="s">
        <v>613</v>
      </c>
      <c r="D45" s="154" t="s">
        <v>614</v>
      </c>
    </row>
    <row r="46" customFormat="false" ht="90.75" hidden="false" customHeight="true" outlineLevel="0" collapsed="false">
      <c r="A46" s="155" t="s">
        <v>656</v>
      </c>
      <c r="B46" s="155" t="s">
        <v>616</v>
      </c>
      <c r="C46" s="155" t="s">
        <v>657</v>
      </c>
      <c r="D46" s="156" t="s">
        <v>658</v>
      </c>
      <c r="E46" s="156"/>
      <c r="F46" s="156"/>
    </row>
    <row r="48" customFormat="false" ht="15" hidden="false" customHeight="true" outlineLevel="0" collapsed="false">
      <c r="A48" s="153" t="s">
        <v>659</v>
      </c>
      <c r="B48" s="153"/>
      <c r="C48" s="153"/>
      <c r="D48" s="153"/>
      <c r="E48" s="153"/>
      <c r="F48" s="153"/>
    </row>
    <row r="49" customFormat="false" ht="15" hidden="false" customHeight="true" outlineLevel="0" collapsed="false">
      <c r="A49" s="154" t="s">
        <v>611</v>
      </c>
      <c r="B49" s="154" t="s">
        <v>612</v>
      </c>
      <c r="C49" s="154" t="s">
        <v>613</v>
      </c>
      <c r="D49" s="154" t="s">
        <v>614</v>
      </c>
    </row>
    <row r="50" customFormat="false" ht="81.75" hidden="false" customHeight="true" outlineLevel="0" collapsed="false">
      <c r="A50" s="155" t="s">
        <v>623</v>
      </c>
      <c r="B50" s="155" t="s">
        <v>660</v>
      </c>
      <c r="C50" s="155" t="s">
        <v>661</v>
      </c>
      <c r="D50" s="156" t="s">
        <v>662</v>
      </c>
      <c r="E50" s="156"/>
      <c r="F50" s="156"/>
    </row>
    <row r="52" customFormat="false" ht="15" hidden="false" customHeight="true" outlineLevel="0" collapsed="false">
      <c r="A52" s="153" t="s">
        <v>663</v>
      </c>
      <c r="B52" s="153"/>
      <c r="C52" s="153"/>
      <c r="D52" s="153"/>
      <c r="E52" s="153"/>
      <c r="F52" s="153"/>
    </row>
    <row r="53" customFormat="false" ht="15" hidden="false" customHeight="true" outlineLevel="0" collapsed="false">
      <c r="A53" s="154" t="s">
        <v>611</v>
      </c>
      <c r="B53" s="154" t="s">
        <v>612</v>
      </c>
      <c r="C53" s="154" t="s">
        <v>613</v>
      </c>
      <c r="D53" s="154" t="s">
        <v>614</v>
      </c>
    </row>
    <row r="54" customFormat="false" ht="27.75" hidden="false" customHeight="true" outlineLevel="0" collapsed="false">
      <c r="A54" s="155" t="s">
        <v>623</v>
      </c>
      <c r="B54" s="155" t="s">
        <v>664</v>
      </c>
      <c r="C54" s="155" t="s">
        <v>665</v>
      </c>
      <c r="D54" s="156" t="s">
        <v>666</v>
      </c>
      <c r="E54" s="156"/>
      <c r="F54" s="156"/>
    </row>
    <row r="56" customFormat="false" ht="15" hidden="false" customHeight="true" outlineLevel="0" collapsed="false">
      <c r="A56" s="153" t="s">
        <v>667</v>
      </c>
      <c r="B56" s="153"/>
      <c r="C56" s="153"/>
      <c r="D56" s="153"/>
      <c r="E56" s="153"/>
      <c r="F56" s="153"/>
    </row>
    <row r="57" customFormat="false" ht="15" hidden="false" customHeight="true" outlineLevel="0" collapsed="false">
      <c r="A57" s="154" t="s">
        <v>611</v>
      </c>
      <c r="B57" s="154" t="s">
        <v>612</v>
      </c>
      <c r="C57" s="154" t="s">
        <v>613</v>
      </c>
      <c r="D57" s="154" t="s">
        <v>614</v>
      </c>
    </row>
    <row r="58" customFormat="false" ht="333" hidden="false" customHeight="true" outlineLevel="0" collapsed="false">
      <c r="A58" s="155" t="s">
        <v>640</v>
      </c>
      <c r="B58" s="155" t="s">
        <v>668</v>
      </c>
      <c r="C58" s="155" t="s">
        <v>669</v>
      </c>
      <c r="D58" s="156" t="s">
        <v>670</v>
      </c>
      <c r="E58" s="156"/>
      <c r="F58" s="156"/>
    </row>
    <row r="60" customFormat="false" ht="15" hidden="false" customHeight="true" outlineLevel="0" collapsed="false">
      <c r="A60" s="153" t="s">
        <v>671</v>
      </c>
      <c r="B60" s="153"/>
      <c r="C60" s="153"/>
      <c r="D60" s="153"/>
      <c r="E60" s="153"/>
      <c r="F60" s="153"/>
    </row>
    <row r="61" customFormat="false" ht="15" hidden="false" customHeight="true" outlineLevel="0" collapsed="false">
      <c r="A61" s="154" t="s">
        <v>611</v>
      </c>
      <c r="B61" s="154" t="s">
        <v>612</v>
      </c>
      <c r="C61" s="154" t="s">
        <v>613</v>
      </c>
      <c r="D61" s="154" t="s">
        <v>614</v>
      </c>
    </row>
    <row r="62" customFormat="false" ht="619.5" hidden="false" customHeight="true" outlineLevel="0" collapsed="false">
      <c r="A62" s="155" t="s">
        <v>640</v>
      </c>
      <c r="B62" s="155" t="s">
        <v>672</v>
      </c>
      <c r="C62" s="155" t="s">
        <v>673</v>
      </c>
      <c r="D62" s="156" t="s">
        <v>674</v>
      </c>
      <c r="E62" s="156"/>
      <c r="F62" s="156"/>
    </row>
    <row r="64" customFormat="false" ht="15" hidden="false" customHeight="true" outlineLevel="0" collapsed="false">
      <c r="A64" s="153" t="s">
        <v>675</v>
      </c>
      <c r="B64" s="153"/>
      <c r="C64" s="153"/>
      <c r="D64" s="153"/>
      <c r="E64" s="153"/>
      <c r="F64" s="153"/>
    </row>
    <row r="65" customFormat="false" ht="15" hidden="false" customHeight="true" outlineLevel="0" collapsed="false">
      <c r="A65" s="154" t="s">
        <v>611</v>
      </c>
      <c r="B65" s="154" t="s">
        <v>612</v>
      </c>
      <c r="C65" s="154" t="s">
        <v>613</v>
      </c>
      <c r="D65" s="154" t="s">
        <v>614</v>
      </c>
    </row>
    <row r="66" customFormat="false" ht="45.75" hidden="false" customHeight="true" outlineLevel="0" collapsed="false">
      <c r="A66" s="155" t="s">
        <v>623</v>
      </c>
      <c r="B66" s="155" t="s">
        <v>676</v>
      </c>
      <c r="C66" s="155" t="s">
        <v>677</v>
      </c>
      <c r="D66" s="156" t="s">
        <v>678</v>
      </c>
      <c r="E66" s="156"/>
      <c r="F66" s="156"/>
    </row>
    <row r="68" customFormat="false" ht="15" hidden="false" customHeight="true" outlineLevel="0" collapsed="false">
      <c r="A68" s="153" t="s">
        <v>679</v>
      </c>
      <c r="B68" s="153"/>
      <c r="C68" s="153"/>
      <c r="D68" s="153"/>
      <c r="E68" s="153"/>
      <c r="F68" s="153"/>
    </row>
    <row r="69" customFormat="false" ht="15" hidden="false" customHeight="true" outlineLevel="0" collapsed="false">
      <c r="A69" s="154" t="s">
        <v>611</v>
      </c>
      <c r="B69" s="154" t="s">
        <v>612</v>
      </c>
      <c r="C69" s="154" t="s">
        <v>613</v>
      </c>
      <c r="D69" s="154" t="s">
        <v>614</v>
      </c>
    </row>
    <row r="70" customFormat="false" ht="15" hidden="false" customHeight="true" outlineLevel="0" collapsed="false">
      <c r="A70" s="155" t="s">
        <v>623</v>
      </c>
      <c r="B70" s="155" t="s">
        <v>680</v>
      </c>
      <c r="C70" s="155" t="s">
        <v>681</v>
      </c>
      <c r="D70" s="156" t="s">
        <v>682</v>
      </c>
      <c r="E70" s="156"/>
      <c r="F70" s="156"/>
    </row>
    <row r="72" customFormat="false" ht="15" hidden="false" customHeight="true" outlineLevel="0" collapsed="false">
      <c r="A72" s="153" t="s">
        <v>683</v>
      </c>
      <c r="B72" s="153"/>
      <c r="C72" s="153"/>
      <c r="D72" s="153"/>
      <c r="E72" s="153"/>
      <c r="F72" s="153"/>
    </row>
    <row r="73" customFormat="false" ht="15" hidden="false" customHeight="true" outlineLevel="0" collapsed="false">
      <c r="A73" s="154" t="s">
        <v>611</v>
      </c>
      <c r="B73" s="154" t="s">
        <v>612</v>
      </c>
      <c r="C73" s="154" t="s">
        <v>613</v>
      </c>
      <c r="D73" s="154" t="s">
        <v>614</v>
      </c>
    </row>
    <row r="74" customFormat="false" ht="117.75" hidden="false" customHeight="true" outlineLevel="0" collapsed="false">
      <c r="A74" s="155" t="s">
        <v>623</v>
      </c>
      <c r="B74" s="155" t="s">
        <v>684</v>
      </c>
      <c r="C74" s="155" t="s">
        <v>685</v>
      </c>
      <c r="D74" s="156" t="s">
        <v>686</v>
      </c>
      <c r="E74" s="156"/>
      <c r="F74" s="156"/>
    </row>
  </sheetData>
  <mergeCells count="38">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2026-09-11T12:59:11Z</dcterms:modified>
  <cp:revision>99</cp:revision>
  <dc:subject/>
  <dc:title/>
</cp:coreProperties>
</file>

<file path=docProps/custom.xml><?xml version="1.0" encoding="utf-8"?>
<Properties xmlns="http://schemas.openxmlformats.org/officeDocument/2006/custom-properties" xmlns:vt="http://schemas.openxmlformats.org/officeDocument/2006/docPropsVTypes"/>
</file>