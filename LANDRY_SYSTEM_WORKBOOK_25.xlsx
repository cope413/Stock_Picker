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ables/table4.xml" ContentType="application/vnd.openxmlformats-officedocument.spreadsheetml.table+xml"/>
  <Override PartName="/xl/tables/table2.xml" ContentType="application/vnd.openxmlformats-officedocument.spreadsheetml.table+xml"/>
  <Override PartName="/xl/tables/table5.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18.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style3.xml" ContentType="application/vnd.ms-office.chartstyle+xml"/>
  <Override PartName="/xl/charts/colors14.xml" ContentType="application/vnd.ms-office.chartcolorstyle+xml"/>
  <Override PartName="/xl/charts/style15.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chart16.xml" ContentType="application/vnd.openxmlformats-officedocument.drawingml.chart+xml"/>
  <Override PartName="/xl/charts/style17.xml" ContentType="application/vnd.ms-office.chartstyle+xml"/>
  <Override PartName="/xl/charts/colors15.xml" ContentType="application/vnd.ms-office.chartcolorstyle+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Schema Reference" sheetId="18" state="visible" r:id="rId2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<sst xmlns="http://schemas.openxmlformats.org/spreadsheetml/2006/main" count="1080" uniqueCount="498">
  <si>
    <t xml:space="preserve">THE LANDRY FAMILY EQUITY INVESTMENT OPERATING SYSTEM — STOCK SCORING &amp; PORTFOLIO RISK WORKBOOK</t>
  </si>
  <si>
    <t xml:space="preserve">Companion workbook to Landry System v1.02. Aligned to: Version 1.02 (49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</si>
  <si>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</si>
  <si>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</si>
  <si>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</si>
  <si>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</si>
  <si>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</si>
  <si>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</si>
  <si>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</si>
  <si>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</si>
  <si>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</si>
  <si>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monthly closing prices for up to 12</t>
  </si>
  <si>
    <t xml:space="preserve">core positions; pairwise correlation and the Rule 36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</si>
  <si>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</si>
  <si>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</si>
  <si>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v1.02)</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</si>
  <si>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</si>
  <si>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</si>
  <si>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</si>
  <si>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36 (Part 7) — Correlation Cap: no position may carry pairwise correlation above 0.70 with more</t>
  </si>
  <si>
    <t xml:space="preserve">than one other holding at the same time.</t>
  </si>
  <si>
    <t xml:space="preserve">Rule 37 (Part 7) — Portfolio drawdown response levels apply automatically; only a documented Tier 1</t>
  </si>
  <si>
    <t xml:space="preserve">re-score restores normal sizing for an affected security.</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</si>
  <si>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</si>
  <si>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</si>
  <si>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</si>
  <si>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</si>
  <si>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</si>
  <si>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</si>
  <si>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</si>
  <si>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</si>
  <si>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</si>
  <si>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</si>
  <si>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</si>
  <si>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</si>
  <si>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11-13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</si>
  <si>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</si>
  <si>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</si>
  <si>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t>
  </si>
  <si>
    <t xml:space="preserve">Journal: for decisions, reasoning, and corrections that don't have a natural home in a structured tab --</t>
  </si>
  <si>
    <t xml:space="preserve">not a duplicate of what the Scoring/Correlation/Drawdown tabs already record as data.</t>
  </si>
  <si>
    <t xml:space="preserve">Market Data: use Excel's Stocks data type / STOCKHISTORY (built into M365, already in use) rather than</t>
  </si>
  <si>
    <t xml:space="preserve">Google Sheets' GOOGLEFINANCE, which does not work in Excel. Track current holdings plus any candidate</t>
  </si>
  <si>
    <t xml:space="preserve">that has cleared Tier 1 and is sitting on the bench -- not names already screened out.</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</si>
  <si>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</si>
  <si>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</si>
  <si>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31-34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</si>
  <si>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</si>
  <si>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</si>
  <si>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</si>
  <si>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21-30 (see Holding Monitor tab for detail)</t>
  </si>
  <si>
    <t xml:space="preserve">Holdings with action required within 30 days:</t>
  </si>
  <si>
    <t xml:space="preserve">Holdings under Hold Through (monitor only, no action):</t>
  </si>
  <si>
    <t xml:space="preserve">3. CORRELATION CAP — Rule 36 (see Correlation Matrix tab for detail)</t>
  </si>
  <si>
    <t xml:space="preserve">Rule 36 status:</t>
  </si>
  <si>
    <t xml:space="preserve">Positions exceeding cap:</t>
  </si>
  <si>
    <t xml:space="preserve">4. PORTFOLIO DRAWDOWN STATUS — Rule 37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</si>
  <si>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</si>
  <si>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</si>
  <si>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</si>
  <si>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</si>
  <si>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</si>
  <si>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Candidates auto-classified Avoid (Rule 3):</t>
  </si>
  <si>
    <t xml:space="preserve">Candidates flagged for mandatory Tier 1 review (Rule 2):</t>
  </si>
  <si>
    <t xml:space="preserve">Candidates capped at Buy despite Strong Buy score (Rule 4):</t>
  </si>
  <si>
    <t xml:space="preserve">6. ENTRY AUTHORIZATION — Rules 5-13 (see Entry Checklist tab for detail)</t>
  </si>
  <si>
    <t xml:space="preserve">Candidates NOT authorized to enter (failing one or more Entry Rules):</t>
  </si>
  <si>
    <t xml:space="preserve">Candidates authorized, staged at reduced size (50%, per Rules 8-9):</t>
  </si>
  <si>
    <t xml:space="preserve">7. PIOTROSKI CROSS-CHECKS — System v1.02, Part 2 (see Scoring tab cols AM-AR for detail)</t>
  </si>
  <si>
    <t xml:space="preserve">Candidates flagged LOW CONF on Accruals (CFO does not exceed Net Income):</t>
  </si>
  <si>
    <t xml:space="preserve">Candidates with Debt/FCF trending up year-over-year:</t>
  </si>
  <si>
    <t xml:space="preserve">Combined current positions, both accounts, as of 08/05/2026 (JT ULTRA, Fidelity) and 08/04/2026 (Self-Directed, Chase — cash sweep custodied at Schwab, swept to VMFXX for yield). Source: uploaded brokerage exports,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</si>
  <si>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</si>
  <si>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</si>
  <si>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</si>
  <si>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</si>
  <si>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</si>
  <si>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</si>
  <si>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</si>
  <si>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</si>
  <si>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</si>
  <si>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</si>
  <si>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</si>
  <si>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</si>
  <si>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</si>
  <si>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</si>
  <si>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</si>
  <si>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</si>
  <si>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</si>
  <si>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</si>
  <si>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</si>
  <si>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</si>
  <si>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</si>
  <si>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</si>
  <si>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</si>
  <si>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</si>
  <si>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</si>
  <si>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</si>
  <si>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</si>
  <si>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</si>
  <si>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</si>
  <si>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</si>
  <si>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</si>
  <si>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</si>
  <si>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</si>
  <si>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</si>
  <si>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</si>
  <si>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</si>
  <si>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</si>
  <si>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</si>
  <si>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</si>
  <si>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FZDXX</t>
  </si>
  <si>
    <t xml:space="preserve">Fidelity Money Market Premium</t>
  </si>
  <si>
    <t xml:space="preserve">Cash</t>
  </si>
  <si>
    <t xml:space="preserve">FZFXX</t>
  </si>
  <si>
    <t xml:space="preserve">Fidelity Core Money Market</t>
  </si>
  <si>
    <t xml:space="preserve">JT ULTRA (Fidelity) SUBTOTAL</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</si>
  <si>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</si>
  <si>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</si>
  <si>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</si>
  <si>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</si>
  <si>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</si>
  <si>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</si>
  <si>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</si>
  <si>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</si>
  <si>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</si>
  <si>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</si>
  <si>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</si>
  <si>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</si>
  <si>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</si>
  <si>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</si>
  <si>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AVGO</t>
  </si>
  <si>
    <t xml:space="preserve">Broadcom Inc.</t>
  </si>
  <si>
    <t xml:space="preserve">VRTX</t>
  </si>
  <si>
    <t xml:space="preserve">Vertex Pharmaceuticals</t>
  </si>
  <si>
    <t xml:space="preserve">BOUGHT +25sh 8/7/26 @ $488.77 -- DCA tranche 1 diversifier add (best correlation profile in book)</t>
  </si>
  <si>
    <t xml:space="preserve">SPMO</t>
  </si>
  <si>
    <t xml:space="preserve">Invesco S&amp;P 500 Momentum ETF</t>
  </si>
  <si>
    <t xml:space="preserve">VFLO</t>
  </si>
  <si>
    <t xml:space="preserve">VictoryShares Free Cash Flow ETF</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</si>
  <si>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</si>
  <si>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</si>
  <si>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</si>
  <si>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</si>
  <si>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</si>
  <si>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 (row 17).</t>
  </si>
  <si>
    <t xml:space="preserve">TSLA</t>
  </si>
  <si>
    <t xml:space="preserve">Tesla Inc.</t>
  </si>
  <si>
    <t xml:space="preserve">SOLD 08/07/26 -- confirmed: -15 sh, $4,783.25 proceeds. Rule 3 Avoid. Proceeds added to VMFXX (row 17).</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</si>
  <si>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</si>
  <si>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</si>
  <si>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</si>
  <si>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</si>
  <si>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</si>
  <si>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</si>
  <si>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</si>
  <si>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 (row 17).</t>
  </si>
  <si>
    <t xml:space="preserve">Self-Directed (Chase) SUBTOTAL</t>
  </si>
  <si>
    <t xml:space="preserve">COMBINED PORTFOLIO TOTAL</t>
  </si>
  <si>
    <t xml:space="preserve">NOTE: JT ULTRA's ASML/PLTR/MU quantities reflect trims already executed from the earlier rebalance session; SWAN is not currently held in this export (flagging in case that wasn't intentional). Several Self-Directed (Chase) tickers (JEPQ, AVUV, CALF, HELO, SPMO, VFLO, VGT, VRTX, PLD, SFM, ONON, TSLA) have not yet been run through the Scoring tab — that's the natural next step before classifying them.</t>
  </si>
  <si>
    <t xml:space="preserve">Recheck triggers for every name that's been scored, not just Watch List holdings. Update Current Price, Insider Activity, and Analyst Shift by hand for now (or during Claude Code automation later); Recheck Status calculates automatically from all signals together.</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</si>
  <si>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</si>
  <si>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</si>
  <si>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</si>
  <si>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</si>
  <si>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</si>
  <si>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</si>
  <si>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</si>
  <si>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</si>
  <si>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</si>
  <si>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</si>
  <si>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</si>
  <si>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</si>
  <si>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Days Since
Last Score</t>
  </si>
  <si>
    <t xml:space="preserve">Recheck Status</t>
  </si>
  <si>
    <t xml:space="preserve">Notes</t>
  </si>
  <si>
    <t xml:space="preserve">Owned</t>
  </si>
  <si>
    <t xml:space="preserve">STRONG BUY</t>
  </si>
  <si>
    <t xml:space="preserve">BUY</t>
  </si>
  <si>
    <t xml:space="preserve">Re-scored 8/7/26: original Avoid was bad source data, corrected. See Journal.</t>
  </si>
  <si>
    <t xml:space="preserve">Closed</t>
  </si>
  <si>
    <t xml:space="preserve">AVOID</t>
  </si>
  <si>
    <t xml:space="preserve">Sold 08/07/26, confirmed. No longer an active recheck target.</t>
  </si>
  <si>
    <t xml:space="preserve">Weekly closing price ($), week-ending Friday (Rule 36: weekly total returns, 24-month target, 12-month minimum, 36-month max). 20 slots: 13 stocks + 7 held ETFs + headroom.</t>
  </si>
  <si>
    <t xml:space="preserve">Week Ending</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</si>
  <si>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</si>
  <si>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</si>
  <si>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</si>
  <si>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</si>
  <si>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</si>
  <si>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</si>
  <si>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</si>
  <si>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</si>
  <si>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</si>
  <si>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</si>
  <si>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TIER 1 — 70% of Decision</t>
  </si>
  <si>
    <t xml:space="preserve">TIER 2 — 25% of Decision</t>
  </si>
  <si>
    <t xml:space="preserve">TIER 3 — 5% of Decision</t>
  </si>
  <si>
    <t xml:space="preserve">RULE FLAGS (1–4)</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</si>
  <si>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</si>
  <si>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</si>
  <si>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</si>
  <si>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</si>
  <si>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</si>
  <si>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</si>
  <si>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</si>
  <si>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</si>
  <si>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</si>
  <si>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</si>
  <si>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</si>
  <si>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</si>
  <si>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</si>
  <si>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</si>
  <si>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</si>
  <si>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</si>
  <si>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</si>
  <si>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</si>
  <si>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</si>
  <si>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</si>
  <si>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</si>
  <si>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</si>
  <si>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2+≤2=Avoid</t>
  </si>
  <si>
    <t xml:space="preserve">Rule 4
2+Low=Cap Buy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</si>
  <si>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</si>
  <si>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</si>
  <si>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</si>
  <si>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</si>
  <si>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</si>
  <si>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</si>
  <si>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</si>
  <si>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</si>
  <si>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</si>
  <si>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Prologis Inc. (REIT-adapted)</t>
  </si>
  <si>
    <t xml:space="preserve">Taiwan Semiconductor Mfg.</t>
  </si>
  <si>
    <t xml:space="preserve">COST</t>
  </si>
  <si>
    <t xml:space="preserve">Costco Wholesale Corp.</t>
  </si>
  <si>
    <t xml:space="preserve">V</t>
  </si>
  <si>
    <t xml:space="preserve">Visa Inc.</t>
  </si>
  <si>
    <t xml:space="preserve">NEE</t>
  </si>
  <si>
    <t xml:space="preserve">NextEra Energy Inc.</t>
  </si>
  <si>
    <t xml:space="preserve">CRK</t>
  </si>
  <si>
    <t xml:space="preserve">Comstock Resources Inc.</t>
  </si>
  <si>
    <t xml:space="preserve">ET</t>
  </si>
  <si>
    <t xml:space="preserve">Energy Transfer LP</t>
  </si>
  <si>
    <t xml:space="preserve">LBRT</t>
  </si>
  <si>
    <t xml:space="preserve">Liberty Energy Inc.</t>
  </si>
  <si>
    <t xml:space="preserve">NOV</t>
  </si>
  <si>
    <t xml:space="preserve">NOV Inc.</t>
  </si>
  <si>
    <t xml:space="preserve">CE</t>
  </si>
  <si>
    <t xml:space="preserve">Celanese Corp.</t>
  </si>
  <si>
    <t xml:space="preserve">CLF</t>
  </si>
  <si>
    <t xml:space="preserve">Cleveland-Cliffs Inc.</t>
  </si>
  <si>
    <t xml:space="preserve">LIN</t>
  </si>
  <si>
    <t xml:space="preserve">Linde plc</t>
  </si>
  <si>
    <t xml:space="preserve">DEO</t>
  </si>
  <si>
    <t xml:space="preserve">Diageo plc</t>
  </si>
  <si>
    <t xml:space="preserve">EL</t>
  </si>
  <si>
    <t xml:space="preserve">Estee Lauder Companies</t>
  </si>
  <si>
    <t xml:space="preserve">HRL</t>
  </si>
  <si>
    <t xml:space="preserve">Hormel Foods Corp.</t>
  </si>
  <si>
    <t xml:space="preserve">PG</t>
  </si>
  <si>
    <t xml:space="preserve">Procter &amp; Gamble Co.</t>
  </si>
  <si>
    <t xml:space="preserve">CMG</t>
  </si>
  <si>
    <t xml:space="preserve">Chipotle Mexican Grill</t>
  </si>
  <si>
    <t xml:space="preserve">DPZ</t>
  </si>
  <si>
    <t xml:space="preserve">Domino's Pizza Inc.</t>
  </si>
  <si>
    <t xml:space="preserve">PZZA</t>
  </si>
  <si>
    <t xml:space="preserve">Papa John's Intl.</t>
  </si>
  <si>
    <t xml:space="preserve">YUM</t>
  </si>
  <si>
    <t xml:space="preserve">Yum! Brands Inc.</t>
  </si>
  <si>
    <t xml:space="preserve">NKE</t>
  </si>
  <si>
    <t xml:space="preserve">Nike Inc.</t>
  </si>
  <si>
    <t xml:space="preserve">VFC</t>
  </si>
  <si>
    <t xml:space="preserve">V.F. Corporation</t>
  </si>
  <si>
    <t xml:space="preserve">GOOS</t>
  </si>
  <si>
    <t xml:space="preserve">Canada Goose Holdings</t>
  </si>
  <si>
    <t xml:space="preserve">AAP</t>
  </si>
  <si>
    <t xml:space="preserve">Advance Auto Parts Inc.</t>
  </si>
  <si>
    <t xml:space="preserve">BABA</t>
  </si>
  <si>
    <t xml:space="preserve">Alibaba Group Holding Ltd.</t>
  </si>
  <si>
    <t xml:space="preserve">ETSY</t>
  </si>
  <si>
    <t xml:space="preserve">Etsy Inc.</t>
  </si>
  <si>
    <t xml:space="preserve">Part 4 Entry Rules (5-10, 13). Rules 5-7 pull from the Scoring tab; Rules 11-12 pull from the Implied-Return Calculator; Rules 8-9-10-13 are entered here. Keep this tab's row order matching Scoring/Dashboard/Implied-Return Calculator for the same stock (row 3 = same stock across all four).</t>
  </si>
  <si>
    <t xml:space="preserve">Rule 5
Composite
≥65?</t>
  </si>
  <si>
    <t xml:space="preserve">Rule 6
Tier1
≥3.0?</t>
  </si>
  <si>
    <t xml:space="preserve">Rule 7
No Tier1
=1?</t>
  </si>
  <si>
    <t xml:space="preserve">Rule 8
Above/reclaimed
200-wk MA?
(Y/N)</t>
  </si>
  <si>
    <t xml:space="preserve">Rule 9
Monthly MACD
positive/turning?
(Y/N)</t>
  </si>
  <si>
    <t xml:space="preserve">Staging
Result
(Rules 8-9)</t>
  </si>
  <si>
    <t xml:space="preserve">Rule 10
Binary event
risk present?
(Y/N)</t>
  </si>
  <si>
    <t xml:space="preserve">Risk included
in thesis?
(Y/N)</t>
  </si>
  <si>
    <t xml:space="preserve">Rule 10
Result</t>
  </si>
  <si>
    <t xml:space="preserve">Rule 11
Bear Case
≥0%?</t>
  </si>
  <si>
    <t xml:space="preserve">Rule 12
Scenario tags
OK?</t>
  </si>
  <si>
    <t xml:space="preserve">P/FCF
(current)</t>
  </si>
  <si>
    <t xml:space="preserve">Consensus FCF
growth, 2-yr
annualized</t>
  </si>
  <si>
    <t xml:space="preserve">Rule 13
Valuation
Ceiling</t>
  </si>
  <si>
    <t xml:space="preserve">ENTRY
AUTHORIZED?</t>
  </si>
  <si>
    <t xml:space="preserve">Recommended Action</t>
  </si>
  <si>
    <t xml:space="preserve">Market Data — manual entry (blue cells). See note below on optional live refresh.</t>
  </si>
  <si>
    <t xml:space="preserve">Volume</t>
  </si>
  <si>
    <t xml:space="preserve">Market Cap ($M)</t>
  </si>
  <si>
    <t xml:space="preserve">P/E</t>
  </si>
  <si>
    <t xml:space="preserve">52-Wk Low</t>
  </si>
  <si>
    <t xml:space="preserve">52-Wk High</t>
  </si>
  <si>
    <t xml:space="preserve">Div Yield (%)</t>
  </si>
  <si>
    <t xml:space="preserve">OPTIONAL LIVE REFRESH: Excel's built-in Stocks data type can auto-populate price, market cap, P/E, and</t>
  </si>
  <si>
    <t xml:space="preserve">52-week range for a ticker you've converted to that data type (Data tab &gt; Stocks, or type the ticker and</t>
  </si>
  <si>
    <t xml:space="preserve">use the data-type icon that appears). That feature depends on your Microsoft 365 subscription and an</t>
  </si>
  <si>
    <t xml:space="preserve">active internet connection, so it isn't pre-built into this sheet — set it up once per ticker if you want it,</t>
  </si>
  <si>
    <t xml:space="preserve">referencing cells like =A3.Price. Otherwise, enter values manually from Yahoo Finance, Google Finance,</t>
  </si>
  <si>
    <t xml:space="preserve">or your preferred source at each review.</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</si>
  <si>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</si>
  <si>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</si>
  <si>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</si>
  <si>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</si>
  <si>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</si>
  <si>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</si>
  <si>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</si>
  <si>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</si>
  <si>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</si>
  <si>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</si>
  <si>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</si>
  <si>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</si>
  <si>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</si>
  <si>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</si>
  <si>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</si>
  <si>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</si>
  <si>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</si>
  <si>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</si>
  <si>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</si>
  <si>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Pairwise correlation of weekly returns, 12-36 month window (Rule 36, Part 7). Covers stocks and held ETFs together. Recalculate quarterly.</t>
  </si>
  <si>
    <t xml:space="preserve">Positions &gt;0.70 with</t>
  </si>
  <si>
    <t xml:space="preserve">Positions exceeding cap (correlated &gt;0.70 with 2+ other holdings):</t>
  </si>
  <si>
    <t xml:space="preserve">Rule 36 status (no position may exceed 0.70 with more than one other holding):</t>
  </si>
  <si>
    <t xml:space="preserve">Portfolio-level drawdown tracking (Part 7, Rules 36-37).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</si>
  <si>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</si>
  <si>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</si>
  <si>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</si>
  <si>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</si>
  <si>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</si>
  <si>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</si>
  <si>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</si>
  <si>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Tracks every holding in Probationary Hold (50-64) or Exit Review (35-49) per Part 6. The 90-day deadline and its consequence are calculated automatically — this tab is what makes Rules 31-34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</si>
  <si>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</si>
  <si>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</si>
  <si>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</si>
  <si>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</si>
  <si>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</si>
  <si>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</si>
  <si>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</si>
  <si>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</si>
  <si>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</si>
  <si>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</si>
  <si>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Standardized Implied-Return Methodology (Rule 11, Part 4): Expected annualized return = [(Year-5 equity value + cumulative distributions) ÷ current equity value]^(1/5) − 1. Run Base, Bear, and Bull cases together (Rule 12) — exactly one gets the Likely tag.</t>
  </si>
  <si>
    <t xml:space="preserve">BASE CASE</t>
  </si>
  <si>
    <t xml:space="preserve">BEAR CASE</t>
  </si>
  <si>
    <t xml:space="preserve">BULL CASE</t>
  </si>
  <si>
    <t xml:space="preserve">RULE 11 / 12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</si>
  <si>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</si>
  <si>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</si>
  <si>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</si>
  <si>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</si>
  <si>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</si>
  <si>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</si>
  <si>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</si>
  <si>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</si>
  <si>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</si>
  <si>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For positions actually held (not screening candidates). Tracks Part 6's ten sell triggers (Rules 21-30). Enter this-period and prior-period Tier 1 sub-scores to auto-detect the 'two consecutive periods' fundamental triggers; enter current valuation/position metrics for the rest. Any trigger firing without a Hold Through condition applying requires action within 30 days.</t>
  </si>
  <si>
    <t xml:space="preserve">FUNDAMENTAL TRIGGERS (Rules 21-25) — flags if declined 2 consecutive periods</t>
  </si>
  <si>
    <t xml:space="preserve">VALUATION / SIZING TRIGGERS (Rules 26-30)</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</si>
  <si>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</si>
  <si>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</si>
  <si>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</si>
  <si>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</si>
  <si>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</si>
  <si>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</si>
  <si>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</si>
  <si>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</si>
  <si>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</si>
  <si>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</si>
  <si>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</si>
  <si>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</si>
  <si>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</si>
  <si>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(&gt;6x=trigger)</t>
  </si>
  <si>
    <t xml:space="preserve">P/FCF
(&gt;50x+gr&lt;15%)</t>
  </si>
  <si>
    <t xml:space="preserve">FCF Growth
%</t>
  </si>
  <si>
    <t xml:space="preserve">Implied Return
(&lt;7%=trigger)</t>
  </si>
  <si>
    <t xml:space="preserve">Current
Tier</t>
  </si>
  <si>
    <t xml:space="preserve">Prior
Tier</t>
  </si>
  <si>
    <t xml:space="preserve">Valuation
Flags</t>
  </si>
  <si>
    <t xml:space="preserve">Hold Through
Applies? (Y/N)</t>
  </si>
  <si>
    <t xml:space="preserve">Every initiated position from entry date forward, per Part 9 — including still-held positions, not only exited ones (avoids the exit-only selection bias the System was specifically built to prevent). Feeds the Rule-46 cohort review once 10+ entries in a decision band reach five years.</t>
  </si>
  <si>
    <t xml:space="preserve">Entry
Date</t>
  </si>
  <si>
    <t xml:space="preserve">Entry
Price</t>
  </si>
  <si>
    <t xml:space="preserve">Entry
Confidence</t>
  </si>
  <si>
    <t xml:space="preserve">Entry
Decision Band</t>
  </si>
  <si>
    <t xml:space="preserve">SPY Price
at Entry</t>
  </si>
  <si>
    <t xml:space="preserve">Status
(Held/Exited)</t>
  </si>
  <si>
    <t xml:space="preserve">Exit
Date</t>
  </si>
  <si>
    <t xml:space="preserve">Exit
Price</t>
  </si>
  <si>
    <t xml:space="preserve">Exit
Reason</t>
  </si>
  <si>
    <t xml:space="preserve">Current/
Exit Price</t>
  </si>
  <si>
    <t xml:space="preserve">SPY Price
(current/exit)</t>
  </si>
  <si>
    <t xml:space="preserve">Total Return
Since Entry</t>
  </si>
  <si>
    <t xml:space="preserve">SPY Return
Same Period</t>
  </si>
  <si>
    <t xml:space="preserve">Excess
Return</t>
  </si>
  <si>
    <t xml:space="preserve">Total Return Since Entry is a simple price return (excludes dividends unless you fold them into Current/Exit Price manually). At each annual review, snapshot the return here rather than trying to back-calculate historical 1/3/5-year prices Excel doesn't have.</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</si>
  <si>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</si>
  <si>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</si>
  <si>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</si>
  <si>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</si>
  <si>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</si>
  <si>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</si>
  <si>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</si>
  <si>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</si>
  <si>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</si>
  <si>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</si>
  <si>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</si>
  <si>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</si>
  <si>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</si>
  <si>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</si>
  <si>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</si>
  <si>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</si>
  <si>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</si>
  <si>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</si>
  <si>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</si>
  <si>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</si>
  <si>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</si>
  <si>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</si>
  <si>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</si>
  <si>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</si>
  <si>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</si>
  <si>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</si>
  <si>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NOTE: Q4/full-year earnings tend to land later than other quarters (audited annuals, proxy statements) -- may catch fewer names fully reported than the October refresh does; some re-scoring may need to wait into February.</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</si>
  <si>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</si>
  <si>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</si>
  <si>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</si>
  <si>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</si>
  <si>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</si>
  <si>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</si>
  <si>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</si>
  <si>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</si>
  <si>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</si>
  <si>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</si>
  <si>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</si>
  <si>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</si>
  <si>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</si>
  <si>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</si>
  <si>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Scoring</t>
  </si>
  <si>
    <t xml:space="preserve">Fixed range, 2-row merged header</t>
  </si>
  <si>
    <t xml:space="preserve">n/a (not a Table -- Tier1/2/3 group headers span multiple columns in row 1)</t>
  </si>
  <si>
    <t xml:space="preserve">Rows 3-60, cols A-AR</t>
  </si>
  <si>
    <t xml:space="preserve">Column map: A=Ticker,B=Company,C=Date. D-M=Tier1 (5 indicators x [Score,Conf]). N=Tier1WtdAvg,O=Tier1Contrib. P-W=Tier2 (4 x [Score,Conf]). X=Tier2Contrib. Y-AD=Tier3 (3 x [Score,Conf]). AE=Tier3Contrib. AF=Composite,AG=Decision. AH=Rule1,AI=Rule2,AJ=Rule3,AK=Rule4 flags. AL blank spacer. AM-AR=Piotroski-derived cross-checks (added 8/13/26, confidence-tagging inputs only, do NOT feed Composite Score): AM=CFO,AN=NetIncome,AO=AccrualsCheck(OK/LOW CONF, feeds FCF Yield &amp; Trend confidence tag), AP=Debt/FCF current,AQ=Debt/FCF prior year,AR=LeverageTrajectory(Decreased/Flat/Increased, feeds Management Quality confidence tag and score per System v1.01 Part 2).</t>
  </si>
  <si>
    <t xml:space="preserve">Market Data</t>
  </si>
  <si>
    <t xml:space="preserve">Fixed range, single header</t>
  </si>
  <si>
    <t xml:space="preserve">Rows 3-27, cols A-I</t>
  </si>
  <si>
    <t xml:space="preserve">A=Ticker,B=Company,C=Price,D=Volume,E=MarketCap,F=P/E,G=52wkLow,H=52wkHigh,I=DivYield. Manual entry.</t>
  </si>
  <si>
    <t xml:space="preserve">Current Positions</t>
  </si>
  <si>
    <t xml:space="preserve">Table</t>
  </si>
  <si>
    <t xml:space="preserve">CurrentPositionsTable</t>
  </si>
  <si>
    <t xml:space="preserve">A2:M40 (JT ULTRA rows 3-14, Chase rows 17-35; subtotal/total rows outside table range)</t>
  </si>
  <si>
    <t xml:space="preserve">A=Account,B=Ticker,C=Description,D=AssetClass,E=Quantity,F=Price,G=MarketValue,H=CostBasis,I=UnrealizedGL$,J=UnrealizedGL%,K=%ofAccount,L=%ofCombined,M=Classification. Tax-loss carryforward reference cells at O2/P2 (Short-term), O3/P3 (Long-term) -- outside the table.</t>
  </si>
  <si>
    <t xml:space="preserve">Monitor &amp; Recheck Triggers</t>
  </si>
  <si>
    <t xml:space="preserve">MonitorTable</t>
  </si>
  <si>
    <t xml:space="preserve">A2:P42</t>
  </si>
  <si>
    <t xml:space="preserve">A=Ticker,B=Category,C=LastScoreDate,D=LastComposite,E=LastT1WtdAvg,F=LastDecision,G=PriceAtLastScore,H=CurrentPrice,I=%PriceChange,J=EarningsDate,K=InsiderY/N,L=InsiderNote,M=AnalystShiftY/N,N=DaysSinceScore,O=RecheckStatus,P=Notes. Category values: Owned / Owned - Tier1 AVOID / Watch List / Tier-1 Avoid (external) / Near-Miss.</t>
  </si>
  <si>
    <t xml:space="preserve">Watch List Tracker</t>
  </si>
  <si>
    <t xml:space="preserve">WatchListTable</t>
  </si>
  <si>
    <t xml:space="preserve">A2:L22</t>
  </si>
  <si>
    <t xml:space="preserve">A=Ticker,B=Company,C=Status,D=EntryDate,E=EntryScore,F=CurrentScore,G=CurrentScoreDate,H=CredibleRemediationPlan(Y/N),I=90DayDeadline,J=DaysRemaining,K=ActionStatus,L=Notes.</t>
  </si>
  <si>
    <t xml:space="preserve">Implied-Return Calculator</t>
  </si>
  <si>
    <t xml:space="preserve">n/a (Base/Bear/Bull scenario groups span multiple columns in row 2)</t>
  </si>
  <si>
    <t xml:space="preserve">Rows 4-23, cols A-U</t>
  </si>
  <si>
    <t xml:space="preserve">A=Ticker,B=Company,C=Price. D-H=Base[FCF5,Mult,Dist,Return,Tag]. I-M=Bear[same]. N-R=Bull[same]. S=Base&gt;10%check,T=Bear&gt;=0%check,U=ExactlyOneLikelyCheck. Referenced by Entry Checklist with a +1 row offset (Entry Checklist row 3 = this tab's row 4, same ticker).</t>
  </si>
  <si>
    <t xml:space="preserve">Holding Monitor</t>
  </si>
  <si>
    <t xml:space="preserve">n/a (Fundamental-trigger group header spans multiple columns in row 2)</t>
  </si>
  <si>
    <t xml:space="preserve">Rows 4-23, cols A-AB</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</si>
  <si>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</si>
  <si>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</si>
  <si>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</si>
  <si>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A2:Q34</t>
  </si>
  <si>
    <t xml:space="preserve">A=Ticker,B=Company,C=EntryDate,D=EntryPrice,E=EntryScore,F=EntryConfidence,G=EntryBand,H=SPYatEntry,I=Status,J=ExitDate,K=ExitPrice,L=ExitReason,M=CurrentOrExitPrice,N=SPYcurrentOrExit,O=TotalReturn,P=SPYReturnSamePeriod,Q=ExcessReturn.</t>
  </si>
  <si>
    <t xml:space="preserve">Price History</t>
  </si>
  <si>
    <t xml:space="preserve">Rows 3-162, cols A-U (20 tickers: 13 stocks + 7 ETFs)</t>
  </si>
  <si>
    <t xml:space="preserve">A=Week Ending, B-U=up to 20 ticker columns (13 currently used for stocks, 7 for ETFs). Weekly closes, week-ending Friday (Rule 36). 24-month target ~104 rows, 12-month minimum ~52 rows, 36-month max ~156 rows. Manual entry. VGT and CALF columns cleared 8/7/26 (sold, no longer held) -- 2 slots free for future candidates.</t>
  </si>
  <si>
    <t xml:space="preserve">Returns (Calc)</t>
  </si>
  <si>
    <t xml:space="preserve">Fixed range, formula-derived</t>
  </si>
  <si>
    <t xml:space="preserve">Rows 3-161, cols A-U</t>
  </si>
  <si>
    <t xml:space="preserve">Mirrors Price History layout; all cells are formulas computing week-over-week % return. Do not edit directly.</t>
  </si>
  <si>
    <t xml:space="preserve">Correlation Matrix</t>
  </si>
  <si>
    <t xml:space="preserve">Fixed range, formula-derived headers</t>
  </si>
  <si>
    <t xml:space="preserve">Rows 3-24, cols A-U</t>
  </si>
  <si>
    <t xml:space="preserve">20x20 grid (13 stocks + 7 ETFs). Row 2 headers pull ticker names live from Returns (Calc) row 2 -- headers are blank until Price History is populated, which is why this was not converted to a Table. B24=violation count, B25=Rule 36 status (OK / REVIEW REQUIRED).</t>
  </si>
  <si>
    <t xml:space="preserve">Journal</t>
  </si>
  <si>
    <t xml:space="preserve">JournalTable</t>
  </si>
  <si>
    <t xml:space="preserve">A2:C302</t>
  </si>
  <si>
    <t xml:space="preserve">A=Date,B=Ticker,C=Notes. Freeform; filter/sort via the Table's built-in header dropdowns.</t>
  </si>
</sst>
</file>

<file path=xl/styles.xml><?xml version="1.0" encoding="utf-8"?>
<styleSheet xmlns="http://schemas.openxmlformats.org/spreadsheetml/2006/main">
  <numFmts count="14">
    <numFmt numFmtId="164" formatCode="General"/>
    <numFmt numFmtId="165" formatCode="0.00"/>
    <numFmt numFmtId="166" formatCode="0"/>
    <numFmt numFmtId="167" formatCode="0.0%"/>
    <numFmt numFmtId="168" formatCode="\$#,##0"/>
    <numFmt numFmtId="169" formatCode="\$#,##0.00"/>
    <numFmt numFmtId="170" formatCode="yyyy\-mm\-dd"/>
    <numFmt numFmtId="171" formatCode="mm/dd/yyyy"/>
    <numFmt numFmtId="172" formatCode="#,##0.00"/>
    <numFmt numFmtId="173" formatCode="0.0"/>
    <numFmt numFmtId="174" formatCode="0.000"/>
    <numFmt numFmtId="175" formatCode="0.0\x"/>
    <numFmt numFmtId="176" formatCode="#,##0"/>
    <numFmt numFmtId="177" formatCode="0%"/>
  </numFmts>
  <fonts count="31">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2"/>
      <color rgb="FF1F3864"/>
      <name val="Arial"/>
      <family val="2"/>
      <charset val="1"/>
    </font>
    <font>
      <i val="true"/>
      <sz val="9"/>
      <color rgb="FF808080"/>
      <name val="Arial"/>
      <family val="2"/>
      <charset val="1"/>
    </font>
    <font>
      <b val="true"/>
      <sz val="11"/>
      <color rgb="FFFFFFFF"/>
      <name val="Arial"/>
      <family val="2"/>
      <charset val="1"/>
    </font>
    <font>
      <b val="true"/>
      <sz val="10"/>
      <color rgb="FF000000"/>
      <name val="Arial"/>
      <family val="2"/>
      <charset val="1"/>
    </font>
    <font>
      <b val="true"/>
      <sz val="9"/>
      <color rgb="FFFFFFFF"/>
      <name val="Arial"/>
      <family val="2"/>
      <charset val="1"/>
    </font>
    <font>
      <b val="true"/>
      <sz val="8"/>
      <color rgb="FFFFFFFF"/>
      <name val="Arial"/>
      <family val="2"/>
      <charset val="1"/>
    </font>
    <font>
      <b val="true"/>
      <sz val="8"/>
      <color rgb="FF000000"/>
      <name val="Arial"/>
      <family val="2"/>
      <charset val="1"/>
    </font>
    <font>
      <sz val="9"/>
      <color rgb="FF002060"/>
      <name val="Arial"/>
      <family val="2"/>
      <charset val="1"/>
    </font>
    <font>
      <sz val="8"/>
      <color rgb="FF002060"/>
      <name val="Arial"/>
      <family val="2"/>
      <charset val="1"/>
    </font>
    <font>
      <sz val="8"/>
      <color rgb="FF000000"/>
      <name val="Arial"/>
      <family val="2"/>
      <charset val="1"/>
    </font>
    <font>
      <sz val="11"/>
      <color rgb="FF002060"/>
      <name val="Calibri"/>
      <family val="2"/>
      <charset val="1"/>
    </font>
    <font>
      <b val="true"/>
      <sz val="8"/>
      <color rgb="FF002060"/>
      <name val="Arial"/>
      <family val="2"/>
      <charset val="1"/>
    </font>
    <font>
      <b val="true"/>
      <sz val="8"/>
      <color rgb="FF1F3864"/>
      <name val="Arial"/>
      <family val="2"/>
      <charset val="1"/>
    </font>
    <font>
      <i val="true"/>
      <sz val="8"/>
      <color rgb="FF808080"/>
      <name val="Arial"/>
      <family val="2"/>
      <charset val="1"/>
    </font>
    <font>
      <b val="true"/>
      <sz val="9"/>
      <color rgb="FF002060"/>
      <name val="Arial"/>
      <family val="2"/>
      <charset val="1"/>
    </font>
    <font>
      <b val="true"/>
      <sz val="9"/>
      <color rgb="FF000000"/>
      <name val="Arial"/>
      <family val="2"/>
      <charset val="1"/>
    </font>
    <font>
      <i val="true"/>
      <sz val="10"/>
      <color rgb="FF000000"/>
      <name val="Arial"/>
      <family val="2"/>
      <charset val="1"/>
    </font>
    <font>
      <b val="true"/>
      <sz val="18"/>
      <color rgb="FF000000"/>
      <name val="Calibri"/>
      <family val="2"/>
    </font>
    <font>
      <sz val="10"/>
      <color rgb="FF000000"/>
      <name val="Calibri"/>
      <family val="2"/>
    </font>
    <font>
      <b val="true"/>
      <sz val="10"/>
      <color rgb="FF000000"/>
      <name val="Calibri"/>
      <family val="2"/>
    </font>
    <font>
      <b val="true"/>
      <sz val="9"/>
      <color rgb="FF1F3864"/>
      <name val="Arial"/>
      <family val="2"/>
      <charset val="1"/>
    </font>
    <font>
      <b val="true"/>
      <sz val="10"/>
      <color rgb="FFFFFFFF"/>
      <name val="Arial"/>
      <family val="2"/>
      <charset val="1"/>
    </font>
  </fonts>
  <fills count="9">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rgb="FFDDEBF7"/>
        <bgColor rgb="FFDCE6F1"/>
      </patternFill>
    </fill>
    <fill>
      <patternFill patternType="solid">
        <fgColor rgb="FFDCE6F1"/>
        <bgColor rgb="FFDDEBF7"/>
      </patternFill>
    </fill>
    <fill>
      <patternFill patternType="solid">
        <fgColor rgb="FF833C0C"/>
        <bgColor rgb="FF632423"/>
      </patternFill>
    </fill>
    <fill>
      <patternFill patternType="solid">
        <fgColor rgb="FF632423"/>
        <bgColor rgb="FF833C0C"/>
      </patternFill>
    </fill>
    <fill>
      <patternFill patternType="solid">
        <fgColor rgb="FF375623"/>
        <bgColor rgb="FF006100"/>
      </patternFill>
    </fill>
  </fills>
  <borders count="2">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top" textRotation="0" wrapText="tru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64" fontId="10"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5" fillId="0" borderId="0" xfId="0" applyFont="true" applyBorder="true" applyAlignment="true" applyProtection="true">
      <alignment horizontal="left" vertical="center" textRotation="0" wrapText="false" indent="0" shrinkToFit="false"/>
      <protection locked="true" hidden="false"/>
    </xf>
    <xf numFmtId="164" fontId="12" fillId="0" borderId="1" xfId="0" applyFont="true" applyBorder="true" applyAlignment="true" applyProtection="true">
      <alignment horizontal="center" vertical="center" textRotation="0" wrapText="false" indent="0" shrinkToFit="false"/>
      <protection locked="true" hidden="false"/>
    </xf>
    <xf numFmtId="165" fontId="12" fillId="0" borderId="1" xfId="0" applyFont="true" applyBorder="true" applyAlignment="true" applyProtection="true">
      <alignment horizontal="center" vertical="center" textRotation="0" wrapText="false" indent="0" shrinkToFit="false"/>
      <protection locked="true" hidden="false"/>
    </xf>
    <xf numFmtId="166" fontId="12" fillId="0" borderId="1" xfId="0" applyFont="true" applyBorder="true" applyAlignment="true" applyProtection="true">
      <alignment horizontal="center" vertical="center" textRotation="0" wrapText="false" indent="0" shrinkToFit="false"/>
      <protection locked="true" hidden="false"/>
    </xf>
    <xf numFmtId="167" fontId="12" fillId="0" borderId="1" xfId="0" applyFont="true" applyBorder="true" applyAlignment="true" applyProtection="true">
      <alignment horizontal="center" vertical="center"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13" fillId="3" borderId="1" xfId="0" applyFont="true" applyBorder="true" applyAlignment="true" applyProtection="true">
      <alignment horizontal="center" vertical="center" textRotation="0" wrapText="false" indent="0" shrinkToFit="false"/>
      <protection locked="true" hidden="false"/>
    </xf>
    <xf numFmtId="164" fontId="14" fillId="3" borderId="1" xfId="0" applyFont="true" applyBorder="true" applyAlignment="true" applyProtection="true">
      <alignment horizontal="center" vertical="center" textRotation="0" wrapText="true" indent="0" shrinkToFit="false"/>
      <protection locked="true" hidden="false"/>
    </xf>
    <xf numFmtId="164" fontId="15" fillId="0" borderId="1" xfId="0" applyFont="true" applyBorder="true" applyAlignment="true" applyProtection="true">
      <alignment horizontal="right" vertical="center" textRotation="0" wrapText="false" indent="0" shrinkToFit="false"/>
      <protection locked="true" hidden="false"/>
    </xf>
    <xf numFmtId="168" fontId="16" fillId="4" borderId="1" xfId="0" applyFont="true" applyBorder="true" applyAlignment="true" applyProtection="true">
      <alignment horizontal="center" vertical="center" textRotation="0" wrapText="false" indent="0" shrinkToFit="false"/>
      <protection locked="true" hidden="false"/>
    </xf>
    <xf numFmtId="164" fontId="17" fillId="4" borderId="1" xfId="0" applyFont="true" applyBorder="true" applyAlignment="true" applyProtection="true">
      <alignment horizontal="left" vertical="center" textRotation="0" wrapText="false" indent="0" shrinkToFit="false"/>
      <protection locked="true" hidden="false"/>
    </xf>
    <xf numFmtId="164" fontId="17" fillId="4" borderId="1" xfId="0" applyFont="true" applyBorder="true" applyAlignment="true" applyProtection="true">
      <alignment horizontal="center" vertical="center" textRotation="0" wrapText="false" indent="0" shrinkToFit="false"/>
      <protection locked="true" hidden="false"/>
    </xf>
    <xf numFmtId="169" fontId="15" fillId="0" borderId="1" xfId="0" applyFont="true" applyBorder="true" applyAlignment="true" applyProtection="true">
      <alignment horizontal="center" vertical="center" textRotation="0" wrapText="false" indent="0" shrinkToFit="false"/>
      <protection locked="true" hidden="false"/>
    </xf>
    <xf numFmtId="169" fontId="18" fillId="0" borderId="1" xfId="0" applyFont="true" applyBorder="true" applyAlignment="true" applyProtection="true">
      <alignment horizontal="center" vertical="center" textRotation="0" wrapText="false" indent="0" shrinkToFit="false"/>
      <protection locked="true" hidden="false"/>
    </xf>
    <xf numFmtId="167" fontId="18" fillId="0" borderId="1" xfId="0" applyFont="true" applyBorder="true" applyAlignment="true" applyProtection="true">
      <alignment horizontal="center" vertical="center" textRotation="0" wrapText="false" indent="0" shrinkToFit="false"/>
      <protection locked="true" hidden="false"/>
    </xf>
    <xf numFmtId="164" fontId="19" fillId="4" borderId="1" xfId="0" applyFont="true" applyBorder="true" applyAlignment="true" applyProtection="true">
      <alignment horizontal="general" vertical="bottom" textRotation="0" wrapText="false" indent="0" shrinkToFit="false"/>
      <protection locked="true" hidden="false"/>
    </xf>
    <xf numFmtId="164" fontId="20" fillId="4" borderId="1" xfId="0" applyFont="true" applyBorder="true" applyAlignment="true" applyProtection="true">
      <alignment horizontal="general" vertical="bottom" textRotation="0" wrapText="false" indent="0" shrinkToFit="false"/>
      <protection locked="true" hidden="false"/>
    </xf>
    <xf numFmtId="169" fontId="15" fillId="5" borderId="1" xfId="0" applyFont="true" applyBorder="true" applyAlignment="true" applyProtection="true">
      <alignment horizontal="center" vertical="center" textRotation="0" wrapText="false" indent="0" shrinkToFit="false"/>
      <protection locked="true" hidden="false"/>
    </xf>
    <xf numFmtId="169" fontId="20" fillId="4" borderId="1" xfId="0" applyFont="true" applyBorder="true" applyAlignment="true" applyProtection="true">
      <alignment horizontal="center" vertical="center" textRotation="0" wrapText="false" indent="0" shrinkToFit="false"/>
      <protection locked="true" hidden="false"/>
    </xf>
    <xf numFmtId="164" fontId="0" fillId="5" borderId="1" xfId="0" applyFont="false" applyBorder="true" applyAlignment="true" applyProtection="true">
      <alignment horizontal="general" vertical="bottom" textRotation="0" wrapText="false" indent="0" shrinkToFit="false"/>
      <protection locked="true" hidden="false"/>
    </xf>
    <xf numFmtId="164" fontId="19" fillId="4" borderId="0" xfId="0" applyFont="true" applyBorder="false" applyAlignment="true" applyProtection="true">
      <alignment horizontal="general" vertical="bottom" textRotation="0" wrapText="false" indent="0" shrinkToFit="false"/>
      <protection locked="true" hidden="false"/>
    </xf>
    <xf numFmtId="164" fontId="21" fillId="5" borderId="1" xfId="0" applyFont="true" applyBorder="true" applyAlignment="true" applyProtection="true">
      <alignment horizontal="general" vertical="bottom" textRotation="0" wrapText="false" indent="0" shrinkToFit="false"/>
      <protection locked="true" hidden="false"/>
    </xf>
    <xf numFmtId="164" fontId="0" fillId="3" borderId="1" xfId="0" applyFont="false" applyBorder="true" applyAlignment="true" applyProtection="true">
      <alignment horizontal="general" vertical="bottom" textRotation="0" wrapText="false" indent="0" shrinkToFit="false"/>
      <protection locked="true" hidden="false"/>
    </xf>
    <xf numFmtId="164" fontId="13" fillId="3" borderId="1" xfId="0" applyFont="true" applyBorder="true" applyAlignment="true" applyProtection="true">
      <alignment horizontal="general" vertical="bottom" textRotation="0" wrapText="false" indent="0" shrinkToFit="false"/>
      <protection locked="true" hidden="false"/>
    </xf>
    <xf numFmtId="169" fontId="13" fillId="3" borderId="1" xfId="0" applyFont="true" applyBorder="true" applyAlignment="true" applyProtection="true">
      <alignment horizontal="center" vertical="center" textRotation="0" wrapText="false" indent="0" shrinkToFit="false"/>
      <protection locked="true" hidden="false"/>
    </xf>
    <xf numFmtId="164" fontId="22" fillId="0" borderId="0" xfId="0" applyFont="true" applyBorder="true" applyAlignment="true" applyProtection="true">
      <alignment horizontal="general" vertical="bottom" textRotation="0" wrapText="true" indent="0" shrinkToFit="false"/>
      <protection locked="true" hidden="false"/>
    </xf>
    <xf numFmtId="170" fontId="17" fillId="4" borderId="1" xfId="0" applyFont="true" applyBorder="true" applyAlignment="true" applyProtection="true">
      <alignment horizontal="center" vertical="center" textRotation="0" wrapText="false" indent="0" shrinkToFit="false"/>
      <protection locked="true" hidden="false"/>
    </xf>
    <xf numFmtId="169" fontId="17" fillId="4" borderId="1" xfId="0" applyFont="true" applyBorder="true" applyAlignment="true" applyProtection="true">
      <alignment horizontal="center" vertical="center" textRotation="0" wrapText="false" indent="0" shrinkToFit="false"/>
      <protection locked="true" hidden="false"/>
    </xf>
    <xf numFmtId="167" fontId="15" fillId="0" borderId="1" xfId="0" applyFont="true" applyBorder="true" applyAlignment="true" applyProtection="true">
      <alignment horizontal="center" vertical="center" textRotation="0" wrapText="false" indent="0" shrinkToFit="false"/>
      <protection locked="true" hidden="false"/>
    </xf>
    <xf numFmtId="171" fontId="17" fillId="4" borderId="1" xfId="0" applyFont="true" applyBorder="true" applyAlignment="true" applyProtection="true">
      <alignment horizontal="center" vertical="center" textRotation="0" wrapText="false" indent="0" shrinkToFit="false"/>
      <protection locked="true" hidden="false"/>
    </xf>
    <xf numFmtId="166" fontId="18" fillId="0" borderId="1" xfId="0" applyFont="true" applyBorder="true" applyAlignment="true" applyProtection="true">
      <alignment horizontal="center" vertical="center" textRotation="0" wrapText="false" indent="0" shrinkToFit="false"/>
      <protection locked="true" hidden="false"/>
    </xf>
    <xf numFmtId="164" fontId="15" fillId="0" borderId="1" xfId="0" applyFont="true" applyBorder="true" applyAlignment="true" applyProtection="true">
      <alignment horizontal="center" vertical="center" textRotation="0" wrapText="false" indent="0" shrinkToFit="false"/>
      <protection locked="true" hidden="false"/>
    </xf>
    <xf numFmtId="164" fontId="23" fillId="4" borderId="1" xfId="0" applyFont="true" applyBorder="true" applyAlignment="true" applyProtection="true">
      <alignment horizontal="center" vertical="center" textRotation="0" wrapText="true" indent="0" shrinkToFit="false"/>
      <protection locked="true" hidden="false"/>
    </xf>
    <xf numFmtId="171" fontId="16" fillId="4" borderId="1" xfId="0" applyFont="true" applyBorder="true" applyAlignment="true" applyProtection="true">
      <alignment horizontal="center" vertical="center" textRotation="0" wrapText="false" indent="0" shrinkToFit="false"/>
      <protection locked="true" hidden="false"/>
    </xf>
    <xf numFmtId="172" fontId="16" fillId="4" borderId="1" xfId="0" applyFont="true" applyBorder="true" applyAlignment="true" applyProtection="true">
      <alignment horizontal="center" vertical="center" textRotation="0" wrapText="false" indent="0" shrinkToFit="false"/>
      <protection locked="true" hidden="false"/>
    </xf>
    <xf numFmtId="164" fontId="13" fillId="3" borderId="1" xfId="0" applyFont="true" applyBorder="true" applyAlignment="true" applyProtection="true">
      <alignment horizontal="center" vertical="center" textRotation="0" wrapText="true" indent="0" shrinkToFit="false"/>
      <protection locked="true" hidden="false"/>
    </xf>
    <xf numFmtId="164" fontId="5" fillId="0" borderId="1" xfId="0" applyFont="true" applyBorder="true" applyAlignment="true" applyProtection="true">
      <alignment horizontal="center" vertical="center" textRotation="0" wrapText="false" indent="0" shrinkToFit="false"/>
      <protection locked="true" hidden="false"/>
    </xf>
    <xf numFmtId="164" fontId="5" fillId="0" borderId="1" xfId="0" applyFont="true" applyBorder="true" applyAlignment="true" applyProtection="true">
      <alignment horizontal="left" vertical="center" textRotation="0" wrapText="false" indent="0" shrinkToFit="false"/>
      <protection locked="true" hidden="false"/>
    </xf>
    <xf numFmtId="171" fontId="5" fillId="0" borderId="1" xfId="0" applyFont="true" applyBorder="true" applyAlignment="true" applyProtection="true">
      <alignment horizontal="center" vertical="center" textRotation="0" wrapText="false" indent="0" shrinkToFit="false"/>
      <protection locked="true" hidden="false"/>
    </xf>
    <xf numFmtId="165" fontId="5" fillId="0" borderId="1" xfId="0" applyFont="true" applyBorder="true" applyAlignment="true" applyProtection="true">
      <alignment horizontal="center" vertical="center" textRotation="0" wrapText="false" indent="0" shrinkToFit="false"/>
      <protection locked="true" hidden="false"/>
    </xf>
    <xf numFmtId="173" fontId="24" fillId="0" borderId="1" xfId="0" applyFont="true" applyBorder="true" applyAlignment="true" applyProtection="true">
      <alignment horizontal="center" vertical="center" textRotation="0" wrapText="false" indent="0" shrinkToFit="false"/>
      <protection locked="true" hidden="false"/>
    </xf>
    <xf numFmtId="164" fontId="22" fillId="0" borderId="0" xfId="0" applyFont="true" applyBorder="true" applyAlignment="true" applyProtection="true">
      <alignment horizontal="general" vertical="center" textRotation="0" wrapText="true" indent="0" shrinkToFit="false"/>
      <protection locked="true" hidden="false"/>
    </xf>
    <xf numFmtId="164" fontId="22" fillId="0" borderId="0" xfId="0" applyFont="true" applyBorder="false" applyAlignment="true" applyProtection="true">
      <alignment horizontal="general" vertical="center" textRotation="0" wrapText="true" indent="0" shrinkToFit="false"/>
      <protection locked="true" hidden="false"/>
    </xf>
    <xf numFmtId="164" fontId="13" fillId="2" borderId="1" xfId="0" applyFont="true" applyBorder="true" applyAlignment="true" applyProtection="true">
      <alignment horizontal="center" vertical="center" textRotation="0" wrapText="true" indent="0" shrinkToFit="false"/>
      <protection locked="true" hidden="false"/>
    </xf>
    <xf numFmtId="164" fontId="13" fillId="6" borderId="1" xfId="0" applyFont="true" applyBorder="true" applyAlignment="true" applyProtection="true">
      <alignment horizontal="center" vertical="center" textRotation="0" wrapText="true" indent="0" shrinkToFit="false"/>
      <protection locked="true" hidden="false"/>
    </xf>
    <xf numFmtId="164" fontId="13" fillId="7" borderId="1" xfId="0" applyFont="true" applyBorder="true" applyAlignment="true" applyProtection="true">
      <alignment horizontal="center" vertical="center" textRotation="0" wrapText="true" indent="0" shrinkToFit="false"/>
      <protection locked="true" hidden="false"/>
    </xf>
    <xf numFmtId="164" fontId="14" fillId="6" borderId="1" xfId="0" applyFont="true" applyBorder="true" applyAlignment="true" applyProtection="true">
      <alignment horizontal="center" vertical="center" textRotation="0" wrapText="true" indent="0" shrinkToFit="false"/>
      <protection locked="true" hidden="false"/>
    </xf>
    <xf numFmtId="174" fontId="18" fillId="0" borderId="1" xfId="0" applyFont="true" applyBorder="true" applyAlignment="true" applyProtection="true">
      <alignment horizontal="center" vertical="center" textRotation="0" wrapText="false" indent="0" shrinkToFit="false"/>
      <protection locked="true" hidden="false"/>
    </xf>
    <xf numFmtId="165" fontId="15" fillId="0" borderId="1" xfId="0" applyFont="true" applyBorder="true" applyAlignment="true" applyProtection="true">
      <alignment horizontal="center" vertical="center" textRotation="0" wrapText="false" indent="0" shrinkToFit="false"/>
      <protection locked="true" hidden="false"/>
    </xf>
    <xf numFmtId="173" fontId="15" fillId="0" borderId="1" xfId="0" applyFont="true" applyBorder="true" applyAlignment="true" applyProtection="true">
      <alignment horizontal="center" vertical="center" textRotation="0" wrapText="false" indent="0" shrinkToFit="false"/>
      <protection locked="true" hidden="false"/>
    </xf>
    <xf numFmtId="168" fontId="17" fillId="4" borderId="1" xfId="0" applyFont="true" applyBorder="true" applyAlignment="true" applyProtection="true">
      <alignment horizontal="center" vertical="center" textRotation="0" wrapText="false" indent="0" shrinkToFit="false"/>
      <protection locked="true" hidden="false"/>
    </xf>
    <xf numFmtId="175" fontId="17" fillId="4" borderId="1" xfId="0" applyFont="true" applyBorder="true" applyAlignment="true" applyProtection="true">
      <alignment horizontal="center" vertical="center" textRotation="0" wrapText="false" indent="0" shrinkToFit="false"/>
      <protection locked="true" hidden="false"/>
    </xf>
    <xf numFmtId="164" fontId="16" fillId="4" borderId="1" xfId="0" applyFont="true" applyBorder="true" applyAlignment="true" applyProtection="true">
      <alignment horizontal="center" vertical="center" textRotation="0" wrapText="false" indent="0" shrinkToFit="false"/>
      <protection locked="true" hidden="false"/>
    </xf>
    <xf numFmtId="170" fontId="16" fillId="4" borderId="1" xfId="0" applyFont="true" applyBorder="true" applyAlignment="true" applyProtection="true">
      <alignment horizontal="center" vertical="center" textRotation="0" wrapText="false" indent="0" shrinkToFit="false"/>
      <protection locked="true" hidden="false"/>
    </xf>
    <xf numFmtId="174" fontId="5" fillId="0" borderId="1" xfId="0" applyFont="true" applyBorder="true" applyAlignment="true" applyProtection="true">
      <alignment horizontal="center" vertical="center" textRotation="0" wrapText="false" indent="0" shrinkToFit="false"/>
      <protection locked="true" hidden="false"/>
    </xf>
    <xf numFmtId="164" fontId="24" fillId="0" borderId="1" xfId="0" applyFont="true" applyBorder="true" applyAlignment="true" applyProtection="true">
      <alignment horizontal="center" vertical="center" textRotation="0" wrapText="false" indent="0" shrinkToFit="false"/>
      <protection locked="true" hidden="false"/>
    </xf>
    <xf numFmtId="164" fontId="18" fillId="0" borderId="1" xfId="0" applyFont="true" applyBorder="true" applyAlignment="true" applyProtection="true">
      <alignment horizontal="center" vertical="center" textRotation="0" wrapText="false" indent="0" shrinkToFit="false"/>
      <protection locked="true" hidden="false"/>
    </xf>
    <xf numFmtId="167" fontId="17" fillId="4" borderId="1" xfId="0" applyFont="true" applyBorder="true" applyAlignment="true" applyProtection="true">
      <alignment horizontal="center" vertical="center" textRotation="0" wrapText="false" indent="0" shrinkToFit="false"/>
      <protection locked="true" hidden="false"/>
    </xf>
    <xf numFmtId="164" fontId="25" fillId="0" borderId="0" xfId="0" applyFont="true" applyBorder="true" applyAlignment="true" applyProtection="true">
      <alignment horizontal="general" vertical="bottom" textRotation="0" wrapText="false" indent="0" shrinkToFit="false"/>
      <protection locked="true" hidden="false"/>
    </xf>
    <xf numFmtId="169" fontId="16" fillId="4" borderId="1" xfId="0" applyFont="true" applyBorder="true" applyAlignment="true" applyProtection="true">
      <alignment horizontal="center" vertical="center" textRotation="0" wrapText="false" indent="0" shrinkToFit="false"/>
      <protection locked="true" hidden="false"/>
    </xf>
    <xf numFmtId="176" fontId="16" fillId="4" borderId="1" xfId="0" applyFont="true" applyBorder="true" applyAlignment="true" applyProtection="true">
      <alignment horizontal="center" vertical="center" textRotation="0" wrapText="false" indent="0" shrinkToFit="false"/>
      <protection locked="true" hidden="false"/>
    </xf>
    <xf numFmtId="173" fontId="16" fillId="4" borderId="1" xfId="0" applyFont="true" applyBorder="true" applyAlignment="true" applyProtection="true">
      <alignment horizontal="center" vertical="center" textRotation="0" wrapText="false" indent="0" shrinkToFit="false"/>
      <protection locked="true" hidden="false"/>
    </xf>
    <xf numFmtId="165" fontId="16" fillId="4" borderId="1" xfId="0" applyFont="true" applyBorder="true" applyAlignment="true" applyProtection="true">
      <alignment horizontal="center" vertical="center" textRotation="0" wrapText="false" indent="0" shrinkToFit="false"/>
      <protection locked="true" hidden="false"/>
    </xf>
    <xf numFmtId="164" fontId="22" fillId="0" borderId="0" xfId="0" applyFont="true" applyBorder="true" applyAlignment="true" applyProtection="true">
      <alignment horizontal="general" vertical="bottom" textRotation="0" wrapText="false" indent="0" shrinkToFit="false"/>
      <protection locked="true" hidden="false"/>
    </xf>
    <xf numFmtId="164" fontId="14" fillId="3" borderId="1" xfId="0" applyFont="true" applyBorder="true" applyAlignment="true" applyProtection="true">
      <alignment horizontal="center" vertical="center" textRotation="0" wrapText="false" indent="0" shrinkToFit="false"/>
      <protection locked="true" hidden="false"/>
    </xf>
    <xf numFmtId="167" fontId="5" fillId="0" borderId="1" xfId="0" applyFont="true" applyBorder="true" applyAlignment="true" applyProtection="true">
      <alignment horizontal="center" vertical="center" textRotation="0" wrapText="false" indent="0" shrinkToFit="false"/>
      <protection locked="true" hidden="false"/>
    </xf>
    <xf numFmtId="172" fontId="18" fillId="0" borderId="1" xfId="0" applyFont="true" applyBorder="true" applyAlignment="true" applyProtection="true">
      <alignment horizontal="center" vertical="center" textRotation="0" wrapText="false" indent="0" shrinkToFit="false"/>
      <protection locked="true" hidden="false"/>
    </xf>
    <xf numFmtId="164" fontId="21" fillId="5" borderId="1" xfId="0" applyFont="true" applyBorder="true" applyAlignment="true" applyProtection="true">
      <alignment horizontal="center" vertical="center" textRotation="0" wrapText="true" indent="0" shrinkToFit="false"/>
      <protection locked="true" hidden="false"/>
    </xf>
    <xf numFmtId="165" fontId="18" fillId="0" borderId="1" xfId="0" applyFont="true" applyBorder="true" applyAlignment="true" applyProtection="true">
      <alignment horizontal="center" vertical="center" textRotation="0" wrapText="false" indent="0" shrinkToFit="false"/>
      <protection locked="true" hidden="false"/>
    </xf>
    <xf numFmtId="164" fontId="29" fillId="0" borderId="0" xfId="0" applyFont="true" applyBorder="false" applyAlignment="true" applyProtection="true">
      <alignment horizontal="general" vertical="bottom" textRotation="0" wrapText="false" indent="0" shrinkToFit="false"/>
      <protection locked="true" hidden="false"/>
    </xf>
    <xf numFmtId="166" fontId="15" fillId="0" borderId="1" xfId="0" applyFont="true" applyBorder="true" applyAlignment="true" applyProtection="true">
      <alignment horizontal="center" vertical="center" textRotation="0" wrapText="false" indent="0" shrinkToFit="false"/>
      <protection locked="true" hidden="false"/>
    </xf>
    <xf numFmtId="166" fontId="15"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8" fontId="5" fillId="0" borderId="1" xfId="0" applyFont="true" applyBorder="true" applyAlignment="true" applyProtection="true">
      <alignment horizontal="center" vertical="center" textRotation="0" wrapText="false" indent="0" shrinkToFit="false"/>
      <protection locked="true" hidden="false"/>
    </xf>
    <xf numFmtId="167" fontId="24" fillId="0" borderId="1" xfId="0" applyFont="true" applyBorder="true" applyAlignment="true" applyProtection="true">
      <alignment horizontal="center" vertical="center" textRotation="0" wrapText="false" indent="0" shrinkToFit="false"/>
      <protection locked="true" hidden="false"/>
    </xf>
    <xf numFmtId="166" fontId="5" fillId="0" borderId="1" xfId="0" applyFont="true" applyBorder="true" applyAlignment="true" applyProtection="true">
      <alignment horizontal="center" vertical="center" textRotation="0" wrapText="false" indent="0" shrinkToFit="false"/>
      <protection locked="true" hidden="false"/>
    </xf>
    <xf numFmtId="164" fontId="13" fillId="8" borderId="1" xfId="0" applyFont="true" applyBorder="true" applyAlignment="true" applyProtection="true">
      <alignment horizontal="center" vertical="center" textRotation="0" wrapText="true" indent="0" shrinkToFit="false"/>
      <protection locked="true" hidden="false"/>
    </xf>
    <xf numFmtId="171" fontId="16" fillId="4" borderId="1" xfId="0" applyFont="true" applyBorder="true" applyAlignment="true" applyProtection="true">
      <alignment horizontal="center" vertical="top" textRotation="0" wrapText="false" indent="0" shrinkToFit="false"/>
      <protection locked="true" hidden="false"/>
    </xf>
    <xf numFmtId="164" fontId="16" fillId="4" borderId="1" xfId="0" applyFont="true" applyBorder="true" applyAlignment="true" applyProtection="true">
      <alignment horizontal="center" vertical="top" textRotation="0" wrapText="false" indent="0" shrinkToFit="false"/>
      <protection locked="true" hidden="false"/>
    </xf>
    <xf numFmtId="164" fontId="16" fillId="4" borderId="1" xfId="0" applyFont="true" applyBorder="true" applyAlignment="true" applyProtection="true">
      <alignment horizontal="left" vertical="top" textRotation="0" wrapText="true" indent="0" shrinkToFit="false"/>
      <protection locked="true" hidden="false"/>
    </xf>
    <xf numFmtId="164" fontId="30" fillId="2" borderId="1" xfId="0" applyFont="true" applyBorder="true" applyAlignment="true" applyProtection="true">
      <alignment horizontal="general" vertical="bottom" textRotation="0" wrapText="false" indent="0" shrinkToFit="false"/>
      <protection locked="true" hidden="false"/>
    </xf>
    <xf numFmtId="164" fontId="18" fillId="0" borderId="1" xfId="0" applyFont="true" applyBorder="true" applyAlignment="true" applyProtection="tru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3">
    <dxf>
      <font>
        <b val="1"/>
        <color rgb="FF9C0006"/>
      </font>
      <fill>
        <patternFill>
          <bgColor rgb="FFFFC7CE"/>
        </patternFill>
      </fill>
    </dxf>
    <dxf>
      <font>
        <b val="1"/>
        <color rgb="FF9C6500"/>
      </font>
      <fill>
        <patternFill>
          <bgColor rgb="FFFFEB9C"/>
        </patternFill>
      </fill>
    </dxf>
    <dxf>
      <fill>
        <patternFill patternType="solid">
          <fgColor rgb="FF1F3864"/>
          <bgColor rgb="FF000000"/>
        </patternFill>
      </fill>
    </dxf>
    <dxf>
      <fill>
        <patternFill patternType="solid">
          <fgColor rgb="FFDCE6F1"/>
          <bgColor rgb="FF000000"/>
        </patternFill>
      </fill>
    </dxf>
    <dxf>
      <fill>
        <patternFill patternType="solid">
          <fgColor rgb="FFDDEBF7"/>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006100"/>
          <bgColor rgb="FF000000"/>
        </patternFill>
      </fill>
    </dxf>
    <dxf>
      <fill>
        <patternFill patternType="solid">
          <fgColor rgb="FF9C0006"/>
          <bgColor rgb="FF000000"/>
        </patternFill>
      </fill>
    </dxf>
    <dxf>
      <font>
        <color rgb="FF006100"/>
      </font>
      <fill>
        <patternFill>
          <bgColor rgb="FFC6EFCE"/>
        </patternFill>
      </fill>
    </dxf>
    <dxf>
      <font>
        <color rgb="FF9C0006"/>
      </font>
      <fill>
        <patternFill>
          <bgColor rgb="FFFFC7CE"/>
        </patternFill>
      </fill>
    </dxf>
    <dxf>
      <font>
        <b val="1"/>
        <color rgb="FFC65911"/>
      </font>
      <fill>
        <patternFill>
          <bgColor rgb="FFFCE4D6"/>
        </patternFill>
      </fill>
    </dxf>
    <dxf>
      <fill>
        <patternFill patternType="solid">
          <fgColor rgb="FFE2EFDA"/>
          <bgColor rgb="FF000000"/>
        </patternFill>
      </fill>
    </dxf>
    <dxf>
      <fill>
        <patternFill patternType="solid">
          <fgColor rgb="FF375623"/>
          <bgColor rgb="FF000000"/>
        </patternFill>
      </fill>
    </dxf>
    <dxf>
      <fill>
        <patternFill patternType="solid">
          <fgColor rgb="FFFFEB9C"/>
          <bgColor rgb="FF000000"/>
        </patternFill>
      </fill>
    </dxf>
    <dxf>
      <fill>
        <patternFill patternType="solid">
          <fgColor rgb="FF9C6500"/>
          <bgColor rgb="FF000000"/>
        </patternFill>
      </fill>
    </dxf>
    <dxf>
      <font>
        <b val="1"/>
        <color rgb="FF006100"/>
      </font>
      <fill>
        <patternFill>
          <bgColor rgb="FFC6EFCE"/>
        </patternFill>
      </fill>
    </dxf>
    <dxf>
      <font>
        <b val="1"/>
        <color rgb="FF375623"/>
      </font>
      <fill>
        <patternFill>
          <bgColor rgb="FFE2EFDA"/>
        </patternFill>
      </fill>
    </dxf>
    <dxf>
      <font>
        <b val="1"/>
        <color rgb="FF7F6000"/>
      </font>
      <fill>
        <patternFill>
          <bgColor rgb="FFFFF2C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FFFF00"/>
      <rgbColor rgb="FF00FFFF"/>
      <rgbColor rgb="FF800080"/>
      <rgbColor rgb="FF632423"/>
      <rgbColor rgb="FF008080"/>
      <rgbColor rgb="FF0000FF"/>
      <rgbColor rgb="FF00CCFF"/>
      <rgbColor rgb="FFE2EFDA"/>
      <rgbColor rgb="FFC6EFCE"/>
      <rgbColor rgb="FFFFEB9C"/>
      <rgbColor rgb="FFDCE6F1"/>
      <rgbColor rgb="FFFCE4D6"/>
      <rgbColor rgb="FFCC99FF"/>
      <rgbColor rgb="FFFFC7CE"/>
      <rgbColor rgb="FF3366FF"/>
      <rgbColor rgb="FF33CCCC"/>
      <rgbColor rgb="FF99CC00"/>
      <rgbColor rgb="FFFFCC00"/>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(Calc)'!$B$3:$B$157</c:f>
              <c:numCache>
                <c:formatCode>0.0%</c:formatCode>
                <c:ptCount val="155"/>
                <c:pt idx="0">
                  <c:v>-0.00062936375258138</c:v>
                </c:pt>
                <c:pt idx="1">
                  <c:v>0.0333182453309191</c:v>
                </c:pt>
                <c:pt idx="2">
                  <c:v>0.0726583628537694</c:v>
                </c:pt>
                <c:pt idx="3">
                  <c:v>-0.00506027946946974</c:v>
                </c:pt>
                <c:pt idx="4">
                  <c:v>-0.0561603255050325</c:v>
                </c:pt>
                <c:pt idx="5">
                  <c:v>-0.0302331297623325</c:v>
                </c:pt>
                <c:pt idx="6">
                  <c:v>-0.00584909339052442</c:v>
                </c:pt>
                <c:pt idx="7">
                  <c:v>0.0329084134143949</c:v>
                </c:pt>
                <c:pt idx="8">
                  <c:v>0.0419229892914104</c:v>
                </c:pt>
                <c:pt idx="9">
                  <c:v>-0.0142138639842553</c:v>
                </c:pt>
                <c:pt idx="10">
                  <c:v>-0.0607068914522331</c:v>
                </c:pt>
                <c:pt idx="11">
                  <c:v>0.10930488860899</c:v>
                </c:pt>
                <c:pt idx="12">
                  <c:v>0.0595394386687012</c:v>
                </c:pt>
                <c:pt idx="13">
                  <c:v>0.00910887110277603</c:v>
                </c:pt>
                <c:pt idx="14">
                  <c:v>0.02782663525039</c:v>
                </c:pt>
                <c:pt idx="15">
                  <c:v>-0.0112361364480247</c:v>
                </c:pt>
                <c:pt idx="16">
                  <c:v>-0.00401652325828206</c:v>
                </c:pt>
                <c:pt idx="17">
                  <c:v>-0.0415239094441076</c:v>
                </c:pt>
                <c:pt idx="18">
                  <c:v>0.0240644455086545</c:v>
                </c:pt>
                <c:pt idx="19">
                  <c:v>-0.00359081419624219</c:v>
                </c:pt>
                <c:pt idx="20">
                  <c:v>-0.0536372779081462</c:v>
                </c:pt>
                <c:pt idx="21">
                  <c:v>0.0565710237336166</c:v>
                </c:pt>
                <c:pt idx="22">
                  <c:v>0.0251617661850001</c:v>
                </c:pt>
                <c:pt idx="23">
                  <c:v>0.00389175047011681</c:v>
                </c:pt>
                <c:pt idx="24">
                  <c:v>0.0339289495545096</c:v>
                </c:pt>
                <c:pt idx="25">
                  <c:v>-0.0118942592475896</c:v>
                </c:pt>
                <c:pt idx="26">
                  <c:v>-0.128425886066868</c:v>
                </c:pt>
                <c:pt idx="27">
                  <c:v>0.0124025902754914</c:v>
                </c:pt>
                <c:pt idx="28">
                  <c:v>0.0316023417172591</c:v>
                </c:pt>
                <c:pt idx="29">
                  <c:v>-0.0336994027288807</c:v>
                </c:pt>
                <c:pt idx="30">
                  <c:v>-0.107361017962987</c:v>
                </c:pt>
                <c:pt idx="31">
                  <c:v>0.0143361897412988</c:v>
                </c:pt>
                <c:pt idx="32">
                  <c:v>0.0101697629724535</c:v>
                </c:pt>
                <c:pt idx="33">
                  <c:v>-0.0386048355132779</c:v>
                </c:pt>
                <c:pt idx="34">
                  <c:v>-0.0227366424802111</c:v>
                </c:pt>
                <c:pt idx="35">
                  <c:v>-0.0191313885549157</c:v>
                </c:pt>
                <c:pt idx="36">
                  <c:v>0.0269665820824911</c:v>
                </c:pt>
                <c:pt idx="37">
                  <c:v>0.0180500879470642</c:v>
                </c:pt>
                <c:pt idx="38">
                  <c:v>-0.00800115183676819</c:v>
                </c:pt>
                <c:pt idx="39">
                  <c:v>0.00236372307118127</c:v>
                </c:pt>
                <c:pt idx="40">
                  <c:v>-0.0165484144550401</c:v>
                </c:pt>
                <c:pt idx="41">
                  <c:v>-0.0645100225059421</c:v>
                </c:pt>
                <c:pt idx="42">
                  <c:v>0.0464745031027971</c:v>
                </c:pt>
                <c:pt idx="43">
                  <c:v>0.128655222052725</c:v>
                </c:pt>
                <c:pt idx="44">
                  <c:v>0.0154765757362321</c:v>
                </c:pt>
                <c:pt idx="45">
                  <c:v>0.0414292141571684</c:v>
                </c:pt>
                <c:pt idx="46">
                  <c:v>0.0410411491521765</c:v>
                </c:pt>
                <c:pt idx="47">
                  <c:v>-0.0333540823736903</c:v>
                </c:pt>
                <c:pt idx="48">
                  <c:v>-0.0143994276003935</c:v>
                </c:pt>
                <c:pt idx="49">
                  <c:v>-0.0155353901996369</c:v>
                </c:pt>
                <c:pt idx="50">
                  <c:v>-0.0299941007300348</c:v>
                </c:pt>
                <c:pt idx="51">
                  <c:v>0.0192523328962122</c:v>
                </c:pt>
                <c:pt idx="52">
                  <c:v>0.0319970165951895</c:v>
                </c:pt>
                <c:pt idx="53">
                  <c:v>0.00874498608752194</c:v>
                </c:pt>
                <c:pt idx="54">
                  <c:v>0.0288554540569586</c:v>
                </c:pt>
                <c:pt idx="55">
                  <c:v>-0.0191500844344632</c:v>
                </c:pt>
                <c:pt idx="56">
                  <c:v>-0.0471060151577004</c:v>
                </c:pt>
                <c:pt idx="57">
                  <c:v>-0.0271387859258294</c:v>
                </c:pt>
                <c:pt idx="58">
                  <c:v>-0.0130576297147232</c:v>
                </c:pt>
                <c:pt idx="59">
                  <c:v>-0.0160239000543183</c:v>
                </c:pt>
                <c:pt idx="60">
                  <c:v>-0.0232640668743346</c:v>
                </c:pt>
                <c:pt idx="61">
                  <c:v>-0.0010496144685318</c:v>
                </c:pt>
                <c:pt idx="62">
                  <c:v>-0.0225904223075368</c:v>
                </c:pt>
                <c:pt idx="63">
                  <c:v>-0.00190192673447454</c:v>
                </c:pt>
                <c:pt idx="64">
                  <c:v>0.0246064623032312</c:v>
                </c:pt>
                <c:pt idx="65">
                  <c:v>0.0175669119430744</c:v>
                </c:pt>
                <c:pt idx="66">
                  <c:v>0.0174424379680951</c:v>
                </c:pt>
                <c:pt idx="67">
                  <c:v>0.00738065020013656</c:v>
                </c:pt>
                <c:pt idx="68">
                  <c:v>0.0717733025798075</c:v>
                </c:pt>
                <c:pt idx="69">
                  <c:v>-0.157823350694445</c:v>
                </c:pt>
                <c:pt idx="70">
                  <c:v>-0.0397689450063347</c:v>
                </c:pt>
                <c:pt idx="71">
                  <c:v>-0.00154303732361294</c:v>
                </c:pt>
                <c:pt idx="72">
                  <c:v>-0.0356342949292242</c:v>
                </c:pt>
                <c:pt idx="73">
                  <c:v>-0.0572496922683884</c:v>
                </c:pt>
                <c:pt idx="74">
                  <c:v>0.0592973985021679</c:v>
                </c:pt>
                <c:pt idx="75">
                  <c:v>0.0125351752366334</c:v>
                </c:pt>
                <c:pt idx="76">
                  <c:v>0.00475446736184471</c:v>
                </c:pt>
                <c:pt idx="77">
                  <c:v>-0.0100125728654703</c:v>
                </c:pt>
                <c:pt idx="78">
                  <c:v>0.0625533978340684</c:v>
                </c:pt>
                <c:pt idx="79">
                  <c:v>-0.03442280945758</c:v>
                </c:pt>
                <c:pt idx="80">
                  <c:v>-0.0129636298163486</c:v>
                </c:pt>
                <c:pt idx="81">
                  <c:v>0.0247172564757387</c:v>
                </c:pt>
                <c:pt idx="82">
                  <c:v>-0.121628838451268</c:v>
                </c:pt>
                <c:pt idx="83">
                  <c:v>-0.0189491817398795</c:v>
                </c:pt>
                <c:pt idx="84">
                  <c:v>-0.00400247895470751</c:v>
                </c:pt>
                <c:pt idx="85">
                  <c:v>-0.0949936480775712</c:v>
                </c:pt>
                <c:pt idx="86">
                  <c:v>0.00974016672873646</c:v>
                </c:pt>
                <c:pt idx="87">
                  <c:v>-0.0104122336652765</c:v>
                </c:pt>
                <c:pt idx="88">
                  <c:v>0.0542431192660551</c:v>
                </c:pt>
                <c:pt idx="89">
                  <c:v>0.0357609050364407</c:v>
                </c:pt>
                <c:pt idx="90">
                  <c:v>0.00632761834746765</c:v>
                </c:pt>
                <c:pt idx="91">
                  <c:v>0.088316635357963</c:v>
                </c:pt>
                <c:pt idx="92">
                  <c:v>-0.0226308345120226</c:v>
                </c:pt>
                <c:pt idx="93">
                  <c:v>0.018151046137997</c:v>
                </c:pt>
                <c:pt idx="94">
                  <c:v>0.00440868245440762</c:v>
                </c:pt>
                <c:pt idx="95">
                  <c:v>-0.06053919217116</c:v>
                </c:pt>
                <c:pt idx="96">
                  <c:v>-0.0376838235294117</c:v>
                </c:pt>
                <c:pt idx="97">
                  <c:v>0.0236389684813754</c:v>
                </c:pt>
                <c:pt idx="98">
                  <c:v>-0.0168986341134696</c:v>
                </c:pt>
                <c:pt idx="99">
                  <c:v>-0.0420764018876381</c:v>
                </c:pt>
                <c:pt idx="100">
                  <c:v>0.00671528828952805</c:v>
                </c:pt>
                <c:pt idx="101">
                  <c:v>0.0135323546297055</c:v>
                </c:pt>
                <c:pt idx="102">
                  <c:v>-0.06187624750499</c:v>
                </c:pt>
                <c:pt idx="103">
                  <c:v>-0.0194077055779184</c:v>
                </c:pt>
                <c:pt idx="104">
                  <c:v>0.0404632751795924</c:v>
                </c:pt>
                <c:pt idx="105">
                  <c:v>0.0204029871776805</c:v>
                </c:pt>
                <c:pt idx="106">
                  <c:v>-0.0148858018724626</c:v>
                </c:pt>
                <c:pt idx="107">
                  <c:v>-0.0216708718811325</c:v>
                </c:pt>
                <c:pt idx="108">
                  <c:v>0.00111757457661121</c:v>
                </c:pt>
                <c:pt idx="109">
                  <c:v>0.0473437142202884</c:v>
                </c:pt>
                <c:pt idx="110">
                  <c:v>-0.0151134189669307</c:v>
                </c:pt>
                <c:pt idx="111">
                  <c:v>-0.0378222382551267</c:v>
                </c:pt>
                <c:pt idx="112">
                  <c:v>-0.026619368979639</c:v>
                </c:pt>
                <c:pt idx="113">
                  <c:v>-0.0125922194897929</c:v>
                </c:pt>
                <c:pt idx="114">
                  <c:v>0.0607933745423992</c:v>
                </c:pt>
                <c:pt idx="115">
                  <c:v>-0.037367051369088</c:v>
                </c:pt>
                <c:pt idx="116">
                  <c:v>-0.0392583232934678</c:v>
                </c:pt>
                <c:pt idx="117">
                  <c:v>0.0127236580516898</c:v>
                </c:pt>
                <c:pt idx="118">
                  <c:v>-0.0208993989912718</c:v>
                </c:pt>
                <c:pt idx="119">
                  <c:v>-0.0125235201579321</c:v>
                </c:pt>
                <c:pt idx="120">
                  <c:v>0.0816230906194357</c:v>
                </c:pt>
                <c:pt idx="121">
                  <c:v>0.0293709928955122</c:v>
                </c:pt>
                <c:pt idx="122">
                  <c:v>-0.00159919198720648</c:v>
                </c:pt>
                <c:pt idx="123">
                  <c:v>-0.00578879334569771</c:v>
                </c:pt>
                <c:pt idx="124">
                  <c:v>-0.0579423403052572</c:v>
                </c:pt>
                <c:pt idx="125">
                  <c:v>0.00195019501950178</c:v>
                </c:pt>
                <c:pt idx="126">
                  <c:v>-0.113280431202276</c:v>
                </c:pt>
                <c:pt idx="127">
                  <c:v>0.0167161961367013</c:v>
                </c:pt>
                <c:pt idx="128">
                  <c:v>-0.025974025974026</c:v>
                </c:pt>
                <c:pt idx="129">
                  <c:v>-0.0848081841432226</c:v>
                </c:pt>
                <c:pt idx="130">
                  <c:v>-0.016431924882629</c:v>
                </c:pt>
                <c:pt idx="131">
                  <c:v>-0.0203053377277721</c:v>
                </c:pt>
                <c:pt idx="132">
                  <c:v>0.0146939406828817</c:v>
                </c:pt>
                <c:pt idx="133">
                  <c:v>0.0808277123585228</c:v>
                </c:pt>
                <c:pt idx="134">
                  <c:v>-0.120936464283196</c:v>
                </c:pt>
                <c:pt idx="135">
                  <c:v>-0.0046927643189475</c:v>
                </c:pt>
                <c:pt idx="136">
                  <c:v>-0.0536369131573645</c:v>
                </c:pt>
                <c:pt idx="137">
                  <c:v>0.0344064043604155</c:v>
                </c:pt>
                <c:pt idx="138">
                  <c:v>-0.07232833854767</c:v>
                </c:pt>
                <c:pt idx="139">
                  <c:v>0.0847570445972932</c:v>
                </c:pt>
                <c:pt idx="140">
                  <c:v>0.0040499079566374</c:v>
                </c:pt>
                <c:pt idx="141">
                  <c:v>0.0214716427640156</c:v>
                </c:pt>
                <c:pt idx="142">
                  <c:v>0.00929360615850983</c:v>
                </c:pt>
                <c:pt idx="143">
                  <c:v>-0.0214985773000316</c:v>
                </c:pt>
                <c:pt idx="144">
                  <c:v>-0.011470113085622</c:v>
                </c:pt>
                <c:pt idx="145">
                  <c:v>0.0590374244157541</c:v>
                </c:pt>
                <c:pt idx="146">
                  <c:v>-0.0299756953821225</c:v>
                </c:pt>
                <c:pt idx="147">
                  <c:v>-0.188593700286351</c:v>
                </c:pt>
                <c:pt idx="148">
                  <c:v>-0.0434271149887266</c:v>
                </c:pt>
                <c:pt idx="149">
                  <c:v>0.0387886862061897</c:v>
                </c:pt>
                <c:pt idx="150">
                  <c:v>0.0838060474522764</c:v>
                </c:pt>
                <c:pt idx="151">
                  <c:v>0.0178408884034225</c:v>
                </c:pt>
                <c:pt idx="152">
                  <c:v>0.0608567340368449</c:v>
                </c:pt>
                <c:pt idx="153">
                  <c:v>-0.0511696522655426</c:v>
                </c:pt>
                <c:pt idx="154">
                  <c:v>0.112389498467416</c:v>
                </c:pt>
              </c:numCache>
            </c:numRef>
          </c:val>
        </c:ser>
        <c:gapWidth val="150"/>
        <c:overlap val="0"/>
        <c:axId val="22229591"/>
        <c:axId val="64756612"/>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(Calc)'!$W$3:$W$157</c:f>
              <c:numCache>
                <c:formatCode>#,##0.00</c:formatCode>
                <c:ptCount val="155"/>
                <c:pt idx="0">
                  <c:v>508.45</c:v>
                </c:pt>
                <c:pt idx="1">
                  <c:v>506.774415584416</c:v>
                </c:pt>
                <c:pt idx="2">
                  <c:v>505.098831168831</c:v>
                </c:pt>
                <c:pt idx="3">
                  <c:v>503.423246753247</c:v>
                </c:pt>
                <c:pt idx="4">
                  <c:v>501.747662337662</c:v>
                </c:pt>
                <c:pt idx="5">
                  <c:v>500.072077922078</c:v>
                </c:pt>
                <c:pt idx="6">
                  <c:v>498.396493506493</c:v>
                </c:pt>
                <c:pt idx="7">
                  <c:v>496.720909090909</c:v>
                </c:pt>
                <c:pt idx="8">
                  <c:v>495.045324675325</c:v>
                </c:pt>
                <c:pt idx="9">
                  <c:v>493.36974025974</c:v>
                </c:pt>
                <c:pt idx="10">
                  <c:v>491.694155844156</c:v>
                </c:pt>
                <c:pt idx="11">
                  <c:v>490.018571428571</c:v>
                </c:pt>
                <c:pt idx="12">
                  <c:v>488.342987012987</c:v>
                </c:pt>
                <c:pt idx="13">
                  <c:v>486.667402597403</c:v>
                </c:pt>
                <c:pt idx="14">
                  <c:v>484.991818181818</c:v>
                </c:pt>
                <c:pt idx="15">
                  <c:v>483.316233766234</c:v>
                </c:pt>
                <c:pt idx="16">
                  <c:v>481.640649350649</c:v>
                </c:pt>
                <c:pt idx="17">
                  <c:v>479.965064935065</c:v>
                </c:pt>
                <c:pt idx="18">
                  <c:v>478.289480519481</c:v>
                </c:pt>
                <c:pt idx="19">
                  <c:v>476.613896103896</c:v>
                </c:pt>
                <c:pt idx="20">
                  <c:v>474.938311688312</c:v>
                </c:pt>
                <c:pt idx="21">
                  <c:v>473.262727272727</c:v>
                </c:pt>
                <c:pt idx="22">
                  <c:v>471.587142857143</c:v>
                </c:pt>
                <c:pt idx="23">
                  <c:v>469.911558441559</c:v>
                </c:pt>
                <c:pt idx="24">
                  <c:v>468.235974025974</c:v>
                </c:pt>
                <c:pt idx="25">
                  <c:v>466.56038961039</c:v>
                </c:pt>
                <c:pt idx="26">
                  <c:v>464.884805194805</c:v>
                </c:pt>
                <c:pt idx="27">
                  <c:v>463.209220779221</c:v>
                </c:pt>
                <c:pt idx="28">
                  <c:v>461.533636363636</c:v>
                </c:pt>
                <c:pt idx="29">
                  <c:v>459.858051948052</c:v>
                </c:pt>
                <c:pt idx="30">
                  <c:v>458.182467532467</c:v>
                </c:pt>
                <c:pt idx="31">
                  <c:v>456.506883116883</c:v>
                </c:pt>
                <c:pt idx="32">
                  <c:v>454.831298701299</c:v>
                </c:pt>
                <c:pt idx="33">
                  <c:v>453.155714285714</c:v>
                </c:pt>
                <c:pt idx="34">
                  <c:v>451.48012987013</c:v>
                </c:pt>
                <c:pt idx="35">
                  <c:v>449.804545454546</c:v>
                </c:pt>
                <c:pt idx="36">
                  <c:v>448.128961038961</c:v>
                </c:pt>
                <c:pt idx="37">
                  <c:v>446.453376623377</c:v>
                </c:pt>
                <c:pt idx="38">
                  <c:v>444.777792207792</c:v>
                </c:pt>
                <c:pt idx="39">
                  <c:v>443.102207792208</c:v>
                </c:pt>
                <c:pt idx="40">
                  <c:v>441.426623376623</c:v>
                </c:pt>
                <c:pt idx="41">
                  <c:v>439.751038961039</c:v>
                </c:pt>
                <c:pt idx="42">
                  <c:v>438.075454545455</c:v>
                </c:pt>
                <c:pt idx="43">
                  <c:v>436.39987012987</c:v>
                </c:pt>
                <c:pt idx="44">
                  <c:v>434.724285714286</c:v>
                </c:pt>
                <c:pt idx="45">
                  <c:v>433.048701298701</c:v>
                </c:pt>
                <c:pt idx="46">
                  <c:v>431.373116883117</c:v>
                </c:pt>
                <c:pt idx="47">
                  <c:v>429.697532467533</c:v>
                </c:pt>
                <c:pt idx="48">
                  <c:v>428.021948051948</c:v>
                </c:pt>
                <c:pt idx="49">
                  <c:v>426.346363636364</c:v>
                </c:pt>
                <c:pt idx="50">
                  <c:v>424.670779220779</c:v>
                </c:pt>
                <c:pt idx="51">
                  <c:v>422.995194805195</c:v>
                </c:pt>
                <c:pt idx="52">
                  <c:v>421.31961038961</c:v>
                </c:pt>
                <c:pt idx="53">
                  <c:v>419.644025974026</c:v>
                </c:pt>
                <c:pt idx="54">
                  <c:v>417.968441558441</c:v>
                </c:pt>
                <c:pt idx="55">
                  <c:v>416.292857142857</c:v>
                </c:pt>
                <c:pt idx="56">
                  <c:v>414.617272727273</c:v>
                </c:pt>
                <c:pt idx="57">
                  <c:v>412.941688311688</c:v>
                </c:pt>
                <c:pt idx="58">
                  <c:v>411.266103896104</c:v>
                </c:pt>
                <c:pt idx="59">
                  <c:v>409.59051948052</c:v>
                </c:pt>
                <c:pt idx="60">
                  <c:v>407.914935064935</c:v>
                </c:pt>
                <c:pt idx="61">
                  <c:v>406.239350649351</c:v>
                </c:pt>
                <c:pt idx="62">
                  <c:v>404.563766233766</c:v>
                </c:pt>
                <c:pt idx="63">
                  <c:v>402.888181818182</c:v>
                </c:pt>
                <c:pt idx="64">
                  <c:v>401.212597402597</c:v>
                </c:pt>
                <c:pt idx="65">
                  <c:v>399.537012987013</c:v>
                </c:pt>
                <c:pt idx="66">
                  <c:v>397.861428571428</c:v>
                </c:pt>
                <c:pt idx="67">
                  <c:v>396.185844155844</c:v>
                </c:pt>
                <c:pt idx="68">
                  <c:v>394.51025974026</c:v>
                </c:pt>
                <c:pt idx="69">
                  <c:v>392.834675324675</c:v>
                </c:pt>
                <c:pt idx="70">
                  <c:v>391.159090909091</c:v>
                </c:pt>
                <c:pt idx="71">
                  <c:v>389.483506493507</c:v>
                </c:pt>
                <c:pt idx="72">
                  <c:v>387.807922077922</c:v>
                </c:pt>
                <c:pt idx="73">
                  <c:v>386.132337662338</c:v>
                </c:pt>
                <c:pt idx="74">
                  <c:v>384.456753246753</c:v>
                </c:pt>
                <c:pt idx="75">
                  <c:v>382.781168831169</c:v>
                </c:pt>
                <c:pt idx="76">
                  <c:v>381.105584415584</c:v>
                </c:pt>
                <c:pt idx="77">
                  <c:v>379.43</c:v>
                </c:pt>
                <c:pt idx="78">
                  <c:v>377.754415584416</c:v>
                </c:pt>
                <c:pt idx="79">
                  <c:v>376.078831168831</c:v>
                </c:pt>
                <c:pt idx="80">
                  <c:v>374.403246753247</c:v>
                </c:pt>
                <c:pt idx="81">
                  <c:v>372.727662337662</c:v>
                </c:pt>
                <c:pt idx="82">
                  <c:v>371.052077922078</c:v>
                </c:pt>
                <c:pt idx="83">
                  <c:v>369.376493506494</c:v>
                </c:pt>
                <c:pt idx="84">
                  <c:v>367.700909090909</c:v>
                </c:pt>
                <c:pt idx="85">
                  <c:v>366.025324675325</c:v>
                </c:pt>
                <c:pt idx="86">
                  <c:v>364.34974025974</c:v>
                </c:pt>
                <c:pt idx="87">
                  <c:v>362.674155844156</c:v>
                </c:pt>
                <c:pt idx="88">
                  <c:v>360.998571428572</c:v>
                </c:pt>
                <c:pt idx="89">
                  <c:v>359.322987012987</c:v>
                </c:pt>
                <c:pt idx="90">
                  <c:v>357.647402597403</c:v>
                </c:pt>
                <c:pt idx="91">
                  <c:v>355.971818181818</c:v>
                </c:pt>
                <c:pt idx="92">
                  <c:v>354.296233766234</c:v>
                </c:pt>
                <c:pt idx="93">
                  <c:v>352.620649350649</c:v>
                </c:pt>
                <c:pt idx="94">
                  <c:v>350.945064935065</c:v>
                </c:pt>
                <c:pt idx="95">
                  <c:v>349.26948051948</c:v>
                </c:pt>
                <c:pt idx="96">
                  <c:v>347.593896103896</c:v>
                </c:pt>
                <c:pt idx="97">
                  <c:v>345.918311688312</c:v>
                </c:pt>
                <c:pt idx="98">
                  <c:v>344.242727272727</c:v>
                </c:pt>
                <c:pt idx="99">
                  <c:v>342.567142857143</c:v>
                </c:pt>
                <c:pt idx="100">
                  <c:v>340.891558441559</c:v>
                </c:pt>
                <c:pt idx="101">
                  <c:v>339.215974025974</c:v>
                </c:pt>
                <c:pt idx="102">
                  <c:v>337.54038961039</c:v>
                </c:pt>
                <c:pt idx="103">
                  <c:v>335.864805194805</c:v>
                </c:pt>
                <c:pt idx="104">
                  <c:v>334.189220779221</c:v>
                </c:pt>
                <c:pt idx="105">
                  <c:v>332.513636363636</c:v>
                </c:pt>
                <c:pt idx="106">
                  <c:v>330.838051948052</c:v>
                </c:pt>
                <c:pt idx="107">
                  <c:v>329.162467532468</c:v>
                </c:pt>
                <c:pt idx="108">
                  <c:v>327.486883116883</c:v>
                </c:pt>
                <c:pt idx="109">
                  <c:v>325.811298701299</c:v>
                </c:pt>
                <c:pt idx="110">
                  <c:v>324.135714285714</c:v>
                </c:pt>
                <c:pt idx="111">
                  <c:v>322.46012987013</c:v>
                </c:pt>
                <c:pt idx="112">
                  <c:v>320.784545454546</c:v>
                </c:pt>
                <c:pt idx="113">
                  <c:v>319.108961038961</c:v>
                </c:pt>
                <c:pt idx="114">
                  <c:v>317.433376623377</c:v>
                </c:pt>
                <c:pt idx="115">
                  <c:v>315.757792207792</c:v>
                </c:pt>
                <c:pt idx="116">
                  <c:v>314.082207792208</c:v>
                </c:pt>
                <c:pt idx="117">
                  <c:v>312.406623376623</c:v>
                </c:pt>
                <c:pt idx="118">
                  <c:v>310.731038961039</c:v>
                </c:pt>
                <c:pt idx="119">
                  <c:v>309.055454545455</c:v>
                </c:pt>
                <c:pt idx="120">
                  <c:v>307.37987012987</c:v>
                </c:pt>
                <c:pt idx="121">
                  <c:v>305.704285714286</c:v>
                </c:pt>
                <c:pt idx="122">
                  <c:v>304.028701298701</c:v>
                </c:pt>
                <c:pt idx="123">
                  <c:v>302.353116883117</c:v>
                </c:pt>
                <c:pt idx="124">
                  <c:v>300.677532467533</c:v>
                </c:pt>
                <c:pt idx="125">
                  <c:v>299.001948051948</c:v>
                </c:pt>
                <c:pt idx="126">
                  <c:v>297.326363636364</c:v>
                </c:pt>
                <c:pt idx="127">
                  <c:v>295.650779220779</c:v>
                </c:pt>
                <c:pt idx="128">
                  <c:v>293.975194805195</c:v>
                </c:pt>
                <c:pt idx="129">
                  <c:v>292.29961038961</c:v>
                </c:pt>
                <c:pt idx="130">
                  <c:v>290.624025974026</c:v>
                </c:pt>
                <c:pt idx="131">
                  <c:v>288.948441558441</c:v>
                </c:pt>
                <c:pt idx="132">
                  <c:v>287.272857142857</c:v>
                </c:pt>
                <c:pt idx="133">
                  <c:v>285.597272727273</c:v>
                </c:pt>
                <c:pt idx="134">
                  <c:v>283.921688311688</c:v>
                </c:pt>
                <c:pt idx="135">
                  <c:v>282.246103896104</c:v>
                </c:pt>
                <c:pt idx="136">
                  <c:v>280.57051948052</c:v>
                </c:pt>
                <c:pt idx="137">
                  <c:v>278.894935064935</c:v>
                </c:pt>
                <c:pt idx="138">
                  <c:v>277.219350649351</c:v>
                </c:pt>
                <c:pt idx="139">
                  <c:v>275.543766233766</c:v>
                </c:pt>
                <c:pt idx="140">
                  <c:v>273.868181818182</c:v>
                </c:pt>
                <c:pt idx="141">
                  <c:v>272.192597402597</c:v>
                </c:pt>
                <c:pt idx="142">
                  <c:v>270.517012987013</c:v>
                </c:pt>
                <c:pt idx="143">
                  <c:v>268.841428571429</c:v>
                </c:pt>
                <c:pt idx="144">
                  <c:v>267.165844155844</c:v>
                </c:pt>
                <c:pt idx="145">
                  <c:v>265.49025974026</c:v>
                </c:pt>
                <c:pt idx="146">
                  <c:v>263.814675324675</c:v>
                </c:pt>
                <c:pt idx="147">
                  <c:v>262.139090909091</c:v>
                </c:pt>
                <c:pt idx="148">
                  <c:v>260.463506493507</c:v>
                </c:pt>
                <c:pt idx="149">
                  <c:v>258.787922077922</c:v>
                </c:pt>
                <c:pt idx="150">
                  <c:v>257.112337662338</c:v>
                </c:pt>
                <c:pt idx="151">
                  <c:v>255.436753246753</c:v>
                </c:pt>
                <c:pt idx="152">
                  <c:v>253.761168831169</c:v>
                </c:pt>
                <c:pt idx="153">
                  <c:v>252.085584415584</c:v>
                </c:pt>
                <c:pt idx="154">
                  <c:v>250.41</c:v>
                </c:pt>
              </c:numCache>
            </c:numRef>
          </c:val>
          <c:smooth val="0"/>
        </c:ser>
        <c:hiLowLines>
          <c:spPr>
            <a:ln w="0">
              <a:noFill/>
            </a:ln>
          </c:spPr>
        </c:hiLowLines>
        <c:marker val="0"/>
        <c:axId val="71605367"/>
        <c:axId val="10239845"/>
      </c:lineChart>
      <c:dateAx>
        <c:axId val="2222959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756612"/>
        <c:auto val="1"/>
        <c:lblOffset val="100"/>
        <c:baseTimeUnit val="days"/>
      </c:dateAx>
      <c:valAx>
        <c:axId val="6475661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229591"/>
        <c:crosses val="autoZero"/>
        <c:crossBetween val="between"/>
      </c:valAx>
      <c:dateAx>
        <c:axId val="7160536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239845"/>
        <c:auto val="1"/>
        <c:lblOffset val="100"/>
        <c:baseTimeUnit val="days"/>
      </c:dateAx>
      <c:valAx>
        <c:axId val="10239845"/>
        <c:scaling>
          <c:orientation val="minMax"/>
        </c:scaling>
        <c:delete val="0"/>
        <c:axPos val="r"/>
        <c:title>
          <c:tx>
            <c:rich>
              <a:bodyPr rot="-5400000"/>
              <a:lstStyle/>
              <a:p>
                <a:pPr>
                  <a:defRPr sz="1300" b="0" u="none" strike="noStrike">
                    <a:uFillTx/>
                    <a:latin typeface="Arial"/>
                  </a:defRPr>
                </a:pPr>
                <a:r>
                  <a:rPr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60536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(Calc)'!$C$3:$C$157</c:f>
              <c:numCache>
                <c:formatCode>0.0%</c:formatCode>
                <c:ptCount val="155"/>
                <c:pt idx="0">
                  <c:v>0.0320073159579333</c:v>
                </c:pt>
                <c:pt idx="1">
                  <c:v>0.00199379707576419</c:v>
                </c:pt>
                <c:pt idx="2">
                  <c:v>0.0908688923281009</c:v>
                </c:pt>
                <c:pt idx="3">
                  <c:v>-0.00445885691122838</c:v>
                </c:pt>
                <c:pt idx="4">
                  <c:v>-0.0598534201954397</c:v>
                </c:pt>
                <c:pt idx="5">
                  <c:v>-0.023603291468168</c:v>
                </c:pt>
                <c:pt idx="6">
                  <c:v>0.0197383011754269</c:v>
                </c:pt>
                <c:pt idx="7">
                  <c:v>0.0550239234449761</c:v>
                </c:pt>
                <c:pt idx="8">
                  <c:v>-0.0216450216450216</c:v>
                </c:pt>
                <c:pt idx="9">
                  <c:v>-0.0195954487989887</c:v>
                </c:pt>
                <c:pt idx="10">
                  <c:v>-0.0532989469159683</c:v>
                </c:pt>
                <c:pt idx="11">
                  <c:v>0.205902383654938</c:v>
                </c:pt>
                <c:pt idx="12">
                  <c:v>-0.0265436746987952</c:v>
                </c:pt>
                <c:pt idx="13">
                  <c:v>0.0377103074840455</c:v>
                </c:pt>
                <c:pt idx="14">
                  <c:v>0.0175177040626167</c:v>
                </c:pt>
                <c:pt idx="15">
                  <c:v>-0.00805860805860814</c:v>
                </c:pt>
                <c:pt idx="16">
                  <c:v>0.0341580502215657</c:v>
                </c:pt>
                <c:pt idx="17">
                  <c:v>0.0515979289412605</c:v>
                </c:pt>
                <c:pt idx="18">
                  <c:v>0.0113752122241086</c:v>
                </c:pt>
                <c:pt idx="19">
                  <c:v>-0.0115830115830116</c:v>
                </c:pt>
                <c:pt idx="20">
                  <c:v>-0.0195312500000001</c:v>
                </c:pt>
                <c:pt idx="21">
                  <c:v>0.0914602459726313</c:v>
                </c:pt>
                <c:pt idx="22">
                  <c:v>0.0455483256625933</c:v>
                </c:pt>
                <c:pt idx="23">
                  <c:v>0.00333940497874918</c:v>
                </c:pt>
                <c:pt idx="24">
                  <c:v>0.032980332829047</c:v>
                </c:pt>
                <c:pt idx="25">
                  <c:v>0.0341241944932631</c:v>
                </c:pt>
                <c:pt idx="26">
                  <c:v>-0.0732190907803427</c:v>
                </c:pt>
                <c:pt idx="27">
                  <c:v>0.0226161369193154</c:v>
                </c:pt>
                <c:pt idx="28">
                  <c:v>0.0750149432157801</c:v>
                </c:pt>
                <c:pt idx="29">
                  <c:v>-0.0508757297748123</c:v>
                </c:pt>
                <c:pt idx="30">
                  <c:v>0.0168424135910956</c:v>
                </c:pt>
                <c:pt idx="31">
                  <c:v>0.103413510010082</c:v>
                </c:pt>
                <c:pt idx="32">
                  <c:v>-0.0536483487795327</c:v>
                </c:pt>
                <c:pt idx="33">
                  <c:v>0.0262068965517241</c:v>
                </c:pt>
                <c:pt idx="34">
                  <c:v>-0.0885752688172043</c:v>
                </c:pt>
                <c:pt idx="35">
                  <c:v>-0.0927591800619377</c:v>
                </c:pt>
                <c:pt idx="36">
                  <c:v>0.0757477243172953</c:v>
                </c:pt>
                <c:pt idx="37">
                  <c:v>0.0365669386521605</c:v>
                </c:pt>
                <c:pt idx="38">
                  <c:v>0.144460641399417</c:v>
                </c:pt>
                <c:pt idx="39">
                  <c:v>0.0185963571519552</c:v>
                </c:pt>
                <c:pt idx="40">
                  <c:v>-0.0416406152307115</c:v>
                </c:pt>
                <c:pt idx="41">
                  <c:v>-0.0290970772442589</c:v>
                </c:pt>
                <c:pt idx="42">
                  <c:v>-0.00282220131702715</c:v>
                </c:pt>
                <c:pt idx="43">
                  <c:v>0.106873315363881</c:v>
                </c:pt>
                <c:pt idx="44">
                  <c:v>0.0269085596006333</c:v>
                </c:pt>
                <c:pt idx="45">
                  <c:v>0.0388902063078018</c:v>
                </c:pt>
                <c:pt idx="46">
                  <c:v>0.0447386441451723</c:v>
                </c:pt>
                <c:pt idx="47">
                  <c:v>-0.0115796373170199</c:v>
                </c:pt>
                <c:pt idx="48">
                  <c:v>-0.0866489832007074</c:v>
                </c:pt>
                <c:pt idx="49">
                  <c:v>-0.0343659244917716</c:v>
                </c:pt>
                <c:pt idx="50">
                  <c:v>0.000375939849624141</c:v>
                </c:pt>
                <c:pt idx="51">
                  <c:v>0.0516096705499187</c:v>
                </c:pt>
                <c:pt idx="52">
                  <c:v>0.0538415723645027</c:v>
                </c:pt>
                <c:pt idx="53">
                  <c:v>0.00350401265965861</c:v>
                </c:pt>
                <c:pt idx="54">
                  <c:v>-0.00484343320567704</c:v>
                </c:pt>
                <c:pt idx="55">
                  <c:v>-0.110582908885116</c:v>
                </c:pt>
                <c:pt idx="56">
                  <c:v>0.14456604734029</c:v>
                </c:pt>
                <c:pt idx="57">
                  <c:v>0.0687124749833223</c:v>
                </c:pt>
                <c:pt idx="58">
                  <c:v>-0.0109238451935082</c:v>
                </c:pt>
                <c:pt idx="59">
                  <c:v>0.0412327758493742</c:v>
                </c:pt>
                <c:pt idx="60">
                  <c:v>0.0529346398626125</c:v>
                </c:pt>
                <c:pt idx="61">
                  <c:v>-0.0357862419648853</c:v>
                </c:pt>
                <c:pt idx="62">
                  <c:v>-0.0197014925373135</c:v>
                </c:pt>
                <c:pt idx="63">
                  <c:v>0.000203004466098333</c:v>
                </c:pt>
                <c:pt idx="64">
                  <c:v>0.0159326161964684</c:v>
                </c:pt>
                <c:pt idx="65">
                  <c:v>-0.0650284686844471</c:v>
                </c:pt>
                <c:pt idx="66">
                  <c:v>0.0856837606837608</c:v>
                </c:pt>
                <c:pt idx="67">
                  <c:v>-0.00157449320999814</c:v>
                </c:pt>
                <c:pt idx="68">
                  <c:v>0.0669229252907551</c:v>
                </c:pt>
                <c:pt idx="69">
                  <c:v>0.0380600461893765</c:v>
                </c:pt>
                <c:pt idx="70">
                  <c:v>0.00391563584586629</c:v>
                </c:pt>
                <c:pt idx="71">
                  <c:v>0.00195018172147865</c:v>
                </c:pt>
                <c:pt idx="72">
                  <c:v>0.0191984428912679</c:v>
                </c:pt>
                <c:pt idx="73">
                  <c:v>-0.00746527777777772</c:v>
                </c:pt>
                <c:pt idx="74">
                  <c:v>0.0490641945076089</c:v>
                </c:pt>
                <c:pt idx="75">
                  <c:v>0.0768653605669027</c:v>
                </c:pt>
                <c:pt idx="76">
                  <c:v>-0.107919795618177</c:v>
                </c:pt>
                <c:pt idx="77">
                  <c:v>0.028117677688102</c:v>
                </c:pt>
                <c:pt idx="78">
                  <c:v>-0.0979150839875074</c:v>
                </c:pt>
                <c:pt idx="79">
                  <c:v>-0.0801908861233275</c:v>
                </c:pt>
                <c:pt idx="80">
                  <c:v>-0.0534079348931842</c:v>
                </c:pt>
                <c:pt idx="81">
                  <c:v>-0.10413756045137</c:v>
                </c:pt>
                <c:pt idx="82">
                  <c:v>0.00179942418426116</c:v>
                </c:pt>
                <c:pt idx="83">
                  <c:v>-0.00455035325110775</c:v>
                </c:pt>
                <c:pt idx="84">
                  <c:v>-0.0624323348971491</c:v>
                </c:pt>
                <c:pt idx="85">
                  <c:v>-0.174108288426995</c:v>
                </c:pt>
                <c:pt idx="86">
                  <c:v>0.128942053751748</c:v>
                </c:pt>
                <c:pt idx="87">
                  <c:v>-0.0202284298885372</c:v>
                </c:pt>
                <c:pt idx="88">
                  <c:v>0.0942415730337078</c:v>
                </c:pt>
                <c:pt idx="89">
                  <c:v>0.168271082017713</c:v>
                </c:pt>
                <c:pt idx="90">
                  <c:v>-0.049439683586025</c:v>
                </c:pt>
                <c:pt idx="91">
                  <c:v>0.114424410540916</c:v>
                </c:pt>
                <c:pt idx="92">
                  <c:v>-0.0541381456129434</c:v>
                </c:pt>
                <c:pt idx="93">
                  <c:v>-0.05</c:v>
                </c:pt>
                <c:pt idx="94">
                  <c:v>0.122460757156048</c:v>
                </c:pt>
                <c:pt idx="95">
                  <c:v>-0.0503856041131106</c:v>
                </c:pt>
                <c:pt idx="96">
                  <c:v>-0.0660530590146182</c:v>
                </c:pt>
                <c:pt idx="97">
                  <c:v>0.152347826086957</c:v>
                </c:pt>
                <c:pt idx="98">
                  <c:v>0.0314921018211087</c:v>
                </c:pt>
                <c:pt idx="99">
                  <c:v>0.0590128755364807</c:v>
                </c:pt>
                <c:pt idx="100">
                  <c:v>0.0295661785023489</c:v>
                </c:pt>
                <c:pt idx="101">
                  <c:v>0.0223653605296117</c:v>
                </c:pt>
                <c:pt idx="102">
                  <c:v>0.0287889394469723</c:v>
                </c:pt>
                <c:pt idx="103">
                  <c:v>0.183805392532109</c:v>
                </c:pt>
                <c:pt idx="104">
                  <c:v>-0.0135076878861905</c:v>
                </c:pt>
                <c:pt idx="105">
                  <c:v>-0.029497450837582</c:v>
                </c:pt>
                <c:pt idx="106">
                  <c:v>0.024765478424015</c:v>
                </c:pt>
                <c:pt idx="107">
                  <c:v>0.0461369461735626</c:v>
                </c:pt>
                <c:pt idx="108">
                  <c:v>-0.0242212110605531</c:v>
                </c:pt>
                <c:pt idx="109">
                  <c:v>0.0733194633761392</c:v>
                </c:pt>
                <c:pt idx="110">
                  <c:v>-0.0475235612592742</c:v>
                </c:pt>
                <c:pt idx="111">
                  <c:v>0.0210526315789474</c:v>
                </c:pt>
                <c:pt idx="112">
                  <c:v>0.059106529209622</c:v>
                </c:pt>
                <c:pt idx="113">
                  <c:v>-0.0713822193380922</c:v>
                </c:pt>
                <c:pt idx="114">
                  <c:v>0.0749126484975542</c:v>
                </c:pt>
                <c:pt idx="115">
                  <c:v>0.0251592770771032</c:v>
                </c:pt>
                <c:pt idx="116">
                  <c:v>-0.146109455260321</c:v>
                </c:pt>
                <c:pt idx="117">
                  <c:v>-0.024359450427033</c:v>
                </c:pt>
                <c:pt idx="118">
                  <c:v>-0.106112506660577</c:v>
                </c:pt>
                <c:pt idx="119">
                  <c:v>0.112833177211956</c:v>
                </c:pt>
                <c:pt idx="120">
                  <c:v>-0.015993265993266</c:v>
                </c:pt>
                <c:pt idx="121">
                  <c:v>-0.0297845866708142</c:v>
                </c:pt>
                <c:pt idx="122">
                  <c:v>0.0509778775248477</c:v>
                </c:pt>
                <c:pt idx="123">
                  <c:v>0.00549115314215976</c:v>
                </c:pt>
                <c:pt idx="124">
                  <c:v>0.0133495145631066</c:v>
                </c:pt>
                <c:pt idx="125">
                  <c:v>-0.0801646706586826</c:v>
                </c:pt>
                <c:pt idx="126">
                  <c:v>0.0564732687769551</c:v>
                </c:pt>
                <c:pt idx="127">
                  <c:v>0.0501424940306554</c:v>
                </c:pt>
                <c:pt idx="128">
                  <c:v>0.0396068651899664</c:v>
                </c:pt>
                <c:pt idx="129">
                  <c:v>-0.0299844786228305</c:v>
                </c:pt>
                <c:pt idx="130">
                  <c:v>0.0298203505709507</c:v>
                </c:pt>
                <c:pt idx="131">
                  <c:v>-0.0621512818701887</c:v>
                </c:pt>
                <c:pt idx="132">
                  <c:v>0.00534678816175926</c:v>
                </c:pt>
                <c:pt idx="133">
                  <c:v>-0.0045692883895132</c:v>
                </c:pt>
                <c:pt idx="134">
                  <c:v>0.00511701407178866</c:v>
                </c:pt>
                <c:pt idx="135">
                  <c:v>-0.0175937710563749</c:v>
                </c:pt>
                <c:pt idx="136">
                  <c:v>-0.0796372504191435</c:v>
                </c:pt>
                <c:pt idx="137">
                  <c:v>0.0489359940382546</c:v>
                </c:pt>
                <c:pt idx="138">
                  <c:v>0.163167035048942</c:v>
                </c:pt>
                <c:pt idx="139">
                  <c:v>0.114557176789956</c:v>
                </c:pt>
                <c:pt idx="140">
                  <c:v>0.0772087925470377</c:v>
                </c:pt>
                <c:pt idx="141">
                  <c:v>-0.0237974111129954</c:v>
                </c:pt>
                <c:pt idx="142">
                  <c:v>-0.179096699478865</c:v>
                </c:pt>
                <c:pt idx="143">
                  <c:v>0.00141073569866679</c:v>
                </c:pt>
                <c:pt idx="144">
                  <c:v>0.0849475241248152</c:v>
                </c:pt>
                <c:pt idx="145">
                  <c:v>0.0353177952346946</c:v>
                </c:pt>
                <c:pt idx="146">
                  <c:v>-0.032608014046529</c:v>
                </c:pt>
                <c:pt idx="147">
                  <c:v>0.0581448110455693</c:v>
                </c:pt>
                <c:pt idx="148">
                  <c:v>0.0393898554275911</c:v>
                </c:pt>
                <c:pt idx="149">
                  <c:v>-0.0711380915895562</c:v>
                </c:pt>
                <c:pt idx="150">
                  <c:v>0.0151649746192895</c:v>
                </c:pt>
                <c:pt idx="151">
                  <c:v>0.168573035814738</c:v>
                </c:pt>
                <c:pt idx="152">
                  <c:v>-0.0981493367565254</c:v>
                </c:pt>
                <c:pt idx="153">
                  <c:v>0.0319079532649309</c:v>
                </c:pt>
                <c:pt idx="154">
                  <c:v>0.0365538249324673</c:v>
                </c:pt>
              </c:numCache>
            </c:numRef>
          </c:val>
        </c:ser>
        <c:gapWidth val="150"/>
        <c:overlap val="0"/>
        <c:axId val="26085832"/>
        <c:axId val="82763339"/>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(Calc)'!$X$3:$X$157</c:f>
              <c:numCache>
                <c:formatCode>#,##0.00</c:formatCode>
                <c:ptCount val="155"/>
                <c:pt idx="0">
                  <c:v>43.74</c:v>
                </c:pt>
                <c:pt idx="1">
                  <c:v>44.6270779220779</c:v>
                </c:pt>
                <c:pt idx="2">
                  <c:v>45.5141558441558</c:v>
                </c:pt>
                <c:pt idx="3">
                  <c:v>46.4012337662338</c:v>
                </c:pt>
                <c:pt idx="4">
                  <c:v>47.2883116883117</c:v>
                </c:pt>
                <c:pt idx="5">
                  <c:v>48.1753896103896</c:v>
                </c:pt>
                <c:pt idx="6">
                  <c:v>49.0624675324675</c:v>
                </c:pt>
                <c:pt idx="7">
                  <c:v>49.9495454545455</c:v>
                </c:pt>
                <c:pt idx="8">
                  <c:v>50.8366233766234</c:v>
                </c:pt>
                <c:pt idx="9">
                  <c:v>51.7237012987013</c:v>
                </c:pt>
                <c:pt idx="10">
                  <c:v>52.6107792207792</c:v>
                </c:pt>
                <c:pt idx="11">
                  <c:v>53.4978571428571</c:v>
                </c:pt>
                <c:pt idx="12">
                  <c:v>54.3849350649351</c:v>
                </c:pt>
                <c:pt idx="13">
                  <c:v>55.272012987013</c:v>
                </c:pt>
                <c:pt idx="14">
                  <c:v>56.1590909090909</c:v>
                </c:pt>
                <c:pt idx="15">
                  <c:v>57.0461688311688</c:v>
                </c:pt>
                <c:pt idx="16">
                  <c:v>57.9332467532468</c:v>
                </c:pt>
                <c:pt idx="17">
                  <c:v>58.8203246753246</c:v>
                </c:pt>
                <c:pt idx="18">
                  <c:v>59.7074025974026</c:v>
                </c:pt>
                <c:pt idx="19">
                  <c:v>60.5944805194805</c:v>
                </c:pt>
                <c:pt idx="20">
                  <c:v>61.4815584415585</c:v>
                </c:pt>
                <c:pt idx="21">
                  <c:v>62.3686363636363</c:v>
                </c:pt>
                <c:pt idx="22">
                  <c:v>63.2557142857143</c:v>
                </c:pt>
                <c:pt idx="23">
                  <c:v>64.1427922077922</c:v>
                </c:pt>
                <c:pt idx="24">
                  <c:v>65.0298701298702</c:v>
                </c:pt>
                <c:pt idx="25">
                  <c:v>65.916948051948</c:v>
                </c:pt>
                <c:pt idx="26">
                  <c:v>66.804025974026</c:v>
                </c:pt>
                <c:pt idx="27">
                  <c:v>67.6911038961039</c:v>
                </c:pt>
                <c:pt idx="28">
                  <c:v>68.5781818181818</c:v>
                </c:pt>
                <c:pt idx="29">
                  <c:v>69.4652597402597</c:v>
                </c:pt>
                <c:pt idx="30">
                  <c:v>70.3523376623377</c:v>
                </c:pt>
                <c:pt idx="31">
                  <c:v>71.2394155844155</c:v>
                </c:pt>
                <c:pt idx="32">
                  <c:v>72.1264935064935</c:v>
                </c:pt>
                <c:pt idx="33">
                  <c:v>73.0135714285714</c:v>
                </c:pt>
                <c:pt idx="34">
                  <c:v>73.9006493506494</c:v>
                </c:pt>
                <c:pt idx="35">
                  <c:v>74.7877272727272</c:v>
                </c:pt>
                <c:pt idx="36">
                  <c:v>75.6748051948052</c:v>
                </c:pt>
                <c:pt idx="37">
                  <c:v>76.5618831168831</c:v>
                </c:pt>
                <c:pt idx="38">
                  <c:v>77.4489610389611</c:v>
                </c:pt>
                <c:pt idx="39">
                  <c:v>78.3360389610389</c:v>
                </c:pt>
                <c:pt idx="40">
                  <c:v>79.2231168831169</c:v>
                </c:pt>
                <c:pt idx="41">
                  <c:v>80.1101948051948</c:v>
                </c:pt>
                <c:pt idx="42">
                  <c:v>80.9972727272728</c:v>
                </c:pt>
                <c:pt idx="43">
                  <c:v>81.8843506493506</c:v>
                </c:pt>
                <c:pt idx="44">
                  <c:v>82.7714285714286</c:v>
                </c:pt>
                <c:pt idx="45">
                  <c:v>83.6585064935065</c:v>
                </c:pt>
                <c:pt idx="46">
                  <c:v>84.5455844155845</c:v>
                </c:pt>
                <c:pt idx="47">
                  <c:v>85.4326623376623</c:v>
                </c:pt>
                <c:pt idx="48">
                  <c:v>86.3197402597403</c:v>
                </c:pt>
                <c:pt idx="49">
                  <c:v>87.2068181818182</c:v>
                </c:pt>
                <c:pt idx="50">
                  <c:v>88.0938961038962</c:v>
                </c:pt>
                <c:pt idx="51">
                  <c:v>88.980974025974</c:v>
                </c:pt>
                <c:pt idx="52">
                  <c:v>89.868051948052</c:v>
                </c:pt>
                <c:pt idx="53">
                  <c:v>90.7551298701299</c:v>
                </c:pt>
                <c:pt idx="54">
                  <c:v>91.6422077922078</c:v>
                </c:pt>
                <c:pt idx="55">
                  <c:v>92.5292857142857</c:v>
                </c:pt>
                <c:pt idx="56">
                  <c:v>93.4163636363637</c:v>
                </c:pt>
                <c:pt idx="57">
                  <c:v>94.3034415584415</c:v>
                </c:pt>
                <c:pt idx="58">
                  <c:v>95.1905194805195</c:v>
                </c:pt>
                <c:pt idx="59">
                  <c:v>96.0775974025974</c:v>
                </c:pt>
                <c:pt idx="60">
                  <c:v>96.9646753246754</c:v>
                </c:pt>
                <c:pt idx="61">
                  <c:v>97.8517532467532</c:v>
                </c:pt>
                <c:pt idx="62">
                  <c:v>98.7388311688312</c:v>
                </c:pt>
                <c:pt idx="63">
                  <c:v>99.6259090909091</c:v>
                </c:pt>
                <c:pt idx="64">
                  <c:v>100.512987012987</c:v>
                </c:pt>
                <c:pt idx="65">
                  <c:v>101.400064935065</c:v>
                </c:pt>
                <c:pt idx="66">
                  <c:v>102.287142857143</c:v>
                </c:pt>
                <c:pt idx="67">
                  <c:v>103.174220779221</c:v>
                </c:pt>
                <c:pt idx="68">
                  <c:v>104.061298701299</c:v>
                </c:pt>
                <c:pt idx="69">
                  <c:v>104.948376623377</c:v>
                </c:pt>
                <c:pt idx="70">
                  <c:v>105.835454545455</c:v>
                </c:pt>
                <c:pt idx="71">
                  <c:v>106.722532467532</c:v>
                </c:pt>
                <c:pt idx="72">
                  <c:v>107.60961038961</c:v>
                </c:pt>
                <c:pt idx="73">
                  <c:v>108.496688311688</c:v>
                </c:pt>
                <c:pt idx="74">
                  <c:v>109.383766233766</c:v>
                </c:pt>
                <c:pt idx="75">
                  <c:v>110.270844155844</c:v>
                </c:pt>
                <c:pt idx="76">
                  <c:v>111.157922077922</c:v>
                </c:pt>
                <c:pt idx="77">
                  <c:v>112.045</c:v>
                </c:pt>
                <c:pt idx="78">
                  <c:v>112.932077922078</c:v>
                </c:pt>
                <c:pt idx="79">
                  <c:v>113.819155844156</c:v>
                </c:pt>
                <c:pt idx="80">
                  <c:v>114.706233766234</c:v>
                </c:pt>
                <c:pt idx="81">
                  <c:v>115.593311688312</c:v>
                </c:pt>
                <c:pt idx="82">
                  <c:v>116.48038961039</c:v>
                </c:pt>
                <c:pt idx="83">
                  <c:v>117.367467532468</c:v>
                </c:pt>
                <c:pt idx="84">
                  <c:v>118.254545454545</c:v>
                </c:pt>
                <c:pt idx="85">
                  <c:v>119.141623376623</c:v>
                </c:pt>
                <c:pt idx="86">
                  <c:v>120.028701298701</c:v>
                </c:pt>
                <c:pt idx="87">
                  <c:v>120.915779220779</c:v>
                </c:pt>
                <c:pt idx="88">
                  <c:v>121.802857142857</c:v>
                </c:pt>
                <c:pt idx="89">
                  <c:v>122.689935064935</c:v>
                </c:pt>
                <c:pt idx="90">
                  <c:v>123.577012987013</c:v>
                </c:pt>
                <c:pt idx="91">
                  <c:v>124.464090909091</c:v>
                </c:pt>
                <c:pt idx="92">
                  <c:v>125.351168831169</c:v>
                </c:pt>
                <c:pt idx="93">
                  <c:v>126.238246753247</c:v>
                </c:pt>
                <c:pt idx="94">
                  <c:v>127.125324675325</c:v>
                </c:pt>
                <c:pt idx="95">
                  <c:v>128.012402597403</c:v>
                </c:pt>
                <c:pt idx="96">
                  <c:v>128.89948051948</c:v>
                </c:pt>
                <c:pt idx="97">
                  <c:v>129.786558441558</c:v>
                </c:pt>
                <c:pt idx="98">
                  <c:v>130.673636363636</c:v>
                </c:pt>
                <c:pt idx="99">
                  <c:v>131.560714285714</c:v>
                </c:pt>
                <c:pt idx="100">
                  <c:v>132.447792207792</c:v>
                </c:pt>
                <c:pt idx="101">
                  <c:v>133.33487012987</c:v>
                </c:pt>
                <c:pt idx="102">
                  <c:v>134.221948051948</c:v>
                </c:pt>
                <c:pt idx="103">
                  <c:v>135.109025974026</c:v>
                </c:pt>
                <c:pt idx="104">
                  <c:v>135.996103896104</c:v>
                </c:pt>
                <c:pt idx="105">
                  <c:v>136.883181818182</c:v>
                </c:pt>
                <c:pt idx="106">
                  <c:v>137.77025974026</c:v>
                </c:pt>
                <c:pt idx="107">
                  <c:v>138.657337662338</c:v>
                </c:pt>
                <c:pt idx="108">
                  <c:v>139.544415584416</c:v>
                </c:pt>
                <c:pt idx="109">
                  <c:v>140.431493506494</c:v>
                </c:pt>
                <c:pt idx="110">
                  <c:v>141.318571428571</c:v>
                </c:pt>
                <c:pt idx="111">
                  <c:v>142.205649350649</c:v>
                </c:pt>
                <c:pt idx="112">
                  <c:v>143.092727272727</c:v>
                </c:pt>
                <c:pt idx="113">
                  <c:v>143.979805194805</c:v>
                </c:pt>
                <c:pt idx="114">
                  <c:v>144.866883116883</c:v>
                </c:pt>
                <c:pt idx="115">
                  <c:v>145.753961038961</c:v>
                </c:pt>
                <c:pt idx="116">
                  <c:v>146.641038961039</c:v>
                </c:pt>
                <c:pt idx="117">
                  <c:v>147.528116883117</c:v>
                </c:pt>
                <c:pt idx="118">
                  <c:v>148.415194805195</c:v>
                </c:pt>
                <c:pt idx="119">
                  <c:v>149.302272727273</c:v>
                </c:pt>
                <c:pt idx="120">
                  <c:v>150.189350649351</c:v>
                </c:pt>
                <c:pt idx="121">
                  <c:v>151.076428571429</c:v>
                </c:pt>
                <c:pt idx="122">
                  <c:v>151.963506493506</c:v>
                </c:pt>
                <c:pt idx="123">
                  <c:v>152.850584415584</c:v>
                </c:pt>
                <c:pt idx="124">
                  <c:v>153.737662337662</c:v>
                </c:pt>
                <c:pt idx="125">
                  <c:v>154.62474025974</c:v>
                </c:pt>
                <c:pt idx="126">
                  <c:v>155.511818181818</c:v>
                </c:pt>
                <c:pt idx="127">
                  <c:v>156.398896103896</c:v>
                </c:pt>
                <c:pt idx="128">
                  <c:v>157.285974025974</c:v>
                </c:pt>
                <c:pt idx="129">
                  <c:v>158.173051948052</c:v>
                </c:pt>
                <c:pt idx="130">
                  <c:v>159.06012987013</c:v>
                </c:pt>
                <c:pt idx="131">
                  <c:v>159.947207792208</c:v>
                </c:pt>
                <c:pt idx="132">
                  <c:v>160.834285714286</c:v>
                </c:pt>
                <c:pt idx="133">
                  <c:v>161.721363636364</c:v>
                </c:pt>
                <c:pt idx="134">
                  <c:v>162.608441558442</c:v>
                </c:pt>
                <c:pt idx="135">
                  <c:v>163.49551948052</c:v>
                </c:pt>
                <c:pt idx="136">
                  <c:v>164.382597402597</c:v>
                </c:pt>
                <c:pt idx="137">
                  <c:v>165.269675324675</c:v>
                </c:pt>
                <c:pt idx="138">
                  <c:v>166.156753246753</c:v>
                </c:pt>
                <c:pt idx="139">
                  <c:v>167.043831168831</c:v>
                </c:pt>
                <c:pt idx="140">
                  <c:v>167.930909090909</c:v>
                </c:pt>
                <c:pt idx="141">
                  <c:v>168.817987012987</c:v>
                </c:pt>
                <c:pt idx="142">
                  <c:v>169.705064935065</c:v>
                </c:pt>
                <c:pt idx="143">
                  <c:v>170.592142857143</c:v>
                </c:pt>
                <c:pt idx="144">
                  <c:v>171.479220779221</c:v>
                </c:pt>
                <c:pt idx="145">
                  <c:v>172.366298701299</c:v>
                </c:pt>
                <c:pt idx="146">
                  <c:v>173.253376623377</c:v>
                </c:pt>
                <c:pt idx="147">
                  <c:v>174.140454545455</c:v>
                </c:pt>
                <c:pt idx="148">
                  <c:v>175.027532467532</c:v>
                </c:pt>
                <c:pt idx="149">
                  <c:v>175.91461038961</c:v>
                </c:pt>
                <c:pt idx="150">
                  <c:v>176.801688311688</c:v>
                </c:pt>
                <c:pt idx="151">
                  <c:v>177.688766233766</c:v>
                </c:pt>
                <c:pt idx="152">
                  <c:v>178.575844155844</c:v>
                </c:pt>
                <c:pt idx="153">
                  <c:v>179.462922077922</c:v>
                </c:pt>
                <c:pt idx="154">
                  <c:v>180.35</c:v>
                </c:pt>
              </c:numCache>
            </c:numRef>
          </c:val>
          <c:smooth val="0"/>
        </c:ser>
        <c:hiLowLines>
          <c:spPr>
            <a:ln w="0">
              <a:noFill/>
            </a:ln>
          </c:spPr>
        </c:hiLowLines>
        <c:marker val="0"/>
        <c:axId val="74065335"/>
        <c:axId val="37049621"/>
      </c:lineChart>
      <c:dateAx>
        <c:axId val="2608583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763339"/>
        <c:auto val="1"/>
        <c:lblOffset val="100"/>
        <c:baseTimeUnit val="days"/>
      </c:dateAx>
      <c:valAx>
        <c:axId val="8276333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6085832"/>
        <c:crosses val="autoZero"/>
        <c:crossBetween val="between"/>
      </c:valAx>
      <c:dateAx>
        <c:axId val="7406533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049621"/>
        <c:auto val="1"/>
        <c:lblOffset val="100"/>
        <c:baseTimeUnit val="days"/>
      </c:dateAx>
      <c:valAx>
        <c:axId val="37049621"/>
        <c:scaling>
          <c:orientation val="minMax"/>
        </c:scaling>
        <c:delete val="0"/>
        <c:axPos val="r"/>
        <c:title>
          <c:tx>
            <c:rich>
              <a:bodyPr rot="-5400000"/>
              <a:lstStyle/>
              <a:p>
                <a:pPr>
                  <a:defRPr sz="1300" b="0" u="none" strike="noStrike">
                    <a:uFillTx/>
                    <a:latin typeface="Arial"/>
                  </a:defRPr>
                </a:pPr>
                <a:r>
                  <a:rPr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06533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(Calc)'!$D$3:$D$157</c:f>
              <c:numCache>
                <c:formatCode>0.0%</c:formatCode>
                <c:ptCount val="155"/>
                <c:pt idx="0">
                  <c:v>-0.00974644141557612</c:v>
                </c:pt>
                <c:pt idx="1">
                  <c:v>-0.00659209863732779</c:v>
                </c:pt>
                <c:pt idx="2">
                  <c:v>0.0176802199658992</c:v>
                </c:pt>
                <c:pt idx="3">
                  <c:v>-0.0523154017991909</c:v>
                </c:pt>
                <c:pt idx="4">
                  <c:v>-0.0496926066320518</c:v>
                </c:pt>
                <c:pt idx="5">
                  <c:v>-0.0160225253913451</c:v>
                </c:pt>
                <c:pt idx="6">
                  <c:v>0.00265712825753695</c:v>
                </c:pt>
                <c:pt idx="7">
                  <c:v>0.014779329324228</c:v>
                </c:pt>
                <c:pt idx="8">
                  <c:v>0.00400093745814911</c:v>
                </c:pt>
                <c:pt idx="9">
                  <c:v>-0.0327636515214672</c:v>
                </c:pt>
                <c:pt idx="10">
                  <c:v>0.0170660230994655</c:v>
                </c:pt>
                <c:pt idx="11">
                  <c:v>0.0888305084745762</c:v>
                </c:pt>
                <c:pt idx="12">
                  <c:v>0.029373764418362</c:v>
                </c:pt>
                <c:pt idx="13">
                  <c:v>0.0375181466247279</c:v>
                </c:pt>
                <c:pt idx="14">
                  <c:v>0.00741885175414292</c:v>
                </c:pt>
                <c:pt idx="15">
                  <c:v>0.00147573714517213</c:v>
                </c:pt>
                <c:pt idx="16">
                  <c:v>0.00611095059231426</c:v>
                </c:pt>
                <c:pt idx="17">
                  <c:v>0.0811711155464299</c:v>
                </c:pt>
                <c:pt idx="18">
                  <c:v>-0.00057107947301327</c:v>
                </c:pt>
                <c:pt idx="19">
                  <c:v>0.00583365447224704</c:v>
                </c:pt>
                <c:pt idx="20">
                  <c:v>-0.0707868731173703</c:v>
                </c:pt>
                <c:pt idx="21">
                  <c:v>0.014047260215543</c:v>
                </c:pt>
                <c:pt idx="22">
                  <c:v>0.0625473206023388</c:v>
                </c:pt>
                <c:pt idx="23">
                  <c:v>0.145045722655477</c:v>
                </c:pt>
                <c:pt idx="24">
                  <c:v>0.0264016133679055</c:v>
                </c:pt>
                <c:pt idx="25">
                  <c:v>0.0661756450272832</c:v>
                </c:pt>
                <c:pt idx="26">
                  <c:v>-0.0217565290648694</c:v>
                </c:pt>
                <c:pt idx="27">
                  <c:v>0.00463969685878518</c:v>
                </c:pt>
                <c:pt idx="28">
                  <c:v>0.0618162335922852</c:v>
                </c:pt>
                <c:pt idx="29">
                  <c:v>0.00342099420752007</c:v>
                </c:pt>
                <c:pt idx="30">
                  <c:v>-0.0544286102199471</c:v>
                </c:pt>
                <c:pt idx="31">
                  <c:v>0.042277789004584</c:v>
                </c:pt>
                <c:pt idx="32">
                  <c:v>-0.0096840687374995</c:v>
                </c:pt>
                <c:pt idx="33">
                  <c:v>0.00935629128154392</c:v>
                </c:pt>
                <c:pt idx="34">
                  <c:v>-0.0180797304884895</c:v>
                </c:pt>
                <c:pt idx="35">
                  <c:v>-0.106358645928637</c:v>
                </c:pt>
                <c:pt idx="36">
                  <c:v>0.0691416338972009</c:v>
                </c:pt>
                <c:pt idx="37">
                  <c:v>-0.0188689511083061</c:v>
                </c:pt>
                <c:pt idx="38">
                  <c:v>0.0317868748821579</c:v>
                </c:pt>
                <c:pt idx="39">
                  <c:v>-0.0057186468735555</c:v>
                </c:pt>
                <c:pt idx="40">
                  <c:v>0.0337848795096056</c:v>
                </c:pt>
                <c:pt idx="41">
                  <c:v>0.00431908974922091</c:v>
                </c:pt>
                <c:pt idx="42">
                  <c:v>0.070880408184516</c:v>
                </c:pt>
                <c:pt idx="43">
                  <c:v>-0.000505629995527057</c:v>
                </c:pt>
                <c:pt idx="44">
                  <c:v>0.0084638583519796</c:v>
                </c:pt>
                <c:pt idx="45">
                  <c:v>-0.0133802816901407</c:v>
                </c:pt>
                <c:pt idx="46">
                  <c:v>0.0505998650670265</c:v>
                </c:pt>
                <c:pt idx="47">
                  <c:v>0.0100327600327601</c:v>
                </c:pt>
                <c:pt idx="48">
                  <c:v>-0.174971896135488</c:v>
                </c:pt>
                <c:pt idx="49">
                  <c:v>-0.00779565989479214</c:v>
                </c:pt>
                <c:pt idx="50">
                  <c:v>-0.0889699343756684</c:v>
                </c:pt>
                <c:pt idx="51">
                  <c:v>0.0632606412553283</c:v>
                </c:pt>
                <c:pt idx="52">
                  <c:v>0.0675265818371971</c:v>
                </c:pt>
                <c:pt idx="53">
                  <c:v>-0.0124093788779309</c:v>
                </c:pt>
                <c:pt idx="54">
                  <c:v>-0.00373652536207925</c:v>
                </c:pt>
                <c:pt idx="55">
                  <c:v>-0.167147930565236</c:v>
                </c:pt>
                <c:pt idx="56">
                  <c:v>0.0844458613956085</c:v>
                </c:pt>
                <c:pt idx="57">
                  <c:v>-0.0258219413004067</c:v>
                </c:pt>
                <c:pt idx="58">
                  <c:v>0.0581681923347752</c:v>
                </c:pt>
                <c:pt idx="59">
                  <c:v>-0.0101480618865413</c:v>
                </c:pt>
                <c:pt idx="60">
                  <c:v>0.0092316926770708</c:v>
                </c:pt>
                <c:pt idx="61">
                  <c:v>-0.139682879539426</c:v>
                </c:pt>
                <c:pt idx="62">
                  <c:v>-0.0159831872355722</c:v>
                </c:pt>
                <c:pt idx="63">
                  <c:v>-0.051946044681748</c:v>
                </c:pt>
                <c:pt idx="64">
                  <c:v>-0.00779571087694331</c:v>
                </c:pt>
                <c:pt idx="65">
                  <c:v>-0.0161919130058106</c:v>
                </c:pt>
                <c:pt idx="66">
                  <c:v>0.0216358198077828</c:v>
                </c:pt>
                <c:pt idx="67">
                  <c:v>0.0204048270122459</c:v>
                </c:pt>
                <c:pt idx="68">
                  <c:v>0.0325803585732802</c:v>
                </c:pt>
                <c:pt idx="69">
                  <c:v>0.0135405794239611</c:v>
                </c:pt>
                <c:pt idx="70">
                  <c:v>-0.0179520721422808</c:v>
                </c:pt>
                <c:pt idx="71">
                  <c:v>0.011209046593357</c:v>
                </c:pt>
                <c:pt idx="72">
                  <c:v>0.00107905099566974</c:v>
                </c:pt>
                <c:pt idx="73">
                  <c:v>0.0345064113332214</c:v>
                </c:pt>
                <c:pt idx="74">
                  <c:v>0.0234367599897161</c:v>
                </c:pt>
                <c:pt idx="75">
                  <c:v>-0.0318379543321038</c:v>
                </c:pt>
                <c:pt idx="76">
                  <c:v>0.00964151587572548</c:v>
                </c:pt>
                <c:pt idx="77">
                  <c:v>-0.015703831951414</c:v>
                </c:pt>
                <c:pt idx="78">
                  <c:v>0.0327744949841966</c:v>
                </c:pt>
                <c:pt idx="79">
                  <c:v>-0.0190805668285542</c:v>
                </c:pt>
                <c:pt idx="80">
                  <c:v>-0.0381573771381288</c:v>
                </c:pt>
                <c:pt idx="81">
                  <c:v>0.0326338353923394</c:v>
                </c:pt>
                <c:pt idx="82">
                  <c:v>-0.0248832318155746</c:v>
                </c:pt>
                <c:pt idx="83">
                  <c:v>0.00310924369747911</c:v>
                </c:pt>
                <c:pt idx="84">
                  <c:v>-0.0581385607774148</c:v>
                </c:pt>
                <c:pt idx="85">
                  <c:v>-0.102330338877524</c:v>
                </c:pt>
                <c:pt idx="86">
                  <c:v>0.104467013458839</c:v>
                </c:pt>
                <c:pt idx="87">
                  <c:v>-0.0428372781507453</c:v>
                </c:pt>
                <c:pt idx="88">
                  <c:v>0.0579698825293677</c:v>
                </c:pt>
                <c:pt idx="89">
                  <c:v>0.019283299127379</c:v>
                </c:pt>
                <c:pt idx="90">
                  <c:v>0.0230034910839743</c:v>
                </c:pt>
                <c:pt idx="91">
                  <c:v>0.0593166338624489</c:v>
                </c:pt>
                <c:pt idx="92">
                  <c:v>-0.0208661943590429</c:v>
                </c:pt>
                <c:pt idx="93">
                  <c:v>0.00584308318202287</c:v>
                </c:pt>
                <c:pt idx="94">
                  <c:v>0.0220557297392674</c:v>
                </c:pt>
                <c:pt idx="95">
                  <c:v>0.0105973280922154</c:v>
                </c:pt>
                <c:pt idx="96">
                  <c:v>-0.00587385019710907</c:v>
                </c:pt>
                <c:pt idx="97">
                  <c:v>0.0521063275745841</c:v>
                </c:pt>
                <c:pt idx="98">
                  <c:v>-0.00182172247000445</c:v>
                </c:pt>
                <c:pt idx="99">
                  <c:v>0.00935179358086846</c:v>
                </c:pt>
                <c:pt idx="100">
                  <c:v>-0.0839848864614118</c:v>
                </c:pt>
                <c:pt idx="101">
                  <c:v>-0.0317596449671922</c:v>
                </c:pt>
                <c:pt idx="102">
                  <c:v>-0.0301300527240772</c:v>
                </c:pt>
                <c:pt idx="103">
                  <c:v>0.0471137398161838</c:v>
                </c:pt>
                <c:pt idx="104">
                  <c:v>0.0274670506146859</c:v>
                </c:pt>
                <c:pt idx="105">
                  <c:v>0.0171526355502858</c:v>
                </c:pt>
                <c:pt idx="106">
                  <c:v>-0.0162540237650518</c:v>
                </c:pt>
                <c:pt idx="107">
                  <c:v>0.0526244916646468</c:v>
                </c:pt>
                <c:pt idx="108">
                  <c:v>0.0411538953562747</c:v>
                </c:pt>
                <c:pt idx="109">
                  <c:v>0.145330335311536</c:v>
                </c:pt>
                <c:pt idx="110">
                  <c:v>0.020779917395269</c:v>
                </c:pt>
                <c:pt idx="111">
                  <c:v>0.0848116697494536</c:v>
                </c:pt>
                <c:pt idx="112">
                  <c:v>-0.0930324930731821</c:v>
                </c:pt>
                <c:pt idx="113">
                  <c:v>0.099424262169004</c:v>
                </c:pt>
                <c:pt idx="114">
                  <c:v>0.00372108387497927</c:v>
                </c:pt>
                <c:pt idx="115">
                  <c:v>0.0252928080534316</c:v>
                </c:pt>
                <c:pt idx="116">
                  <c:v>-0.0399063470634329</c:v>
                </c:pt>
                <c:pt idx="117">
                  <c:v>-0.00981356198867212</c:v>
                </c:pt>
                <c:pt idx="118">
                  <c:v>-0.0401298933444557</c:v>
                </c:pt>
                <c:pt idx="119">
                  <c:v>0.0966613902769586</c:v>
                </c:pt>
                <c:pt idx="120">
                  <c:v>0.0372358490566038</c:v>
                </c:pt>
                <c:pt idx="121">
                  <c:v>-0.0169354325265811</c:v>
                </c:pt>
                <c:pt idx="122">
                  <c:v>-0.0229726604061618</c:v>
                </c:pt>
                <c:pt idx="123">
                  <c:v>0.0158425029828981</c:v>
                </c:pt>
                <c:pt idx="124">
                  <c:v>0.0848566767653227</c:v>
                </c:pt>
                <c:pt idx="125">
                  <c:v>0.0946055096324048</c:v>
                </c:pt>
                <c:pt idx="126">
                  <c:v>0.0664819292241026</c:v>
                </c:pt>
                <c:pt idx="127">
                  <c:v>0.0224279941408982</c:v>
                </c:pt>
                <c:pt idx="128">
                  <c:v>0.0244485399988481</c:v>
                </c:pt>
                <c:pt idx="129">
                  <c:v>-0.00702037947997192</c:v>
                </c:pt>
                <c:pt idx="130">
                  <c:v>-0.00452933807970224</c:v>
                </c:pt>
                <c:pt idx="131">
                  <c:v>0.0447743155529963</c:v>
                </c:pt>
                <c:pt idx="132">
                  <c:v>-0.012949189910111</c:v>
                </c:pt>
                <c:pt idx="133">
                  <c:v>-0.108757996911538</c:v>
                </c:pt>
                <c:pt idx="134">
                  <c:v>0.0409112004950496</c:v>
                </c:pt>
                <c:pt idx="135">
                  <c:v>-0.0211341393634493</c:v>
                </c:pt>
                <c:pt idx="136">
                  <c:v>-0.0112203454165876</c:v>
                </c:pt>
                <c:pt idx="137">
                  <c:v>0.0113323147558102</c:v>
                </c:pt>
                <c:pt idx="138">
                  <c:v>0.12226414521382</c:v>
                </c:pt>
                <c:pt idx="139">
                  <c:v>-0.012501014692751</c:v>
                </c:pt>
                <c:pt idx="140">
                  <c:v>-0.00143855322646935</c:v>
                </c:pt>
                <c:pt idx="141">
                  <c:v>-0.0210468546340126</c:v>
                </c:pt>
                <c:pt idx="142">
                  <c:v>0.115625569368334</c:v>
                </c:pt>
                <c:pt idx="143">
                  <c:v>-0.0566638610067713</c:v>
                </c:pt>
                <c:pt idx="144">
                  <c:v>0.0872880058063272</c:v>
                </c:pt>
                <c:pt idx="145">
                  <c:v>-0.0123338844999694</c:v>
                </c:pt>
                <c:pt idx="146">
                  <c:v>0.0179691956645751</c:v>
                </c:pt>
                <c:pt idx="147">
                  <c:v>0.135106655134187</c:v>
                </c:pt>
                <c:pt idx="148">
                  <c:v>0.0354860347186821</c:v>
                </c:pt>
                <c:pt idx="149">
                  <c:v>-0.0699908793167781</c:v>
                </c:pt>
                <c:pt idx="150">
                  <c:v>-0.0140976919905049</c:v>
                </c:pt>
                <c:pt idx="151">
                  <c:v>0.0158252888115209</c:v>
                </c:pt>
                <c:pt idx="152">
                  <c:v>-0.027674537644938</c:v>
                </c:pt>
                <c:pt idx="153">
                  <c:v>0.00544181096144381</c:v>
                </c:pt>
                <c:pt idx="154">
                  <c:v>-0.0728989408624486</c:v>
                </c:pt>
              </c:numCache>
            </c:numRef>
          </c:val>
        </c:ser>
        <c:gapWidth val="150"/>
        <c:overlap val="0"/>
        <c:axId val="66308556"/>
        <c:axId val="81871987"/>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(Calc)'!$Y$3:$Y$157</c:f>
              <c:numCache>
                <c:formatCode>#,##0.00</c:formatCode>
                <c:ptCount val="155"/>
                <c:pt idx="0">
                  <c:v>661.78</c:v>
                </c:pt>
                <c:pt idx="1">
                  <c:v>668.060649350649</c:v>
                </c:pt>
                <c:pt idx="2">
                  <c:v>674.341298701299</c:v>
                </c:pt>
                <c:pt idx="3">
                  <c:v>680.621948051948</c:v>
                </c:pt>
                <c:pt idx="4">
                  <c:v>686.902597402597</c:v>
                </c:pt>
                <c:pt idx="5">
                  <c:v>693.183246753247</c:v>
                </c:pt>
                <c:pt idx="6">
                  <c:v>699.463896103896</c:v>
                </c:pt>
                <c:pt idx="7">
                  <c:v>705.744545454546</c:v>
                </c:pt>
                <c:pt idx="8">
                  <c:v>712.025194805195</c:v>
                </c:pt>
                <c:pt idx="9">
                  <c:v>718.305844155844</c:v>
                </c:pt>
                <c:pt idx="10">
                  <c:v>724.586493506493</c:v>
                </c:pt>
                <c:pt idx="11">
                  <c:v>730.867142857143</c:v>
                </c:pt>
                <c:pt idx="12">
                  <c:v>737.147792207792</c:v>
                </c:pt>
                <c:pt idx="13">
                  <c:v>743.428441558442</c:v>
                </c:pt>
                <c:pt idx="14">
                  <c:v>749.709090909091</c:v>
                </c:pt>
                <c:pt idx="15">
                  <c:v>755.98974025974</c:v>
                </c:pt>
                <c:pt idx="16">
                  <c:v>762.27038961039</c:v>
                </c:pt>
                <c:pt idx="17">
                  <c:v>768.551038961039</c:v>
                </c:pt>
                <c:pt idx="18">
                  <c:v>774.831688311688</c:v>
                </c:pt>
                <c:pt idx="19">
                  <c:v>781.112337662337</c:v>
                </c:pt>
                <c:pt idx="20">
                  <c:v>787.392987012987</c:v>
                </c:pt>
                <c:pt idx="21">
                  <c:v>793.673636363636</c:v>
                </c:pt>
                <c:pt idx="22">
                  <c:v>799.954285714286</c:v>
                </c:pt>
                <c:pt idx="23">
                  <c:v>806.234935064935</c:v>
                </c:pt>
                <c:pt idx="24">
                  <c:v>812.515584415585</c:v>
                </c:pt>
                <c:pt idx="25">
                  <c:v>818.796233766233</c:v>
                </c:pt>
                <c:pt idx="26">
                  <c:v>825.076883116883</c:v>
                </c:pt>
                <c:pt idx="27">
                  <c:v>831.357532467532</c:v>
                </c:pt>
                <c:pt idx="28">
                  <c:v>837.638181818182</c:v>
                </c:pt>
                <c:pt idx="29">
                  <c:v>843.918831168831</c:v>
                </c:pt>
                <c:pt idx="30">
                  <c:v>850.199480519481</c:v>
                </c:pt>
                <c:pt idx="31">
                  <c:v>856.48012987013</c:v>
                </c:pt>
                <c:pt idx="32">
                  <c:v>862.760779220779</c:v>
                </c:pt>
                <c:pt idx="33">
                  <c:v>869.041428571428</c:v>
                </c:pt>
                <c:pt idx="34">
                  <c:v>875.322077922078</c:v>
                </c:pt>
                <c:pt idx="35">
                  <c:v>881.602727272727</c:v>
                </c:pt>
                <c:pt idx="36">
                  <c:v>887.883376623377</c:v>
                </c:pt>
                <c:pt idx="37">
                  <c:v>894.164025974026</c:v>
                </c:pt>
                <c:pt idx="38">
                  <c:v>900.444675324676</c:v>
                </c:pt>
                <c:pt idx="39">
                  <c:v>906.725324675324</c:v>
                </c:pt>
                <c:pt idx="40">
                  <c:v>913.005974025974</c:v>
                </c:pt>
                <c:pt idx="41">
                  <c:v>919.286623376623</c:v>
                </c:pt>
                <c:pt idx="42">
                  <c:v>925.567272727273</c:v>
                </c:pt>
                <c:pt idx="43">
                  <c:v>931.847922077922</c:v>
                </c:pt>
                <c:pt idx="44">
                  <c:v>938.128571428572</c:v>
                </c:pt>
                <c:pt idx="45">
                  <c:v>944.409220779221</c:v>
                </c:pt>
                <c:pt idx="46">
                  <c:v>950.68987012987</c:v>
                </c:pt>
                <c:pt idx="47">
                  <c:v>956.970519480519</c:v>
                </c:pt>
                <c:pt idx="48">
                  <c:v>963.251168831169</c:v>
                </c:pt>
                <c:pt idx="49">
                  <c:v>969.531818181818</c:v>
                </c:pt>
                <c:pt idx="50">
                  <c:v>975.812467532468</c:v>
                </c:pt>
                <c:pt idx="51">
                  <c:v>982.093116883117</c:v>
                </c:pt>
                <c:pt idx="52">
                  <c:v>988.373766233767</c:v>
                </c:pt>
                <c:pt idx="53">
                  <c:v>994.654415584415</c:v>
                </c:pt>
                <c:pt idx="54">
                  <c:v>1000.93506493507</c:v>
                </c:pt>
                <c:pt idx="55">
                  <c:v>1007.21571428571</c:v>
                </c:pt>
                <c:pt idx="56">
                  <c:v>1013.49636363636</c:v>
                </c:pt>
                <c:pt idx="57">
                  <c:v>1019.77701298701</c:v>
                </c:pt>
                <c:pt idx="58">
                  <c:v>1026.05766233766</c:v>
                </c:pt>
                <c:pt idx="59">
                  <c:v>1032.33831168831</c:v>
                </c:pt>
                <c:pt idx="60">
                  <c:v>1038.61896103896</c:v>
                </c:pt>
                <c:pt idx="61">
                  <c:v>1044.89961038961</c:v>
                </c:pt>
                <c:pt idx="62">
                  <c:v>1051.18025974026</c:v>
                </c:pt>
                <c:pt idx="63">
                  <c:v>1057.46090909091</c:v>
                </c:pt>
                <c:pt idx="64">
                  <c:v>1063.74155844156</c:v>
                </c:pt>
                <c:pt idx="65">
                  <c:v>1070.02220779221</c:v>
                </c:pt>
                <c:pt idx="66">
                  <c:v>1076.30285714286</c:v>
                </c:pt>
                <c:pt idx="67">
                  <c:v>1082.58350649351</c:v>
                </c:pt>
                <c:pt idx="68">
                  <c:v>1088.86415584416</c:v>
                </c:pt>
                <c:pt idx="69">
                  <c:v>1095.14480519481</c:v>
                </c:pt>
                <c:pt idx="70">
                  <c:v>1101.42545454546</c:v>
                </c:pt>
                <c:pt idx="71">
                  <c:v>1107.7061038961</c:v>
                </c:pt>
                <c:pt idx="72">
                  <c:v>1113.98675324675</c:v>
                </c:pt>
                <c:pt idx="73">
                  <c:v>1120.2674025974</c:v>
                </c:pt>
                <c:pt idx="74">
                  <c:v>1126.54805194805</c:v>
                </c:pt>
                <c:pt idx="75">
                  <c:v>1132.8287012987</c:v>
                </c:pt>
                <c:pt idx="76">
                  <c:v>1139.10935064935</c:v>
                </c:pt>
                <c:pt idx="77">
                  <c:v>1145.39</c:v>
                </c:pt>
                <c:pt idx="78">
                  <c:v>1151.67064935065</c:v>
                </c:pt>
                <c:pt idx="79">
                  <c:v>1157.9512987013</c:v>
                </c:pt>
                <c:pt idx="80">
                  <c:v>1164.23194805195</c:v>
                </c:pt>
                <c:pt idx="81">
                  <c:v>1170.5125974026</c:v>
                </c:pt>
                <c:pt idx="82">
                  <c:v>1176.79324675325</c:v>
                </c:pt>
                <c:pt idx="83">
                  <c:v>1183.0738961039</c:v>
                </c:pt>
                <c:pt idx="84">
                  <c:v>1189.35454545455</c:v>
                </c:pt>
                <c:pt idx="85">
                  <c:v>1195.63519480519</c:v>
                </c:pt>
                <c:pt idx="86">
                  <c:v>1201.91584415584</c:v>
                </c:pt>
                <c:pt idx="87">
                  <c:v>1208.19649350649</c:v>
                </c:pt>
                <c:pt idx="88">
                  <c:v>1214.47714285714</c:v>
                </c:pt>
                <c:pt idx="89">
                  <c:v>1220.75779220779</c:v>
                </c:pt>
                <c:pt idx="90">
                  <c:v>1227.03844155844</c:v>
                </c:pt>
                <c:pt idx="91">
                  <c:v>1233.31909090909</c:v>
                </c:pt>
                <c:pt idx="92">
                  <c:v>1239.59974025974</c:v>
                </c:pt>
                <c:pt idx="93">
                  <c:v>1245.88038961039</c:v>
                </c:pt>
                <c:pt idx="94">
                  <c:v>1252.16103896104</c:v>
                </c:pt>
                <c:pt idx="95">
                  <c:v>1258.44168831169</c:v>
                </c:pt>
                <c:pt idx="96">
                  <c:v>1264.72233766234</c:v>
                </c:pt>
                <c:pt idx="97">
                  <c:v>1271.00298701299</c:v>
                </c:pt>
                <c:pt idx="98">
                  <c:v>1277.28363636364</c:v>
                </c:pt>
                <c:pt idx="99">
                  <c:v>1283.56428571429</c:v>
                </c:pt>
                <c:pt idx="100">
                  <c:v>1289.84493506493</c:v>
                </c:pt>
                <c:pt idx="101">
                  <c:v>1296.12558441558</c:v>
                </c:pt>
                <c:pt idx="102">
                  <c:v>1302.40623376623</c:v>
                </c:pt>
                <c:pt idx="103">
                  <c:v>1308.68688311688</c:v>
                </c:pt>
                <c:pt idx="104">
                  <c:v>1314.96753246753</c:v>
                </c:pt>
                <c:pt idx="105">
                  <c:v>1321.24818181818</c:v>
                </c:pt>
                <c:pt idx="106">
                  <c:v>1327.52883116883</c:v>
                </c:pt>
                <c:pt idx="107">
                  <c:v>1333.80948051948</c:v>
                </c:pt>
                <c:pt idx="108">
                  <c:v>1340.09012987013</c:v>
                </c:pt>
                <c:pt idx="109">
                  <c:v>1346.37077922078</c:v>
                </c:pt>
                <c:pt idx="110">
                  <c:v>1352.65142857143</c:v>
                </c:pt>
                <c:pt idx="111">
                  <c:v>1358.93207792208</c:v>
                </c:pt>
                <c:pt idx="112">
                  <c:v>1365.21272727273</c:v>
                </c:pt>
                <c:pt idx="113">
                  <c:v>1371.49337662338</c:v>
                </c:pt>
                <c:pt idx="114">
                  <c:v>1377.77402597403</c:v>
                </c:pt>
                <c:pt idx="115">
                  <c:v>1384.05467532468</c:v>
                </c:pt>
                <c:pt idx="116">
                  <c:v>1390.33532467532</c:v>
                </c:pt>
                <c:pt idx="117">
                  <c:v>1396.61597402597</c:v>
                </c:pt>
                <c:pt idx="118">
                  <c:v>1402.89662337662</c:v>
                </c:pt>
                <c:pt idx="119">
                  <c:v>1409.17727272727</c:v>
                </c:pt>
                <c:pt idx="120">
                  <c:v>1415.45792207792</c:v>
                </c:pt>
                <c:pt idx="121">
                  <c:v>1421.73857142857</c:v>
                </c:pt>
                <c:pt idx="122">
                  <c:v>1428.01922077922</c:v>
                </c:pt>
                <c:pt idx="123">
                  <c:v>1434.29987012987</c:v>
                </c:pt>
                <c:pt idx="124">
                  <c:v>1440.58051948052</c:v>
                </c:pt>
                <c:pt idx="125">
                  <c:v>1446.86116883117</c:v>
                </c:pt>
                <c:pt idx="126">
                  <c:v>1453.14181818182</c:v>
                </c:pt>
                <c:pt idx="127">
                  <c:v>1459.42246753247</c:v>
                </c:pt>
                <c:pt idx="128">
                  <c:v>1465.70311688312</c:v>
                </c:pt>
                <c:pt idx="129">
                  <c:v>1471.98376623377</c:v>
                </c:pt>
                <c:pt idx="130">
                  <c:v>1478.26441558442</c:v>
                </c:pt>
                <c:pt idx="131">
                  <c:v>1484.54506493507</c:v>
                </c:pt>
                <c:pt idx="132">
                  <c:v>1490.82571428571</c:v>
                </c:pt>
                <c:pt idx="133">
                  <c:v>1497.10636363636</c:v>
                </c:pt>
                <c:pt idx="134">
                  <c:v>1503.38701298701</c:v>
                </c:pt>
                <c:pt idx="135">
                  <c:v>1509.66766233766</c:v>
                </c:pt>
                <c:pt idx="136">
                  <c:v>1515.94831168831</c:v>
                </c:pt>
                <c:pt idx="137">
                  <c:v>1522.22896103896</c:v>
                </c:pt>
                <c:pt idx="138">
                  <c:v>1528.50961038961</c:v>
                </c:pt>
                <c:pt idx="139">
                  <c:v>1534.79025974026</c:v>
                </c:pt>
                <c:pt idx="140">
                  <c:v>1541.07090909091</c:v>
                </c:pt>
                <c:pt idx="141">
                  <c:v>1547.35155844156</c:v>
                </c:pt>
                <c:pt idx="142">
                  <c:v>1553.63220779221</c:v>
                </c:pt>
                <c:pt idx="143">
                  <c:v>1559.91285714286</c:v>
                </c:pt>
                <c:pt idx="144">
                  <c:v>1566.19350649351</c:v>
                </c:pt>
                <c:pt idx="145">
                  <c:v>1572.47415584416</c:v>
                </c:pt>
                <c:pt idx="146">
                  <c:v>1578.75480519481</c:v>
                </c:pt>
                <c:pt idx="147">
                  <c:v>1585.03545454546</c:v>
                </c:pt>
                <c:pt idx="148">
                  <c:v>1591.3161038961</c:v>
                </c:pt>
                <c:pt idx="149">
                  <c:v>1597.59675324675</c:v>
                </c:pt>
                <c:pt idx="150">
                  <c:v>1603.8774025974</c:v>
                </c:pt>
                <c:pt idx="151">
                  <c:v>1610.15805194805</c:v>
                </c:pt>
                <c:pt idx="152">
                  <c:v>1616.4387012987</c:v>
                </c:pt>
                <c:pt idx="153">
                  <c:v>1622.71935064935</c:v>
                </c:pt>
                <c:pt idx="154">
                  <c:v>1629</c:v>
                </c:pt>
              </c:numCache>
            </c:numRef>
          </c:val>
          <c:smooth val="0"/>
        </c:ser>
        <c:hiLowLines>
          <c:spPr>
            <a:ln w="0">
              <a:noFill/>
            </a:ln>
          </c:spPr>
        </c:hiLowLines>
        <c:marker val="0"/>
        <c:axId val="51938220"/>
        <c:axId val="11337051"/>
      </c:lineChart>
      <c:dateAx>
        <c:axId val="6630855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1871987"/>
        <c:auto val="1"/>
        <c:lblOffset val="100"/>
        <c:baseTimeUnit val="days"/>
      </c:dateAx>
      <c:valAx>
        <c:axId val="8187198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6308556"/>
        <c:crosses val="autoZero"/>
        <c:crossBetween val="between"/>
      </c:valAx>
      <c:dateAx>
        <c:axId val="5193822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337051"/>
        <c:auto val="1"/>
        <c:lblOffset val="100"/>
        <c:baseTimeUnit val="days"/>
      </c:dateAx>
      <c:valAx>
        <c:axId val="11337051"/>
        <c:scaling>
          <c:orientation val="minMax"/>
        </c:scaling>
        <c:delete val="0"/>
        <c:axPos val="r"/>
        <c:title>
          <c:tx>
            <c:rich>
              <a:bodyPr rot="-5400000"/>
              <a:lstStyle/>
              <a:p>
                <a:pPr>
                  <a:defRPr sz="1300" b="0" u="none" strike="noStrike">
                    <a:uFillTx/>
                    <a:latin typeface="Arial"/>
                  </a:defRPr>
                </a:pPr>
                <a:r>
                  <a:rPr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93822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(Calc)'!$E$3:$E$157</c:f>
              <c:numCache>
                <c:formatCode>0.0%</c:formatCode>
                <c:ptCount val="155"/>
                <c:pt idx="0">
                  <c:v>-0.0048204386599181</c:v>
                </c:pt>
                <c:pt idx="1">
                  <c:v>0.0314846209736015</c:v>
                </c:pt>
                <c:pt idx="2">
                  <c:v>0.0243014792204741</c:v>
                </c:pt>
                <c:pt idx="3">
                  <c:v>-0.0170773638968481</c:v>
                </c:pt>
                <c:pt idx="4">
                  <c:v>-0.00687966417910457</c:v>
                </c:pt>
                <c:pt idx="5">
                  <c:v>-0.0265351649641893</c:v>
                </c:pt>
                <c:pt idx="6">
                  <c:v>0.00180919068869856</c:v>
                </c:pt>
                <c:pt idx="7">
                  <c:v>0.0176980496026968</c:v>
                </c:pt>
                <c:pt idx="8">
                  <c:v>0.0448361528451438</c:v>
                </c:pt>
                <c:pt idx="9">
                  <c:v>-0.0335144927536232</c:v>
                </c:pt>
                <c:pt idx="10">
                  <c:v>-0.0178069353327085</c:v>
                </c:pt>
                <c:pt idx="11">
                  <c:v>0.0528387404580153</c:v>
                </c:pt>
                <c:pt idx="12">
                  <c:v>0.0847400022657756</c:v>
                </c:pt>
                <c:pt idx="13">
                  <c:v>0.0210966057441253</c:v>
                </c:pt>
                <c:pt idx="14">
                  <c:v>0.00122737035900578</c:v>
                </c:pt>
                <c:pt idx="15">
                  <c:v>-0.0499540300337114</c:v>
                </c:pt>
                <c:pt idx="16">
                  <c:v>0.0153763440860215</c:v>
                </c:pt>
                <c:pt idx="17">
                  <c:v>0.19633591019803</c:v>
                </c:pt>
                <c:pt idx="18">
                  <c:v>-0.00681596884128521</c:v>
                </c:pt>
                <c:pt idx="19">
                  <c:v>-0.00508021390374336</c:v>
                </c:pt>
                <c:pt idx="20">
                  <c:v>-0.060019707963809</c:v>
                </c:pt>
                <c:pt idx="21">
                  <c:v>0.0556561517201943</c:v>
                </c:pt>
                <c:pt idx="22">
                  <c:v>0.0934368511329784</c:v>
                </c:pt>
                <c:pt idx="23">
                  <c:v>-0.00520145310435938</c:v>
                </c:pt>
                <c:pt idx="24">
                  <c:v>0.0161009212382772</c:v>
                </c:pt>
                <c:pt idx="25">
                  <c:v>0.0482724822347465</c:v>
                </c:pt>
                <c:pt idx="26">
                  <c:v>-0.0295309334580023</c:v>
                </c:pt>
                <c:pt idx="27">
                  <c:v>0.0408671216378964</c:v>
                </c:pt>
                <c:pt idx="28">
                  <c:v>0.0792965134217833</c:v>
                </c:pt>
                <c:pt idx="29">
                  <c:v>-0.0646798170383075</c:v>
                </c:pt>
                <c:pt idx="30">
                  <c:v>-0.0559333689921296</c:v>
                </c:pt>
                <c:pt idx="31">
                  <c:v>0.0955078915418859</c:v>
                </c:pt>
                <c:pt idx="32">
                  <c:v>-0.0207609900258589</c:v>
                </c:pt>
                <c:pt idx="33">
                  <c:v>0.0105628489512601</c:v>
                </c:pt>
                <c:pt idx="34">
                  <c:v>0.00350903389577417</c:v>
                </c:pt>
                <c:pt idx="35">
                  <c:v>-0.103712521389777</c:v>
                </c:pt>
                <c:pt idx="36">
                  <c:v>0.115713455632108</c:v>
                </c:pt>
                <c:pt idx="37">
                  <c:v>-0.049103489323711</c:v>
                </c:pt>
                <c:pt idx="38">
                  <c:v>0.0427979031374697</c:v>
                </c:pt>
                <c:pt idx="39">
                  <c:v>0.0468937575030013</c:v>
                </c:pt>
                <c:pt idx="40">
                  <c:v>0.00895864688597436</c:v>
                </c:pt>
                <c:pt idx="41">
                  <c:v>-0.0563290240090922</c:v>
                </c:pt>
                <c:pt idx="42">
                  <c:v>0.0587881068874672</c:v>
                </c:pt>
                <c:pt idx="43">
                  <c:v>0.233470780605716</c:v>
                </c:pt>
                <c:pt idx="44">
                  <c:v>-0.0440345821325647</c:v>
                </c:pt>
                <c:pt idx="45">
                  <c:v>-0.0320149523694683</c:v>
                </c:pt>
                <c:pt idx="46">
                  <c:v>0.0609156026160074</c:v>
                </c:pt>
                <c:pt idx="47">
                  <c:v>-0.00152644865848661</c:v>
                </c:pt>
                <c:pt idx="48">
                  <c:v>-0.0747927324043041</c:v>
                </c:pt>
                <c:pt idx="49">
                  <c:v>-0.0363520813473149</c:v>
                </c:pt>
                <c:pt idx="50">
                  <c:v>-0.0515069577260436</c:v>
                </c:pt>
                <c:pt idx="51">
                  <c:v>0.03087192323738</c:v>
                </c:pt>
                <c:pt idx="52">
                  <c:v>0.117766086604614</c:v>
                </c:pt>
                <c:pt idx="53">
                  <c:v>0.00386193579531757</c:v>
                </c:pt>
                <c:pt idx="54">
                  <c:v>-0.0212791536427027</c:v>
                </c:pt>
                <c:pt idx="55">
                  <c:v>-0.158580027023707</c:v>
                </c:pt>
                <c:pt idx="56">
                  <c:v>0.224014598540146</c:v>
                </c:pt>
                <c:pt idx="57">
                  <c:v>0.0203351422267279</c:v>
                </c:pt>
                <c:pt idx="58">
                  <c:v>0.00929281122150782</c:v>
                </c:pt>
                <c:pt idx="59">
                  <c:v>0.0228733568822745</c:v>
                </c:pt>
                <c:pt idx="60">
                  <c:v>0.0274003623188406</c:v>
                </c:pt>
                <c:pt idx="61">
                  <c:v>-0.00876129601057973</c:v>
                </c:pt>
                <c:pt idx="62">
                  <c:v>-0.0383011840569236</c:v>
                </c:pt>
                <c:pt idx="63">
                  <c:v>-0.0235838150289018</c:v>
                </c:pt>
                <c:pt idx="64">
                  <c:v>0.0871418422922092</c:v>
                </c:pt>
                <c:pt idx="65">
                  <c:v>-0.102374210411675</c:v>
                </c:pt>
                <c:pt idx="66">
                  <c:v>-0.00370055811696202</c:v>
                </c:pt>
                <c:pt idx="67">
                  <c:v>-0.0130913962126284</c:v>
                </c:pt>
                <c:pt idx="68">
                  <c:v>0.107662882527147</c:v>
                </c:pt>
                <c:pt idx="69">
                  <c:v>0.252158413635604</c:v>
                </c:pt>
                <c:pt idx="70">
                  <c:v>-0.0178380782918151</c:v>
                </c:pt>
                <c:pt idx="71">
                  <c:v>0.0949318356809639</c:v>
                </c:pt>
                <c:pt idx="72">
                  <c:v>-0.0380558428128232</c:v>
                </c:pt>
                <c:pt idx="73">
                  <c:v>-0.0354332401634058</c:v>
                </c:pt>
                <c:pt idx="74">
                  <c:v>0.0585350630823414</c:v>
                </c:pt>
                <c:pt idx="75">
                  <c:v>0.0305761455525606</c:v>
                </c:pt>
                <c:pt idx="76">
                  <c:v>-0.0957498978340825</c:v>
                </c:pt>
                <c:pt idx="77">
                  <c:v>0.0162697157319112</c:v>
                </c:pt>
                <c:pt idx="78">
                  <c:v>0.0363321029928403</c:v>
                </c:pt>
                <c:pt idx="79">
                  <c:v>-0.0617061448678339</c:v>
                </c:pt>
                <c:pt idx="80">
                  <c:v>-0.0879447544132442</c:v>
                </c:pt>
                <c:pt idx="81">
                  <c:v>-0.0224138795567367</c:v>
                </c:pt>
                <c:pt idx="82">
                  <c:v>0.00297496922445628</c:v>
                </c:pt>
                <c:pt idx="83">
                  <c:v>-0.0198424874705943</c:v>
                </c:pt>
                <c:pt idx="84">
                  <c:v>-0.117604090577064</c:v>
                </c:pt>
                <c:pt idx="85">
                  <c:v>-0.134992904446547</c:v>
                </c:pt>
                <c:pt idx="86">
                  <c:v>0.243694032401395</c:v>
                </c:pt>
                <c:pt idx="87">
                  <c:v>-0.0601846762669012</c:v>
                </c:pt>
                <c:pt idx="88">
                  <c:v>0.12468565413182</c:v>
                </c:pt>
                <c:pt idx="89">
                  <c:v>0.0589152930164838</c:v>
                </c:pt>
                <c:pt idx="90">
                  <c:v>0.0223924572775487</c:v>
                </c:pt>
                <c:pt idx="91">
                  <c:v>0.098030739673391</c:v>
                </c:pt>
                <c:pt idx="92">
                  <c:v>0.000481168802764387</c:v>
                </c:pt>
                <c:pt idx="93">
                  <c:v>0.0583683105981112</c:v>
                </c:pt>
                <c:pt idx="94">
                  <c:v>0.0200768372784732</c:v>
                </c:pt>
                <c:pt idx="95">
                  <c:v>0.00716802332644861</c:v>
                </c:pt>
                <c:pt idx="96">
                  <c:v>0.00518697225572984</c:v>
                </c:pt>
                <c:pt idx="97">
                  <c:v>0.0774430977239091</c:v>
                </c:pt>
                <c:pt idx="98">
                  <c:v>0.0216447002041953</c:v>
                </c:pt>
                <c:pt idx="99">
                  <c:v>-0.00290718802238543</c:v>
                </c:pt>
                <c:pt idx="100">
                  <c:v>0.0326554413586995</c:v>
                </c:pt>
                <c:pt idx="101">
                  <c:v>0.0241406084562716</c:v>
                </c:pt>
                <c:pt idx="102">
                  <c:v>-0.00530705079605764</c:v>
                </c:pt>
                <c:pt idx="103">
                  <c:v>0.0565756651884701</c:v>
                </c:pt>
                <c:pt idx="104">
                  <c:v>0.00449224513886604</c:v>
                </c:pt>
                <c:pt idx="105">
                  <c:v>-0.0402820395638832</c:v>
                </c:pt>
                <c:pt idx="106">
                  <c:v>0.0115306122448979</c:v>
                </c:pt>
                <c:pt idx="107">
                  <c:v>0.126097044285282</c:v>
                </c:pt>
                <c:pt idx="108">
                  <c:v>0.0745916569619876</c:v>
                </c:pt>
                <c:pt idx="109">
                  <c:v>-0.0414872037124517</c:v>
                </c:pt>
                <c:pt idx="110">
                  <c:v>-0.0301791615933207</c:v>
                </c:pt>
                <c:pt idx="111">
                  <c:v>0.0114787911398082</c:v>
                </c:pt>
                <c:pt idx="112">
                  <c:v>-0.0406064367408459</c:v>
                </c:pt>
                <c:pt idx="113">
                  <c:v>0.0760866216923883</c:v>
                </c:pt>
                <c:pt idx="114">
                  <c:v>0.0137405891277589</c:v>
                </c:pt>
                <c:pt idx="115">
                  <c:v>0.0437692372857426</c:v>
                </c:pt>
                <c:pt idx="116">
                  <c:v>-0.054649243838433</c:v>
                </c:pt>
                <c:pt idx="117">
                  <c:v>-0.0199467704547407</c:v>
                </c:pt>
                <c:pt idx="118">
                  <c:v>-0.00659931086842258</c:v>
                </c:pt>
                <c:pt idx="119">
                  <c:v>0.184479717813051</c:v>
                </c:pt>
                <c:pt idx="120">
                  <c:v>-0.0315664085765336</c:v>
                </c:pt>
                <c:pt idx="121">
                  <c:v>-0.077670151701517</c:v>
                </c:pt>
                <c:pt idx="122">
                  <c:v>-0.05437168338288</c:v>
                </c:pt>
                <c:pt idx="123">
                  <c:v>0.0345810318486308</c:v>
                </c:pt>
                <c:pt idx="124">
                  <c:v>-0.012807769857723</c:v>
                </c:pt>
                <c:pt idx="125">
                  <c:v>-0.00762326678557035</c:v>
                </c:pt>
                <c:pt idx="126">
                  <c:v>0.0195379308345651</c:v>
                </c:pt>
                <c:pt idx="127">
                  <c:v>-0.090017343834409</c:v>
                </c:pt>
                <c:pt idx="128">
                  <c:v>0.0351507576941104</c:v>
                </c:pt>
                <c:pt idx="129">
                  <c:v>0.00488982795049808</c:v>
                </c:pt>
                <c:pt idx="130">
                  <c:v>-0.0232788657935841</c:v>
                </c:pt>
                <c:pt idx="131">
                  <c:v>0.0230033520927513</c:v>
                </c:pt>
                <c:pt idx="132">
                  <c:v>-0.0393807304975198</c:v>
                </c:pt>
                <c:pt idx="133">
                  <c:v>0.0342043498670004</c:v>
                </c:pt>
                <c:pt idx="134">
                  <c:v>-0.0251755022996852</c:v>
                </c:pt>
                <c:pt idx="135">
                  <c:v>-0.0361621554507078</c:v>
                </c:pt>
                <c:pt idx="136">
                  <c:v>-0.0316575955685807</c:v>
                </c:pt>
                <c:pt idx="137">
                  <c:v>0.0461287747771717</c:v>
                </c:pt>
                <c:pt idx="138">
                  <c:v>0.181211254172628</c:v>
                </c:pt>
                <c:pt idx="139">
                  <c:v>0.0941730588076974</c:v>
                </c:pt>
                <c:pt idx="140">
                  <c:v>0.0398976730457026</c:v>
                </c:pt>
                <c:pt idx="141">
                  <c:v>-0.00350080423881172</c:v>
                </c:pt>
                <c:pt idx="142">
                  <c:v>0.0206988226357767</c:v>
                </c:pt>
                <c:pt idx="143">
                  <c:v>-0.0111860465116279</c:v>
                </c:pt>
                <c:pt idx="144">
                  <c:v>-0.0259883816646675</c:v>
                </c:pt>
                <c:pt idx="145">
                  <c:v>0.0787897812333993</c:v>
                </c:pt>
                <c:pt idx="146">
                  <c:v>-0.136625109116548</c:v>
                </c:pt>
                <c:pt idx="147">
                  <c:v>-0.00948850232027587</c:v>
                </c:pt>
                <c:pt idx="148">
                  <c:v>0.0766351715654201</c:v>
                </c:pt>
                <c:pt idx="149">
                  <c:v>-0.112629147927556</c:v>
                </c:pt>
                <c:pt idx="150">
                  <c:v>-0.0125198619253739</c:v>
                </c:pt>
                <c:pt idx="151">
                  <c:v>0.109640726869191</c:v>
                </c:pt>
                <c:pt idx="152">
                  <c:v>-0.0728554641598121</c:v>
                </c:pt>
                <c:pt idx="153">
                  <c:v>0.0299058867944881</c:v>
                </c:pt>
                <c:pt idx="154">
                  <c:v>0.0192710515291159</c:v>
                </c:pt>
              </c:numCache>
            </c:numRef>
          </c:val>
        </c:ser>
        <c:gapWidth val="150"/>
        <c:overlap val="0"/>
        <c:axId val="50950576"/>
        <c:axId val="32913206"/>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(Calc)'!$Z$3:$Z$157</c:f>
              <c:numCache>
                <c:formatCode>#,##0.00</c:formatCode>
                <c:ptCount val="155"/>
                <c:pt idx="0">
                  <c:v>82.98</c:v>
                </c:pt>
                <c:pt idx="1">
                  <c:v>84.968961038961</c:v>
                </c:pt>
                <c:pt idx="2">
                  <c:v>86.9579220779221</c:v>
                </c:pt>
                <c:pt idx="3">
                  <c:v>88.9468831168831</c:v>
                </c:pt>
                <c:pt idx="4">
                  <c:v>90.9358441558442</c:v>
                </c:pt>
                <c:pt idx="5">
                  <c:v>92.9248051948052</c:v>
                </c:pt>
                <c:pt idx="6">
                  <c:v>94.9137662337663</c:v>
                </c:pt>
                <c:pt idx="7">
                  <c:v>96.9027272727273</c:v>
                </c:pt>
                <c:pt idx="8">
                  <c:v>98.8916883116883</c:v>
                </c:pt>
                <c:pt idx="9">
                  <c:v>100.880649350649</c:v>
                </c:pt>
                <c:pt idx="10">
                  <c:v>102.86961038961</c:v>
                </c:pt>
                <c:pt idx="11">
                  <c:v>104.858571428571</c:v>
                </c:pt>
                <c:pt idx="12">
                  <c:v>106.847532467532</c:v>
                </c:pt>
                <c:pt idx="13">
                  <c:v>108.836493506494</c:v>
                </c:pt>
                <c:pt idx="14">
                  <c:v>110.825454545455</c:v>
                </c:pt>
                <c:pt idx="15">
                  <c:v>112.814415584416</c:v>
                </c:pt>
                <c:pt idx="16">
                  <c:v>114.803376623377</c:v>
                </c:pt>
                <c:pt idx="17">
                  <c:v>116.792337662338</c:v>
                </c:pt>
                <c:pt idx="18">
                  <c:v>118.781298701299</c:v>
                </c:pt>
                <c:pt idx="19">
                  <c:v>120.77025974026</c:v>
                </c:pt>
                <c:pt idx="20">
                  <c:v>122.759220779221</c:v>
                </c:pt>
                <c:pt idx="21">
                  <c:v>124.748181818182</c:v>
                </c:pt>
                <c:pt idx="22">
                  <c:v>126.737142857143</c:v>
                </c:pt>
                <c:pt idx="23">
                  <c:v>128.726103896104</c:v>
                </c:pt>
                <c:pt idx="24">
                  <c:v>130.715064935065</c:v>
                </c:pt>
                <c:pt idx="25">
                  <c:v>132.704025974026</c:v>
                </c:pt>
                <c:pt idx="26">
                  <c:v>134.692987012987</c:v>
                </c:pt>
                <c:pt idx="27">
                  <c:v>136.681948051948</c:v>
                </c:pt>
                <c:pt idx="28">
                  <c:v>138.670909090909</c:v>
                </c:pt>
                <c:pt idx="29">
                  <c:v>140.65987012987</c:v>
                </c:pt>
                <c:pt idx="30">
                  <c:v>142.648831168831</c:v>
                </c:pt>
                <c:pt idx="31">
                  <c:v>144.637792207792</c:v>
                </c:pt>
                <c:pt idx="32">
                  <c:v>146.626753246753</c:v>
                </c:pt>
                <c:pt idx="33">
                  <c:v>148.615714285714</c:v>
                </c:pt>
                <c:pt idx="34">
                  <c:v>150.604675324675</c:v>
                </c:pt>
                <c:pt idx="35">
                  <c:v>152.593636363636</c:v>
                </c:pt>
                <c:pt idx="36">
                  <c:v>154.582597402597</c:v>
                </c:pt>
                <c:pt idx="37">
                  <c:v>156.571558441558</c:v>
                </c:pt>
                <c:pt idx="38">
                  <c:v>158.56051948052</c:v>
                </c:pt>
                <c:pt idx="39">
                  <c:v>160.54948051948</c:v>
                </c:pt>
                <c:pt idx="40">
                  <c:v>162.538441558442</c:v>
                </c:pt>
                <c:pt idx="41">
                  <c:v>164.527402597403</c:v>
                </c:pt>
                <c:pt idx="42">
                  <c:v>166.516363636364</c:v>
                </c:pt>
                <c:pt idx="43">
                  <c:v>168.505324675325</c:v>
                </c:pt>
                <c:pt idx="44">
                  <c:v>170.494285714286</c:v>
                </c:pt>
                <c:pt idx="45">
                  <c:v>172.483246753247</c:v>
                </c:pt>
                <c:pt idx="46">
                  <c:v>174.472207792208</c:v>
                </c:pt>
                <c:pt idx="47">
                  <c:v>176.461168831169</c:v>
                </c:pt>
                <c:pt idx="48">
                  <c:v>178.45012987013</c:v>
                </c:pt>
                <c:pt idx="49">
                  <c:v>180.439090909091</c:v>
                </c:pt>
                <c:pt idx="50">
                  <c:v>182.428051948052</c:v>
                </c:pt>
                <c:pt idx="51">
                  <c:v>184.417012987013</c:v>
                </c:pt>
                <c:pt idx="52">
                  <c:v>186.405974025974</c:v>
                </c:pt>
                <c:pt idx="53">
                  <c:v>188.394935064935</c:v>
                </c:pt>
                <c:pt idx="54">
                  <c:v>190.383896103896</c:v>
                </c:pt>
                <c:pt idx="55">
                  <c:v>192.372857142857</c:v>
                </c:pt>
                <c:pt idx="56">
                  <c:v>194.361818181818</c:v>
                </c:pt>
                <c:pt idx="57">
                  <c:v>196.350779220779</c:v>
                </c:pt>
                <c:pt idx="58">
                  <c:v>198.33974025974</c:v>
                </c:pt>
                <c:pt idx="59">
                  <c:v>200.328701298701</c:v>
                </c:pt>
                <c:pt idx="60">
                  <c:v>202.317662337662</c:v>
                </c:pt>
                <c:pt idx="61">
                  <c:v>204.306623376623</c:v>
                </c:pt>
                <c:pt idx="62">
                  <c:v>206.295584415585</c:v>
                </c:pt>
                <c:pt idx="63">
                  <c:v>208.284545454545</c:v>
                </c:pt>
                <c:pt idx="64">
                  <c:v>210.273506493507</c:v>
                </c:pt>
                <c:pt idx="65">
                  <c:v>212.262467532468</c:v>
                </c:pt>
                <c:pt idx="66">
                  <c:v>214.251428571429</c:v>
                </c:pt>
                <c:pt idx="67">
                  <c:v>216.24038961039</c:v>
                </c:pt>
                <c:pt idx="68">
                  <c:v>218.229350649351</c:v>
                </c:pt>
                <c:pt idx="69">
                  <c:v>220.218311688312</c:v>
                </c:pt>
                <c:pt idx="70">
                  <c:v>222.207272727273</c:v>
                </c:pt>
                <c:pt idx="71">
                  <c:v>224.196233766234</c:v>
                </c:pt>
                <c:pt idx="72">
                  <c:v>226.185194805195</c:v>
                </c:pt>
                <c:pt idx="73">
                  <c:v>228.174155844156</c:v>
                </c:pt>
                <c:pt idx="74">
                  <c:v>230.163116883117</c:v>
                </c:pt>
                <c:pt idx="75">
                  <c:v>232.152077922078</c:v>
                </c:pt>
                <c:pt idx="76">
                  <c:v>234.141038961039</c:v>
                </c:pt>
                <c:pt idx="77">
                  <c:v>236.13</c:v>
                </c:pt>
                <c:pt idx="78">
                  <c:v>238.118961038961</c:v>
                </c:pt>
                <c:pt idx="79">
                  <c:v>240.107922077922</c:v>
                </c:pt>
                <c:pt idx="80">
                  <c:v>242.096883116883</c:v>
                </c:pt>
                <c:pt idx="81">
                  <c:v>244.085844155844</c:v>
                </c:pt>
                <c:pt idx="82">
                  <c:v>246.074805194805</c:v>
                </c:pt>
                <c:pt idx="83">
                  <c:v>248.063766233766</c:v>
                </c:pt>
                <c:pt idx="84">
                  <c:v>250.052727272727</c:v>
                </c:pt>
                <c:pt idx="85">
                  <c:v>252.041688311688</c:v>
                </c:pt>
                <c:pt idx="86">
                  <c:v>254.030649350649</c:v>
                </c:pt>
                <c:pt idx="87">
                  <c:v>256.01961038961</c:v>
                </c:pt>
                <c:pt idx="88">
                  <c:v>258.008571428571</c:v>
                </c:pt>
                <c:pt idx="89">
                  <c:v>259.997532467532</c:v>
                </c:pt>
                <c:pt idx="90">
                  <c:v>261.986493506493</c:v>
                </c:pt>
                <c:pt idx="91">
                  <c:v>263.975454545455</c:v>
                </c:pt>
                <c:pt idx="92">
                  <c:v>265.964415584415</c:v>
                </c:pt>
                <c:pt idx="93">
                  <c:v>267.953376623377</c:v>
                </c:pt>
                <c:pt idx="94">
                  <c:v>269.942337662338</c:v>
                </c:pt>
                <c:pt idx="95">
                  <c:v>271.931298701299</c:v>
                </c:pt>
                <c:pt idx="96">
                  <c:v>273.92025974026</c:v>
                </c:pt>
                <c:pt idx="97">
                  <c:v>275.909220779221</c:v>
                </c:pt>
                <c:pt idx="98">
                  <c:v>277.898181818182</c:v>
                </c:pt>
                <c:pt idx="99">
                  <c:v>279.887142857143</c:v>
                </c:pt>
                <c:pt idx="100">
                  <c:v>281.876103896104</c:v>
                </c:pt>
                <c:pt idx="101">
                  <c:v>283.865064935065</c:v>
                </c:pt>
                <c:pt idx="102">
                  <c:v>285.854025974026</c:v>
                </c:pt>
                <c:pt idx="103">
                  <c:v>287.842987012987</c:v>
                </c:pt>
                <c:pt idx="104">
                  <c:v>289.831948051948</c:v>
                </c:pt>
                <c:pt idx="105">
                  <c:v>291.820909090909</c:v>
                </c:pt>
                <c:pt idx="106">
                  <c:v>293.80987012987</c:v>
                </c:pt>
                <c:pt idx="107">
                  <c:v>295.798831168831</c:v>
                </c:pt>
                <c:pt idx="108">
                  <c:v>297.787792207792</c:v>
                </c:pt>
                <c:pt idx="109">
                  <c:v>299.776753246753</c:v>
                </c:pt>
                <c:pt idx="110">
                  <c:v>301.765714285714</c:v>
                </c:pt>
                <c:pt idx="111">
                  <c:v>303.754675324675</c:v>
                </c:pt>
                <c:pt idx="112">
                  <c:v>305.743636363636</c:v>
                </c:pt>
                <c:pt idx="113">
                  <c:v>307.732597402597</c:v>
                </c:pt>
                <c:pt idx="114">
                  <c:v>309.721558441558</c:v>
                </c:pt>
                <c:pt idx="115">
                  <c:v>311.71051948052</c:v>
                </c:pt>
                <c:pt idx="116">
                  <c:v>313.69948051948</c:v>
                </c:pt>
                <c:pt idx="117">
                  <c:v>315.688441558442</c:v>
                </c:pt>
                <c:pt idx="118">
                  <c:v>317.677402597403</c:v>
                </c:pt>
                <c:pt idx="119">
                  <c:v>319.666363636364</c:v>
                </c:pt>
                <c:pt idx="120">
                  <c:v>321.655324675325</c:v>
                </c:pt>
                <c:pt idx="121">
                  <c:v>323.644285714286</c:v>
                </c:pt>
                <c:pt idx="122">
                  <c:v>325.633246753247</c:v>
                </c:pt>
                <c:pt idx="123">
                  <c:v>327.622207792208</c:v>
                </c:pt>
                <c:pt idx="124">
                  <c:v>329.611168831169</c:v>
                </c:pt>
                <c:pt idx="125">
                  <c:v>331.60012987013</c:v>
                </c:pt>
                <c:pt idx="126">
                  <c:v>333.589090909091</c:v>
                </c:pt>
                <c:pt idx="127">
                  <c:v>335.578051948052</c:v>
                </c:pt>
                <c:pt idx="128">
                  <c:v>337.567012987013</c:v>
                </c:pt>
                <c:pt idx="129">
                  <c:v>339.555974025974</c:v>
                </c:pt>
                <c:pt idx="130">
                  <c:v>341.544935064935</c:v>
                </c:pt>
                <c:pt idx="131">
                  <c:v>343.533896103896</c:v>
                </c:pt>
                <c:pt idx="132">
                  <c:v>345.522857142857</c:v>
                </c:pt>
                <c:pt idx="133">
                  <c:v>347.511818181818</c:v>
                </c:pt>
                <c:pt idx="134">
                  <c:v>349.500779220779</c:v>
                </c:pt>
                <c:pt idx="135">
                  <c:v>351.48974025974</c:v>
                </c:pt>
                <c:pt idx="136">
                  <c:v>353.478701298701</c:v>
                </c:pt>
                <c:pt idx="137">
                  <c:v>355.467662337662</c:v>
                </c:pt>
                <c:pt idx="138">
                  <c:v>357.456623376623</c:v>
                </c:pt>
                <c:pt idx="139">
                  <c:v>359.445584415585</c:v>
                </c:pt>
                <c:pt idx="140">
                  <c:v>361.434545454545</c:v>
                </c:pt>
                <c:pt idx="141">
                  <c:v>363.423506493507</c:v>
                </c:pt>
                <c:pt idx="142">
                  <c:v>365.412467532468</c:v>
                </c:pt>
                <c:pt idx="143">
                  <c:v>367.401428571429</c:v>
                </c:pt>
                <c:pt idx="144">
                  <c:v>369.39038961039</c:v>
                </c:pt>
                <c:pt idx="145">
                  <c:v>371.379350649351</c:v>
                </c:pt>
                <c:pt idx="146">
                  <c:v>373.368311688312</c:v>
                </c:pt>
                <c:pt idx="147">
                  <c:v>375.357272727273</c:v>
                </c:pt>
                <c:pt idx="148">
                  <c:v>377.346233766234</c:v>
                </c:pt>
                <c:pt idx="149">
                  <c:v>379.335194805195</c:v>
                </c:pt>
                <c:pt idx="150">
                  <c:v>381.324155844156</c:v>
                </c:pt>
                <c:pt idx="151">
                  <c:v>383.313116883117</c:v>
                </c:pt>
                <c:pt idx="152">
                  <c:v>385.302077922078</c:v>
                </c:pt>
                <c:pt idx="153">
                  <c:v>387.291038961039</c:v>
                </c:pt>
                <c:pt idx="154">
                  <c:v>389.28</c:v>
                </c:pt>
              </c:numCache>
            </c:numRef>
          </c:val>
          <c:smooth val="0"/>
        </c:ser>
        <c:hiLowLines>
          <c:spPr>
            <a:ln w="0">
              <a:noFill/>
            </a:ln>
          </c:spPr>
        </c:hiLowLines>
        <c:marker val="0"/>
        <c:axId val="94992355"/>
        <c:axId val="35224130"/>
      </c:lineChart>
      <c:dateAx>
        <c:axId val="5095057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2913206"/>
        <c:auto val="1"/>
        <c:lblOffset val="100"/>
        <c:baseTimeUnit val="days"/>
      </c:dateAx>
      <c:valAx>
        <c:axId val="3291320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0950576"/>
        <c:crosses val="autoZero"/>
        <c:crossBetween val="between"/>
      </c:valAx>
      <c:dateAx>
        <c:axId val="9499235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5224130"/>
        <c:auto val="1"/>
        <c:lblOffset val="100"/>
        <c:baseTimeUnit val="days"/>
      </c:dateAx>
      <c:valAx>
        <c:axId val="35224130"/>
        <c:scaling>
          <c:orientation val="minMax"/>
        </c:scaling>
        <c:delete val="0"/>
        <c:axPos val="r"/>
        <c:title>
          <c:tx>
            <c:rich>
              <a:bodyPr rot="-5400000"/>
              <a:lstStyle/>
              <a:p>
                <a:pPr>
                  <a:defRPr sz="1300" b="0" u="none" strike="noStrike">
                    <a:uFillTx/>
                    <a:latin typeface="Arial"/>
                  </a:defRPr>
                </a:pPr>
                <a:r>
                  <a:rPr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99235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(Calc)'!$F$3:$F$157</c:f>
              <c:numCache>
                <c:formatCode>0.0%</c:formatCode>
                <c:ptCount val="155"/>
                <c:pt idx="0">
                  <c:v>-0.00971397733405288</c:v>
                </c:pt>
                <c:pt idx="1">
                  <c:v>0.0190735694822888</c:v>
                </c:pt>
                <c:pt idx="2">
                  <c:v>0.0778074866310161</c:v>
                </c:pt>
                <c:pt idx="3">
                  <c:v>0.0424212354254527</c:v>
                </c:pt>
                <c:pt idx="4">
                  <c:v>-0.0157068062827226</c:v>
                </c:pt>
                <c:pt idx="5">
                  <c:v>-0.0174081237911025</c:v>
                </c:pt>
                <c:pt idx="6">
                  <c:v>0.0297736220472442</c:v>
                </c:pt>
                <c:pt idx="7">
                  <c:v>0.055436081242533</c:v>
                </c:pt>
                <c:pt idx="8">
                  <c:v>0.0511659497396422</c:v>
                </c:pt>
                <c:pt idx="9">
                  <c:v>-0.0374757699763084</c:v>
                </c:pt>
                <c:pt idx="10">
                  <c:v>-0.0331170284179906</c:v>
                </c:pt>
                <c:pt idx="11">
                  <c:v>0.0890997454292988</c:v>
                </c:pt>
                <c:pt idx="12">
                  <c:v>0.0429239269018273</c:v>
                </c:pt>
                <c:pt idx="13">
                  <c:v>0.0548084759576204</c:v>
                </c:pt>
                <c:pt idx="14">
                  <c:v>0.0173845856673749</c:v>
                </c:pt>
                <c:pt idx="15">
                  <c:v>0.115625593316879</c:v>
                </c:pt>
                <c:pt idx="16">
                  <c:v>0.0319945541184479</c:v>
                </c:pt>
                <c:pt idx="17">
                  <c:v>0.0722295514511873</c:v>
                </c:pt>
                <c:pt idx="18">
                  <c:v>-0.0170716702553061</c:v>
                </c:pt>
                <c:pt idx="19">
                  <c:v>-0.00125176028790486</c:v>
                </c:pt>
                <c:pt idx="20">
                  <c:v>-0.0307065643114524</c:v>
                </c:pt>
                <c:pt idx="21">
                  <c:v>0.144981412639405</c:v>
                </c:pt>
                <c:pt idx="22">
                  <c:v>0.0254093732354601</c:v>
                </c:pt>
                <c:pt idx="23">
                  <c:v>-0.000825991189427389</c:v>
                </c:pt>
                <c:pt idx="24">
                  <c:v>0.0456048498208874</c:v>
                </c:pt>
                <c:pt idx="25">
                  <c:v>0.0849914349716696</c:v>
                </c:pt>
                <c:pt idx="26">
                  <c:v>-0.000364342968180775</c:v>
                </c:pt>
                <c:pt idx="27">
                  <c:v>-0.0539424128295468</c:v>
                </c:pt>
                <c:pt idx="28">
                  <c:v>0.010016694490818</c:v>
                </c:pt>
                <c:pt idx="29">
                  <c:v>0.0261919898283534</c:v>
                </c:pt>
                <c:pt idx="30">
                  <c:v>-0.0223020691364143</c:v>
                </c:pt>
                <c:pt idx="31">
                  <c:v>0.0378912685337727</c:v>
                </c:pt>
                <c:pt idx="32">
                  <c:v>-0.0213675213675214</c:v>
                </c:pt>
                <c:pt idx="33">
                  <c:v>-0.015845290081098</c:v>
                </c:pt>
                <c:pt idx="34">
                  <c:v>-0.0205375253549694</c:v>
                </c:pt>
                <c:pt idx="35">
                  <c:v>-0.0854258348433861</c:v>
                </c:pt>
                <c:pt idx="36">
                  <c:v>0.0758562128502689</c:v>
                </c:pt>
                <c:pt idx="37">
                  <c:v>0.0201262825572217</c:v>
                </c:pt>
                <c:pt idx="38">
                  <c:v>0.0340425531914894</c:v>
                </c:pt>
                <c:pt idx="39">
                  <c:v>0.0784387080683378</c:v>
                </c:pt>
                <c:pt idx="40">
                  <c:v>0.0160730804810361</c:v>
                </c:pt>
                <c:pt idx="41">
                  <c:v>-0.107545237282349</c:v>
                </c:pt>
                <c:pt idx="42">
                  <c:v>0.112981382300434</c:v>
                </c:pt>
                <c:pt idx="43">
                  <c:v>0.104032997250229</c:v>
                </c:pt>
                <c:pt idx="44">
                  <c:v>-0.0124533001245331</c:v>
                </c:pt>
                <c:pt idx="45">
                  <c:v>0.00672551492223628</c:v>
                </c:pt>
                <c:pt idx="46">
                  <c:v>0.016910229645094</c:v>
                </c:pt>
                <c:pt idx="47">
                  <c:v>-0.0471155820160132</c:v>
                </c:pt>
                <c:pt idx="48">
                  <c:v>-0.178713777873532</c:v>
                </c:pt>
                <c:pt idx="49">
                  <c:v>-0.160020986358867</c:v>
                </c:pt>
                <c:pt idx="50">
                  <c:v>-0.149437851342911</c:v>
                </c:pt>
                <c:pt idx="51">
                  <c:v>0.105746282357261</c:v>
                </c:pt>
                <c:pt idx="52">
                  <c:v>0.0898223476672755</c:v>
                </c:pt>
                <c:pt idx="53">
                  <c:v>0.0342778793418648</c:v>
                </c:pt>
                <c:pt idx="54">
                  <c:v>0.0210634850493445</c:v>
                </c:pt>
                <c:pt idx="55">
                  <c:v>-0.11136757068667</c:v>
                </c:pt>
                <c:pt idx="56">
                  <c:v>0.0516233766233767</c:v>
                </c:pt>
                <c:pt idx="57">
                  <c:v>0.157147267675208</c:v>
                </c:pt>
                <c:pt idx="58">
                  <c:v>-0.0465581643543223</c:v>
                </c:pt>
                <c:pt idx="59">
                  <c:v>0.0222470966839234</c:v>
                </c:pt>
                <c:pt idx="60">
                  <c:v>0.0956747878456064</c:v>
                </c:pt>
                <c:pt idx="61">
                  <c:v>-0.0313554028732042</c:v>
                </c:pt>
                <c:pt idx="62">
                  <c:v>-0.0306938354397731</c:v>
                </c:pt>
                <c:pt idx="63">
                  <c:v>0.00824906865353925</c:v>
                </c:pt>
                <c:pt idx="64">
                  <c:v>0.0888097123251519</c:v>
                </c:pt>
                <c:pt idx="65">
                  <c:v>0.020361168343231</c:v>
                </c:pt>
                <c:pt idx="66">
                  <c:v>0.10547570970424</c:v>
                </c:pt>
                <c:pt idx="67">
                  <c:v>-0.070699473514559</c:v>
                </c:pt>
                <c:pt idx="68">
                  <c:v>0.0568851890391953</c:v>
                </c:pt>
                <c:pt idx="69">
                  <c:v>0.00656383327863486</c:v>
                </c:pt>
                <c:pt idx="70">
                  <c:v>-0.0156504727746986</c:v>
                </c:pt>
                <c:pt idx="71">
                  <c:v>-0.0200949541790879</c:v>
                </c:pt>
                <c:pt idx="72">
                  <c:v>0.0113802816901409</c:v>
                </c:pt>
                <c:pt idx="73">
                  <c:v>-0.0284090909090911</c:v>
                </c:pt>
                <c:pt idx="74">
                  <c:v>0.0233918128654971</c:v>
                </c:pt>
                <c:pt idx="75">
                  <c:v>0.0501960784313726</c:v>
                </c:pt>
                <c:pt idx="76">
                  <c:v>0.0617731782780326</c:v>
                </c:pt>
                <c:pt idx="77">
                  <c:v>0.0590836012861737</c:v>
                </c:pt>
                <c:pt idx="78">
                  <c:v>0.0715370018975332</c:v>
                </c:pt>
                <c:pt idx="79">
                  <c:v>-0.0997874977864353</c:v>
                </c:pt>
                <c:pt idx="80">
                  <c:v>-0.0418019081341595</c:v>
                </c:pt>
                <c:pt idx="81">
                  <c:v>-0.144118250872511</c:v>
                </c:pt>
                <c:pt idx="82">
                  <c:v>0.0605660829935237</c:v>
                </c:pt>
                <c:pt idx="83">
                  <c:v>0.0240868483546308</c:v>
                </c:pt>
                <c:pt idx="84">
                  <c:v>-0.0141342756183745</c:v>
                </c:pt>
                <c:pt idx="85">
                  <c:v>-0.0993503584229392</c:v>
                </c:pt>
                <c:pt idx="86">
                  <c:v>0.174978236537744</c:v>
                </c:pt>
                <c:pt idx="87">
                  <c:v>-0.00603302286198149</c:v>
                </c:pt>
                <c:pt idx="88">
                  <c:v>0.131082951762326</c:v>
                </c:pt>
                <c:pt idx="89">
                  <c:v>0.0369986819807946</c:v>
                </c:pt>
                <c:pt idx="90">
                  <c:v>-0.0681797548797095</c:v>
                </c:pt>
                <c:pt idx="91">
                  <c:v>0.0699532346063911</c:v>
                </c:pt>
                <c:pt idx="92">
                  <c:v>0.0371517027863779</c:v>
                </c:pt>
                <c:pt idx="93">
                  <c:v>0.0345917471466197</c:v>
                </c:pt>
                <c:pt idx="94">
                  <c:v>-0.00627970128988464</c:v>
                </c:pt>
                <c:pt idx="95">
                  <c:v>0.026131511528608</c:v>
                </c:pt>
                <c:pt idx="96">
                  <c:v>-0.00898801597869503</c:v>
                </c:pt>
                <c:pt idx="97">
                  <c:v>0.0482868659724556</c:v>
                </c:pt>
                <c:pt idx="98">
                  <c:v>0.029640310822719</c:v>
                </c:pt>
                <c:pt idx="99">
                  <c:v>-0.0694001400451256</c:v>
                </c:pt>
                <c:pt idx="100">
                  <c:v>-0.00518351308419029</c:v>
                </c:pt>
                <c:pt idx="101">
                  <c:v>-0.0168921758130934</c:v>
                </c:pt>
                <c:pt idx="102">
                  <c:v>-0.0453923747649171</c:v>
                </c:pt>
                <c:pt idx="103">
                  <c:v>-0.0497000089549565</c:v>
                </c:pt>
                <c:pt idx="104">
                  <c:v>0.00810403316999619</c:v>
                </c:pt>
                <c:pt idx="105">
                  <c:v>-0.0171994765376706</c:v>
                </c:pt>
                <c:pt idx="106">
                  <c:v>0.00751379113562867</c:v>
                </c:pt>
                <c:pt idx="107">
                  <c:v>-0.0143490984612481</c:v>
                </c:pt>
                <c:pt idx="108">
                  <c:v>0.0442486351882003</c:v>
                </c:pt>
                <c:pt idx="109">
                  <c:v>0.152343391727048</c:v>
                </c:pt>
                <c:pt idx="110">
                  <c:v>-0.0420248328557784</c:v>
                </c:pt>
                <c:pt idx="111">
                  <c:v>0.0175307411100034</c:v>
                </c:pt>
                <c:pt idx="112">
                  <c:v>0.00775700171470573</c:v>
                </c:pt>
                <c:pt idx="113">
                  <c:v>-0.0183114568141306</c:v>
                </c:pt>
                <c:pt idx="114">
                  <c:v>0.0880653681082868</c:v>
                </c:pt>
                <c:pt idx="115">
                  <c:v>0.029735265114162</c:v>
                </c:pt>
                <c:pt idx="116">
                  <c:v>-0.00589318600368327</c:v>
                </c:pt>
                <c:pt idx="117">
                  <c:v>-0.00414968506854396</c:v>
                </c:pt>
                <c:pt idx="118">
                  <c:v>-0.0872088697075675</c:v>
                </c:pt>
                <c:pt idx="119">
                  <c:v>0.0376620200538029</c:v>
                </c:pt>
                <c:pt idx="120">
                  <c:v>0.00565637520622198</c:v>
                </c:pt>
                <c:pt idx="121">
                  <c:v>-0.0141395203499726</c:v>
                </c:pt>
                <c:pt idx="122">
                  <c:v>-0.0465927099841522</c:v>
                </c:pt>
                <c:pt idx="123">
                  <c:v>-0.000166223404255317</c:v>
                </c:pt>
                <c:pt idx="124">
                  <c:v>-0.057356608478803</c:v>
                </c:pt>
                <c:pt idx="125">
                  <c:v>0.0374779541446209</c:v>
                </c:pt>
                <c:pt idx="126">
                  <c:v>-0.0355291117722057</c:v>
                </c:pt>
                <c:pt idx="127">
                  <c:v>-0.00308451573103019</c:v>
                </c:pt>
                <c:pt idx="128">
                  <c:v>-0.0244872701555871</c:v>
                </c:pt>
                <c:pt idx="129">
                  <c:v>-0.103942002718623</c:v>
                </c:pt>
                <c:pt idx="130">
                  <c:v>0.0862661812297736</c:v>
                </c:pt>
                <c:pt idx="131">
                  <c:v>-0.0955218322316357</c:v>
                </c:pt>
                <c:pt idx="132">
                  <c:v>-0.042717447246526</c:v>
                </c:pt>
                <c:pt idx="133">
                  <c:v>0.153225806451613</c:v>
                </c:pt>
                <c:pt idx="134">
                  <c:v>0.0298368298368299</c:v>
                </c:pt>
                <c:pt idx="135">
                  <c:v>-0.0742417383431417</c:v>
                </c:pt>
                <c:pt idx="136">
                  <c:v>-0.0963325183374083</c:v>
                </c:pt>
                <c:pt idx="137">
                  <c:v>0.0798701298701299</c:v>
                </c:pt>
                <c:pt idx="138">
                  <c:v>-0.0503106835037082</c:v>
                </c:pt>
                <c:pt idx="139">
                  <c:v>0.118509919797383</c:v>
                </c:pt>
                <c:pt idx="140">
                  <c:v>0.0569865081611474</c:v>
                </c:pt>
                <c:pt idx="141">
                  <c:v>0.0167812193162544</c:v>
                </c:pt>
                <c:pt idx="142">
                  <c:v>0.158282854885436</c:v>
                </c:pt>
                <c:pt idx="143">
                  <c:v>0.12566318023344</c:v>
                </c:pt>
                <c:pt idx="144">
                  <c:v>0.116819283598169</c:v>
                </c:pt>
                <c:pt idx="145">
                  <c:v>0.10176644360041</c:v>
                </c:pt>
                <c:pt idx="146">
                  <c:v>-0.0820246238030097</c:v>
                </c:pt>
                <c:pt idx="147">
                  <c:v>0.0175250357653791</c:v>
                </c:pt>
                <c:pt idx="148">
                  <c:v>0.00304628002343299</c:v>
                </c:pt>
                <c:pt idx="149">
                  <c:v>0.0236537787641631</c:v>
                </c:pt>
                <c:pt idx="150">
                  <c:v>0.106749586352485</c:v>
                </c:pt>
                <c:pt idx="151">
                  <c:v>-0.0350551603258067</c:v>
                </c:pt>
                <c:pt idx="152">
                  <c:v>0.0849449727534994</c:v>
                </c:pt>
                <c:pt idx="153">
                  <c:v>-0.0974985227496553</c:v>
                </c:pt>
                <c:pt idx="154">
                  <c:v>0.0413574858140551</c:v>
                </c:pt>
              </c:numCache>
            </c:numRef>
          </c:val>
        </c:ser>
        <c:gapWidth val="150"/>
        <c:overlap val="0"/>
        <c:axId val="31373552"/>
        <c:axId val="38025828"/>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(Calc)'!$AA$3:$AA$157</c:f>
              <c:numCache>
                <c:formatCode>#,##0.00</c:formatCode>
                <c:ptCount val="155"/>
                <c:pt idx="0">
                  <c:v>37.06</c:v>
                </c:pt>
                <c:pt idx="1">
                  <c:v>38.0587012987013</c:v>
                </c:pt>
                <c:pt idx="2">
                  <c:v>39.0574025974026</c:v>
                </c:pt>
                <c:pt idx="3">
                  <c:v>40.0561038961039</c:v>
                </c:pt>
                <c:pt idx="4">
                  <c:v>41.0548051948052</c:v>
                </c:pt>
                <c:pt idx="5">
                  <c:v>42.0535064935065</c:v>
                </c:pt>
                <c:pt idx="6">
                  <c:v>43.0522077922078</c:v>
                </c:pt>
                <c:pt idx="7">
                  <c:v>44.0509090909091</c:v>
                </c:pt>
                <c:pt idx="8">
                  <c:v>45.0496103896104</c:v>
                </c:pt>
                <c:pt idx="9">
                  <c:v>46.0483116883117</c:v>
                </c:pt>
                <c:pt idx="10">
                  <c:v>47.047012987013</c:v>
                </c:pt>
                <c:pt idx="11">
                  <c:v>48.0457142857143</c:v>
                </c:pt>
                <c:pt idx="12">
                  <c:v>49.0444155844156</c:v>
                </c:pt>
                <c:pt idx="13">
                  <c:v>50.0431168831169</c:v>
                </c:pt>
                <c:pt idx="14">
                  <c:v>51.0418181818182</c:v>
                </c:pt>
                <c:pt idx="15">
                  <c:v>52.0405194805195</c:v>
                </c:pt>
                <c:pt idx="16">
                  <c:v>53.0392207792208</c:v>
                </c:pt>
                <c:pt idx="17">
                  <c:v>54.037922077922</c:v>
                </c:pt>
                <c:pt idx="18">
                  <c:v>55.0366233766234</c:v>
                </c:pt>
                <c:pt idx="19">
                  <c:v>56.0353246753246</c:v>
                </c:pt>
                <c:pt idx="20">
                  <c:v>57.034025974026</c:v>
                </c:pt>
                <c:pt idx="21">
                  <c:v>58.0327272727272</c:v>
                </c:pt>
                <c:pt idx="22">
                  <c:v>59.0314285714286</c:v>
                </c:pt>
                <c:pt idx="23">
                  <c:v>60.0301298701298</c:v>
                </c:pt>
                <c:pt idx="24">
                  <c:v>61.0288311688312</c:v>
                </c:pt>
                <c:pt idx="25">
                  <c:v>62.0275324675324</c:v>
                </c:pt>
                <c:pt idx="26">
                  <c:v>63.0262337662338</c:v>
                </c:pt>
                <c:pt idx="27">
                  <c:v>64.024935064935</c:v>
                </c:pt>
                <c:pt idx="28">
                  <c:v>65.0236363636364</c:v>
                </c:pt>
                <c:pt idx="29">
                  <c:v>66.0223376623376</c:v>
                </c:pt>
                <c:pt idx="30">
                  <c:v>67.021038961039</c:v>
                </c:pt>
                <c:pt idx="31">
                  <c:v>68.0197402597402</c:v>
                </c:pt>
                <c:pt idx="32">
                  <c:v>69.0184415584416</c:v>
                </c:pt>
                <c:pt idx="33">
                  <c:v>70.0171428571428</c:v>
                </c:pt>
                <c:pt idx="34">
                  <c:v>71.0158441558442</c:v>
                </c:pt>
                <c:pt idx="35">
                  <c:v>72.0145454545454</c:v>
                </c:pt>
                <c:pt idx="36">
                  <c:v>73.0132467532468</c:v>
                </c:pt>
                <c:pt idx="37">
                  <c:v>74.011948051948</c:v>
                </c:pt>
                <c:pt idx="38">
                  <c:v>75.0106493506494</c:v>
                </c:pt>
                <c:pt idx="39">
                  <c:v>76.0093506493506</c:v>
                </c:pt>
                <c:pt idx="40">
                  <c:v>77.008051948052</c:v>
                </c:pt>
                <c:pt idx="41">
                  <c:v>78.0067532467532</c:v>
                </c:pt>
                <c:pt idx="42">
                  <c:v>79.0054545454546</c:v>
                </c:pt>
                <c:pt idx="43">
                  <c:v>80.0041558441558</c:v>
                </c:pt>
                <c:pt idx="44">
                  <c:v>81.0028571428572</c:v>
                </c:pt>
                <c:pt idx="45">
                  <c:v>82.0015584415584</c:v>
                </c:pt>
                <c:pt idx="46">
                  <c:v>83.0002597402598</c:v>
                </c:pt>
                <c:pt idx="47">
                  <c:v>83.998961038961</c:v>
                </c:pt>
                <c:pt idx="48">
                  <c:v>84.9976623376624</c:v>
                </c:pt>
                <c:pt idx="49">
                  <c:v>85.9963636363636</c:v>
                </c:pt>
                <c:pt idx="50">
                  <c:v>86.995064935065</c:v>
                </c:pt>
                <c:pt idx="51">
                  <c:v>87.9937662337662</c:v>
                </c:pt>
                <c:pt idx="52">
                  <c:v>88.9924675324676</c:v>
                </c:pt>
                <c:pt idx="53">
                  <c:v>89.9911688311688</c:v>
                </c:pt>
                <c:pt idx="54">
                  <c:v>90.9898701298702</c:v>
                </c:pt>
                <c:pt idx="55">
                  <c:v>91.9885714285714</c:v>
                </c:pt>
                <c:pt idx="56">
                  <c:v>92.9872727272728</c:v>
                </c:pt>
                <c:pt idx="57">
                  <c:v>93.985974025974</c:v>
                </c:pt>
                <c:pt idx="58">
                  <c:v>94.9846753246754</c:v>
                </c:pt>
                <c:pt idx="59">
                  <c:v>95.9833766233766</c:v>
                </c:pt>
                <c:pt idx="60">
                  <c:v>96.982077922078</c:v>
                </c:pt>
                <c:pt idx="61">
                  <c:v>97.9807792207792</c:v>
                </c:pt>
                <c:pt idx="62">
                  <c:v>98.9794805194806</c:v>
                </c:pt>
                <c:pt idx="63">
                  <c:v>99.9781818181818</c:v>
                </c:pt>
                <c:pt idx="64">
                  <c:v>100.976883116883</c:v>
                </c:pt>
                <c:pt idx="65">
                  <c:v>101.975584415584</c:v>
                </c:pt>
                <c:pt idx="66">
                  <c:v>102.974285714286</c:v>
                </c:pt>
                <c:pt idx="67">
                  <c:v>103.972987012987</c:v>
                </c:pt>
                <c:pt idx="68">
                  <c:v>104.971688311688</c:v>
                </c:pt>
                <c:pt idx="69">
                  <c:v>105.97038961039</c:v>
                </c:pt>
                <c:pt idx="70">
                  <c:v>106.969090909091</c:v>
                </c:pt>
                <c:pt idx="71">
                  <c:v>107.967792207792</c:v>
                </c:pt>
                <c:pt idx="72">
                  <c:v>108.966493506494</c:v>
                </c:pt>
                <c:pt idx="73">
                  <c:v>109.965194805195</c:v>
                </c:pt>
                <c:pt idx="74">
                  <c:v>110.963896103896</c:v>
                </c:pt>
                <c:pt idx="75">
                  <c:v>111.962597402597</c:v>
                </c:pt>
                <c:pt idx="76">
                  <c:v>112.961298701299</c:v>
                </c:pt>
                <c:pt idx="77">
                  <c:v>113.96</c:v>
                </c:pt>
                <c:pt idx="78">
                  <c:v>114.958701298701</c:v>
                </c:pt>
                <c:pt idx="79">
                  <c:v>115.957402597403</c:v>
                </c:pt>
                <c:pt idx="80">
                  <c:v>116.956103896104</c:v>
                </c:pt>
                <c:pt idx="81">
                  <c:v>117.954805194805</c:v>
                </c:pt>
                <c:pt idx="82">
                  <c:v>118.953506493506</c:v>
                </c:pt>
                <c:pt idx="83">
                  <c:v>119.952207792208</c:v>
                </c:pt>
                <c:pt idx="84">
                  <c:v>120.950909090909</c:v>
                </c:pt>
                <c:pt idx="85">
                  <c:v>121.94961038961</c:v>
                </c:pt>
                <c:pt idx="86">
                  <c:v>122.948311688312</c:v>
                </c:pt>
                <c:pt idx="87">
                  <c:v>123.947012987013</c:v>
                </c:pt>
                <c:pt idx="88">
                  <c:v>124.945714285714</c:v>
                </c:pt>
                <c:pt idx="89">
                  <c:v>125.944415584416</c:v>
                </c:pt>
                <c:pt idx="90">
                  <c:v>126.943116883117</c:v>
                </c:pt>
                <c:pt idx="91">
                  <c:v>127.941818181818</c:v>
                </c:pt>
                <c:pt idx="92">
                  <c:v>128.940519480519</c:v>
                </c:pt>
                <c:pt idx="93">
                  <c:v>129.939220779221</c:v>
                </c:pt>
                <c:pt idx="94">
                  <c:v>130.937922077922</c:v>
                </c:pt>
                <c:pt idx="95">
                  <c:v>131.936623376623</c:v>
                </c:pt>
                <c:pt idx="96">
                  <c:v>132.935324675325</c:v>
                </c:pt>
                <c:pt idx="97">
                  <c:v>133.934025974026</c:v>
                </c:pt>
                <c:pt idx="98">
                  <c:v>134.932727272727</c:v>
                </c:pt>
                <c:pt idx="99">
                  <c:v>135.931428571429</c:v>
                </c:pt>
                <c:pt idx="100">
                  <c:v>136.93012987013</c:v>
                </c:pt>
                <c:pt idx="101">
                  <c:v>137.928831168831</c:v>
                </c:pt>
                <c:pt idx="102">
                  <c:v>138.927532467532</c:v>
                </c:pt>
                <c:pt idx="103">
                  <c:v>139.926233766234</c:v>
                </c:pt>
                <c:pt idx="104">
                  <c:v>140.924935064935</c:v>
                </c:pt>
                <c:pt idx="105">
                  <c:v>141.923636363636</c:v>
                </c:pt>
                <c:pt idx="106">
                  <c:v>142.922337662338</c:v>
                </c:pt>
                <c:pt idx="107">
                  <c:v>143.921038961039</c:v>
                </c:pt>
                <c:pt idx="108">
                  <c:v>144.91974025974</c:v>
                </c:pt>
                <c:pt idx="109">
                  <c:v>145.918441558442</c:v>
                </c:pt>
                <c:pt idx="110">
                  <c:v>146.917142857143</c:v>
                </c:pt>
                <c:pt idx="111">
                  <c:v>147.915844155844</c:v>
                </c:pt>
                <c:pt idx="112">
                  <c:v>148.914545454545</c:v>
                </c:pt>
                <c:pt idx="113">
                  <c:v>149.913246753247</c:v>
                </c:pt>
                <c:pt idx="114">
                  <c:v>150.911948051948</c:v>
                </c:pt>
                <c:pt idx="115">
                  <c:v>151.910649350649</c:v>
                </c:pt>
                <c:pt idx="116">
                  <c:v>152.909350649351</c:v>
                </c:pt>
                <c:pt idx="117">
                  <c:v>153.908051948052</c:v>
                </c:pt>
                <c:pt idx="118">
                  <c:v>154.906753246753</c:v>
                </c:pt>
                <c:pt idx="119">
                  <c:v>155.905454545455</c:v>
                </c:pt>
                <c:pt idx="120">
                  <c:v>156.904155844156</c:v>
                </c:pt>
                <c:pt idx="121">
                  <c:v>157.902857142857</c:v>
                </c:pt>
                <c:pt idx="122">
                  <c:v>158.901558441558</c:v>
                </c:pt>
                <c:pt idx="123">
                  <c:v>159.90025974026</c:v>
                </c:pt>
                <c:pt idx="124">
                  <c:v>160.898961038961</c:v>
                </c:pt>
                <c:pt idx="125">
                  <c:v>161.897662337662</c:v>
                </c:pt>
                <c:pt idx="126">
                  <c:v>162.896363636364</c:v>
                </c:pt>
                <c:pt idx="127">
                  <c:v>163.895064935065</c:v>
                </c:pt>
                <c:pt idx="128">
                  <c:v>164.893766233766</c:v>
                </c:pt>
                <c:pt idx="129">
                  <c:v>165.892467532468</c:v>
                </c:pt>
                <c:pt idx="130">
                  <c:v>166.891168831169</c:v>
                </c:pt>
                <c:pt idx="131">
                  <c:v>167.88987012987</c:v>
                </c:pt>
                <c:pt idx="132">
                  <c:v>168.888571428571</c:v>
                </c:pt>
                <c:pt idx="133">
                  <c:v>169.887272727273</c:v>
                </c:pt>
                <c:pt idx="134">
                  <c:v>170.885974025974</c:v>
                </c:pt>
                <c:pt idx="135">
                  <c:v>171.884675324675</c:v>
                </c:pt>
                <c:pt idx="136">
                  <c:v>172.883376623377</c:v>
                </c:pt>
                <c:pt idx="137">
                  <c:v>173.882077922078</c:v>
                </c:pt>
                <c:pt idx="138">
                  <c:v>174.880779220779</c:v>
                </c:pt>
                <c:pt idx="139">
                  <c:v>175.879480519481</c:v>
                </c:pt>
                <c:pt idx="140">
                  <c:v>176.878181818182</c:v>
                </c:pt>
                <c:pt idx="141">
                  <c:v>177.876883116883</c:v>
                </c:pt>
                <c:pt idx="142">
                  <c:v>178.875584415584</c:v>
                </c:pt>
                <c:pt idx="143">
                  <c:v>179.874285714286</c:v>
                </c:pt>
                <c:pt idx="144">
                  <c:v>180.872987012987</c:v>
                </c:pt>
                <c:pt idx="145">
                  <c:v>181.871688311688</c:v>
                </c:pt>
                <c:pt idx="146">
                  <c:v>182.87038961039</c:v>
                </c:pt>
                <c:pt idx="147">
                  <c:v>183.869090909091</c:v>
                </c:pt>
                <c:pt idx="148">
                  <c:v>184.867792207792</c:v>
                </c:pt>
                <c:pt idx="149">
                  <c:v>185.866493506494</c:v>
                </c:pt>
                <c:pt idx="150">
                  <c:v>186.865194805195</c:v>
                </c:pt>
                <c:pt idx="151">
                  <c:v>187.863896103896</c:v>
                </c:pt>
                <c:pt idx="152">
                  <c:v>188.862597402597</c:v>
                </c:pt>
                <c:pt idx="153">
                  <c:v>189.861298701299</c:v>
                </c:pt>
                <c:pt idx="154">
                  <c:v>190.86</c:v>
                </c:pt>
              </c:numCache>
            </c:numRef>
          </c:val>
          <c:smooth val="0"/>
        </c:ser>
        <c:hiLowLines>
          <c:spPr>
            <a:ln w="0">
              <a:noFill/>
            </a:ln>
          </c:spPr>
        </c:hiLowLines>
        <c:marker val="0"/>
        <c:axId val="56962508"/>
        <c:axId val="7416486"/>
      </c:lineChart>
      <c:dateAx>
        <c:axId val="3137355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8025828"/>
        <c:auto val="1"/>
        <c:lblOffset val="100"/>
        <c:baseTimeUnit val="days"/>
      </c:dateAx>
      <c:valAx>
        <c:axId val="3802582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373552"/>
        <c:crosses val="autoZero"/>
        <c:crossBetween val="between"/>
      </c:valAx>
      <c:dateAx>
        <c:axId val="5696250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16486"/>
        <c:auto val="1"/>
        <c:lblOffset val="100"/>
        <c:baseTimeUnit val="days"/>
      </c:dateAx>
      <c:valAx>
        <c:axId val="7416486"/>
        <c:scaling>
          <c:orientation val="minMax"/>
        </c:scaling>
        <c:delete val="0"/>
        <c:axPos val="r"/>
        <c:title>
          <c:tx>
            <c:rich>
              <a:bodyPr rot="-5400000"/>
              <a:lstStyle/>
              <a:p>
                <a:pPr>
                  <a:defRPr sz="1300" b="0" u="none" strike="noStrike">
                    <a:uFillTx/>
                    <a:latin typeface="Arial"/>
                  </a:defRPr>
                </a:pPr>
                <a:r>
                  <a:rPr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96250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(Calc)'!$G$3:$G$157</c:f>
              <c:numCache>
                <c:formatCode>0.0%</c:formatCode>
                <c:ptCount val="155"/>
                <c:pt idx="0">
                  <c:v>-0.0020876826722338</c:v>
                </c:pt>
                <c:pt idx="1">
                  <c:v>0.00774058577405867</c:v>
                </c:pt>
                <c:pt idx="2">
                  <c:v>0.0525223167946856</c:v>
                </c:pt>
                <c:pt idx="3">
                  <c:v>-0.0183431952662722</c:v>
                </c:pt>
                <c:pt idx="4">
                  <c:v>-0.087402049427366</c:v>
                </c:pt>
                <c:pt idx="5">
                  <c:v>-0.00528401585204763</c:v>
                </c:pt>
                <c:pt idx="6">
                  <c:v>0.0152722443559097</c:v>
                </c:pt>
                <c:pt idx="7">
                  <c:v>0.0204926967516896</c:v>
                </c:pt>
                <c:pt idx="8">
                  <c:v>0.0399487289040803</c:v>
                </c:pt>
                <c:pt idx="9">
                  <c:v>-0.0501232539030402</c:v>
                </c:pt>
                <c:pt idx="10">
                  <c:v>-0.00973183391003463</c:v>
                </c:pt>
                <c:pt idx="11">
                  <c:v>0.0910679187595544</c:v>
                </c:pt>
                <c:pt idx="12">
                  <c:v>0.0694555644515613</c:v>
                </c:pt>
                <c:pt idx="13">
                  <c:v>0.0190903986524424</c:v>
                </c:pt>
                <c:pt idx="14">
                  <c:v>0.0203856749311295</c:v>
                </c:pt>
                <c:pt idx="15">
                  <c:v>-0.0118790496760259</c:v>
                </c:pt>
                <c:pt idx="16">
                  <c:v>-0.0265938069216758</c:v>
                </c:pt>
                <c:pt idx="17">
                  <c:v>0.094872754491018</c:v>
                </c:pt>
                <c:pt idx="18">
                  <c:v>-0.00410186292941372</c:v>
                </c:pt>
                <c:pt idx="19">
                  <c:v>-0.00240260854642183</c:v>
                </c:pt>
                <c:pt idx="20">
                  <c:v>-0.0636504386719422</c:v>
                </c:pt>
                <c:pt idx="21">
                  <c:v>0.0299467205585156</c:v>
                </c:pt>
                <c:pt idx="22">
                  <c:v>0.0934712807706029</c:v>
                </c:pt>
                <c:pt idx="23">
                  <c:v>-0.0221859706362153</c:v>
                </c:pt>
                <c:pt idx="24">
                  <c:v>0.00817484150817482</c:v>
                </c:pt>
                <c:pt idx="25">
                  <c:v>0.0752937282806554</c:v>
                </c:pt>
                <c:pt idx="26">
                  <c:v>0.017851646660511</c:v>
                </c:pt>
                <c:pt idx="27">
                  <c:v>0.0111883882673116</c:v>
                </c:pt>
                <c:pt idx="28">
                  <c:v>0.0729665071770336</c:v>
                </c:pt>
                <c:pt idx="29">
                  <c:v>-0.0256410256410257</c:v>
                </c:pt>
                <c:pt idx="30">
                  <c:v>-0.0218821510297483</c:v>
                </c:pt>
                <c:pt idx="31">
                  <c:v>0.0390407954379295</c:v>
                </c:pt>
                <c:pt idx="32">
                  <c:v>-0.0168871376301717</c:v>
                </c:pt>
                <c:pt idx="33">
                  <c:v>-0.0226166618952189</c:v>
                </c:pt>
                <c:pt idx="34">
                  <c:v>-0.00292911540714713</c:v>
                </c:pt>
                <c:pt idx="35">
                  <c:v>-0.077262044653349</c:v>
                </c:pt>
                <c:pt idx="36">
                  <c:v>0.124323463865011</c:v>
                </c:pt>
                <c:pt idx="37">
                  <c:v>-0.0137335409882486</c:v>
                </c:pt>
                <c:pt idx="38">
                  <c:v>0.0311513063451048</c:v>
                </c:pt>
                <c:pt idx="39">
                  <c:v>0.0409299735486566</c:v>
                </c:pt>
                <c:pt idx="40">
                  <c:v>0.0419954527216799</c:v>
                </c:pt>
                <c:pt idx="41">
                  <c:v>-0.0251572327044024</c:v>
                </c:pt>
                <c:pt idx="42">
                  <c:v>0.0125082290980909</c:v>
                </c:pt>
                <c:pt idx="43">
                  <c:v>0.0725617685305591</c:v>
                </c:pt>
                <c:pt idx="44">
                  <c:v>-0.00994180407371492</c:v>
                </c:pt>
                <c:pt idx="45">
                  <c:v>0.00967425912319375</c:v>
                </c:pt>
                <c:pt idx="46">
                  <c:v>0.0372346876895087</c:v>
                </c:pt>
                <c:pt idx="47">
                  <c:v>0.00292329279700665</c:v>
                </c:pt>
                <c:pt idx="48">
                  <c:v>-0.110877929345925</c:v>
                </c:pt>
                <c:pt idx="49">
                  <c:v>0.032520325203252</c:v>
                </c:pt>
                <c:pt idx="50">
                  <c:v>-0.115824231648463</c:v>
                </c:pt>
                <c:pt idx="51">
                  <c:v>0.0726802642918702</c:v>
                </c:pt>
                <c:pt idx="52">
                  <c:v>0.0974825923942151</c:v>
                </c:pt>
                <c:pt idx="53">
                  <c:v>-0.0021961932650072</c:v>
                </c:pt>
                <c:pt idx="54">
                  <c:v>0.00195646857422349</c:v>
                </c:pt>
                <c:pt idx="55">
                  <c:v>-0.142299243348792</c:v>
                </c:pt>
                <c:pt idx="56">
                  <c:v>0.069294251565168</c:v>
                </c:pt>
                <c:pt idx="57">
                  <c:v>0.00984697272122426</c:v>
                </c:pt>
                <c:pt idx="58">
                  <c:v>0.0309658716563446</c:v>
                </c:pt>
                <c:pt idx="59">
                  <c:v>0.00639059304703471</c:v>
                </c:pt>
                <c:pt idx="60">
                  <c:v>0.020701041402083</c:v>
                </c:pt>
                <c:pt idx="61">
                  <c:v>-0.155779519721289</c:v>
                </c:pt>
                <c:pt idx="62">
                  <c:v>-0.0079587324981576</c:v>
                </c:pt>
                <c:pt idx="63">
                  <c:v>-0.00549695439013531</c:v>
                </c:pt>
                <c:pt idx="64">
                  <c:v>0.0268897520167313</c:v>
                </c:pt>
                <c:pt idx="65">
                  <c:v>-0.106051789351178</c:v>
                </c:pt>
                <c:pt idx="66">
                  <c:v>0.040846216436127</c:v>
                </c:pt>
                <c:pt idx="67">
                  <c:v>0.0115697310819263</c:v>
                </c:pt>
                <c:pt idx="68">
                  <c:v>0.00200927357032454</c:v>
                </c:pt>
                <c:pt idx="69">
                  <c:v>0.00848372666975172</c:v>
                </c:pt>
                <c:pt idx="70">
                  <c:v>-0.0373202814316305</c:v>
                </c:pt>
                <c:pt idx="71">
                  <c:v>0.0244677470606929</c:v>
                </c:pt>
                <c:pt idx="72">
                  <c:v>0.0189205955334988</c:v>
                </c:pt>
                <c:pt idx="73">
                  <c:v>0.0397260273972602</c:v>
                </c:pt>
                <c:pt idx="74">
                  <c:v>0.108915239350022</c:v>
                </c:pt>
                <c:pt idx="75">
                  <c:v>-0.0101650165016501</c:v>
                </c:pt>
                <c:pt idx="76">
                  <c:v>-0.0154707922112565</c:v>
                </c:pt>
                <c:pt idx="77">
                  <c:v>0.0128691411541588</c:v>
                </c:pt>
                <c:pt idx="78">
                  <c:v>0.00401230440016054</c:v>
                </c:pt>
                <c:pt idx="79">
                  <c:v>0.00479552417743467</c:v>
                </c:pt>
                <c:pt idx="80">
                  <c:v>-0.0603208272570597</c:v>
                </c:pt>
                <c:pt idx="81">
                  <c:v>0.00352708803611734</c:v>
                </c:pt>
                <c:pt idx="82">
                  <c:v>0.00238999015886399</c:v>
                </c:pt>
                <c:pt idx="83">
                  <c:v>-0.00911640953716675</c:v>
                </c:pt>
                <c:pt idx="84">
                  <c:v>-0.0465675866949753</c:v>
                </c:pt>
                <c:pt idx="85">
                  <c:v>-0.144150831353919</c:v>
                </c:pt>
                <c:pt idx="86">
                  <c:v>0.162532523850824</c:v>
                </c:pt>
                <c:pt idx="87">
                  <c:v>-0.0534168904804536</c:v>
                </c:pt>
                <c:pt idx="88">
                  <c:v>0.0948928121059267</c:v>
                </c:pt>
                <c:pt idx="89">
                  <c:v>0.00518283904405403</c:v>
                </c:pt>
                <c:pt idx="90">
                  <c:v>0.00429676310512761</c:v>
                </c:pt>
                <c:pt idx="91">
                  <c:v>0.128351397604107</c:v>
                </c:pt>
                <c:pt idx="92">
                  <c:v>-0.0429726996966634</c:v>
                </c:pt>
                <c:pt idx="93">
                  <c:v>-0.00039619651347067</c:v>
                </c:pt>
                <c:pt idx="94">
                  <c:v>0.0675122209010437</c:v>
                </c:pt>
                <c:pt idx="95">
                  <c:v>0.0738861386138614</c:v>
                </c:pt>
                <c:pt idx="96">
                  <c:v>-0.0203987553301832</c:v>
                </c:pt>
                <c:pt idx="97">
                  <c:v>0.0469411764705883</c:v>
                </c:pt>
                <c:pt idx="98">
                  <c:v>0.0389931452972243</c:v>
                </c:pt>
                <c:pt idx="99">
                  <c:v>0</c:v>
                </c:pt>
                <c:pt idx="100">
                  <c:v>0.00703006705602438</c:v>
                </c:pt>
                <c:pt idx="101">
                  <c:v>-0.0311459563956611</c:v>
                </c:pt>
                <c:pt idx="102">
                  <c:v>-0.0171821305841924</c:v>
                </c:pt>
                <c:pt idx="103">
                  <c:v>0.0318069027746448</c:v>
                </c:pt>
                <c:pt idx="104">
                  <c:v>-0.0436160909488413</c:v>
                </c:pt>
                <c:pt idx="105">
                  <c:v>-0.00525774374214194</c:v>
                </c:pt>
                <c:pt idx="106">
                  <c:v>0.00195334941974035</c:v>
                </c:pt>
                <c:pt idx="107">
                  <c:v>0.0379587155963304</c:v>
                </c:pt>
                <c:pt idx="108">
                  <c:v>0.0650756822450558</c:v>
                </c:pt>
                <c:pt idx="109">
                  <c:v>0.083817427385892</c:v>
                </c:pt>
                <c:pt idx="110">
                  <c:v>0.0186638591117918</c:v>
                </c:pt>
                <c:pt idx="111">
                  <c:v>0.0350465094428263</c:v>
                </c:pt>
                <c:pt idx="112">
                  <c:v>-0.107843137254902</c:v>
                </c:pt>
                <c:pt idx="113">
                  <c:v>0.126068376068376</c:v>
                </c:pt>
                <c:pt idx="114">
                  <c:v>0.0687629890665944</c:v>
                </c:pt>
                <c:pt idx="115">
                  <c:v>0.021897193101116</c:v>
                </c:pt>
                <c:pt idx="116">
                  <c:v>-0.0126582278481012</c:v>
                </c:pt>
                <c:pt idx="117">
                  <c:v>-0.0495223730517848</c:v>
                </c:pt>
                <c:pt idx="118">
                  <c:v>-0.0327955567310236</c:v>
                </c:pt>
                <c:pt idx="119">
                  <c:v>0.0714611247835202</c:v>
                </c:pt>
                <c:pt idx="120">
                  <c:v>0.0331773713313484</c:v>
                </c:pt>
                <c:pt idx="121">
                  <c:v>-0.0169617126389461</c:v>
                </c:pt>
                <c:pt idx="122">
                  <c:v>0.0433872183599966</c:v>
                </c:pt>
                <c:pt idx="123">
                  <c:v>0.0272136148350326</c:v>
                </c:pt>
                <c:pt idx="124">
                  <c:v>-0.00398562050640816</c:v>
                </c:pt>
                <c:pt idx="125">
                  <c:v>0.0984699882306788</c:v>
                </c:pt>
                <c:pt idx="126">
                  <c:v>0.119857142857143</c:v>
                </c:pt>
                <c:pt idx="127">
                  <c:v>-0.0350810052302589</c:v>
                </c:pt>
                <c:pt idx="128">
                  <c:v>-0.056121099947118</c:v>
                </c:pt>
                <c:pt idx="129">
                  <c:v>0.0105049373205406</c:v>
                </c:pt>
                <c:pt idx="130">
                  <c:v>0.0146926328920924</c:v>
                </c:pt>
                <c:pt idx="131">
                  <c:v>0.0217881292261457</c:v>
                </c:pt>
                <c:pt idx="132">
                  <c:v>0.0191176470588237</c:v>
                </c:pt>
                <c:pt idx="133">
                  <c:v>-0.118063754427391</c:v>
                </c:pt>
                <c:pt idx="134">
                  <c:v>0.0550349546333482</c:v>
                </c:pt>
                <c:pt idx="135">
                  <c:v>0.0564641195544904</c:v>
                </c:pt>
                <c:pt idx="136">
                  <c:v>-0.0370320944818844</c:v>
                </c:pt>
                <c:pt idx="137">
                  <c:v>0.0509977827050998</c:v>
                </c:pt>
                <c:pt idx="138">
                  <c:v>0.145371835443038</c:v>
                </c:pt>
                <c:pt idx="139">
                  <c:v>0.0311402751395844</c:v>
                </c:pt>
                <c:pt idx="140">
                  <c:v>0.0801607681143242</c:v>
                </c:pt>
                <c:pt idx="141">
                  <c:v>-0.107855297157623</c:v>
                </c:pt>
                <c:pt idx="142">
                  <c:v>0.0827781961420377</c:v>
                </c:pt>
                <c:pt idx="143">
                  <c:v>-0.0347207361438048</c:v>
                </c:pt>
                <c:pt idx="144">
                  <c:v>0.0466108740231668</c:v>
                </c:pt>
                <c:pt idx="145">
                  <c:v>0.0176339758525734</c:v>
                </c:pt>
                <c:pt idx="146">
                  <c:v>0.003902794400791</c:v>
                </c:pt>
                <c:pt idx="147">
                  <c:v>0.319407008086253</c:v>
                </c:pt>
                <c:pt idx="148">
                  <c:v>0.0197218511825255</c:v>
                </c:pt>
                <c:pt idx="149">
                  <c:v>-0.0420711974110033</c:v>
                </c:pt>
                <c:pt idx="150">
                  <c:v>-0.0526463963963963</c:v>
                </c:pt>
                <c:pt idx="151">
                  <c:v>-0.0171088940776906</c:v>
                </c:pt>
                <c:pt idx="152">
                  <c:v>-0.0810729094678646</c:v>
                </c:pt>
                <c:pt idx="153">
                  <c:v>-0.01048178613396</c:v>
                </c:pt>
                <c:pt idx="154">
                  <c:v>-0.131578947368421</c:v>
                </c:pt>
              </c:numCache>
            </c:numRef>
          </c:val>
        </c:ser>
        <c:gapWidth val="150"/>
        <c:overlap val="0"/>
        <c:axId val="42936914"/>
        <c:axId val="65889138"/>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(Calc)'!$AB$3:$AB$157</c:f>
              <c:numCache>
                <c:formatCode>#,##0.00</c:formatCode>
                <c:ptCount val="155"/>
                <c:pt idx="0">
                  <c:v>47.9</c:v>
                </c:pt>
                <c:pt idx="1">
                  <c:v>48.7761038961039</c:v>
                </c:pt>
                <c:pt idx="2">
                  <c:v>49.6522077922078</c:v>
                </c:pt>
                <c:pt idx="3">
                  <c:v>50.5283116883117</c:v>
                </c:pt>
                <c:pt idx="4">
                  <c:v>51.4044155844156</c:v>
                </c:pt>
                <c:pt idx="5">
                  <c:v>52.2805194805195</c:v>
                </c:pt>
                <c:pt idx="6">
                  <c:v>53.1566233766234</c:v>
                </c:pt>
                <c:pt idx="7">
                  <c:v>54.0327272727273</c:v>
                </c:pt>
                <c:pt idx="8">
                  <c:v>54.9088311688312</c:v>
                </c:pt>
                <c:pt idx="9">
                  <c:v>55.7849350649351</c:v>
                </c:pt>
                <c:pt idx="10">
                  <c:v>56.661038961039</c:v>
                </c:pt>
                <c:pt idx="11">
                  <c:v>57.5371428571429</c:v>
                </c:pt>
                <c:pt idx="12">
                  <c:v>58.4132467532468</c:v>
                </c:pt>
                <c:pt idx="13">
                  <c:v>59.2893506493506</c:v>
                </c:pt>
                <c:pt idx="14">
                  <c:v>60.1654545454545</c:v>
                </c:pt>
                <c:pt idx="15">
                  <c:v>61.0415584415584</c:v>
                </c:pt>
                <c:pt idx="16">
                  <c:v>61.9176623376624</c:v>
                </c:pt>
                <c:pt idx="17">
                  <c:v>62.7937662337662</c:v>
                </c:pt>
                <c:pt idx="18">
                  <c:v>63.6698701298701</c:v>
                </c:pt>
                <c:pt idx="19">
                  <c:v>64.545974025974</c:v>
                </c:pt>
                <c:pt idx="20">
                  <c:v>65.4220779220779</c:v>
                </c:pt>
                <c:pt idx="21">
                  <c:v>66.2981818181818</c:v>
                </c:pt>
                <c:pt idx="22">
                  <c:v>67.1742857142857</c:v>
                </c:pt>
                <c:pt idx="23">
                  <c:v>68.0503896103896</c:v>
                </c:pt>
                <c:pt idx="24">
                  <c:v>68.9264935064935</c:v>
                </c:pt>
                <c:pt idx="25">
                  <c:v>69.8025974025974</c:v>
                </c:pt>
                <c:pt idx="26">
                  <c:v>70.6787012987013</c:v>
                </c:pt>
                <c:pt idx="27">
                  <c:v>71.5548051948051</c:v>
                </c:pt>
                <c:pt idx="28">
                  <c:v>72.4309090909091</c:v>
                </c:pt>
                <c:pt idx="29">
                  <c:v>73.3070129870129</c:v>
                </c:pt>
                <c:pt idx="30">
                  <c:v>74.1831168831169</c:v>
                </c:pt>
                <c:pt idx="31">
                  <c:v>75.0592207792207</c:v>
                </c:pt>
                <c:pt idx="32">
                  <c:v>75.9353246753247</c:v>
                </c:pt>
                <c:pt idx="33">
                  <c:v>76.8114285714285</c:v>
                </c:pt>
                <c:pt idx="34">
                  <c:v>77.6875324675325</c:v>
                </c:pt>
                <c:pt idx="35">
                  <c:v>78.5636363636363</c:v>
                </c:pt>
                <c:pt idx="36">
                  <c:v>79.4397402597403</c:v>
                </c:pt>
                <c:pt idx="37">
                  <c:v>80.3158441558441</c:v>
                </c:pt>
                <c:pt idx="38">
                  <c:v>81.1919480519481</c:v>
                </c:pt>
                <c:pt idx="39">
                  <c:v>82.0680519480519</c:v>
                </c:pt>
                <c:pt idx="40">
                  <c:v>82.9441558441559</c:v>
                </c:pt>
                <c:pt idx="41">
                  <c:v>83.8202597402597</c:v>
                </c:pt>
                <c:pt idx="42">
                  <c:v>84.6963636363637</c:v>
                </c:pt>
                <c:pt idx="43">
                  <c:v>85.5724675324675</c:v>
                </c:pt>
                <c:pt idx="44">
                  <c:v>86.4485714285715</c:v>
                </c:pt>
                <c:pt idx="45">
                  <c:v>87.3246753246753</c:v>
                </c:pt>
                <c:pt idx="46">
                  <c:v>88.2007792207793</c:v>
                </c:pt>
                <c:pt idx="47">
                  <c:v>89.0768831168831</c:v>
                </c:pt>
                <c:pt idx="48">
                  <c:v>89.9529870129871</c:v>
                </c:pt>
                <c:pt idx="49">
                  <c:v>90.8290909090909</c:v>
                </c:pt>
                <c:pt idx="50">
                  <c:v>91.7051948051949</c:v>
                </c:pt>
                <c:pt idx="51">
                  <c:v>92.5812987012987</c:v>
                </c:pt>
                <c:pt idx="52">
                  <c:v>93.4574025974026</c:v>
                </c:pt>
                <c:pt idx="53">
                  <c:v>94.3335064935065</c:v>
                </c:pt>
                <c:pt idx="54">
                  <c:v>95.2096103896104</c:v>
                </c:pt>
                <c:pt idx="55">
                  <c:v>96.0857142857143</c:v>
                </c:pt>
                <c:pt idx="56">
                  <c:v>96.9618181818182</c:v>
                </c:pt>
                <c:pt idx="57">
                  <c:v>97.8379220779221</c:v>
                </c:pt>
                <c:pt idx="58">
                  <c:v>98.714025974026</c:v>
                </c:pt>
                <c:pt idx="59">
                  <c:v>99.5901298701299</c:v>
                </c:pt>
                <c:pt idx="60">
                  <c:v>100.466233766234</c:v>
                </c:pt>
                <c:pt idx="61">
                  <c:v>101.342337662338</c:v>
                </c:pt>
                <c:pt idx="62">
                  <c:v>102.218441558442</c:v>
                </c:pt>
                <c:pt idx="63">
                  <c:v>103.094545454545</c:v>
                </c:pt>
                <c:pt idx="64">
                  <c:v>103.970649350649</c:v>
                </c:pt>
                <c:pt idx="65">
                  <c:v>104.846753246753</c:v>
                </c:pt>
                <c:pt idx="66">
                  <c:v>105.722857142857</c:v>
                </c:pt>
                <c:pt idx="67">
                  <c:v>106.598961038961</c:v>
                </c:pt>
                <c:pt idx="68">
                  <c:v>107.475064935065</c:v>
                </c:pt>
                <c:pt idx="69">
                  <c:v>108.351168831169</c:v>
                </c:pt>
                <c:pt idx="70">
                  <c:v>109.227272727273</c:v>
                </c:pt>
                <c:pt idx="71">
                  <c:v>110.103376623377</c:v>
                </c:pt>
                <c:pt idx="72">
                  <c:v>110.979480519481</c:v>
                </c:pt>
                <c:pt idx="73">
                  <c:v>111.855584415584</c:v>
                </c:pt>
                <c:pt idx="74">
                  <c:v>112.731688311688</c:v>
                </c:pt>
                <c:pt idx="75">
                  <c:v>113.607792207792</c:v>
                </c:pt>
                <c:pt idx="76">
                  <c:v>114.483896103896</c:v>
                </c:pt>
                <c:pt idx="77">
                  <c:v>115.36</c:v>
                </c:pt>
                <c:pt idx="78">
                  <c:v>116.236103896104</c:v>
                </c:pt>
                <c:pt idx="79">
                  <c:v>117.112207792208</c:v>
                </c:pt>
                <c:pt idx="80">
                  <c:v>117.988311688312</c:v>
                </c:pt>
                <c:pt idx="81">
                  <c:v>118.864415584416</c:v>
                </c:pt>
                <c:pt idx="82">
                  <c:v>119.740519480519</c:v>
                </c:pt>
                <c:pt idx="83">
                  <c:v>120.616623376623</c:v>
                </c:pt>
                <c:pt idx="84">
                  <c:v>121.492727272727</c:v>
                </c:pt>
                <c:pt idx="85">
                  <c:v>122.368831168831</c:v>
                </c:pt>
                <c:pt idx="86">
                  <c:v>123.244935064935</c:v>
                </c:pt>
                <c:pt idx="87">
                  <c:v>124.121038961039</c:v>
                </c:pt>
                <c:pt idx="88">
                  <c:v>124.997142857143</c:v>
                </c:pt>
                <c:pt idx="89">
                  <c:v>125.873246753247</c:v>
                </c:pt>
                <c:pt idx="90">
                  <c:v>126.749350649351</c:v>
                </c:pt>
                <c:pt idx="91">
                  <c:v>127.625454545455</c:v>
                </c:pt>
                <c:pt idx="92">
                  <c:v>128.501558441558</c:v>
                </c:pt>
                <c:pt idx="93">
                  <c:v>129.377662337662</c:v>
                </c:pt>
                <c:pt idx="94">
                  <c:v>130.253766233766</c:v>
                </c:pt>
                <c:pt idx="95">
                  <c:v>131.12987012987</c:v>
                </c:pt>
                <c:pt idx="96">
                  <c:v>132.005974025974</c:v>
                </c:pt>
                <c:pt idx="97">
                  <c:v>132.882077922078</c:v>
                </c:pt>
                <c:pt idx="98">
                  <c:v>133.758181818182</c:v>
                </c:pt>
                <c:pt idx="99">
                  <c:v>134.634285714286</c:v>
                </c:pt>
                <c:pt idx="100">
                  <c:v>135.51038961039</c:v>
                </c:pt>
                <c:pt idx="101">
                  <c:v>136.386493506494</c:v>
                </c:pt>
                <c:pt idx="102">
                  <c:v>137.262597402597</c:v>
                </c:pt>
                <c:pt idx="103">
                  <c:v>138.138701298701</c:v>
                </c:pt>
                <c:pt idx="104">
                  <c:v>139.014805194805</c:v>
                </c:pt>
                <c:pt idx="105">
                  <c:v>139.890909090909</c:v>
                </c:pt>
                <c:pt idx="106">
                  <c:v>140.767012987013</c:v>
                </c:pt>
                <c:pt idx="107">
                  <c:v>141.643116883117</c:v>
                </c:pt>
                <c:pt idx="108">
                  <c:v>142.519220779221</c:v>
                </c:pt>
                <c:pt idx="109">
                  <c:v>143.395324675325</c:v>
                </c:pt>
                <c:pt idx="110">
                  <c:v>144.271428571429</c:v>
                </c:pt>
                <c:pt idx="111">
                  <c:v>145.147532467532</c:v>
                </c:pt>
                <c:pt idx="112">
                  <c:v>146.023636363636</c:v>
                </c:pt>
                <c:pt idx="113">
                  <c:v>146.89974025974</c:v>
                </c:pt>
                <c:pt idx="114">
                  <c:v>147.775844155844</c:v>
                </c:pt>
                <c:pt idx="115">
                  <c:v>148.651948051948</c:v>
                </c:pt>
                <c:pt idx="116">
                  <c:v>149.528051948052</c:v>
                </c:pt>
                <c:pt idx="117">
                  <c:v>150.404155844156</c:v>
                </c:pt>
                <c:pt idx="118">
                  <c:v>151.28025974026</c:v>
                </c:pt>
                <c:pt idx="119">
                  <c:v>152.156363636364</c:v>
                </c:pt>
                <c:pt idx="120">
                  <c:v>153.032467532468</c:v>
                </c:pt>
                <c:pt idx="121">
                  <c:v>153.908571428571</c:v>
                </c:pt>
                <c:pt idx="122">
                  <c:v>154.784675324675</c:v>
                </c:pt>
                <c:pt idx="123">
                  <c:v>155.660779220779</c:v>
                </c:pt>
                <c:pt idx="124">
                  <c:v>156.536883116883</c:v>
                </c:pt>
                <c:pt idx="125">
                  <c:v>157.412987012987</c:v>
                </c:pt>
                <c:pt idx="126">
                  <c:v>158.289090909091</c:v>
                </c:pt>
                <c:pt idx="127">
                  <c:v>159.165194805195</c:v>
                </c:pt>
                <c:pt idx="128">
                  <c:v>160.041298701299</c:v>
                </c:pt>
                <c:pt idx="129">
                  <c:v>160.917402597403</c:v>
                </c:pt>
                <c:pt idx="130">
                  <c:v>161.793506493506</c:v>
                </c:pt>
                <c:pt idx="131">
                  <c:v>162.66961038961</c:v>
                </c:pt>
                <c:pt idx="132">
                  <c:v>163.545714285714</c:v>
                </c:pt>
                <c:pt idx="133">
                  <c:v>164.421818181818</c:v>
                </c:pt>
                <c:pt idx="134">
                  <c:v>165.297922077922</c:v>
                </c:pt>
                <c:pt idx="135">
                  <c:v>166.174025974026</c:v>
                </c:pt>
                <c:pt idx="136">
                  <c:v>167.05012987013</c:v>
                </c:pt>
                <c:pt idx="137">
                  <c:v>167.926233766234</c:v>
                </c:pt>
                <c:pt idx="138">
                  <c:v>168.802337662338</c:v>
                </c:pt>
                <c:pt idx="139">
                  <c:v>169.678441558442</c:v>
                </c:pt>
                <c:pt idx="140">
                  <c:v>170.554545454545</c:v>
                </c:pt>
                <c:pt idx="141">
                  <c:v>171.430649350649</c:v>
                </c:pt>
                <c:pt idx="142">
                  <c:v>172.306753246753</c:v>
                </c:pt>
                <c:pt idx="143">
                  <c:v>173.182857142857</c:v>
                </c:pt>
                <c:pt idx="144">
                  <c:v>174.058961038961</c:v>
                </c:pt>
                <c:pt idx="145">
                  <c:v>174.935064935065</c:v>
                </c:pt>
                <c:pt idx="146">
                  <c:v>175.811168831169</c:v>
                </c:pt>
                <c:pt idx="147">
                  <c:v>176.687272727273</c:v>
                </c:pt>
                <c:pt idx="148">
                  <c:v>177.563376623377</c:v>
                </c:pt>
                <c:pt idx="149">
                  <c:v>178.439480519481</c:v>
                </c:pt>
                <c:pt idx="150">
                  <c:v>179.315584415584</c:v>
                </c:pt>
                <c:pt idx="151">
                  <c:v>180.191688311688</c:v>
                </c:pt>
                <c:pt idx="152">
                  <c:v>181.067792207792</c:v>
                </c:pt>
                <c:pt idx="153">
                  <c:v>181.943896103896</c:v>
                </c:pt>
                <c:pt idx="154">
                  <c:v>182.82</c:v>
                </c:pt>
              </c:numCache>
            </c:numRef>
          </c:val>
          <c:smooth val="0"/>
        </c:ser>
        <c:hiLowLines>
          <c:spPr>
            <a:ln w="0">
              <a:noFill/>
            </a:ln>
          </c:spPr>
        </c:hiLowLines>
        <c:marker val="0"/>
        <c:axId val="11938095"/>
        <c:axId val="87270964"/>
      </c:lineChart>
      <c:dateAx>
        <c:axId val="4293691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5889138"/>
        <c:auto val="1"/>
        <c:lblOffset val="100"/>
        <c:baseTimeUnit val="days"/>
      </c:dateAx>
      <c:valAx>
        <c:axId val="6588913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936914"/>
        <c:crosses val="autoZero"/>
        <c:crossBetween val="between"/>
      </c:valAx>
      <c:dateAx>
        <c:axId val="1193809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270964"/>
        <c:auto val="1"/>
        <c:lblOffset val="100"/>
        <c:baseTimeUnit val="days"/>
      </c:dateAx>
      <c:valAx>
        <c:axId val="87270964"/>
        <c:scaling>
          <c:orientation val="minMax"/>
        </c:scaling>
        <c:delete val="0"/>
        <c:axPos val="r"/>
        <c:title>
          <c:tx>
            <c:rich>
              <a:bodyPr rot="-5400000"/>
              <a:lstStyle/>
              <a:p>
                <a:pPr>
                  <a:defRPr sz="1300" b="0" u="none" strike="noStrike">
                    <a:uFillTx/>
                    <a:latin typeface="Arial"/>
                  </a:defRPr>
                </a:pPr>
                <a:r>
                  <a:rPr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93809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(Calc)'!$H$3:$H$157</c:f>
              <c:numCache>
                <c:formatCode>0.0%</c:formatCode>
                <c:ptCount val="155"/>
                <c:pt idx="0">
                  <c:v>-0.0121174460152245</c:v>
                </c:pt>
                <c:pt idx="1">
                  <c:v>0.00204434659537656</c:v>
                </c:pt>
                <c:pt idx="2">
                  <c:v>0.104676710608914</c:v>
                </c:pt>
                <c:pt idx="3">
                  <c:v>-0.0029833783207841</c:v>
                </c:pt>
                <c:pt idx="4">
                  <c:v>-0.00427472214306091</c:v>
                </c:pt>
                <c:pt idx="5">
                  <c:v>-0.0143102461362336</c:v>
                </c:pt>
                <c:pt idx="6">
                  <c:v>-0.0123403019744482</c:v>
                </c:pt>
                <c:pt idx="7">
                  <c:v>0.0283698368366896</c:v>
                </c:pt>
                <c:pt idx="8">
                  <c:v>-0.0107204116638079</c:v>
                </c:pt>
                <c:pt idx="9">
                  <c:v>-0.0287530703655541</c:v>
                </c:pt>
                <c:pt idx="10">
                  <c:v>-0.0233561440047604</c:v>
                </c:pt>
                <c:pt idx="11">
                  <c:v>0.105559786747905</c:v>
                </c:pt>
                <c:pt idx="12">
                  <c:v>0.0383025626894462</c:v>
                </c:pt>
                <c:pt idx="13">
                  <c:v>0.0291932059447984</c:v>
                </c:pt>
                <c:pt idx="14">
                  <c:v>-0.00889633831872094</c:v>
                </c:pt>
                <c:pt idx="15">
                  <c:v>-0.0122284376219591</c:v>
                </c:pt>
                <c:pt idx="16">
                  <c:v>-0.0127749242723563</c:v>
                </c:pt>
                <c:pt idx="17">
                  <c:v>0.0860458911419424</c:v>
                </c:pt>
                <c:pt idx="18">
                  <c:v>0.0624001965360521</c:v>
                </c:pt>
                <c:pt idx="19">
                  <c:v>-0.0132963348363971</c:v>
                </c:pt>
                <c:pt idx="20">
                  <c:v>-0.0221467072884931</c:v>
                </c:pt>
                <c:pt idx="21">
                  <c:v>-0.0127022168963451</c:v>
                </c:pt>
                <c:pt idx="22">
                  <c:v>0.0621434640126231</c:v>
                </c:pt>
                <c:pt idx="23">
                  <c:v>0.00617072334590318</c:v>
                </c:pt>
                <c:pt idx="24">
                  <c:v>-0.0178307779670641</c:v>
                </c:pt>
                <c:pt idx="25">
                  <c:v>-0.0106382978723405</c:v>
                </c:pt>
                <c:pt idx="26">
                  <c:v>-0.070827489481066</c:v>
                </c:pt>
                <c:pt idx="27">
                  <c:v>0.0817610062893082</c:v>
                </c:pt>
                <c:pt idx="28">
                  <c:v>0.106395348837209</c:v>
                </c:pt>
                <c:pt idx="29">
                  <c:v>0.0259590120861797</c:v>
                </c:pt>
                <c:pt idx="30">
                  <c:v>-0.0447654169227618</c:v>
                </c:pt>
                <c:pt idx="31">
                  <c:v>0.181876675603217</c:v>
                </c:pt>
                <c:pt idx="32">
                  <c:v>0.0696851465384267</c:v>
                </c:pt>
                <c:pt idx="33">
                  <c:v>0.0482653320892357</c:v>
                </c:pt>
                <c:pt idx="34">
                  <c:v>-0.00857743971516434</c:v>
                </c:pt>
                <c:pt idx="35">
                  <c:v>-0.128550440744368</c:v>
                </c:pt>
                <c:pt idx="36">
                  <c:v>0.0755830289407138</c:v>
                </c:pt>
                <c:pt idx="37">
                  <c:v>-0.00121908742598398</c:v>
                </c:pt>
                <c:pt idx="38">
                  <c:v>0.0570183086312117</c:v>
                </c:pt>
                <c:pt idx="39">
                  <c:v>0.0334048168921148</c:v>
                </c:pt>
                <c:pt idx="40">
                  <c:v>0.0335222284300423</c:v>
                </c:pt>
                <c:pt idx="41">
                  <c:v>-0.0346744922387829</c:v>
                </c:pt>
                <c:pt idx="42">
                  <c:v>0.04752</c:v>
                </c:pt>
                <c:pt idx="43">
                  <c:v>0.0795784328700169</c:v>
                </c:pt>
                <c:pt idx="44">
                  <c:v>-0.0128749292586307</c:v>
                </c:pt>
                <c:pt idx="45">
                  <c:v>-0.0574028952271749</c:v>
                </c:pt>
                <c:pt idx="46">
                  <c:v>0.000532197977647586</c:v>
                </c:pt>
                <c:pt idx="47">
                  <c:v>0.0148176291793314</c:v>
                </c:pt>
                <c:pt idx="48">
                  <c:v>-0.144440284537626</c:v>
                </c:pt>
                <c:pt idx="49">
                  <c:v>-0.042447050586382</c:v>
                </c:pt>
                <c:pt idx="50">
                  <c:v>-0.152728269810803</c:v>
                </c:pt>
                <c:pt idx="51">
                  <c:v>0.00409924487594382</c:v>
                </c:pt>
                <c:pt idx="52">
                  <c:v>0.160184787279759</c:v>
                </c:pt>
                <c:pt idx="53">
                  <c:v>-0.0475969997221966</c:v>
                </c:pt>
                <c:pt idx="54">
                  <c:v>-0.0642683519688867</c:v>
                </c:pt>
                <c:pt idx="55">
                  <c:v>-0.102452202826268</c:v>
                </c:pt>
                <c:pt idx="56">
                  <c:v>0.0560314887705489</c:v>
                </c:pt>
                <c:pt idx="57">
                  <c:v>-0.00350800263100193</c:v>
                </c:pt>
                <c:pt idx="58">
                  <c:v>0.182618261826182</c:v>
                </c:pt>
                <c:pt idx="59">
                  <c:v>-0.0488372093023256</c:v>
                </c:pt>
                <c:pt idx="60">
                  <c:v>0.0456723716381418</c:v>
                </c:pt>
                <c:pt idx="61">
                  <c:v>0.0395622895622896</c:v>
                </c:pt>
                <c:pt idx="62">
                  <c:v>-0.0291497975708502</c:v>
                </c:pt>
                <c:pt idx="63">
                  <c:v>-0.0758039106662959</c:v>
                </c:pt>
                <c:pt idx="64">
                  <c:v>0.122029479594906</c:v>
                </c:pt>
                <c:pt idx="65">
                  <c:v>-0.1390527256479</c:v>
                </c:pt>
                <c:pt idx="66">
                  <c:v>0.0653933983807349</c:v>
                </c:pt>
                <c:pt idx="67">
                  <c:v>-0.0456936866718628</c:v>
                </c:pt>
                <c:pt idx="68">
                  <c:v>0.0328739152628892</c:v>
                </c:pt>
                <c:pt idx="69">
                  <c:v>0.0131461895818918</c:v>
                </c:pt>
                <c:pt idx="70">
                  <c:v>-0.120780487804878</c:v>
                </c:pt>
                <c:pt idx="71">
                  <c:v>-0.0165335108743898</c:v>
                </c:pt>
                <c:pt idx="72">
                  <c:v>0.0139907480537065</c:v>
                </c:pt>
                <c:pt idx="73">
                  <c:v>0.105374429731835</c:v>
                </c:pt>
                <c:pt idx="74">
                  <c:v>0.0645258707469296</c:v>
                </c:pt>
                <c:pt idx="75">
                  <c:v>-0.0242080378250591</c:v>
                </c:pt>
                <c:pt idx="76">
                  <c:v>-0.115805795135188</c:v>
                </c:pt>
                <c:pt idx="77">
                  <c:v>0.0116177115300307</c:v>
                </c:pt>
                <c:pt idx="78">
                  <c:v>0.0782231852654387</c:v>
                </c:pt>
                <c:pt idx="79">
                  <c:v>-0.00683279742765264</c:v>
                </c:pt>
                <c:pt idx="80">
                  <c:v>-0.052711452853096</c:v>
                </c:pt>
                <c:pt idx="81">
                  <c:v>-0.00715582612410559</c:v>
                </c:pt>
                <c:pt idx="82">
                  <c:v>0.0842297762478488</c:v>
                </c:pt>
                <c:pt idx="83">
                  <c:v>-0.0602242285941066</c:v>
                </c:pt>
                <c:pt idx="84">
                  <c:v>-0.0663006756756757</c:v>
                </c:pt>
                <c:pt idx="85">
                  <c:v>-0.268204432383537</c:v>
                </c:pt>
                <c:pt idx="86">
                  <c:v>0.074629171817058</c:v>
                </c:pt>
                <c:pt idx="87">
                  <c:v>-0.0107836089144501</c:v>
                </c:pt>
                <c:pt idx="88">
                  <c:v>0.159593023255814</c:v>
                </c:pt>
                <c:pt idx="89">
                  <c:v>0.0117824016044121</c:v>
                </c:pt>
                <c:pt idx="90">
                  <c:v>0.0636769078295343</c:v>
                </c:pt>
                <c:pt idx="91">
                  <c:v>0.141392965292336</c:v>
                </c:pt>
                <c:pt idx="92">
                  <c:v>-0.0472448979591836</c:v>
                </c:pt>
                <c:pt idx="93">
                  <c:v>0.011673985220092</c:v>
                </c:pt>
                <c:pt idx="94">
                  <c:v>0.14926953207707</c:v>
                </c:pt>
                <c:pt idx="95">
                  <c:v>0.06484893146647</c:v>
                </c:pt>
                <c:pt idx="96">
                  <c:v>0.0692041522491349</c:v>
                </c:pt>
                <c:pt idx="97">
                  <c:v>0.00938511326860847</c:v>
                </c:pt>
                <c:pt idx="98">
                  <c:v>-0.0197980121833921</c:v>
                </c:pt>
                <c:pt idx="99">
                  <c:v>0.0183171150543788</c:v>
                </c:pt>
                <c:pt idx="100">
                  <c:v>-0.0814261623705131</c:v>
                </c:pt>
                <c:pt idx="101">
                  <c:v>-0.0273625316898329</c:v>
                </c:pt>
                <c:pt idx="102">
                  <c:v>-0.0573431601653784</c:v>
                </c:pt>
                <c:pt idx="103">
                  <c:v>0.13358123569794</c:v>
                </c:pt>
                <c:pt idx="104">
                  <c:v>0.0166540499621499</c:v>
                </c:pt>
                <c:pt idx="105">
                  <c:v>-0.0263919913957144</c:v>
                </c:pt>
                <c:pt idx="106">
                  <c:v>0.0113018354860639</c:v>
                </c:pt>
                <c:pt idx="107">
                  <c:v>0.103856818754726</c:v>
                </c:pt>
                <c:pt idx="108">
                  <c:v>0.196848595569765</c:v>
                </c:pt>
                <c:pt idx="109">
                  <c:v>0.0349806016663488</c:v>
                </c:pt>
                <c:pt idx="110">
                  <c:v>-0.0335525102931235</c:v>
                </c:pt>
                <c:pt idx="111">
                  <c:v>0.194315508361417</c:v>
                </c:pt>
                <c:pt idx="112">
                  <c:v>-0.03316829047543</c:v>
                </c:pt>
                <c:pt idx="113">
                  <c:v>0.11442731277533</c:v>
                </c:pt>
                <c:pt idx="114">
                  <c:v>0.0822215633955925</c:v>
                </c:pt>
                <c:pt idx="115">
                  <c:v>0.0216875171217241</c:v>
                </c:pt>
                <c:pt idx="116">
                  <c:v>0.0632345712115117</c:v>
                </c:pt>
                <c:pt idx="117">
                  <c:v>0.0374495628782785</c:v>
                </c:pt>
                <c:pt idx="118">
                  <c:v>-0.159867115018434</c:v>
                </c:pt>
                <c:pt idx="119">
                  <c:v>0.140377103727636</c:v>
                </c:pt>
                <c:pt idx="120">
                  <c:v>0.00312922868741539</c:v>
                </c:pt>
                <c:pt idx="121">
                  <c:v>0.0165247449624821</c:v>
                </c:pt>
                <c:pt idx="122">
                  <c:v>0.102761881064942</c:v>
                </c:pt>
                <c:pt idx="123">
                  <c:v>0.0709611913357402</c:v>
                </c:pt>
                <c:pt idx="124">
                  <c:v>0.107552933740651</c:v>
                </c:pt>
                <c:pt idx="125">
                  <c:v>0.0940650561156551</c:v>
                </c:pt>
                <c:pt idx="126">
                  <c:v>0.0511750557825497</c:v>
                </c:pt>
                <c:pt idx="127">
                  <c:v>0.101722949689869</c:v>
                </c:pt>
                <c:pt idx="128">
                  <c:v>0.0381083448017014</c:v>
                </c:pt>
                <c:pt idx="129">
                  <c:v>-0.0486646741226379</c:v>
                </c:pt>
                <c:pt idx="130">
                  <c:v>0.0429957688312348</c:v>
                </c:pt>
                <c:pt idx="131">
                  <c:v>0.0401059126463585</c:v>
                </c:pt>
                <c:pt idx="132">
                  <c:v>-0.0369012308195343</c:v>
                </c:pt>
                <c:pt idx="133">
                  <c:v>-0.102020030555084</c:v>
                </c:pt>
                <c:pt idx="134">
                  <c:v>0.150769646232784</c:v>
                </c:pt>
                <c:pt idx="135">
                  <c:v>-0.0075798465257082</c:v>
                </c:pt>
                <c:pt idx="136">
                  <c:v>-0.155308583589501</c:v>
                </c:pt>
                <c:pt idx="137">
                  <c:v>0.0252505458820895</c:v>
                </c:pt>
                <c:pt idx="138">
                  <c:v>0.1483999563128</c:v>
                </c:pt>
                <c:pt idx="139">
                  <c:v>0.0819800756080744</c:v>
                </c:pt>
                <c:pt idx="140">
                  <c:v>0.0915243808644826</c:v>
                </c:pt>
                <c:pt idx="141">
                  <c:v>0.0915807698502174</c:v>
                </c:pt>
                <c:pt idx="142">
                  <c:v>0.377344571291566</c:v>
                </c:pt>
                <c:pt idx="143">
                  <c:v>-0.0296594850095741</c:v>
                </c:pt>
                <c:pt idx="144">
                  <c:v>0.0363480804791212</c:v>
                </c:pt>
                <c:pt idx="145">
                  <c:v>0.292942743009321</c:v>
                </c:pt>
                <c:pt idx="146">
                  <c:v>-0.110185375901133</c:v>
                </c:pt>
                <c:pt idx="147">
                  <c:v>0.136109535769262</c:v>
                </c:pt>
                <c:pt idx="148">
                  <c:v>0.155234767371971</c:v>
                </c:pt>
                <c:pt idx="149">
                  <c:v>-0.00146385770597635</c:v>
                </c:pt>
                <c:pt idx="150">
                  <c:v>-0.138449038707797</c:v>
                </c:pt>
                <c:pt idx="151">
                  <c:v>0.00383369551847146</c:v>
                </c:pt>
                <c:pt idx="152">
                  <c:v>-0.133105279281119</c:v>
                </c:pt>
                <c:pt idx="153">
                  <c:v>0.0848106484480828</c:v>
                </c:pt>
                <c:pt idx="154">
                  <c:v>-0.106324990498941</c:v>
                </c:pt>
              </c:numCache>
            </c:numRef>
          </c:val>
        </c:ser>
        <c:gapWidth val="150"/>
        <c:overlap val="0"/>
        <c:axId val="4932133"/>
        <c:axId val="29213927"/>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(Calc)'!$AC$3:$AC$157</c:f>
              <c:numCache>
                <c:formatCode>#,##0.00</c:formatCode>
                <c:ptCount val="155"/>
                <c:pt idx="0">
                  <c:v>64.37</c:v>
                </c:pt>
                <c:pt idx="1">
                  <c:v>69.2963636363636</c:v>
                </c:pt>
                <c:pt idx="2">
                  <c:v>74.2227272727273</c:v>
                </c:pt>
                <c:pt idx="3">
                  <c:v>79.1490909090909</c:v>
                </c:pt>
                <c:pt idx="4">
                  <c:v>84.0754545454546</c:v>
                </c:pt>
                <c:pt idx="5">
                  <c:v>89.0018181818182</c:v>
                </c:pt>
                <c:pt idx="6">
                  <c:v>93.9281818181819</c:v>
                </c:pt>
                <c:pt idx="7">
                  <c:v>98.8545454545455</c:v>
                </c:pt>
                <c:pt idx="8">
                  <c:v>103.780909090909</c:v>
                </c:pt>
                <c:pt idx="9">
                  <c:v>108.707272727273</c:v>
                </c:pt>
                <c:pt idx="10">
                  <c:v>113.633636363636</c:v>
                </c:pt>
                <c:pt idx="11">
                  <c:v>118.56</c:v>
                </c:pt>
                <c:pt idx="12">
                  <c:v>123.486363636364</c:v>
                </c:pt>
                <c:pt idx="13">
                  <c:v>128.412727272727</c:v>
                </c:pt>
                <c:pt idx="14">
                  <c:v>133.339090909091</c:v>
                </c:pt>
                <c:pt idx="15">
                  <c:v>138.265454545455</c:v>
                </c:pt>
                <c:pt idx="16">
                  <c:v>143.191818181818</c:v>
                </c:pt>
                <c:pt idx="17">
                  <c:v>148.118181818182</c:v>
                </c:pt>
                <c:pt idx="18">
                  <c:v>153.044545454546</c:v>
                </c:pt>
                <c:pt idx="19">
                  <c:v>157.970909090909</c:v>
                </c:pt>
                <c:pt idx="20">
                  <c:v>162.897272727273</c:v>
                </c:pt>
                <c:pt idx="21">
                  <c:v>167.823636363636</c:v>
                </c:pt>
                <c:pt idx="22">
                  <c:v>172.75</c:v>
                </c:pt>
                <c:pt idx="23">
                  <c:v>177.676363636363</c:v>
                </c:pt>
                <c:pt idx="24">
                  <c:v>182.602727272727</c:v>
                </c:pt>
                <c:pt idx="25">
                  <c:v>187.529090909091</c:v>
                </c:pt>
                <c:pt idx="26">
                  <c:v>192.455454545455</c:v>
                </c:pt>
                <c:pt idx="27">
                  <c:v>197.381818181818</c:v>
                </c:pt>
                <c:pt idx="28">
                  <c:v>202.308181818182</c:v>
                </c:pt>
                <c:pt idx="29">
                  <c:v>207.234545454545</c:v>
                </c:pt>
                <c:pt idx="30">
                  <c:v>212.160909090909</c:v>
                </c:pt>
                <c:pt idx="31">
                  <c:v>217.087272727273</c:v>
                </c:pt>
                <c:pt idx="32">
                  <c:v>222.013636363637</c:v>
                </c:pt>
                <c:pt idx="33">
                  <c:v>226.94</c:v>
                </c:pt>
                <c:pt idx="34">
                  <c:v>231.866363636364</c:v>
                </c:pt>
                <c:pt idx="35">
                  <c:v>236.792727272727</c:v>
                </c:pt>
                <c:pt idx="36">
                  <c:v>241.719090909091</c:v>
                </c:pt>
                <c:pt idx="37">
                  <c:v>246.645454545454</c:v>
                </c:pt>
                <c:pt idx="38">
                  <c:v>251.571818181818</c:v>
                </c:pt>
                <c:pt idx="39">
                  <c:v>256.498181818182</c:v>
                </c:pt>
                <c:pt idx="40">
                  <c:v>261.424545454546</c:v>
                </c:pt>
                <c:pt idx="41">
                  <c:v>266.350909090909</c:v>
                </c:pt>
                <c:pt idx="42">
                  <c:v>271.277272727273</c:v>
                </c:pt>
                <c:pt idx="43">
                  <c:v>276.203636363636</c:v>
                </c:pt>
                <c:pt idx="44">
                  <c:v>281.13</c:v>
                </c:pt>
                <c:pt idx="45">
                  <c:v>286.056363636363</c:v>
                </c:pt>
                <c:pt idx="46">
                  <c:v>290.982727272728</c:v>
                </c:pt>
                <c:pt idx="47">
                  <c:v>295.909090909091</c:v>
                </c:pt>
                <c:pt idx="48">
                  <c:v>300.835454545455</c:v>
                </c:pt>
                <c:pt idx="49">
                  <c:v>305.761818181818</c:v>
                </c:pt>
                <c:pt idx="50">
                  <c:v>310.688181818182</c:v>
                </c:pt>
                <c:pt idx="51">
                  <c:v>315.614545454545</c:v>
                </c:pt>
                <c:pt idx="52">
                  <c:v>320.540909090909</c:v>
                </c:pt>
                <c:pt idx="53">
                  <c:v>325.467272727273</c:v>
                </c:pt>
                <c:pt idx="54">
                  <c:v>330.393636363637</c:v>
                </c:pt>
                <c:pt idx="55">
                  <c:v>335.32</c:v>
                </c:pt>
                <c:pt idx="56">
                  <c:v>340.246363636364</c:v>
                </c:pt>
                <c:pt idx="57">
                  <c:v>345.172727272727</c:v>
                </c:pt>
                <c:pt idx="58">
                  <c:v>350.099090909091</c:v>
                </c:pt>
                <c:pt idx="59">
                  <c:v>355.025454545454</c:v>
                </c:pt>
                <c:pt idx="60">
                  <c:v>359.951818181819</c:v>
                </c:pt>
                <c:pt idx="61">
                  <c:v>364.878181818182</c:v>
                </c:pt>
                <c:pt idx="62">
                  <c:v>369.804545454546</c:v>
                </c:pt>
                <c:pt idx="63">
                  <c:v>374.730909090909</c:v>
                </c:pt>
                <c:pt idx="64">
                  <c:v>379.657272727273</c:v>
                </c:pt>
                <c:pt idx="65">
                  <c:v>384.583636363636</c:v>
                </c:pt>
                <c:pt idx="66">
                  <c:v>389.51</c:v>
                </c:pt>
                <c:pt idx="67">
                  <c:v>394.436363636364</c:v>
                </c:pt>
                <c:pt idx="68">
                  <c:v>399.362727272728</c:v>
                </c:pt>
                <c:pt idx="69">
                  <c:v>404.289090909091</c:v>
                </c:pt>
                <c:pt idx="70">
                  <c:v>409.215454545455</c:v>
                </c:pt>
                <c:pt idx="71">
                  <c:v>414.141818181818</c:v>
                </c:pt>
                <c:pt idx="72">
                  <c:v>419.068181818182</c:v>
                </c:pt>
                <c:pt idx="73">
                  <c:v>423.994545454545</c:v>
                </c:pt>
                <c:pt idx="74">
                  <c:v>428.920909090909</c:v>
                </c:pt>
                <c:pt idx="75">
                  <c:v>433.847272727273</c:v>
                </c:pt>
                <c:pt idx="76">
                  <c:v>438.773636363637</c:v>
                </c:pt>
                <c:pt idx="77">
                  <c:v>443.7</c:v>
                </c:pt>
                <c:pt idx="78">
                  <c:v>448.626363636363</c:v>
                </c:pt>
                <c:pt idx="79">
                  <c:v>453.552727272727</c:v>
                </c:pt>
                <c:pt idx="80">
                  <c:v>458.479090909091</c:v>
                </c:pt>
                <c:pt idx="81">
                  <c:v>463.405454545455</c:v>
                </c:pt>
                <c:pt idx="82">
                  <c:v>468.331818181818</c:v>
                </c:pt>
                <c:pt idx="83">
                  <c:v>473.258181818182</c:v>
                </c:pt>
                <c:pt idx="84">
                  <c:v>478.184545454545</c:v>
                </c:pt>
                <c:pt idx="85">
                  <c:v>483.110909090909</c:v>
                </c:pt>
                <c:pt idx="86">
                  <c:v>488.037272727272</c:v>
                </c:pt>
                <c:pt idx="87">
                  <c:v>492.963636363636</c:v>
                </c:pt>
                <c:pt idx="88">
                  <c:v>497.89</c:v>
                </c:pt>
                <c:pt idx="89">
                  <c:v>502.816363636364</c:v>
                </c:pt>
                <c:pt idx="90">
                  <c:v>507.742727272727</c:v>
                </c:pt>
                <c:pt idx="91">
                  <c:v>512.669090909091</c:v>
                </c:pt>
                <c:pt idx="92">
                  <c:v>517.595454545454</c:v>
                </c:pt>
                <c:pt idx="93">
                  <c:v>522.521818181818</c:v>
                </c:pt>
                <c:pt idx="94">
                  <c:v>527.448181818182</c:v>
                </c:pt>
                <c:pt idx="95">
                  <c:v>532.374545454546</c:v>
                </c:pt>
                <c:pt idx="96">
                  <c:v>537.300909090909</c:v>
                </c:pt>
                <c:pt idx="97">
                  <c:v>542.227272727273</c:v>
                </c:pt>
                <c:pt idx="98">
                  <c:v>547.153636363636</c:v>
                </c:pt>
                <c:pt idx="99">
                  <c:v>552.08</c:v>
                </c:pt>
                <c:pt idx="100">
                  <c:v>557.006363636363</c:v>
                </c:pt>
                <c:pt idx="101">
                  <c:v>561.932727272727</c:v>
                </c:pt>
                <c:pt idx="102">
                  <c:v>566.859090909091</c:v>
                </c:pt>
                <c:pt idx="103">
                  <c:v>571.785454545455</c:v>
                </c:pt>
                <c:pt idx="104">
                  <c:v>576.711818181818</c:v>
                </c:pt>
                <c:pt idx="105">
                  <c:v>581.638181818182</c:v>
                </c:pt>
                <c:pt idx="106">
                  <c:v>586.564545454545</c:v>
                </c:pt>
                <c:pt idx="107">
                  <c:v>591.490909090909</c:v>
                </c:pt>
                <c:pt idx="108">
                  <c:v>596.417272727273</c:v>
                </c:pt>
                <c:pt idx="109">
                  <c:v>601.343636363637</c:v>
                </c:pt>
                <c:pt idx="110">
                  <c:v>606.27</c:v>
                </c:pt>
                <c:pt idx="111">
                  <c:v>611.196363636364</c:v>
                </c:pt>
                <c:pt idx="112">
                  <c:v>616.122727272727</c:v>
                </c:pt>
                <c:pt idx="113">
                  <c:v>621.049090909091</c:v>
                </c:pt>
                <c:pt idx="114">
                  <c:v>625.975454545454</c:v>
                </c:pt>
                <c:pt idx="115">
                  <c:v>630.901818181818</c:v>
                </c:pt>
                <c:pt idx="116">
                  <c:v>635.828181818182</c:v>
                </c:pt>
                <c:pt idx="117">
                  <c:v>640.754545454546</c:v>
                </c:pt>
                <c:pt idx="118">
                  <c:v>645.680909090909</c:v>
                </c:pt>
                <c:pt idx="119">
                  <c:v>650.607272727273</c:v>
                </c:pt>
                <c:pt idx="120">
                  <c:v>655.533636363636</c:v>
                </c:pt>
                <c:pt idx="121">
                  <c:v>660.46</c:v>
                </c:pt>
                <c:pt idx="122">
                  <c:v>665.386363636364</c:v>
                </c:pt>
                <c:pt idx="123">
                  <c:v>670.312727272727</c:v>
                </c:pt>
                <c:pt idx="124">
                  <c:v>675.239090909091</c:v>
                </c:pt>
                <c:pt idx="125">
                  <c:v>680.165454545455</c:v>
                </c:pt>
                <c:pt idx="126">
                  <c:v>685.091818181818</c:v>
                </c:pt>
                <c:pt idx="127">
                  <c:v>690.018181818182</c:v>
                </c:pt>
                <c:pt idx="128">
                  <c:v>694.944545454545</c:v>
                </c:pt>
                <c:pt idx="129">
                  <c:v>699.870909090909</c:v>
                </c:pt>
                <c:pt idx="130">
                  <c:v>704.797272727273</c:v>
                </c:pt>
                <c:pt idx="131">
                  <c:v>709.723636363637</c:v>
                </c:pt>
                <c:pt idx="132">
                  <c:v>714.65</c:v>
                </c:pt>
                <c:pt idx="133">
                  <c:v>719.576363636364</c:v>
                </c:pt>
                <c:pt idx="134">
                  <c:v>724.502727272727</c:v>
                </c:pt>
                <c:pt idx="135">
                  <c:v>729.429090909091</c:v>
                </c:pt>
                <c:pt idx="136">
                  <c:v>734.355454545454</c:v>
                </c:pt>
                <c:pt idx="137">
                  <c:v>739.281818181818</c:v>
                </c:pt>
                <c:pt idx="138">
                  <c:v>744.208181818182</c:v>
                </c:pt>
                <c:pt idx="139">
                  <c:v>749.134545454546</c:v>
                </c:pt>
                <c:pt idx="140">
                  <c:v>754.060909090909</c:v>
                </c:pt>
                <c:pt idx="141">
                  <c:v>758.987272727273</c:v>
                </c:pt>
                <c:pt idx="142">
                  <c:v>763.913636363636</c:v>
                </c:pt>
                <c:pt idx="143">
                  <c:v>768.84</c:v>
                </c:pt>
                <c:pt idx="144">
                  <c:v>773.766363636364</c:v>
                </c:pt>
                <c:pt idx="145">
                  <c:v>778.692727272728</c:v>
                </c:pt>
                <c:pt idx="146">
                  <c:v>783.619090909091</c:v>
                </c:pt>
                <c:pt idx="147">
                  <c:v>788.545454545455</c:v>
                </c:pt>
                <c:pt idx="148">
                  <c:v>793.471818181818</c:v>
                </c:pt>
                <c:pt idx="149">
                  <c:v>798.398181818182</c:v>
                </c:pt>
                <c:pt idx="150">
                  <c:v>803.324545454545</c:v>
                </c:pt>
                <c:pt idx="151">
                  <c:v>808.250909090909</c:v>
                </c:pt>
                <c:pt idx="152">
                  <c:v>813.177272727273</c:v>
                </c:pt>
                <c:pt idx="153">
                  <c:v>818.103636363637</c:v>
                </c:pt>
                <c:pt idx="154">
                  <c:v>823.03</c:v>
                </c:pt>
              </c:numCache>
            </c:numRef>
          </c:val>
          <c:smooth val="0"/>
        </c:ser>
        <c:hiLowLines>
          <c:spPr>
            <a:ln w="0">
              <a:noFill/>
            </a:ln>
          </c:spPr>
        </c:hiLowLines>
        <c:marker val="0"/>
        <c:axId val="6900389"/>
        <c:axId val="61408847"/>
      </c:lineChart>
      <c:dateAx>
        <c:axId val="493213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213927"/>
        <c:auto val="1"/>
        <c:lblOffset val="100"/>
        <c:baseTimeUnit val="days"/>
      </c:dateAx>
      <c:valAx>
        <c:axId val="2921392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932133"/>
        <c:crosses val="autoZero"/>
        <c:crossBetween val="between"/>
      </c:valAx>
      <c:dateAx>
        <c:axId val="690038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408847"/>
        <c:auto val="1"/>
        <c:lblOffset val="100"/>
        <c:baseTimeUnit val="days"/>
      </c:dateAx>
      <c:valAx>
        <c:axId val="61408847"/>
        <c:scaling>
          <c:orientation val="minMax"/>
        </c:scaling>
        <c:delete val="0"/>
        <c:axPos val="r"/>
        <c:title>
          <c:tx>
            <c:rich>
              <a:bodyPr rot="-5400000"/>
              <a:lstStyle/>
              <a:p>
                <a:pPr>
                  <a:defRPr sz="1300" b="0" u="none" strike="noStrike">
                    <a:uFillTx/>
                    <a:latin typeface="Arial"/>
                  </a:defRPr>
                </a:pPr>
                <a:r>
                  <a:rPr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90038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(Calc)'!$I$3:$I$157</c:f>
              <c:numCache>
                <c:formatCode>0.0%</c:formatCode>
                <c:ptCount val="155"/>
                <c:pt idx="0">
                  <c:v>0.0599755201958383</c:v>
                </c:pt>
                <c:pt idx="1">
                  <c:v>0.0628175519630487</c:v>
                </c:pt>
                <c:pt idx="2">
                  <c:v>0.0541069100391134</c:v>
                </c:pt>
                <c:pt idx="3">
                  <c:v>-0.0606060606060606</c:v>
                </c:pt>
                <c:pt idx="4">
                  <c:v>-0.0366469168312487</c:v>
                </c:pt>
                <c:pt idx="5">
                  <c:v>-0.0521640091116173</c:v>
                </c:pt>
                <c:pt idx="6">
                  <c:v>0.0454217736121125</c:v>
                </c:pt>
                <c:pt idx="7">
                  <c:v>0.0519540229885056</c:v>
                </c:pt>
                <c:pt idx="8">
                  <c:v>-0.00655594405594395</c:v>
                </c:pt>
                <c:pt idx="9">
                  <c:v>-0.0895292564892213</c:v>
                </c:pt>
                <c:pt idx="10">
                  <c:v>-0.0215027784489007</c:v>
                </c:pt>
                <c:pt idx="11">
                  <c:v>0.111358024691358</c:v>
                </c:pt>
                <c:pt idx="12">
                  <c:v>0.0739835592090647</c:v>
                </c:pt>
                <c:pt idx="13">
                  <c:v>0.0198593297476208</c:v>
                </c:pt>
                <c:pt idx="14">
                  <c:v>-0.0308316430020283</c:v>
                </c:pt>
                <c:pt idx="15">
                  <c:v>-0.0211385516952699</c:v>
                </c:pt>
                <c:pt idx="16">
                  <c:v>0.01582210818901</c:v>
                </c:pt>
                <c:pt idx="17">
                  <c:v>0.0290465165228373</c:v>
                </c:pt>
                <c:pt idx="18">
                  <c:v>-0.00122724483534464</c:v>
                </c:pt>
                <c:pt idx="19">
                  <c:v>0.0141306573827567</c:v>
                </c:pt>
                <c:pt idx="20">
                  <c:v>-0.00848142164781907</c:v>
                </c:pt>
                <c:pt idx="21">
                  <c:v>0.114256619144603</c:v>
                </c:pt>
                <c:pt idx="22">
                  <c:v>0.0873697678669347</c:v>
                </c:pt>
                <c:pt idx="23">
                  <c:v>0.0258867036476718</c:v>
                </c:pt>
                <c:pt idx="24">
                  <c:v>0.0840570211371456</c:v>
                </c:pt>
                <c:pt idx="25">
                  <c:v>0.0902357920193471</c:v>
                </c:pt>
                <c:pt idx="26">
                  <c:v>0.00665465132399845</c:v>
                </c:pt>
                <c:pt idx="27">
                  <c:v>0.0855254097231786</c:v>
                </c:pt>
                <c:pt idx="28">
                  <c:v>0.0438974879472216</c:v>
                </c:pt>
                <c:pt idx="29">
                  <c:v>0.0638065143412736</c:v>
                </c:pt>
                <c:pt idx="30">
                  <c:v>0.00354164286530345</c:v>
                </c:pt>
                <c:pt idx="31">
                  <c:v>0.0734289617486339</c:v>
                </c:pt>
                <c:pt idx="32">
                  <c:v>-0.0416799236398346</c:v>
                </c:pt>
                <c:pt idx="33">
                  <c:v>-0.0260070827799911</c:v>
                </c:pt>
                <c:pt idx="34">
                  <c:v>0.00204522213384828</c:v>
                </c:pt>
                <c:pt idx="35">
                  <c:v>-0.135956457648259</c:v>
                </c:pt>
                <c:pt idx="36">
                  <c:v>0.151443569553806</c:v>
                </c:pt>
                <c:pt idx="37">
                  <c:v>0.0119671757465241</c:v>
                </c:pt>
                <c:pt idx="38">
                  <c:v>0.0122761572249126</c:v>
                </c:pt>
                <c:pt idx="39">
                  <c:v>0.0289274588340009</c:v>
                </c:pt>
                <c:pt idx="40">
                  <c:v>0.151275951557093</c:v>
                </c:pt>
                <c:pt idx="41">
                  <c:v>0.0296797219874143</c:v>
                </c:pt>
                <c:pt idx="42">
                  <c:v>0.102709112469215</c:v>
                </c:pt>
                <c:pt idx="43">
                  <c:v>0.0909090909090908</c:v>
                </c:pt>
                <c:pt idx="44">
                  <c:v>-0.0402638762511374</c:v>
                </c:pt>
                <c:pt idx="45">
                  <c:v>-0.023939322114245</c:v>
                </c:pt>
                <c:pt idx="46">
                  <c:v>0.0185365063946898</c:v>
                </c:pt>
                <c:pt idx="47">
                  <c:v>0.0271000556306129</c:v>
                </c:pt>
                <c:pt idx="48">
                  <c:v>-0.0875116063138347</c:v>
                </c:pt>
                <c:pt idx="49">
                  <c:v>-0.0412956838802679</c:v>
                </c:pt>
                <c:pt idx="50">
                  <c:v>-0.0512117459755882</c:v>
                </c:pt>
                <c:pt idx="51">
                  <c:v>-0.023492122681085</c:v>
                </c:pt>
                <c:pt idx="52">
                  <c:v>0.189307875894988</c:v>
                </c:pt>
                <c:pt idx="53">
                  <c:v>0.0384491892759673</c:v>
                </c:pt>
                <c:pt idx="54">
                  <c:v>-0.0772976733400325</c:v>
                </c:pt>
                <c:pt idx="55">
                  <c:v>-0.138560777414761</c:v>
                </c:pt>
                <c:pt idx="56">
                  <c:v>0.158222308664786</c:v>
                </c:pt>
                <c:pt idx="57">
                  <c:v>-0.0260285474391267</c:v>
                </c:pt>
                <c:pt idx="58">
                  <c:v>0.0465517241379312</c:v>
                </c:pt>
                <c:pt idx="59">
                  <c:v>0.0289950576606259</c:v>
                </c:pt>
                <c:pt idx="60">
                  <c:v>0.0790906179955173</c:v>
                </c:pt>
                <c:pt idx="61">
                  <c:v>0.0237388724035608</c:v>
                </c:pt>
                <c:pt idx="62">
                  <c:v>0.0256521739130435</c:v>
                </c:pt>
                <c:pt idx="63">
                  <c:v>-0.0433799632612688</c:v>
                </c:pt>
                <c:pt idx="64">
                  <c:v>0.0903249630723781</c:v>
                </c:pt>
                <c:pt idx="65">
                  <c:v>-0.0382713540608278</c:v>
                </c:pt>
                <c:pt idx="66">
                  <c:v>-0.000211297365826146</c:v>
                </c:pt>
                <c:pt idx="67">
                  <c:v>-0.0260655160267699</c:v>
                </c:pt>
                <c:pt idx="68">
                  <c:v>0.0303074141048825</c:v>
                </c:pt>
                <c:pt idx="69">
                  <c:v>-0.0574978938500421</c:v>
                </c:pt>
                <c:pt idx="70">
                  <c:v>0.00335195530726251</c:v>
                </c:pt>
                <c:pt idx="71">
                  <c:v>0.0171492204899777</c:v>
                </c:pt>
                <c:pt idx="72">
                  <c:v>0.0544485803955916</c:v>
                </c:pt>
                <c:pt idx="73">
                  <c:v>-0.0592510555824739</c:v>
                </c:pt>
                <c:pt idx="74">
                  <c:v>0.0132440585681701</c:v>
                </c:pt>
                <c:pt idx="75">
                  <c:v>0.0356546365550794</c:v>
                </c:pt>
                <c:pt idx="76">
                  <c:v>-0.158112466694713</c:v>
                </c:pt>
                <c:pt idx="77">
                  <c:v>0.0813692012992422</c:v>
                </c:pt>
                <c:pt idx="78">
                  <c:v>0.0693930991990142</c:v>
                </c:pt>
                <c:pt idx="79">
                  <c:v>-0.0318329132157003</c:v>
                </c:pt>
                <c:pt idx="80">
                  <c:v>-0.0707431376924794</c:v>
                </c:pt>
                <c:pt idx="81">
                  <c:v>-0.0979026577009287</c:v>
                </c:pt>
                <c:pt idx="82">
                  <c:v>0.0796876386547165</c:v>
                </c:pt>
                <c:pt idx="83">
                  <c:v>-0.0326292430344374</c:v>
                </c:pt>
                <c:pt idx="84">
                  <c:v>-0.0682242990654206</c:v>
                </c:pt>
                <c:pt idx="85">
                  <c:v>-0.140056533236072</c:v>
                </c:pt>
                <c:pt idx="86">
                  <c:v>0.17622733538331</c:v>
                </c:pt>
                <c:pt idx="87">
                  <c:v>-0.0850987108987651</c:v>
                </c:pt>
                <c:pt idx="88">
                  <c:v>0.0938023450586265</c:v>
                </c:pt>
                <c:pt idx="89">
                  <c:v>0.0314386091343122</c:v>
                </c:pt>
                <c:pt idx="90">
                  <c:v>0.0187772925764194</c:v>
                </c:pt>
                <c:pt idx="91">
                  <c:v>0.160737248178311</c:v>
                </c:pt>
                <c:pt idx="92">
                  <c:v>-0.0303545051698672</c:v>
                </c:pt>
                <c:pt idx="93">
                  <c:v>0.029248229111128</c:v>
                </c:pt>
                <c:pt idx="94">
                  <c:v>0.0487678531784208</c:v>
                </c:pt>
                <c:pt idx="95">
                  <c:v>0.00176404177250911</c:v>
                </c:pt>
                <c:pt idx="96">
                  <c:v>0.0132422342748468</c:v>
                </c:pt>
                <c:pt idx="97">
                  <c:v>0.0966284323948559</c:v>
                </c:pt>
                <c:pt idx="98">
                  <c:v>0.0100792393026941</c:v>
                </c:pt>
                <c:pt idx="99">
                  <c:v>0.0350194552529182</c:v>
                </c:pt>
                <c:pt idx="100">
                  <c:v>0.0454159592529713</c:v>
                </c:pt>
                <c:pt idx="101">
                  <c:v>0.00632213908706003</c:v>
                </c:pt>
                <c:pt idx="102">
                  <c:v>0.00126801152737754</c:v>
                </c:pt>
                <c:pt idx="103">
                  <c:v>0.0516923785401795</c:v>
                </c:pt>
                <c:pt idx="104">
                  <c:v>-0.0123152709359606</c:v>
                </c:pt>
                <c:pt idx="105">
                  <c:v>-0.0136325852036574</c:v>
                </c:pt>
                <c:pt idx="106">
                  <c:v>-0.0214056969492669</c:v>
                </c:pt>
                <c:pt idx="107">
                  <c:v>-0.0411069009071076</c:v>
                </c:pt>
                <c:pt idx="108">
                  <c:v>0.0646629146210034</c:v>
                </c:pt>
                <c:pt idx="109">
                  <c:v>-0.00646721403666628</c:v>
                </c:pt>
                <c:pt idx="110">
                  <c:v>0.00860361125261799</c:v>
                </c:pt>
                <c:pt idx="111">
                  <c:v>0.0529210393400303</c:v>
                </c:pt>
                <c:pt idx="112">
                  <c:v>-0.0237714529367872</c:v>
                </c:pt>
                <c:pt idx="113">
                  <c:v>0.000327582441581153</c:v>
                </c:pt>
                <c:pt idx="114">
                  <c:v>0.0165920751009714</c:v>
                </c:pt>
                <c:pt idx="115">
                  <c:v>0.0871362611403415</c:v>
                </c:pt>
                <c:pt idx="116">
                  <c:v>-0.0708183120154082</c:v>
                </c:pt>
                <c:pt idx="117">
                  <c:v>0.0107361148020195</c:v>
                </c:pt>
                <c:pt idx="118">
                  <c:v>-0.0593679339538308</c:v>
                </c:pt>
                <c:pt idx="119">
                  <c:v>-0.0105098389982111</c:v>
                </c:pt>
                <c:pt idx="120">
                  <c:v>0.0305649717514125</c:v>
                </c:pt>
                <c:pt idx="121">
                  <c:v>-0.0405131297626226</c:v>
                </c:pt>
                <c:pt idx="122">
                  <c:v>0.0341103873842989</c:v>
                </c:pt>
                <c:pt idx="123">
                  <c:v>0.052710094480358</c:v>
                </c:pt>
                <c:pt idx="124">
                  <c:v>-0.00881750905369239</c:v>
                </c:pt>
                <c:pt idx="125">
                  <c:v>-0.0211278792692612</c:v>
                </c:pt>
                <c:pt idx="126">
                  <c:v>0.00741101374012754</c:v>
                </c:pt>
                <c:pt idx="127">
                  <c:v>0.00773237394619564</c:v>
                </c:pt>
                <c:pt idx="128">
                  <c:v>0.01843661746683</c:v>
                </c:pt>
                <c:pt idx="129">
                  <c:v>-0.0299272746298331</c:v>
                </c:pt>
                <c:pt idx="130">
                  <c:v>-0.0140229761070061</c:v>
                </c:pt>
                <c:pt idx="131">
                  <c:v>0.0383458235326295</c:v>
                </c:pt>
                <c:pt idx="132">
                  <c:v>-0.0665367189969445</c:v>
                </c:pt>
                <c:pt idx="133">
                  <c:v>0.00355550538969474</c:v>
                </c:pt>
                <c:pt idx="134">
                  <c:v>0.013665504442695</c:v>
                </c:pt>
                <c:pt idx="135">
                  <c:v>-0.0418862690707351</c:v>
                </c:pt>
                <c:pt idx="136">
                  <c:v>-0.0299942096120439</c:v>
                </c:pt>
                <c:pt idx="137">
                  <c:v>0.0589183381088825</c:v>
                </c:pt>
                <c:pt idx="138">
                  <c:v>0.0633632110040026</c:v>
                </c:pt>
                <c:pt idx="139">
                  <c:v>0.0691830567778191</c:v>
                </c:pt>
                <c:pt idx="140">
                  <c:v>0.0326755255850852</c:v>
                </c:pt>
                <c:pt idx="141">
                  <c:v>-0.0471503337014454</c:v>
                </c:pt>
                <c:pt idx="142">
                  <c:v>0.0844041320231797</c:v>
                </c:pt>
                <c:pt idx="143">
                  <c:v>0.0470260223048327</c:v>
                </c:pt>
                <c:pt idx="144">
                  <c:v>-0.0443369430143795</c:v>
                </c:pt>
                <c:pt idx="145">
                  <c:v>-0.0194585055496216</c:v>
                </c:pt>
                <c:pt idx="146">
                  <c:v>-0.0286066117268163</c:v>
                </c:pt>
                <c:pt idx="147">
                  <c:v>0.000438810336421236</c:v>
                </c:pt>
                <c:pt idx="148">
                  <c:v>0.0268044251669184</c:v>
                </c:pt>
                <c:pt idx="149">
                  <c:v>-0.0861929849541981</c:v>
                </c:pt>
                <c:pt idx="150">
                  <c:v>0.011946190204124</c:v>
                </c:pt>
                <c:pt idx="151">
                  <c:v>0.0827901247241185</c:v>
                </c:pt>
                <c:pt idx="152">
                  <c:v>-0.0386329161926432</c:v>
                </c:pt>
                <c:pt idx="153">
                  <c:v>0.0198708150485676</c:v>
                </c:pt>
                <c:pt idx="154">
                  <c:v>-0.0294430477663895</c:v>
                </c:pt>
              </c:numCache>
            </c:numRef>
          </c:val>
        </c:ser>
        <c:gapWidth val="150"/>
        <c:overlap val="0"/>
        <c:axId val="52259776"/>
        <c:axId val="54654430"/>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(Calc)'!$AD$3:$AD$157</c:f>
              <c:numCache>
                <c:formatCode>#,##0.00</c:formatCode>
                <c:ptCount val="155"/>
                <c:pt idx="0">
                  <c:v>40.85</c:v>
                </c:pt>
                <c:pt idx="1">
                  <c:v>41.8883116883117</c:v>
                </c:pt>
                <c:pt idx="2">
                  <c:v>42.9266233766234</c:v>
                </c:pt>
                <c:pt idx="3">
                  <c:v>43.9649350649351</c:v>
                </c:pt>
                <c:pt idx="4">
                  <c:v>45.0032467532468</c:v>
                </c:pt>
                <c:pt idx="5">
                  <c:v>46.0415584415585</c:v>
                </c:pt>
                <c:pt idx="6">
                  <c:v>47.0798701298701</c:v>
                </c:pt>
                <c:pt idx="7">
                  <c:v>48.1181818181818</c:v>
                </c:pt>
                <c:pt idx="8">
                  <c:v>49.1564935064935</c:v>
                </c:pt>
                <c:pt idx="9">
                  <c:v>50.1948051948052</c:v>
                </c:pt>
                <c:pt idx="10">
                  <c:v>51.2331168831169</c:v>
                </c:pt>
                <c:pt idx="11">
                  <c:v>52.2714285714286</c:v>
                </c:pt>
                <c:pt idx="12">
                  <c:v>53.3097402597403</c:v>
                </c:pt>
                <c:pt idx="13">
                  <c:v>54.3480519480519</c:v>
                </c:pt>
                <c:pt idx="14">
                  <c:v>55.3863636363636</c:v>
                </c:pt>
                <c:pt idx="15">
                  <c:v>56.4246753246753</c:v>
                </c:pt>
                <c:pt idx="16">
                  <c:v>57.462987012987</c:v>
                </c:pt>
                <c:pt idx="17">
                  <c:v>58.5012987012986</c:v>
                </c:pt>
                <c:pt idx="18">
                  <c:v>59.5396103896104</c:v>
                </c:pt>
                <c:pt idx="19">
                  <c:v>60.577922077922</c:v>
                </c:pt>
                <c:pt idx="20">
                  <c:v>61.6162337662338</c:v>
                </c:pt>
                <c:pt idx="21">
                  <c:v>62.6545454545454</c:v>
                </c:pt>
                <c:pt idx="22">
                  <c:v>63.6928571428572</c:v>
                </c:pt>
                <c:pt idx="23">
                  <c:v>64.7311688311688</c:v>
                </c:pt>
                <c:pt idx="24">
                  <c:v>65.7694805194806</c:v>
                </c:pt>
                <c:pt idx="25">
                  <c:v>66.8077922077922</c:v>
                </c:pt>
                <c:pt idx="26">
                  <c:v>67.8461038961039</c:v>
                </c:pt>
                <c:pt idx="27">
                  <c:v>68.8844155844155</c:v>
                </c:pt>
                <c:pt idx="28">
                  <c:v>69.9227272727273</c:v>
                </c:pt>
                <c:pt idx="29">
                  <c:v>70.9610389610389</c:v>
                </c:pt>
                <c:pt idx="30">
                  <c:v>71.9993506493507</c:v>
                </c:pt>
                <c:pt idx="31">
                  <c:v>73.0376623376623</c:v>
                </c:pt>
                <c:pt idx="32">
                  <c:v>74.0759740259741</c:v>
                </c:pt>
                <c:pt idx="33">
                  <c:v>75.1142857142857</c:v>
                </c:pt>
                <c:pt idx="34">
                  <c:v>76.1525974025974</c:v>
                </c:pt>
                <c:pt idx="35">
                  <c:v>77.1909090909091</c:v>
                </c:pt>
                <c:pt idx="36">
                  <c:v>78.2292207792208</c:v>
                </c:pt>
                <c:pt idx="37">
                  <c:v>79.2675324675324</c:v>
                </c:pt>
                <c:pt idx="38">
                  <c:v>80.3058441558442</c:v>
                </c:pt>
                <c:pt idx="39">
                  <c:v>81.3441558441558</c:v>
                </c:pt>
                <c:pt idx="40">
                  <c:v>82.3824675324676</c:v>
                </c:pt>
                <c:pt idx="41">
                  <c:v>83.4207792207792</c:v>
                </c:pt>
                <c:pt idx="42">
                  <c:v>84.459090909091</c:v>
                </c:pt>
                <c:pt idx="43">
                  <c:v>85.4974025974026</c:v>
                </c:pt>
                <c:pt idx="44">
                  <c:v>86.5357142857143</c:v>
                </c:pt>
                <c:pt idx="45">
                  <c:v>87.5740259740259</c:v>
                </c:pt>
                <c:pt idx="46">
                  <c:v>88.6123376623377</c:v>
                </c:pt>
                <c:pt idx="47">
                  <c:v>89.6506493506493</c:v>
                </c:pt>
                <c:pt idx="48">
                  <c:v>90.6889610389611</c:v>
                </c:pt>
                <c:pt idx="49">
                  <c:v>91.7272727272727</c:v>
                </c:pt>
                <c:pt idx="50">
                  <c:v>92.7655844155845</c:v>
                </c:pt>
                <c:pt idx="51">
                  <c:v>93.8038961038961</c:v>
                </c:pt>
                <c:pt idx="52">
                  <c:v>94.8422077922079</c:v>
                </c:pt>
                <c:pt idx="53">
                  <c:v>95.8805194805195</c:v>
                </c:pt>
                <c:pt idx="54">
                  <c:v>96.9188311688312</c:v>
                </c:pt>
                <c:pt idx="55">
                  <c:v>97.9571428571428</c:v>
                </c:pt>
                <c:pt idx="56">
                  <c:v>98.9954545454546</c:v>
                </c:pt>
                <c:pt idx="57">
                  <c:v>100.033766233766</c:v>
                </c:pt>
                <c:pt idx="58">
                  <c:v>101.072077922078</c:v>
                </c:pt>
                <c:pt idx="59">
                  <c:v>102.11038961039</c:v>
                </c:pt>
                <c:pt idx="60">
                  <c:v>103.148701298701</c:v>
                </c:pt>
                <c:pt idx="61">
                  <c:v>104.187012987013</c:v>
                </c:pt>
                <c:pt idx="62">
                  <c:v>105.225324675325</c:v>
                </c:pt>
                <c:pt idx="63">
                  <c:v>106.263636363636</c:v>
                </c:pt>
                <c:pt idx="64">
                  <c:v>107.301948051948</c:v>
                </c:pt>
                <c:pt idx="65">
                  <c:v>108.34025974026</c:v>
                </c:pt>
                <c:pt idx="66">
                  <c:v>109.378571428571</c:v>
                </c:pt>
                <c:pt idx="67">
                  <c:v>110.416883116883</c:v>
                </c:pt>
                <c:pt idx="68">
                  <c:v>111.455194805195</c:v>
                </c:pt>
                <c:pt idx="69">
                  <c:v>112.493506493506</c:v>
                </c:pt>
                <c:pt idx="70">
                  <c:v>113.531818181818</c:v>
                </c:pt>
                <c:pt idx="71">
                  <c:v>114.57012987013</c:v>
                </c:pt>
                <c:pt idx="72">
                  <c:v>115.608441558442</c:v>
                </c:pt>
                <c:pt idx="73">
                  <c:v>116.646753246753</c:v>
                </c:pt>
                <c:pt idx="74">
                  <c:v>117.685064935065</c:v>
                </c:pt>
                <c:pt idx="75">
                  <c:v>118.723376623377</c:v>
                </c:pt>
                <c:pt idx="76">
                  <c:v>119.761688311688</c:v>
                </c:pt>
                <c:pt idx="77">
                  <c:v>120.8</c:v>
                </c:pt>
                <c:pt idx="78">
                  <c:v>121.838311688312</c:v>
                </c:pt>
                <c:pt idx="79">
                  <c:v>122.876623376623</c:v>
                </c:pt>
                <c:pt idx="80">
                  <c:v>123.914935064935</c:v>
                </c:pt>
                <c:pt idx="81">
                  <c:v>124.953246753247</c:v>
                </c:pt>
                <c:pt idx="82">
                  <c:v>125.991558441558</c:v>
                </c:pt>
                <c:pt idx="83">
                  <c:v>127.02987012987</c:v>
                </c:pt>
                <c:pt idx="84">
                  <c:v>128.068181818182</c:v>
                </c:pt>
                <c:pt idx="85">
                  <c:v>129.106493506494</c:v>
                </c:pt>
                <c:pt idx="86">
                  <c:v>130.144805194805</c:v>
                </c:pt>
                <c:pt idx="87">
                  <c:v>131.183116883117</c:v>
                </c:pt>
                <c:pt idx="88">
                  <c:v>132.221428571429</c:v>
                </c:pt>
                <c:pt idx="89">
                  <c:v>133.25974025974</c:v>
                </c:pt>
                <c:pt idx="90">
                  <c:v>134.298051948052</c:v>
                </c:pt>
                <c:pt idx="91">
                  <c:v>135.336363636364</c:v>
                </c:pt>
                <c:pt idx="92">
                  <c:v>136.374675324675</c:v>
                </c:pt>
                <c:pt idx="93">
                  <c:v>137.412987012987</c:v>
                </c:pt>
                <c:pt idx="94">
                  <c:v>138.451298701299</c:v>
                </c:pt>
                <c:pt idx="95">
                  <c:v>139.48961038961</c:v>
                </c:pt>
                <c:pt idx="96">
                  <c:v>140.527922077922</c:v>
                </c:pt>
                <c:pt idx="97">
                  <c:v>141.566233766234</c:v>
                </c:pt>
                <c:pt idx="98">
                  <c:v>142.604545454545</c:v>
                </c:pt>
                <c:pt idx="99">
                  <c:v>143.642857142857</c:v>
                </c:pt>
                <c:pt idx="100">
                  <c:v>144.681168831169</c:v>
                </c:pt>
                <c:pt idx="101">
                  <c:v>145.719480519481</c:v>
                </c:pt>
                <c:pt idx="102">
                  <c:v>146.757792207792</c:v>
                </c:pt>
                <c:pt idx="103">
                  <c:v>147.796103896104</c:v>
                </c:pt>
                <c:pt idx="104">
                  <c:v>148.834415584416</c:v>
                </c:pt>
                <c:pt idx="105">
                  <c:v>149.872727272727</c:v>
                </c:pt>
                <c:pt idx="106">
                  <c:v>150.911038961039</c:v>
                </c:pt>
                <c:pt idx="107">
                  <c:v>151.949350649351</c:v>
                </c:pt>
                <c:pt idx="108">
                  <c:v>152.987662337662</c:v>
                </c:pt>
                <c:pt idx="109">
                  <c:v>154.025974025974</c:v>
                </c:pt>
                <c:pt idx="110">
                  <c:v>155.064285714286</c:v>
                </c:pt>
                <c:pt idx="111">
                  <c:v>156.102597402597</c:v>
                </c:pt>
                <c:pt idx="112">
                  <c:v>157.140909090909</c:v>
                </c:pt>
                <c:pt idx="113">
                  <c:v>158.179220779221</c:v>
                </c:pt>
                <c:pt idx="114">
                  <c:v>159.217532467532</c:v>
                </c:pt>
                <c:pt idx="115">
                  <c:v>160.255844155844</c:v>
                </c:pt>
                <c:pt idx="116">
                  <c:v>161.294155844156</c:v>
                </c:pt>
                <c:pt idx="117">
                  <c:v>162.332467532468</c:v>
                </c:pt>
                <c:pt idx="118">
                  <c:v>163.370779220779</c:v>
                </c:pt>
                <c:pt idx="119">
                  <c:v>164.409090909091</c:v>
                </c:pt>
                <c:pt idx="120">
                  <c:v>165.447402597403</c:v>
                </c:pt>
                <c:pt idx="121">
                  <c:v>166.485714285714</c:v>
                </c:pt>
                <c:pt idx="122">
                  <c:v>167.524025974026</c:v>
                </c:pt>
                <c:pt idx="123">
                  <c:v>168.562337662338</c:v>
                </c:pt>
                <c:pt idx="124">
                  <c:v>169.600649350649</c:v>
                </c:pt>
                <c:pt idx="125">
                  <c:v>170.638961038961</c:v>
                </c:pt>
                <c:pt idx="126">
                  <c:v>171.677272727273</c:v>
                </c:pt>
                <c:pt idx="127">
                  <c:v>172.715584415584</c:v>
                </c:pt>
                <c:pt idx="128">
                  <c:v>173.753896103896</c:v>
                </c:pt>
                <c:pt idx="129">
                  <c:v>174.792207792208</c:v>
                </c:pt>
                <c:pt idx="130">
                  <c:v>175.830519480519</c:v>
                </c:pt>
                <c:pt idx="131">
                  <c:v>176.868831168831</c:v>
                </c:pt>
                <c:pt idx="132">
                  <c:v>177.907142857143</c:v>
                </c:pt>
                <c:pt idx="133">
                  <c:v>178.945454545455</c:v>
                </c:pt>
                <c:pt idx="134">
                  <c:v>179.983766233766</c:v>
                </c:pt>
                <c:pt idx="135">
                  <c:v>181.022077922078</c:v>
                </c:pt>
                <c:pt idx="136">
                  <c:v>182.06038961039</c:v>
                </c:pt>
                <c:pt idx="137">
                  <c:v>183.098701298701</c:v>
                </c:pt>
                <c:pt idx="138">
                  <c:v>184.137012987013</c:v>
                </c:pt>
                <c:pt idx="139">
                  <c:v>185.175324675325</c:v>
                </c:pt>
                <c:pt idx="140">
                  <c:v>186.213636363636</c:v>
                </c:pt>
                <c:pt idx="141">
                  <c:v>187.251948051948</c:v>
                </c:pt>
                <c:pt idx="142">
                  <c:v>188.29025974026</c:v>
                </c:pt>
                <c:pt idx="143">
                  <c:v>189.328571428572</c:v>
                </c:pt>
                <c:pt idx="144">
                  <c:v>190.366883116883</c:v>
                </c:pt>
                <c:pt idx="145">
                  <c:v>191.405194805195</c:v>
                </c:pt>
                <c:pt idx="146">
                  <c:v>192.443506493507</c:v>
                </c:pt>
                <c:pt idx="147">
                  <c:v>193.481818181818</c:v>
                </c:pt>
                <c:pt idx="148">
                  <c:v>194.52012987013</c:v>
                </c:pt>
                <c:pt idx="149">
                  <c:v>195.558441558442</c:v>
                </c:pt>
                <c:pt idx="150">
                  <c:v>196.596753246753</c:v>
                </c:pt>
                <c:pt idx="151">
                  <c:v>197.635064935065</c:v>
                </c:pt>
                <c:pt idx="152">
                  <c:v>198.673376623377</c:v>
                </c:pt>
                <c:pt idx="153">
                  <c:v>199.711688311688</c:v>
                </c:pt>
                <c:pt idx="154">
                  <c:v>200.75</c:v>
                </c:pt>
              </c:numCache>
            </c:numRef>
          </c:val>
          <c:smooth val="0"/>
        </c:ser>
        <c:hiLowLines>
          <c:spPr>
            <a:ln w="0">
              <a:noFill/>
            </a:ln>
          </c:spPr>
        </c:hiLowLines>
        <c:marker val="0"/>
        <c:axId val="28520751"/>
        <c:axId val="55955742"/>
      </c:lineChart>
      <c:dateAx>
        <c:axId val="5225977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654430"/>
        <c:auto val="1"/>
        <c:lblOffset val="100"/>
        <c:baseTimeUnit val="days"/>
      </c:dateAx>
      <c:valAx>
        <c:axId val="5465443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259776"/>
        <c:crosses val="autoZero"/>
        <c:crossBetween val="between"/>
      </c:valAx>
      <c:dateAx>
        <c:axId val="2852075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955742"/>
        <c:auto val="1"/>
        <c:lblOffset val="100"/>
        <c:baseTimeUnit val="days"/>
      </c:dateAx>
      <c:valAx>
        <c:axId val="55955742"/>
        <c:scaling>
          <c:orientation val="minMax"/>
        </c:scaling>
        <c:delete val="0"/>
        <c:axPos val="r"/>
        <c:title>
          <c:tx>
            <c:rich>
              <a:bodyPr rot="-5400000"/>
              <a:lstStyle/>
              <a:p>
                <a:pPr>
                  <a:defRPr sz="1300" b="0" u="none" strike="noStrike">
                    <a:uFillTx/>
                    <a:latin typeface="Arial"/>
                  </a:defRPr>
                </a:pPr>
                <a:r>
                  <a:rPr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52075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(Calc)'!$J$3:$J$157</c:f>
              <c:numCache>
                <c:formatCode>0.0%</c:formatCode>
                <c:ptCount val="155"/>
                <c:pt idx="0">
                  <c:v>-0.0165168812241924</c:v>
                </c:pt>
                <c:pt idx="1">
                  <c:v>0.00979665761093274</c:v>
                </c:pt>
                <c:pt idx="2">
                  <c:v>0.015734550790804</c:v>
                </c:pt>
                <c:pt idx="3">
                  <c:v>-0.016935548599406</c:v>
                </c:pt>
                <c:pt idx="4">
                  <c:v>0.0057152188112346</c:v>
                </c:pt>
                <c:pt idx="5">
                  <c:v>-0.0739568111706447</c:v>
                </c:pt>
                <c:pt idx="6">
                  <c:v>-0.0163057771543789</c:v>
                </c:pt>
                <c:pt idx="7">
                  <c:v>-0.0294091435700917</c:v>
                </c:pt>
                <c:pt idx="8">
                  <c:v>0.0067946010467359</c:v>
                </c:pt>
                <c:pt idx="9">
                  <c:v>-0.0658458732330142</c:v>
                </c:pt>
                <c:pt idx="10">
                  <c:v>-0.0498877282046277</c:v>
                </c:pt>
                <c:pt idx="11">
                  <c:v>0.0948417591450885</c:v>
                </c:pt>
                <c:pt idx="12">
                  <c:v>-0.0187705302674801</c:v>
                </c:pt>
                <c:pt idx="13">
                  <c:v>0.0527977044476327</c:v>
                </c:pt>
                <c:pt idx="14">
                  <c:v>0.0175342963568639</c:v>
                </c:pt>
                <c:pt idx="15">
                  <c:v>0.0558928571428572</c:v>
                </c:pt>
                <c:pt idx="16">
                  <c:v>0.0134449518011162</c:v>
                </c:pt>
                <c:pt idx="17">
                  <c:v>0.12023362536504</c:v>
                </c:pt>
                <c:pt idx="18">
                  <c:v>-0.0138537166691493</c:v>
                </c:pt>
                <c:pt idx="19">
                  <c:v>0.00679758308157097</c:v>
                </c:pt>
                <c:pt idx="20">
                  <c:v>-0.0205551387846963</c:v>
                </c:pt>
                <c:pt idx="21">
                  <c:v>0.00758272058823528</c:v>
                </c:pt>
                <c:pt idx="22">
                  <c:v>-0.0236412010642343</c:v>
                </c:pt>
                <c:pt idx="23">
                  <c:v>-0.012223606353161</c:v>
                </c:pt>
                <c:pt idx="24">
                  <c:v>0.0187593599747773</c:v>
                </c:pt>
                <c:pt idx="25">
                  <c:v>0.0249903288201159</c:v>
                </c:pt>
                <c:pt idx="26">
                  <c:v>0.00686896135265691</c:v>
                </c:pt>
                <c:pt idx="27">
                  <c:v>-0.00134942649374004</c:v>
                </c:pt>
                <c:pt idx="28">
                  <c:v>0.0104346520531491</c:v>
                </c:pt>
                <c:pt idx="29">
                  <c:v>0.00349182763744427</c:v>
                </c:pt>
                <c:pt idx="30">
                  <c:v>-0.0447915895461611</c:v>
                </c:pt>
                <c:pt idx="31">
                  <c:v>-0.00310029452798022</c:v>
                </c:pt>
                <c:pt idx="32">
                  <c:v>0.0124397449852278</c:v>
                </c:pt>
                <c:pt idx="33">
                  <c:v>-0.0420826293964062</c:v>
                </c:pt>
                <c:pt idx="34">
                  <c:v>-0.0460157126823794</c:v>
                </c:pt>
                <c:pt idx="35">
                  <c:v>-0.130336134453782</c:v>
                </c:pt>
                <c:pt idx="36">
                  <c:v>0.00550777852932649</c:v>
                </c:pt>
                <c:pt idx="37">
                  <c:v>0.0175860080722661</c:v>
                </c:pt>
                <c:pt idx="38">
                  <c:v>0.015110019831901</c:v>
                </c:pt>
                <c:pt idx="39">
                  <c:v>0.0373057958879897</c:v>
                </c:pt>
                <c:pt idx="40">
                  <c:v>-0.0605381165919282</c:v>
                </c:pt>
                <c:pt idx="41">
                  <c:v>0.054797136038186</c:v>
                </c:pt>
                <c:pt idx="42">
                  <c:v>-0.00262467191601046</c:v>
                </c:pt>
                <c:pt idx="43">
                  <c:v>0.0189655172413794</c:v>
                </c:pt>
                <c:pt idx="44">
                  <c:v>-0.0257369311603883</c:v>
                </c:pt>
                <c:pt idx="45">
                  <c:v>0.0265996343692869</c:v>
                </c:pt>
                <c:pt idx="46">
                  <c:v>0.0191434422580357</c:v>
                </c:pt>
                <c:pt idx="47">
                  <c:v>0.0497116896732484</c:v>
                </c:pt>
                <c:pt idx="48">
                  <c:v>0.0299625468164793</c:v>
                </c:pt>
                <c:pt idx="49">
                  <c:v>-0.00864646464646457</c:v>
                </c:pt>
                <c:pt idx="50">
                  <c:v>0.0105966742745354</c:v>
                </c:pt>
                <c:pt idx="51">
                  <c:v>-0.0167768994999193</c:v>
                </c:pt>
                <c:pt idx="52">
                  <c:v>0.00779327317473322</c:v>
                </c:pt>
                <c:pt idx="53">
                  <c:v>0.0489214489214491</c:v>
                </c:pt>
                <c:pt idx="54">
                  <c:v>-0.00807077448393623</c:v>
                </c:pt>
                <c:pt idx="55">
                  <c:v>-0.0046158660616491</c:v>
                </c:pt>
                <c:pt idx="56">
                  <c:v>0.0216143991197044</c:v>
                </c:pt>
                <c:pt idx="57">
                  <c:v>-0.0346976457916602</c:v>
                </c:pt>
                <c:pt idx="58">
                  <c:v>0.000956403921256177</c:v>
                </c:pt>
                <c:pt idx="59">
                  <c:v>-0.0252408631260451</c:v>
                </c:pt>
                <c:pt idx="60">
                  <c:v>-0.0178075477863094</c:v>
                </c:pt>
                <c:pt idx="61">
                  <c:v>0.0187957418496341</c:v>
                </c:pt>
                <c:pt idx="62">
                  <c:v>-0.0404897959183673</c:v>
                </c:pt>
                <c:pt idx="63">
                  <c:v>-0.0352220520673813</c:v>
                </c:pt>
                <c:pt idx="64">
                  <c:v>0.0214285714285714</c:v>
                </c:pt>
                <c:pt idx="65">
                  <c:v>-0.0208063541396875</c:v>
                </c:pt>
                <c:pt idx="66">
                  <c:v>0.0209839534473637</c:v>
                </c:pt>
                <c:pt idx="67">
                  <c:v>0.00846286701208987</c:v>
                </c:pt>
                <c:pt idx="68">
                  <c:v>-0.0409316663812297</c:v>
                </c:pt>
                <c:pt idx="69">
                  <c:v>-0.00776785714285722</c:v>
                </c:pt>
                <c:pt idx="70">
                  <c:v>-0.0702780527310357</c:v>
                </c:pt>
                <c:pt idx="71">
                  <c:v>0.0185830429732869</c:v>
                </c:pt>
                <c:pt idx="72">
                  <c:v>0.00370581527936142</c:v>
                </c:pt>
                <c:pt idx="73">
                  <c:v>-0.0193126952570292</c:v>
                </c:pt>
                <c:pt idx="74">
                  <c:v>0.056858770151559</c:v>
                </c:pt>
                <c:pt idx="75">
                  <c:v>0.0863171355498722</c:v>
                </c:pt>
                <c:pt idx="76">
                  <c:v>0.00269065837047</c:v>
                </c:pt>
                <c:pt idx="77">
                  <c:v>-0.0159329140461216</c:v>
                </c:pt>
                <c:pt idx="78">
                  <c:v>0.0298253089049851</c:v>
                </c:pt>
                <c:pt idx="79">
                  <c:v>0.00099296648738112</c:v>
                </c:pt>
                <c:pt idx="80">
                  <c:v>0.0243862114573861</c:v>
                </c:pt>
                <c:pt idx="81">
                  <c:v>-0.0323595868302131</c:v>
                </c:pt>
                <c:pt idx="82">
                  <c:v>-0.0668834959552997</c:v>
                </c:pt>
                <c:pt idx="83">
                  <c:v>-0.031012601662347</c:v>
                </c:pt>
                <c:pt idx="84">
                  <c:v>0.0187234827522598</c:v>
                </c:pt>
                <c:pt idx="85">
                  <c:v>-0.11063829787234</c:v>
                </c:pt>
                <c:pt idx="86">
                  <c:v>-0.0203603787030439</c:v>
                </c:pt>
                <c:pt idx="87">
                  <c:v>0.0609996882469084</c:v>
                </c:pt>
                <c:pt idx="88">
                  <c:v>0.00137120470127328</c:v>
                </c:pt>
                <c:pt idx="89">
                  <c:v>0.0310054773082942</c:v>
                </c:pt>
                <c:pt idx="90">
                  <c:v>0.0142301489422256</c:v>
                </c:pt>
                <c:pt idx="91">
                  <c:v>0.0340473295295107</c:v>
                </c:pt>
                <c:pt idx="92">
                  <c:v>-0.0588873812754409</c:v>
                </c:pt>
                <c:pt idx="93">
                  <c:v>0.043829296424452</c:v>
                </c:pt>
                <c:pt idx="94">
                  <c:v>0.00174953959484347</c:v>
                </c:pt>
                <c:pt idx="95">
                  <c:v>-0.0138799522014892</c:v>
                </c:pt>
                <c:pt idx="96">
                  <c:v>-0.0148210290827741</c:v>
                </c:pt>
                <c:pt idx="97">
                  <c:v>-0.000662314315450829</c:v>
                </c:pt>
                <c:pt idx="98">
                  <c:v>0.0227229691346336</c:v>
                </c:pt>
                <c:pt idx="99">
                  <c:v>0.0106461766339567</c:v>
                </c:pt>
                <c:pt idx="100">
                  <c:v>-0.0218924612988917</c:v>
                </c:pt>
                <c:pt idx="101">
                  <c:v>0.0328713242180183</c:v>
                </c:pt>
                <c:pt idx="102">
                  <c:v>-0.0487804878048781</c:v>
                </c:pt>
                <c:pt idx="103">
                  <c:v>0.00733962443999636</c:v>
                </c:pt>
                <c:pt idx="104">
                  <c:v>0.00861090083270244</c:v>
                </c:pt>
                <c:pt idx="105">
                  <c:v>0.0533821183975982</c:v>
                </c:pt>
                <c:pt idx="106">
                  <c:v>0.0133594584966157</c:v>
                </c:pt>
                <c:pt idx="107">
                  <c:v>-0.00114255580945677</c:v>
                </c:pt>
                <c:pt idx="108">
                  <c:v>0.014958205015398</c:v>
                </c:pt>
                <c:pt idx="109">
                  <c:v>-0.0159514521022973</c:v>
                </c:pt>
                <c:pt idx="110">
                  <c:v>0.0059906616157166</c:v>
                </c:pt>
                <c:pt idx="111">
                  <c:v>0.0251335493475786</c:v>
                </c:pt>
                <c:pt idx="112">
                  <c:v>-0.0498035195626174</c:v>
                </c:pt>
                <c:pt idx="113">
                  <c:v>0.11552638676616</c:v>
                </c:pt>
                <c:pt idx="114">
                  <c:v>0.018939393939394</c:v>
                </c:pt>
                <c:pt idx="115">
                  <c:v>-0.0185082654433284</c:v>
                </c:pt>
                <c:pt idx="116">
                  <c:v>0.0121685873156578</c:v>
                </c:pt>
                <c:pt idx="117">
                  <c:v>-0.0220541401273885</c:v>
                </c:pt>
                <c:pt idx="118">
                  <c:v>0.0240983473092893</c:v>
                </c:pt>
                <c:pt idx="119">
                  <c:v>0.021782335638763</c:v>
                </c:pt>
                <c:pt idx="120">
                  <c:v>-0.00427915661713219</c:v>
                </c:pt>
                <c:pt idx="121">
                  <c:v>0.0171901859665573</c:v>
                </c:pt>
                <c:pt idx="122">
                  <c:v>-0.0226609310185897</c:v>
                </c:pt>
                <c:pt idx="123">
                  <c:v>0.0116324766171501</c:v>
                </c:pt>
                <c:pt idx="124">
                  <c:v>0.00264159738948022</c:v>
                </c:pt>
                <c:pt idx="125">
                  <c:v>0.00271212708252611</c:v>
                </c:pt>
                <c:pt idx="126">
                  <c:v>0.0294435857805255</c:v>
                </c:pt>
                <c:pt idx="127">
                  <c:v>-0.0454920801741611</c:v>
                </c:pt>
                <c:pt idx="128">
                  <c:v>0.0268187180495478</c:v>
                </c:pt>
                <c:pt idx="129">
                  <c:v>0.0489430147058823</c:v>
                </c:pt>
                <c:pt idx="130">
                  <c:v>0.0147499087258125</c:v>
                </c:pt>
                <c:pt idx="131">
                  <c:v>0.0182773260415916</c:v>
                </c:pt>
                <c:pt idx="132">
                  <c:v>0.00749063670411987</c:v>
                </c:pt>
                <c:pt idx="133">
                  <c:v>-0.0563232096513994</c:v>
                </c:pt>
                <c:pt idx="134">
                  <c:v>-0.0207373271889401</c:v>
                </c:pt>
                <c:pt idx="135">
                  <c:v>-0.0283870967741936</c:v>
                </c:pt>
                <c:pt idx="136">
                  <c:v>0.00695258182954461</c:v>
                </c:pt>
                <c:pt idx="137">
                  <c:v>0.0377812257564003</c:v>
                </c:pt>
                <c:pt idx="138">
                  <c:v>0.0255662704642297</c:v>
                </c:pt>
                <c:pt idx="139">
                  <c:v>0.0576572636489541</c:v>
                </c:pt>
                <c:pt idx="140">
                  <c:v>-0.0206753962784286</c:v>
                </c:pt>
                <c:pt idx="141">
                  <c:v>-0.00485573539760731</c:v>
                </c:pt>
                <c:pt idx="142">
                  <c:v>0.0189519835938052</c:v>
                </c:pt>
                <c:pt idx="143">
                  <c:v>-0.0247067804844194</c:v>
                </c:pt>
                <c:pt idx="144">
                  <c:v>0.0382124813207145</c:v>
                </c:pt>
                <c:pt idx="145">
                  <c:v>-0.0166552433173407</c:v>
                </c:pt>
                <c:pt idx="146">
                  <c:v>0.00745800515787276</c:v>
                </c:pt>
                <c:pt idx="147">
                  <c:v>0.0290577002905772</c:v>
                </c:pt>
                <c:pt idx="148">
                  <c:v>-0.055129756622294</c:v>
                </c:pt>
                <c:pt idx="149">
                  <c:v>-0.00405578482994162</c:v>
                </c:pt>
                <c:pt idx="150">
                  <c:v>-0.00385796956490669</c:v>
                </c:pt>
                <c:pt idx="151">
                  <c:v>0.0103277630352148</c:v>
                </c:pt>
                <c:pt idx="152">
                  <c:v>0.0633207922197769</c:v>
                </c:pt>
                <c:pt idx="153">
                  <c:v>-0.0144201882635689</c:v>
                </c:pt>
                <c:pt idx="154">
                  <c:v>-0.0204565467723361</c:v>
                </c:pt>
              </c:numCache>
            </c:numRef>
          </c:val>
        </c:ser>
        <c:gapWidth val="150"/>
        <c:overlap val="0"/>
        <c:axId val="4079051"/>
        <c:axId val="86908232"/>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(Calc)'!$AE$3:$AE$157</c:f>
              <c:numCache>
                <c:formatCode>#,##0.00</c:formatCode>
                <c:ptCount val="155"/>
                <c:pt idx="0">
                  <c:v>123.51</c:v>
                </c:pt>
                <c:pt idx="1">
                  <c:v>123.647012987013</c:v>
                </c:pt>
                <c:pt idx="2">
                  <c:v>123.784025974026</c:v>
                </c:pt>
                <c:pt idx="3">
                  <c:v>123.921038961039</c:v>
                </c:pt>
                <c:pt idx="4">
                  <c:v>124.058051948052</c:v>
                </c:pt>
                <c:pt idx="5">
                  <c:v>124.195064935065</c:v>
                </c:pt>
                <c:pt idx="6">
                  <c:v>124.332077922078</c:v>
                </c:pt>
                <c:pt idx="7">
                  <c:v>124.469090909091</c:v>
                </c:pt>
                <c:pt idx="8">
                  <c:v>124.606103896104</c:v>
                </c:pt>
                <c:pt idx="9">
                  <c:v>124.743116883117</c:v>
                </c:pt>
                <c:pt idx="10">
                  <c:v>124.88012987013</c:v>
                </c:pt>
                <c:pt idx="11">
                  <c:v>125.017142857143</c:v>
                </c:pt>
                <c:pt idx="12">
                  <c:v>125.154155844156</c:v>
                </c:pt>
                <c:pt idx="13">
                  <c:v>125.291168831169</c:v>
                </c:pt>
                <c:pt idx="14">
                  <c:v>125.428181818182</c:v>
                </c:pt>
                <c:pt idx="15">
                  <c:v>125.565194805195</c:v>
                </c:pt>
                <c:pt idx="16">
                  <c:v>125.702207792208</c:v>
                </c:pt>
                <c:pt idx="17">
                  <c:v>125.839220779221</c:v>
                </c:pt>
                <c:pt idx="18">
                  <c:v>125.976233766234</c:v>
                </c:pt>
                <c:pt idx="19">
                  <c:v>126.113246753247</c:v>
                </c:pt>
                <c:pt idx="20">
                  <c:v>126.25025974026</c:v>
                </c:pt>
                <c:pt idx="21">
                  <c:v>126.387272727273</c:v>
                </c:pt>
                <c:pt idx="22">
                  <c:v>126.524285714286</c:v>
                </c:pt>
                <c:pt idx="23">
                  <c:v>126.661298701299</c:v>
                </c:pt>
                <c:pt idx="24">
                  <c:v>126.798311688312</c:v>
                </c:pt>
                <c:pt idx="25">
                  <c:v>126.935324675325</c:v>
                </c:pt>
                <c:pt idx="26">
                  <c:v>127.072337662338</c:v>
                </c:pt>
                <c:pt idx="27">
                  <c:v>127.209350649351</c:v>
                </c:pt>
                <c:pt idx="28">
                  <c:v>127.346363636364</c:v>
                </c:pt>
                <c:pt idx="29">
                  <c:v>127.483376623377</c:v>
                </c:pt>
                <c:pt idx="30">
                  <c:v>127.62038961039</c:v>
                </c:pt>
                <c:pt idx="31">
                  <c:v>127.757402597403</c:v>
                </c:pt>
                <c:pt idx="32">
                  <c:v>127.894415584416</c:v>
                </c:pt>
                <c:pt idx="33">
                  <c:v>128.031428571429</c:v>
                </c:pt>
                <c:pt idx="34">
                  <c:v>128.168441558442</c:v>
                </c:pt>
                <c:pt idx="35">
                  <c:v>128.305454545455</c:v>
                </c:pt>
                <c:pt idx="36">
                  <c:v>128.442467532468</c:v>
                </c:pt>
                <c:pt idx="37">
                  <c:v>128.579480519481</c:v>
                </c:pt>
                <c:pt idx="38">
                  <c:v>128.716493506494</c:v>
                </c:pt>
                <c:pt idx="39">
                  <c:v>128.853506493507</c:v>
                </c:pt>
                <c:pt idx="40">
                  <c:v>128.990519480519</c:v>
                </c:pt>
                <c:pt idx="41">
                  <c:v>129.127532467532</c:v>
                </c:pt>
                <c:pt idx="42">
                  <c:v>129.264545454545</c:v>
                </c:pt>
                <c:pt idx="43">
                  <c:v>129.401558441558</c:v>
                </c:pt>
                <c:pt idx="44">
                  <c:v>129.538571428571</c:v>
                </c:pt>
                <c:pt idx="45">
                  <c:v>129.675584415584</c:v>
                </c:pt>
                <c:pt idx="46">
                  <c:v>129.812597402597</c:v>
                </c:pt>
                <c:pt idx="47">
                  <c:v>129.94961038961</c:v>
                </c:pt>
                <c:pt idx="48">
                  <c:v>130.086623376623</c:v>
                </c:pt>
                <c:pt idx="49">
                  <c:v>130.223636363636</c:v>
                </c:pt>
                <c:pt idx="50">
                  <c:v>130.360649350649</c:v>
                </c:pt>
                <c:pt idx="51">
                  <c:v>130.497662337662</c:v>
                </c:pt>
                <c:pt idx="52">
                  <c:v>130.634675324675</c:v>
                </c:pt>
                <c:pt idx="53">
                  <c:v>130.771688311688</c:v>
                </c:pt>
                <c:pt idx="54">
                  <c:v>130.908701298701</c:v>
                </c:pt>
                <c:pt idx="55">
                  <c:v>131.045714285714</c:v>
                </c:pt>
                <c:pt idx="56">
                  <c:v>131.182727272727</c:v>
                </c:pt>
                <c:pt idx="57">
                  <c:v>131.31974025974</c:v>
                </c:pt>
                <c:pt idx="58">
                  <c:v>131.456753246753</c:v>
                </c:pt>
                <c:pt idx="59">
                  <c:v>131.593766233766</c:v>
                </c:pt>
                <c:pt idx="60">
                  <c:v>131.730779220779</c:v>
                </c:pt>
                <c:pt idx="61">
                  <c:v>131.867792207792</c:v>
                </c:pt>
                <c:pt idx="62">
                  <c:v>132.004805194805</c:v>
                </c:pt>
                <c:pt idx="63">
                  <c:v>132.141818181818</c:v>
                </c:pt>
                <c:pt idx="64">
                  <c:v>132.278831168831</c:v>
                </c:pt>
                <c:pt idx="65">
                  <c:v>132.415844155844</c:v>
                </c:pt>
                <c:pt idx="66">
                  <c:v>132.552857142857</c:v>
                </c:pt>
                <c:pt idx="67">
                  <c:v>132.68987012987</c:v>
                </c:pt>
                <c:pt idx="68">
                  <c:v>132.826883116883</c:v>
                </c:pt>
                <c:pt idx="69">
                  <c:v>132.963896103896</c:v>
                </c:pt>
                <c:pt idx="70">
                  <c:v>133.100909090909</c:v>
                </c:pt>
                <c:pt idx="71">
                  <c:v>133.237922077922</c:v>
                </c:pt>
                <c:pt idx="72">
                  <c:v>133.374935064935</c:v>
                </c:pt>
                <c:pt idx="73">
                  <c:v>133.511948051948</c:v>
                </c:pt>
                <c:pt idx="74">
                  <c:v>133.648961038961</c:v>
                </c:pt>
                <c:pt idx="75">
                  <c:v>133.785974025974</c:v>
                </c:pt>
                <c:pt idx="76">
                  <c:v>133.922987012987</c:v>
                </c:pt>
                <c:pt idx="77">
                  <c:v>134.06</c:v>
                </c:pt>
                <c:pt idx="78">
                  <c:v>134.197012987013</c:v>
                </c:pt>
                <c:pt idx="79">
                  <c:v>134.334025974026</c:v>
                </c:pt>
                <c:pt idx="80">
                  <c:v>134.471038961039</c:v>
                </c:pt>
                <c:pt idx="81">
                  <c:v>134.608051948052</c:v>
                </c:pt>
                <c:pt idx="82">
                  <c:v>134.745064935065</c:v>
                </c:pt>
                <c:pt idx="83">
                  <c:v>134.882077922078</c:v>
                </c:pt>
                <c:pt idx="84">
                  <c:v>135.019090909091</c:v>
                </c:pt>
                <c:pt idx="85">
                  <c:v>135.156103896104</c:v>
                </c:pt>
                <c:pt idx="86">
                  <c:v>135.293116883117</c:v>
                </c:pt>
                <c:pt idx="87">
                  <c:v>135.43012987013</c:v>
                </c:pt>
                <c:pt idx="88">
                  <c:v>135.567142857143</c:v>
                </c:pt>
                <c:pt idx="89">
                  <c:v>135.704155844156</c:v>
                </c:pt>
                <c:pt idx="90">
                  <c:v>135.841168831169</c:v>
                </c:pt>
                <c:pt idx="91">
                  <c:v>135.978181818182</c:v>
                </c:pt>
                <c:pt idx="92">
                  <c:v>136.115194805195</c:v>
                </c:pt>
                <c:pt idx="93">
                  <c:v>136.252207792208</c:v>
                </c:pt>
                <c:pt idx="94">
                  <c:v>136.389220779221</c:v>
                </c:pt>
                <c:pt idx="95">
                  <c:v>136.526233766234</c:v>
                </c:pt>
                <c:pt idx="96">
                  <c:v>136.663246753247</c:v>
                </c:pt>
                <c:pt idx="97">
                  <c:v>136.80025974026</c:v>
                </c:pt>
                <c:pt idx="98">
                  <c:v>136.937272727273</c:v>
                </c:pt>
                <c:pt idx="99">
                  <c:v>137.074285714286</c:v>
                </c:pt>
                <c:pt idx="100">
                  <c:v>137.211298701299</c:v>
                </c:pt>
                <c:pt idx="101">
                  <c:v>137.348311688312</c:v>
                </c:pt>
                <c:pt idx="102">
                  <c:v>137.485324675325</c:v>
                </c:pt>
                <c:pt idx="103">
                  <c:v>137.622337662338</c:v>
                </c:pt>
                <c:pt idx="104">
                  <c:v>137.759350649351</c:v>
                </c:pt>
                <c:pt idx="105">
                  <c:v>137.896363636364</c:v>
                </c:pt>
                <c:pt idx="106">
                  <c:v>138.033376623377</c:v>
                </c:pt>
                <c:pt idx="107">
                  <c:v>138.17038961039</c:v>
                </c:pt>
                <c:pt idx="108">
                  <c:v>138.307402597403</c:v>
                </c:pt>
                <c:pt idx="109">
                  <c:v>138.444415584416</c:v>
                </c:pt>
                <c:pt idx="110">
                  <c:v>138.581428571429</c:v>
                </c:pt>
                <c:pt idx="111">
                  <c:v>138.718441558442</c:v>
                </c:pt>
                <c:pt idx="112">
                  <c:v>138.855454545455</c:v>
                </c:pt>
                <c:pt idx="113">
                  <c:v>138.992467532468</c:v>
                </c:pt>
                <c:pt idx="114">
                  <c:v>139.129480519481</c:v>
                </c:pt>
                <c:pt idx="115">
                  <c:v>139.266493506494</c:v>
                </c:pt>
                <c:pt idx="116">
                  <c:v>139.403506493507</c:v>
                </c:pt>
                <c:pt idx="117">
                  <c:v>139.54051948052</c:v>
                </c:pt>
                <c:pt idx="118">
                  <c:v>139.677532467532</c:v>
                </c:pt>
                <c:pt idx="119">
                  <c:v>139.814545454545</c:v>
                </c:pt>
                <c:pt idx="120">
                  <c:v>139.951558441558</c:v>
                </c:pt>
                <c:pt idx="121">
                  <c:v>140.088571428571</c:v>
                </c:pt>
                <c:pt idx="122">
                  <c:v>140.225584415584</c:v>
                </c:pt>
                <c:pt idx="123">
                  <c:v>140.362597402597</c:v>
                </c:pt>
                <c:pt idx="124">
                  <c:v>140.49961038961</c:v>
                </c:pt>
                <c:pt idx="125">
                  <c:v>140.636623376623</c:v>
                </c:pt>
                <c:pt idx="126">
                  <c:v>140.773636363636</c:v>
                </c:pt>
                <c:pt idx="127">
                  <c:v>140.910649350649</c:v>
                </c:pt>
                <c:pt idx="128">
                  <c:v>141.047662337662</c:v>
                </c:pt>
                <c:pt idx="129">
                  <c:v>141.184675324675</c:v>
                </c:pt>
                <c:pt idx="130">
                  <c:v>141.321688311688</c:v>
                </c:pt>
                <c:pt idx="131">
                  <c:v>141.458701298701</c:v>
                </c:pt>
                <c:pt idx="132">
                  <c:v>141.595714285714</c:v>
                </c:pt>
                <c:pt idx="133">
                  <c:v>141.732727272727</c:v>
                </c:pt>
                <c:pt idx="134">
                  <c:v>141.86974025974</c:v>
                </c:pt>
                <c:pt idx="135">
                  <c:v>142.006753246753</c:v>
                </c:pt>
                <c:pt idx="136">
                  <c:v>142.143766233766</c:v>
                </c:pt>
                <c:pt idx="137">
                  <c:v>142.280779220779</c:v>
                </c:pt>
                <c:pt idx="138">
                  <c:v>142.417792207792</c:v>
                </c:pt>
                <c:pt idx="139">
                  <c:v>142.554805194805</c:v>
                </c:pt>
                <c:pt idx="140">
                  <c:v>142.691818181818</c:v>
                </c:pt>
                <c:pt idx="141">
                  <c:v>142.828831168831</c:v>
                </c:pt>
                <c:pt idx="142">
                  <c:v>142.965844155844</c:v>
                </c:pt>
                <c:pt idx="143">
                  <c:v>143.102857142857</c:v>
                </c:pt>
                <c:pt idx="144">
                  <c:v>143.23987012987</c:v>
                </c:pt>
                <c:pt idx="145">
                  <c:v>143.376883116883</c:v>
                </c:pt>
                <c:pt idx="146">
                  <c:v>143.513896103896</c:v>
                </c:pt>
                <c:pt idx="147">
                  <c:v>143.650909090909</c:v>
                </c:pt>
                <c:pt idx="148">
                  <c:v>143.787922077922</c:v>
                </c:pt>
                <c:pt idx="149">
                  <c:v>143.924935064935</c:v>
                </c:pt>
                <c:pt idx="150">
                  <c:v>144.061948051948</c:v>
                </c:pt>
                <c:pt idx="151">
                  <c:v>144.198961038961</c:v>
                </c:pt>
                <c:pt idx="152">
                  <c:v>144.335974025974</c:v>
                </c:pt>
                <c:pt idx="153">
                  <c:v>144.472987012987</c:v>
                </c:pt>
                <c:pt idx="154">
                  <c:v>144.61</c:v>
                </c:pt>
              </c:numCache>
            </c:numRef>
          </c:val>
          <c:smooth val="0"/>
        </c:ser>
        <c:hiLowLines>
          <c:spPr>
            <a:ln w="0">
              <a:noFill/>
            </a:ln>
          </c:spPr>
        </c:hiLowLines>
        <c:marker val="0"/>
        <c:axId val="71711870"/>
        <c:axId val="78178075"/>
      </c:lineChart>
      <c:dateAx>
        <c:axId val="407905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6908232"/>
        <c:auto val="1"/>
        <c:lblOffset val="100"/>
        <c:baseTimeUnit val="days"/>
      </c:dateAx>
      <c:valAx>
        <c:axId val="8690823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79051"/>
        <c:crosses val="autoZero"/>
        <c:crossBetween val="between"/>
      </c:valAx>
      <c:dateAx>
        <c:axId val="7171187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8178075"/>
        <c:auto val="1"/>
        <c:lblOffset val="100"/>
        <c:baseTimeUnit val="days"/>
      </c:dateAx>
      <c:valAx>
        <c:axId val="78178075"/>
        <c:scaling>
          <c:orientation val="minMax"/>
        </c:scaling>
        <c:delete val="0"/>
        <c:axPos val="r"/>
        <c:title>
          <c:tx>
            <c:rich>
              <a:bodyPr rot="-5400000"/>
              <a:lstStyle/>
              <a:p>
                <a:pPr>
                  <a:defRPr sz="1300" b="0" u="none" strike="noStrike">
                    <a:uFillTx/>
                    <a:latin typeface="Arial"/>
                  </a:defRPr>
                </a:pPr>
                <a:r>
                  <a:rPr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71187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(Calc)'!$K$3:$K$157</c:f>
              <c:numCache>
                <c:formatCode>0.0%</c:formatCode>
                <c:ptCount val="155"/>
                <c:pt idx="0">
                  <c:v>-0.0655418559377028</c:v>
                </c:pt>
                <c:pt idx="1">
                  <c:v>0.00902777777777764</c:v>
                </c:pt>
                <c:pt idx="2">
                  <c:v>0.044735030970406</c:v>
                </c:pt>
                <c:pt idx="3">
                  <c:v>-0.00329380764163367</c:v>
                </c:pt>
                <c:pt idx="4">
                  <c:v>0.0132187706543292</c:v>
                </c:pt>
                <c:pt idx="5">
                  <c:v>-0.0782778864970646</c:v>
                </c:pt>
                <c:pt idx="6">
                  <c:v>0.132342533616419</c:v>
                </c:pt>
                <c:pt idx="7">
                  <c:v>0.038125</c:v>
                </c:pt>
                <c:pt idx="8">
                  <c:v>0.0451535219747141</c:v>
                </c:pt>
                <c:pt idx="9">
                  <c:v>-0.0720046082949308</c:v>
                </c:pt>
                <c:pt idx="10">
                  <c:v>-0.0645561762880198</c:v>
                </c:pt>
                <c:pt idx="11">
                  <c:v>0.253483742534838</c:v>
                </c:pt>
                <c:pt idx="12">
                  <c:v>0.0412916887241928</c:v>
                </c:pt>
                <c:pt idx="13">
                  <c:v>0.0416878495170308</c:v>
                </c:pt>
                <c:pt idx="14">
                  <c:v>-0.0629575402635432</c:v>
                </c:pt>
                <c:pt idx="15">
                  <c:v>0.0557291666666666</c:v>
                </c:pt>
                <c:pt idx="16">
                  <c:v>-0.123334977799704</c:v>
                </c:pt>
                <c:pt idx="17">
                  <c:v>0.024198086662915</c:v>
                </c:pt>
                <c:pt idx="18">
                  <c:v>-0.0434065934065934</c:v>
                </c:pt>
                <c:pt idx="19">
                  <c:v>-0.0137851809304996</c:v>
                </c:pt>
                <c:pt idx="20">
                  <c:v>-0.0693069306930694</c:v>
                </c:pt>
                <c:pt idx="21">
                  <c:v>0.0488110137672091</c:v>
                </c:pt>
                <c:pt idx="22">
                  <c:v>0.00119331742243434</c:v>
                </c:pt>
                <c:pt idx="23">
                  <c:v>-0.0256257449344458</c:v>
                </c:pt>
                <c:pt idx="24">
                  <c:v>0.0409785932721711</c:v>
                </c:pt>
                <c:pt idx="25">
                  <c:v>0.432432432432432</c:v>
                </c:pt>
                <c:pt idx="26">
                  <c:v>0.00246103363412642</c:v>
                </c:pt>
                <c:pt idx="27">
                  <c:v>-0.0601472995090018</c:v>
                </c:pt>
                <c:pt idx="28">
                  <c:v>0.0853286895951242</c:v>
                </c:pt>
                <c:pt idx="29">
                  <c:v>0.0445246690734056</c:v>
                </c:pt>
                <c:pt idx="30">
                  <c:v>-0.097926267281106</c:v>
                </c:pt>
                <c:pt idx="31">
                  <c:v>0.029374201787995</c:v>
                </c:pt>
                <c:pt idx="32">
                  <c:v>-0.0483870967741935</c:v>
                </c:pt>
                <c:pt idx="33">
                  <c:v>-0.00217296827466318</c:v>
                </c:pt>
                <c:pt idx="34">
                  <c:v>-0.0126306620209059</c:v>
                </c:pt>
                <c:pt idx="35">
                  <c:v>-0.0970445522717248</c:v>
                </c:pt>
                <c:pt idx="36">
                  <c:v>0.100146555935515</c:v>
                </c:pt>
                <c:pt idx="37">
                  <c:v>0.0359680284191828</c:v>
                </c:pt>
                <c:pt idx="38">
                  <c:v>-0.11701671667381</c:v>
                </c:pt>
                <c:pt idx="39">
                  <c:v>0.0563106796116506</c:v>
                </c:pt>
                <c:pt idx="40">
                  <c:v>-0.0344669117647058</c:v>
                </c:pt>
                <c:pt idx="41">
                  <c:v>0.031889576392194</c:v>
                </c:pt>
                <c:pt idx="42">
                  <c:v>0.0751845018450184</c:v>
                </c:pt>
                <c:pt idx="43">
                  <c:v>0.0111540111540112</c:v>
                </c:pt>
                <c:pt idx="44">
                  <c:v>0.0114552397114978</c:v>
                </c:pt>
                <c:pt idx="45">
                  <c:v>0.0625</c:v>
                </c:pt>
                <c:pt idx="46">
                  <c:v>0.0750098697197001</c:v>
                </c:pt>
                <c:pt idx="47">
                  <c:v>0.0308483290488433</c:v>
                </c:pt>
                <c:pt idx="48">
                  <c:v>0.0181688635553972</c:v>
                </c:pt>
                <c:pt idx="49">
                  <c:v>-0.0489853044086773</c:v>
                </c:pt>
                <c:pt idx="50">
                  <c:v>-0.0897718910963945</c:v>
                </c:pt>
                <c:pt idx="51">
                  <c:v>0.21301535974131</c:v>
                </c:pt>
                <c:pt idx="52">
                  <c:v>0.0689770076641119</c:v>
                </c:pt>
                <c:pt idx="53">
                  <c:v>-0.00935162094763087</c:v>
                </c:pt>
                <c:pt idx="54">
                  <c:v>-0.0094398993077407</c:v>
                </c:pt>
                <c:pt idx="55">
                  <c:v>-0.0365311308767472</c:v>
                </c:pt>
                <c:pt idx="56">
                  <c:v>0.173425651170458</c:v>
                </c:pt>
                <c:pt idx="57">
                  <c:v>0.0452374262433268</c:v>
                </c:pt>
                <c:pt idx="58">
                  <c:v>-0.00967741935483868</c:v>
                </c:pt>
                <c:pt idx="59">
                  <c:v>0.0860477741585233</c:v>
                </c:pt>
                <c:pt idx="60">
                  <c:v>0.0874781304673831</c:v>
                </c:pt>
                <c:pt idx="61">
                  <c:v>-0.01241094001379</c:v>
                </c:pt>
                <c:pt idx="62">
                  <c:v>0.0439841750058181</c:v>
                </c:pt>
                <c:pt idx="63">
                  <c:v>-0.0655372269282211</c:v>
                </c:pt>
                <c:pt idx="64">
                  <c:v>0.392891221374046</c:v>
                </c:pt>
                <c:pt idx="65">
                  <c:v>0.126391505394759</c:v>
                </c:pt>
                <c:pt idx="66">
                  <c:v>-0.0215903907556637</c:v>
                </c:pt>
                <c:pt idx="67">
                  <c:v>0.0424242424242425</c:v>
                </c:pt>
                <c:pt idx="68">
                  <c:v>0.13804412641622</c:v>
                </c:pt>
                <c:pt idx="69">
                  <c:v>-0.00353680901231346</c:v>
                </c:pt>
                <c:pt idx="70">
                  <c:v>0.0588931247535165</c:v>
                </c:pt>
                <c:pt idx="71">
                  <c:v>-0.0182495344506518</c:v>
                </c:pt>
                <c:pt idx="72">
                  <c:v>0.0102427921092565</c:v>
                </c:pt>
                <c:pt idx="73">
                  <c:v>-0.1580923770184</c:v>
                </c:pt>
                <c:pt idx="74">
                  <c:v>0.0670532262860539</c:v>
                </c:pt>
                <c:pt idx="75">
                  <c:v>0.100459802145743</c:v>
                </c:pt>
                <c:pt idx="76">
                  <c:v>0.0444416307926057</c:v>
                </c:pt>
                <c:pt idx="77">
                  <c:v>0.343799248393745</c:v>
                </c:pt>
                <c:pt idx="78">
                  <c:v>0.0749661705006766</c:v>
                </c:pt>
                <c:pt idx="79">
                  <c:v>-0.149462907015777</c:v>
                </c:pt>
                <c:pt idx="80">
                  <c:v>-0.162111494819931</c:v>
                </c:pt>
                <c:pt idx="81">
                  <c:v>-0.000117757889778636</c:v>
                </c:pt>
                <c:pt idx="82">
                  <c:v>0.0156636438582027</c:v>
                </c:pt>
                <c:pt idx="83">
                  <c:v>0.0547309833024119</c:v>
                </c:pt>
                <c:pt idx="84">
                  <c:v>-0.0561785400175902</c:v>
                </c:pt>
                <c:pt idx="85">
                  <c:v>-0.137914967967385</c:v>
                </c:pt>
                <c:pt idx="86">
                  <c:v>0.196459937846237</c:v>
                </c:pt>
                <c:pt idx="87">
                  <c:v>0.0590626764539808</c:v>
                </c:pt>
                <c:pt idx="88">
                  <c:v>0.202601834079761</c:v>
                </c:pt>
                <c:pt idx="89">
                  <c:v>0.101968434119525</c:v>
                </c:pt>
                <c:pt idx="90">
                  <c:v>-0.0561635017701964</c:v>
                </c:pt>
                <c:pt idx="91">
                  <c:v>0.104177323103154</c:v>
                </c:pt>
                <c:pt idx="92">
                  <c:v>-0.0479462631253861</c:v>
                </c:pt>
                <c:pt idx="93">
                  <c:v>0.0686886708296164</c:v>
                </c:pt>
                <c:pt idx="94">
                  <c:v>-0.0308089239641828</c:v>
                </c:pt>
                <c:pt idx="95">
                  <c:v>0.0757907923582839</c:v>
                </c:pt>
                <c:pt idx="96">
                  <c:v>-0.000727802037845615</c:v>
                </c:pt>
                <c:pt idx="97">
                  <c:v>-0.0477785870356883</c:v>
                </c:pt>
                <c:pt idx="98">
                  <c:v>0.0276885421447148</c:v>
                </c:pt>
                <c:pt idx="99">
                  <c:v>0.0576064304852633</c:v>
                </c:pt>
                <c:pt idx="100">
                  <c:v>0.08036593947924</c:v>
                </c:pt>
                <c:pt idx="101">
                  <c:v>0.0343929129755081</c:v>
                </c:pt>
                <c:pt idx="102">
                  <c:v>-0.0285264483627204</c:v>
                </c:pt>
                <c:pt idx="103">
                  <c:v>0.211901212160498</c:v>
                </c:pt>
                <c:pt idx="104">
                  <c:v>-0.0523641420624734</c:v>
                </c:pt>
                <c:pt idx="105">
                  <c:v>-0.104024383360614</c:v>
                </c:pt>
                <c:pt idx="106">
                  <c:v>-0.0127882071311579</c:v>
                </c:pt>
                <c:pt idx="107">
                  <c:v>-0.0229723693446493</c:v>
                </c:pt>
                <c:pt idx="108">
                  <c:v>0.119652537391418</c:v>
                </c:pt>
                <c:pt idx="109">
                  <c:v>0.0639328005599953</c:v>
                </c:pt>
                <c:pt idx="110">
                  <c:v>-0.0264268874390043</c:v>
                </c:pt>
                <c:pt idx="111">
                  <c:v>-0.025342118601115</c:v>
                </c:pt>
                <c:pt idx="112">
                  <c:v>0.0136938810885769</c:v>
                </c:pt>
                <c:pt idx="113">
                  <c:v>0.0154468764249887</c:v>
                </c:pt>
                <c:pt idx="114">
                  <c:v>0.0363738422677518</c:v>
                </c:pt>
                <c:pt idx="115">
                  <c:v>0.0857932080376971</c:v>
                </c:pt>
                <c:pt idx="116">
                  <c:v>-0.112435775926573</c:v>
                </c:pt>
                <c:pt idx="117">
                  <c:v>-0.0220311358399371</c:v>
                </c:pt>
                <c:pt idx="118">
                  <c:v>-0.110108614447446</c:v>
                </c:pt>
                <c:pt idx="119">
                  <c:v>0.0878269292864062</c:v>
                </c:pt>
                <c:pt idx="120">
                  <c:v>0.0790145443751855</c:v>
                </c:pt>
                <c:pt idx="121">
                  <c:v>0.00995818661971826</c:v>
                </c:pt>
                <c:pt idx="122">
                  <c:v>0.0534401045922537</c:v>
                </c:pt>
                <c:pt idx="123">
                  <c:v>-0.0241493432619712</c:v>
                </c:pt>
                <c:pt idx="124">
                  <c:v>-0.110486990620529</c:v>
                </c:pt>
                <c:pt idx="125">
                  <c:v>0.0573692362683189</c:v>
                </c:pt>
                <c:pt idx="126">
                  <c:v>-0.0367908051157811</c:v>
                </c:pt>
                <c:pt idx="127">
                  <c:v>-0.0079550772110436</c:v>
                </c:pt>
                <c:pt idx="128">
                  <c:v>-0.135672169811321</c:v>
                </c:pt>
                <c:pt idx="129">
                  <c:v>-0.0729244832526093</c:v>
                </c:pt>
                <c:pt idx="130">
                  <c:v>-0.0330389992641649</c:v>
                </c:pt>
                <c:pt idx="131">
                  <c:v>0.0291454227227761</c:v>
                </c:pt>
                <c:pt idx="132">
                  <c:v>0.014418811002662</c:v>
                </c:pt>
                <c:pt idx="133">
                  <c:v>0.145564545520811</c:v>
                </c:pt>
                <c:pt idx="134">
                  <c:v>-0.0395138712140495</c:v>
                </c:pt>
                <c:pt idx="135">
                  <c:v>-0.00178867174561104</c:v>
                </c:pt>
                <c:pt idx="136">
                  <c:v>-0.0505707459516858</c:v>
                </c:pt>
                <c:pt idx="137">
                  <c:v>0.0377464001118413</c:v>
                </c:pt>
                <c:pt idx="138">
                  <c:v>-0.13741075037047</c:v>
                </c:pt>
                <c:pt idx="139">
                  <c:v>0.143136029985944</c:v>
                </c:pt>
                <c:pt idx="140">
                  <c:v>-0.0225425233964067</c:v>
                </c:pt>
                <c:pt idx="141">
                  <c:v>0.00684883639667344</c:v>
                </c:pt>
                <c:pt idx="142">
                  <c:v>-0.0435205108627749</c:v>
                </c:pt>
                <c:pt idx="143">
                  <c:v>-0.0276487663280116</c:v>
                </c:pt>
                <c:pt idx="144">
                  <c:v>0.0215687737890886</c:v>
                </c:pt>
                <c:pt idx="145">
                  <c:v>0.143629456458211</c:v>
                </c:pt>
                <c:pt idx="146">
                  <c:v>-0.134214897150888</c:v>
                </c:pt>
                <c:pt idx="147">
                  <c:v>-0.0556334390909762</c:v>
                </c:pt>
                <c:pt idx="148">
                  <c:v>0.00375029299163998</c:v>
                </c:pt>
                <c:pt idx="149">
                  <c:v>-0.120962092317273</c:v>
                </c:pt>
                <c:pt idx="150">
                  <c:v>0.144957053041707</c:v>
                </c:pt>
                <c:pt idx="151">
                  <c:v>-0.0194122196442382</c:v>
                </c:pt>
                <c:pt idx="152">
                  <c:v>0.0440886505244893</c:v>
                </c:pt>
                <c:pt idx="153">
                  <c:v>-0.0714609457621996</c:v>
                </c:pt>
                <c:pt idx="154">
                  <c:v>0.00113895216400906</c:v>
                </c:pt>
              </c:numCache>
            </c:numRef>
          </c:val>
        </c:ser>
        <c:gapWidth val="150"/>
        <c:overlap val="0"/>
        <c:axId val="75985783"/>
        <c:axId val="56183338"/>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(Calc)'!$AF$3:$AF$157</c:f>
              <c:numCache>
                <c:formatCode>#,##0.00</c:formatCode>
                <c:ptCount val="155"/>
                <c:pt idx="0">
                  <c:v>15.41</c:v>
                </c:pt>
                <c:pt idx="1">
                  <c:v>16.109025974026</c:v>
                </c:pt>
                <c:pt idx="2">
                  <c:v>16.808051948052</c:v>
                </c:pt>
                <c:pt idx="3">
                  <c:v>17.5070779220779</c:v>
                </c:pt>
                <c:pt idx="4">
                  <c:v>18.2061038961039</c:v>
                </c:pt>
                <c:pt idx="5">
                  <c:v>18.9051298701299</c:v>
                </c:pt>
                <c:pt idx="6">
                  <c:v>19.6041558441558</c:v>
                </c:pt>
                <c:pt idx="7">
                  <c:v>20.3031818181818</c:v>
                </c:pt>
                <c:pt idx="8">
                  <c:v>21.0022077922078</c:v>
                </c:pt>
                <c:pt idx="9">
                  <c:v>21.7012337662338</c:v>
                </c:pt>
                <c:pt idx="10">
                  <c:v>22.4002597402597</c:v>
                </c:pt>
                <c:pt idx="11">
                  <c:v>23.0992857142857</c:v>
                </c:pt>
                <c:pt idx="12">
                  <c:v>23.7983116883117</c:v>
                </c:pt>
                <c:pt idx="13">
                  <c:v>24.4973376623377</c:v>
                </c:pt>
                <c:pt idx="14">
                  <c:v>25.1963636363636</c:v>
                </c:pt>
                <c:pt idx="15">
                  <c:v>25.8953896103896</c:v>
                </c:pt>
                <c:pt idx="16">
                  <c:v>26.5944155844156</c:v>
                </c:pt>
                <c:pt idx="17">
                  <c:v>27.2934415584415</c:v>
                </c:pt>
                <c:pt idx="18">
                  <c:v>27.9924675324675</c:v>
                </c:pt>
                <c:pt idx="19">
                  <c:v>28.6914935064935</c:v>
                </c:pt>
                <c:pt idx="20">
                  <c:v>29.3905194805195</c:v>
                </c:pt>
                <c:pt idx="21">
                  <c:v>30.0895454545454</c:v>
                </c:pt>
                <c:pt idx="22">
                  <c:v>30.7885714285714</c:v>
                </c:pt>
                <c:pt idx="23">
                  <c:v>31.4875974025974</c:v>
                </c:pt>
                <c:pt idx="24">
                  <c:v>32.1866233766234</c:v>
                </c:pt>
                <c:pt idx="25">
                  <c:v>32.8856493506493</c:v>
                </c:pt>
                <c:pt idx="26">
                  <c:v>33.5846753246753</c:v>
                </c:pt>
                <c:pt idx="27">
                  <c:v>34.2837012987013</c:v>
                </c:pt>
                <c:pt idx="28">
                  <c:v>34.9827272727273</c:v>
                </c:pt>
                <c:pt idx="29">
                  <c:v>35.6817532467532</c:v>
                </c:pt>
                <c:pt idx="30">
                  <c:v>36.3807792207792</c:v>
                </c:pt>
                <c:pt idx="31">
                  <c:v>37.0798051948052</c:v>
                </c:pt>
                <c:pt idx="32">
                  <c:v>37.7788311688312</c:v>
                </c:pt>
                <c:pt idx="33">
                  <c:v>38.4778571428571</c:v>
                </c:pt>
                <c:pt idx="34">
                  <c:v>39.1768831168831</c:v>
                </c:pt>
                <c:pt idx="35">
                  <c:v>39.8759090909091</c:v>
                </c:pt>
                <c:pt idx="36">
                  <c:v>40.5749350649351</c:v>
                </c:pt>
                <c:pt idx="37">
                  <c:v>41.273961038961</c:v>
                </c:pt>
                <c:pt idx="38">
                  <c:v>41.972987012987</c:v>
                </c:pt>
                <c:pt idx="39">
                  <c:v>42.672012987013</c:v>
                </c:pt>
                <c:pt idx="40">
                  <c:v>43.371038961039</c:v>
                </c:pt>
                <c:pt idx="41">
                  <c:v>44.0700649350649</c:v>
                </c:pt>
                <c:pt idx="42">
                  <c:v>44.7690909090909</c:v>
                </c:pt>
                <c:pt idx="43">
                  <c:v>45.4681168831169</c:v>
                </c:pt>
                <c:pt idx="44">
                  <c:v>46.1671428571429</c:v>
                </c:pt>
                <c:pt idx="45">
                  <c:v>46.8661688311688</c:v>
                </c:pt>
                <c:pt idx="46">
                  <c:v>47.5651948051948</c:v>
                </c:pt>
                <c:pt idx="47">
                  <c:v>48.2642207792208</c:v>
                </c:pt>
                <c:pt idx="48">
                  <c:v>48.9632467532468</c:v>
                </c:pt>
                <c:pt idx="49">
                  <c:v>49.6622727272727</c:v>
                </c:pt>
                <c:pt idx="50">
                  <c:v>50.3612987012987</c:v>
                </c:pt>
                <c:pt idx="51">
                  <c:v>51.0603246753247</c:v>
                </c:pt>
                <c:pt idx="52">
                  <c:v>51.7593506493507</c:v>
                </c:pt>
                <c:pt idx="53">
                  <c:v>52.4583766233766</c:v>
                </c:pt>
                <c:pt idx="54">
                  <c:v>53.1574025974026</c:v>
                </c:pt>
                <c:pt idx="55">
                  <c:v>53.8564285714286</c:v>
                </c:pt>
                <c:pt idx="56">
                  <c:v>54.5554545454546</c:v>
                </c:pt>
                <c:pt idx="57">
                  <c:v>55.2544805194805</c:v>
                </c:pt>
                <c:pt idx="58">
                  <c:v>55.9535064935065</c:v>
                </c:pt>
                <c:pt idx="59">
                  <c:v>56.6525324675325</c:v>
                </c:pt>
                <c:pt idx="60">
                  <c:v>57.3515584415585</c:v>
                </c:pt>
                <c:pt idx="61">
                  <c:v>58.0505844155844</c:v>
                </c:pt>
                <c:pt idx="62">
                  <c:v>58.7496103896104</c:v>
                </c:pt>
                <c:pt idx="63">
                  <c:v>59.4486363636364</c:v>
                </c:pt>
                <c:pt idx="64">
                  <c:v>60.1476623376624</c:v>
                </c:pt>
                <c:pt idx="65">
                  <c:v>60.8466883116883</c:v>
                </c:pt>
                <c:pt idx="66">
                  <c:v>61.5457142857143</c:v>
                </c:pt>
                <c:pt idx="67">
                  <c:v>62.2447402597403</c:v>
                </c:pt>
                <c:pt idx="68">
                  <c:v>62.9437662337663</c:v>
                </c:pt>
                <c:pt idx="69">
                  <c:v>63.6427922077922</c:v>
                </c:pt>
                <c:pt idx="70">
                  <c:v>64.3418181818182</c:v>
                </c:pt>
                <c:pt idx="71">
                  <c:v>65.0408441558442</c:v>
                </c:pt>
                <c:pt idx="72">
                  <c:v>65.7398701298702</c:v>
                </c:pt>
                <c:pt idx="73">
                  <c:v>66.4388961038961</c:v>
                </c:pt>
                <c:pt idx="74">
                  <c:v>67.1379220779221</c:v>
                </c:pt>
                <c:pt idx="75">
                  <c:v>67.8369480519481</c:v>
                </c:pt>
                <c:pt idx="76">
                  <c:v>68.5359740259741</c:v>
                </c:pt>
                <c:pt idx="77">
                  <c:v>69.235</c:v>
                </c:pt>
                <c:pt idx="78">
                  <c:v>69.9340259740259</c:v>
                </c:pt>
                <c:pt idx="79">
                  <c:v>70.633051948052</c:v>
                </c:pt>
                <c:pt idx="80">
                  <c:v>71.3320779220779</c:v>
                </c:pt>
                <c:pt idx="81">
                  <c:v>72.0311038961039</c:v>
                </c:pt>
                <c:pt idx="82">
                  <c:v>72.7301298701298</c:v>
                </c:pt>
                <c:pt idx="83">
                  <c:v>73.4291558441558</c:v>
                </c:pt>
                <c:pt idx="84">
                  <c:v>74.1281818181818</c:v>
                </c:pt>
                <c:pt idx="85">
                  <c:v>74.8272077922078</c:v>
                </c:pt>
                <c:pt idx="86">
                  <c:v>75.5262337662337</c:v>
                </c:pt>
                <c:pt idx="87">
                  <c:v>76.2252597402597</c:v>
                </c:pt>
                <c:pt idx="88">
                  <c:v>76.9242857142857</c:v>
                </c:pt>
                <c:pt idx="89">
                  <c:v>77.6233116883117</c:v>
                </c:pt>
                <c:pt idx="90">
                  <c:v>78.3223376623376</c:v>
                </c:pt>
                <c:pt idx="91">
                  <c:v>79.0213636363637</c:v>
                </c:pt>
                <c:pt idx="92">
                  <c:v>79.7203896103896</c:v>
                </c:pt>
                <c:pt idx="93">
                  <c:v>80.4194155844156</c:v>
                </c:pt>
                <c:pt idx="94">
                  <c:v>81.1184415584415</c:v>
                </c:pt>
                <c:pt idx="95">
                  <c:v>81.8174675324676</c:v>
                </c:pt>
                <c:pt idx="96">
                  <c:v>82.5164935064935</c:v>
                </c:pt>
                <c:pt idx="97">
                  <c:v>83.2155194805195</c:v>
                </c:pt>
                <c:pt idx="98">
                  <c:v>83.9145454545454</c:v>
                </c:pt>
                <c:pt idx="99">
                  <c:v>84.6135714285715</c:v>
                </c:pt>
                <c:pt idx="100">
                  <c:v>85.3125974025974</c:v>
                </c:pt>
                <c:pt idx="101">
                  <c:v>86.0116233766234</c:v>
                </c:pt>
                <c:pt idx="102">
                  <c:v>86.7106493506493</c:v>
                </c:pt>
                <c:pt idx="103">
                  <c:v>87.4096753246754</c:v>
                </c:pt>
                <c:pt idx="104">
                  <c:v>88.1087012987013</c:v>
                </c:pt>
                <c:pt idx="105">
                  <c:v>88.8077272727273</c:v>
                </c:pt>
                <c:pt idx="106">
                  <c:v>89.5067532467532</c:v>
                </c:pt>
                <c:pt idx="107">
                  <c:v>90.2057792207792</c:v>
                </c:pt>
                <c:pt idx="108">
                  <c:v>90.9048051948052</c:v>
                </c:pt>
                <c:pt idx="109">
                  <c:v>91.6038311688312</c:v>
                </c:pt>
                <c:pt idx="110">
                  <c:v>92.3028571428571</c:v>
                </c:pt>
                <c:pt idx="111">
                  <c:v>93.0018831168831</c:v>
                </c:pt>
                <c:pt idx="112">
                  <c:v>93.7009090909091</c:v>
                </c:pt>
                <c:pt idx="113">
                  <c:v>94.3999350649351</c:v>
                </c:pt>
                <c:pt idx="114">
                  <c:v>95.098961038961</c:v>
                </c:pt>
                <c:pt idx="115">
                  <c:v>95.797987012987</c:v>
                </c:pt>
                <c:pt idx="116">
                  <c:v>96.497012987013</c:v>
                </c:pt>
                <c:pt idx="117">
                  <c:v>97.196038961039</c:v>
                </c:pt>
                <c:pt idx="118">
                  <c:v>97.8950649350649</c:v>
                </c:pt>
                <c:pt idx="119">
                  <c:v>98.5940909090909</c:v>
                </c:pt>
                <c:pt idx="120">
                  <c:v>99.2931168831169</c:v>
                </c:pt>
                <c:pt idx="121">
                  <c:v>99.9921428571429</c:v>
                </c:pt>
                <c:pt idx="122">
                  <c:v>100.691168831169</c:v>
                </c:pt>
                <c:pt idx="123">
                  <c:v>101.390194805195</c:v>
                </c:pt>
                <c:pt idx="124">
                  <c:v>102.089220779221</c:v>
                </c:pt>
                <c:pt idx="125">
                  <c:v>102.788246753247</c:v>
                </c:pt>
                <c:pt idx="126">
                  <c:v>103.487272727273</c:v>
                </c:pt>
                <c:pt idx="127">
                  <c:v>104.186298701299</c:v>
                </c:pt>
                <c:pt idx="128">
                  <c:v>104.885324675325</c:v>
                </c:pt>
                <c:pt idx="129">
                  <c:v>105.584350649351</c:v>
                </c:pt>
                <c:pt idx="130">
                  <c:v>106.283376623377</c:v>
                </c:pt>
                <c:pt idx="131">
                  <c:v>106.982402597403</c:v>
                </c:pt>
                <c:pt idx="132">
                  <c:v>107.681428571429</c:v>
                </c:pt>
                <c:pt idx="133">
                  <c:v>108.380454545455</c:v>
                </c:pt>
                <c:pt idx="134">
                  <c:v>109.079480519481</c:v>
                </c:pt>
                <c:pt idx="135">
                  <c:v>109.778506493507</c:v>
                </c:pt>
                <c:pt idx="136">
                  <c:v>110.477532467532</c:v>
                </c:pt>
                <c:pt idx="137">
                  <c:v>111.176558441558</c:v>
                </c:pt>
                <c:pt idx="138">
                  <c:v>111.875584415584</c:v>
                </c:pt>
                <c:pt idx="139">
                  <c:v>112.57461038961</c:v>
                </c:pt>
                <c:pt idx="140">
                  <c:v>113.273636363636</c:v>
                </c:pt>
                <c:pt idx="141">
                  <c:v>113.972662337662</c:v>
                </c:pt>
                <c:pt idx="142">
                  <c:v>114.671688311688</c:v>
                </c:pt>
                <c:pt idx="143">
                  <c:v>115.370714285714</c:v>
                </c:pt>
                <c:pt idx="144">
                  <c:v>116.06974025974</c:v>
                </c:pt>
                <c:pt idx="145">
                  <c:v>116.768766233766</c:v>
                </c:pt>
                <c:pt idx="146">
                  <c:v>117.467792207792</c:v>
                </c:pt>
                <c:pt idx="147">
                  <c:v>118.166818181818</c:v>
                </c:pt>
                <c:pt idx="148">
                  <c:v>118.865844155844</c:v>
                </c:pt>
                <c:pt idx="149">
                  <c:v>119.56487012987</c:v>
                </c:pt>
                <c:pt idx="150">
                  <c:v>120.263896103896</c:v>
                </c:pt>
                <c:pt idx="151">
                  <c:v>120.962922077922</c:v>
                </c:pt>
                <c:pt idx="152">
                  <c:v>121.661948051948</c:v>
                </c:pt>
                <c:pt idx="153">
                  <c:v>122.360974025974</c:v>
                </c:pt>
                <c:pt idx="154">
                  <c:v>123.06</c:v>
                </c:pt>
              </c:numCache>
            </c:numRef>
          </c:val>
          <c:smooth val="0"/>
        </c:ser>
        <c:hiLowLines>
          <c:spPr>
            <a:ln w="0">
              <a:noFill/>
            </a:ln>
          </c:spPr>
        </c:hiLowLines>
        <c:marker val="0"/>
        <c:axId val="30408455"/>
        <c:axId val="65878214"/>
      </c:lineChart>
      <c:dateAx>
        <c:axId val="7598578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183338"/>
        <c:auto val="1"/>
        <c:lblOffset val="100"/>
        <c:baseTimeUnit val="days"/>
      </c:dateAx>
      <c:valAx>
        <c:axId val="5618333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5985783"/>
        <c:crosses val="autoZero"/>
        <c:crossBetween val="between"/>
      </c:valAx>
      <c:dateAx>
        <c:axId val="3040845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5878214"/>
        <c:auto val="1"/>
        <c:lblOffset val="100"/>
        <c:baseTimeUnit val="days"/>
      </c:dateAx>
      <c:valAx>
        <c:axId val="65878214"/>
        <c:scaling>
          <c:orientation val="minMax"/>
        </c:scaling>
        <c:delete val="0"/>
        <c:axPos val="r"/>
        <c:title>
          <c:tx>
            <c:rich>
              <a:bodyPr rot="-5400000"/>
              <a:lstStyle/>
              <a:p>
                <a:pPr>
                  <a:defRPr sz="1300" b="0" u="none" strike="noStrike">
                    <a:uFillTx/>
                    <a:latin typeface="Arial"/>
                  </a:defRPr>
                </a:pPr>
                <a:r>
                  <a:rPr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40845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(Calc)'!$L$3:$L$157</c:f>
              <c:numCache>
                <c:formatCode>0.0%</c:formatCode>
                <c:ptCount val="155"/>
                <c:pt idx="0">
                  <c:v>-0.00967496467007289</c:v>
                </c:pt>
                <c:pt idx="1">
                  <c:v>0.021953896816685</c:v>
                </c:pt>
                <c:pt idx="2">
                  <c:v>0.000966702470461822</c:v>
                </c:pt>
                <c:pt idx="3">
                  <c:v>-0.0380942161176091</c:v>
                </c:pt>
                <c:pt idx="4">
                  <c:v>-0.00435073627844718</c:v>
                </c:pt>
                <c:pt idx="5">
                  <c:v>-0.0404481792717086</c:v>
                </c:pt>
                <c:pt idx="6">
                  <c:v>0.0147127510509109</c:v>
                </c:pt>
                <c:pt idx="7">
                  <c:v>0.0275028768699654</c:v>
                </c:pt>
                <c:pt idx="8">
                  <c:v>0.01310337103819</c:v>
                </c:pt>
                <c:pt idx="9">
                  <c:v>0.0093964183064339</c:v>
                </c:pt>
                <c:pt idx="10">
                  <c:v>-0.0582630599058155</c:v>
                </c:pt>
                <c:pt idx="11">
                  <c:v>0.0674497034538901</c:v>
                </c:pt>
                <c:pt idx="12">
                  <c:v>0.0615535461379235</c:v>
                </c:pt>
                <c:pt idx="13">
                  <c:v>0.0219622331691298</c:v>
                </c:pt>
                <c:pt idx="14">
                  <c:v>-0.0175738100020084</c:v>
                </c:pt>
                <c:pt idx="15">
                  <c:v>0.00735970561177557</c:v>
                </c:pt>
                <c:pt idx="16">
                  <c:v>0.0182648401826484</c:v>
                </c:pt>
                <c:pt idx="17">
                  <c:v>0.0218236173393125</c:v>
                </c:pt>
                <c:pt idx="18">
                  <c:v>0.00594889799102782</c:v>
                </c:pt>
                <c:pt idx="19">
                  <c:v>0.00824042656325741</c:v>
                </c:pt>
                <c:pt idx="20">
                  <c:v>-0.0422115384615385</c:v>
                </c:pt>
                <c:pt idx="21">
                  <c:v>0.0163638188936854</c:v>
                </c:pt>
                <c:pt idx="22">
                  <c:v>0.128012643224022</c:v>
                </c:pt>
                <c:pt idx="23">
                  <c:v>0.0267950963222416</c:v>
                </c:pt>
                <c:pt idx="24">
                  <c:v>-0.0128773665359032</c:v>
                </c:pt>
                <c:pt idx="25">
                  <c:v>0.149978401727862</c:v>
                </c:pt>
                <c:pt idx="26">
                  <c:v>-0.0482307865675007</c:v>
                </c:pt>
                <c:pt idx="27">
                  <c:v>0.0224169231983582</c:v>
                </c:pt>
                <c:pt idx="28">
                  <c:v>0.0337373581409712</c:v>
                </c:pt>
                <c:pt idx="29">
                  <c:v>0.0931292008961913</c:v>
                </c:pt>
                <c:pt idx="30">
                  <c:v>-0.0641524902643985</c:v>
                </c:pt>
                <c:pt idx="31">
                  <c:v>0.0259891955029932</c:v>
                </c:pt>
                <c:pt idx="32">
                  <c:v>-0.0319481998007684</c:v>
                </c:pt>
                <c:pt idx="33">
                  <c:v>0.0390297684674752</c:v>
                </c:pt>
                <c:pt idx="34">
                  <c:v>0.008205998868138</c:v>
                </c:pt>
                <c:pt idx="35">
                  <c:v>-0.103985405557115</c:v>
                </c:pt>
                <c:pt idx="36">
                  <c:v>0.0830070477682068</c:v>
                </c:pt>
                <c:pt idx="37">
                  <c:v>0.0235719450469991</c:v>
                </c:pt>
                <c:pt idx="38">
                  <c:v>0.054393896580955</c:v>
                </c:pt>
                <c:pt idx="39">
                  <c:v>0.0162133190406004</c:v>
                </c:pt>
                <c:pt idx="40">
                  <c:v>0.0548523206751055</c:v>
                </c:pt>
                <c:pt idx="41">
                  <c:v>-0.0560000000000001</c:v>
                </c:pt>
                <c:pt idx="42">
                  <c:v>0.0883871822033897</c:v>
                </c:pt>
                <c:pt idx="43">
                  <c:v>0.0493947320396617</c:v>
                </c:pt>
                <c:pt idx="44">
                  <c:v>0.00840530983711108</c:v>
                </c:pt>
                <c:pt idx="45">
                  <c:v>-0.000862267187859311</c:v>
                </c:pt>
                <c:pt idx="46">
                  <c:v>0.0585697025487602</c:v>
                </c:pt>
                <c:pt idx="47">
                  <c:v>0.0182618620577204</c:v>
                </c:pt>
                <c:pt idx="48">
                  <c:v>-0.115185481718708</c:v>
                </c:pt>
                <c:pt idx="49">
                  <c:v>-0.023104301140134</c:v>
                </c:pt>
                <c:pt idx="50">
                  <c:v>-0.0745955292083487</c:v>
                </c:pt>
                <c:pt idx="51">
                  <c:v>0.115174162551715</c:v>
                </c:pt>
                <c:pt idx="52">
                  <c:v>0.0443992340832933</c:v>
                </c:pt>
                <c:pt idx="53">
                  <c:v>-0.0186776670104274</c:v>
                </c:pt>
                <c:pt idx="54">
                  <c:v>0.0024521251751517</c:v>
                </c:pt>
                <c:pt idx="55">
                  <c:v>-0.0866627839254514</c:v>
                </c:pt>
                <c:pt idx="56">
                  <c:v>0.0999872465246781</c:v>
                </c:pt>
                <c:pt idx="57">
                  <c:v>0.00915942028985506</c:v>
                </c:pt>
                <c:pt idx="58">
                  <c:v>0.0223460477941175</c:v>
                </c:pt>
                <c:pt idx="59">
                  <c:v>0.0179243692757207</c:v>
                </c:pt>
                <c:pt idx="60">
                  <c:v>0.0532678295429454</c:v>
                </c:pt>
                <c:pt idx="61">
                  <c:v>0.052250930244746</c:v>
                </c:pt>
                <c:pt idx="62">
                  <c:v>0.0132483315071221</c:v>
                </c:pt>
                <c:pt idx="63">
                  <c:v>-0.0515631144317735</c:v>
                </c:pt>
                <c:pt idx="64">
                  <c:v>0.0427571909821198</c:v>
                </c:pt>
                <c:pt idx="65">
                  <c:v>-0.0754970178926442</c:v>
                </c:pt>
                <c:pt idx="66">
                  <c:v>0.0218805440567713</c:v>
                </c:pt>
                <c:pt idx="67">
                  <c:v>-0.0285143097643098</c:v>
                </c:pt>
                <c:pt idx="68">
                  <c:v>0.099425972056753</c:v>
                </c:pt>
                <c:pt idx="69">
                  <c:v>-0.0099990148753818</c:v>
                </c:pt>
                <c:pt idx="70">
                  <c:v>-0.0188069058162098</c:v>
                </c:pt>
                <c:pt idx="71">
                  <c:v>0.0224126565589979</c:v>
                </c:pt>
                <c:pt idx="72">
                  <c:v>0.0346178644050985</c:v>
                </c:pt>
                <c:pt idx="73">
                  <c:v>-0.00115047217295439</c:v>
                </c:pt>
                <c:pt idx="74">
                  <c:v>0.0150213562413015</c:v>
                </c:pt>
                <c:pt idx="75">
                  <c:v>0.0490780141843972</c:v>
                </c:pt>
                <c:pt idx="76">
                  <c:v>-0.0566071750495764</c:v>
                </c:pt>
                <c:pt idx="77">
                  <c:v>-0.0152875979361742</c:v>
                </c:pt>
                <c:pt idx="78">
                  <c:v>-0.0107704249951485</c:v>
                </c:pt>
                <c:pt idx="79">
                  <c:v>-0.0277587052476704</c:v>
                </c:pt>
                <c:pt idx="80">
                  <c:v>-0.0893361581920904</c:v>
                </c:pt>
                <c:pt idx="81">
                  <c:v>-0.0189996122528112</c:v>
                </c:pt>
                <c:pt idx="82">
                  <c:v>-0.0169960474308299</c:v>
                </c:pt>
                <c:pt idx="83">
                  <c:v>0.0151645700499741</c:v>
                </c:pt>
                <c:pt idx="84">
                  <c:v>-0.0649578453007412</c:v>
                </c:pt>
                <c:pt idx="85">
                  <c:v>-0.111649016641452</c:v>
                </c:pt>
                <c:pt idx="86">
                  <c:v>0.0700272479564033</c:v>
                </c:pt>
                <c:pt idx="87">
                  <c:v>-0.0339954163483576</c:v>
                </c:pt>
                <c:pt idx="88">
                  <c:v>0.0880453407143798</c:v>
                </c:pt>
                <c:pt idx="89">
                  <c:v>0.0858873410054513</c:v>
                </c:pt>
                <c:pt idx="90">
                  <c:v>-0.0153949129852744</c:v>
                </c:pt>
                <c:pt idx="91">
                  <c:v>0.100271923861319</c:v>
                </c:pt>
                <c:pt idx="92">
                  <c:v>-0.0115333127381321</c:v>
                </c:pt>
                <c:pt idx="93">
                  <c:v>0.00697989373893115</c:v>
                </c:pt>
                <c:pt idx="94">
                  <c:v>0.0613490585557626</c:v>
                </c:pt>
                <c:pt idx="95">
                  <c:v>0.0288527146895408</c:v>
                </c:pt>
                <c:pt idx="96">
                  <c:v>-0.00753197536712458</c:v>
                </c:pt>
                <c:pt idx="97">
                  <c:v>0.0909741778435398</c:v>
                </c:pt>
                <c:pt idx="98">
                  <c:v>0.0272564203526273</c:v>
                </c:pt>
                <c:pt idx="99">
                  <c:v>-0.0187393526405452</c:v>
                </c:pt>
                <c:pt idx="100">
                  <c:v>0.0434027777777777</c:v>
                </c:pt>
                <c:pt idx="101">
                  <c:v>0.021630615640599</c:v>
                </c:pt>
                <c:pt idx="102">
                  <c:v>-0.0423045602605863</c:v>
                </c:pt>
                <c:pt idx="103">
                  <c:v>0.0281450618596149</c:v>
                </c:pt>
                <c:pt idx="104">
                  <c:v>-0.0121986519455817</c:v>
                </c:pt>
                <c:pt idx="105">
                  <c:v>-0.0246567314132619</c:v>
                </c:pt>
                <c:pt idx="106">
                  <c:v>-0.00909910296579253</c:v>
                </c:pt>
                <c:pt idx="107">
                  <c:v>0.0543162818902412</c:v>
                </c:pt>
                <c:pt idx="108">
                  <c:v>0.0654040507785219</c:v>
                </c:pt>
                <c:pt idx="109">
                  <c:v>0.0213627424517024</c:v>
                </c:pt>
                <c:pt idx="110">
                  <c:v>0.0320534601880167</c:v>
                </c:pt>
                <c:pt idx="111">
                  <c:v>0.0688835235586771</c:v>
                </c:pt>
                <c:pt idx="112">
                  <c:v>-0.0394606249358294</c:v>
                </c:pt>
                <c:pt idx="113">
                  <c:v>0.0513788926102756</c:v>
                </c:pt>
                <c:pt idx="114">
                  <c:v>-0.000406669377795876</c:v>
                </c:pt>
                <c:pt idx="115">
                  <c:v>0.0185448874423653</c:v>
                </c:pt>
                <c:pt idx="116">
                  <c:v>-0.0463668741470559</c:v>
                </c:pt>
                <c:pt idx="117">
                  <c:v>-0.0058638743455498</c:v>
                </c:pt>
                <c:pt idx="118">
                  <c:v>-0.0342672565128853</c:v>
                </c:pt>
                <c:pt idx="119">
                  <c:v>0.0598051334254344</c:v>
                </c:pt>
                <c:pt idx="120">
                  <c:v>0.0110116291036328</c:v>
                </c:pt>
                <c:pt idx="121">
                  <c:v>-0.0090933767643866</c:v>
                </c:pt>
                <c:pt idx="122">
                  <c:v>-0.0105807423640598</c:v>
                </c:pt>
                <c:pt idx="123">
                  <c:v>0.0480706004499047</c:v>
                </c:pt>
                <c:pt idx="124">
                  <c:v>0.0553757759873201</c:v>
                </c:pt>
                <c:pt idx="125">
                  <c:v>0.0125778292293732</c:v>
                </c:pt>
                <c:pt idx="126">
                  <c:v>0.0579983314278651</c:v>
                </c:pt>
                <c:pt idx="127">
                  <c:v>-0.0219918224299065</c:v>
                </c:pt>
                <c:pt idx="128">
                  <c:v>-0.0128706662286857</c:v>
                </c:pt>
                <c:pt idx="129">
                  <c:v>0.055330348499516</c:v>
                </c:pt>
                <c:pt idx="130">
                  <c:v>0.0501934929052601</c:v>
                </c:pt>
                <c:pt idx="131">
                  <c:v>0.0114095425264766</c:v>
                </c:pt>
                <c:pt idx="132">
                  <c:v>0.0109030064230582</c:v>
                </c:pt>
                <c:pt idx="133">
                  <c:v>-0.0952800469859576</c:v>
                </c:pt>
                <c:pt idx="134">
                  <c:v>-0.0017114697984596</c:v>
                </c:pt>
                <c:pt idx="135">
                  <c:v>-0.0268097307203452</c:v>
                </c:pt>
                <c:pt idx="136">
                  <c:v>-0.00759324504920422</c:v>
                </c:pt>
                <c:pt idx="137">
                  <c:v>0.0376446103935852</c:v>
                </c:pt>
                <c:pt idx="138">
                  <c:v>0.0930863614912694</c:v>
                </c:pt>
                <c:pt idx="139">
                  <c:v>-0.000269832703723716</c:v>
                </c:pt>
                <c:pt idx="140">
                  <c:v>0.0862618083670714</c:v>
                </c:pt>
                <c:pt idx="141">
                  <c:v>-0.0119018039059782</c:v>
                </c:pt>
                <c:pt idx="142">
                  <c:v>0.0352302160082481</c:v>
                </c:pt>
                <c:pt idx="143">
                  <c:v>-0.0178050913330742</c:v>
                </c:pt>
                <c:pt idx="144">
                  <c:v>0.000420427847162008</c:v>
                </c:pt>
                <c:pt idx="145">
                  <c:v>0.0344358746168298</c:v>
                </c:pt>
                <c:pt idx="146">
                  <c:v>-0.00783845142788853</c:v>
                </c:pt>
                <c:pt idx="147">
                  <c:v>0.0210997904472867</c:v>
                </c:pt>
                <c:pt idx="148">
                  <c:v>0.0900856273441371</c:v>
                </c:pt>
                <c:pt idx="149">
                  <c:v>-0.0644204968406474</c:v>
                </c:pt>
                <c:pt idx="150">
                  <c:v>0.00418642303689132</c:v>
                </c:pt>
                <c:pt idx="151">
                  <c:v>-0.000115164916159927</c:v>
                </c:pt>
                <c:pt idx="152">
                  <c:v>-0.0823293635253738</c:v>
                </c:pt>
                <c:pt idx="153">
                  <c:v>0.0126515550869795</c:v>
                </c:pt>
                <c:pt idx="154">
                  <c:v>0.00208224882873487</c:v>
                </c:pt>
              </c:numCache>
            </c:numRef>
          </c:val>
        </c:ser>
        <c:gapWidth val="150"/>
        <c:overlap val="0"/>
        <c:axId val="64800491"/>
        <c:axId val="30127003"/>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(Calc)'!$AG$3:$AG$157</c:f>
              <c:numCache>
                <c:formatCode>#,##0.00</c:formatCode>
                <c:ptCount val="155"/>
                <c:pt idx="0">
                  <c:v>91.99</c:v>
                </c:pt>
                <c:pt idx="1">
                  <c:v>94.0176623376623</c:v>
                </c:pt>
                <c:pt idx="2">
                  <c:v>96.0453246753247</c:v>
                </c:pt>
                <c:pt idx="3">
                  <c:v>98.072987012987</c:v>
                </c:pt>
                <c:pt idx="4">
                  <c:v>100.100649350649</c:v>
                </c:pt>
                <c:pt idx="5">
                  <c:v>102.128311688312</c:v>
                </c:pt>
                <c:pt idx="6">
                  <c:v>104.155974025974</c:v>
                </c:pt>
                <c:pt idx="7">
                  <c:v>106.183636363636</c:v>
                </c:pt>
                <c:pt idx="8">
                  <c:v>108.211298701299</c:v>
                </c:pt>
                <c:pt idx="9">
                  <c:v>110.238961038961</c:v>
                </c:pt>
                <c:pt idx="10">
                  <c:v>112.266623376623</c:v>
                </c:pt>
                <c:pt idx="11">
                  <c:v>114.294285714286</c:v>
                </c:pt>
                <c:pt idx="12">
                  <c:v>116.321948051948</c:v>
                </c:pt>
                <c:pt idx="13">
                  <c:v>118.34961038961</c:v>
                </c:pt>
                <c:pt idx="14">
                  <c:v>120.377272727273</c:v>
                </c:pt>
                <c:pt idx="15">
                  <c:v>122.404935064935</c:v>
                </c:pt>
                <c:pt idx="16">
                  <c:v>124.432597402597</c:v>
                </c:pt>
                <c:pt idx="17">
                  <c:v>126.46025974026</c:v>
                </c:pt>
                <c:pt idx="18">
                  <c:v>128.487922077922</c:v>
                </c:pt>
                <c:pt idx="19">
                  <c:v>130.515584415584</c:v>
                </c:pt>
                <c:pt idx="20">
                  <c:v>132.543246753247</c:v>
                </c:pt>
                <c:pt idx="21">
                  <c:v>134.570909090909</c:v>
                </c:pt>
                <c:pt idx="22">
                  <c:v>136.598571428571</c:v>
                </c:pt>
                <c:pt idx="23">
                  <c:v>138.626233766234</c:v>
                </c:pt>
                <c:pt idx="24">
                  <c:v>140.653896103896</c:v>
                </c:pt>
                <c:pt idx="25">
                  <c:v>142.681558441558</c:v>
                </c:pt>
                <c:pt idx="26">
                  <c:v>144.709220779221</c:v>
                </c:pt>
                <c:pt idx="27">
                  <c:v>146.736883116883</c:v>
                </c:pt>
                <c:pt idx="28">
                  <c:v>148.764545454546</c:v>
                </c:pt>
                <c:pt idx="29">
                  <c:v>150.792207792208</c:v>
                </c:pt>
                <c:pt idx="30">
                  <c:v>152.81987012987</c:v>
                </c:pt>
                <c:pt idx="31">
                  <c:v>154.847532467532</c:v>
                </c:pt>
                <c:pt idx="32">
                  <c:v>156.875194805195</c:v>
                </c:pt>
                <c:pt idx="33">
                  <c:v>158.902857142857</c:v>
                </c:pt>
                <c:pt idx="34">
                  <c:v>160.93051948052</c:v>
                </c:pt>
                <c:pt idx="35">
                  <c:v>162.958181818182</c:v>
                </c:pt>
                <c:pt idx="36">
                  <c:v>164.985844155844</c:v>
                </c:pt>
                <c:pt idx="37">
                  <c:v>167.013506493506</c:v>
                </c:pt>
                <c:pt idx="38">
                  <c:v>169.041168831169</c:v>
                </c:pt>
                <c:pt idx="39">
                  <c:v>171.068831168831</c:v>
                </c:pt>
                <c:pt idx="40">
                  <c:v>173.096493506494</c:v>
                </c:pt>
                <c:pt idx="41">
                  <c:v>175.124155844156</c:v>
                </c:pt>
                <c:pt idx="42">
                  <c:v>177.151818181818</c:v>
                </c:pt>
                <c:pt idx="43">
                  <c:v>179.17948051948</c:v>
                </c:pt>
                <c:pt idx="44">
                  <c:v>181.207142857143</c:v>
                </c:pt>
                <c:pt idx="45">
                  <c:v>183.234805194805</c:v>
                </c:pt>
                <c:pt idx="46">
                  <c:v>185.262467532468</c:v>
                </c:pt>
                <c:pt idx="47">
                  <c:v>187.29012987013</c:v>
                </c:pt>
                <c:pt idx="48">
                  <c:v>189.317792207792</c:v>
                </c:pt>
                <c:pt idx="49">
                  <c:v>191.345454545455</c:v>
                </c:pt>
                <c:pt idx="50">
                  <c:v>193.373116883117</c:v>
                </c:pt>
                <c:pt idx="51">
                  <c:v>195.400779220779</c:v>
                </c:pt>
                <c:pt idx="52">
                  <c:v>197.428441558442</c:v>
                </c:pt>
                <c:pt idx="53">
                  <c:v>199.456103896104</c:v>
                </c:pt>
                <c:pt idx="54">
                  <c:v>201.483766233766</c:v>
                </c:pt>
                <c:pt idx="55">
                  <c:v>203.511428571429</c:v>
                </c:pt>
                <c:pt idx="56">
                  <c:v>205.539090909091</c:v>
                </c:pt>
                <c:pt idx="57">
                  <c:v>207.566753246753</c:v>
                </c:pt>
                <c:pt idx="58">
                  <c:v>209.594415584416</c:v>
                </c:pt>
                <c:pt idx="59">
                  <c:v>211.622077922078</c:v>
                </c:pt>
                <c:pt idx="60">
                  <c:v>213.64974025974</c:v>
                </c:pt>
                <c:pt idx="61">
                  <c:v>215.677402597403</c:v>
                </c:pt>
                <c:pt idx="62">
                  <c:v>217.705064935065</c:v>
                </c:pt>
                <c:pt idx="63">
                  <c:v>219.732727272727</c:v>
                </c:pt>
                <c:pt idx="64">
                  <c:v>221.76038961039</c:v>
                </c:pt>
                <c:pt idx="65">
                  <c:v>223.788051948052</c:v>
                </c:pt>
                <c:pt idx="66">
                  <c:v>225.815714285714</c:v>
                </c:pt>
                <c:pt idx="67">
                  <c:v>227.843376623377</c:v>
                </c:pt>
                <c:pt idx="68">
                  <c:v>229.871038961039</c:v>
                </c:pt>
                <c:pt idx="69">
                  <c:v>231.898701298701</c:v>
                </c:pt>
                <c:pt idx="70">
                  <c:v>233.926363636364</c:v>
                </c:pt>
                <c:pt idx="71">
                  <c:v>235.954025974026</c:v>
                </c:pt>
                <c:pt idx="72">
                  <c:v>237.981688311688</c:v>
                </c:pt>
                <c:pt idx="73">
                  <c:v>240.009350649351</c:v>
                </c:pt>
                <c:pt idx="74">
                  <c:v>242.037012987013</c:v>
                </c:pt>
                <c:pt idx="75">
                  <c:v>244.064675324675</c:v>
                </c:pt>
                <c:pt idx="76">
                  <c:v>246.092337662338</c:v>
                </c:pt>
                <c:pt idx="77">
                  <c:v>248.12</c:v>
                </c:pt>
                <c:pt idx="78">
                  <c:v>250.147662337662</c:v>
                </c:pt>
                <c:pt idx="79">
                  <c:v>252.175324675325</c:v>
                </c:pt>
                <c:pt idx="80">
                  <c:v>254.202987012987</c:v>
                </c:pt>
                <c:pt idx="81">
                  <c:v>256.230649350649</c:v>
                </c:pt>
                <c:pt idx="82">
                  <c:v>258.258311688312</c:v>
                </c:pt>
                <c:pt idx="83">
                  <c:v>260.285974025974</c:v>
                </c:pt>
                <c:pt idx="84">
                  <c:v>262.313636363636</c:v>
                </c:pt>
                <c:pt idx="85">
                  <c:v>264.341298701299</c:v>
                </c:pt>
                <c:pt idx="86">
                  <c:v>266.368961038961</c:v>
                </c:pt>
                <c:pt idx="87">
                  <c:v>268.396623376623</c:v>
                </c:pt>
                <c:pt idx="88">
                  <c:v>270.424285714286</c:v>
                </c:pt>
                <c:pt idx="89">
                  <c:v>272.451948051948</c:v>
                </c:pt>
                <c:pt idx="90">
                  <c:v>274.47961038961</c:v>
                </c:pt>
                <c:pt idx="91">
                  <c:v>276.507272727273</c:v>
                </c:pt>
                <c:pt idx="92">
                  <c:v>278.534935064935</c:v>
                </c:pt>
                <c:pt idx="93">
                  <c:v>280.562597402597</c:v>
                </c:pt>
                <c:pt idx="94">
                  <c:v>282.59025974026</c:v>
                </c:pt>
                <c:pt idx="95">
                  <c:v>284.617922077922</c:v>
                </c:pt>
                <c:pt idx="96">
                  <c:v>286.645584415584</c:v>
                </c:pt>
                <c:pt idx="97">
                  <c:v>288.673246753247</c:v>
                </c:pt>
                <c:pt idx="98">
                  <c:v>290.700909090909</c:v>
                </c:pt>
                <c:pt idx="99">
                  <c:v>292.728571428571</c:v>
                </c:pt>
                <c:pt idx="100">
                  <c:v>294.756233766234</c:v>
                </c:pt>
                <c:pt idx="101">
                  <c:v>296.783896103896</c:v>
                </c:pt>
                <c:pt idx="102">
                  <c:v>298.811558441558</c:v>
                </c:pt>
                <c:pt idx="103">
                  <c:v>300.839220779221</c:v>
                </c:pt>
                <c:pt idx="104">
                  <c:v>302.866883116883</c:v>
                </c:pt>
                <c:pt idx="105">
                  <c:v>304.894545454546</c:v>
                </c:pt>
                <c:pt idx="106">
                  <c:v>306.922207792208</c:v>
                </c:pt>
                <c:pt idx="107">
                  <c:v>308.94987012987</c:v>
                </c:pt>
                <c:pt idx="108">
                  <c:v>310.977532467532</c:v>
                </c:pt>
                <c:pt idx="109">
                  <c:v>313.005194805195</c:v>
                </c:pt>
                <c:pt idx="110">
                  <c:v>315.032857142857</c:v>
                </c:pt>
                <c:pt idx="111">
                  <c:v>317.06051948052</c:v>
                </c:pt>
                <c:pt idx="112">
                  <c:v>319.088181818182</c:v>
                </c:pt>
                <c:pt idx="113">
                  <c:v>321.115844155844</c:v>
                </c:pt>
                <c:pt idx="114">
                  <c:v>323.143506493506</c:v>
                </c:pt>
                <c:pt idx="115">
                  <c:v>325.171168831169</c:v>
                </c:pt>
                <c:pt idx="116">
                  <c:v>327.198831168831</c:v>
                </c:pt>
                <c:pt idx="117">
                  <c:v>329.226493506494</c:v>
                </c:pt>
                <c:pt idx="118">
                  <c:v>331.254155844156</c:v>
                </c:pt>
                <c:pt idx="119">
                  <c:v>333.281818181818</c:v>
                </c:pt>
                <c:pt idx="120">
                  <c:v>335.309480519481</c:v>
                </c:pt>
                <c:pt idx="121">
                  <c:v>337.337142857143</c:v>
                </c:pt>
                <c:pt idx="122">
                  <c:v>339.364805194805</c:v>
                </c:pt>
                <c:pt idx="123">
                  <c:v>341.392467532468</c:v>
                </c:pt>
                <c:pt idx="124">
                  <c:v>343.42012987013</c:v>
                </c:pt>
                <c:pt idx="125">
                  <c:v>345.447792207792</c:v>
                </c:pt>
                <c:pt idx="126">
                  <c:v>347.475454545454</c:v>
                </c:pt>
                <c:pt idx="127">
                  <c:v>349.503116883117</c:v>
                </c:pt>
                <c:pt idx="128">
                  <c:v>351.530779220779</c:v>
                </c:pt>
                <c:pt idx="129">
                  <c:v>353.558441558442</c:v>
                </c:pt>
                <c:pt idx="130">
                  <c:v>355.586103896104</c:v>
                </c:pt>
                <c:pt idx="131">
                  <c:v>357.613766233766</c:v>
                </c:pt>
                <c:pt idx="132">
                  <c:v>359.641428571429</c:v>
                </c:pt>
                <c:pt idx="133">
                  <c:v>361.669090909091</c:v>
                </c:pt>
                <c:pt idx="134">
                  <c:v>363.696753246753</c:v>
                </c:pt>
                <c:pt idx="135">
                  <c:v>365.724415584416</c:v>
                </c:pt>
                <c:pt idx="136">
                  <c:v>367.752077922078</c:v>
                </c:pt>
                <c:pt idx="137">
                  <c:v>369.77974025974</c:v>
                </c:pt>
                <c:pt idx="138">
                  <c:v>371.807402597403</c:v>
                </c:pt>
                <c:pt idx="139">
                  <c:v>373.835064935065</c:v>
                </c:pt>
                <c:pt idx="140">
                  <c:v>375.862727272727</c:v>
                </c:pt>
                <c:pt idx="141">
                  <c:v>377.89038961039</c:v>
                </c:pt>
                <c:pt idx="142">
                  <c:v>379.918051948052</c:v>
                </c:pt>
                <c:pt idx="143">
                  <c:v>381.945714285714</c:v>
                </c:pt>
                <c:pt idx="144">
                  <c:v>383.973376623377</c:v>
                </c:pt>
                <c:pt idx="145">
                  <c:v>386.001038961039</c:v>
                </c:pt>
                <c:pt idx="146">
                  <c:v>388.028701298701</c:v>
                </c:pt>
                <c:pt idx="147">
                  <c:v>390.056363636364</c:v>
                </c:pt>
                <c:pt idx="148">
                  <c:v>392.084025974026</c:v>
                </c:pt>
                <c:pt idx="149">
                  <c:v>394.111688311688</c:v>
                </c:pt>
                <c:pt idx="150">
                  <c:v>396.139350649351</c:v>
                </c:pt>
                <c:pt idx="151">
                  <c:v>398.167012987013</c:v>
                </c:pt>
                <c:pt idx="152">
                  <c:v>400.194675324675</c:v>
                </c:pt>
                <c:pt idx="153">
                  <c:v>402.222337662338</c:v>
                </c:pt>
                <c:pt idx="154">
                  <c:v>404.25</c:v>
                </c:pt>
              </c:numCache>
            </c:numRef>
          </c:val>
          <c:smooth val="0"/>
        </c:ser>
        <c:hiLowLines>
          <c:spPr>
            <a:ln w="0">
              <a:noFill/>
            </a:ln>
          </c:spPr>
        </c:hiLowLines>
        <c:marker val="0"/>
        <c:axId val="13351928"/>
        <c:axId val="63733061"/>
      </c:lineChart>
      <c:dateAx>
        <c:axId val="6480049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127003"/>
        <c:auto val="1"/>
        <c:lblOffset val="100"/>
        <c:baseTimeUnit val="days"/>
      </c:dateAx>
      <c:valAx>
        <c:axId val="3012700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800491"/>
        <c:crosses val="autoZero"/>
        <c:crossBetween val="between"/>
      </c:valAx>
      <c:dateAx>
        <c:axId val="1335192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733061"/>
        <c:auto val="1"/>
        <c:lblOffset val="100"/>
        <c:baseTimeUnit val="days"/>
      </c:dateAx>
      <c:valAx>
        <c:axId val="63733061"/>
        <c:scaling>
          <c:orientation val="minMax"/>
        </c:scaling>
        <c:delete val="0"/>
        <c:axPos val="r"/>
        <c:title>
          <c:tx>
            <c:rich>
              <a:bodyPr rot="-5400000"/>
              <a:lstStyle/>
              <a:p>
                <a:pPr>
                  <a:defRPr sz="1300" b="0" u="none" strike="noStrike">
                    <a:uFillTx/>
                    <a:latin typeface="Arial"/>
                  </a:defRPr>
                </a:pPr>
                <a:r>
                  <a:rPr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35192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(Calc)'!$M$3:$M$157</c:f>
              <c:numCache>
                <c:formatCode>0.0%</c:formatCode>
                <c:ptCount val="155"/>
                <c:pt idx="0">
                  <c:v>0.0137272455983288</c:v>
                </c:pt>
                <c:pt idx="1">
                  <c:v>0.103915219311157</c:v>
                </c:pt>
                <c:pt idx="2">
                  <c:v>0.0631999999999999</c:v>
                </c:pt>
                <c:pt idx="3">
                  <c:v>-0.0168046149987458</c:v>
                </c:pt>
                <c:pt idx="4">
                  <c:v>-0.0262755102040817</c:v>
                </c:pt>
                <c:pt idx="5">
                  <c:v>-0.0450615666753995</c:v>
                </c:pt>
                <c:pt idx="6">
                  <c:v>0.0205761316872428</c:v>
                </c:pt>
                <c:pt idx="7">
                  <c:v>0.0690860215053764</c:v>
                </c:pt>
                <c:pt idx="8">
                  <c:v>-0.0168468694996229</c:v>
                </c:pt>
                <c:pt idx="9">
                  <c:v>-0.0603580562659847</c:v>
                </c:pt>
                <c:pt idx="10">
                  <c:v>-0.00870985302123029</c:v>
                </c:pt>
                <c:pt idx="11">
                  <c:v>0.110378912685338</c:v>
                </c:pt>
                <c:pt idx="12">
                  <c:v>0.0343719090009891</c:v>
                </c:pt>
                <c:pt idx="13">
                  <c:v>0.034903179536218</c:v>
                </c:pt>
                <c:pt idx="14">
                  <c:v>-0.0140910140910141</c:v>
                </c:pt>
                <c:pt idx="15">
                  <c:v>0.0576382380506093</c:v>
                </c:pt>
                <c:pt idx="16">
                  <c:v>0.0443066016836509</c:v>
                </c:pt>
                <c:pt idx="17">
                  <c:v>0.0125159100551548</c:v>
                </c:pt>
                <c:pt idx="18">
                  <c:v>0.0219987429289756</c:v>
                </c:pt>
                <c:pt idx="19">
                  <c:v>-0.0153751537515375</c:v>
                </c:pt>
                <c:pt idx="20">
                  <c:v>-0.0358109514886529</c:v>
                </c:pt>
                <c:pt idx="21">
                  <c:v>0.0693154826171454</c:v>
                </c:pt>
                <c:pt idx="22">
                  <c:v>0.0838045234248788</c:v>
                </c:pt>
                <c:pt idx="23">
                  <c:v>-0.00391280044717723</c:v>
                </c:pt>
                <c:pt idx="24">
                  <c:v>0.14983164983165</c:v>
                </c:pt>
                <c:pt idx="25">
                  <c:v>0.0333496014315928</c:v>
                </c:pt>
                <c:pt idx="26">
                  <c:v>-0.00865869017632248</c:v>
                </c:pt>
                <c:pt idx="27">
                  <c:v>-0.00428775607432108</c:v>
                </c:pt>
                <c:pt idx="28">
                  <c:v>0.125518341307815</c:v>
                </c:pt>
                <c:pt idx="29">
                  <c:v>-0.0170043928014736</c:v>
                </c:pt>
                <c:pt idx="30">
                  <c:v>0.06905002162318</c:v>
                </c:pt>
                <c:pt idx="31">
                  <c:v>0.112459546925566</c:v>
                </c:pt>
                <c:pt idx="32">
                  <c:v>-0.010060606060606</c:v>
                </c:pt>
                <c:pt idx="33">
                  <c:v>0.0449369413493328</c:v>
                </c:pt>
                <c:pt idx="34">
                  <c:v>-0.0169908600890556</c:v>
                </c:pt>
                <c:pt idx="35">
                  <c:v>-0.105852902610561</c:v>
                </c:pt>
                <c:pt idx="36">
                  <c:v>0.246367151046527</c:v>
                </c:pt>
                <c:pt idx="37">
                  <c:v>-0.00513423895603793</c:v>
                </c:pt>
                <c:pt idx="38">
                  <c:v>0.0256961617030427</c:v>
                </c:pt>
                <c:pt idx="39">
                  <c:v>0.0147798742138365</c:v>
                </c:pt>
                <c:pt idx="40">
                  <c:v>0.0966842268360706</c:v>
                </c:pt>
                <c:pt idx="41">
                  <c:v>-0.0762927380615994</c:v>
                </c:pt>
                <c:pt idx="42">
                  <c:v>-0.105944733353727</c:v>
                </c:pt>
                <c:pt idx="43">
                  <c:v>0.0433394160583942</c:v>
                </c:pt>
                <c:pt idx="44">
                  <c:v>-0.00940096195889817</c:v>
                </c:pt>
                <c:pt idx="45">
                  <c:v>-0.044692120944604</c:v>
                </c:pt>
                <c:pt idx="46">
                  <c:v>0.0601825112625622</c:v>
                </c:pt>
                <c:pt idx="47">
                  <c:v>-0.0229897581172369</c:v>
                </c:pt>
                <c:pt idx="48">
                  <c:v>-0.0486227277796364</c:v>
                </c:pt>
                <c:pt idx="49">
                  <c:v>-0.0960028132692533</c:v>
                </c:pt>
                <c:pt idx="50">
                  <c:v>-0.0993257261410789</c:v>
                </c:pt>
                <c:pt idx="51">
                  <c:v>0.0287935502447452</c:v>
                </c:pt>
                <c:pt idx="52">
                  <c:v>0.111390987965295</c:v>
                </c:pt>
                <c:pt idx="53">
                  <c:v>-0.0109544195416772</c:v>
                </c:pt>
                <c:pt idx="54">
                  <c:v>0.0570337364735838</c:v>
                </c:pt>
                <c:pt idx="55">
                  <c:v>-0.1356136336264</c:v>
                </c:pt>
                <c:pt idx="56">
                  <c:v>0.194928242998468</c:v>
                </c:pt>
                <c:pt idx="57">
                  <c:v>0.102378731343284</c:v>
                </c:pt>
                <c:pt idx="58">
                  <c:v>0.0409350539454199</c:v>
                </c:pt>
                <c:pt idx="59">
                  <c:v>0.0689970531450057</c:v>
                </c:pt>
                <c:pt idx="60">
                  <c:v>0.0631178707224334</c:v>
                </c:pt>
                <c:pt idx="61">
                  <c:v>0.00366595135908443</c:v>
                </c:pt>
                <c:pt idx="62">
                  <c:v>-0.000712694877505582</c:v>
                </c:pt>
                <c:pt idx="63">
                  <c:v>-0.0469822590710528</c:v>
                </c:pt>
                <c:pt idx="64">
                  <c:v>0.176333021515435</c:v>
                </c:pt>
                <c:pt idx="65">
                  <c:v>-0.038807157057654</c:v>
                </c:pt>
                <c:pt idx="66">
                  <c:v>0.159510217589145</c:v>
                </c:pt>
                <c:pt idx="67">
                  <c:v>-0.0895469140206922</c:v>
                </c:pt>
                <c:pt idx="68">
                  <c:v>0.0489811912225706</c:v>
                </c:pt>
                <c:pt idx="69">
                  <c:v>-0.0602913709376167</c:v>
                </c:pt>
                <c:pt idx="70">
                  <c:v>-0.0456352361265702</c:v>
                </c:pt>
                <c:pt idx="71">
                  <c:v>-0.0410696434521827</c:v>
                </c:pt>
                <c:pt idx="72">
                  <c:v>0.0917383372426375</c:v>
                </c:pt>
                <c:pt idx="73">
                  <c:v>0.0259409564733031</c:v>
                </c:pt>
                <c:pt idx="74">
                  <c:v>0.0539052198867602</c:v>
                </c:pt>
                <c:pt idx="75">
                  <c:v>0.0768324992640566</c:v>
                </c:pt>
                <c:pt idx="76">
                  <c:v>-0.200246036085292</c:v>
                </c:pt>
                <c:pt idx="77">
                  <c:v>0.0372585882755085</c:v>
                </c:pt>
                <c:pt idx="78">
                  <c:v>-0.109820398747734</c:v>
                </c:pt>
                <c:pt idx="79">
                  <c:v>-0.111614993058769</c:v>
                </c:pt>
                <c:pt idx="80">
                  <c:v>-0.00854255651630376</c:v>
                </c:pt>
                <c:pt idx="81">
                  <c:v>-0.106441105390354</c:v>
                </c:pt>
                <c:pt idx="82">
                  <c:v>0.0283396048918156</c:v>
                </c:pt>
                <c:pt idx="83">
                  <c:v>0.0134934248141794</c:v>
                </c:pt>
                <c:pt idx="84">
                  <c:v>-0.16224754597766</c:v>
                </c:pt>
                <c:pt idx="85">
                  <c:v>-0.19986531986532</c:v>
                </c:pt>
                <c:pt idx="86">
                  <c:v>0.171688267968356</c:v>
                </c:pt>
                <c:pt idx="87">
                  <c:v>0.0517167073696307</c:v>
                </c:pt>
                <c:pt idx="88">
                  <c:v>0.187679278787051</c:v>
                </c:pt>
                <c:pt idx="89">
                  <c:v>0.0925819436457733</c:v>
                </c:pt>
                <c:pt idx="90">
                  <c:v>-0.00989473684210529</c:v>
                </c:pt>
                <c:pt idx="91">
                  <c:v>0.127365511375718</c:v>
                </c:pt>
                <c:pt idx="92">
                  <c:v>-0.0179177668804226</c:v>
                </c:pt>
                <c:pt idx="93">
                  <c:v>0.0363933166890724</c:v>
                </c:pt>
                <c:pt idx="94">
                  <c:v>0.0688409154081349</c:v>
                </c:pt>
                <c:pt idx="95">
                  <c:v>-0.0380547850208044</c:v>
                </c:pt>
                <c:pt idx="96">
                  <c:v>0.0682166351266109</c:v>
                </c:pt>
                <c:pt idx="97">
                  <c:v>0.0727180698498395</c:v>
                </c:pt>
                <c:pt idx="98">
                  <c:v>0.00534759358288772</c:v>
                </c:pt>
                <c:pt idx="99">
                  <c:v>-0.0355131414267835</c:v>
                </c:pt>
                <c:pt idx="100">
                  <c:v>0.0467153284671533</c:v>
                </c:pt>
                <c:pt idx="101">
                  <c:v>0.0651634898496822</c:v>
                </c:pt>
                <c:pt idx="102">
                  <c:v>0.0299701753109769</c:v>
                </c:pt>
                <c:pt idx="103">
                  <c:v>-0.011723991807331</c:v>
                </c:pt>
                <c:pt idx="104">
                  <c:v>-0.0490245122561281</c:v>
                </c:pt>
                <c:pt idx="105">
                  <c:v>-0.0533553768693169</c:v>
                </c:pt>
                <c:pt idx="106">
                  <c:v>0.0125426688894181</c:v>
                </c:pt>
                <c:pt idx="107">
                  <c:v>-0.0278322226577813</c:v>
                </c:pt>
                <c:pt idx="108">
                  <c:v>0.0874193548387097</c:v>
                </c:pt>
                <c:pt idx="109">
                  <c:v>0.0649658854939186</c:v>
                </c:pt>
                <c:pt idx="110">
                  <c:v>-0.0346796657381615</c:v>
                </c:pt>
                <c:pt idx="111">
                  <c:v>0.155677391429808</c:v>
                </c:pt>
                <c:pt idx="112">
                  <c:v>0.0549937578027466</c:v>
                </c:pt>
                <c:pt idx="113">
                  <c:v>0.0295248801846044</c:v>
                </c:pt>
                <c:pt idx="114">
                  <c:v>0.0693103448275863</c:v>
                </c:pt>
                <c:pt idx="115">
                  <c:v>0.0365473503171021</c:v>
                </c:pt>
                <c:pt idx="116">
                  <c:v>-0.0677175152960697</c:v>
                </c:pt>
                <c:pt idx="117">
                  <c:v>-0.0491101223581758</c:v>
                </c:pt>
                <c:pt idx="118">
                  <c:v>-0.065157629993566</c:v>
                </c:pt>
                <c:pt idx="119">
                  <c:v>0.124507288994557</c:v>
                </c:pt>
                <c:pt idx="120">
                  <c:v>0.0516886440772271</c:v>
                </c:pt>
                <c:pt idx="121">
                  <c:v>-0.146809861390329</c:v>
                </c:pt>
                <c:pt idx="122">
                  <c:v>-0.00899113288274334</c:v>
                </c:pt>
                <c:pt idx="123">
                  <c:v>0.0485546239519461</c:v>
                </c:pt>
                <c:pt idx="124">
                  <c:v>0.0479174125790667</c:v>
                </c:pt>
                <c:pt idx="125">
                  <c:v>-0.0685040715221229</c:v>
                </c:pt>
                <c:pt idx="126">
                  <c:v>0.0816114439418021</c:v>
                </c:pt>
                <c:pt idx="127">
                  <c:v>0.031424857288193</c:v>
                </c:pt>
                <c:pt idx="128">
                  <c:v>0.0202202860430709</c:v>
                </c:pt>
                <c:pt idx="129">
                  <c:v>0.0504887743044367</c:v>
                </c:pt>
                <c:pt idx="130">
                  <c:v>0.199151242458329</c:v>
                </c:pt>
                <c:pt idx="131">
                  <c:v>0.0393126678889695</c:v>
                </c:pt>
                <c:pt idx="132">
                  <c:v>0.0457025641025641</c:v>
                </c:pt>
                <c:pt idx="133">
                  <c:v>-0.0514339519008199</c:v>
                </c:pt>
                <c:pt idx="134">
                  <c:v>0.0707254528910579</c:v>
                </c:pt>
                <c:pt idx="135">
                  <c:v>-0.0115883807169345</c:v>
                </c:pt>
                <c:pt idx="136">
                  <c:v>-0.0187978740034391</c:v>
                </c:pt>
                <c:pt idx="137">
                  <c:v>0.0407057792647469</c:v>
                </c:pt>
                <c:pt idx="138">
                  <c:v>0.129434727697195</c:v>
                </c:pt>
                <c:pt idx="139">
                  <c:v>0.041442174104571</c:v>
                </c:pt>
                <c:pt idx="140">
                  <c:v>0.0524500553133338</c:v>
                </c:pt>
                <c:pt idx="141">
                  <c:v>0.01499412601249</c:v>
                </c:pt>
                <c:pt idx="142">
                  <c:v>0.0355152142791875</c:v>
                </c:pt>
                <c:pt idx="143">
                  <c:v>0.0910962732005765</c:v>
                </c:pt>
                <c:pt idx="144">
                  <c:v>-0.117215722219227</c:v>
                </c:pt>
                <c:pt idx="145">
                  <c:v>-0.0358822451597142</c:v>
                </c:pt>
                <c:pt idx="146">
                  <c:v>-0.0481454499382344</c:v>
                </c:pt>
                <c:pt idx="147">
                  <c:v>0.00785331602941675</c:v>
                </c:pt>
                <c:pt idx="148">
                  <c:v>0.099646713111236</c:v>
                </c:pt>
                <c:pt idx="149">
                  <c:v>-0.0873742681279088</c:v>
                </c:pt>
                <c:pt idx="150">
                  <c:v>-0.0112518506333279</c:v>
                </c:pt>
                <c:pt idx="151">
                  <c:v>0.0609922470302466</c:v>
                </c:pt>
                <c:pt idx="152">
                  <c:v>-0.0918898576177634</c:v>
                </c:pt>
                <c:pt idx="153">
                  <c:v>0.0027628125431689</c:v>
                </c:pt>
                <c:pt idx="154">
                  <c:v>-0.168032786885246</c:v>
                </c:pt>
              </c:numCache>
            </c:numRef>
          </c:val>
        </c:ser>
        <c:gapWidth val="150"/>
        <c:overlap val="0"/>
        <c:axId val="18647073"/>
        <c:axId val="45700009"/>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(Calc)'!$AH$3:$AH$157</c:f>
              <c:numCache>
                <c:formatCode>#,##0.00</c:formatCode>
                <c:ptCount val="155"/>
                <c:pt idx="0">
                  <c:v>33.51</c:v>
                </c:pt>
                <c:pt idx="1">
                  <c:v>34.861038961039</c:v>
                </c:pt>
                <c:pt idx="2">
                  <c:v>36.2120779220779</c:v>
                </c:pt>
                <c:pt idx="3">
                  <c:v>37.5631168831169</c:v>
                </c:pt>
                <c:pt idx="4">
                  <c:v>38.9141558441559</c:v>
                </c:pt>
                <c:pt idx="5">
                  <c:v>40.2651948051948</c:v>
                </c:pt>
                <c:pt idx="6">
                  <c:v>41.6162337662338</c:v>
                </c:pt>
                <c:pt idx="7">
                  <c:v>42.9672727272727</c:v>
                </c:pt>
                <c:pt idx="8">
                  <c:v>44.3183116883117</c:v>
                </c:pt>
                <c:pt idx="9">
                  <c:v>45.6693506493506</c:v>
                </c:pt>
                <c:pt idx="10">
                  <c:v>47.0203896103896</c:v>
                </c:pt>
                <c:pt idx="11">
                  <c:v>48.3714285714286</c:v>
                </c:pt>
                <c:pt idx="12">
                  <c:v>49.7224675324675</c:v>
                </c:pt>
                <c:pt idx="13">
                  <c:v>51.0735064935065</c:v>
                </c:pt>
                <c:pt idx="14">
                  <c:v>52.4245454545455</c:v>
                </c:pt>
                <c:pt idx="15">
                  <c:v>53.7755844155844</c:v>
                </c:pt>
                <c:pt idx="16">
                  <c:v>55.1266233766234</c:v>
                </c:pt>
                <c:pt idx="17">
                  <c:v>56.4776623376623</c:v>
                </c:pt>
                <c:pt idx="18">
                  <c:v>57.8287012987013</c:v>
                </c:pt>
                <c:pt idx="19">
                  <c:v>59.1797402597402</c:v>
                </c:pt>
                <c:pt idx="20">
                  <c:v>60.5307792207792</c:v>
                </c:pt>
                <c:pt idx="21">
                  <c:v>61.8818181818181</c:v>
                </c:pt>
                <c:pt idx="22">
                  <c:v>63.2328571428572</c:v>
                </c:pt>
                <c:pt idx="23">
                  <c:v>64.583896103896</c:v>
                </c:pt>
                <c:pt idx="24">
                  <c:v>65.9349350649351</c:v>
                </c:pt>
                <c:pt idx="25">
                  <c:v>67.285974025974</c:v>
                </c:pt>
                <c:pt idx="26">
                  <c:v>68.637012987013</c:v>
                </c:pt>
                <c:pt idx="27">
                  <c:v>69.9880519480519</c:v>
                </c:pt>
                <c:pt idx="28">
                  <c:v>71.3390909090909</c:v>
                </c:pt>
                <c:pt idx="29">
                  <c:v>72.6901298701298</c:v>
                </c:pt>
                <c:pt idx="30">
                  <c:v>74.0411688311689</c:v>
                </c:pt>
                <c:pt idx="31">
                  <c:v>75.3922077922077</c:v>
                </c:pt>
                <c:pt idx="32">
                  <c:v>76.7432467532468</c:v>
                </c:pt>
                <c:pt idx="33">
                  <c:v>78.0942857142857</c:v>
                </c:pt>
                <c:pt idx="34">
                  <c:v>79.4453246753247</c:v>
                </c:pt>
                <c:pt idx="35">
                  <c:v>80.7963636363636</c:v>
                </c:pt>
                <c:pt idx="36">
                  <c:v>82.1474025974027</c:v>
                </c:pt>
                <c:pt idx="37">
                  <c:v>83.4984415584415</c:v>
                </c:pt>
                <c:pt idx="38">
                  <c:v>84.8494805194806</c:v>
                </c:pt>
                <c:pt idx="39">
                  <c:v>86.2005194805194</c:v>
                </c:pt>
                <c:pt idx="40">
                  <c:v>87.5515584415585</c:v>
                </c:pt>
                <c:pt idx="41">
                  <c:v>88.9025974025974</c:v>
                </c:pt>
                <c:pt idx="42">
                  <c:v>90.2536363636364</c:v>
                </c:pt>
                <c:pt idx="43">
                  <c:v>91.6046753246753</c:v>
                </c:pt>
                <c:pt idx="44">
                  <c:v>92.9557142857143</c:v>
                </c:pt>
                <c:pt idx="45">
                  <c:v>94.3067532467532</c:v>
                </c:pt>
                <c:pt idx="46">
                  <c:v>95.6577922077923</c:v>
                </c:pt>
                <c:pt idx="47">
                  <c:v>97.0088311688311</c:v>
                </c:pt>
                <c:pt idx="48">
                  <c:v>98.3598701298702</c:v>
                </c:pt>
                <c:pt idx="49">
                  <c:v>99.710909090909</c:v>
                </c:pt>
                <c:pt idx="50">
                  <c:v>101.061948051948</c:v>
                </c:pt>
                <c:pt idx="51">
                  <c:v>102.412987012987</c:v>
                </c:pt>
                <c:pt idx="52">
                  <c:v>103.764025974026</c:v>
                </c:pt>
                <c:pt idx="53">
                  <c:v>105.115064935065</c:v>
                </c:pt>
                <c:pt idx="54">
                  <c:v>106.466103896104</c:v>
                </c:pt>
                <c:pt idx="55">
                  <c:v>107.817142857143</c:v>
                </c:pt>
                <c:pt idx="56">
                  <c:v>109.168181818182</c:v>
                </c:pt>
                <c:pt idx="57">
                  <c:v>110.519220779221</c:v>
                </c:pt>
                <c:pt idx="58">
                  <c:v>111.87025974026</c:v>
                </c:pt>
                <c:pt idx="59">
                  <c:v>113.221298701299</c:v>
                </c:pt>
                <c:pt idx="60">
                  <c:v>114.572337662338</c:v>
                </c:pt>
                <c:pt idx="61">
                  <c:v>115.923376623377</c:v>
                </c:pt>
                <c:pt idx="62">
                  <c:v>117.274415584416</c:v>
                </c:pt>
                <c:pt idx="63">
                  <c:v>118.625454545455</c:v>
                </c:pt>
                <c:pt idx="64">
                  <c:v>119.976493506494</c:v>
                </c:pt>
                <c:pt idx="65">
                  <c:v>121.327532467532</c:v>
                </c:pt>
                <c:pt idx="66">
                  <c:v>122.678571428572</c:v>
                </c:pt>
                <c:pt idx="67">
                  <c:v>124.02961038961</c:v>
                </c:pt>
                <c:pt idx="68">
                  <c:v>125.380649350649</c:v>
                </c:pt>
                <c:pt idx="69">
                  <c:v>126.731688311688</c:v>
                </c:pt>
                <c:pt idx="70">
                  <c:v>128.082727272727</c:v>
                </c:pt>
                <c:pt idx="71">
                  <c:v>129.433766233766</c:v>
                </c:pt>
                <c:pt idx="72">
                  <c:v>130.784805194805</c:v>
                </c:pt>
                <c:pt idx="73">
                  <c:v>132.135844155844</c:v>
                </c:pt>
                <c:pt idx="74">
                  <c:v>133.486883116883</c:v>
                </c:pt>
                <c:pt idx="75">
                  <c:v>134.837922077922</c:v>
                </c:pt>
                <c:pt idx="76">
                  <c:v>136.188961038961</c:v>
                </c:pt>
                <c:pt idx="77">
                  <c:v>137.54</c:v>
                </c:pt>
                <c:pt idx="78">
                  <c:v>138.891038961039</c:v>
                </c:pt>
                <c:pt idx="79">
                  <c:v>140.242077922078</c:v>
                </c:pt>
                <c:pt idx="80">
                  <c:v>141.593116883117</c:v>
                </c:pt>
                <c:pt idx="81">
                  <c:v>142.944155844156</c:v>
                </c:pt>
                <c:pt idx="82">
                  <c:v>144.295194805195</c:v>
                </c:pt>
                <c:pt idx="83">
                  <c:v>145.646233766234</c:v>
                </c:pt>
                <c:pt idx="84">
                  <c:v>146.997272727273</c:v>
                </c:pt>
                <c:pt idx="85">
                  <c:v>148.348311688312</c:v>
                </c:pt>
                <c:pt idx="86">
                  <c:v>149.699350649351</c:v>
                </c:pt>
                <c:pt idx="87">
                  <c:v>151.05038961039</c:v>
                </c:pt>
                <c:pt idx="88">
                  <c:v>152.401428571428</c:v>
                </c:pt>
                <c:pt idx="89">
                  <c:v>153.752467532468</c:v>
                </c:pt>
                <c:pt idx="90">
                  <c:v>155.103506493506</c:v>
                </c:pt>
                <c:pt idx="91">
                  <c:v>156.454545454546</c:v>
                </c:pt>
                <c:pt idx="92">
                  <c:v>157.805584415584</c:v>
                </c:pt>
                <c:pt idx="93">
                  <c:v>159.156623376623</c:v>
                </c:pt>
                <c:pt idx="94">
                  <c:v>160.507662337662</c:v>
                </c:pt>
                <c:pt idx="95">
                  <c:v>161.858701298701</c:v>
                </c:pt>
                <c:pt idx="96">
                  <c:v>163.20974025974</c:v>
                </c:pt>
                <c:pt idx="97">
                  <c:v>164.560779220779</c:v>
                </c:pt>
                <c:pt idx="98">
                  <c:v>165.911818181818</c:v>
                </c:pt>
                <c:pt idx="99">
                  <c:v>167.262857142857</c:v>
                </c:pt>
                <c:pt idx="100">
                  <c:v>168.613896103896</c:v>
                </c:pt>
                <c:pt idx="101">
                  <c:v>169.964935064935</c:v>
                </c:pt>
                <c:pt idx="102">
                  <c:v>171.315974025974</c:v>
                </c:pt>
                <c:pt idx="103">
                  <c:v>172.667012987013</c:v>
                </c:pt>
                <c:pt idx="104">
                  <c:v>174.018051948052</c:v>
                </c:pt>
                <c:pt idx="105">
                  <c:v>175.369090909091</c:v>
                </c:pt>
                <c:pt idx="106">
                  <c:v>176.72012987013</c:v>
                </c:pt>
                <c:pt idx="107">
                  <c:v>178.071168831169</c:v>
                </c:pt>
                <c:pt idx="108">
                  <c:v>179.422207792208</c:v>
                </c:pt>
                <c:pt idx="109">
                  <c:v>180.773246753247</c:v>
                </c:pt>
                <c:pt idx="110">
                  <c:v>182.124285714286</c:v>
                </c:pt>
                <c:pt idx="111">
                  <c:v>183.475324675325</c:v>
                </c:pt>
                <c:pt idx="112">
                  <c:v>184.826363636364</c:v>
                </c:pt>
                <c:pt idx="113">
                  <c:v>186.177402597403</c:v>
                </c:pt>
                <c:pt idx="114">
                  <c:v>187.528441558442</c:v>
                </c:pt>
                <c:pt idx="115">
                  <c:v>188.879480519481</c:v>
                </c:pt>
                <c:pt idx="116">
                  <c:v>190.230519480519</c:v>
                </c:pt>
                <c:pt idx="117">
                  <c:v>191.581558441558</c:v>
                </c:pt>
                <c:pt idx="118">
                  <c:v>192.932597402597</c:v>
                </c:pt>
                <c:pt idx="119">
                  <c:v>194.283636363636</c:v>
                </c:pt>
                <c:pt idx="120">
                  <c:v>195.634675324675</c:v>
                </c:pt>
                <c:pt idx="121">
                  <c:v>196.985714285714</c:v>
                </c:pt>
                <c:pt idx="122">
                  <c:v>198.336753246753</c:v>
                </c:pt>
                <c:pt idx="123">
                  <c:v>199.687792207792</c:v>
                </c:pt>
                <c:pt idx="124">
                  <c:v>201.038831168831</c:v>
                </c:pt>
                <c:pt idx="125">
                  <c:v>202.38987012987</c:v>
                </c:pt>
                <c:pt idx="126">
                  <c:v>203.740909090909</c:v>
                </c:pt>
                <c:pt idx="127">
                  <c:v>205.091948051948</c:v>
                </c:pt>
                <c:pt idx="128">
                  <c:v>206.442987012987</c:v>
                </c:pt>
                <c:pt idx="129">
                  <c:v>207.794025974026</c:v>
                </c:pt>
                <c:pt idx="130">
                  <c:v>209.145064935065</c:v>
                </c:pt>
                <c:pt idx="131">
                  <c:v>210.496103896104</c:v>
                </c:pt>
                <c:pt idx="132">
                  <c:v>211.847142857143</c:v>
                </c:pt>
                <c:pt idx="133">
                  <c:v>213.198181818182</c:v>
                </c:pt>
                <c:pt idx="134">
                  <c:v>214.549220779221</c:v>
                </c:pt>
                <c:pt idx="135">
                  <c:v>215.90025974026</c:v>
                </c:pt>
                <c:pt idx="136">
                  <c:v>217.251298701299</c:v>
                </c:pt>
                <c:pt idx="137">
                  <c:v>218.602337662338</c:v>
                </c:pt>
                <c:pt idx="138">
                  <c:v>219.953376623377</c:v>
                </c:pt>
                <c:pt idx="139">
                  <c:v>221.304415584416</c:v>
                </c:pt>
                <c:pt idx="140">
                  <c:v>222.655454545455</c:v>
                </c:pt>
                <c:pt idx="141">
                  <c:v>224.006493506494</c:v>
                </c:pt>
                <c:pt idx="142">
                  <c:v>225.357532467532</c:v>
                </c:pt>
                <c:pt idx="143">
                  <c:v>226.708571428572</c:v>
                </c:pt>
                <c:pt idx="144">
                  <c:v>228.05961038961</c:v>
                </c:pt>
                <c:pt idx="145">
                  <c:v>229.410649350649</c:v>
                </c:pt>
                <c:pt idx="146">
                  <c:v>230.761688311688</c:v>
                </c:pt>
                <c:pt idx="147">
                  <c:v>232.112727272727</c:v>
                </c:pt>
                <c:pt idx="148">
                  <c:v>233.463766233766</c:v>
                </c:pt>
                <c:pt idx="149">
                  <c:v>234.814805194805</c:v>
                </c:pt>
                <c:pt idx="150">
                  <c:v>236.165844155844</c:v>
                </c:pt>
                <c:pt idx="151">
                  <c:v>237.516883116883</c:v>
                </c:pt>
                <c:pt idx="152">
                  <c:v>238.867922077922</c:v>
                </c:pt>
                <c:pt idx="153">
                  <c:v>240.218961038961</c:v>
                </c:pt>
                <c:pt idx="154">
                  <c:v>241.57</c:v>
                </c:pt>
              </c:numCache>
            </c:numRef>
          </c:val>
          <c:smooth val="0"/>
        </c:ser>
        <c:hiLowLines>
          <c:spPr>
            <a:ln w="0">
              <a:noFill/>
            </a:ln>
          </c:spPr>
        </c:hiLowLines>
        <c:marker val="0"/>
        <c:axId val="88732821"/>
        <c:axId val="79383883"/>
      </c:lineChart>
      <c:dateAx>
        <c:axId val="1864707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5700009"/>
        <c:auto val="1"/>
        <c:lblOffset val="100"/>
        <c:baseTimeUnit val="days"/>
      </c:dateAx>
      <c:valAx>
        <c:axId val="4570000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8647073"/>
        <c:crosses val="autoZero"/>
        <c:crossBetween val="between"/>
      </c:valAx>
      <c:dateAx>
        <c:axId val="8873282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9383883"/>
        <c:auto val="1"/>
        <c:lblOffset val="100"/>
        <c:baseTimeUnit val="days"/>
      </c:dateAx>
      <c:valAx>
        <c:axId val="79383883"/>
        <c:scaling>
          <c:orientation val="minMax"/>
        </c:scaling>
        <c:delete val="0"/>
        <c:axPos val="r"/>
        <c:title>
          <c:tx>
            <c:rich>
              <a:bodyPr rot="-5400000"/>
              <a:lstStyle/>
              <a:p>
                <a:pPr>
                  <a:defRPr sz="1300" b="0" u="none" strike="noStrike">
                    <a:uFillTx/>
                    <a:latin typeface="Arial"/>
                  </a:defRPr>
                </a:pPr>
                <a:r>
                  <a:rPr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73282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(Calc)'!$N$3:$N$157</c:f>
              <c:numCache>
                <c:formatCode>0.0%</c:formatCode>
                <c:ptCount val="155"/>
                <c:pt idx="0">
                  <c:v>-0.0144057623049221</c:v>
                </c:pt>
                <c:pt idx="1">
                  <c:v>0.0151963343193551</c:v>
                </c:pt>
                <c:pt idx="2">
                  <c:v>0.00297091927098214</c:v>
                </c:pt>
                <c:pt idx="3">
                  <c:v>-0.0229279407576189</c:v>
                </c:pt>
                <c:pt idx="4">
                  <c:v>0.0170529077393964</c:v>
                </c:pt>
                <c:pt idx="5">
                  <c:v>0.00180567497850381</c:v>
                </c:pt>
                <c:pt idx="6">
                  <c:v>-0.00512116270420271</c:v>
                </c:pt>
                <c:pt idx="7">
                  <c:v>0.0370391671938806</c:v>
                </c:pt>
                <c:pt idx="8">
                  <c:v>0.0287837612999833</c:v>
                </c:pt>
                <c:pt idx="9">
                  <c:v>-0.0246361185983827</c:v>
                </c:pt>
                <c:pt idx="10">
                  <c:v>-0.018183827999779</c:v>
                </c:pt>
                <c:pt idx="11">
                  <c:v>0.0588831344291827</c:v>
                </c:pt>
                <c:pt idx="12">
                  <c:v>-0.00677830940988844</c:v>
                </c:pt>
                <c:pt idx="13">
                  <c:v>-0.06195637628797</c:v>
                </c:pt>
                <c:pt idx="14">
                  <c:v>0.00724679029957209</c:v>
                </c:pt>
                <c:pt idx="15">
                  <c:v>-0.00532517561749379</c:v>
                </c:pt>
                <c:pt idx="16">
                  <c:v>-0.0028761817974714</c:v>
                </c:pt>
                <c:pt idx="17">
                  <c:v>0.172868770526917</c:v>
                </c:pt>
                <c:pt idx="18">
                  <c:v>-0.0132219733125548</c:v>
                </c:pt>
                <c:pt idx="19">
                  <c:v>0.00404688463911174</c:v>
                </c:pt>
                <c:pt idx="20">
                  <c:v>0.0236181769028485</c:v>
                </c:pt>
                <c:pt idx="21">
                  <c:v>0.0405762304921968</c:v>
                </c:pt>
                <c:pt idx="22">
                  <c:v>0.00373788647900319</c:v>
                </c:pt>
                <c:pt idx="23">
                  <c:v>-0.0111489126936691</c:v>
                </c:pt>
                <c:pt idx="24">
                  <c:v>-0.012762396261943</c:v>
                </c:pt>
                <c:pt idx="25">
                  <c:v>-0.00416784402373549</c:v>
                </c:pt>
                <c:pt idx="26">
                  <c:v>-0.00167884419852937</c:v>
                </c:pt>
                <c:pt idx="27">
                  <c:v>0.0187351965892941</c:v>
                </c:pt>
                <c:pt idx="28">
                  <c:v>0.00616121457301611</c:v>
                </c:pt>
                <c:pt idx="29">
                  <c:v>-0.0442970699694981</c:v>
                </c:pt>
                <c:pt idx="30">
                  <c:v>-0.014265335235378</c:v>
                </c:pt>
                <c:pt idx="31">
                  <c:v>0.0195491672594375</c:v>
                </c:pt>
                <c:pt idx="32">
                  <c:v>0.00565365924072547</c:v>
                </c:pt>
                <c:pt idx="33">
                  <c:v>-0.0271285375947943</c:v>
                </c:pt>
                <c:pt idx="34">
                  <c:v>-0.0248850419258858</c:v>
                </c:pt>
                <c:pt idx="35">
                  <c:v>-0.00572437271466408</c:v>
                </c:pt>
                <c:pt idx="36">
                  <c:v>0.00811605965303852</c:v>
                </c:pt>
                <c:pt idx="37">
                  <c:v>0.00905705947469038</c:v>
                </c:pt>
                <c:pt idx="38">
                  <c:v>0.0541039194175725</c:v>
                </c:pt>
                <c:pt idx="39">
                  <c:v>0.0530535976157813</c:v>
                </c:pt>
                <c:pt idx="40">
                  <c:v>0.0263695784012039</c:v>
                </c:pt>
                <c:pt idx="41">
                  <c:v>-0.00352336141809828</c:v>
                </c:pt>
                <c:pt idx="42">
                  <c:v>0.0608336627574999</c:v>
                </c:pt>
                <c:pt idx="43">
                  <c:v>-0.00478221265319645</c:v>
                </c:pt>
                <c:pt idx="44">
                  <c:v>-0.0250036402970483</c:v>
                </c:pt>
                <c:pt idx="45">
                  <c:v>2.13351539333218E-005</c:v>
                </c:pt>
                <c:pt idx="46">
                  <c:v>0.0124807987711213</c:v>
                </c:pt>
                <c:pt idx="47">
                  <c:v>0.0298586088459027</c:v>
                </c:pt>
                <c:pt idx="48">
                  <c:v>0.00579039980357643</c:v>
                </c:pt>
                <c:pt idx="49">
                  <c:v>0.0075065606119169</c:v>
                </c:pt>
                <c:pt idx="50">
                  <c:v>-0.00161531316884067</c:v>
                </c:pt>
                <c:pt idx="51">
                  <c:v>-0.0526028394612305</c:v>
                </c:pt>
                <c:pt idx="52">
                  <c:v>0.0190415199060732</c:v>
                </c:pt>
                <c:pt idx="53">
                  <c:v>0.00810691916123751</c:v>
                </c:pt>
                <c:pt idx="54">
                  <c:v>0.0304421910065664</c:v>
                </c:pt>
                <c:pt idx="55">
                  <c:v>-0.0562423118030208</c:v>
                </c:pt>
                <c:pt idx="56">
                  <c:v>0.0371153846153847</c:v>
                </c:pt>
                <c:pt idx="57">
                  <c:v>-0.0421328059006531</c:v>
                </c:pt>
                <c:pt idx="58">
                  <c:v>-0.00438785167340627</c:v>
                </c:pt>
                <c:pt idx="59">
                  <c:v>-0.0163541306602143</c:v>
                </c:pt>
                <c:pt idx="60">
                  <c:v>0.0579824734796073</c:v>
                </c:pt>
                <c:pt idx="61">
                  <c:v>0.0026779597683253</c:v>
                </c:pt>
                <c:pt idx="62">
                  <c:v>-0.0109730848861284</c:v>
                </c:pt>
                <c:pt idx="63">
                  <c:v>-0.0137743353569185</c:v>
                </c:pt>
                <c:pt idx="64">
                  <c:v>0.0968330786211582</c:v>
                </c:pt>
                <c:pt idx="65">
                  <c:v>-0.0987730773696637</c:v>
                </c:pt>
                <c:pt idx="66">
                  <c:v>-0.0316298045952329</c:v>
                </c:pt>
                <c:pt idx="67">
                  <c:v>0.0380513116171806</c:v>
                </c:pt>
                <c:pt idx="68">
                  <c:v>-0.0128810373186935</c:v>
                </c:pt>
                <c:pt idx="69">
                  <c:v>0.00352737502705036</c:v>
                </c:pt>
                <c:pt idx="70">
                  <c:v>-0.14331615379639</c:v>
                </c:pt>
                <c:pt idx="71">
                  <c:v>0.0289223953482518</c:v>
                </c:pt>
                <c:pt idx="72">
                  <c:v>-0.0040365984930032</c:v>
                </c:pt>
                <c:pt idx="73">
                  <c:v>0.00601802952518971</c:v>
                </c:pt>
                <c:pt idx="74">
                  <c:v>0.0303740599667937</c:v>
                </c:pt>
                <c:pt idx="75">
                  <c:v>0.0417535545023697</c:v>
                </c:pt>
                <c:pt idx="76">
                  <c:v>0.0501797006505618</c:v>
                </c:pt>
                <c:pt idx="77">
                  <c:v>0.0165482585340495</c:v>
                </c:pt>
                <c:pt idx="78">
                  <c:v>-0.0219892610585528</c:v>
                </c:pt>
                <c:pt idx="79">
                  <c:v>0.0549891067538126</c:v>
                </c:pt>
                <c:pt idx="80">
                  <c:v>-0.00918965802081606</c:v>
                </c:pt>
                <c:pt idx="81">
                  <c:v>0.0177160841201358</c:v>
                </c:pt>
                <c:pt idx="82">
                  <c:v>0.0337504351922013</c:v>
                </c:pt>
                <c:pt idx="83">
                  <c:v>-0.00311032747588014</c:v>
                </c:pt>
                <c:pt idx="84">
                  <c:v>-0.0208863275039746</c:v>
                </c:pt>
                <c:pt idx="85">
                  <c:v>-0.0366762061336743</c:v>
                </c:pt>
                <c:pt idx="86">
                  <c:v>0.0202267076819351</c:v>
                </c:pt>
                <c:pt idx="87">
                  <c:v>0.0100780636900581</c:v>
                </c:pt>
                <c:pt idx="88">
                  <c:v>0.00969126967900214</c:v>
                </c:pt>
                <c:pt idx="89">
                  <c:v>0.0148023651385063</c:v>
                </c:pt>
                <c:pt idx="90">
                  <c:v>-0.151970467923775</c:v>
                </c:pt>
                <c:pt idx="91">
                  <c:v>0.0321419327513588</c:v>
                </c:pt>
                <c:pt idx="92">
                  <c:v>-0.00604126296591812</c:v>
                </c:pt>
                <c:pt idx="93">
                  <c:v>0.013876146788991</c:v>
                </c:pt>
                <c:pt idx="94">
                  <c:v>0.0191154846736794</c:v>
                </c:pt>
                <c:pt idx="95">
                  <c:v>0.0109877913429524</c:v>
                </c:pt>
                <c:pt idx="96">
                  <c:v>-0.0320122955318916</c:v>
                </c:pt>
                <c:pt idx="97">
                  <c:v>0.000975344205774942</c:v>
                </c:pt>
                <c:pt idx="98">
                  <c:v>0.0415137094946747</c:v>
                </c:pt>
                <c:pt idx="99">
                  <c:v>0.0200818067098909</c:v>
                </c:pt>
                <c:pt idx="100">
                  <c:v>-0.0192812200063986</c:v>
                </c:pt>
                <c:pt idx="101">
                  <c:v>0.0214001435375482</c:v>
                </c:pt>
                <c:pt idx="102">
                  <c:v>-0.0160119237730224</c:v>
                </c:pt>
                <c:pt idx="103">
                  <c:v>-0.206846558327743</c:v>
                </c:pt>
                <c:pt idx="104">
                  <c:v>0.0716156490423965</c:v>
                </c:pt>
                <c:pt idx="105">
                  <c:v>0.00593192291046107</c:v>
                </c:pt>
                <c:pt idx="106">
                  <c:v>-0.0103765944523183</c:v>
                </c:pt>
                <c:pt idx="107">
                  <c:v>0.0130428111094063</c:v>
                </c:pt>
                <c:pt idx="108">
                  <c:v>-0.00401393517116033</c:v>
                </c:pt>
                <c:pt idx="109">
                  <c:v>-0.0289204876688718</c:v>
                </c:pt>
                <c:pt idx="110">
                  <c:v>0.00683858843182295</c:v>
                </c:pt>
                <c:pt idx="111">
                  <c:v>0.0455228910665215</c:v>
                </c:pt>
                <c:pt idx="112">
                  <c:v>0.0111331515001241</c:v>
                </c:pt>
                <c:pt idx="113">
                  <c:v>0.022119228034037</c:v>
                </c:pt>
                <c:pt idx="114">
                  <c:v>0.0109882200523019</c:v>
                </c:pt>
                <c:pt idx="115">
                  <c:v>0.00991955195899297</c:v>
                </c:pt>
                <c:pt idx="116">
                  <c:v>-0.0378316140705406</c:v>
                </c:pt>
                <c:pt idx="117">
                  <c:v>0.0675995799448066</c:v>
                </c:pt>
                <c:pt idx="118">
                  <c:v>-0.023767585496969</c:v>
                </c:pt>
                <c:pt idx="119">
                  <c:v>0.0160511763051834</c:v>
                </c:pt>
                <c:pt idx="120">
                  <c:v>0.0504370286663132</c:v>
                </c:pt>
                <c:pt idx="121">
                  <c:v>-0.00755247211732679</c:v>
                </c:pt>
                <c:pt idx="122">
                  <c:v>0.00920272542252887</c:v>
                </c:pt>
                <c:pt idx="123">
                  <c:v>0.0146865409907935</c:v>
                </c:pt>
                <c:pt idx="124">
                  <c:v>-0.0232663642255346</c:v>
                </c:pt>
                <c:pt idx="125">
                  <c:v>0.0259438657023423</c:v>
                </c:pt>
                <c:pt idx="126">
                  <c:v>-0.0485060147458285</c:v>
                </c:pt>
                <c:pt idx="127">
                  <c:v>0.0612878375928947</c:v>
                </c:pt>
                <c:pt idx="128">
                  <c:v>0.0031809739330928</c:v>
                </c:pt>
                <c:pt idx="129">
                  <c:v>0.0170674611619495</c:v>
                </c:pt>
                <c:pt idx="130">
                  <c:v>0.0283520254435889</c:v>
                </c:pt>
                <c:pt idx="131">
                  <c:v>-0.0296457566077279</c:v>
                </c:pt>
                <c:pt idx="132">
                  <c:v>0.0417907318096038</c:v>
                </c:pt>
                <c:pt idx="133">
                  <c:v>-0.0807922226918664</c:v>
                </c:pt>
                <c:pt idx="134">
                  <c:v>0.0276993146335589</c:v>
                </c:pt>
                <c:pt idx="135">
                  <c:v>-0.032684194826778</c:v>
                </c:pt>
                <c:pt idx="136">
                  <c:v>-0.0461013215859031</c:v>
                </c:pt>
                <c:pt idx="137">
                  <c:v>0.0130232987738703</c:v>
                </c:pt>
                <c:pt idx="138">
                  <c:v>-0.0055617606163525</c:v>
                </c:pt>
                <c:pt idx="139">
                  <c:v>0.0113003415316204</c:v>
                </c:pt>
                <c:pt idx="140">
                  <c:v>-0.0247280145058929</c:v>
                </c:pt>
                <c:pt idx="141">
                  <c:v>-0.0148039694159753</c:v>
                </c:pt>
                <c:pt idx="142">
                  <c:v>0.0139177203245895</c:v>
                </c:pt>
                <c:pt idx="143">
                  <c:v>0.0165883393048252</c:v>
                </c:pt>
                <c:pt idx="144">
                  <c:v>-0.00556127703398557</c:v>
                </c:pt>
                <c:pt idx="145">
                  <c:v>0.0299640983153826</c:v>
                </c:pt>
                <c:pt idx="146">
                  <c:v>-0.00158645037315108</c:v>
                </c:pt>
                <c:pt idx="147">
                  <c:v>-0.0042521764429424</c:v>
                </c:pt>
                <c:pt idx="148">
                  <c:v>0.0150585485357246</c:v>
                </c:pt>
                <c:pt idx="149">
                  <c:v>0.0879259570887674</c:v>
                </c:pt>
                <c:pt idx="150">
                  <c:v>0.074693694793829</c:v>
                </c:pt>
                <c:pt idx="151">
                  <c:v>-0.0807703961821074</c:v>
                </c:pt>
                <c:pt idx="152">
                  <c:v>0.000535651743958532</c:v>
                </c:pt>
                <c:pt idx="153">
                  <c:v>-0.0170699063111294</c:v>
                </c:pt>
                <c:pt idx="154">
                  <c:v>-0.000544662309368227</c:v>
                </c:pt>
              </c:numCache>
            </c:numRef>
          </c:val>
        </c:ser>
        <c:gapWidth val="150"/>
        <c:overlap val="0"/>
        <c:axId val="53286559"/>
        <c:axId val="32395112"/>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(Calc)'!$AI$3:$AI$157</c:f>
              <c:numCache>
                <c:formatCode>#,##0.00</c:formatCode>
                <c:ptCount val="155"/>
                <c:pt idx="0">
                  <c:v>349.86</c:v>
                </c:pt>
                <c:pt idx="1">
                  <c:v>350.686233766234</c:v>
                </c:pt>
                <c:pt idx="2">
                  <c:v>351.512467532468</c:v>
                </c:pt>
                <c:pt idx="3">
                  <c:v>352.338701298701</c:v>
                </c:pt>
                <c:pt idx="4">
                  <c:v>353.164935064935</c:v>
                </c:pt>
                <c:pt idx="5">
                  <c:v>353.991168831169</c:v>
                </c:pt>
                <c:pt idx="6">
                  <c:v>354.817402597403</c:v>
                </c:pt>
                <c:pt idx="7">
                  <c:v>355.643636363636</c:v>
                </c:pt>
                <c:pt idx="8">
                  <c:v>356.46987012987</c:v>
                </c:pt>
                <c:pt idx="9">
                  <c:v>357.296103896104</c:v>
                </c:pt>
                <c:pt idx="10">
                  <c:v>358.122337662338</c:v>
                </c:pt>
                <c:pt idx="11">
                  <c:v>358.948571428571</c:v>
                </c:pt>
                <c:pt idx="12">
                  <c:v>359.774805194805</c:v>
                </c:pt>
                <c:pt idx="13">
                  <c:v>360.601038961039</c:v>
                </c:pt>
                <c:pt idx="14">
                  <c:v>361.427272727273</c:v>
                </c:pt>
                <c:pt idx="15">
                  <c:v>362.253506493507</c:v>
                </c:pt>
                <c:pt idx="16">
                  <c:v>363.07974025974</c:v>
                </c:pt>
                <c:pt idx="17">
                  <c:v>363.905974025974</c:v>
                </c:pt>
                <c:pt idx="18">
                  <c:v>364.732207792208</c:v>
                </c:pt>
                <c:pt idx="19">
                  <c:v>365.558441558442</c:v>
                </c:pt>
                <c:pt idx="20">
                  <c:v>366.384675324675</c:v>
                </c:pt>
                <c:pt idx="21">
                  <c:v>367.210909090909</c:v>
                </c:pt>
                <c:pt idx="22">
                  <c:v>368.037142857143</c:v>
                </c:pt>
                <c:pt idx="23">
                  <c:v>368.863376623377</c:v>
                </c:pt>
                <c:pt idx="24">
                  <c:v>369.68961038961</c:v>
                </c:pt>
                <c:pt idx="25">
                  <c:v>370.515844155844</c:v>
                </c:pt>
                <c:pt idx="26">
                  <c:v>371.342077922078</c:v>
                </c:pt>
                <c:pt idx="27">
                  <c:v>372.168311688312</c:v>
                </c:pt>
                <c:pt idx="28">
                  <c:v>372.994545454546</c:v>
                </c:pt>
                <c:pt idx="29">
                  <c:v>373.820779220779</c:v>
                </c:pt>
                <c:pt idx="30">
                  <c:v>374.647012987013</c:v>
                </c:pt>
                <c:pt idx="31">
                  <c:v>375.473246753247</c:v>
                </c:pt>
                <c:pt idx="32">
                  <c:v>376.299480519481</c:v>
                </c:pt>
                <c:pt idx="33">
                  <c:v>377.125714285714</c:v>
                </c:pt>
                <c:pt idx="34">
                  <c:v>377.951948051948</c:v>
                </c:pt>
                <c:pt idx="35">
                  <c:v>378.778181818182</c:v>
                </c:pt>
                <c:pt idx="36">
                  <c:v>379.604415584416</c:v>
                </c:pt>
                <c:pt idx="37">
                  <c:v>380.430649350649</c:v>
                </c:pt>
                <c:pt idx="38">
                  <c:v>381.256883116883</c:v>
                </c:pt>
                <c:pt idx="39">
                  <c:v>382.083116883117</c:v>
                </c:pt>
                <c:pt idx="40">
                  <c:v>382.909350649351</c:v>
                </c:pt>
                <c:pt idx="41">
                  <c:v>383.735584415584</c:v>
                </c:pt>
                <c:pt idx="42">
                  <c:v>384.561818181818</c:v>
                </c:pt>
                <c:pt idx="43">
                  <c:v>385.388051948052</c:v>
                </c:pt>
                <c:pt idx="44">
                  <c:v>386.214285714286</c:v>
                </c:pt>
                <c:pt idx="45">
                  <c:v>387.04051948052</c:v>
                </c:pt>
                <c:pt idx="46">
                  <c:v>387.866753246753</c:v>
                </c:pt>
                <c:pt idx="47">
                  <c:v>388.692987012987</c:v>
                </c:pt>
                <c:pt idx="48">
                  <c:v>389.519220779221</c:v>
                </c:pt>
                <c:pt idx="49">
                  <c:v>390.345454545455</c:v>
                </c:pt>
                <c:pt idx="50">
                  <c:v>391.171688311688</c:v>
                </c:pt>
                <c:pt idx="51">
                  <c:v>391.997922077922</c:v>
                </c:pt>
                <c:pt idx="52">
                  <c:v>392.824155844156</c:v>
                </c:pt>
                <c:pt idx="53">
                  <c:v>393.65038961039</c:v>
                </c:pt>
                <c:pt idx="54">
                  <c:v>394.476623376623</c:v>
                </c:pt>
                <c:pt idx="55">
                  <c:v>395.302857142857</c:v>
                </c:pt>
                <c:pt idx="56">
                  <c:v>396.129090909091</c:v>
                </c:pt>
                <c:pt idx="57">
                  <c:v>396.955324675325</c:v>
                </c:pt>
                <c:pt idx="58">
                  <c:v>397.781558441559</c:v>
                </c:pt>
                <c:pt idx="59">
                  <c:v>398.607792207792</c:v>
                </c:pt>
                <c:pt idx="60">
                  <c:v>399.434025974026</c:v>
                </c:pt>
                <c:pt idx="61">
                  <c:v>400.26025974026</c:v>
                </c:pt>
                <c:pt idx="62">
                  <c:v>401.086493506494</c:v>
                </c:pt>
                <c:pt idx="63">
                  <c:v>401.912727272727</c:v>
                </c:pt>
                <c:pt idx="64">
                  <c:v>402.738961038961</c:v>
                </c:pt>
                <c:pt idx="65">
                  <c:v>403.565194805195</c:v>
                </c:pt>
                <c:pt idx="66">
                  <c:v>404.391428571429</c:v>
                </c:pt>
                <c:pt idx="67">
                  <c:v>405.217662337662</c:v>
                </c:pt>
                <c:pt idx="68">
                  <c:v>406.043896103896</c:v>
                </c:pt>
                <c:pt idx="69">
                  <c:v>406.87012987013</c:v>
                </c:pt>
                <c:pt idx="70">
                  <c:v>407.696363636364</c:v>
                </c:pt>
                <c:pt idx="71">
                  <c:v>408.522597402597</c:v>
                </c:pt>
                <c:pt idx="72">
                  <c:v>409.348831168831</c:v>
                </c:pt>
                <c:pt idx="73">
                  <c:v>410.175064935065</c:v>
                </c:pt>
                <c:pt idx="74">
                  <c:v>411.001298701299</c:v>
                </c:pt>
                <c:pt idx="75">
                  <c:v>411.827532467533</c:v>
                </c:pt>
                <c:pt idx="76">
                  <c:v>412.653766233766</c:v>
                </c:pt>
                <c:pt idx="77">
                  <c:v>413.48</c:v>
                </c:pt>
                <c:pt idx="78">
                  <c:v>414.306233766234</c:v>
                </c:pt>
                <c:pt idx="79">
                  <c:v>415.132467532468</c:v>
                </c:pt>
                <c:pt idx="80">
                  <c:v>415.958701298701</c:v>
                </c:pt>
                <c:pt idx="81">
                  <c:v>416.784935064935</c:v>
                </c:pt>
                <c:pt idx="82">
                  <c:v>417.611168831169</c:v>
                </c:pt>
                <c:pt idx="83">
                  <c:v>418.437402597403</c:v>
                </c:pt>
                <c:pt idx="84">
                  <c:v>419.263636363636</c:v>
                </c:pt>
                <c:pt idx="85">
                  <c:v>420.08987012987</c:v>
                </c:pt>
                <c:pt idx="86">
                  <c:v>420.916103896104</c:v>
                </c:pt>
                <c:pt idx="87">
                  <c:v>421.742337662338</c:v>
                </c:pt>
                <c:pt idx="88">
                  <c:v>422.568571428571</c:v>
                </c:pt>
                <c:pt idx="89">
                  <c:v>423.394805194805</c:v>
                </c:pt>
                <c:pt idx="90">
                  <c:v>424.221038961039</c:v>
                </c:pt>
                <c:pt idx="91">
                  <c:v>425.047272727273</c:v>
                </c:pt>
                <c:pt idx="92">
                  <c:v>425.873506493506</c:v>
                </c:pt>
                <c:pt idx="93">
                  <c:v>426.69974025974</c:v>
                </c:pt>
                <c:pt idx="94">
                  <c:v>427.525974025974</c:v>
                </c:pt>
                <c:pt idx="95">
                  <c:v>428.352207792208</c:v>
                </c:pt>
                <c:pt idx="96">
                  <c:v>429.178441558442</c:v>
                </c:pt>
                <c:pt idx="97">
                  <c:v>430.004675324675</c:v>
                </c:pt>
                <c:pt idx="98">
                  <c:v>430.830909090909</c:v>
                </c:pt>
                <c:pt idx="99">
                  <c:v>431.657142857143</c:v>
                </c:pt>
                <c:pt idx="100">
                  <c:v>432.483376623377</c:v>
                </c:pt>
                <c:pt idx="101">
                  <c:v>433.30961038961</c:v>
                </c:pt>
                <c:pt idx="102">
                  <c:v>434.135844155844</c:v>
                </c:pt>
                <c:pt idx="103">
                  <c:v>434.962077922078</c:v>
                </c:pt>
                <c:pt idx="104">
                  <c:v>435.788311688312</c:v>
                </c:pt>
                <c:pt idx="105">
                  <c:v>436.614545454545</c:v>
                </c:pt>
                <c:pt idx="106">
                  <c:v>437.440779220779</c:v>
                </c:pt>
                <c:pt idx="107">
                  <c:v>438.267012987013</c:v>
                </c:pt>
                <c:pt idx="108">
                  <c:v>439.093246753247</c:v>
                </c:pt>
                <c:pt idx="109">
                  <c:v>439.919480519481</c:v>
                </c:pt>
                <c:pt idx="110">
                  <c:v>440.745714285714</c:v>
                </c:pt>
                <c:pt idx="111">
                  <c:v>441.571948051948</c:v>
                </c:pt>
                <c:pt idx="112">
                  <c:v>442.398181818182</c:v>
                </c:pt>
                <c:pt idx="113">
                  <c:v>443.224415584416</c:v>
                </c:pt>
                <c:pt idx="114">
                  <c:v>444.050649350649</c:v>
                </c:pt>
                <c:pt idx="115">
                  <c:v>444.876883116883</c:v>
                </c:pt>
                <c:pt idx="116">
                  <c:v>445.703116883117</c:v>
                </c:pt>
                <c:pt idx="117">
                  <c:v>446.529350649351</c:v>
                </c:pt>
                <c:pt idx="118">
                  <c:v>447.355584415584</c:v>
                </c:pt>
                <c:pt idx="119">
                  <c:v>448.181818181818</c:v>
                </c:pt>
                <c:pt idx="120">
                  <c:v>449.008051948052</c:v>
                </c:pt>
                <c:pt idx="121">
                  <c:v>449.834285714286</c:v>
                </c:pt>
                <c:pt idx="122">
                  <c:v>450.66051948052</c:v>
                </c:pt>
                <c:pt idx="123">
                  <c:v>451.486753246753</c:v>
                </c:pt>
                <c:pt idx="124">
                  <c:v>452.312987012987</c:v>
                </c:pt>
                <c:pt idx="125">
                  <c:v>453.139220779221</c:v>
                </c:pt>
                <c:pt idx="126">
                  <c:v>453.965454545455</c:v>
                </c:pt>
                <c:pt idx="127">
                  <c:v>454.791688311688</c:v>
                </c:pt>
                <c:pt idx="128">
                  <c:v>455.617922077922</c:v>
                </c:pt>
                <c:pt idx="129">
                  <c:v>456.444155844156</c:v>
                </c:pt>
                <c:pt idx="130">
                  <c:v>457.27038961039</c:v>
                </c:pt>
                <c:pt idx="131">
                  <c:v>458.096623376623</c:v>
                </c:pt>
                <c:pt idx="132">
                  <c:v>458.922857142857</c:v>
                </c:pt>
                <c:pt idx="133">
                  <c:v>459.749090909091</c:v>
                </c:pt>
                <c:pt idx="134">
                  <c:v>460.575324675325</c:v>
                </c:pt>
                <c:pt idx="135">
                  <c:v>461.401558441559</c:v>
                </c:pt>
                <c:pt idx="136">
                  <c:v>462.227792207792</c:v>
                </c:pt>
                <c:pt idx="137">
                  <c:v>463.054025974026</c:v>
                </c:pt>
                <c:pt idx="138">
                  <c:v>463.88025974026</c:v>
                </c:pt>
                <c:pt idx="139">
                  <c:v>464.706493506494</c:v>
                </c:pt>
                <c:pt idx="140">
                  <c:v>465.532727272727</c:v>
                </c:pt>
                <c:pt idx="141">
                  <c:v>466.358961038961</c:v>
                </c:pt>
                <c:pt idx="142">
                  <c:v>467.185194805195</c:v>
                </c:pt>
                <c:pt idx="143">
                  <c:v>468.011428571429</c:v>
                </c:pt>
                <c:pt idx="144">
                  <c:v>468.837662337662</c:v>
                </c:pt>
                <c:pt idx="145">
                  <c:v>469.663896103896</c:v>
                </c:pt>
                <c:pt idx="146">
                  <c:v>470.49012987013</c:v>
                </c:pt>
                <c:pt idx="147">
                  <c:v>471.316363636364</c:v>
                </c:pt>
                <c:pt idx="148">
                  <c:v>472.142597402597</c:v>
                </c:pt>
                <c:pt idx="149">
                  <c:v>472.968831168831</c:v>
                </c:pt>
                <c:pt idx="150">
                  <c:v>473.795064935065</c:v>
                </c:pt>
                <c:pt idx="151">
                  <c:v>474.621298701299</c:v>
                </c:pt>
                <c:pt idx="152">
                  <c:v>475.447532467533</c:v>
                </c:pt>
                <c:pt idx="153">
                  <c:v>476.273766233766</c:v>
                </c:pt>
                <c:pt idx="154">
                  <c:v>477.1</c:v>
                </c:pt>
              </c:numCache>
            </c:numRef>
          </c:val>
          <c:smooth val="0"/>
        </c:ser>
        <c:hiLowLines>
          <c:spPr>
            <a:ln w="0">
              <a:noFill/>
            </a:ln>
          </c:spPr>
        </c:hiLowLines>
        <c:marker val="0"/>
        <c:axId val="91936085"/>
        <c:axId val="91724598"/>
      </c:lineChart>
      <c:dateAx>
        <c:axId val="5328655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2395112"/>
        <c:auto val="1"/>
        <c:lblOffset val="100"/>
        <c:baseTimeUnit val="days"/>
      </c:dateAx>
      <c:valAx>
        <c:axId val="3239511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286559"/>
        <c:crosses val="autoZero"/>
        <c:crossBetween val="between"/>
      </c:valAx>
      <c:dateAx>
        <c:axId val="9193608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724598"/>
        <c:auto val="1"/>
        <c:lblOffset val="100"/>
        <c:baseTimeUnit val="days"/>
      </c:dateAx>
      <c:valAx>
        <c:axId val="91724598"/>
        <c:scaling>
          <c:orientation val="minMax"/>
        </c:scaling>
        <c:delete val="0"/>
        <c:axPos val="r"/>
        <c:title>
          <c:tx>
            <c:rich>
              <a:bodyPr rot="-5400000"/>
              <a:lstStyle/>
              <a:p>
                <a:pPr>
                  <a:defRPr sz="1300" b="0" u="none" strike="noStrike">
                    <a:uFillTx/>
                    <a:latin typeface="Arial"/>
                  </a:defRPr>
                </a:pPr>
                <a:r>
                  <a:rPr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93608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(Calc)'!$O$3:$O$157</c:f>
              <c:numCache>
                <c:formatCode>0.0%</c:formatCode>
                <c:ptCount val="155"/>
                <c:pt idx="0">
                  <c:v>-0.0307785153892577</c:v>
                </c:pt>
                <c:pt idx="1">
                  <c:v>-0.0161892901618929</c:v>
                </c:pt>
                <c:pt idx="2">
                  <c:v>0.0467088607594937</c:v>
                </c:pt>
                <c:pt idx="3">
                  <c:v>-0.0384568871689441</c:v>
                </c:pt>
                <c:pt idx="4">
                  <c:v>-0.00188655515029568</c:v>
                </c:pt>
                <c:pt idx="5">
                  <c:v>-0.0336441532258065</c:v>
                </c:pt>
                <c:pt idx="6">
                  <c:v>0.0164297822401878</c:v>
                </c:pt>
                <c:pt idx="7">
                  <c:v>-0.030147530468249</c:v>
                </c:pt>
                <c:pt idx="8">
                  <c:v>0.00264550264550278</c:v>
                </c:pt>
                <c:pt idx="9">
                  <c:v>-0.016754617414248</c:v>
                </c:pt>
                <c:pt idx="10">
                  <c:v>-0.0154300281765732</c:v>
                </c:pt>
                <c:pt idx="11">
                  <c:v>0.0715453802125921</c:v>
                </c:pt>
                <c:pt idx="12">
                  <c:v>-0.0340836830726186</c:v>
                </c:pt>
                <c:pt idx="13">
                  <c:v>0.0554312047399603</c:v>
                </c:pt>
                <c:pt idx="14">
                  <c:v>0.000124750499002069</c:v>
                </c:pt>
                <c:pt idx="15">
                  <c:v>0.0335536983909193</c:v>
                </c:pt>
                <c:pt idx="16">
                  <c:v>0.00832729905865315</c:v>
                </c:pt>
                <c:pt idx="17">
                  <c:v>0.0548174745661281</c:v>
                </c:pt>
                <c:pt idx="18">
                  <c:v>0.0226937478724611</c:v>
                </c:pt>
                <c:pt idx="19">
                  <c:v>-0.0036613780095418</c:v>
                </c:pt>
                <c:pt idx="20">
                  <c:v>-0.025946547884187</c:v>
                </c:pt>
                <c:pt idx="21">
                  <c:v>-0.0113181662284211</c:v>
                </c:pt>
                <c:pt idx="22">
                  <c:v>0.00300647548566135</c:v>
                </c:pt>
                <c:pt idx="23">
                  <c:v>0.0235185612174316</c:v>
                </c:pt>
                <c:pt idx="24">
                  <c:v>-0.0186979049335435</c:v>
                </c:pt>
                <c:pt idx="25">
                  <c:v>0.00906795224977031</c:v>
                </c:pt>
                <c:pt idx="26">
                  <c:v>0.00705266750085309</c:v>
                </c:pt>
                <c:pt idx="27">
                  <c:v>-0.0032757257426862</c:v>
                </c:pt>
                <c:pt idx="28">
                  <c:v>0.0157524932003628</c:v>
                </c:pt>
                <c:pt idx="29">
                  <c:v>0.00111569786901722</c:v>
                </c:pt>
                <c:pt idx="30">
                  <c:v>-0.00846985400646394</c:v>
                </c:pt>
                <c:pt idx="31">
                  <c:v>0.0239406541530853</c:v>
                </c:pt>
                <c:pt idx="32">
                  <c:v>0.0286498353457738</c:v>
                </c:pt>
                <c:pt idx="33">
                  <c:v>-0.0215558638352363</c:v>
                </c:pt>
                <c:pt idx="34">
                  <c:v>-0.0308648707601701</c:v>
                </c:pt>
                <c:pt idx="35">
                  <c:v>-0.00900292595093399</c:v>
                </c:pt>
                <c:pt idx="36">
                  <c:v>0.0247558482852599</c:v>
                </c:pt>
                <c:pt idx="37">
                  <c:v>0.00687056737588665</c:v>
                </c:pt>
                <c:pt idx="38">
                  <c:v>0.017279330838653</c:v>
                </c:pt>
                <c:pt idx="39">
                  <c:v>0.0110353781239856</c:v>
                </c:pt>
                <c:pt idx="40">
                  <c:v>-0.0148742643124665</c:v>
                </c:pt>
                <c:pt idx="41">
                  <c:v>0.0107538561807516</c:v>
                </c:pt>
                <c:pt idx="42">
                  <c:v>-0.0340677055346588</c:v>
                </c:pt>
                <c:pt idx="43">
                  <c:v>-0.0239207832665775</c:v>
                </c:pt>
                <c:pt idx="44">
                  <c:v>0.010828678901174</c:v>
                </c:pt>
                <c:pt idx="45">
                  <c:v>0.0117275597654487</c:v>
                </c:pt>
                <c:pt idx="46">
                  <c:v>-0.0164957646009809</c:v>
                </c:pt>
                <c:pt idx="47">
                  <c:v>0.0557570262919311</c:v>
                </c:pt>
                <c:pt idx="48">
                  <c:v>0.0264061829111208</c:v>
                </c:pt>
                <c:pt idx="49">
                  <c:v>0.0362894791884543</c:v>
                </c:pt>
                <c:pt idx="50">
                  <c:v>-0.0714501967907962</c:v>
                </c:pt>
                <c:pt idx="51">
                  <c:v>-0.0176067818715357</c:v>
                </c:pt>
                <c:pt idx="52">
                  <c:v>0.0285429804181878</c:v>
                </c:pt>
                <c:pt idx="53">
                  <c:v>0.0310852963321502</c:v>
                </c:pt>
                <c:pt idx="54">
                  <c:v>0.000521593991237301</c:v>
                </c:pt>
                <c:pt idx="55">
                  <c:v>-0.0566155771035345</c:v>
                </c:pt>
                <c:pt idx="56">
                  <c:v>0.0288461538461537</c:v>
                </c:pt>
                <c:pt idx="57">
                  <c:v>0.03018584165861</c:v>
                </c:pt>
                <c:pt idx="58">
                  <c:v>-0.00354535974973935</c:v>
                </c:pt>
                <c:pt idx="59">
                  <c:v>0.00282544997907075</c:v>
                </c:pt>
                <c:pt idx="60">
                  <c:v>0.0118960659501199</c:v>
                </c:pt>
                <c:pt idx="61">
                  <c:v>0.0125812106837166</c:v>
                </c:pt>
                <c:pt idx="62">
                  <c:v>-0.0333027803238619</c:v>
                </c:pt>
                <c:pt idx="63">
                  <c:v>-0.00242309313105782</c:v>
                </c:pt>
                <c:pt idx="64">
                  <c:v>0.0886049213222093</c:v>
                </c:pt>
                <c:pt idx="65">
                  <c:v>-0.0194024058983314</c:v>
                </c:pt>
                <c:pt idx="66">
                  <c:v>0.0366046695686586</c:v>
                </c:pt>
                <c:pt idx="67">
                  <c:v>0.00677610230960091</c:v>
                </c:pt>
                <c:pt idx="68">
                  <c:v>-0.0208550573514076</c:v>
                </c:pt>
                <c:pt idx="69">
                  <c:v>-0.0123922935424533</c:v>
                </c:pt>
                <c:pt idx="70">
                  <c:v>-0.0578374669150084</c:v>
                </c:pt>
                <c:pt idx="71">
                  <c:v>0.00395380293413794</c:v>
                </c:pt>
                <c:pt idx="72">
                  <c:v>0.00777282619960618</c:v>
                </c:pt>
                <c:pt idx="73">
                  <c:v>-0.0262237762237761</c:v>
                </c:pt>
                <c:pt idx="74">
                  <c:v>0.0488963987749498</c:v>
                </c:pt>
                <c:pt idx="75">
                  <c:v>0.00503423278292381</c:v>
                </c:pt>
                <c:pt idx="76">
                  <c:v>-0.0151272290122219</c:v>
                </c:pt>
                <c:pt idx="77">
                  <c:v>-0.0115959719255416</c:v>
                </c:pt>
                <c:pt idx="78">
                  <c:v>0.00308737264587844</c:v>
                </c:pt>
                <c:pt idx="79">
                  <c:v>-0.0365240586847235</c:v>
                </c:pt>
                <c:pt idx="80">
                  <c:v>-0.0112874028324992</c:v>
                </c:pt>
                <c:pt idx="81">
                  <c:v>-0.0449111470113084</c:v>
                </c:pt>
                <c:pt idx="82">
                  <c:v>-0.0187189896256204</c:v>
                </c:pt>
                <c:pt idx="83">
                  <c:v>0.0096529533440588</c:v>
                </c:pt>
                <c:pt idx="84">
                  <c:v>-0.00842249032551778</c:v>
                </c:pt>
                <c:pt idx="85">
                  <c:v>-0.104683195592287</c:v>
                </c:pt>
                <c:pt idx="86">
                  <c:v>0.0125641025641026</c:v>
                </c:pt>
                <c:pt idx="87">
                  <c:v>0.0186123069131425</c:v>
                </c:pt>
                <c:pt idx="88">
                  <c:v>0.0280919825978867</c:v>
                </c:pt>
                <c:pt idx="89">
                  <c:v>0.0339741264659654</c:v>
                </c:pt>
                <c:pt idx="90">
                  <c:v>0.0115762394761461</c:v>
                </c:pt>
                <c:pt idx="91">
                  <c:v>0.0488960813778754</c:v>
                </c:pt>
                <c:pt idx="92">
                  <c:v>-0.0400044081992506</c:v>
                </c:pt>
                <c:pt idx="93">
                  <c:v>0.0117093330272069</c:v>
                </c:pt>
                <c:pt idx="94">
                  <c:v>0.0184954045160559</c:v>
                </c:pt>
                <c:pt idx="95">
                  <c:v>-0.00601604278074874</c:v>
                </c:pt>
                <c:pt idx="96">
                  <c:v>0.00168123739071957</c:v>
                </c:pt>
                <c:pt idx="97">
                  <c:v>0.0205885643952108</c:v>
                </c:pt>
                <c:pt idx="98">
                  <c:v>0.041662098454117</c:v>
                </c:pt>
                <c:pt idx="99">
                  <c:v>-0.00136827702347131</c:v>
                </c:pt>
                <c:pt idx="100">
                  <c:v>-0.0116989881956155</c:v>
                </c:pt>
                <c:pt idx="101">
                  <c:v>0.014716860403114</c:v>
                </c:pt>
                <c:pt idx="102">
                  <c:v>-0.0502364687335786</c:v>
                </c:pt>
                <c:pt idx="103">
                  <c:v>0.0232378001549185</c:v>
                </c:pt>
                <c:pt idx="104">
                  <c:v>0.029847518113983</c:v>
                </c:pt>
                <c:pt idx="105">
                  <c:v>0.0397983828625432</c:v>
                </c:pt>
                <c:pt idx="106">
                  <c:v>0.00838214502120782</c:v>
                </c:pt>
                <c:pt idx="107">
                  <c:v>0.0109163745618428</c:v>
                </c:pt>
                <c:pt idx="108">
                  <c:v>-0.00792550029720618</c:v>
                </c:pt>
                <c:pt idx="109">
                  <c:v>0.00569203115638106</c:v>
                </c:pt>
                <c:pt idx="110">
                  <c:v>-0.00158872008737954</c:v>
                </c:pt>
                <c:pt idx="111">
                  <c:v>0.00109398309298858</c:v>
                </c:pt>
                <c:pt idx="112">
                  <c:v>-0.05434134710908</c:v>
                </c:pt>
                <c:pt idx="113">
                  <c:v>0.0196449206849461</c:v>
                </c:pt>
                <c:pt idx="114">
                  <c:v>0.0293632804450854</c:v>
                </c:pt>
                <c:pt idx="115">
                  <c:v>-0.0211190071063958</c:v>
                </c:pt>
                <c:pt idx="116">
                  <c:v>-0.000613496932515334</c:v>
                </c:pt>
                <c:pt idx="117">
                  <c:v>-0.00153468385512578</c:v>
                </c:pt>
                <c:pt idx="118">
                  <c:v>-0.00778768316425871</c:v>
                </c:pt>
                <c:pt idx="119">
                  <c:v>0.0444077248786532</c:v>
                </c:pt>
                <c:pt idx="120">
                  <c:v>0.0175022248590924</c:v>
                </c:pt>
                <c:pt idx="121">
                  <c:v>0.0214771622934888</c:v>
                </c:pt>
                <c:pt idx="122">
                  <c:v>-0.0126534107125867</c:v>
                </c:pt>
                <c:pt idx="123">
                  <c:v>-0.000867219117363649</c:v>
                </c:pt>
                <c:pt idx="124">
                  <c:v>-0.00549715498119385</c:v>
                </c:pt>
                <c:pt idx="125">
                  <c:v>0.0408262218774242</c:v>
                </c:pt>
                <c:pt idx="126">
                  <c:v>0.0109941302524923</c:v>
                </c:pt>
                <c:pt idx="127">
                  <c:v>-0.000184314809695052</c:v>
                </c:pt>
                <c:pt idx="128">
                  <c:v>0.007189602728362</c:v>
                </c:pt>
                <c:pt idx="129">
                  <c:v>0.0541777249016198</c:v>
                </c:pt>
                <c:pt idx="130">
                  <c:v>-0.00251757965101129</c:v>
                </c:pt>
                <c:pt idx="131">
                  <c:v>0.00557006092254131</c:v>
                </c:pt>
                <c:pt idx="132">
                  <c:v>-0.0221568288038775</c:v>
                </c:pt>
                <c:pt idx="133">
                  <c:v>-0.0383253673216498</c:v>
                </c:pt>
                <c:pt idx="134">
                  <c:v>-0.0217211228716061</c:v>
                </c:pt>
                <c:pt idx="135">
                  <c:v>-0.0019757267852103</c:v>
                </c:pt>
                <c:pt idx="136">
                  <c:v>0.0296945701357467</c:v>
                </c:pt>
                <c:pt idx="137">
                  <c:v>0.0200494369678659</c:v>
                </c:pt>
                <c:pt idx="138">
                  <c:v>0.0297074133907738</c:v>
                </c:pt>
                <c:pt idx="139">
                  <c:v>0.0243179639152793</c:v>
                </c:pt>
                <c:pt idx="140">
                  <c:v>0.0122532334921714</c:v>
                </c:pt>
                <c:pt idx="141">
                  <c:v>0.00840618695359785</c:v>
                </c:pt>
                <c:pt idx="142">
                  <c:v>-0.00100033344448136</c:v>
                </c:pt>
                <c:pt idx="143">
                  <c:v>-0.0216121495327103</c:v>
                </c:pt>
                <c:pt idx="144">
                  <c:v>0.0237100213219617</c:v>
                </c:pt>
                <c:pt idx="145">
                  <c:v>0.000166625010413979</c:v>
                </c:pt>
                <c:pt idx="146">
                  <c:v>-0.00291545189504372</c:v>
                </c:pt>
                <c:pt idx="147">
                  <c:v>0.0390977443609022</c:v>
                </c:pt>
                <c:pt idx="148">
                  <c:v>-0.0191349091493809</c:v>
                </c:pt>
                <c:pt idx="149">
                  <c:v>0.0240983606557377</c:v>
                </c:pt>
                <c:pt idx="150">
                  <c:v>-0.0114454938370417</c:v>
                </c:pt>
                <c:pt idx="151">
                  <c:v>0.00356246457776699</c:v>
                </c:pt>
                <c:pt idx="152">
                  <c:v>0.0112948769665187</c:v>
                </c:pt>
                <c:pt idx="153">
                  <c:v>-0.000558436378141125</c:v>
                </c:pt>
                <c:pt idx="154">
                  <c:v>0</c:v>
                </c:pt>
              </c:numCache>
            </c:numRef>
          </c:val>
        </c:ser>
        <c:gapWidth val="150"/>
        <c:overlap val="0"/>
        <c:axId val="55009560"/>
        <c:axId val="28553508"/>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(Calc)'!$AJ$3:$AJ$157</c:f>
              <c:numCache>
                <c:formatCode>#,##0.00</c:formatCode>
                <c:ptCount val="155"/>
                <c:pt idx="0">
                  <c:v>82.85</c:v>
                </c:pt>
                <c:pt idx="1">
                  <c:v>83.1255194805195</c:v>
                </c:pt>
                <c:pt idx="2">
                  <c:v>83.401038961039</c:v>
                </c:pt>
                <c:pt idx="3">
                  <c:v>83.6765584415584</c:v>
                </c:pt>
                <c:pt idx="4">
                  <c:v>83.9520779220779</c:v>
                </c:pt>
                <c:pt idx="5">
                  <c:v>84.2275974025974</c:v>
                </c:pt>
                <c:pt idx="6">
                  <c:v>84.5031168831169</c:v>
                </c:pt>
                <c:pt idx="7">
                  <c:v>84.7786363636364</c:v>
                </c:pt>
                <c:pt idx="8">
                  <c:v>85.0541558441558</c:v>
                </c:pt>
                <c:pt idx="9">
                  <c:v>85.3296753246753</c:v>
                </c:pt>
                <c:pt idx="10">
                  <c:v>85.6051948051948</c:v>
                </c:pt>
                <c:pt idx="11">
                  <c:v>85.8807142857143</c:v>
                </c:pt>
                <c:pt idx="12">
                  <c:v>86.1562337662338</c:v>
                </c:pt>
                <c:pt idx="13">
                  <c:v>86.4317532467533</c:v>
                </c:pt>
                <c:pt idx="14">
                  <c:v>86.7072727272727</c:v>
                </c:pt>
                <c:pt idx="15">
                  <c:v>86.9827922077922</c:v>
                </c:pt>
                <c:pt idx="16">
                  <c:v>87.2583116883117</c:v>
                </c:pt>
                <c:pt idx="17">
                  <c:v>87.5338311688311</c:v>
                </c:pt>
                <c:pt idx="18">
                  <c:v>87.8093506493507</c:v>
                </c:pt>
                <c:pt idx="19">
                  <c:v>88.0848701298701</c:v>
                </c:pt>
                <c:pt idx="20">
                  <c:v>88.3603896103896</c:v>
                </c:pt>
                <c:pt idx="21">
                  <c:v>88.6359090909091</c:v>
                </c:pt>
                <c:pt idx="22">
                  <c:v>88.9114285714286</c:v>
                </c:pt>
                <c:pt idx="23">
                  <c:v>89.186948051948</c:v>
                </c:pt>
                <c:pt idx="24">
                  <c:v>89.4624675324675</c:v>
                </c:pt>
                <c:pt idx="25">
                  <c:v>89.737987012987</c:v>
                </c:pt>
                <c:pt idx="26">
                  <c:v>90.0135064935065</c:v>
                </c:pt>
                <c:pt idx="27">
                  <c:v>90.289025974026</c:v>
                </c:pt>
                <c:pt idx="28">
                  <c:v>90.5645454545455</c:v>
                </c:pt>
                <c:pt idx="29">
                  <c:v>90.8400649350649</c:v>
                </c:pt>
                <c:pt idx="30">
                  <c:v>91.1155844155844</c:v>
                </c:pt>
                <c:pt idx="31">
                  <c:v>91.3911038961039</c:v>
                </c:pt>
                <c:pt idx="32">
                  <c:v>91.6666233766234</c:v>
                </c:pt>
                <c:pt idx="33">
                  <c:v>91.9421428571428</c:v>
                </c:pt>
                <c:pt idx="34">
                  <c:v>92.2176623376624</c:v>
                </c:pt>
                <c:pt idx="35">
                  <c:v>92.4931818181818</c:v>
                </c:pt>
                <c:pt idx="36">
                  <c:v>92.7687012987013</c:v>
                </c:pt>
                <c:pt idx="37">
                  <c:v>93.0442207792208</c:v>
                </c:pt>
                <c:pt idx="38">
                  <c:v>93.3197402597403</c:v>
                </c:pt>
                <c:pt idx="39">
                  <c:v>93.5952597402597</c:v>
                </c:pt>
                <c:pt idx="40">
                  <c:v>93.8707792207792</c:v>
                </c:pt>
                <c:pt idx="41">
                  <c:v>94.1462987012987</c:v>
                </c:pt>
                <c:pt idx="42">
                  <c:v>94.4218181818182</c:v>
                </c:pt>
                <c:pt idx="43">
                  <c:v>94.6973376623377</c:v>
                </c:pt>
                <c:pt idx="44">
                  <c:v>94.9728571428572</c:v>
                </c:pt>
                <c:pt idx="45">
                  <c:v>95.2483766233766</c:v>
                </c:pt>
                <c:pt idx="46">
                  <c:v>95.5238961038961</c:v>
                </c:pt>
                <c:pt idx="47">
                  <c:v>95.7994155844156</c:v>
                </c:pt>
                <c:pt idx="48">
                  <c:v>96.0749350649351</c:v>
                </c:pt>
                <c:pt idx="49">
                  <c:v>96.3504545454545</c:v>
                </c:pt>
                <c:pt idx="50">
                  <c:v>96.625974025974</c:v>
                </c:pt>
                <c:pt idx="51">
                  <c:v>96.9014935064935</c:v>
                </c:pt>
                <c:pt idx="52">
                  <c:v>97.177012987013</c:v>
                </c:pt>
                <c:pt idx="53">
                  <c:v>97.4525324675325</c:v>
                </c:pt>
                <c:pt idx="54">
                  <c:v>97.728051948052</c:v>
                </c:pt>
                <c:pt idx="55">
                  <c:v>98.0035714285714</c:v>
                </c:pt>
                <c:pt idx="56">
                  <c:v>98.2790909090909</c:v>
                </c:pt>
                <c:pt idx="57">
                  <c:v>98.5546103896104</c:v>
                </c:pt>
                <c:pt idx="58">
                  <c:v>98.8301298701299</c:v>
                </c:pt>
                <c:pt idx="59">
                  <c:v>99.1056493506493</c:v>
                </c:pt>
                <c:pt idx="60">
                  <c:v>99.3811688311689</c:v>
                </c:pt>
                <c:pt idx="61">
                  <c:v>99.6566883116883</c:v>
                </c:pt>
                <c:pt idx="62">
                  <c:v>99.9322077922078</c:v>
                </c:pt>
                <c:pt idx="63">
                  <c:v>100.207727272727</c:v>
                </c:pt>
                <c:pt idx="64">
                  <c:v>100.483246753247</c:v>
                </c:pt>
                <c:pt idx="65">
                  <c:v>100.758766233766</c:v>
                </c:pt>
                <c:pt idx="66">
                  <c:v>101.034285714286</c:v>
                </c:pt>
                <c:pt idx="67">
                  <c:v>101.309805194805</c:v>
                </c:pt>
                <c:pt idx="68">
                  <c:v>101.585324675325</c:v>
                </c:pt>
                <c:pt idx="69">
                  <c:v>101.860844155844</c:v>
                </c:pt>
                <c:pt idx="70">
                  <c:v>102.136363636364</c:v>
                </c:pt>
                <c:pt idx="71">
                  <c:v>102.411883116883</c:v>
                </c:pt>
                <c:pt idx="72">
                  <c:v>102.687402597403</c:v>
                </c:pt>
                <c:pt idx="73">
                  <c:v>102.962922077922</c:v>
                </c:pt>
                <c:pt idx="74">
                  <c:v>103.238441558442</c:v>
                </c:pt>
                <c:pt idx="75">
                  <c:v>103.513961038961</c:v>
                </c:pt>
                <c:pt idx="76">
                  <c:v>103.789480519481</c:v>
                </c:pt>
                <c:pt idx="77">
                  <c:v>104.065</c:v>
                </c:pt>
                <c:pt idx="78">
                  <c:v>104.340519480519</c:v>
                </c:pt>
                <c:pt idx="79">
                  <c:v>104.616038961039</c:v>
                </c:pt>
                <c:pt idx="80">
                  <c:v>104.891558441558</c:v>
                </c:pt>
                <c:pt idx="81">
                  <c:v>105.167077922078</c:v>
                </c:pt>
                <c:pt idx="82">
                  <c:v>105.442597402597</c:v>
                </c:pt>
                <c:pt idx="83">
                  <c:v>105.718116883117</c:v>
                </c:pt>
                <c:pt idx="84">
                  <c:v>105.993636363636</c:v>
                </c:pt>
                <c:pt idx="85">
                  <c:v>106.269155844156</c:v>
                </c:pt>
                <c:pt idx="86">
                  <c:v>106.544675324675</c:v>
                </c:pt>
                <c:pt idx="87">
                  <c:v>106.820194805195</c:v>
                </c:pt>
                <c:pt idx="88">
                  <c:v>107.095714285714</c:v>
                </c:pt>
                <c:pt idx="89">
                  <c:v>107.371233766234</c:v>
                </c:pt>
                <c:pt idx="90">
                  <c:v>107.646753246753</c:v>
                </c:pt>
                <c:pt idx="91">
                  <c:v>107.922272727273</c:v>
                </c:pt>
                <c:pt idx="92">
                  <c:v>108.197792207792</c:v>
                </c:pt>
                <c:pt idx="93">
                  <c:v>108.473311688312</c:v>
                </c:pt>
                <c:pt idx="94">
                  <c:v>108.748831168831</c:v>
                </c:pt>
                <c:pt idx="95">
                  <c:v>109.024350649351</c:v>
                </c:pt>
                <c:pt idx="96">
                  <c:v>109.29987012987</c:v>
                </c:pt>
                <c:pt idx="97">
                  <c:v>109.57538961039</c:v>
                </c:pt>
                <c:pt idx="98">
                  <c:v>109.850909090909</c:v>
                </c:pt>
                <c:pt idx="99">
                  <c:v>110.126428571429</c:v>
                </c:pt>
                <c:pt idx="100">
                  <c:v>110.401948051948</c:v>
                </c:pt>
                <c:pt idx="101">
                  <c:v>110.677467532468</c:v>
                </c:pt>
                <c:pt idx="102">
                  <c:v>110.952987012987</c:v>
                </c:pt>
                <c:pt idx="103">
                  <c:v>111.228506493507</c:v>
                </c:pt>
                <c:pt idx="104">
                  <c:v>111.504025974026</c:v>
                </c:pt>
                <c:pt idx="105">
                  <c:v>111.779545454545</c:v>
                </c:pt>
                <c:pt idx="106">
                  <c:v>112.055064935065</c:v>
                </c:pt>
                <c:pt idx="107">
                  <c:v>112.330584415584</c:v>
                </c:pt>
                <c:pt idx="108">
                  <c:v>112.606103896104</c:v>
                </c:pt>
                <c:pt idx="109">
                  <c:v>112.881623376623</c:v>
                </c:pt>
                <c:pt idx="110">
                  <c:v>113.157142857143</c:v>
                </c:pt>
                <c:pt idx="111">
                  <c:v>113.432662337662</c:v>
                </c:pt>
                <c:pt idx="112">
                  <c:v>113.708181818182</c:v>
                </c:pt>
                <c:pt idx="113">
                  <c:v>113.983701298701</c:v>
                </c:pt>
                <c:pt idx="114">
                  <c:v>114.259220779221</c:v>
                </c:pt>
                <c:pt idx="115">
                  <c:v>114.53474025974</c:v>
                </c:pt>
                <c:pt idx="116">
                  <c:v>114.81025974026</c:v>
                </c:pt>
                <c:pt idx="117">
                  <c:v>115.085779220779</c:v>
                </c:pt>
                <c:pt idx="118">
                  <c:v>115.361298701299</c:v>
                </c:pt>
                <c:pt idx="119">
                  <c:v>115.636818181818</c:v>
                </c:pt>
                <c:pt idx="120">
                  <c:v>115.912337662338</c:v>
                </c:pt>
                <c:pt idx="121">
                  <c:v>116.187857142857</c:v>
                </c:pt>
                <c:pt idx="122">
                  <c:v>116.463376623377</c:v>
                </c:pt>
                <c:pt idx="123">
                  <c:v>116.738896103896</c:v>
                </c:pt>
                <c:pt idx="124">
                  <c:v>117.014415584416</c:v>
                </c:pt>
                <c:pt idx="125">
                  <c:v>117.289935064935</c:v>
                </c:pt>
                <c:pt idx="126">
                  <c:v>117.565454545455</c:v>
                </c:pt>
                <c:pt idx="127">
                  <c:v>117.840974025974</c:v>
                </c:pt>
                <c:pt idx="128">
                  <c:v>118.116493506494</c:v>
                </c:pt>
                <c:pt idx="129">
                  <c:v>118.392012987013</c:v>
                </c:pt>
                <c:pt idx="130">
                  <c:v>118.667532467532</c:v>
                </c:pt>
                <c:pt idx="131">
                  <c:v>118.943051948052</c:v>
                </c:pt>
                <c:pt idx="132">
                  <c:v>119.218571428571</c:v>
                </c:pt>
                <c:pt idx="133">
                  <c:v>119.494090909091</c:v>
                </c:pt>
                <c:pt idx="134">
                  <c:v>119.76961038961</c:v>
                </c:pt>
                <c:pt idx="135">
                  <c:v>120.04512987013</c:v>
                </c:pt>
                <c:pt idx="136">
                  <c:v>120.320649350649</c:v>
                </c:pt>
                <c:pt idx="137">
                  <c:v>120.596168831169</c:v>
                </c:pt>
                <c:pt idx="138">
                  <c:v>120.871688311688</c:v>
                </c:pt>
                <c:pt idx="139">
                  <c:v>121.147207792208</c:v>
                </c:pt>
                <c:pt idx="140">
                  <c:v>121.422727272727</c:v>
                </c:pt>
                <c:pt idx="141">
                  <c:v>121.698246753247</c:v>
                </c:pt>
                <c:pt idx="142">
                  <c:v>121.973766233766</c:v>
                </c:pt>
                <c:pt idx="143">
                  <c:v>122.249285714286</c:v>
                </c:pt>
                <c:pt idx="144">
                  <c:v>122.524805194805</c:v>
                </c:pt>
                <c:pt idx="145">
                  <c:v>122.800324675325</c:v>
                </c:pt>
                <c:pt idx="146">
                  <c:v>123.075844155844</c:v>
                </c:pt>
                <c:pt idx="147">
                  <c:v>123.351363636364</c:v>
                </c:pt>
                <c:pt idx="148">
                  <c:v>123.626883116883</c:v>
                </c:pt>
                <c:pt idx="149">
                  <c:v>123.902402597403</c:v>
                </c:pt>
                <c:pt idx="150">
                  <c:v>124.177922077922</c:v>
                </c:pt>
                <c:pt idx="151">
                  <c:v>124.453441558442</c:v>
                </c:pt>
                <c:pt idx="152">
                  <c:v>124.728961038961</c:v>
                </c:pt>
                <c:pt idx="153">
                  <c:v>125.004480519481</c:v>
                </c:pt>
                <c:pt idx="154">
                  <c:v>125.28</c:v>
                </c:pt>
              </c:numCache>
            </c:numRef>
          </c:val>
          <c:smooth val="0"/>
        </c:ser>
        <c:hiLowLines>
          <c:spPr>
            <a:ln w="0">
              <a:noFill/>
            </a:ln>
          </c:spPr>
        </c:hiLowLines>
        <c:marker val="0"/>
        <c:axId val="78077905"/>
        <c:axId val="50216798"/>
      </c:lineChart>
      <c:dateAx>
        <c:axId val="5500956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553508"/>
        <c:auto val="1"/>
        <c:lblOffset val="100"/>
        <c:baseTimeUnit val="days"/>
      </c:dateAx>
      <c:valAx>
        <c:axId val="2855350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009560"/>
        <c:crosses val="autoZero"/>
        <c:crossBetween val="between"/>
      </c:valAx>
      <c:dateAx>
        <c:axId val="7807790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0216798"/>
        <c:auto val="1"/>
        <c:lblOffset val="100"/>
        <c:baseTimeUnit val="days"/>
      </c:dateAx>
      <c:valAx>
        <c:axId val="50216798"/>
        <c:scaling>
          <c:orientation val="minMax"/>
        </c:scaling>
        <c:delete val="0"/>
        <c:axPos val="r"/>
        <c:title>
          <c:tx>
            <c:rich>
              <a:bodyPr rot="-5400000"/>
              <a:lstStyle/>
              <a:p>
                <a:pPr>
                  <a:defRPr sz="1300" b="0" u="none" strike="noStrike">
                    <a:uFillTx/>
                    <a:latin typeface="Arial"/>
                  </a:defRPr>
                </a:pPr>
                <a:r>
                  <a:rPr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807790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(Calc)'!$Q$3:$Q$157</c:f>
              <c:numCache>
                <c:formatCode>0.0%</c:formatCode>
                <c:ptCount val="155"/>
                <c:pt idx="0">
                  <c:v>0.0032102728731942</c:v>
                </c:pt>
                <c:pt idx="1">
                  <c:v>0.00340000000000007</c:v>
                </c:pt>
                <c:pt idx="2">
                  <c:v>-0.0111620490332869</c:v>
                </c:pt>
                <c:pt idx="3">
                  <c:v>-0.0173352146744608</c:v>
                </c:pt>
                <c:pt idx="4">
                  <c:v>0.0402051282051281</c:v>
                </c:pt>
                <c:pt idx="5">
                  <c:v>0.0100571879313744</c:v>
                </c:pt>
                <c:pt idx="6">
                  <c:v>0.0130808278016401</c:v>
                </c:pt>
                <c:pt idx="7">
                  <c:v>0.00443245326652519</c:v>
                </c:pt>
                <c:pt idx="8">
                  <c:v>0.000959324635456671</c:v>
                </c:pt>
                <c:pt idx="9">
                  <c:v>0.00364193981215255</c:v>
                </c:pt>
                <c:pt idx="10">
                  <c:v>0.0089763177998472</c:v>
                </c:pt>
                <c:pt idx="11">
                  <c:v>-0.000757145561234185</c:v>
                </c:pt>
                <c:pt idx="12">
                  <c:v>0.0017048683462777</c:v>
                </c:pt>
                <c:pt idx="13">
                  <c:v>-0.00434947049924361</c:v>
                </c:pt>
                <c:pt idx="14">
                  <c:v>0.00987654320987663</c:v>
                </c:pt>
                <c:pt idx="15">
                  <c:v>0.00583035546360722</c:v>
                </c:pt>
                <c:pt idx="16">
                  <c:v>0.0063575168287211</c:v>
                </c:pt>
                <c:pt idx="17">
                  <c:v>0.0141211445559271</c:v>
                </c:pt>
                <c:pt idx="18">
                  <c:v>0.00439721509710522</c:v>
                </c:pt>
                <c:pt idx="19">
                  <c:v>-0.00547245530828155</c:v>
                </c:pt>
                <c:pt idx="20">
                  <c:v>0.0075201760821717</c:v>
                </c:pt>
                <c:pt idx="21">
                  <c:v>0.00618969597669761</c:v>
                </c:pt>
                <c:pt idx="22">
                  <c:v>0.000723719920390886</c:v>
                </c:pt>
                <c:pt idx="23">
                  <c:v>0.000180799132164067</c:v>
                </c:pt>
                <c:pt idx="24">
                  <c:v>0.0110267534345625</c:v>
                </c:pt>
                <c:pt idx="25">
                  <c:v>0.000715179688896894</c:v>
                </c:pt>
                <c:pt idx="26">
                  <c:v>-0.00375201000536007</c:v>
                </c:pt>
                <c:pt idx="27">
                  <c:v>-0.00627690100430423</c:v>
                </c:pt>
                <c:pt idx="28">
                  <c:v>-0.0194910665944775</c:v>
                </c:pt>
                <c:pt idx="29">
                  <c:v>0.0206147616418186</c:v>
                </c:pt>
                <c:pt idx="30">
                  <c:v>0.00414788097385022</c:v>
                </c:pt>
                <c:pt idx="31">
                  <c:v>0.0154454022988506</c:v>
                </c:pt>
                <c:pt idx="32">
                  <c:v>0.0107888220728687</c:v>
                </c:pt>
                <c:pt idx="33">
                  <c:v>0.00104986876640423</c:v>
                </c:pt>
                <c:pt idx="34">
                  <c:v>-0.00262191924488719</c:v>
                </c:pt>
                <c:pt idx="35">
                  <c:v>0.0110410094637223</c:v>
                </c:pt>
                <c:pt idx="36">
                  <c:v>0.00901369388108853</c:v>
                </c:pt>
                <c:pt idx="37">
                  <c:v>0.00326404397869773</c:v>
                </c:pt>
                <c:pt idx="38">
                  <c:v>0.00273972602739736</c:v>
                </c:pt>
                <c:pt idx="39">
                  <c:v>0.00717213114754078</c:v>
                </c:pt>
                <c:pt idx="40">
                  <c:v>0.00339097999321814</c:v>
                </c:pt>
                <c:pt idx="41">
                  <c:v>-0.00659006421088204</c:v>
                </c:pt>
                <c:pt idx="42">
                  <c:v>-0.00425242388161251</c:v>
                </c:pt>
                <c:pt idx="43">
                  <c:v>-0.0107618722241203</c:v>
                </c:pt>
                <c:pt idx="44">
                  <c:v>0.000690726990157264</c:v>
                </c:pt>
                <c:pt idx="45">
                  <c:v>0.0262295081967212</c:v>
                </c:pt>
                <c:pt idx="46">
                  <c:v>0.00874390448965867</c:v>
                </c:pt>
                <c:pt idx="47">
                  <c:v>0.00366727787964649</c:v>
                </c:pt>
                <c:pt idx="48">
                  <c:v>-0.0270719149642917</c:v>
                </c:pt>
                <c:pt idx="49">
                  <c:v>0.0259474223284397</c:v>
                </c:pt>
                <c:pt idx="50">
                  <c:v>0.00831946755407653</c:v>
                </c:pt>
                <c:pt idx="51">
                  <c:v>0.00561056105610547</c:v>
                </c:pt>
                <c:pt idx="52">
                  <c:v>0.0013127666557271</c:v>
                </c:pt>
                <c:pt idx="53">
                  <c:v>0.00803015404785312</c:v>
                </c:pt>
                <c:pt idx="54">
                  <c:v>0.00829133474231836</c:v>
                </c:pt>
                <c:pt idx="55">
                  <c:v>-0.00274105127378266</c:v>
                </c:pt>
                <c:pt idx="56">
                  <c:v>-0.00889248181083269</c:v>
                </c:pt>
                <c:pt idx="57">
                  <c:v>0.0243066884176184</c:v>
                </c:pt>
                <c:pt idx="58">
                  <c:v>-0.00955566172957478</c:v>
                </c:pt>
                <c:pt idx="59">
                  <c:v>0.00755748512622612</c:v>
                </c:pt>
                <c:pt idx="60">
                  <c:v>0.00606447494414297</c:v>
                </c:pt>
                <c:pt idx="61">
                  <c:v>0.00380710659898487</c:v>
                </c:pt>
                <c:pt idx="62">
                  <c:v>-0.00173830594184576</c:v>
                </c:pt>
                <c:pt idx="63">
                  <c:v>-0.0123476333702707</c:v>
                </c:pt>
                <c:pt idx="64">
                  <c:v>0.00416733450873541</c:v>
                </c:pt>
                <c:pt idx="65">
                  <c:v>-0.00399042298483643</c:v>
                </c:pt>
                <c:pt idx="66">
                  <c:v>-0.0121794871794871</c:v>
                </c:pt>
                <c:pt idx="67">
                  <c:v>0.0171966255678131</c:v>
                </c:pt>
                <c:pt idx="68">
                  <c:v>0.0103668261562999</c:v>
                </c:pt>
                <c:pt idx="69">
                  <c:v>-0.00868192580899774</c:v>
                </c:pt>
                <c:pt idx="70">
                  <c:v>-0.000636942675159236</c:v>
                </c:pt>
                <c:pt idx="71">
                  <c:v>0.0105162523900575</c:v>
                </c:pt>
                <c:pt idx="72">
                  <c:v>-0.00898770104068114</c:v>
                </c:pt>
                <c:pt idx="73">
                  <c:v>-0.00636435958631665</c:v>
                </c:pt>
                <c:pt idx="74">
                  <c:v>-0.0174539631705365</c:v>
                </c:pt>
                <c:pt idx="75">
                  <c:v>-0.0141786179921772</c:v>
                </c:pt>
                <c:pt idx="76">
                  <c:v>-0.00214911555629038</c:v>
                </c:pt>
                <c:pt idx="77">
                  <c:v>-0.0129224652087475</c:v>
                </c:pt>
                <c:pt idx="78">
                  <c:v>-0.03877139979859</c:v>
                </c:pt>
                <c:pt idx="79">
                  <c:v>0.0188580408590886</c:v>
                </c:pt>
                <c:pt idx="80">
                  <c:v>-0.00599828620394172</c:v>
                </c:pt>
                <c:pt idx="81">
                  <c:v>0.0177586206896552</c:v>
                </c:pt>
                <c:pt idx="82">
                  <c:v>0.0162629171607658</c:v>
                </c:pt>
                <c:pt idx="83">
                  <c:v>-0.00250041673612267</c:v>
                </c:pt>
                <c:pt idx="84">
                  <c:v>0.0294117647058823</c:v>
                </c:pt>
                <c:pt idx="85">
                  <c:v>-0.0165584415584417</c:v>
                </c:pt>
                <c:pt idx="86">
                  <c:v>0.0108946847144273</c:v>
                </c:pt>
                <c:pt idx="87">
                  <c:v>0.00963422599608088</c:v>
                </c:pt>
                <c:pt idx="88">
                  <c:v>-0.00016173378618789</c:v>
                </c:pt>
                <c:pt idx="89">
                  <c:v>0.000808799741184085</c:v>
                </c:pt>
                <c:pt idx="90">
                  <c:v>0.0108291579117505</c:v>
                </c:pt>
                <c:pt idx="91">
                  <c:v>0.00655580428525759</c:v>
                </c:pt>
                <c:pt idx="92">
                  <c:v>0.0015885623510723</c:v>
                </c:pt>
                <c:pt idx="93">
                  <c:v>0.00348929421094368</c:v>
                </c:pt>
                <c:pt idx="94">
                  <c:v>0.00221273905484432</c:v>
                </c:pt>
                <c:pt idx="95">
                  <c:v>-0.010408452925406</c:v>
                </c:pt>
                <c:pt idx="96">
                  <c:v>0.0114741035856574</c:v>
                </c:pt>
                <c:pt idx="97">
                  <c:v>0.00740507326295892</c:v>
                </c:pt>
                <c:pt idx="98">
                  <c:v>0.00359712230215825</c:v>
                </c:pt>
                <c:pt idx="99">
                  <c:v>0.000155836060464543</c:v>
                </c:pt>
                <c:pt idx="100">
                  <c:v>0.00218136491118703</c:v>
                </c:pt>
                <c:pt idx="101">
                  <c:v>0.00855099502487589</c:v>
                </c:pt>
                <c:pt idx="102">
                  <c:v>0.00200400801603196</c:v>
                </c:pt>
                <c:pt idx="103">
                  <c:v>-0.00169230769230766</c:v>
                </c:pt>
                <c:pt idx="104">
                  <c:v>0.00323624595469241</c:v>
                </c:pt>
                <c:pt idx="105">
                  <c:v>-0.0125960061443932</c:v>
                </c:pt>
                <c:pt idx="106">
                  <c:v>0.00980087118855</c:v>
                </c:pt>
                <c:pt idx="107">
                  <c:v>0.0100138653520259</c:v>
                </c:pt>
                <c:pt idx="108">
                  <c:v>0.000610128126906639</c:v>
                </c:pt>
                <c:pt idx="109">
                  <c:v>-0.00503048780487803</c:v>
                </c:pt>
                <c:pt idx="110">
                  <c:v>0.00153209744139748</c:v>
                </c:pt>
                <c:pt idx="111">
                  <c:v>-0.00887257151598586</c:v>
                </c:pt>
                <c:pt idx="112">
                  <c:v>0.0217626176879147</c:v>
                </c:pt>
                <c:pt idx="113">
                  <c:v>0.00226586102719017</c:v>
                </c:pt>
                <c:pt idx="114">
                  <c:v>-0.00120572720422008</c:v>
                </c:pt>
                <c:pt idx="115">
                  <c:v>0.000301795684321871</c:v>
                </c:pt>
                <c:pt idx="116">
                  <c:v>0.0107105144063961</c:v>
                </c:pt>
                <c:pt idx="117">
                  <c:v>-0.00835820895522388</c:v>
                </c:pt>
                <c:pt idx="118">
                  <c:v>0.00918121613485856</c:v>
                </c:pt>
                <c:pt idx="119">
                  <c:v>-0.00462341536167044</c:v>
                </c:pt>
                <c:pt idx="120">
                  <c:v>-0.000299670362601034</c:v>
                </c:pt>
                <c:pt idx="121">
                  <c:v>0.00374700239808146</c:v>
                </c:pt>
                <c:pt idx="122">
                  <c:v>0.00283709123488118</c:v>
                </c:pt>
                <c:pt idx="123">
                  <c:v>-0.00878499106611086</c:v>
                </c:pt>
                <c:pt idx="124">
                  <c:v>0.00691001952831627</c:v>
                </c:pt>
                <c:pt idx="125">
                  <c:v>-0.00581829031776815</c:v>
                </c:pt>
                <c:pt idx="126">
                  <c:v>-0.0112545018007203</c:v>
                </c:pt>
                <c:pt idx="127">
                  <c:v>-0.013355592654424</c:v>
                </c:pt>
                <c:pt idx="128">
                  <c:v>-0.0112290416858946</c:v>
                </c:pt>
                <c:pt idx="129">
                  <c:v>-0.0138456751711263</c:v>
                </c:pt>
                <c:pt idx="130">
                  <c:v>0.0116737655781669</c:v>
                </c:pt>
                <c:pt idx="131">
                  <c:v>0.0204272571339468</c:v>
                </c:pt>
                <c:pt idx="132">
                  <c:v>0.025672371638142</c:v>
                </c:pt>
                <c:pt idx="133">
                  <c:v>0.00223480333730608</c:v>
                </c:pt>
                <c:pt idx="134">
                  <c:v>0.0040136762301175</c:v>
                </c:pt>
                <c:pt idx="135">
                  <c:v>0.00207284572105415</c:v>
                </c:pt>
                <c:pt idx="136">
                  <c:v>0.000295508274231526</c:v>
                </c:pt>
                <c:pt idx="137">
                  <c:v>0.000738552437222984</c:v>
                </c:pt>
                <c:pt idx="138">
                  <c:v>0.00428044280442808</c:v>
                </c:pt>
                <c:pt idx="139">
                  <c:v>-0.0105820105820108</c:v>
                </c:pt>
                <c:pt idx="140">
                  <c:v>0.000445632798574014</c:v>
                </c:pt>
                <c:pt idx="141">
                  <c:v>0.00846325167037865</c:v>
                </c:pt>
                <c:pt idx="142">
                  <c:v>-0.0123674911660778</c:v>
                </c:pt>
                <c:pt idx="143">
                  <c:v>0.00760286225402518</c:v>
                </c:pt>
                <c:pt idx="144">
                  <c:v>0.0109483651427724</c:v>
                </c:pt>
                <c:pt idx="145">
                  <c:v>-0.00921996194936336</c:v>
                </c:pt>
                <c:pt idx="146">
                  <c:v>-0.0017725258493354</c:v>
                </c:pt>
                <c:pt idx="147">
                  <c:v>0.0128736312518498</c:v>
                </c:pt>
              </c:numCache>
            </c:numRef>
          </c:val>
        </c:ser>
        <c:gapWidth val="150"/>
        <c:overlap val="0"/>
        <c:axId val="53219504"/>
        <c:axId val="40132219"/>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(Calc)'!$AK$3:$AK$157</c:f>
              <c:numCache>
                <c:formatCode>#,##0.00</c:formatCode>
                <c:ptCount val="155"/>
                <c:pt idx="0">
                  <c:v>49.84</c:v>
                </c:pt>
                <c:pt idx="1">
                  <c:v>49.9608441558442</c:v>
                </c:pt>
                <c:pt idx="2">
                  <c:v>50.0816883116883</c:v>
                </c:pt>
                <c:pt idx="3">
                  <c:v>50.2025324675325</c:v>
                </c:pt>
                <c:pt idx="4">
                  <c:v>50.3233766233766</c:v>
                </c:pt>
                <c:pt idx="5">
                  <c:v>50.4442207792208</c:v>
                </c:pt>
                <c:pt idx="6">
                  <c:v>50.5650649350649</c:v>
                </c:pt>
                <c:pt idx="7">
                  <c:v>50.6859090909091</c:v>
                </c:pt>
                <c:pt idx="8">
                  <c:v>50.8067532467533</c:v>
                </c:pt>
                <c:pt idx="9">
                  <c:v>50.9275974025974</c:v>
                </c:pt>
                <c:pt idx="10">
                  <c:v>51.0484415584416</c:v>
                </c:pt>
                <c:pt idx="11">
                  <c:v>51.1692857142857</c:v>
                </c:pt>
                <c:pt idx="12">
                  <c:v>51.2901298701299</c:v>
                </c:pt>
                <c:pt idx="13">
                  <c:v>51.410974025974</c:v>
                </c:pt>
                <c:pt idx="14">
                  <c:v>51.5318181818182</c:v>
                </c:pt>
                <c:pt idx="15">
                  <c:v>51.6526623376623</c:v>
                </c:pt>
                <c:pt idx="16">
                  <c:v>51.7735064935065</c:v>
                </c:pt>
                <c:pt idx="17">
                  <c:v>51.8943506493506</c:v>
                </c:pt>
                <c:pt idx="18">
                  <c:v>52.0151948051948</c:v>
                </c:pt>
                <c:pt idx="19">
                  <c:v>52.136038961039</c:v>
                </c:pt>
                <c:pt idx="20">
                  <c:v>52.2568831168831</c:v>
                </c:pt>
                <c:pt idx="21">
                  <c:v>52.3777272727273</c:v>
                </c:pt>
                <c:pt idx="22">
                  <c:v>52.4985714285714</c:v>
                </c:pt>
                <c:pt idx="23">
                  <c:v>52.6194155844156</c:v>
                </c:pt>
                <c:pt idx="24">
                  <c:v>52.7402597402597</c:v>
                </c:pt>
                <c:pt idx="25">
                  <c:v>52.8611038961039</c:v>
                </c:pt>
                <c:pt idx="26">
                  <c:v>52.9819480519481</c:v>
                </c:pt>
                <c:pt idx="27">
                  <c:v>53.1027922077922</c:v>
                </c:pt>
                <c:pt idx="28">
                  <c:v>53.2236363636364</c:v>
                </c:pt>
                <c:pt idx="29">
                  <c:v>53.3444805194805</c:v>
                </c:pt>
                <c:pt idx="30">
                  <c:v>53.4653246753247</c:v>
                </c:pt>
                <c:pt idx="31">
                  <c:v>53.5861688311688</c:v>
                </c:pt>
                <c:pt idx="32">
                  <c:v>53.707012987013</c:v>
                </c:pt>
                <c:pt idx="33">
                  <c:v>53.8278571428571</c:v>
                </c:pt>
                <c:pt idx="34">
                  <c:v>53.9487012987013</c:v>
                </c:pt>
                <c:pt idx="35">
                  <c:v>54.0695454545455</c:v>
                </c:pt>
                <c:pt idx="36">
                  <c:v>54.1903896103896</c:v>
                </c:pt>
                <c:pt idx="37">
                  <c:v>54.3112337662338</c:v>
                </c:pt>
                <c:pt idx="38">
                  <c:v>54.4320779220779</c:v>
                </c:pt>
                <c:pt idx="39">
                  <c:v>54.5529220779221</c:v>
                </c:pt>
                <c:pt idx="40">
                  <c:v>54.6737662337662</c:v>
                </c:pt>
                <c:pt idx="41">
                  <c:v>54.7946103896104</c:v>
                </c:pt>
                <c:pt idx="42">
                  <c:v>54.9154545454546</c:v>
                </c:pt>
                <c:pt idx="43">
                  <c:v>55.0362987012987</c:v>
                </c:pt>
                <c:pt idx="44">
                  <c:v>55.1571428571429</c:v>
                </c:pt>
                <c:pt idx="45">
                  <c:v>55.277987012987</c:v>
                </c:pt>
                <c:pt idx="46">
                  <c:v>55.3988311688312</c:v>
                </c:pt>
                <c:pt idx="47">
                  <c:v>55.5196753246753</c:v>
                </c:pt>
                <c:pt idx="48">
                  <c:v>55.6405194805195</c:v>
                </c:pt>
                <c:pt idx="49">
                  <c:v>55.7613636363636</c:v>
                </c:pt>
                <c:pt idx="50">
                  <c:v>55.8822077922078</c:v>
                </c:pt>
                <c:pt idx="51">
                  <c:v>56.003051948052</c:v>
                </c:pt>
                <c:pt idx="52">
                  <c:v>56.1238961038961</c:v>
                </c:pt>
                <c:pt idx="53">
                  <c:v>56.2447402597403</c:v>
                </c:pt>
                <c:pt idx="54">
                  <c:v>56.3655844155844</c:v>
                </c:pt>
                <c:pt idx="55">
                  <c:v>56.4864285714286</c:v>
                </c:pt>
                <c:pt idx="56">
                  <c:v>56.6072727272727</c:v>
                </c:pt>
                <c:pt idx="57">
                  <c:v>56.7281168831169</c:v>
                </c:pt>
                <c:pt idx="58">
                  <c:v>56.8489610389611</c:v>
                </c:pt>
                <c:pt idx="59">
                  <c:v>56.9698051948052</c:v>
                </c:pt>
                <c:pt idx="60">
                  <c:v>57.0906493506494</c:v>
                </c:pt>
                <c:pt idx="61">
                  <c:v>57.2114935064935</c:v>
                </c:pt>
                <c:pt idx="62">
                  <c:v>57.3323376623377</c:v>
                </c:pt>
                <c:pt idx="63">
                  <c:v>57.4531818181818</c:v>
                </c:pt>
                <c:pt idx="64">
                  <c:v>57.574025974026</c:v>
                </c:pt>
                <c:pt idx="65">
                  <c:v>57.6948701298701</c:v>
                </c:pt>
                <c:pt idx="66">
                  <c:v>57.8157142857143</c:v>
                </c:pt>
                <c:pt idx="67">
                  <c:v>57.9365584415585</c:v>
                </c:pt>
                <c:pt idx="68">
                  <c:v>58.0574025974026</c:v>
                </c:pt>
                <c:pt idx="69">
                  <c:v>58.1782467532468</c:v>
                </c:pt>
                <c:pt idx="70">
                  <c:v>58.2990909090909</c:v>
                </c:pt>
                <c:pt idx="71">
                  <c:v>58.4199350649351</c:v>
                </c:pt>
                <c:pt idx="72">
                  <c:v>58.5407792207792</c:v>
                </c:pt>
                <c:pt idx="73">
                  <c:v>58.6616233766234</c:v>
                </c:pt>
                <c:pt idx="74">
                  <c:v>58.7824675324675</c:v>
                </c:pt>
                <c:pt idx="75">
                  <c:v>58.9033116883117</c:v>
                </c:pt>
                <c:pt idx="76">
                  <c:v>59.0241558441559</c:v>
                </c:pt>
                <c:pt idx="77">
                  <c:v>59.145</c:v>
                </c:pt>
                <c:pt idx="78">
                  <c:v>59.2658441558442</c:v>
                </c:pt>
                <c:pt idx="79">
                  <c:v>59.3866883116883</c:v>
                </c:pt>
                <c:pt idx="80">
                  <c:v>59.5075324675325</c:v>
                </c:pt>
                <c:pt idx="81">
                  <c:v>59.6283766233766</c:v>
                </c:pt>
                <c:pt idx="82">
                  <c:v>59.7492207792208</c:v>
                </c:pt>
                <c:pt idx="83">
                  <c:v>59.8700649350649</c:v>
                </c:pt>
                <c:pt idx="84">
                  <c:v>59.9909090909091</c:v>
                </c:pt>
                <c:pt idx="85">
                  <c:v>60.1117532467533</c:v>
                </c:pt>
                <c:pt idx="86">
                  <c:v>60.2325974025974</c:v>
                </c:pt>
                <c:pt idx="87">
                  <c:v>60.3534415584416</c:v>
                </c:pt>
                <c:pt idx="88">
                  <c:v>60.4742857142857</c:v>
                </c:pt>
                <c:pt idx="89">
                  <c:v>60.5951298701299</c:v>
                </c:pt>
                <c:pt idx="90">
                  <c:v>60.715974025974</c:v>
                </c:pt>
                <c:pt idx="91">
                  <c:v>60.8368181818182</c:v>
                </c:pt>
                <c:pt idx="92">
                  <c:v>60.9576623376623</c:v>
                </c:pt>
                <c:pt idx="93">
                  <c:v>61.0785064935065</c:v>
                </c:pt>
                <c:pt idx="94">
                  <c:v>61.1993506493507</c:v>
                </c:pt>
                <c:pt idx="95">
                  <c:v>61.3201948051948</c:v>
                </c:pt>
                <c:pt idx="96">
                  <c:v>61.441038961039</c:v>
                </c:pt>
                <c:pt idx="97">
                  <c:v>61.5618831168831</c:v>
                </c:pt>
                <c:pt idx="98">
                  <c:v>61.6827272727273</c:v>
                </c:pt>
                <c:pt idx="99">
                  <c:v>61.8035714285714</c:v>
                </c:pt>
                <c:pt idx="100">
                  <c:v>61.9244155844156</c:v>
                </c:pt>
                <c:pt idx="101">
                  <c:v>62.0452597402597</c:v>
                </c:pt>
                <c:pt idx="102">
                  <c:v>62.1661038961039</c:v>
                </c:pt>
                <c:pt idx="103">
                  <c:v>62.2869480519481</c:v>
                </c:pt>
                <c:pt idx="104">
                  <c:v>62.4077922077922</c:v>
                </c:pt>
                <c:pt idx="105">
                  <c:v>62.5286363636364</c:v>
                </c:pt>
                <c:pt idx="106">
                  <c:v>62.6494805194805</c:v>
                </c:pt>
                <c:pt idx="107">
                  <c:v>62.7703246753247</c:v>
                </c:pt>
                <c:pt idx="108">
                  <c:v>62.8911688311688</c:v>
                </c:pt>
                <c:pt idx="109">
                  <c:v>63.012012987013</c:v>
                </c:pt>
                <c:pt idx="110">
                  <c:v>63.1328571428571</c:v>
                </c:pt>
                <c:pt idx="111">
                  <c:v>63.2537012987013</c:v>
                </c:pt>
                <c:pt idx="112">
                  <c:v>63.3745454545455</c:v>
                </c:pt>
                <c:pt idx="113">
                  <c:v>63.4953896103896</c:v>
                </c:pt>
                <c:pt idx="114">
                  <c:v>63.6162337662338</c:v>
                </c:pt>
                <c:pt idx="115">
                  <c:v>63.7370779220779</c:v>
                </c:pt>
                <c:pt idx="116">
                  <c:v>63.8579220779221</c:v>
                </c:pt>
                <c:pt idx="117">
                  <c:v>63.9787662337662</c:v>
                </c:pt>
                <c:pt idx="118">
                  <c:v>64.0996103896104</c:v>
                </c:pt>
                <c:pt idx="119">
                  <c:v>64.2204545454546</c:v>
                </c:pt>
                <c:pt idx="120">
                  <c:v>64.3412987012987</c:v>
                </c:pt>
                <c:pt idx="121">
                  <c:v>64.4621428571429</c:v>
                </c:pt>
                <c:pt idx="122">
                  <c:v>64.582987012987</c:v>
                </c:pt>
                <c:pt idx="123">
                  <c:v>64.7038311688312</c:v>
                </c:pt>
                <c:pt idx="124">
                  <c:v>64.8246753246753</c:v>
                </c:pt>
                <c:pt idx="125">
                  <c:v>64.9455194805195</c:v>
                </c:pt>
                <c:pt idx="126">
                  <c:v>65.0663636363636</c:v>
                </c:pt>
                <c:pt idx="127">
                  <c:v>65.1872077922078</c:v>
                </c:pt>
                <c:pt idx="128">
                  <c:v>65.3080519480519</c:v>
                </c:pt>
                <c:pt idx="129">
                  <c:v>65.4288961038961</c:v>
                </c:pt>
                <c:pt idx="130">
                  <c:v>65.5497402597403</c:v>
                </c:pt>
                <c:pt idx="131">
                  <c:v>65.6705844155844</c:v>
                </c:pt>
                <c:pt idx="132">
                  <c:v>65.7914285714286</c:v>
                </c:pt>
                <c:pt idx="133">
                  <c:v>65.9122727272727</c:v>
                </c:pt>
                <c:pt idx="134">
                  <c:v>66.0331168831169</c:v>
                </c:pt>
                <c:pt idx="135">
                  <c:v>66.153961038961</c:v>
                </c:pt>
                <c:pt idx="136">
                  <c:v>66.2748051948052</c:v>
                </c:pt>
                <c:pt idx="137">
                  <c:v>66.3956493506494</c:v>
                </c:pt>
                <c:pt idx="138">
                  <c:v>66.5164935064935</c:v>
                </c:pt>
                <c:pt idx="139">
                  <c:v>66.6373376623377</c:v>
                </c:pt>
                <c:pt idx="140">
                  <c:v>66.7581818181818</c:v>
                </c:pt>
                <c:pt idx="141">
                  <c:v>66.879025974026</c:v>
                </c:pt>
                <c:pt idx="142">
                  <c:v>66.9998701298701</c:v>
                </c:pt>
                <c:pt idx="143">
                  <c:v>67.1207142857143</c:v>
                </c:pt>
                <c:pt idx="144">
                  <c:v>67.2415584415584</c:v>
                </c:pt>
                <c:pt idx="145">
                  <c:v>67.3624025974026</c:v>
                </c:pt>
                <c:pt idx="146">
                  <c:v>67.4832467532468</c:v>
                </c:pt>
                <c:pt idx="147">
                  <c:v>67.6040909090909</c:v>
                </c:pt>
                <c:pt idx="148">
                  <c:v>67.7249350649351</c:v>
                </c:pt>
                <c:pt idx="149">
                  <c:v>67.8457792207792</c:v>
                </c:pt>
                <c:pt idx="150">
                  <c:v>67.9666233766234</c:v>
                </c:pt>
                <c:pt idx="151">
                  <c:v>68.0874675324675</c:v>
                </c:pt>
                <c:pt idx="152">
                  <c:v>68.2083116883117</c:v>
                </c:pt>
                <c:pt idx="153">
                  <c:v>68.3291558441559</c:v>
                </c:pt>
                <c:pt idx="154">
                  <c:v>68.45</c:v>
                </c:pt>
              </c:numCache>
            </c:numRef>
          </c:val>
          <c:smooth val="0"/>
        </c:ser>
        <c:hiLowLines>
          <c:spPr>
            <a:ln w="0">
              <a:noFill/>
            </a:ln>
          </c:spPr>
        </c:hiLowLines>
        <c:marker val="0"/>
        <c:axId val="74609599"/>
        <c:axId val="36973227"/>
      </c:lineChart>
      <c:dateAx>
        <c:axId val="5321950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132219"/>
        <c:auto val="1"/>
        <c:lblOffset val="100"/>
        <c:baseTimeUnit val="days"/>
      </c:dateAx>
      <c:valAx>
        <c:axId val="4013221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219504"/>
        <c:crosses val="autoZero"/>
        <c:crossBetween val="between"/>
      </c:valAx>
      <c:dateAx>
        <c:axId val="7460959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6973227"/>
        <c:auto val="1"/>
        <c:lblOffset val="100"/>
        <c:baseTimeUnit val="days"/>
      </c:dateAx>
      <c:valAx>
        <c:axId val="36973227"/>
        <c:scaling>
          <c:orientation val="minMax"/>
        </c:scaling>
        <c:delete val="0"/>
        <c:axPos val="r"/>
        <c:title>
          <c:tx>
            <c:rich>
              <a:bodyPr rot="-5400000"/>
              <a:lstStyle/>
              <a:p>
                <a:pPr>
                  <a:defRPr sz="1300" b="0" u="none" strike="noStrike">
                    <a:uFillTx/>
                    <a:latin typeface="Arial"/>
                  </a:defRPr>
                </a:pPr>
                <a:r>
                  <a:rPr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60959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(Calc)'!$R$3:$R$157</c:f>
              <c:numCache>
                <c:formatCode>0.0%</c:formatCode>
                <c:ptCount val="155"/>
                <c:pt idx="0">
                  <c:v>-0.0186114596403179</c:v>
                </c:pt>
                <c:pt idx="1">
                  <c:v>0.0159812486682294</c:v>
                </c:pt>
                <c:pt idx="2">
                  <c:v>0.018246644295302</c:v>
                </c:pt>
                <c:pt idx="3">
                  <c:v>-0.00659114315139031</c:v>
                </c:pt>
                <c:pt idx="4">
                  <c:v>-0.000414679659962558</c:v>
                </c:pt>
                <c:pt idx="5">
                  <c:v>-0.0269653598838416</c:v>
                </c:pt>
                <c:pt idx="6">
                  <c:v>0.000426348326582948</c:v>
                </c:pt>
                <c:pt idx="7">
                  <c:v>0.0042616663115278</c:v>
                </c:pt>
                <c:pt idx="8">
                  <c:v>0.00275832802885634</c:v>
                </c:pt>
                <c:pt idx="9">
                  <c:v>-0.0198899703766399</c:v>
                </c:pt>
                <c:pt idx="10">
                  <c:v>-0.0207253886010363</c:v>
                </c:pt>
                <c:pt idx="11">
                  <c:v>0.0476190476190477</c:v>
                </c:pt>
                <c:pt idx="12">
                  <c:v>0.0208333333333333</c:v>
                </c:pt>
                <c:pt idx="13">
                  <c:v>0.00948258091115228</c:v>
                </c:pt>
                <c:pt idx="14">
                  <c:v>0.00530937308556245</c:v>
                </c:pt>
                <c:pt idx="15">
                  <c:v>-0.00670322973796467</c:v>
                </c:pt>
                <c:pt idx="16">
                  <c:v>0.00736196319018401</c:v>
                </c:pt>
                <c:pt idx="17">
                  <c:v>0.0150223304912709</c:v>
                </c:pt>
                <c:pt idx="18">
                  <c:v>0.00319999999999987</c:v>
                </c:pt>
                <c:pt idx="19">
                  <c:v>-0.00458532695374792</c:v>
                </c:pt>
                <c:pt idx="20">
                  <c:v>-0.0156218706188664</c:v>
                </c:pt>
                <c:pt idx="21">
                  <c:v>0.0272634791454731</c:v>
                </c:pt>
                <c:pt idx="22">
                  <c:v>0.017825311942959</c:v>
                </c:pt>
                <c:pt idx="23">
                  <c:v>0.00778361548939488</c:v>
                </c:pt>
                <c:pt idx="24">
                  <c:v>0.00289631202934926</c:v>
                </c:pt>
                <c:pt idx="25">
                  <c:v>0.0105891413169041</c:v>
                </c:pt>
                <c:pt idx="26">
                  <c:v>-0.00323871213564497</c:v>
                </c:pt>
                <c:pt idx="27">
                  <c:v>0.0126146788990824</c:v>
                </c:pt>
                <c:pt idx="28">
                  <c:v>0.00528501321253305</c:v>
                </c:pt>
                <c:pt idx="29">
                  <c:v>-0.00131430717236203</c:v>
                </c:pt>
                <c:pt idx="30">
                  <c:v>-0.00526414739612713</c:v>
                </c:pt>
                <c:pt idx="31">
                  <c:v>0.0255150255150256</c:v>
                </c:pt>
                <c:pt idx="32">
                  <c:v>-0.000368595650571235</c:v>
                </c:pt>
                <c:pt idx="33">
                  <c:v>-0.0119837758112095</c:v>
                </c:pt>
                <c:pt idx="34">
                  <c:v>-0.0035454375816385</c:v>
                </c:pt>
                <c:pt idx="35">
                  <c:v>-0.047940074906367</c:v>
                </c:pt>
                <c:pt idx="36">
                  <c:v>0.0357985837922894</c:v>
                </c:pt>
                <c:pt idx="37">
                  <c:v>0.00170907709836698</c:v>
                </c:pt>
                <c:pt idx="38">
                  <c:v>0.0138388625592416</c:v>
                </c:pt>
                <c:pt idx="39">
                  <c:v>0.011967090501122</c:v>
                </c:pt>
                <c:pt idx="40">
                  <c:v>0.00480413895048049</c:v>
                </c:pt>
                <c:pt idx="41">
                  <c:v>-0.00349393159249733</c:v>
                </c:pt>
                <c:pt idx="42">
                  <c:v>0.00553607676693124</c:v>
                </c:pt>
                <c:pt idx="43">
                  <c:v>0.0126628739218204</c:v>
                </c:pt>
                <c:pt idx="44">
                  <c:v>0.00108735048930786</c:v>
                </c:pt>
                <c:pt idx="45">
                  <c:v>0.00470673425054313</c:v>
                </c:pt>
                <c:pt idx="46">
                  <c:v>0.006846846846847</c:v>
                </c:pt>
                <c:pt idx="47">
                  <c:v>-0.000715819613457347</c:v>
                </c:pt>
                <c:pt idx="48">
                  <c:v>-0.0295487106017193</c:v>
                </c:pt>
                <c:pt idx="49">
                  <c:v>-0.0226979147444177</c:v>
                </c:pt>
                <c:pt idx="50">
                  <c:v>-0.0343655589123867</c:v>
                </c:pt>
                <c:pt idx="51">
                  <c:v>0.00293312475557284</c:v>
                </c:pt>
                <c:pt idx="52">
                  <c:v>0.0421134724117762</c:v>
                </c:pt>
                <c:pt idx="53">
                  <c:v>0.00841908325537877</c:v>
                </c:pt>
                <c:pt idx="54">
                  <c:v>0.00333951762523199</c:v>
                </c:pt>
                <c:pt idx="55">
                  <c:v>-0.0502958579881657</c:v>
                </c:pt>
                <c:pt idx="56">
                  <c:v>0.0465342679127725</c:v>
                </c:pt>
                <c:pt idx="57">
                  <c:v>0.0122790697674418</c:v>
                </c:pt>
                <c:pt idx="58">
                  <c:v>0.00716780003675788</c:v>
                </c:pt>
                <c:pt idx="59">
                  <c:v>-0.00784671532846715</c:v>
                </c:pt>
                <c:pt idx="60">
                  <c:v>0.00901232297222743</c:v>
                </c:pt>
                <c:pt idx="61">
                  <c:v>0.00747356908494345</c:v>
                </c:pt>
                <c:pt idx="62">
                  <c:v>0.0023520897412701</c:v>
                </c:pt>
                <c:pt idx="63">
                  <c:v>-0.0173285198555957</c:v>
                </c:pt>
                <c:pt idx="64">
                  <c:v>0.038574577516532</c:v>
                </c:pt>
                <c:pt idx="65">
                  <c:v>-0.0164485320127343</c:v>
                </c:pt>
                <c:pt idx="66">
                  <c:v>0.0172630821794642</c:v>
                </c:pt>
                <c:pt idx="67">
                  <c:v>0.00919215131695261</c:v>
                </c:pt>
                <c:pt idx="68">
                  <c:v>0.00928358731826928</c:v>
                </c:pt>
                <c:pt idx="69">
                  <c:v>0.00399166955918084</c:v>
                </c:pt>
                <c:pt idx="70">
                  <c:v>-0.0112359550561798</c:v>
                </c:pt>
                <c:pt idx="71">
                  <c:v>0.00944055944055933</c:v>
                </c:pt>
                <c:pt idx="72">
                  <c:v>-0.0114305507447178</c:v>
                </c:pt>
                <c:pt idx="73">
                  <c:v>-0.0192711983181499</c:v>
                </c:pt>
                <c:pt idx="74">
                  <c:v>0.0230439442658092</c:v>
                </c:pt>
                <c:pt idx="75">
                  <c:v>0.0139689191548804</c:v>
                </c:pt>
                <c:pt idx="76">
                  <c:v>-0.0103323574995695</c:v>
                </c:pt>
                <c:pt idx="77">
                  <c:v>-0.00522011484252649</c:v>
                </c:pt>
                <c:pt idx="78">
                  <c:v>0.0192408605912191</c:v>
                </c:pt>
                <c:pt idx="79">
                  <c:v>-0.0120130427321092</c:v>
                </c:pt>
                <c:pt idx="80">
                  <c:v>-0.0276185513288172</c:v>
                </c:pt>
                <c:pt idx="81">
                  <c:v>-0.0396570203644159</c:v>
                </c:pt>
                <c:pt idx="82">
                  <c:v>-0.0213913690476191</c:v>
                </c:pt>
                <c:pt idx="83">
                  <c:v>0.00361148070708994</c:v>
                </c:pt>
                <c:pt idx="84">
                  <c:v>-0.0187499999999999</c:v>
                </c:pt>
                <c:pt idx="85">
                  <c:v>-0.100559737502413</c:v>
                </c:pt>
                <c:pt idx="86">
                  <c:v>0.0630901287553647</c:v>
                </c:pt>
                <c:pt idx="87">
                  <c:v>-0.0161485668146951</c:v>
                </c:pt>
                <c:pt idx="88">
                  <c:v>0.0482150184653263</c:v>
                </c:pt>
                <c:pt idx="89">
                  <c:v>0.00782932080641996</c:v>
                </c:pt>
                <c:pt idx="90">
                  <c:v>0.00271897455816661</c:v>
                </c:pt>
                <c:pt idx="91">
                  <c:v>0.0172380398992833</c:v>
                </c:pt>
                <c:pt idx="92">
                  <c:v>-0.00913937547600918</c:v>
                </c:pt>
                <c:pt idx="93">
                  <c:v>0.0113374327440432</c:v>
                </c:pt>
                <c:pt idx="94">
                  <c:v>0.00133003990119707</c:v>
                </c:pt>
                <c:pt idx="95">
                  <c:v>-0.00208728652751422</c:v>
                </c:pt>
                <c:pt idx="96">
                  <c:v>0.00304240349876395</c:v>
                </c:pt>
                <c:pt idx="97">
                  <c:v>0.0288151658767772</c:v>
                </c:pt>
                <c:pt idx="98">
                  <c:v>-0.00202690252441506</c:v>
                </c:pt>
                <c:pt idx="99">
                  <c:v>0.00369276218611536</c:v>
                </c:pt>
                <c:pt idx="100">
                  <c:v>0.00607064017660042</c:v>
                </c:pt>
                <c:pt idx="101">
                  <c:v>0.00713110257816796</c:v>
                </c:pt>
                <c:pt idx="102">
                  <c:v>-0.0230573710965867</c:v>
                </c:pt>
                <c:pt idx="103">
                  <c:v>0.0280616985690392</c:v>
                </c:pt>
                <c:pt idx="104">
                  <c:v>0.00867678958785234</c:v>
                </c:pt>
                <c:pt idx="105">
                  <c:v>-0.00232974910394257</c:v>
                </c:pt>
                <c:pt idx="106">
                  <c:v>0.000179629962277605</c:v>
                </c:pt>
                <c:pt idx="107">
                  <c:v>0.00179597701149437</c:v>
                </c:pt>
                <c:pt idx="108">
                  <c:v>0.0136249551810685</c:v>
                </c:pt>
                <c:pt idx="109">
                  <c:v>0.0109656880084896</c:v>
                </c:pt>
                <c:pt idx="110">
                  <c:v>0.00157452764170762</c:v>
                </c:pt>
                <c:pt idx="111">
                  <c:v>0.00052401746724895</c:v>
                </c:pt>
                <c:pt idx="112">
                  <c:v>-0.0165851955307264</c:v>
                </c:pt>
                <c:pt idx="113">
                  <c:v>0.0204154091958104</c:v>
                </c:pt>
                <c:pt idx="114">
                  <c:v>0.0186151704940849</c:v>
                </c:pt>
                <c:pt idx="115">
                  <c:v>0.00939368061485912</c:v>
                </c:pt>
                <c:pt idx="116">
                  <c:v>-0.0235194585448393</c:v>
                </c:pt>
                <c:pt idx="117">
                  <c:v>0.00190608213481203</c:v>
                </c:pt>
                <c:pt idx="118">
                  <c:v>-0.0273261847111725</c:v>
                </c:pt>
                <c:pt idx="119">
                  <c:v>0.045697012802276</c:v>
                </c:pt>
                <c:pt idx="120">
                  <c:v>0.000170039108994935</c:v>
                </c:pt>
                <c:pt idx="121">
                  <c:v>-0.0108806528391704</c:v>
                </c:pt>
                <c:pt idx="122">
                  <c:v>0.00756273633551041</c:v>
                </c:pt>
                <c:pt idx="123">
                  <c:v>0.0122824974411464</c:v>
                </c:pt>
                <c:pt idx="124">
                  <c:v>-0.0210650488709134</c:v>
                </c:pt>
                <c:pt idx="125">
                  <c:v>0.0184196935789291</c:v>
                </c:pt>
                <c:pt idx="126">
                  <c:v>-0.00405679513184576</c:v>
                </c:pt>
                <c:pt idx="127">
                  <c:v>0.00509164969450104</c:v>
                </c:pt>
                <c:pt idx="128">
                  <c:v>0.00354609929078009</c:v>
                </c:pt>
                <c:pt idx="129">
                  <c:v>-0.0232205956587582</c:v>
                </c:pt>
                <c:pt idx="130">
                  <c:v>-0.00930232558139532</c:v>
                </c:pt>
                <c:pt idx="131">
                  <c:v>0.0111284993914103</c:v>
                </c:pt>
                <c:pt idx="132">
                  <c:v>-0.00189165950128978</c:v>
                </c:pt>
                <c:pt idx="133">
                  <c:v>-0.0205031013094418</c:v>
                </c:pt>
                <c:pt idx="134">
                  <c:v>-0.00510114335971856</c:v>
                </c:pt>
                <c:pt idx="135">
                  <c:v>-0.0141442715700142</c:v>
                </c:pt>
                <c:pt idx="136">
                  <c:v>-0.0292324246771879</c:v>
                </c:pt>
                <c:pt idx="137">
                  <c:v>0.026972104193608</c:v>
                </c:pt>
                <c:pt idx="138">
                  <c:v>0.0365173592372727</c:v>
                </c:pt>
                <c:pt idx="139">
                  <c:v>0.0180492884415133</c:v>
                </c:pt>
                <c:pt idx="140">
                  <c:v>0.00562563927719073</c:v>
                </c:pt>
                <c:pt idx="141">
                  <c:v>-0.00220376334972039</c:v>
                </c:pt>
                <c:pt idx="142">
                  <c:v>0.0127420998980632</c:v>
                </c:pt>
                <c:pt idx="143">
                  <c:v>0.00268411340379138</c:v>
                </c:pt>
                <c:pt idx="144">
                  <c:v>0.00736155261837035</c:v>
                </c:pt>
                <c:pt idx="145">
                  <c:v>0.0156120245806344</c:v>
                </c:pt>
                <c:pt idx="146">
                  <c:v>-0.0367947669664759</c:v>
                </c:pt>
                <c:pt idx="147">
                  <c:v>0.0162988115449916</c:v>
                </c:pt>
                <c:pt idx="148">
                  <c:v>0.0247243568326094</c:v>
                </c:pt>
                <c:pt idx="149">
                  <c:v>-0.0313009455493969</c:v>
                </c:pt>
                <c:pt idx="150">
                  <c:v>-0.000504880511612238</c:v>
                </c:pt>
                <c:pt idx="151">
                  <c:v>0.0188583936689677</c:v>
                </c:pt>
                <c:pt idx="152">
                  <c:v>-0.0330523880350355</c:v>
                </c:pt>
                <c:pt idx="153">
                  <c:v>-0.0094001025465732</c:v>
                </c:pt>
                <c:pt idx="154">
                  <c:v>0.00500345065562446</c:v>
                </c:pt>
              </c:numCache>
            </c:numRef>
          </c:val>
        </c:ser>
        <c:gapWidth val="150"/>
        <c:overlap val="0"/>
        <c:axId val="36145286"/>
        <c:axId val="61440114"/>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(Calc)'!$AL$3:$AL$157</c:f>
              <c:numCache>
                <c:formatCode>#,##0.00</c:formatCode>
                <c:ptCount val="155"/>
                <c:pt idx="0">
                  <c:v>47.82</c:v>
                </c:pt>
                <c:pt idx="1">
                  <c:v>47.8877272727273</c:v>
                </c:pt>
                <c:pt idx="2">
                  <c:v>47.9554545454545</c:v>
                </c:pt>
                <c:pt idx="3">
                  <c:v>48.0231818181818</c:v>
                </c:pt>
                <c:pt idx="4">
                  <c:v>48.0909090909091</c:v>
                </c:pt>
                <c:pt idx="5">
                  <c:v>48.1586363636364</c:v>
                </c:pt>
                <c:pt idx="6">
                  <c:v>48.2263636363636</c:v>
                </c:pt>
                <c:pt idx="7">
                  <c:v>48.2940909090909</c:v>
                </c:pt>
                <c:pt idx="8">
                  <c:v>48.3618181818182</c:v>
                </c:pt>
                <c:pt idx="9">
                  <c:v>48.4295454545455</c:v>
                </c:pt>
                <c:pt idx="10">
                  <c:v>48.4972727272727</c:v>
                </c:pt>
                <c:pt idx="11">
                  <c:v>48.565</c:v>
                </c:pt>
                <c:pt idx="12">
                  <c:v>48.6327272727273</c:v>
                </c:pt>
                <c:pt idx="13">
                  <c:v>48.7004545454546</c:v>
                </c:pt>
                <c:pt idx="14">
                  <c:v>48.7681818181818</c:v>
                </c:pt>
                <c:pt idx="15">
                  <c:v>48.8359090909091</c:v>
                </c:pt>
                <c:pt idx="16">
                  <c:v>48.9036363636364</c:v>
                </c:pt>
                <c:pt idx="17">
                  <c:v>48.9713636363636</c:v>
                </c:pt>
                <c:pt idx="18">
                  <c:v>49.0390909090909</c:v>
                </c:pt>
                <c:pt idx="19">
                  <c:v>49.1068181818182</c:v>
                </c:pt>
                <c:pt idx="20">
                  <c:v>49.1745454545455</c:v>
                </c:pt>
                <c:pt idx="21">
                  <c:v>49.2422727272727</c:v>
                </c:pt>
                <c:pt idx="22">
                  <c:v>49.31</c:v>
                </c:pt>
                <c:pt idx="23">
                  <c:v>49.3777272727273</c:v>
                </c:pt>
                <c:pt idx="24">
                  <c:v>49.4454545454545</c:v>
                </c:pt>
                <c:pt idx="25">
                  <c:v>49.5131818181818</c:v>
                </c:pt>
                <c:pt idx="26">
                  <c:v>49.5809090909091</c:v>
                </c:pt>
                <c:pt idx="27">
                  <c:v>49.6486363636364</c:v>
                </c:pt>
                <c:pt idx="28">
                  <c:v>49.7163636363636</c:v>
                </c:pt>
                <c:pt idx="29">
                  <c:v>49.7840909090909</c:v>
                </c:pt>
                <c:pt idx="30">
                  <c:v>49.8518181818182</c:v>
                </c:pt>
                <c:pt idx="31">
                  <c:v>49.9195454545455</c:v>
                </c:pt>
                <c:pt idx="32">
                  <c:v>49.9872727272727</c:v>
                </c:pt>
                <c:pt idx="33">
                  <c:v>50.055</c:v>
                </c:pt>
                <c:pt idx="34">
                  <c:v>50.1227272727273</c:v>
                </c:pt>
                <c:pt idx="35">
                  <c:v>50.1904545454545</c:v>
                </c:pt>
                <c:pt idx="36">
                  <c:v>50.2581818181818</c:v>
                </c:pt>
                <c:pt idx="37">
                  <c:v>50.3259090909091</c:v>
                </c:pt>
                <c:pt idx="38">
                  <c:v>50.3936363636364</c:v>
                </c:pt>
                <c:pt idx="39">
                  <c:v>50.4613636363636</c:v>
                </c:pt>
                <c:pt idx="40">
                  <c:v>50.5290909090909</c:v>
                </c:pt>
                <c:pt idx="41">
                  <c:v>50.5968181818182</c:v>
                </c:pt>
                <c:pt idx="42">
                  <c:v>50.6645454545455</c:v>
                </c:pt>
                <c:pt idx="43">
                  <c:v>50.7322727272727</c:v>
                </c:pt>
                <c:pt idx="44">
                  <c:v>50.8</c:v>
                </c:pt>
                <c:pt idx="45">
                  <c:v>50.8677272727273</c:v>
                </c:pt>
                <c:pt idx="46">
                  <c:v>50.9354545454546</c:v>
                </c:pt>
                <c:pt idx="47">
                  <c:v>51.0031818181818</c:v>
                </c:pt>
                <c:pt idx="48">
                  <c:v>51.0709090909091</c:v>
                </c:pt>
                <c:pt idx="49">
                  <c:v>51.1386363636364</c:v>
                </c:pt>
                <c:pt idx="50">
                  <c:v>51.2063636363636</c:v>
                </c:pt>
                <c:pt idx="51">
                  <c:v>51.2740909090909</c:v>
                </c:pt>
                <c:pt idx="52">
                  <c:v>51.3418181818182</c:v>
                </c:pt>
                <c:pt idx="53">
                  <c:v>51.4095454545455</c:v>
                </c:pt>
                <c:pt idx="54">
                  <c:v>51.4772727272727</c:v>
                </c:pt>
                <c:pt idx="55">
                  <c:v>51.545</c:v>
                </c:pt>
                <c:pt idx="56">
                  <c:v>51.6127272727273</c:v>
                </c:pt>
                <c:pt idx="57">
                  <c:v>51.6804545454545</c:v>
                </c:pt>
                <c:pt idx="58">
                  <c:v>51.7481818181818</c:v>
                </c:pt>
                <c:pt idx="59">
                  <c:v>51.8159090909091</c:v>
                </c:pt>
                <c:pt idx="60">
                  <c:v>51.8836363636364</c:v>
                </c:pt>
                <c:pt idx="61">
                  <c:v>51.9513636363636</c:v>
                </c:pt>
                <c:pt idx="62">
                  <c:v>52.0190909090909</c:v>
                </c:pt>
                <c:pt idx="63">
                  <c:v>52.0868181818182</c:v>
                </c:pt>
                <c:pt idx="64">
                  <c:v>52.1545454545455</c:v>
                </c:pt>
                <c:pt idx="65">
                  <c:v>52.2222727272727</c:v>
                </c:pt>
                <c:pt idx="66">
                  <c:v>52.29</c:v>
                </c:pt>
                <c:pt idx="67">
                  <c:v>52.3577272727273</c:v>
                </c:pt>
                <c:pt idx="68">
                  <c:v>52.4254545454546</c:v>
                </c:pt>
                <c:pt idx="69">
                  <c:v>52.4931818181818</c:v>
                </c:pt>
                <c:pt idx="70">
                  <c:v>52.5609090909091</c:v>
                </c:pt>
                <c:pt idx="71">
                  <c:v>52.6286363636364</c:v>
                </c:pt>
                <c:pt idx="72">
                  <c:v>52.6963636363636</c:v>
                </c:pt>
                <c:pt idx="73">
                  <c:v>52.7640909090909</c:v>
                </c:pt>
                <c:pt idx="74">
                  <c:v>52.8318181818182</c:v>
                </c:pt>
                <c:pt idx="75">
                  <c:v>52.8995454545455</c:v>
                </c:pt>
                <c:pt idx="76">
                  <c:v>52.9672727272727</c:v>
                </c:pt>
                <c:pt idx="77">
                  <c:v>53.035</c:v>
                </c:pt>
                <c:pt idx="78">
                  <c:v>53.1027272727273</c:v>
                </c:pt>
                <c:pt idx="79">
                  <c:v>53.1704545454546</c:v>
                </c:pt>
                <c:pt idx="80">
                  <c:v>53.2381818181818</c:v>
                </c:pt>
                <c:pt idx="81">
                  <c:v>53.3059090909091</c:v>
                </c:pt>
                <c:pt idx="82">
                  <c:v>53.3736363636364</c:v>
                </c:pt>
                <c:pt idx="83">
                  <c:v>53.4413636363636</c:v>
                </c:pt>
                <c:pt idx="84">
                  <c:v>53.5090909090909</c:v>
                </c:pt>
                <c:pt idx="85">
                  <c:v>53.5768181818182</c:v>
                </c:pt>
                <c:pt idx="86">
                  <c:v>53.6445454545455</c:v>
                </c:pt>
                <c:pt idx="87">
                  <c:v>53.7122727272727</c:v>
                </c:pt>
                <c:pt idx="88">
                  <c:v>53.78</c:v>
                </c:pt>
                <c:pt idx="89">
                  <c:v>53.8477272727273</c:v>
                </c:pt>
                <c:pt idx="90">
                  <c:v>53.9154545454545</c:v>
                </c:pt>
                <c:pt idx="91">
                  <c:v>53.9831818181818</c:v>
                </c:pt>
                <c:pt idx="92">
                  <c:v>54.0509090909091</c:v>
                </c:pt>
                <c:pt idx="93">
                  <c:v>54.1186363636364</c:v>
                </c:pt>
                <c:pt idx="94">
                  <c:v>54.1863636363636</c:v>
                </c:pt>
                <c:pt idx="95">
                  <c:v>54.2540909090909</c:v>
                </c:pt>
                <c:pt idx="96">
                  <c:v>54.3218181818182</c:v>
                </c:pt>
                <c:pt idx="97">
                  <c:v>54.3895454545455</c:v>
                </c:pt>
                <c:pt idx="98">
                  <c:v>54.4572727272727</c:v>
                </c:pt>
                <c:pt idx="99">
                  <c:v>54.525</c:v>
                </c:pt>
                <c:pt idx="100">
                  <c:v>54.5927272727273</c:v>
                </c:pt>
                <c:pt idx="101">
                  <c:v>54.6604545454546</c:v>
                </c:pt>
                <c:pt idx="102">
                  <c:v>54.7281818181818</c:v>
                </c:pt>
                <c:pt idx="103">
                  <c:v>54.7959090909091</c:v>
                </c:pt>
                <c:pt idx="104">
                  <c:v>54.8636363636364</c:v>
                </c:pt>
                <c:pt idx="105">
                  <c:v>54.9313636363636</c:v>
                </c:pt>
                <c:pt idx="106">
                  <c:v>54.9990909090909</c:v>
                </c:pt>
                <c:pt idx="107">
                  <c:v>55.0668181818182</c:v>
                </c:pt>
                <c:pt idx="108">
                  <c:v>55.1345454545455</c:v>
                </c:pt>
                <c:pt idx="109">
                  <c:v>55.2022727272727</c:v>
                </c:pt>
                <c:pt idx="110">
                  <c:v>55.27</c:v>
                </c:pt>
                <c:pt idx="111">
                  <c:v>55.3377272727273</c:v>
                </c:pt>
                <c:pt idx="112">
                  <c:v>55.4054545454545</c:v>
                </c:pt>
                <c:pt idx="113">
                  <c:v>55.4731818181818</c:v>
                </c:pt>
                <c:pt idx="114">
                  <c:v>55.5409090909091</c:v>
                </c:pt>
                <c:pt idx="115">
                  <c:v>55.6086363636364</c:v>
                </c:pt>
                <c:pt idx="116">
                  <c:v>55.6763636363636</c:v>
                </c:pt>
                <c:pt idx="117">
                  <c:v>55.7440909090909</c:v>
                </c:pt>
                <c:pt idx="118">
                  <c:v>55.8118181818182</c:v>
                </c:pt>
                <c:pt idx="119">
                  <c:v>55.8795454545455</c:v>
                </c:pt>
                <c:pt idx="120">
                  <c:v>55.9472727272727</c:v>
                </c:pt>
                <c:pt idx="121">
                  <c:v>56.015</c:v>
                </c:pt>
                <c:pt idx="122">
                  <c:v>56.0827272727273</c:v>
                </c:pt>
                <c:pt idx="123">
                  <c:v>56.1504545454546</c:v>
                </c:pt>
                <c:pt idx="124">
                  <c:v>56.2181818181818</c:v>
                </c:pt>
                <c:pt idx="125">
                  <c:v>56.2859090909091</c:v>
                </c:pt>
                <c:pt idx="126">
                  <c:v>56.3536363636364</c:v>
                </c:pt>
                <c:pt idx="127">
                  <c:v>56.4213636363636</c:v>
                </c:pt>
                <c:pt idx="128">
                  <c:v>56.4890909090909</c:v>
                </c:pt>
                <c:pt idx="129">
                  <c:v>56.5568181818182</c:v>
                </c:pt>
                <c:pt idx="130">
                  <c:v>56.6245454545455</c:v>
                </c:pt>
                <c:pt idx="131">
                  <c:v>56.6922727272727</c:v>
                </c:pt>
                <c:pt idx="132">
                  <c:v>56.76</c:v>
                </c:pt>
                <c:pt idx="133">
                  <c:v>56.8277272727273</c:v>
                </c:pt>
                <c:pt idx="134">
                  <c:v>56.8954545454545</c:v>
                </c:pt>
                <c:pt idx="135">
                  <c:v>56.9631818181818</c:v>
                </c:pt>
                <c:pt idx="136">
                  <c:v>57.0309090909091</c:v>
                </c:pt>
                <c:pt idx="137">
                  <c:v>57.0986363636364</c:v>
                </c:pt>
                <c:pt idx="138">
                  <c:v>57.1663636363636</c:v>
                </c:pt>
                <c:pt idx="139">
                  <c:v>57.2340909090909</c:v>
                </c:pt>
                <c:pt idx="140">
                  <c:v>57.3018181818182</c:v>
                </c:pt>
                <c:pt idx="141">
                  <c:v>57.3695454545455</c:v>
                </c:pt>
                <c:pt idx="142">
                  <c:v>57.4372727272727</c:v>
                </c:pt>
                <c:pt idx="143">
                  <c:v>57.505</c:v>
                </c:pt>
                <c:pt idx="144">
                  <c:v>57.5727272727273</c:v>
                </c:pt>
                <c:pt idx="145">
                  <c:v>57.6404545454546</c:v>
                </c:pt>
                <c:pt idx="146">
                  <c:v>57.7081818181818</c:v>
                </c:pt>
                <c:pt idx="147">
                  <c:v>57.7759090909091</c:v>
                </c:pt>
                <c:pt idx="148">
                  <c:v>57.8436363636364</c:v>
                </c:pt>
                <c:pt idx="149">
                  <c:v>57.9113636363636</c:v>
                </c:pt>
                <c:pt idx="150">
                  <c:v>57.9790909090909</c:v>
                </c:pt>
                <c:pt idx="151">
                  <c:v>58.0468181818182</c:v>
                </c:pt>
                <c:pt idx="152">
                  <c:v>58.1145454545455</c:v>
                </c:pt>
                <c:pt idx="153">
                  <c:v>58.1822727272727</c:v>
                </c:pt>
                <c:pt idx="154">
                  <c:v>58.25</c:v>
                </c:pt>
              </c:numCache>
            </c:numRef>
          </c:val>
          <c:smooth val="0"/>
        </c:ser>
        <c:hiLowLines>
          <c:spPr>
            <a:ln w="0">
              <a:noFill/>
            </a:ln>
          </c:spPr>
        </c:hiLowLines>
        <c:marker val="0"/>
        <c:axId val="41794416"/>
        <c:axId val="85571770"/>
      </c:lineChart>
      <c:dateAx>
        <c:axId val="3614528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440114"/>
        <c:auto val="1"/>
        <c:lblOffset val="100"/>
        <c:baseTimeUnit val="days"/>
      </c:dateAx>
      <c:valAx>
        <c:axId val="6144011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6145286"/>
        <c:crosses val="autoZero"/>
        <c:crossBetween val="between"/>
      </c:valAx>
      <c:dateAx>
        <c:axId val="4179441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5571770"/>
        <c:auto val="1"/>
        <c:lblOffset val="100"/>
        <c:baseTimeUnit val="days"/>
      </c:dateAx>
      <c:valAx>
        <c:axId val="85571770"/>
        <c:scaling>
          <c:orientation val="minMax"/>
        </c:scaling>
        <c:delete val="0"/>
        <c:axPos val="r"/>
        <c:title>
          <c:tx>
            <c:rich>
              <a:bodyPr rot="-5400000"/>
              <a:lstStyle/>
              <a:p>
                <a:pPr>
                  <a:defRPr sz="1300" b="0" u="none" strike="noStrike">
                    <a:uFillTx/>
                    <a:latin typeface="Arial"/>
                  </a:defRPr>
                </a:pPr>
                <a:r>
                  <a:rPr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179441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(Calc)'!$S$3:$S$157</c:f>
              <c:numCache>
                <c:formatCode>0.0%</c:formatCode>
                <c:ptCount val="155"/>
                <c:pt idx="0">
                  <c:v>-0.00837034506320467</c:v>
                </c:pt>
                <c:pt idx="1">
                  <c:v>-0.00275624461670965</c:v>
                </c:pt>
                <c:pt idx="2">
                  <c:v>0.0160649507686992</c:v>
                </c:pt>
                <c:pt idx="3">
                  <c:v>0.00595035702142122</c:v>
                </c:pt>
                <c:pt idx="4">
                  <c:v>0</c:v>
                </c:pt>
                <c:pt idx="5">
                  <c:v>-0.0288997802940679</c:v>
                </c:pt>
                <c:pt idx="6">
                  <c:v>-0.00313261399234255</c:v>
                </c:pt>
                <c:pt idx="7">
                  <c:v>0.011173184357542</c:v>
                </c:pt>
                <c:pt idx="8">
                  <c:v>0.00569751381215466</c:v>
                </c:pt>
                <c:pt idx="9">
                  <c:v>-0.0290128755364807</c:v>
                </c:pt>
                <c:pt idx="10">
                  <c:v>-0.0201555869872702</c:v>
                </c:pt>
                <c:pt idx="11">
                  <c:v>0.0582822085889569</c:v>
                </c:pt>
                <c:pt idx="12">
                  <c:v>0.0294970161977834</c:v>
                </c:pt>
                <c:pt idx="13">
                  <c:v>0.0216959258032461</c:v>
                </c:pt>
                <c:pt idx="14">
                  <c:v>0.00551142810828331</c:v>
                </c:pt>
                <c:pt idx="15">
                  <c:v>-0.00225697243269385</c:v>
                </c:pt>
                <c:pt idx="16">
                  <c:v>0.0037162708030376</c:v>
                </c:pt>
                <c:pt idx="17">
                  <c:v>0.0341274951706374</c:v>
                </c:pt>
                <c:pt idx="18">
                  <c:v>0.0124533001245333</c:v>
                </c:pt>
                <c:pt idx="19">
                  <c:v>0.00707257072570711</c:v>
                </c:pt>
                <c:pt idx="20">
                  <c:v>-0.0103816793893131</c:v>
                </c:pt>
                <c:pt idx="21">
                  <c:v>0.0311632212280162</c:v>
                </c:pt>
                <c:pt idx="22">
                  <c:v>0.0210951526032315</c:v>
                </c:pt>
                <c:pt idx="23">
                  <c:v>0.0161172161172161</c:v>
                </c:pt>
                <c:pt idx="24">
                  <c:v>0.0457101658255228</c:v>
                </c:pt>
                <c:pt idx="25">
                  <c:v>0.0238554881412025</c:v>
                </c:pt>
                <c:pt idx="26">
                  <c:v>0.00835016835016833</c:v>
                </c:pt>
                <c:pt idx="27">
                  <c:v>0.0224388940830773</c:v>
                </c:pt>
                <c:pt idx="28">
                  <c:v>0.0280862181580668</c:v>
                </c:pt>
                <c:pt idx="29">
                  <c:v>0.00381194409148655</c:v>
                </c:pt>
                <c:pt idx="30">
                  <c:v>-0.00518987341772148</c:v>
                </c:pt>
                <c:pt idx="31">
                  <c:v>0.028502353989057</c:v>
                </c:pt>
                <c:pt idx="32">
                  <c:v>-0.00754670295682292</c:v>
                </c:pt>
                <c:pt idx="33">
                  <c:v>0.00286711543256057</c:v>
                </c:pt>
                <c:pt idx="34">
                  <c:v>-0.0140459912989436</c:v>
                </c:pt>
                <c:pt idx="35">
                  <c:v>-0.0568582955118506</c:v>
                </c:pt>
                <c:pt idx="36">
                  <c:v>0.0300761930223232</c:v>
                </c:pt>
                <c:pt idx="37">
                  <c:v>0.00986244484817012</c:v>
                </c:pt>
                <c:pt idx="38">
                  <c:v>0.0222307890002571</c:v>
                </c:pt>
                <c:pt idx="39">
                  <c:v>0.0150848522941547</c:v>
                </c:pt>
                <c:pt idx="40">
                  <c:v>0.0194427244582043</c:v>
                </c:pt>
                <c:pt idx="41">
                  <c:v>-0.0109329446064139</c:v>
                </c:pt>
                <c:pt idx="42">
                  <c:v>0.0303365266519282</c:v>
                </c:pt>
                <c:pt idx="43">
                  <c:v>0.0421981165812375</c:v>
                </c:pt>
                <c:pt idx="44">
                  <c:v>-0.000800640512410022</c:v>
                </c:pt>
                <c:pt idx="45">
                  <c:v>0.00114468864468864</c:v>
                </c:pt>
                <c:pt idx="46">
                  <c:v>0.0309855934141323</c:v>
                </c:pt>
                <c:pt idx="47">
                  <c:v>-0.00199622934457144</c:v>
                </c:pt>
                <c:pt idx="48">
                  <c:v>-0.0404489387709746</c:v>
                </c:pt>
                <c:pt idx="49">
                  <c:v>-0.0188766647365373</c:v>
                </c:pt>
                <c:pt idx="50">
                  <c:v>-0.0297450424929178</c:v>
                </c:pt>
                <c:pt idx="51">
                  <c:v>0.0172749391727494</c:v>
                </c:pt>
                <c:pt idx="52">
                  <c:v>0.0570437694331498</c:v>
                </c:pt>
                <c:pt idx="53">
                  <c:v>0.0138024663423464</c:v>
                </c:pt>
                <c:pt idx="54">
                  <c:v>-0.00401740877134249</c:v>
                </c:pt>
                <c:pt idx="55">
                  <c:v>-0.059719887955182</c:v>
                </c:pt>
                <c:pt idx="56">
                  <c:v>0.061487130600572</c:v>
                </c:pt>
                <c:pt idx="57">
                  <c:v>0.0162775033677594</c:v>
                </c:pt>
                <c:pt idx="58">
                  <c:v>-0.00209875179498509</c:v>
                </c:pt>
                <c:pt idx="59">
                  <c:v>0.0149435466017267</c:v>
                </c:pt>
                <c:pt idx="60">
                  <c:v>0.021594503217363</c:v>
                </c:pt>
                <c:pt idx="61">
                  <c:v>0.00427031066510075</c:v>
                </c:pt>
                <c:pt idx="62">
                  <c:v>-0.0146699266503667</c:v>
                </c:pt>
                <c:pt idx="63">
                  <c:v>-0.0137015859315999</c:v>
                </c:pt>
                <c:pt idx="64">
                  <c:v>0.0598337344126012</c:v>
                </c:pt>
                <c:pt idx="65">
                  <c:v>-0.030859737847043</c:v>
                </c:pt>
                <c:pt idx="66">
                  <c:v>0.0178913738019169</c:v>
                </c:pt>
                <c:pt idx="67">
                  <c:v>0.0130780498012137</c:v>
                </c:pt>
                <c:pt idx="68">
                  <c:v>0.0193121966332748</c:v>
                </c:pt>
                <c:pt idx="69">
                  <c:v>-0.00942249240121584</c:v>
                </c:pt>
                <c:pt idx="70">
                  <c:v>-0.0223995090518564</c:v>
                </c:pt>
                <c:pt idx="71">
                  <c:v>0.0105670642393807</c:v>
                </c:pt>
                <c:pt idx="72">
                  <c:v>0.00310591158505025</c:v>
                </c:pt>
                <c:pt idx="73">
                  <c:v>-0.0135204871503768</c:v>
                </c:pt>
                <c:pt idx="74">
                  <c:v>0.0321196903117809</c:v>
                </c:pt>
                <c:pt idx="75">
                  <c:v>0.0271667511403952</c:v>
                </c:pt>
                <c:pt idx="76">
                  <c:v>-0.0127306819303266</c:v>
                </c:pt>
                <c:pt idx="77">
                  <c:v>0.0198920431827268</c:v>
                </c:pt>
                <c:pt idx="78">
                  <c:v>0.0100950700774283</c:v>
                </c:pt>
                <c:pt idx="79">
                  <c:v>-0.0305647195808267</c:v>
                </c:pt>
                <c:pt idx="80">
                  <c:v>-0.0011009908918026</c:v>
                </c:pt>
                <c:pt idx="81">
                  <c:v>-0.0527054108216432</c:v>
                </c:pt>
                <c:pt idx="82">
                  <c:v>-0.00719272265707649</c:v>
                </c:pt>
                <c:pt idx="83">
                  <c:v>0.00383549968037511</c:v>
                </c:pt>
                <c:pt idx="84">
                  <c:v>-0.0215453194650818</c:v>
                </c:pt>
                <c:pt idx="85">
                  <c:v>-0.107061503416857</c:v>
                </c:pt>
                <c:pt idx="86">
                  <c:v>0.0911078717201166</c:v>
                </c:pt>
                <c:pt idx="87">
                  <c:v>-0.0173680694722778</c:v>
                </c:pt>
                <c:pt idx="88">
                  <c:v>0.0652617267165192</c:v>
                </c:pt>
                <c:pt idx="89">
                  <c:v>0.0402042118698149</c:v>
                </c:pt>
                <c:pt idx="90">
                  <c:v>0.00695296523517386</c:v>
                </c:pt>
                <c:pt idx="91">
                  <c:v>0.0682372055239642</c:v>
                </c:pt>
                <c:pt idx="92">
                  <c:v>-0.0223384030418252</c:v>
                </c:pt>
                <c:pt idx="93">
                  <c:v>0.0243072435585805</c:v>
                </c:pt>
                <c:pt idx="94">
                  <c:v>0.0149027052681538</c:v>
                </c:pt>
                <c:pt idx="95">
                  <c:v>-0.00710811821922941</c:v>
                </c:pt>
                <c:pt idx="96">
                  <c:v>0.00706480783722685</c:v>
                </c:pt>
                <c:pt idx="97">
                  <c:v>0.0461135534561781</c:v>
                </c:pt>
                <c:pt idx="98">
                  <c:v>0.00599070100143062</c:v>
                </c:pt>
                <c:pt idx="99">
                  <c:v>-0.00302195360412416</c:v>
                </c:pt>
                <c:pt idx="100">
                  <c:v>0.014798965855398</c:v>
                </c:pt>
                <c:pt idx="101">
                  <c:v>0.0105420363700255</c:v>
                </c:pt>
                <c:pt idx="102">
                  <c:v>-0.0156480918021386</c:v>
                </c:pt>
                <c:pt idx="103">
                  <c:v>0.0349730636757042</c:v>
                </c:pt>
                <c:pt idx="104">
                  <c:v>0.00102397815513267</c:v>
                </c:pt>
                <c:pt idx="105">
                  <c:v>-0.00681953797630208</c:v>
                </c:pt>
                <c:pt idx="106">
                  <c:v>-0.000257488627585678</c:v>
                </c:pt>
                <c:pt idx="107">
                  <c:v>0.0048935439560438</c:v>
                </c:pt>
                <c:pt idx="108">
                  <c:v>0.0293037163605296</c:v>
                </c:pt>
                <c:pt idx="109">
                  <c:v>0.0120351925630811</c:v>
                </c:pt>
                <c:pt idx="110">
                  <c:v>-0.0110719265152137</c:v>
                </c:pt>
                <c:pt idx="111">
                  <c:v>-0.00406369215458613</c:v>
                </c:pt>
                <c:pt idx="112">
                  <c:v>-0.0132400699475393</c:v>
                </c:pt>
                <c:pt idx="113">
                  <c:v>0.0162025316455696</c:v>
                </c:pt>
                <c:pt idx="114">
                  <c:v>0.0107125062282012</c:v>
                </c:pt>
                <c:pt idx="115">
                  <c:v>-8.21625174594054E-005</c:v>
                </c:pt>
                <c:pt idx="116">
                  <c:v>-0.0260476581758422</c:v>
                </c:pt>
                <c:pt idx="117">
                  <c:v>-0.00590567788745466</c:v>
                </c:pt>
                <c:pt idx="118">
                  <c:v>-0.0299584146651957</c:v>
                </c:pt>
                <c:pt idx="119">
                  <c:v>0.0509186351706037</c:v>
                </c:pt>
                <c:pt idx="120">
                  <c:v>0.00607725607725596</c:v>
                </c:pt>
                <c:pt idx="121">
                  <c:v>-0.014480761274307</c:v>
                </c:pt>
                <c:pt idx="122">
                  <c:v>0.00361041141897567</c:v>
                </c:pt>
                <c:pt idx="123">
                  <c:v>0.0154772860369781</c:v>
                </c:pt>
                <c:pt idx="124">
                  <c:v>-0.014087988136431</c:v>
                </c:pt>
                <c:pt idx="125">
                  <c:v>0.00300827275006266</c:v>
                </c:pt>
                <c:pt idx="126">
                  <c:v>-0.000249937515621079</c:v>
                </c:pt>
                <c:pt idx="127">
                  <c:v>-0.0173333333333333</c:v>
                </c:pt>
                <c:pt idx="128">
                  <c:v>0.0165366350067844</c:v>
                </c:pt>
                <c:pt idx="129">
                  <c:v>-0.000250271127054336</c:v>
                </c:pt>
                <c:pt idx="130">
                  <c:v>-0.0132676902536716</c:v>
                </c:pt>
                <c:pt idx="131">
                  <c:v>0.01446088794926</c:v>
                </c:pt>
                <c:pt idx="132">
                  <c:v>-0.00408469489829944</c:v>
                </c:pt>
                <c:pt idx="133">
                  <c:v>-0.0102954716665272</c:v>
                </c:pt>
                <c:pt idx="134">
                  <c:v>-0.0174221921515561</c:v>
                </c:pt>
                <c:pt idx="135">
                  <c:v>-0.0206576002754347</c:v>
                </c:pt>
                <c:pt idx="136">
                  <c:v>-0.0304974512216558</c:v>
                </c:pt>
                <c:pt idx="137">
                  <c:v>0.0401595503580816</c:v>
                </c:pt>
                <c:pt idx="138">
                  <c:v>0.0749520655394806</c:v>
                </c:pt>
                <c:pt idx="139">
                  <c:v>0.0402140424841901</c:v>
                </c:pt>
                <c:pt idx="140">
                  <c:v>0.0250974279033516</c:v>
                </c:pt>
                <c:pt idx="141">
                  <c:v>0.0220498783454985</c:v>
                </c:pt>
                <c:pt idx="142">
                  <c:v>0.0698556762386551</c:v>
                </c:pt>
                <c:pt idx="143">
                  <c:v>-0.00229469438842922</c:v>
                </c:pt>
                <c:pt idx="144">
                  <c:v>0.0101756342347366</c:v>
                </c:pt>
                <c:pt idx="145">
                  <c:v>0.0389816475783082</c:v>
                </c:pt>
                <c:pt idx="146">
                  <c:v>-0.0419018527126636</c:v>
                </c:pt>
                <c:pt idx="147">
                  <c:v>0.0568339340171886</c:v>
                </c:pt>
                <c:pt idx="148">
                  <c:v>0.0486621196222457</c:v>
                </c:pt>
                <c:pt idx="149">
                  <c:v>-0.0356472795497187</c:v>
                </c:pt>
                <c:pt idx="150">
                  <c:v>-0.0218547341115433</c:v>
                </c:pt>
                <c:pt idx="151">
                  <c:v>0.0193595438573226</c:v>
                </c:pt>
                <c:pt idx="152">
                  <c:v>-0.0641300813008131</c:v>
                </c:pt>
                <c:pt idx="153">
                  <c:v>0.0182083536034472</c:v>
                </c:pt>
                <c:pt idx="154">
                  <c:v>-0.0182922667394716</c:v>
                </c:pt>
              </c:numCache>
            </c:numRef>
          </c:val>
        </c:ser>
        <c:gapWidth val="150"/>
        <c:overlap val="0"/>
        <c:axId val="21005500"/>
        <c:axId val="92449004"/>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(Calc)'!$AM$3:$AM$157</c:f>
              <c:numCache>
                <c:formatCode>#,##0.00</c:formatCode>
                <c:ptCount val="155"/>
                <c:pt idx="0">
                  <c:v>58.54</c:v>
                </c:pt>
                <c:pt idx="1">
                  <c:v>59.0938311688312</c:v>
                </c:pt>
                <c:pt idx="2">
                  <c:v>59.6476623376623</c:v>
                </c:pt>
                <c:pt idx="3">
                  <c:v>60.2014935064935</c:v>
                </c:pt>
                <c:pt idx="4">
                  <c:v>60.7553246753247</c:v>
                </c:pt>
                <c:pt idx="5">
                  <c:v>61.3091558441558</c:v>
                </c:pt>
                <c:pt idx="6">
                  <c:v>61.862987012987</c:v>
                </c:pt>
                <c:pt idx="7">
                  <c:v>62.4168181818182</c:v>
                </c:pt>
                <c:pt idx="8">
                  <c:v>62.9706493506494</c:v>
                </c:pt>
                <c:pt idx="9">
                  <c:v>63.5244805194805</c:v>
                </c:pt>
                <c:pt idx="10">
                  <c:v>64.0783116883117</c:v>
                </c:pt>
                <c:pt idx="11">
                  <c:v>64.6321428571429</c:v>
                </c:pt>
                <c:pt idx="12">
                  <c:v>65.185974025974</c:v>
                </c:pt>
                <c:pt idx="13">
                  <c:v>65.7398051948052</c:v>
                </c:pt>
                <c:pt idx="14">
                  <c:v>66.2936363636364</c:v>
                </c:pt>
                <c:pt idx="15">
                  <c:v>66.8474675324675</c:v>
                </c:pt>
                <c:pt idx="16">
                  <c:v>67.4012987012987</c:v>
                </c:pt>
                <c:pt idx="17">
                  <c:v>67.9551298701298</c:v>
                </c:pt>
                <c:pt idx="18">
                  <c:v>68.5089610389611</c:v>
                </c:pt>
                <c:pt idx="19">
                  <c:v>69.0627922077922</c:v>
                </c:pt>
                <c:pt idx="20">
                  <c:v>69.6166233766234</c:v>
                </c:pt>
                <c:pt idx="21">
                  <c:v>70.1704545454545</c:v>
                </c:pt>
                <c:pt idx="22">
                  <c:v>70.7242857142857</c:v>
                </c:pt>
                <c:pt idx="23">
                  <c:v>71.2781168831169</c:v>
                </c:pt>
                <c:pt idx="24">
                  <c:v>71.8319480519481</c:v>
                </c:pt>
                <c:pt idx="25">
                  <c:v>72.3857792207792</c:v>
                </c:pt>
                <c:pt idx="26">
                  <c:v>72.9396103896104</c:v>
                </c:pt>
                <c:pt idx="27">
                  <c:v>73.4934415584415</c:v>
                </c:pt>
                <c:pt idx="28">
                  <c:v>74.0472727272727</c:v>
                </c:pt>
                <c:pt idx="29">
                  <c:v>74.6011038961039</c:v>
                </c:pt>
                <c:pt idx="30">
                  <c:v>75.1549350649351</c:v>
                </c:pt>
                <c:pt idx="31">
                  <c:v>75.7087662337662</c:v>
                </c:pt>
                <c:pt idx="32">
                  <c:v>76.2625974025974</c:v>
                </c:pt>
                <c:pt idx="33">
                  <c:v>76.8164285714286</c:v>
                </c:pt>
                <c:pt idx="34">
                  <c:v>77.3702597402598</c:v>
                </c:pt>
                <c:pt idx="35">
                  <c:v>77.9240909090909</c:v>
                </c:pt>
                <c:pt idx="36">
                  <c:v>78.4779220779221</c:v>
                </c:pt>
                <c:pt idx="37">
                  <c:v>79.0317532467532</c:v>
                </c:pt>
                <c:pt idx="38">
                  <c:v>79.5855844155844</c:v>
                </c:pt>
                <c:pt idx="39">
                  <c:v>80.1394155844156</c:v>
                </c:pt>
                <c:pt idx="40">
                  <c:v>80.6932467532468</c:v>
                </c:pt>
                <c:pt idx="41">
                  <c:v>81.2470779220779</c:v>
                </c:pt>
                <c:pt idx="42">
                  <c:v>81.8009090909091</c:v>
                </c:pt>
                <c:pt idx="43">
                  <c:v>82.3547402597402</c:v>
                </c:pt>
                <c:pt idx="44">
                  <c:v>82.9085714285715</c:v>
                </c:pt>
                <c:pt idx="45">
                  <c:v>83.4624025974026</c:v>
                </c:pt>
                <c:pt idx="46">
                  <c:v>84.0162337662338</c:v>
                </c:pt>
                <c:pt idx="47">
                  <c:v>84.5700649350649</c:v>
                </c:pt>
                <c:pt idx="48">
                  <c:v>85.1238961038961</c:v>
                </c:pt>
                <c:pt idx="49">
                  <c:v>85.6777272727273</c:v>
                </c:pt>
                <c:pt idx="50">
                  <c:v>86.2315584415585</c:v>
                </c:pt>
                <c:pt idx="51">
                  <c:v>86.7853896103896</c:v>
                </c:pt>
                <c:pt idx="52">
                  <c:v>87.3392207792208</c:v>
                </c:pt>
                <c:pt idx="53">
                  <c:v>87.893051948052</c:v>
                </c:pt>
                <c:pt idx="54">
                  <c:v>88.4468831168832</c:v>
                </c:pt>
                <c:pt idx="55">
                  <c:v>89.0007142857143</c:v>
                </c:pt>
                <c:pt idx="56">
                  <c:v>89.5545454545455</c:v>
                </c:pt>
                <c:pt idx="57">
                  <c:v>90.1083766233766</c:v>
                </c:pt>
                <c:pt idx="58">
                  <c:v>90.6622077922078</c:v>
                </c:pt>
                <c:pt idx="59">
                  <c:v>91.216038961039</c:v>
                </c:pt>
                <c:pt idx="60">
                  <c:v>91.7698701298702</c:v>
                </c:pt>
                <c:pt idx="61">
                  <c:v>92.3237012987013</c:v>
                </c:pt>
                <c:pt idx="62">
                  <c:v>92.8775324675325</c:v>
                </c:pt>
                <c:pt idx="63">
                  <c:v>93.4313636363636</c:v>
                </c:pt>
                <c:pt idx="64">
                  <c:v>93.9851948051949</c:v>
                </c:pt>
                <c:pt idx="65">
                  <c:v>94.539025974026</c:v>
                </c:pt>
                <c:pt idx="66">
                  <c:v>95.0928571428572</c:v>
                </c:pt>
                <c:pt idx="67">
                  <c:v>95.6466883116883</c:v>
                </c:pt>
                <c:pt idx="68">
                  <c:v>96.2005194805195</c:v>
                </c:pt>
                <c:pt idx="69">
                  <c:v>96.7543506493506</c:v>
                </c:pt>
                <c:pt idx="70">
                  <c:v>97.3081818181819</c:v>
                </c:pt>
                <c:pt idx="71">
                  <c:v>97.862012987013</c:v>
                </c:pt>
                <c:pt idx="72">
                  <c:v>98.4158441558442</c:v>
                </c:pt>
                <c:pt idx="73">
                  <c:v>98.9696753246753</c:v>
                </c:pt>
                <c:pt idx="74">
                  <c:v>99.5235064935066</c:v>
                </c:pt>
                <c:pt idx="75">
                  <c:v>100.077337662338</c:v>
                </c:pt>
                <c:pt idx="76">
                  <c:v>100.631168831169</c:v>
                </c:pt>
                <c:pt idx="77">
                  <c:v>101.185</c:v>
                </c:pt>
                <c:pt idx="78">
                  <c:v>101.738831168831</c:v>
                </c:pt>
                <c:pt idx="79">
                  <c:v>102.292662337662</c:v>
                </c:pt>
                <c:pt idx="80">
                  <c:v>102.846493506493</c:v>
                </c:pt>
                <c:pt idx="81">
                  <c:v>103.400324675325</c:v>
                </c:pt>
                <c:pt idx="82">
                  <c:v>103.954155844156</c:v>
                </c:pt>
                <c:pt idx="83">
                  <c:v>104.507987012987</c:v>
                </c:pt>
                <c:pt idx="84">
                  <c:v>105.061818181818</c:v>
                </c:pt>
                <c:pt idx="85">
                  <c:v>105.615649350649</c:v>
                </c:pt>
                <c:pt idx="86">
                  <c:v>106.16948051948</c:v>
                </c:pt>
                <c:pt idx="87">
                  <c:v>106.723311688312</c:v>
                </c:pt>
                <c:pt idx="88">
                  <c:v>107.277142857143</c:v>
                </c:pt>
                <c:pt idx="89">
                  <c:v>107.830974025974</c:v>
                </c:pt>
                <c:pt idx="90">
                  <c:v>108.384805194805</c:v>
                </c:pt>
                <c:pt idx="91">
                  <c:v>108.938636363636</c:v>
                </c:pt>
                <c:pt idx="92">
                  <c:v>109.492467532468</c:v>
                </c:pt>
                <c:pt idx="93">
                  <c:v>110.046298701299</c:v>
                </c:pt>
                <c:pt idx="94">
                  <c:v>110.60012987013</c:v>
                </c:pt>
                <c:pt idx="95">
                  <c:v>111.153961038961</c:v>
                </c:pt>
                <c:pt idx="96">
                  <c:v>111.707792207792</c:v>
                </c:pt>
                <c:pt idx="97">
                  <c:v>112.261623376623</c:v>
                </c:pt>
                <c:pt idx="98">
                  <c:v>112.815454545455</c:v>
                </c:pt>
                <c:pt idx="99">
                  <c:v>113.369285714286</c:v>
                </c:pt>
                <c:pt idx="100">
                  <c:v>113.923116883117</c:v>
                </c:pt>
                <c:pt idx="101">
                  <c:v>114.476948051948</c:v>
                </c:pt>
                <c:pt idx="102">
                  <c:v>115.030779220779</c:v>
                </c:pt>
                <c:pt idx="103">
                  <c:v>115.58461038961</c:v>
                </c:pt>
                <c:pt idx="104">
                  <c:v>116.138441558442</c:v>
                </c:pt>
                <c:pt idx="105">
                  <c:v>116.692272727273</c:v>
                </c:pt>
                <c:pt idx="106">
                  <c:v>117.246103896104</c:v>
                </c:pt>
                <c:pt idx="107">
                  <c:v>117.799935064935</c:v>
                </c:pt>
                <c:pt idx="108">
                  <c:v>118.353766233766</c:v>
                </c:pt>
                <c:pt idx="109">
                  <c:v>118.907597402597</c:v>
                </c:pt>
                <c:pt idx="110">
                  <c:v>119.461428571429</c:v>
                </c:pt>
                <c:pt idx="111">
                  <c:v>120.01525974026</c:v>
                </c:pt>
                <c:pt idx="112">
                  <c:v>120.569090909091</c:v>
                </c:pt>
                <c:pt idx="113">
                  <c:v>121.122922077922</c:v>
                </c:pt>
                <c:pt idx="114">
                  <c:v>121.676753246753</c:v>
                </c:pt>
                <c:pt idx="115">
                  <c:v>122.230584415584</c:v>
                </c:pt>
                <c:pt idx="116">
                  <c:v>122.784415584416</c:v>
                </c:pt>
                <c:pt idx="117">
                  <c:v>123.338246753247</c:v>
                </c:pt>
                <c:pt idx="118">
                  <c:v>123.892077922078</c:v>
                </c:pt>
                <c:pt idx="119">
                  <c:v>124.445909090909</c:v>
                </c:pt>
                <c:pt idx="120">
                  <c:v>124.99974025974</c:v>
                </c:pt>
                <c:pt idx="121">
                  <c:v>125.553571428571</c:v>
                </c:pt>
                <c:pt idx="122">
                  <c:v>126.107402597403</c:v>
                </c:pt>
                <c:pt idx="123">
                  <c:v>126.661233766234</c:v>
                </c:pt>
                <c:pt idx="124">
                  <c:v>127.215064935065</c:v>
                </c:pt>
                <c:pt idx="125">
                  <c:v>127.768896103896</c:v>
                </c:pt>
                <c:pt idx="126">
                  <c:v>128.322727272727</c:v>
                </c:pt>
                <c:pt idx="127">
                  <c:v>128.876558441558</c:v>
                </c:pt>
                <c:pt idx="128">
                  <c:v>129.43038961039</c:v>
                </c:pt>
                <c:pt idx="129">
                  <c:v>129.984220779221</c:v>
                </c:pt>
                <c:pt idx="130">
                  <c:v>130.538051948052</c:v>
                </c:pt>
                <c:pt idx="131">
                  <c:v>131.091883116883</c:v>
                </c:pt>
                <c:pt idx="132">
                  <c:v>131.645714285714</c:v>
                </c:pt>
                <c:pt idx="133">
                  <c:v>132.199545454546</c:v>
                </c:pt>
                <c:pt idx="134">
                  <c:v>132.753376623377</c:v>
                </c:pt>
                <c:pt idx="135">
                  <c:v>133.307207792208</c:v>
                </c:pt>
                <c:pt idx="136">
                  <c:v>133.861038961039</c:v>
                </c:pt>
                <c:pt idx="137">
                  <c:v>134.41487012987</c:v>
                </c:pt>
                <c:pt idx="138">
                  <c:v>134.968701298701</c:v>
                </c:pt>
                <c:pt idx="139">
                  <c:v>135.522532467533</c:v>
                </c:pt>
                <c:pt idx="140">
                  <c:v>136.076363636364</c:v>
                </c:pt>
                <c:pt idx="141">
                  <c:v>136.630194805195</c:v>
                </c:pt>
                <c:pt idx="142">
                  <c:v>137.184025974026</c:v>
                </c:pt>
                <c:pt idx="143">
                  <c:v>137.737857142857</c:v>
                </c:pt>
                <c:pt idx="144">
                  <c:v>138.291688311688</c:v>
                </c:pt>
                <c:pt idx="145">
                  <c:v>138.84551948052</c:v>
                </c:pt>
                <c:pt idx="146">
                  <c:v>139.399350649351</c:v>
                </c:pt>
                <c:pt idx="147">
                  <c:v>139.953181818182</c:v>
                </c:pt>
                <c:pt idx="148">
                  <c:v>140.507012987013</c:v>
                </c:pt>
                <c:pt idx="149">
                  <c:v>141.060844155844</c:v>
                </c:pt>
                <c:pt idx="150">
                  <c:v>141.614675324675</c:v>
                </c:pt>
                <c:pt idx="151">
                  <c:v>142.168506493507</c:v>
                </c:pt>
                <c:pt idx="152">
                  <c:v>142.722337662338</c:v>
                </c:pt>
                <c:pt idx="153">
                  <c:v>143.276168831169</c:v>
                </c:pt>
                <c:pt idx="154">
                  <c:v>143.83</c:v>
                </c:pt>
              </c:numCache>
            </c:numRef>
          </c:val>
          <c:smooth val="0"/>
        </c:ser>
        <c:hiLowLines>
          <c:spPr>
            <a:ln w="0">
              <a:noFill/>
            </a:ln>
          </c:spPr>
        </c:hiLowLines>
        <c:marker val="0"/>
        <c:axId val="2746863"/>
        <c:axId val="11335604"/>
      </c:lineChart>
      <c:dateAx>
        <c:axId val="2100550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2449004"/>
        <c:auto val="1"/>
        <c:lblOffset val="100"/>
        <c:baseTimeUnit val="days"/>
      </c:dateAx>
      <c:valAx>
        <c:axId val="9244900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1005500"/>
        <c:crosses val="autoZero"/>
        <c:crossBetween val="between"/>
      </c:valAx>
      <c:dateAx>
        <c:axId val="274686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335604"/>
        <c:auto val="1"/>
        <c:lblOffset val="100"/>
        <c:baseTimeUnit val="days"/>
      </c:dateAx>
      <c:valAx>
        <c:axId val="11335604"/>
        <c:scaling>
          <c:orientation val="minMax"/>
        </c:scaling>
        <c:delete val="0"/>
        <c:axPos val="r"/>
        <c:title>
          <c:tx>
            <c:rich>
              <a:bodyPr rot="-5400000"/>
              <a:lstStyle/>
              <a:p>
                <a:pPr>
                  <a:defRPr sz="1300" b="0" u="none" strike="noStrike">
                    <a:uFillTx/>
                    <a:latin typeface="Arial"/>
                  </a:defRPr>
                </a:pPr>
                <a:r>
                  <a:rPr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74686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(Calc)'!$T$3:$T$157</c:f>
              <c:numCache>
                <c:formatCode>0.0%</c:formatCode>
                <c:ptCount val="155"/>
                <c:pt idx="0">
                  <c:v>-0.0267558528428093</c:v>
                </c:pt>
                <c:pt idx="1">
                  <c:v>-0.00801832760595655</c:v>
                </c:pt>
                <c:pt idx="2">
                  <c:v>0.0261739799846035</c:v>
                </c:pt>
                <c:pt idx="3">
                  <c:v>-0.00712678169542391</c:v>
                </c:pt>
                <c:pt idx="4">
                  <c:v>-0.0064223649414431</c:v>
                </c:pt>
                <c:pt idx="5">
                  <c:v>-0.0148288973384031</c:v>
                </c:pt>
                <c:pt idx="6">
                  <c:v>0.00270165959089153</c:v>
                </c:pt>
                <c:pt idx="7">
                  <c:v>-0.0184757505773672</c:v>
                </c:pt>
                <c:pt idx="8">
                  <c:v>0.0129411764705882</c:v>
                </c:pt>
                <c:pt idx="9">
                  <c:v>-0.0127758420441346</c:v>
                </c:pt>
                <c:pt idx="10">
                  <c:v>-0.0329411764705883</c:v>
                </c:pt>
                <c:pt idx="11">
                  <c:v>0.0587996755879967</c:v>
                </c:pt>
                <c:pt idx="12">
                  <c:v>-0.00689391037916509</c:v>
                </c:pt>
                <c:pt idx="13">
                  <c:v>0.0254531430775165</c:v>
                </c:pt>
                <c:pt idx="14">
                  <c:v>0.00714554343738261</c:v>
                </c:pt>
                <c:pt idx="15">
                  <c:v>0.0134428678117999</c:v>
                </c:pt>
                <c:pt idx="16">
                  <c:v>0.00884303610906412</c:v>
                </c:pt>
                <c:pt idx="17">
                  <c:v>0.0277574872169468</c:v>
                </c:pt>
                <c:pt idx="18">
                  <c:v>0.00959488272921116</c:v>
                </c:pt>
                <c:pt idx="19">
                  <c:v>-0.0024639211545231</c:v>
                </c:pt>
                <c:pt idx="20">
                  <c:v>0.00105857445307</c:v>
                </c:pt>
                <c:pt idx="21">
                  <c:v>-0.00281988015509349</c:v>
                </c:pt>
                <c:pt idx="22">
                  <c:v>-0.00954400848356307</c:v>
                </c:pt>
                <c:pt idx="23">
                  <c:v>0.00820842255531762</c:v>
                </c:pt>
                <c:pt idx="24">
                  <c:v>0.00955752212389371</c:v>
                </c:pt>
                <c:pt idx="25">
                  <c:v>0.0038569424964936</c:v>
                </c:pt>
                <c:pt idx="26">
                  <c:v>0.00838281522878104</c:v>
                </c:pt>
                <c:pt idx="27">
                  <c:v>0.0218219605126428</c:v>
                </c:pt>
                <c:pt idx="28">
                  <c:v>0.0220338983050847</c:v>
                </c:pt>
                <c:pt idx="29">
                  <c:v>0.0195688225538972</c:v>
                </c:pt>
                <c:pt idx="30">
                  <c:v>0.0136629798308394</c:v>
                </c:pt>
                <c:pt idx="31">
                  <c:v>0.0240693196405648</c:v>
                </c:pt>
                <c:pt idx="32">
                  <c:v>0.0156690692572861</c:v>
                </c:pt>
                <c:pt idx="33">
                  <c:v>-0.00246837395865474</c:v>
                </c:pt>
                <c:pt idx="34">
                  <c:v>-0.0259820600061862</c:v>
                </c:pt>
                <c:pt idx="35">
                  <c:v>-0.017783423308987</c:v>
                </c:pt>
                <c:pt idx="36">
                  <c:v>0.0126091173617846</c:v>
                </c:pt>
                <c:pt idx="37">
                  <c:v>-0.0156449553001278</c:v>
                </c:pt>
                <c:pt idx="38">
                  <c:v>0.0220564385338957</c:v>
                </c:pt>
                <c:pt idx="39">
                  <c:v>0.00920342748333858</c:v>
                </c:pt>
                <c:pt idx="40">
                  <c:v>-0.0169811320754717</c:v>
                </c:pt>
                <c:pt idx="41">
                  <c:v>0.0115163147792705</c:v>
                </c:pt>
                <c:pt idx="42">
                  <c:v>-0.0211891208096142</c:v>
                </c:pt>
                <c:pt idx="43">
                  <c:v>-0.00420032310177698</c:v>
                </c:pt>
                <c:pt idx="44">
                  <c:v>0.00973393900064901</c:v>
                </c:pt>
                <c:pt idx="45">
                  <c:v>-0.00642673521850901</c:v>
                </c:pt>
                <c:pt idx="46">
                  <c:v>-0.0200517464424321</c:v>
                </c:pt>
                <c:pt idx="47">
                  <c:v>0.0382838283828384</c:v>
                </c:pt>
                <c:pt idx="48">
                  <c:v>0.0152574698029244</c:v>
                </c:pt>
                <c:pt idx="49">
                  <c:v>0.0178459611772073</c:v>
                </c:pt>
                <c:pt idx="50">
                  <c:v>-0.0286065825899723</c:v>
                </c:pt>
                <c:pt idx="51">
                  <c:v>-0.00158328055731471</c:v>
                </c:pt>
                <c:pt idx="52">
                  <c:v>0.0161750713606088</c:v>
                </c:pt>
                <c:pt idx="53">
                  <c:v>0.0327715355805245</c:v>
                </c:pt>
                <c:pt idx="54">
                  <c:v>0.00332426715019651</c:v>
                </c:pt>
                <c:pt idx="55">
                  <c:v>-0.041265060240964</c:v>
                </c:pt>
                <c:pt idx="56">
                  <c:v>0.0235626767200754</c:v>
                </c:pt>
                <c:pt idx="57">
                  <c:v>0.0171884591774096</c:v>
                </c:pt>
                <c:pt idx="58">
                  <c:v>0.00211225105612556</c:v>
                </c:pt>
                <c:pt idx="59">
                  <c:v>0.0186690755796446</c:v>
                </c:pt>
                <c:pt idx="60">
                  <c:v>0.00354714750221707</c:v>
                </c:pt>
                <c:pt idx="61">
                  <c:v>-0.00471281296023574</c:v>
                </c:pt>
                <c:pt idx="62">
                  <c:v>-0.0192364604912696</c:v>
                </c:pt>
                <c:pt idx="63">
                  <c:v>0.000603500301749937</c:v>
                </c:pt>
                <c:pt idx="64">
                  <c:v>0.0775030156815439</c:v>
                </c:pt>
                <c:pt idx="65">
                  <c:v>-0.0153932269801287</c:v>
                </c:pt>
                <c:pt idx="66">
                  <c:v>0.0386583285957931</c:v>
                </c:pt>
                <c:pt idx="67">
                  <c:v>0.00191570881226055</c:v>
                </c:pt>
                <c:pt idx="68">
                  <c:v>-0.00081944823818636</c:v>
                </c:pt>
                <c:pt idx="69">
                  <c:v>-0.0440131219245489</c:v>
                </c:pt>
                <c:pt idx="70">
                  <c:v>-0.0305976551329711</c:v>
                </c:pt>
                <c:pt idx="71">
                  <c:v>0.00914454277286136</c:v>
                </c:pt>
                <c:pt idx="72">
                  <c:v>0.00760011692487561</c:v>
                </c:pt>
                <c:pt idx="73">
                  <c:v>-0.000290107339715684</c:v>
                </c:pt>
                <c:pt idx="74">
                  <c:v>0.038595473012188</c:v>
                </c:pt>
                <c:pt idx="75">
                  <c:v>0.00251466890192797</c:v>
                </c:pt>
                <c:pt idx="76">
                  <c:v>-0.0103121516164996</c:v>
                </c:pt>
                <c:pt idx="77">
                  <c:v>-0.00872993522951271</c:v>
                </c:pt>
                <c:pt idx="78">
                  <c:v>0.0116477272727271</c:v>
                </c:pt>
                <c:pt idx="79">
                  <c:v>-0.00336983993260309</c:v>
                </c:pt>
                <c:pt idx="80">
                  <c:v>-0.00479008171315865</c:v>
                </c:pt>
                <c:pt idx="81">
                  <c:v>-0.0144394110985276</c:v>
                </c:pt>
                <c:pt idx="82">
                  <c:v>-0.020683711577133</c:v>
                </c:pt>
                <c:pt idx="83">
                  <c:v>0.0170137870343208</c:v>
                </c:pt>
                <c:pt idx="84">
                  <c:v>-0.0164407268531872</c:v>
                </c:pt>
                <c:pt idx="85">
                  <c:v>-0.092375366568915</c:v>
                </c:pt>
                <c:pt idx="86">
                  <c:v>0.0197092084006463</c:v>
                </c:pt>
                <c:pt idx="87">
                  <c:v>0.00697084917617241</c:v>
                </c:pt>
                <c:pt idx="88">
                  <c:v>0.0330396475770924</c:v>
                </c:pt>
                <c:pt idx="89">
                  <c:v>0.0191897654584223</c:v>
                </c:pt>
                <c:pt idx="90">
                  <c:v>-0.00179318589360433</c:v>
                </c:pt>
                <c:pt idx="91">
                  <c:v>0.0431137724550901</c:v>
                </c:pt>
                <c:pt idx="92">
                  <c:v>-0.0347301951779564</c:v>
                </c:pt>
                <c:pt idx="93">
                  <c:v>0.007731192387749</c:v>
                </c:pt>
                <c:pt idx="94">
                  <c:v>0.023605783416937</c:v>
                </c:pt>
                <c:pt idx="95">
                  <c:v>0.0109541654655521</c:v>
                </c:pt>
                <c:pt idx="96">
                  <c:v>-0.00114057599087536</c:v>
                </c:pt>
                <c:pt idx="97">
                  <c:v>0.00856408792463603</c:v>
                </c:pt>
                <c:pt idx="98">
                  <c:v>0.0124540050948203</c:v>
                </c:pt>
                <c:pt idx="99">
                  <c:v>0.00195694716242656</c:v>
                </c:pt>
                <c:pt idx="100">
                  <c:v>-0.0212053571428573</c:v>
                </c:pt>
                <c:pt idx="101">
                  <c:v>0.0219498289623719</c:v>
                </c:pt>
                <c:pt idx="102">
                  <c:v>-0.0418410041841004</c:v>
                </c:pt>
                <c:pt idx="103">
                  <c:v>0.00989810771470157</c:v>
                </c:pt>
                <c:pt idx="104">
                  <c:v>0.0394926491784378</c:v>
                </c:pt>
                <c:pt idx="105">
                  <c:v>0.0257903494176373</c:v>
                </c:pt>
                <c:pt idx="106">
                  <c:v>0.00919167342524996</c:v>
                </c:pt>
                <c:pt idx="107">
                  <c:v>0.00750066970265206</c:v>
                </c:pt>
                <c:pt idx="108">
                  <c:v>-0.00292475405477266</c:v>
                </c:pt>
                <c:pt idx="109">
                  <c:v>-0.0013333333333333</c:v>
                </c:pt>
                <c:pt idx="110">
                  <c:v>0.0077436582109478</c:v>
                </c:pt>
                <c:pt idx="111">
                  <c:v>0.00344462109167987</c:v>
                </c:pt>
                <c:pt idx="112">
                  <c:v>-0.0340639028254555</c:v>
                </c:pt>
                <c:pt idx="113">
                  <c:v>0.0139420448332424</c:v>
                </c:pt>
                <c:pt idx="114">
                  <c:v>0.0261526017794553</c:v>
                </c:pt>
                <c:pt idx="115">
                  <c:v>-0.0063058328954283</c:v>
                </c:pt>
                <c:pt idx="116">
                  <c:v>0.00158646218931779</c:v>
                </c:pt>
                <c:pt idx="117">
                  <c:v>0.0110876451953537</c:v>
                </c:pt>
                <c:pt idx="118">
                  <c:v>-0.0201044386422975</c:v>
                </c:pt>
                <c:pt idx="119">
                  <c:v>0.0343725019984014</c:v>
                </c:pt>
                <c:pt idx="120">
                  <c:v>0.0154559505409584</c:v>
                </c:pt>
                <c:pt idx="121">
                  <c:v>0.00710299340436338</c:v>
                </c:pt>
                <c:pt idx="122">
                  <c:v>-0.00428211586901772</c:v>
                </c:pt>
                <c:pt idx="123">
                  <c:v>0.00657728307614458</c:v>
                </c:pt>
                <c:pt idx="124">
                  <c:v>-0.0092988187986931</c:v>
                </c:pt>
                <c:pt idx="125">
                  <c:v>0.0256215119228818</c:v>
                </c:pt>
                <c:pt idx="126">
                  <c:v>-0.0202819688350235</c:v>
                </c:pt>
                <c:pt idx="127">
                  <c:v>0.0063115374905327</c:v>
                </c:pt>
                <c:pt idx="128">
                  <c:v>-0.00978424485699947</c:v>
                </c:pt>
                <c:pt idx="129">
                  <c:v>0.0243222700785406</c:v>
                </c:pt>
                <c:pt idx="130">
                  <c:v>-0.00420479841701715</c:v>
                </c:pt>
                <c:pt idx="131">
                  <c:v>0.00198708395429725</c:v>
                </c:pt>
                <c:pt idx="132">
                  <c:v>0.00347050074367861</c:v>
                </c:pt>
                <c:pt idx="133">
                  <c:v>-0.00914031620553357</c:v>
                </c:pt>
                <c:pt idx="134">
                  <c:v>-0.0226876090750435</c:v>
                </c:pt>
                <c:pt idx="135">
                  <c:v>0.00102040816326521</c:v>
                </c:pt>
                <c:pt idx="136">
                  <c:v>-0.012487257900102</c:v>
                </c:pt>
                <c:pt idx="137">
                  <c:v>0.0281290322580645</c:v>
                </c:pt>
                <c:pt idx="138">
                  <c:v>-0.0050200803212852</c:v>
                </c:pt>
                <c:pt idx="139">
                  <c:v>0.0534813319878908</c:v>
                </c:pt>
                <c:pt idx="140">
                  <c:v>-0.00574712643678144</c:v>
                </c:pt>
                <c:pt idx="141">
                  <c:v>0.0257707129094413</c:v>
                </c:pt>
                <c:pt idx="142">
                  <c:v>0.0241840807701337</c:v>
                </c:pt>
                <c:pt idx="143">
                  <c:v>-0.0256762952773957</c:v>
                </c:pt>
                <c:pt idx="144">
                  <c:v>0.0395294117647058</c:v>
                </c:pt>
                <c:pt idx="145">
                  <c:v>0.0540968764146672</c:v>
                </c:pt>
                <c:pt idx="146">
                  <c:v>-0.0111659866867082</c:v>
                </c:pt>
                <c:pt idx="147">
                  <c:v>0.00521172638436496</c:v>
                </c:pt>
                <c:pt idx="148">
                  <c:v>-0.0224670555195506</c:v>
                </c:pt>
                <c:pt idx="149">
                  <c:v>0.0207734806629833</c:v>
                </c:pt>
                <c:pt idx="150">
                  <c:v>0.0175362632604461</c:v>
                </c:pt>
                <c:pt idx="151">
                  <c:v>0.00829787234042545</c:v>
                </c:pt>
                <c:pt idx="152">
                  <c:v>0.0086516142646127</c:v>
                </c:pt>
                <c:pt idx="153">
                  <c:v>0.00711297071129713</c:v>
                </c:pt>
                <c:pt idx="154">
                  <c:v>0.0332363938512672</c:v>
                </c:pt>
              </c:numCache>
            </c:numRef>
          </c:val>
        </c:ser>
        <c:gapWidth val="150"/>
        <c:overlap val="0"/>
        <c:axId val="98761030"/>
        <c:axId val="20073990"/>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(Calc)'!$AN$3:$AN$157</c:f>
              <c:numCache>
                <c:formatCode>#,##0.00</c:formatCode>
                <c:ptCount val="155"/>
                <c:pt idx="0">
                  <c:v>26.91</c:v>
                </c:pt>
                <c:pt idx="1">
                  <c:v>27.0582467532468</c:v>
                </c:pt>
                <c:pt idx="2">
                  <c:v>27.2064935064935</c:v>
                </c:pt>
                <c:pt idx="3">
                  <c:v>27.3547402597403</c:v>
                </c:pt>
                <c:pt idx="4">
                  <c:v>27.502987012987</c:v>
                </c:pt>
                <c:pt idx="5">
                  <c:v>27.6512337662338</c:v>
                </c:pt>
                <c:pt idx="6">
                  <c:v>27.7994805194805</c:v>
                </c:pt>
                <c:pt idx="7">
                  <c:v>27.9477272727273</c:v>
                </c:pt>
                <c:pt idx="8">
                  <c:v>28.095974025974</c:v>
                </c:pt>
                <c:pt idx="9">
                  <c:v>28.2442207792208</c:v>
                </c:pt>
                <c:pt idx="10">
                  <c:v>28.3924675324675</c:v>
                </c:pt>
                <c:pt idx="11">
                  <c:v>28.5407142857143</c:v>
                </c:pt>
                <c:pt idx="12">
                  <c:v>28.688961038961</c:v>
                </c:pt>
                <c:pt idx="13">
                  <c:v>28.8372077922078</c:v>
                </c:pt>
                <c:pt idx="14">
                  <c:v>28.9854545454545</c:v>
                </c:pt>
                <c:pt idx="15">
                  <c:v>29.1337012987013</c:v>
                </c:pt>
                <c:pt idx="16">
                  <c:v>29.2819480519481</c:v>
                </c:pt>
                <c:pt idx="17">
                  <c:v>29.4301948051948</c:v>
                </c:pt>
                <c:pt idx="18">
                  <c:v>29.5784415584416</c:v>
                </c:pt>
                <c:pt idx="19">
                  <c:v>29.7266883116883</c:v>
                </c:pt>
                <c:pt idx="20">
                  <c:v>29.8749350649351</c:v>
                </c:pt>
                <c:pt idx="21">
                  <c:v>30.0231818181818</c:v>
                </c:pt>
                <c:pt idx="22">
                  <c:v>30.1714285714286</c:v>
                </c:pt>
                <c:pt idx="23">
                  <c:v>30.3196753246753</c:v>
                </c:pt>
                <c:pt idx="24">
                  <c:v>30.4679220779221</c:v>
                </c:pt>
                <c:pt idx="25">
                  <c:v>30.6161688311688</c:v>
                </c:pt>
                <c:pt idx="26">
                  <c:v>30.7644155844156</c:v>
                </c:pt>
                <c:pt idx="27">
                  <c:v>30.9126623376623</c:v>
                </c:pt>
                <c:pt idx="28">
                  <c:v>31.0609090909091</c:v>
                </c:pt>
                <c:pt idx="29">
                  <c:v>31.2091558441558</c:v>
                </c:pt>
                <c:pt idx="30">
                  <c:v>31.3574025974026</c:v>
                </c:pt>
                <c:pt idx="31">
                  <c:v>31.5056493506493</c:v>
                </c:pt>
                <c:pt idx="32">
                  <c:v>31.6538961038961</c:v>
                </c:pt>
                <c:pt idx="33">
                  <c:v>31.8021428571429</c:v>
                </c:pt>
                <c:pt idx="34">
                  <c:v>31.9503896103896</c:v>
                </c:pt>
                <c:pt idx="35">
                  <c:v>32.0986363636364</c:v>
                </c:pt>
                <c:pt idx="36">
                  <c:v>32.2468831168831</c:v>
                </c:pt>
                <c:pt idx="37">
                  <c:v>32.3951298701299</c:v>
                </c:pt>
                <c:pt idx="38">
                  <c:v>32.5433766233766</c:v>
                </c:pt>
                <c:pt idx="39">
                  <c:v>32.6916233766234</c:v>
                </c:pt>
                <c:pt idx="40">
                  <c:v>32.8398701298701</c:v>
                </c:pt>
                <c:pt idx="41">
                  <c:v>32.9881168831169</c:v>
                </c:pt>
                <c:pt idx="42">
                  <c:v>33.1363636363636</c:v>
                </c:pt>
                <c:pt idx="43">
                  <c:v>33.2846103896104</c:v>
                </c:pt>
                <c:pt idx="44">
                  <c:v>33.4328571428572</c:v>
                </c:pt>
                <c:pt idx="45">
                  <c:v>33.5811038961039</c:v>
                </c:pt>
                <c:pt idx="46">
                  <c:v>33.7293506493507</c:v>
                </c:pt>
                <c:pt idx="47">
                  <c:v>33.8775974025974</c:v>
                </c:pt>
                <c:pt idx="48">
                  <c:v>34.0258441558442</c:v>
                </c:pt>
                <c:pt idx="49">
                  <c:v>34.1740909090909</c:v>
                </c:pt>
                <c:pt idx="50">
                  <c:v>34.3223376623377</c:v>
                </c:pt>
                <c:pt idx="51">
                  <c:v>34.4705844155844</c:v>
                </c:pt>
                <c:pt idx="52">
                  <c:v>34.6188311688312</c:v>
                </c:pt>
                <c:pt idx="53">
                  <c:v>34.7670779220779</c:v>
                </c:pt>
                <c:pt idx="54">
                  <c:v>34.9153246753247</c:v>
                </c:pt>
                <c:pt idx="55">
                  <c:v>35.0635714285714</c:v>
                </c:pt>
                <c:pt idx="56">
                  <c:v>35.2118181818182</c:v>
                </c:pt>
                <c:pt idx="57">
                  <c:v>35.3600649350649</c:v>
                </c:pt>
                <c:pt idx="58">
                  <c:v>35.5083116883117</c:v>
                </c:pt>
                <c:pt idx="59">
                  <c:v>35.6565584415584</c:v>
                </c:pt>
                <c:pt idx="60">
                  <c:v>35.8048051948052</c:v>
                </c:pt>
                <c:pt idx="61">
                  <c:v>35.953051948052</c:v>
                </c:pt>
                <c:pt idx="62">
                  <c:v>36.1012987012987</c:v>
                </c:pt>
                <c:pt idx="63">
                  <c:v>36.2495454545455</c:v>
                </c:pt>
                <c:pt idx="64">
                  <c:v>36.3977922077922</c:v>
                </c:pt>
                <c:pt idx="65">
                  <c:v>36.546038961039</c:v>
                </c:pt>
                <c:pt idx="66">
                  <c:v>36.6942857142857</c:v>
                </c:pt>
                <c:pt idx="67">
                  <c:v>36.8425324675325</c:v>
                </c:pt>
                <c:pt idx="68">
                  <c:v>36.9907792207792</c:v>
                </c:pt>
                <c:pt idx="69">
                  <c:v>37.139025974026</c:v>
                </c:pt>
                <c:pt idx="70">
                  <c:v>37.2872727272727</c:v>
                </c:pt>
                <c:pt idx="71">
                  <c:v>37.4355194805195</c:v>
                </c:pt>
                <c:pt idx="72">
                  <c:v>37.5837662337663</c:v>
                </c:pt>
                <c:pt idx="73">
                  <c:v>37.732012987013</c:v>
                </c:pt>
                <c:pt idx="74">
                  <c:v>37.8802597402598</c:v>
                </c:pt>
                <c:pt idx="75">
                  <c:v>38.0285064935065</c:v>
                </c:pt>
                <c:pt idx="76">
                  <c:v>38.1767532467533</c:v>
                </c:pt>
                <c:pt idx="77">
                  <c:v>38.325</c:v>
                </c:pt>
                <c:pt idx="78">
                  <c:v>38.4732467532467</c:v>
                </c:pt>
                <c:pt idx="79">
                  <c:v>38.6214935064935</c:v>
                </c:pt>
                <c:pt idx="80">
                  <c:v>38.7697402597402</c:v>
                </c:pt>
                <c:pt idx="81">
                  <c:v>38.917987012987</c:v>
                </c:pt>
                <c:pt idx="82">
                  <c:v>39.0662337662338</c:v>
                </c:pt>
                <c:pt idx="83">
                  <c:v>39.2144805194805</c:v>
                </c:pt>
                <c:pt idx="84">
                  <c:v>39.3627272727273</c:v>
                </c:pt>
                <c:pt idx="85">
                  <c:v>39.510974025974</c:v>
                </c:pt>
                <c:pt idx="86">
                  <c:v>39.6592207792208</c:v>
                </c:pt>
                <c:pt idx="87">
                  <c:v>39.8074675324675</c:v>
                </c:pt>
                <c:pt idx="88">
                  <c:v>39.9557142857143</c:v>
                </c:pt>
                <c:pt idx="89">
                  <c:v>40.103961038961</c:v>
                </c:pt>
                <c:pt idx="90">
                  <c:v>40.2522077922078</c:v>
                </c:pt>
                <c:pt idx="91">
                  <c:v>40.4004545454546</c:v>
                </c:pt>
                <c:pt idx="92">
                  <c:v>40.5487012987013</c:v>
                </c:pt>
                <c:pt idx="93">
                  <c:v>40.6969480519481</c:v>
                </c:pt>
                <c:pt idx="94">
                  <c:v>40.8451948051948</c:v>
                </c:pt>
                <c:pt idx="95">
                  <c:v>40.9934415584416</c:v>
                </c:pt>
                <c:pt idx="96">
                  <c:v>41.1416883116883</c:v>
                </c:pt>
                <c:pt idx="97">
                  <c:v>41.2899350649351</c:v>
                </c:pt>
                <c:pt idx="98">
                  <c:v>41.4381818181818</c:v>
                </c:pt>
                <c:pt idx="99">
                  <c:v>41.5864285714286</c:v>
                </c:pt>
                <c:pt idx="100">
                  <c:v>41.7346753246753</c:v>
                </c:pt>
                <c:pt idx="101">
                  <c:v>41.8829220779221</c:v>
                </c:pt>
                <c:pt idx="102">
                  <c:v>42.0311688311688</c:v>
                </c:pt>
                <c:pt idx="103">
                  <c:v>42.1794155844156</c:v>
                </c:pt>
                <c:pt idx="104">
                  <c:v>42.3276623376623</c:v>
                </c:pt>
                <c:pt idx="105">
                  <c:v>42.4759090909091</c:v>
                </c:pt>
                <c:pt idx="106">
                  <c:v>42.6241558441558</c:v>
                </c:pt>
                <c:pt idx="107">
                  <c:v>42.7724025974026</c:v>
                </c:pt>
                <c:pt idx="108">
                  <c:v>42.9206493506493</c:v>
                </c:pt>
                <c:pt idx="109">
                  <c:v>43.0688961038961</c:v>
                </c:pt>
                <c:pt idx="110">
                  <c:v>43.2171428571428</c:v>
                </c:pt>
                <c:pt idx="111">
                  <c:v>43.3653896103896</c:v>
                </c:pt>
                <c:pt idx="112">
                  <c:v>43.5136363636364</c:v>
                </c:pt>
                <c:pt idx="113">
                  <c:v>43.6618831168831</c:v>
                </c:pt>
                <c:pt idx="114">
                  <c:v>43.8101298701299</c:v>
                </c:pt>
                <c:pt idx="115">
                  <c:v>43.9583766233766</c:v>
                </c:pt>
                <c:pt idx="116">
                  <c:v>44.1066233766234</c:v>
                </c:pt>
                <c:pt idx="117">
                  <c:v>44.2548701298701</c:v>
                </c:pt>
                <c:pt idx="118">
                  <c:v>44.4031168831169</c:v>
                </c:pt>
                <c:pt idx="119">
                  <c:v>44.5513636363637</c:v>
                </c:pt>
                <c:pt idx="120">
                  <c:v>44.6996103896104</c:v>
                </c:pt>
                <c:pt idx="121">
                  <c:v>44.8478571428572</c:v>
                </c:pt>
                <c:pt idx="122">
                  <c:v>44.9961038961039</c:v>
                </c:pt>
                <c:pt idx="123">
                  <c:v>45.1443506493507</c:v>
                </c:pt>
                <c:pt idx="124">
                  <c:v>45.2925974025974</c:v>
                </c:pt>
                <c:pt idx="125">
                  <c:v>45.4408441558442</c:v>
                </c:pt>
                <c:pt idx="126">
                  <c:v>45.5890909090909</c:v>
                </c:pt>
                <c:pt idx="127">
                  <c:v>45.7373376623377</c:v>
                </c:pt>
                <c:pt idx="128">
                  <c:v>45.8855844155844</c:v>
                </c:pt>
                <c:pt idx="129">
                  <c:v>46.0338311688312</c:v>
                </c:pt>
                <c:pt idx="130">
                  <c:v>46.1820779220779</c:v>
                </c:pt>
                <c:pt idx="131">
                  <c:v>46.3303246753247</c:v>
                </c:pt>
                <c:pt idx="132">
                  <c:v>46.4785714285714</c:v>
                </c:pt>
                <c:pt idx="133">
                  <c:v>46.6268181818182</c:v>
                </c:pt>
                <c:pt idx="134">
                  <c:v>46.7750649350649</c:v>
                </c:pt>
                <c:pt idx="135">
                  <c:v>46.9233116883117</c:v>
                </c:pt>
                <c:pt idx="136">
                  <c:v>47.0715584415584</c:v>
                </c:pt>
                <c:pt idx="137">
                  <c:v>47.2198051948052</c:v>
                </c:pt>
                <c:pt idx="138">
                  <c:v>47.3680519480519</c:v>
                </c:pt>
                <c:pt idx="139">
                  <c:v>47.5162987012987</c:v>
                </c:pt>
                <c:pt idx="140">
                  <c:v>47.6645454545455</c:v>
                </c:pt>
                <c:pt idx="141">
                  <c:v>47.8127922077922</c:v>
                </c:pt>
                <c:pt idx="142">
                  <c:v>47.961038961039</c:v>
                </c:pt>
                <c:pt idx="143">
                  <c:v>48.1092857142857</c:v>
                </c:pt>
                <c:pt idx="144">
                  <c:v>48.2575324675325</c:v>
                </c:pt>
                <c:pt idx="145">
                  <c:v>48.4057792207792</c:v>
                </c:pt>
                <c:pt idx="146">
                  <c:v>48.554025974026</c:v>
                </c:pt>
                <c:pt idx="147">
                  <c:v>48.7022727272727</c:v>
                </c:pt>
                <c:pt idx="148">
                  <c:v>48.8505194805195</c:v>
                </c:pt>
                <c:pt idx="149">
                  <c:v>48.9987662337663</c:v>
                </c:pt>
                <c:pt idx="150">
                  <c:v>49.147012987013</c:v>
                </c:pt>
                <c:pt idx="151">
                  <c:v>49.2952597402598</c:v>
                </c:pt>
                <c:pt idx="152">
                  <c:v>49.4435064935065</c:v>
                </c:pt>
                <c:pt idx="153">
                  <c:v>49.5917532467533</c:v>
                </c:pt>
                <c:pt idx="154">
                  <c:v>49.74</c:v>
                </c:pt>
              </c:numCache>
            </c:numRef>
          </c:val>
          <c:smooth val="0"/>
        </c:ser>
        <c:hiLowLines>
          <c:spPr>
            <a:ln w="0">
              <a:noFill/>
            </a:ln>
          </c:spPr>
        </c:hiLowLines>
        <c:marker val="0"/>
        <c:axId val="80089521"/>
        <c:axId val="23132665"/>
      </c:lineChart>
      <c:dateAx>
        <c:axId val="9876103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0073990"/>
        <c:auto val="1"/>
        <c:lblOffset val="100"/>
        <c:baseTimeUnit val="days"/>
      </c:dateAx>
      <c:valAx>
        <c:axId val="2007399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8761030"/>
        <c:crosses val="autoZero"/>
        <c:crossBetween val="between"/>
      </c:valAx>
      <c:dateAx>
        <c:axId val="8008952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3132665"/>
        <c:auto val="1"/>
        <c:lblOffset val="100"/>
        <c:baseTimeUnit val="days"/>
      </c:dateAx>
      <c:valAx>
        <c:axId val="23132665"/>
        <c:scaling>
          <c:orientation val="minMax"/>
        </c:scaling>
        <c:delete val="0"/>
        <c:axPos val="r"/>
        <c:title>
          <c:tx>
            <c:rich>
              <a:bodyPr rot="-5400000"/>
              <a:lstStyle/>
              <a:p>
                <a:pPr>
                  <a:defRPr sz="1300" b="0" u="none" strike="noStrike">
                    <a:uFillTx/>
                    <a:latin typeface="Arial"/>
                  </a:defRPr>
                </a:pPr>
                <a:r>
                  <a:rPr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008952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730800</xdr:colOff>
      <xdr:row>175</xdr:row>
      <xdr:rowOff>51840</xdr:rowOff>
    </xdr:to>
    <xdr:graphicFrame>
      <xdr:nvGraphicFramePr>
        <xdr:cNvPr id="1" name="Chart 1"/>
        <xdr:cNvGraphicFramePr/>
      </xdr:nvGraphicFramePr>
      <xdr:xfrm>
        <a:off x="0" y="31051440"/>
        <a:ext cx="4677840" cy="2337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14</xdr:col>
      <xdr:colOff>25560</xdr:colOff>
      <xdr:row>175</xdr:row>
      <xdr:rowOff>51840</xdr:rowOff>
    </xdr:to>
    <xdr:graphicFrame>
      <xdr:nvGraphicFramePr>
        <xdr:cNvPr id="2" name="Chart 2"/>
        <xdr:cNvGraphicFramePr/>
      </xdr:nvGraphicFramePr>
      <xdr:xfrm>
        <a:off x="6273000" y="31051440"/>
        <a:ext cx="4677840" cy="23378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189720</xdr:colOff>
      <xdr:row>175</xdr:row>
      <xdr:rowOff>51840</xdr:rowOff>
    </xdr:to>
    <xdr:graphicFrame>
      <xdr:nvGraphicFramePr>
        <xdr:cNvPr id="3" name="Chart 3"/>
        <xdr:cNvGraphicFramePr/>
      </xdr:nvGraphicFramePr>
      <xdr:xfrm>
        <a:off x="12475800" y="31051440"/>
        <a:ext cx="4677480" cy="23378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448560</xdr:colOff>
      <xdr:row>175</xdr:row>
      <xdr:rowOff>51840</xdr:rowOff>
    </xdr:to>
    <xdr:graphicFrame>
      <xdr:nvGraphicFramePr>
        <xdr:cNvPr id="4" name="Chart 4"/>
        <xdr:cNvGraphicFramePr/>
      </xdr:nvGraphicFramePr>
      <xdr:xfrm>
        <a:off x="18372960" y="31051440"/>
        <a:ext cx="4677840" cy="23378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730800</xdr:colOff>
      <xdr:row>191</xdr:row>
      <xdr:rowOff>51840</xdr:rowOff>
    </xdr:to>
    <xdr:graphicFrame>
      <xdr:nvGraphicFramePr>
        <xdr:cNvPr id="5" name="Chart 5"/>
        <xdr:cNvGraphicFramePr/>
      </xdr:nvGraphicFramePr>
      <xdr:xfrm>
        <a:off x="0" y="34099560"/>
        <a:ext cx="4677840" cy="23378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14</xdr:col>
      <xdr:colOff>25560</xdr:colOff>
      <xdr:row>191</xdr:row>
      <xdr:rowOff>51840</xdr:rowOff>
    </xdr:to>
    <xdr:graphicFrame>
      <xdr:nvGraphicFramePr>
        <xdr:cNvPr id="6" name="Chart 6"/>
        <xdr:cNvGraphicFramePr/>
      </xdr:nvGraphicFramePr>
      <xdr:xfrm>
        <a:off x="6273000" y="34099560"/>
        <a:ext cx="4677840" cy="23378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189720</xdr:colOff>
      <xdr:row>191</xdr:row>
      <xdr:rowOff>51840</xdr:rowOff>
    </xdr:to>
    <xdr:graphicFrame>
      <xdr:nvGraphicFramePr>
        <xdr:cNvPr id="7" name="Chart 7"/>
        <xdr:cNvGraphicFramePr/>
      </xdr:nvGraphicFramePr>
      <xdr:xfrm>
        <a:off x="12475800" y="34099560"/>
        <a:ext cx="4677480" cy="23378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448560</xdr:colOff>
      <xdr:row>191</xdr:row>
      <xdr:rowOff>51840</xdr:rowOff>
    </xdr:to>
    <xdr:graphicFrame>
      <xdr:nvGraphicFramePr>
        <xdr:cNvPr id="8" name="Chart 8"/>
        <xdr:cNvGraphicFramePr/>
      </xdr:nvGraphicFramePr>
      <xdr:xfrm>
        <a:off x="18372960" y="34099560"/>
        <a:ext cx="4677840" cy="23378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730800</xdr:colOff>
      <xdr:row>207</xdr:row>
      <xdr:rowOff>51840</xdr:rowOff>
    </xdr:to>
    <xdr:graphicFrame>
      <xdr:nvGraphicFramePr>
        <xdr:cNvPr id="9" name="Chart 9"/>
        <xdr:cNvGraphicFramePr/>
      </xdr:nvGraphicFramePr>
      <xdr:xfrm>
        <a:off x="0" y="37147680"/>
        <a:ext cx="4677840" cy="233784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14</xdr:col>
      <xdr:colOff>25560</xdr:colOff>
      <xdr:row>207</xdr:row>
      <xdr:rowOff>51840</xdr:rowOff>
    </xdr:to>
    <xdr:graphicFrame>
      <xdr:nvGraphicFramePr>
        <xdr:cNvPr id="10" name="Chart 10"/>
        <xdr:cNvGraphicFramePr/>
      </xdr:nvGraphicFramePr>
      <xdr:xfrm>
        <a:off x="6273000" y="37147680"/>
        <a:ext cx="4677840" cy="233784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189720</xdr:colOff>
      <xdr:row>207</xdr:row>
      <xdr:rowOff>51840</xdr:rowOff>
    </xdr:to>
    <xdr:graphicFrame>
      <xdr:nvGraphicFramePr>
        <xdr:cNvPr id="11" name="Chart 11"/>
        <xdr:cNvGraphicFramePr/>
      </xdr:nvGraphicFramePr>
      <xdr:xfrm>
        <a:off x="12475800" y="37147680"/>
        <a:ext cx="4677480" cy="233784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448560</xdr:colOff>
      <xdr:row>207</xdr:row>
      <xdr:rowOff>51840</xdr:rowOff>
    </xdr:to>
    <xdr:graphicFrame>
      <xdr:nvGraphicFramePr>
        <xdr:cNvPr id="12" name="Chart 12"/>
        <xdr:cNvGraphicFramePr/>
      </xdr:nvGraphicFramePr>
      <xdr:xfrm>
        <a:off x="18372960" y="37147680"/>
        <a:ext cx="4677840" cy="233784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730800</xdr:colOff>
      <xdr:row>223</xdr:row>
      <xdr:rowOff>51840</xdr:rowOff>
    </xdr:to>
    <xdr:graphicFrame>
      <xdr:nvGraphicFramePr>
        <xdr:cNvPr id="13" name="Chart 13"/>
        <xdr:cNvGraphicFramePr/>
      </xdr:nvGraphicFramePr>
      <xdr:xfrm>
        <a:off x="0" y="40195440"/>
        <a:ext cx="4677840" cy="233784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14</xdr:col>
      <xdr:colOff>25560</xdr:colOff>
      <xdr:row>223</xdr:row>
      <xdr:rowOff>51840</xdr:rowOff>
    </xdr:to>
    <xdr:graphicFrame>
      <xdr:nvGraphicFramePr>
        <xdr:cNvPr id="14" name="Chart 14"/>
        <xdr:cNvGraphicFramePr/>
      </xdr:nvGraphicFramePr>
      <xdr:xfrm>
        <a:off x="6273000" y="40195440"/>
        <a:ext cx="4677840" cy="233784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189720</xdr:colOff>
      <xdr:row>223</xdr:row>
      <xdr:rowOff>51840</xdr:rowOff>
    </xdr:to>
    <xdr:graphicFrame>
      <xdr:nvGraphicFramePr>
        <xdr:cNvPr id="15" name="Chart 15"/>
        <xdr:cNvGraphicFramePr/>
      </xdr:nvGraphicFramePr>
      <xdr:xfrm>
        <a:off x="12475800" y="40195440"/>
        <a:ext cx="4677480" cy="233784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448560</xdr:colOff>
      <xdr:row>223</xdr:row>
      <xdr:rowOff>51840</xdr:rowOff>
    </xdr:to>
    <xdr:graphicFrame>
      <xdr:nvGraphicFramePr>
        <xdr:cNvPr id="16" name="Chart 16"/>
        <xdr:cNvGraphicFramePr/>
      </xdr:nvGraphicFramePr>
      <xdr:xfrm>
        <a:off x="18372960" y="40195440"/>
        <a:ext cx="4677840" cy="233784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730800</xdr:colOff>
      <xdr:row>239</xdr:row>
      <xdr:rowOff>51840</xdr:rowOff>
    </xdr:to>
    <xdr:graphicFrame>
      <xdr:nvGraphicFramePr>
        <xdr:cNvPr id="17" name="Chart 17"/>
        <xdr:cNvGraphicFramePr/>
      </xdr:nvGraphicFramePr>
      <xdr:xfrm>
        <a:off x="0" y="43243560"/>
        <a:ext cx="4677840" cy="233784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14</xdr:col>
      <xdr:colOff>25560</xdr:colOff>
      <xdr:row>239</xdr:row>
      <xdr:rowOff>51840</xdr:rowOff>
    </xdr:to>
    <xdr:graphicFrame>
      <xdr:nvGraphicFramePr>
        <xdr:cNvPr id="18" name="Chart 18"/>
        <xdr:cNvGraphicFramePr/>
      </xdr:nvGraphicFramePr>
      <xdr:xfrm>
        <a:off x="6273000" y="43243560"/>
        <a:ext cx="4677840" cy="233784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wsDr>
</file>

<file path=xl/tables/table1.xml><?xml version="1.0" encoding="utf-8"?>
<table xmlns="http://schemas.openxmlformats.org/spreadsheetml/2006/main" id="1" name="CurrentPositionsTable" displayName="CurrentPositionsTable" ref="A2:M39" headerRowCount="1" totalsRowCount="0" totalsRowShown="0">
  <autoFilter ref="A2:M39"/>
  <tableColumns count="13">
    <tableColumn id="1" name="Account"/>
    <tableColumn id="2" name="Ticker"/>
    <tableColumn id="3" name="Description"/>
    <tableColumn id="4" name="Asset Class"/>
    <tableColumn id="5" name="Quantity"/>
    <tableColumn id="6" name="Price ($)"/>
    <tableColumn id="7" name="Market Value ($)"/>
    <tableColumn id="8" name="Cost Basis ($)"/>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27" headerRowCount="1" totalsRowCount="0" totalsRowShown="0">
  <autoFilter ref="A1:J27"/>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R27" headerRowCount="1" totalsRowCount="0" totalsRowShown="0">
  <autoFilter ref="A2:R27"/>
  <tableColumns count="18">
    <tableColumn id="1" name="Ticker"/>
    <tableColumn id="2" name="Company"/>
    <tableColumn id="3" name="Rule 5&#10;Composite&#10;≥65?"/>
    <tableColumn id="4" name="Rule 6&#10;Tier1&#10;≥3.0?"/>
    <tableColumn id="5" name="Rule 7&#10;No Tier1&#10;=1?"/>
    <tableColumn id="6" name="Rule 8&#10;Above/reclaimed&#10;200-wk MA?&#10;(Y/N)"/>
    <tableColumn id="7" name="Rule 9&#10;Monthly MACD&#10;positive/turning?&#10;(Y/N)"/>
    <tableColumn id="8" name="Staging&#10;Result&#10;(Rules 8-9)"/>
    <tableColumn id="9" name="Rule 10&#10;Binary event&#10;risk present?&#10;(Y/N)"/>
    <tableColumn id="10" name="Risk included&#10;in thesis?&#10;(Y/N)"/>
    <tableColumn id="11" name="Rule 10&#10;Result"/>
    <tableColumn id="12" name="Rule 11&#10;Bear Case&#10;≥0%?"/>
    <tableColumn id="13" name="Rule 12&#10;Scenario tags&#10;OK?"/>
    <tableColumn id="14" name="P/FCF&#10;(current)"/>
    <tableColumn id="15" name="Consensus FCF&#10;growth, 2-yr&#10;annualized"/>
    <tableColumn id="16" name="Rule 13&#10;Valuation&#10;Ceiling"/>
    <tableColumn id="17" name="ENTRY&#10;AUTHORIZED?"/>
    <tableColumn id="18"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P42" headerRowCount="1" totalsRowCount="0" totalsRowShown="0">
  <autoFilter ref="A2:P42"/>
  <tableColumns count="16">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Days Since&#10;Last Score"/>
    <tableColumn id="15" name="Recheck Status"/>
    <tableColumn id="16" name="Notes"/>
  </tableColumns>
</table>
</file>

<file path=xl/tables/table7.xml><?xml version="1.0" encoding="utf-8"?>
<table xmlns="http://schemas.openxmlformats.org/spreadsheetml/2006/main" id="7" name="PerformanceTrackingTable" displayName="PerformanceTrackingTable" ref="A2:Q33" headerRowCount="1" totalsRowCount="0" totalsRowShown="0">
  <autoFilter ref="A2:Q33"/>
  <tableColumns count="17">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Exited)"/>
    <tableColumn id="10" name="Exit&#10;Date"/>
    <tableColumn id="11" name="Exit&#10;Price"/>
    <tableColumn id="12" name="Exit&#10;Reason"/>
    <tableColumn id="13" name="Current/&#10;Exit Price"/>
    <tableColumn id="14" name="SPY Price&#10;(current/exit)"/>
    <tableColumn id="15" name="Total Return&#10;Since Entry"/>
    <tableColumn id="16" name="SPY Return&#10;Same Period"/>
    <tableColumn id="17" name="Excess&#10;Return"/>
  </tableColumns>
</table>
</file>

<file path=xl/tables/table8.xml><?xml version="1.0" encoding="utf-8"?>
<table xmlns="http://schemas.openxmlformats.org/spreadsheetml/2006/main" id="8" name="WatchListTable" displayName="WatchListTable" ref="A2:L22" headerRowCount="1" totalsRowCount="0" totalsRowShown="0">
  <autoFilter ref="A2:L22"/>
  <tableColumns count="12">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10.xml.rels><?xml version="1.0" encoding="UTF-8"?>
<Relationships xmlns="http://schemas.openxmlformats.org/package/2006/relationships"><Relationship Id="rId1" Type="http://schemas.openxmlformats.org/officeDocument/2006/relationships/drawing" Target="../drawings/drawing1.x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8.xml"/>
</Relationships>
</file>

<file path=xl/worksheets/_rels/sheet16.xml.rels><?xml version="1.0" encoding="UTF-8"?>
<Relationships xmlns="http://schemas.openxmlformats.org/package/2006/relationships"><Relationship Id="rId1" Type="http://schemas.openxmlformats.org/officeDocument/2006/relationships/table" Target="../tables/table7.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0"/>
  <sheetViews>
    <sheetView showFormulas="false" showGridLines="false" showRowColHeaders="true" showZeros="true" rightToLeft="false" tabSelected="false" showOutlineSymbols="true" defaultGridColor="true" view="normal" topLeftCell="A2"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100"/>
  </cols>
  <sheetData>
    <row r="1" customFormat="false" ht="21.75" hidden="false" customHeight="true" outlineLevel="0" collapsed="false">
      <c r="A1" s="2" t="s">
        <v>0</v>
      </c>
    </row>
    <row r="2" customFormat="false" ht="13.5" hidden="false" customHeight="true" outlineLevel="0" collapsed="false">
      <c r="A2" s="3"/>
    </row>
    <row r="3" customFormat="false" ht="13.5" hidden="false" customHeight="true" outlineLevel="0" collapsed="false">
      <c r="A3" s="4" t="s">
        <v>1</v>
      </c>
    </row>
    <row r="4" customFormat="false" ht="13.5" hidden="false" customHeight="true" outlineLevel="0" collapsed="false">
      <c r="A4" s="3" t="s">
        <v>2</v>
      </c>
    </row>
    <row r="5" customFormat="false" ht="13.5" hidden="false" customHeight="true" outlineLevel="0" collapsed="false">
      <c r="A5" s="3" t="s">
        <v>3</v>
      </c>
    </row>
    <row r="6" customFormat="false" ht="13.5" hidden="false" customHeight="true" outlineLevel="0" collapsed="false">
      <c r="A6" s="3"/>
    </row>
    <row r="7" customFormat="false" ht="13.5" hidden="false" customHeight="true" outlineLevel="0" collapsed="false">
      <c r="A7" s="5" t="s">
        <v>4</v>
      </c>
    </row>
    <row r="8" customFormat="false" ht="13.5" hidden="false" customHeight="true" outlineLevel="0" collapsed="false">
      <c r="A8" s="3" t="s">
        <v>5</v>
      </c>
    </row>
    <row r="9" customFormat="false" ht="13.5" hidden="false" customHeight="true" outlineLevel="0" collapsed="false">
      <c r="A9" s="3" t="s">
        <v>6</v>
      </c>
    </row>
    <row r="10" customFormat="false" ht="13.5" hidden="false" customHeight="true" outlineLevel="0" collapsed="false">
      <c r="A10" s="3" t="s">
        <v>7</v>
      </c>
    </row>
    <row r="11" customFormat="false" ht="13.5" hidden="false" customHeight="true" outlineLevel="0" collapsed="false">
      <c r="A11" s="3" t="s">
        <v>8</v>
      </c>
    </row>
    <row r="12" customFormat="false" ht="13.5" hidden="false" customHeight="true" outlineLevel="0" collapsed="false">
      <c r="A12" s="3" t="s">
        <v>9</v>
      </c>
    </row>
    <row r="13" customFormat="false" ht="13.5" hidden="false" customHeight="true" outlineLevel="0" collapsed="false">
      <c r="A13" s="3" t="s">
        <v>10</v>
      </c>
    </row>
    <row r="14" customFormat="false" ht="13.5" hidden="false" customHeight="true" outlineLevel="0" collapsed="false">
      <c r="A14" s="3" t="s">
        <v>11</v>
      </c>
    </row>
    <row r="15" customFormat="false" ht="13.5" hidden="false" customHeight="true" outlineLevel="0" collapsed="false">
      <c r="A15" s="3" t="s">
        <v>12</v>
      </c>
    </row>
    <row r="16" customFormat="false" ht="13.5" hidden="false" customHeight="true" outlineLevel="0" collapsed="false">
      <c r="A16" s="3" t="s">
        <v>13</v>
      </c>
    </row>
    <row r="17" customFormat="false" ht="13.5" hidden="false" customHeight="true" outlineLevel="0" collapsed="false">
      <c r="A17" s="3" t="s">
        <v>14</v>
      </c>
    </row>
    <row r="18" customFormat="false" ht="13.5" hidden="false" customHeight="true" outlineLevel="0" collapsed="false">
      <c r="A18" s="3"/>
    </row>
    <row r="19" customFormat="false" ht="13.5" hidden="false" customHeight="true" outlineLevel="0" collapsed="false">
      <c r="A19" s="5" t="s">
        <v>15</v>
      </c>
    </row>
    <row r="20" customFormat="false" ht="13.5" hidden="false" customHeight="true" outlineLevel="0" collapsed="false">
      <c r="A20" s="3" t="s">
        <v>16</v>
      </c>
    </row>
    <row r="21" customFormat="false" ht="13.5" hidden="false" customHeight="true" outlineLevel="0" collapsed="false">
      <c r="A21" s="3" t="s">
        <v>17</v>
      </c>
    </row>
    <row r="22" customFormat="false" ht="13.5" hidden="false" customHeight="true" outlineLevel="0" collapsed="false">
      <c r="A22" s="3" t="s">
        <v>18</v>
      </c>
    </row>
    <row r="23" customFormat="false" ht="13.5" hidden="false" customHeight="true" outlineLevel="0" collapsed="false">
      <c r="A23" s="3" t="s">
        <v>19</v>
      </c>
    </row>
    <row r="24" customFormat="false" ht="13.5" hidden="false" customHeight="true" outlineLevel="0" collapsed="false">
      <c r="A24" s="3" t="s">
        <v>20</v>
      </c>
    </row>
    <row r="25" customFormat="false" ht="13.5" hidden="false" customHeight="true" outlineLevel="0" collapsed="false">
      <c r="A25" s="3" t="s">
        <v>21</v>
      </c>
    </row>
    <row r="26" customFormat="false" ht="13.5" hidden="false" customHeight="true" outlineLevel="0" collapsed="false">
      <c r="A26" s="3" t="s">
        <v>22</v>
      </c>
    </row>
    <row r="27" customFormat="false" ht="13.5" hidden="false" customHeight="true" outlineLevel="0" collapsed="false">
      <c r="A27" s="3" t="s">
        <v>23</v>
      </c>
    </row>
    <row r="28" customFormat="false" ht="13.5" hidden="false" customHeight="true" outlineLevel="0" collapsed="false">
      <c r="A28" s="3" t="s">
        <v>24</v>
      </c>
    </row>
    <row r="29" customFormat="false" ht="13.5" hidden="false" customHeight="true" outlineLevel="0" collapsed="false">
      <c r="A29" s="3"/>
    </row>
    <row r="30" customFormat="false" ht="13.5" hidden="false" customHeight="true" outlineLevel="0" collapsed="false">
      <c r="A30" s="5" t="s">
        <v>25</v>
      </c>
    </row>
    <row r="31" customFormat="false" ht="13.5" hidden="false" customHeight="true" outlineLevel="0" collapsed="false">
      <c r="A31" s="3" t="s">
        <v>26</v>
      </c>
    </row>
    <row r="32" customFormat="false" ht="13.5" hidden="false" customHeight="true" outlineLevel="0" collapsed="false">
      <c r="A32" s="3" t="s">
        <v>27</v>
      </c>
    </row>
    <row r="34" customFormat="false" ht="15" hidden="false" customHeight="true" outlineLevel="0" collapsed="false">
      <c r="A34" s="6" t="s">
        <v>28</v>
      </c>
    </row>
    <row r="35" customFormat="false" ht="15" hidden="false" customHeight="true" outlineLevel="0" collapsed="false">
      <c r="A35" s="7" t="s">
        <v>29</v>
      </c>
    </row>
    <row r="36" customFormat="false" ht="15" hidden="false" customHeight="true" outlineLevel="0" collapsed="false">
      <c r="A36" s="3"/>
    </row>
    <row r="37" customFormat="false" ht="15" hidden="false" customHeight="true" outlineLevel="0" collapsed="false">
      <c r="A37" s="5" t="s">
        <v>30</v>
      </c>
    </row>
    <row r="38" customFormat="false" ht="15" hidden="false" customHeight="true" outlineLevel="0" collapsed="false">
      <c r="A38" s="3" t="s">
        <v>31</v>
      </c>
    </row>
    <row r="39" customFormat="false" ht="15" hidden="false" customHeight="true" outlineLevel="0" collapsed="false">
      <c r="A39" s="3" t="s">
        <v>32</v>
      </c>
    </row>
    <row r="40" customFormat="false" ht="15" hidden="false" customHeight="true" outlineLevel="0" collapsed="false">
      <c r="A40" s="3" t="s">
        <v>33</v>
      </c>
    </row>
    <row r="41" customFormat="false" ht="15" hidden="false" customHeight="true" outlineLevel="0" collapsed="false">
      <c r="A41" s="3" t="s">
        <v>34</v>
      </c>
    </row>
    <row r="42" customFormat="false" ht="15" hidden="false" customHeight="true" outlineLevel="0" collapsed="false">
      <c r="A42" s="3" t="s">
        <v>35</v>
      </c>
    </row>
    <row r="43" customFormat="false" ht="15" hidden="false" customHeight="true" outlineLevel="0" collapsed="false">
      <c r="A43" s="3" t="s">
        <v>36</v>
      </c>
    </row>
    <row r="44" customFormat="false" ht="15" hidden="false" customHeight="true" outlineLevel="0" collapsed="false">
      <c r="A44" s="3" t="s">
        <v>37</v>
      </c>
    </row>
    <row r="45" customFormat="false" ht="15" hidden="false" customHeight="true" outlineLevel="0" collapsed="false">
      <c r="A45" s="3" t="s">
        <v>38</v>
      </c>
    </row>
    <row r="46" customFormat="false" ht="15" hidden="false" customHeight="true" outlineLevel="0" collapsed="false">
      <c r="A46" s="3" t="s">
        <v>39</v>
      </c>
    </row>
    <row r="47" customFormat="false" ht="15" hidden="false" customHeight="true" outlineLevel="0" collapsed="false">
      <c r="A47" s="3" t="s">
        <v>40</v>
      </c>
    </row>
    <row r="48" customFormat="false" ht="15" hidden="false" customHeight="true" outlineLevel="0" collapsed="false">
      <c r="A48" s="3" t="s">
        <v>41</v>
      </c>
    </row>
    <row r="49" customFormat="false" ht="15" hidden="false" customHeight="true" outlineLevel="0" collapsed="false">
      <c r="A49" s="3" t="s">
        <v>42</v>
      </c>
    </row>
    <row r="50" customFormat="false" ht="15" hidden="false" customHeight="true" outlineLevel="0" collapsed="false">
      <c r="A50" s="3" t="s">
        <v>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J19" activeCellId="0" sqref="J19"/>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4"/>
    <col collapsed="false" customWidth="true" hidden="false" outlineLevel="0" max="6" min="6" style="1" width="8"/>
  </cols>
  <sheetData>
    <row r="1" customFormat="false" ht="19.5" hidden="false" customHeight="true" outlineLevel="0" collapsed="false">
      <c r="A1" s="8" t="s">
        <v>44</v>
      </c>
      <c r="B1" s="8"/>
      <c r="C1" s="8"/>
      <c r="D1" s="8"/>
      <c r="E1" s="8"/>
      <c r="F1" s="8"/>
    </row>
    <row r="2" customFormat="false" ht="15" hidden="false" customHeight="true" outlineLevel="0" collapsed="false">
      <c r="A2" s="9" t="s">
        <v>45</v>
      </c>
      <c r="B2" s="9"/>
      <c r="C2" s="9"/>
      <c r="D2" s="9"/>
      <c r="E2" s="9"/>
      <c r="F2" s="9"/>
    </row>
    <row r="4" customFormat="false" ht="15" hidden="false" customHeight="true" outlineLevel="0" collapsed="false">
      <c r="A4" s="10" t="s">
        <v>46</v>
      </c>
      <c r="B4" s="10"/>
      <c r="C4" s="10"/>
      <c r="D4" s="10"/>
      <c r="E4" s="10"/>
      <c r="F4" s="10"/>
    </row>
    <row r="5" customFormat="false" ht="15" hidden="false" customHeight="true" outlineLevel="0" collapsed="false">
      <c r="A5" s="11" t="s">
        <v>47</v>
      </c>
      <c r="B5" s="11"/>
      <c r="C5" s="11"/>
      <c r="D5" s="11"/>
      <c r="E5" s="12" t="n">
        <f aca="false">COUNTIF('Watch List Tracker'!K3:K22,"*SELL WITHIN 30 DAYS*")</f>
        <v>0</v>
      </c>
      <c r="F5" s="12"/>
    </row>
    <row r="6" customFormat="false" ht="15" hidden="false" customHeight="true" outlineLevel="0" collapsed="false">
      <c r="A6" s="11" t="s">
        <v>48</v>
      </c>
      <c r="B6" s="11"/>
      <c r="C6" s="11"/>
      <c r="D6" s="11"/>
      <c r="E6" s="12" t="n">
        <f aca="false">COUNTIF('Watch List Tracker'!K3:K22,"DEADLINE APPROACHING")</f>
        <v>0</v>
      </c>
      <c r="F6" s="12"/>
    </row>
    <row r="7" customFormat="false" ht="15" hidden="false" customHeight="true" outlineLevel="0" collapsed="false">
      <c r="A7" s="11" t="s">
        <v>49</v>
      </c>
      <c r="B7" s="11"/>
      <c r="C7" s="11"/>
      <c r="D7" s="11"/>
      <c r="E7" s="12" t="n">
        <f aca="false">COUNTIF('Watch List Tracker'!K3:K22,"*RECOVERED*")</f>
        <v>0</v>
      </c>
      <c r="F7" s="12"/>
    </row>
    <row r="9" customFormat="false" ht="15" hidden="false" customHeight="true" outlineLevel="0" collapsed="false">
      <c r="A9" s="10" t="s">
        <v>50</v>
      </c>
      <c r="B9" s="10"/>
      <c r="C9" s="10"/>
      <c r="D9" s="10"/>
      <c r="E9" s="10"/>
      <c r="F9" s="10"/>
    </row>
    <row r="10" customFormat="false" ht="15" hidden="false" customHeight="true" outlineLevel="0" collapsed="false">
      <c r="A10" s="11" t="s">
        <v>51</v>
      </c>
      <c r="B10" s="11"/>
      <c r="C10" s="11"/>
      <c r="D10" s="11"/>
      <c r="E10" s="12" t="n">
        <f aca="false">COUNTIF('Holding Monitor'!AB4:AB23,"*ACTION REQUIRED*")</f>
        <v>0</v>
      </c>
      <c r="F10" s="12"/>
    </row>
    <row r="11" customFormat="false" ht="15" hidden="false" customHeight="true" outlineLevel="0" collapsed="false">
      <c r="A11" s="11" t="s">
        <v>52</v>
      </c>
      <c r="B11" s="11"/>
      <c r="C11" s="11"/>
      <c r="D11" s="11"/>
      <c r="E11" s="12" t="n">
        <f aca="false">COUNTIF('Holding Monitor'!AB4:AB23,"*Hold Through*")</f>
        <v>0</v>
      </c>
      <c r="F11" s="12"/>
    </row>
    <row r="13" customFormat="false" ht="15" hidden="false" customHeight="true" outlineLevel="0" collapsed="false">
      <c r="A13" s="10" t="s">
        <v>53</v>
      </c>
      <c r="B13" s="10"/>
      <c r="C13" s="10"/>
      <c r="D13" s="10"/>
      <c r="E13" s="10"/>
      <c r="F13" s="10"/>
    </row>
    <row r="14" customFormat="false" ht="15" hidden="false" customHeight="true" outlineLevel="0" collapsed="false">
      <c r="A14" s="11" t="s">
        <v>54</v>
      </c>
      <c r="B14" s="11"/>
      <c r="C14" s="11"/>
      <c r="D14" s="11"/>
      <c r="E14" s="13" t="str">
        <f aca="false">'Correlation Matrix'!B17</f>
        <v/>
      </c>
      <c r="F14" s="13"/>
    </row>
    <row r="15" customFormat="false" ht="15" hidden="false" customHeight="true" outlineLevel="0" collapsed="false">
      <c r="A15" s="11" t="s">
        <v>55</v>
      </c>
      <c r="B15" s="11"/>
      <c r="C15" s="11"/>
      <c r="D15" s="11"/>
      <c r="E15" s="14" t="n">
        <f aca="false">'Correlation Matrix'!B16</f>
        <v>0.17</v>
      </c>
      <c r="F15" s="14"/>
    </row>
    <row r="17" customFormat="false" ht="15" hidden="false" customHeight="true" outlineLevel="0" collapsed="false">
      <c r="A17" s="10" t="s">
        <v>56</v>
      </c>
      <c r="B17" s="10"/>
      <c r="C17" s="10"/>
      <c r="D17" s="10"/>
      <c r="E17" s="10"/>
      <c r="F17" s="10"/>
    </row>
    <row r="18" customFormat="false" ht="15" hidden="false" customHeight="true" outlineLevel="0" collapsed="false">
      <c r="A18" s="11" t="s">
        <v>57</v>
      </c>
      <c r="B18" s="11"/>
      <c r="C18" s="11"/>
      <c r="D18" s="11"/>
      <c r="E18" s="12" t="str">
        <f aca="false">IFERROR(INDEX('Portfolio Drawdown Log'!E3:E42,COUNT('Portfolio Drawdown Log'!D3:D42)),"No entries yet")</f>
        <v>Normal</v>
      </c>
      <c r="F18" s="12"/>
    </row>
    <row r="19" customFormat="false" ht="15" hidden="false" customHeight="true" outlineLevel="0" collapsed="false">
      <c r="A19" s="11" t="s">
        <v>58</v>
      </c>
      <c r="B19" s="11"/>
      <c r="C19" s="11"/>
      <c r="D19" s="11"/>
      <c r="E19" s="15" t="n">
        <f aca="false">IFERROR(INDEX('Portfolio Drawdown Log'!D3:D42,COUNT('Portfolio Drawdown Log'!D3:D42)),"")</f>
        <v>0</v>
      </c>
      <c r="F19" s="15"/>
    </row>
    <row r="20" customFormat="false" ht="15" hidden="false" customHeight="true" outlineLevel="0" collapsed="false">
      <c r="A20" s="11" t="s">
        <v>59</v>
      </c>
      <c r="B20" s="11"/>
      <c r="C20" s="11"/>
      <c r="D20" s="11"/>
      <c r="E20" s="12" t="str">
        <f aca="false">IFERROR(INDEX('Portfolio Drawdown Log'!F3:F42,COUNT('Portfolio Drawdown Log'!D3:D42)),"")</f>
        <v>5-15%</v>
      </c>
      <c r="F20" s="12"/>
    </row>
    <row r="22" customFormat="false" ht="15" hidden="false" customHeight="true" outlineLevel="0" collapsed="false">
      <c r="A22" s="10" t="s">
        <v>60</v>
      </c>
      <c r="B22" s="10"/>
      <c r="C22" s="10"/>
      <c r="D22" s="10"/>
      <c r="E22" s="10"/>
      <c r="F22" s="10"/>
    </row>
    <row r="23" customFormat="false" ht="15" hidden="false" customHeight="true" outlineLevel="0" collapsed="false">
      <c r="A23" s="11" t="s">
        <v>61</v>
      </c>
      <c r="B23" s="11"/>
      <c r="C23" s="11"/>
      <c r="D23" s="11"/>
      <c r="E23" s="12" t="n">
        <f aca="false">COUNTIF(Scoring!AH3:AH27,"FAIL")</f>
        <v>9</v>
      </c>
      <c r="F23" s="12"/>
    </row>
    <row r="24" customFormat="false" ht="15" hidden="false" customHeight="true" outlineLevel="0" collapsed="false">
      <c r="A24" s="11" t="s">
        <v>62</v>
      </c>
      <c r="B24" s="11"/>
      <c r="C24" s="11"/>
      <c r="D24" s="11"/>
      <c r="E24" s="12" t="n">
        <f aca="false">COUNTIF(Scoring!AJ3:AJ27,"AVOID")</f>
        <v>9</v>
      </c>
      <c r="F24" s="12"/>
    </row>
    <row r="25" customFormat="false" ht="15" hidden="false" customHeight="true" outlineLevel="0" collapsed="false">
      <c r="A25" s="11" t="s">
        <v>63</v>
      </c>
      <c r="B25" s="11"/>
      <c r="C25" s="11"/>
      <c r="D25" s="11"/>
      <c r="E25" s="12" t="n">
        <f aca="false">COUNTIF(Scoring!AI3:AI27,"REVIEW")</f>
        <v>7</v>
      </c>
      <c r="F25" s="12"/>
    </row>
    <row r="26" customFormat="false" ht="15" hidden="false" customHeight="true" outlineLevel="0" collapsed="false">
      <c r="A26" s="11" t="s">
        <v>64</v>
      </c>
      <c r="B26" s="11"/>
      <c r="C26" s="11"/>
      <c r="D26" s="11"/>
      <c r="E26" s="12" t="n">
        <f aca="false">COUNTIF(Scoring!AK3:AK27,"CAP AT BUY")</f>
        <v>0</v>
      </c>
      <c r="F26" s="12"/>
    </row>
    <row r="27" customFormat="false" ht="15" hidden="false" customHeight="true" outlineLevel="0" collapsed="false">
      <c r="A27" s="10" t="s">
        <v>65</v>
      </c>
      <c r="B27" s="10"/>
      <c r="C27" s="10"/>
      <c r="D27" s="10"/>
      <c r="E27" s="10"/>
      <c r="F27" s="10"/>
    </row>
    <row r="28" customFormat="false" ht="15" hidden="false" customHeight="true" outlineLevel="0" collapsed="false">
      <c r="A28" s="11" t="s">
        <v>66</v>
      </c>
      <c r="B28" s="11"/>
      <c r="C28" s="11"/>
      <c r="D28" s="11"/>
      <c r="E28" s="12" t="n">
        <f aca="false">COUNTIF('Entry Checklist'!Q3:Q27,"NO*")</f>
        <v>0</v>
      </c>
      <c r="F28" s="12"/>
    </row>
    <row r="29" customFormat="false" ht="15" hidden="false" customHeight="true" outlineLevel="0" collapsed="false">
      <c r="A29" s="11" t="s">
        <v>67</v>
      </c>
      <c r="B29" s="11"/>
      <c r="C29" s="11"/>
      <c r="D29" s="11"/>
      <c r="E29" s="12" t="n">
        <f aca="false">COUNTIF('Entry Checklist'!H3:H27,"*50%*")</f>
        <v>0</v>
      </c>
      <c r="F29" s="12"/>
    </row>
    <row r="31" customFormat="false" ht="15" hidden="false" customHeight="false" outlineLevel="0" collapsed="false">
      <c r="A31" s="10" t="s">
        <v>68</v>
      </c>
      <c r="B31" s="10"/>
      <c r="C31" s="10"/>
      <c r="D31" s="10"/>
      <c r="E31" s="10"/>
      <c r="F31" s="10"/>
    </row>
    <row r="32" customFormat="false" ht="15" hidden="false" customHeight="false" outlineLevel="0" collapsed="false">
      <c r="A32" s="11" t="s">
        <v>69</v>
      </c>
      <c r="B32" s="11"/>
      <c r="C32" s="11"/>
      <c r="D32" s="11"/>
      <c r="E32" s="12" t="n">
        <f aca="false">COUNTIF(Scoring!AO3:AO60,"LOW CONF")</f>
        <v>0</v>
      </c>
      <c r="F32" s="12"/>
    </row>
    <row r="33" customFormat="false" ht="15" hidden="false" customHeight="false" outlineLevel="0" collapsed="false">
      <c r="A33" s="11" t="s">
        <v>70</v>
      </c>
      <c r="B33" s="11"/>
      <c r="C33" s="11"/>
      <c r="D33" s="11"/>
      <c r="E33" s="12" t="n">
        <f aca="false">COUNTIF(Scoring!AR3:AR60,"Increased")</f>
        <v>0</v>
      </c>
      <c r="F33" s="12"/>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conditionalFormatting sqref="E32:E33">
    <cfRule type="cellIs" priority="6" operator="greaterThan"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6796875" defaultRowHeight="15" customHeight="false" zeroHeight="false" outlineLevelRow="0" outlineLevelCol="0"/>
  <cols>
    <col collapsed="false" customWidth="true" hidden="false" outlineLevel="0" max="1" min="1" style="1" width="11"/>
    <col collapsed="false" customWidth="true" hidden="false" outlineLevel="0" max="2" min="2" style="1" width="9"/>
    <col collapsed="false" customWidth="true" hidden="false" outlineLevel="0" max="3" min="3" style="1" width="30"/>
    <col collapsed="false" customWidth="true" hidden="false" outlineLevel="0" max="4" min="4" style="1" width="16"/>
    <col collapsed="false" customWidth="true" hidden="false" outlineLevel="0" max="5" min="5" style="1" width="12"/>
    <col collapsed="false" customWidth="true" hidden="false" outlineLevel="0" max="6" min="6" style="1" width="10"/>
    <col collapsed="false" customWidth="true" hidden="false" outlineLevel="0" max="9" min="7" style="1" width="13"/>
    <col collapsed="false" customWidth="true" hidden="false" outlineLevel="0" max="11" min="10" style="1" width="11"/>
    <col collapsed="false" customWidth="true" hidden="false" outlineLevel="0" max="12" min="12" style="1" width="13"/>
    <col collapsed="false" customWidth="true" hidden="false" outlineLevel="0" max="13" min="13" style="1" width="34"/>
    <col collapsed="false" customWidth="true" hidden="false" outlineLevel="0" max="15" min="15" style="1" width="26"/>
    <col collapsed="false" customWidth="true" hidden="false" outlineLevel="0" max="16" min="16" style="1" width="13"/>
  </cols>
  <sheetData>
    <row r="1" customFormat="false" ht="30" hidden="false" customHeight="true" outlineLevel="0" collapsed="false">
      <c r="A1" s="16" t="s">
        <v>71</v>
      </c>
      <c r="B1" s="16"/>
      <c r="C1" s="16"/>
      <c r="D1" s="16"/>
      <c r="E1" s="16"/>
      <c r="F1" s="16"/>
      <c r="G1" s="16"/>
      <c r="H1" s="16"/>
      <c r="I1" s="16"/>
      <c r="J1" s="16"/>
      <c r="K1" s="16"/>
      <c r="L1" s="16"/>
      <c r="M1" s="16"/>
      <c r="O1" s="17" t="s">
        <v>72</v>
      </c>
      <c r="P1" s="17"/>
    </row>
    <row r="2" customFormat="false" ht="27.75" hidden="false" customHeight="true" outlineLevel="0" collapsed="false">
      <c r="A2" s="18" t="s">
        <v>73</v>
      </c>
      <c r="B2" s="18" t="s">
        <v>74</v>
      </c>
      <c r="C2" s="18" t="s">
        <v>75</v>
      </c>
      <c r="D2" s="18" t="s">
        <v>76</v>
      </c>
      <c r="E2" s="18" t="s">
        <v>77</v>
      </c>
      <c r="F2" s="18" t="s">
        <v>78</v>
      </c>
      <c r="G2" s="18" t="s">
        <v>79</v>
      </c>
      <c r="H2" s="18" t="s">
        <v>80</v>
      </c>
      <c r="I2" s="18" t="s">
        <v>81</v>
      </c>
      <c r="J2" s="18" t="s">
        <v>82</v>
      </c>
      <c r="K2" s="18" t="s">
        <v>83</v>
      </c>
      <c r="L2" s="18" t="s">
        <v>84</v>
      </c>
      <c r="M2" s="18" t="s">
        <v>85</v>
      </c>
      <c r="O2" s="19" t="s">
        <v>86</v>
      </c>
      <c r="P2" s="20"/>
    </row>
    <row r="3" customFormat="false" ht="15" hidden="false" customHeight="true" outlineLevel="0" collapsed="false">
      <c r="A3" s="21" t="s">
        <v>87</v>
      </c>
      <c r="B3" s="22" t="s">
        <v>88</v>
      </c>
      <c r="C3" s="21" t="s">
        <v>89</v>
      </c>
      <c r="D3" s="22" t="s">
        <v>90</v>
      </c>
      <c r="E3" s="22" t="n">
        <v>65</v>
      </c>
      <c r="F3" s="22" t="n">
        <v>259.32</v>
      </c>
      <c r="G3" s="23" t="n">
        <f aca="false">E3*F3</f>
        <v>16855.8</v>
      </c>
      <c r="H3" s="22" t="n">
        <v>19163.84</v>
      </c>
      <c r="I3" s="24" t="n">
        <f aca="false">G3-H3</f>
        <v>-2308.04</v>
      </c>
      <c r="J3" s="25" t="n">
        <f aca="false">IF(H3=0,"",G3/H3-1)</f>
        <v>-0.120437240135589</v>
      </c>
      <c r="K3" s="25" t="n">
        <f aca="false">IFERROR(G3/SUM(G3:G14),"")</f>
        <v>0.041771980714974</v>
      </c>
      <c r="L3" s="25" t="n">
        <f aca="false">IFERROR(G3/SUM(G3:G14,G17:G35),"")</f>
        <v>0.0240539247114072</v>
      </c>
      <c r="M3" s="21" t="s">
        <v>91</v>
      </c>
      <c r="O3" s="19" t="s">
        <v>92</v>
      </c>
      <c r="P3" s="20"/>
    </row>
    <row r="4" customFormat="false" ht="15" hidden="false" customHeight="true" outlineLevel="0" collapsed="false">
      <c r="A4" s="21" t="s">
        <v>87</v>
      </c>
      <c r="B4" s="22" t="s">
        <v>93</v>
      </c>
      <c r="C4" s="21" t="s">
        <v>94</v>
      </c>
      <c r="D4" s="22" t="s">
        <v>90</v>
      </c>
      <c r="E4" s="22" t="n">
        <v>70</v>
      </c>
      <c r="F4" s="22" t="n">
        <v>197.31</v>
      </c>
      <c r="G4" s="23" t="n">
        <f aca="false">E4*F4</f>
        <v>13811.7</v>
      </c>
      <c r="H4" s="22" t="n">
        <v>10182.2</v>
      </c>
      <c r="I4" s="24" t="n">
        <f aca="false">G4-H4</f>
        <v>3629.5</v>
      </c>
      <c r="J4" s="25" t="n">
        <f aca="false">IF(H4=0,"",G4/H4-1)</f>
        <v>0.35645538292314</v>
      </c>
      <c r="K4" s="25" t="n">
        <f aca="false">IFERROR(G4/SUM(G3:G14),"")</f>
        <v>0.0342281034445714</v>
      </c>
      <c r="L4" s="25" t="n">
        <f aca="false">IFERROR(G4/SUM(G3:G14,G17:G35),"")</f>
        <v>0.0197098679348677</v>
      </c>
      <c r="M4" s="21"/>
    </row>
    <row r="5" customFormat="false" ht="15" hidden="false" customHeight="true" outlineLevel="0" collapsed="false">
      <c r="A5" s="21" t="s">
        <v>87</v>
      </c>
      <c r="B5" s="22" t="s">
        <v>95</v>
      </c>
      <c r="C5" s="21" t="s">
        <v>96</v>
      </c>
      <c r="D5" s="22" t="s">
        <v>90</v>
      </c>
      <c r="E5" s="22" t="n">
        <v>7</v>
      </c>
      <c r="F5" s="22" t="n">
        <v>1678.22</v>
      </c>
      <c r="G5" s="23" t="n">
        <f aca="false">E5*F5</f>
        <v>11747.54</v>
      </c>
      <c r="H5" s="22" t="n">
        <v>9989.88</v>
      </c>
      <c r="I5" s="24" t="n">
        <f aca="false">G5-H5</f>
        <v>1757.66</v>
      </c>
      <c r="J5" s="25" t="n">
        <f aca="false">IF(H5=0,"",G5/H5-1)</f>
        <v>0.175944055384049</v>
      </c>
      <c r="K5" s="25" t="n">
        <f aca="false">IFERROR(G5/SUM(G3:G14),"")</f>
        <v>0.0291127098285685</v>
      </c>
      <c r="L5" s="25" t="n">
        <f aca="false">IFERROR(G5/SUM(G3:G14,G17:G35),"")</f>
        <v>0.0167642261241973</v>
      </c>
      <c r="M5" s="21"/>
    </row>
    <row r="6" customFormat="false" ht="15" hidden="false" customHeight="true" outlineLevel="0" collapsed="false">
      <c r="A6" s="21" t="s">
        <v>87</v>
      </c>
      <c r="B6" s="22" t="s">
        <v>97</v>
      </c>
      <c r="C6" s="21" t="s">
        <v>98</v>
      </c>
      <c r="D6" s="22" t="s">
        <v>90</v>
      </c>
      <c r="E6" s="22" t="n">
        <v>40</v>
      </c>
      <c r="F6" s="22" t="n">
        <v>209.86</v>
      </c>
      <c r="G6" s="23" t="n">
        <f aca="false">E6*F6</f>
        <v>8394.4</v>
      </c>
      <c r="H6" s="22" t="n">
        <v>4991.35</v>
      </c>
      <c r="I6" s="24" t="n">
        <f aca="false">G6-H6</f>
        <v>3403.05</v>
      </c>
      <c r="J6" s="25" t="n">
        <f aca="false">IF(H6=0,"",G6/H6-1)</f>
        <v>0.681789495827782</v>
      </c>
      <c r="K6" s="25" t="n">
        <f aca="false">IFERROR(G6/SUM(G3:G14),"")</f>
        <v>0.0208029707823881</v>
      </c>
      <c r="L6" s="25" t="n">
        <f aca="false">IFERROR(G6/SUM(G3:G14,G17:G35),"")</f>
        <v>0.0119791564682446</v>
      </c>
      <c r="M6" s="21"/>
    </row>
    <row r="7" customFormat="false" ht="15" hidden="false" customHeight="true" outlineLevel="0" collapsed="false">
      <c r="A7" s="21" t="s">
        <v>87</v>
      </c>
      <c r="B7" s="22" t="s">
        <v>99</v>
      </c>
      <c r="C7" s="21" t="s">
        <v>100</v>
      </c>
      <c r="D7" s="22" t="s">
        <v>90</v>
      </c>
      <c r="E7" s="22" t="n">
        <v>100</v>
      </c>
      <c r="F7" s="22" t="n">
        <v>192.8</v>
      </c>
      <c r="G7" s="23" t="n">
        <f aca="false">E7*F7</f>
        <v>19280</v>
      </c>
      <c r="H7" s="22" t="n">
        <v>15412.54</v>
      </c>
      <c r="I7" s="24" t="n">
        <f aca="false">G7-H7</f>
        <v>3867.46</v>
      </c>
      <c r="J7" s="25" t="n">
        <f aca="false">IF(H7=0,"",G7/H7-1)</f>
        <v>0.250929437977128</v>
      </c>
      <c r="K7" s="25" t="n">
        <f aca="false">IFERROR(G7/SUM(G3:G14),"")</f>
        <v>0.0477796241166067</v>
      </c>
      <c r="L7" s="25" t="n">
        <f aca="false">IFERROR(G7/SUM(G3:G14,G17:G35),"")</f>
        <v>0.0275133585137419</v>
      </c>
      <c r="M7" s="21"/>
    </row>
    <row r="8" customFormat="false" ht="15" hidden="false" customHeight="true" outlineLevel="0" collapsed="false">
      <c r="A8" s="21" t="s">
        <v>87</v>
      </c>
      <c r="B8" s="22" t="s">
        <v>101</v>
      </c>
      <c r="C8" s="21" t="s">
        <v>102</v>
      </c>
      <c r="D8" s="22" t="s">
        <v>90</v>
      </c>
      <c r="E8" s="22" t="n">
        <v>7</v>
      </c>
      <c r="F8" s="22" t="n">
        <v>893.19</v>
      </c>
      <c r="G8" s="23" t="n">
        <f aca="false">E8*F8</f>
        <v>6252.33</v>
      </c>
      <c r="H8" s="22" t="n">
        <v>5836.11</v>
      </c>
      <c r="I8" s="24" t="n">
        <f aca="false">G8-H8</f>
        <v>416.22</v>
      </c>
      <c r="J8" s="25" t="n">
        <f aca="false">IF(H8=0,"",G8/H8-1)</f>
        <v>0.0713180526069592</v>
      </c>
      <c r="K8" s="25" t="n">
        <f aca="false">IFERROR(G8/SUM(G3:G14),"")</f>
        <v>0.0154945008948643</v>
      </c>
      <c r="L8" s="25" t="n">
        <f aca="false">IFERROR(G8/SUM(G3:G14,G17:G35),"")</f>
        <v>0.00892233386080001</v>
      </c>
      <c r="M8" s="21"/>
    </row>
    <row r="9" customFormat="false" ht="15" hidden="false" customHeight="true" outlineLevel="0" collapsed="false">
      <c r="A9" s="21" t="s">
        <v>87</v>
      </c>
      <c r="B9" s="22" t="s">
        <v>103</v>
      </c>
      <c r="C9" s="21" t="s">
        <v>104</v>
      </c>
      <c r="D9" s="22" t="s">
        <v>90</v>
      </c>
      <c r="E9" s="22" t="n">
        <v>155</v>
      </c>
      <c r="F9" s="22" t="n">
        <v>219.22</v>
      </c>
      <c r="G9" s="23" t="n">
        <f aca="false">E9*F9</f>
        <v>33979.1</v>
      </c>
      <c r="H9" s="22" t="n">
        <v>26639.79</v>
      </c>
      <c r="I9" s="24" t="n">
        <f aca="false">G9-H9</f>
        <v>7339.31</v>
      </c>
      <c r="J9" s="25" t="n">
        <f aca="false">IF(H9=0,"",G9/H9-1)</f>
        <v>0.275501796373019</v>
      </c>
      <c r="K9" s="25" t="n">
        <f aca="false">IFERROR(G9/SUM(G3:G14),"")</f>
        <v>0.0842068789326032</v>
      </c>
      <c r="L9" s="25" t="n">
        <f aca="false">IFERROR(G9/SUM(G3:G14,G17:G35),"")</f>
        <v>0.0484895830017785</v>
      </c>
      <c r="M9" s="21"/>
    </row>
    <row r="10" customFormat="false" ht="15" hidden="false" customHeight="true" outlineLevel="0" collapsed="false">
      <c r="A10" s="21" t="s">
        <v>87</v>
      </c>
      <c r="B10" s="22" t="s">
        <v>105</v>
      </c>
      <c r="C10" s="21" t="s">
        <v>106</v>
      </c>
      <c r="D10" s="22" t="s">
        <v>90</v>
      </c>
      <c r="E10" s="22" t="n">
        <v>70</v>
      </c>
      <c r="F10" s="22" t="n">
        <v>158.43</v>
      </c>
      <c r="G10" s="23" t="n">
        <f aca="false">E10*F10</f>
        <v>11090.1</v>
      </c>
      <c r="H10" s="22" t="n">
        <v>11612.3</v>
      </c>
      <c r="I10" s="24" t="n">
        <f aca="false">G10-H10</f>
        <v>-522.199999999999</v>
      </c>
      <c r="J10" s="25" t="n">
        <f aca="false">IF(H10=0,"",G10/H10-1)</f>
        <v>-0.0449695581409367</v>
      </c>
      <c r="K10" s="25" t="n">
        <f aca="false">IFERROR(G10/SUM(G3:G14),"")</f>
        <v>0.0274834444717624</v>
      </c>
      <c r="L10" s="25" t="n">
        <f aca="false">IFERROR(G10/SUM(G3:G14,G17:G35),"")</f>
        <v>0.01582603201521</v>
      </c>
      <c r="M10" s="21"/>
    </row>
    <row r="11" customFormat="false" ht="15" hidden="false" customHeight="true" outlineLevel="0" collapsed="false">
      <c r="A11" s="21" t="s">
        <v>87</v>
      </c>
      <c r="B11" s="22" t="s">
        <v>107</v>
      </c>
      <c r="C11" s="21" t="s">
        <v>108</v>
      </c>
      <c r="D11" s="22" t="s">
        <v>90</v>
      </c>
      <c r="E11" s="22" t="n">
        <v>25</v>
      </c>
      <c r="F11" s="22" t="n">
        <v>414</v>
      </c>
      <c r="G11" s="23" t="n">
        <f aca="false">E11*F11</f>
        <v>10350</v>
      </c>
      <c r="H11" s="22" t="n">
        <v>6069.64</v>
      </c>
      <c r="I11" s="24" t="n">
        <f aca="false">G11-H11</f>
        <v>4280.36</v>
      </c>
      <c r="J11" s="25" t="n">
        <f aca="false">IF(H11=0,"",G11/H11-1)</f>
        <v>0.705208216632288</v>
      </c>
      <c r="K11" s="25" t="n">
        <f aca="false">IFERROR(G11/SUM(G3:G14),"")</f>
        <v>0.0256493314111452</v>
      </c>
      <c r="L11" s="25" t="n">
        <f aca="false">IFERROR(G11/SUM(G3:G14,G17:G35),"")</f>
        <v>0.0147698786627194</v>
      </c>
      <c r="M11" s="21"/>
    </row>
    <row r="12" customFormat="false" ht="15" hidden="false" customHeight="true" outlineLevel="0" collapsed="false">
      <c r="A12" s="21" t="s">
        <v>87</v>
      </c>
      <c r="B12" s="22" t="s">
        <v>109</v>
      </c>
      <c r="C12" s="21" t="s">
        <v>110</v>
      </c>
      <c r="D12" s="22" t="s">
        <v>90</v>
      </c>
      <c r="E12" s="22" t="n">
        <v>30</v>
      </c>
      <c r="F12" s="22" t="n">
        <v>277.94</v>
      </c>
      <c r="G12" s="23" t="n">
        <f aca="false">E12*F12</f>
        <v>8338.2</v>
      </c>
      <c r="H12" s="22" t="n">
        <v>7876.8</v>
      </c>
      <c r="I12" s="24" t="n">
        <f aca="false">G12-H12</f>
        <v>461.400000000001</v>
      </c>
      <c r="J12" s="25" t="n">
        <f aca="false">IF(H12=0,"",G12/H12-1)</f>
        <v>0.0585770871419866</v>
      </c>
      <c r="K12" s="25" t="n">
        <f aca="false">IFERROR(G12/SUM(G3:G14),"")</f>
        <v>0.0206636961519237</v>
      </c>
      <c r="L12" s="25" t="n">
        <f aca="false">IFERROR(G12/SUM(G3:G14,G17:G35),"")</f>
        <v>0.0118989567406267</v>
      </c>
      <c r="M12" s="21"/>
    </row>
    <row r="13" customFormat="false" ht="15" hidden="false" customHeight="true" outlineLevel="0" collapsed="false">
      <c r="A13" s="21" t="s">
        <v>87</v>
      </c>
      <c r="B13" s="22" t="s">
        <v>111</v>
      </c>
      <c r="C13" s="21" t="s">
        <v>112</v>
      </c>
      <c r="D13" s="22" t="s">
        <v>113</v>
      </c>
      <c r="E13" s="22" t="n">
        <v>244620.56</v>
      </c>
      <c r="F13" s="22" t="n">
        <v>1</v>
      </c>
      <c r="G13" s="23" t="n">
        <f aca="false">E13*F13</f>
        <v>244620.56</v>
      </c>
      <c r="H13" s="22" t="n">
        <v>244620.56</v>
      </c>
      <c r="I13" s="24" t="n">
        <f aca="false">G13-H13</f>
        <v>0</v>
      </c>
      <c r="J13" s="25" t="n">
        <f aca="false">IF(H13=0,"",G13/H13-1)</f>
        <v>0</v>
      </c>
      <c r="K13" s="25" t="n">
        <f aca="false">IFERROR(G13/SUM(G3:G14),"")</f>
        <v>0.606217759750717</v>
      </c>
      <c r="L13" s="25" t="n">
        <f aca="false">IFERROR(G13/SUM(G3:G14,G17:G35),"")</f>
        <v>0.349083670493378</v>
      </c>
      <c r="M13" s="21"/>
    </row>
    <row r="14" customFormat="false" ht="15" hidden="false" customHeight="true" outlineLevel="0" collapsed="false">
      <c r="A14" s="21" t="s">
        <v>87</v>
      </c>
      <c r="B14" s="22" t="s">
        <v>114</v>
      </c>
      <c r="C14" s="21" t="s">
        <v>115</v>
      </c>
      <c r="D14" s="22" t="s">
        <v>113</v>
      </c>
      <c r="E14" s="22" t="n">
        <v>18799.56</v>
      </c>
      <c r="F14" s="22" t="n">
        <v>1</v>
      </c>
      <c r="G14" s="23" t="n">
        <f aca="false">E14*F14</f>
        <v>18799.56</v>
      </c>
      <c r="H14" s="22" t="n">
        <v>18799.56</v>
      </c>
      <c r="I14" s="24" t="n">
        <f aca="false">G14-H14</f>
        <v>0</v>
      </c>
      <c r="J14" s="25" t="n">
        <f aca="false">IF(H14=0,"",G14/H14-1)</f>
        <v>0</v>
      </c>
      <c r="K14" s="25" t="n">
        <f aca="false">IFERROR(G14/SUM(G3:G14),"")</f>
        <v>0.0465889994998752</v>
      </c>
      <c r="L14" s="25" t="n">
        <f aca="false">IFERROR(G14/SUM(G3:G14,G17:G35),"")</f>
        <v>0.0268277507355084</v>
      </c>
      <c r="M14" s="21"/>
    </row>
    <row r="15" customFormat="false" ht="15" hidden="false" customHeight="true" outlineLevel="0" collapsed="false">
      <c r="A15" s="26"/>
      <c r="B15" s="26"/>
      <c r="C15" s="27" t="s">
        <v>116</v>
      </c>
      <c r="D15" s="26"/>
      <c r="E15" s="26"/>
      <c r="F15" s="26"/>
      <c r="G15" s="28" t="n">
        <f aca="false">SUM(G3:G14)</f>
        <v>403519.29</v>
      </c>
      <c r="H15" s="29" t="n">
        <f aca="false">SUM(H3:H14)</f>
        <v>381194.57</v>
      </c>
      <c r="I15" s="28" t="n">
        <f aca="false">SUM(I3:I14)</f>
        <v>22324.72</v>
      </c>
      <c r="J15" s="30"/>
      <c r="K15" s="30"/>
      <c r="L15" s="30"/>
      <c r="M15" s="26"/>
    </row>
    <row r="16" customFormat="false" ht="15" hidden="false" customHeight="true" outlineLevel="0" collapsed="false">
      <c r="A16" s="31"/>
      <c r="B16" s="31"/>
      <c r="C16" s="31"/>
      <c r="D16" s="31"/>
      <c r="E16" s="31"/>
      <c r="F16" s="31"/>
      <c r="H16" s="31"/>
      <c r="M16" s="31"/>
    </row>
    <row r="17" customFormat="false" ht="15" hidden="false" customHeight="true" outlineLevel="0" collapsed="false">
      <c r="A17" s="21" t="s">
        <v>117</v>
      </c>
      <c r="B17" s="22" t="s">
        <v>118</v>
      </c>
      <c r="C17" s="21" t="s">
        <v>119</v>
      </c>
      <c r="D17" s="22" t="s">
        <v>113</v>
      </c>
      <c r="E17" s="22" t="n">
        <v>58007.32</v>
      </c>
      <c r="F17" s="22" t="n">
        <v>1</v>
      </c>
      <c r="G17" s="23" t="n">
        <f aca="false">E17*F17</f>
        <v>58007.32</v>
      </c>
      <c r="H17" s="22" t="n">
        <v>58007.32</v>
      </c>
      <c r="I17" s="24" t="n">
        <f aca="false">G17-H17</f>
        <v>0</v>
      </c>
      <c r="J17" s="25" t="n">
        <f aca="false">IF(H17=0,"",G17/H17-1)</f>
        <v>0</v>
      </c>
      <c r="K17" s="25" t="n">
        <f aca="false">IFERROR(G17/SUM(G17:G35),"")</f>
        <v>0.195158907173966</v>
      </c>
      <c r="L17" s="25" t="n">
        <f aca="false">IFERROR(G17/SUM(G3:G14,G17:G35),"")</f>
        <v>0.0827788481110661</v>
      </c>
      <c r="M17" s="21"/>
    </row>
    <row r="18" customFormat="false" ht="15" hidden="false" customHeight="true" outlineLevel="0" collapsed="false">
      <c r="A18" s="21" t="s">
        <v>117</v>
      </c>
      <c r="B18" s="22" t="s">
        <v>120</v>
      </c>
      <c r="C18" s="21" t="s">
        <v>121</v>
      </c>
      <c r="D18" s="22" t="s">
        <v>122</v>
      </c>
      <c r="E18" s="22" t="n">
        <v>840.4376</v>
      </c>
      <c r="F18" s="22" t="n">
        <v>59.56</v>
      </c>
      <c r="G18" s="23" t="n">
        <f aca="false">E18*F18</f>
        <v>50056.463456</v>
      </c>
      <c r="H18" s="22" t="n">
        <v>42412.88</v>
      </c>
      <c r="I18" s="24" t="n">
        <f aca="false">G18-H18</f>
        <v>7643.583456</v>
      </c>
      <c r="J18" s="25" t="n">
        <f aca="false">IF(H18=0,"",G18/H18-1)</f>
        <v>0.180218449112628</v>
      </c>
      <c r="K18" s="25" t="n">
        <f aca="false">IFERROR(G18/SUM(G17:G35),"")</f>
        <v>0.16840917155053</v>
      </c>
      <c r="L18" s="25" t="n">
        <f aca="false">IFERROR(G18/SUM(G3:G14,G17:G35),"")</f>
        <v>0.0714326465246343</v>
      </c>
      <c r="M18" s="21"/>
    </row>
    <row r="19" customFormat="false" ht="15" hidden="false" customHeight="true" outlineLevel="0" collapsed="false">
      <c r="A19" s="21" t="s">
        <v>117</v>
      </c>
      <c r="B19" s="22" t="s">
        <v>123</v>
      </c>
      <c r="C19" s="21" t="s">
        <v>124</v>
      </c>
      <c r="D19" s="22" t="s">
        <v>90</v>
      </c>
      <c r="E19" s="22" t="n">
        <v>400.0016</v>
      </c>
      <c r="F19" s="22" t="n">
        <v>128.74</v>
      </c>
      <c r="G19" s="23" t="n">
        <f aca="false">E19*F19</f>
        <v>51496.205984</v>
      </c>
      <c r="H19" s="22" t="n">
        <v>45117.15</v>
      </c>
      <c r="I19" s="24" t="n">
        <f aca="false">G19-H19</f>
        <v>6379.055984</v>
      </c>
      <c r="J19" s="25" t="n">
        <f aca="false">IF(H19=0,"",G19/H19-1)</f>
        <v>0.141388717682744</v>
      </c>
      <c r="K19" s="25" t="n">
        <f aca="false">IFERROR(G19/SUM(G17:G35),"")</f>
        <v>0.173253018471511</v>
      </c>
      <c r="L19" s="25" t="n">
        <f aca="false">IFERROR(G19/SUM(G3:G14,G17:G35),"")</f>
        <v>0.0734872187414572</v>
      </c>
      <c r="M19" s="21" t="s">
        <v>125</v>
      </c>
    </row>
    <row r="20" customFormat="false" ht="15" hidden="false" customHeight="true" outlineLevel="0" collapsed="false">
      <c r="A20" s="21" t="s">
        <v>117</v>
      </c>
      <c r="B20" s="22" t="s">
        <v>126</v>
      </c>
      <c r="C20" s="21" t="s">
        <v>127</v>
      </c>
      <c r="D20" s="22" t="s">
        <v>90</v>
      </c>
      <c r="E20" s="22" t="n">
        <v>0</v>
      </c>
      <c r="F20" s="22" t="n">
        <v>56.12</v>
      </c>
      <c r="G20" s="23" t="n">
        <f aca="false">E20*F20</f>
        <v>0</v>
      </c>
      <c r="H20" s="22" t="n">
        <v>0</v>
      </c>
      <c r="I20" s="24" t="n">
        <f aca="false">G20-H20</f>
        <v>0</v>
      </c>
      <c r="J20" s="25" t="str">
        <f aca="false">IF(H20=0,"",G20/H20-1)</f>
        <v/>
      </c>
      <c r="K20" s="25" t="n">
        <f aca="false">IFERROR(G20/SUM(G17:G35),"")</f>
        <v>0</v>
      </c>
      <c r="L20" s="25" t="n">
        <f aca="false">IFERROR(G20/SUM(G3:G14,G17:G35),"")</f>
        <v>0</v>
      </c>
      <c r="M20" s="21" t="s">
        <v>128</v>
      </c>
    </row>
    <row r="21" customFormat="false" ht="15" hidden="false" customHeight="true" outlineLevel="0" collapsed="false">
      <c r="A21" s="21" t="s">
        <v>117</v>
      </c>
      <c r="B21" s="22" t="s">
        <v>129</v>
      </c>
      <c r="C21" s="21" t="s">
        <v>130</v>
      </c>
      <c r="D21" s="22" t="s">
        <v>122</v>
      </c>
      <c r="E21" s="22" t="n">
        <v>300</v>
      </c>
      <c r="F21" s="22" t="n">
        <v>69.59</v>
      </c>
      <c r="G21" s="23" t="n">
        <f aca="false">E21*F21</f>
        <v>20877</v>
      </c>
      <c r="H21" s="22" t="n">
        <v>16782</v>
      </c>
      <c r="I21" s="24" t="n">
        <f aca="false">G21-H21</f>
        <v>4095</v>
      </c>
      <c r="J21" s="25" t="n">
        <f aca="false">IF(H21=0,"",G21/H21-1)</f>
        <v>0.24401144082946</v>
      </c>
      <c r="K21" s="25" t="n">
        <f aca="false">IFERROR(G21/SUM(G17:G35),"")</f>
        <v>0.0702382476051451</v>
      </c>
      <c r="L21" s="25" t="n">
        <f aca="false">IFERROR(G21/SUM(G3:G14,G17:G35),"")</f>
        <v>0.0297923436561925</v>
      </c>
      <c r="M21" s="21"/>
    </row>
    <row r="22" customFormat="false" ht="15" hidden="false" customHeight="true" outlineLevel="0" collapsed="false">
      <c r="A22" s="21" t="s">
        <v>117</v>
      </c>
      <c r="B22" s="22" t="s">
        <v>131</v>
      </c>
      <c r="C22" s="21" t="s">
        <v>132</v>
      </c>
      <c r="D22" s="22" t="s">
        <v>90</v>
      </c>
      <c r="E22" s="22" t="n">
        <v>35.0759</v>
      </c>
      <c r="F22" s="22" t="n">
        <v>418.16</v>
      </c>
      <c r="G22" s="23" t="n">
        <f aca="false">E22*F22</f>
        <v>14667.338344</v>
      </c>
      <c r="H22" s="22" t="n">
        <v>12653.43</v>
      </c>
      <c r="I22" s="24" t="n">
        <f aca="false">G22-H22</f>
        <v>2013.908344</v>
      </c>
      <c r="J22" s="25" t="n">
        <f aca="false">IF(H22=0,"",G22/H22-1)</f>
        <v>0.15915908524408</v>
      </c>
      <c r="K22" s="25" t="n">
        <f aca="false">IFERROR(G22/SUM(G17:G35),"")</f>
        <v>0.0493465604404038</v>
      </c>
      <c r="L22" s="25" t="n">
        <f aca="false">IFERROR(G22/SUM(G3:G14,G17:G35),"")</f>
        <v>0.0209308992894619</v>
      </c>
      <c r="M22" s="21"/>
    </row>
    <row r="23" customFormat="false" ht="15" hidden="false" customHeight="true" outlineLevel="0" collapsed="false">
      <c r="A23" s="21" t="s">
        <v>117</v>
      </c>
      <c r="B23" s="22" t="s">
        <v>103</v>
      </c>
      <c r="C23" s="21" t="s">
        <v>104</v>
      </c>
      <c r="D23" s="22" t="s">
        <v>90</v>
      </c>
      <c r="E23" s="22" t="n">
        <v>59.0219</v>
      </c>
      <c r="F23" s="22" t="n">
        <v>211.87</v>
      </c>
      <c r="G23" s="23" t="n">
        <f aca="false">E23*F23</f>
        <v>12504.969953</v>
      </c>
      <c r="H23" s="22" t="n">
        <v>11377.73</v>
      </c>
      <c r="I23" s="24" t="n">
        <f aca="false">G23-H23</f>
        <v>1127.239953</v>
      </c>
      <c r="J23" s="25" t="n">
        <f aca="false">IF(H23=0,"",G23/H23-1)</f>
        <v>0.0990742400285471</v>
      </c>
      <c r="K23" s="25" t="n">
        <f aca="false">IFERROR(G23/SUM(G17:G35),"")</f>
        <v>0.0420715225297559</v>
      </c>
      <c r="L23" s="25" t="n">
        <f aca="false">IFERROR(G23/SUM(G3:G14,G17:G35),"")</f>
        <v>0.0178451100373682</v>
      </c>
      <c r="M23" s="21"/>
    </row>
    <row r="24" customFormat="false" ht="15" hidden="false" customHeight="true" outlineLevel="0" collapsed="false">
      <c r="A24" s="21" t="s">
        <v>117</v>
      </c>
      <c r="B24" s="22" t="s">
        <v>133</v>
      </c>
      <c r="C24" s="21" t="s">
        <v>134</v>
      </c>
      <c r="D24" s="22" t="s">
        <v>90</v>
      </c>
      <c r="E24" s="22" t="n">
        <v>50</v>
      </c>
      <c r="F24" s="22" t="n">
        <v>478.7</v>
      </c>
      <c r="G24" s="23" t="n">
        <f aca="false">E24*F24</f>
        <v>23935</v>
      </c>
      <c r="H24" s="22" t="n">
        <v>23567.55</v>
      </c>
      <c r="I24" s="24" t="n">
        <f aca="false">G24-H24</f>
        <v>367.450000000001</v>
      </c>
      <c r="J24" s="25" t="n">
        <f aca="false">IF(H24=0,"",G24/H24-1)</f>
        <v>0.0155913533651144</v>
      </c>
      <c r="K24" s="25" t="n">
        <f aca="false">IFERROR(G24/SUM(G17:G35),"")</f>
        <v>0.0805265342927215</v>
      </c>
      <c r="L24" s="25" t="n">
        <f aca="false">IFERROR(G24/SUM(G3:G14,G17:G35),"")</f>
        <v>0.0341562363084239</v>
      </c>
      <c r="M24" s="21" t="s">
        <v>135</v>
      </c>
    </row>
    <row r="25" customFormat="false" ht="15" hidden="false" customHeight="true" outlineLevel="0" collapsed="false">
      <c r="A25" s="21" t="s">
        <v>117</v>
      </c>
      <c r="B25" s="22" t="s">
        <v>136</v>
      </c>
      <c r="C25" s="21" t="s">
        <v>137</v>
      </c>
      <c r="D25" s="22" t="s">
        <v>90</v>
      </c>
      <c r="E25" s="22" t="n">
        <v>76.9374</v>
      </c>
      <c r="F25" s="22" t="n">
        <v>151.16</v>
      </c>
      <c r="G25" s="23" t="n">
        <f aca="false">E25*F25</f>
        <v>11629.857384</v>
      </c>
      <c r="H25" s="22" t="n">
        <v>9318.79</v>
      </c>
      <c r="I25" s="24" t="n">
        <f aca="false">G25-H25</f>
        <v>2311.067384</v>
      </c>
      <c r="J25" s="25" t="n">
        <f aca="false">IF(H25=0,"",G25/H25-1)</f>
        <v>0.248000800962356</v>
      </c>
      <c r="K25" s="25" t="n">
        <f aca="false">IFERROR(G25/SUM(G17:G35),"")</f>
        <v>0.0391273076854872</v>
      </c>
      <c r="L25" s="25" t="n">
        <f aca="false">IFERROR(G25/SUM(G3:G14,G17:G35),"")</f>
        <v>0.0165962881571411</v>
      </c>
      <c r="M25" s="21"/>
    </row>
    <row r="26" customFormat="false" ht="15" hidden="false" customHeight="true" outlineLevel="0" collapsed="false">
      <c r="A26" s="21" t="s">
        <v>117</v>
      </c>
      <c r="B26" s="22" t="s">
        <v>138</v>
      </c>
      <c r="C26" s="21" t="s">
        <v>139</v>
      </c>
      <c r="D26" s="22" t="s">
        <v>90</v>
      </c>
      <c r="E26" s="22" t="n">
        <v>200</v>
      </c>
      <c r="F26" s="22" t="n">
        <v>50.5</v>
      </c>
      <c r="G26" s="23" t="n">
        <f aca="false">E26*F26</f>
        <v>10100</v>
      </c>
      <c r="H26" s="22" t="n">
        <v>9257</v>
      </c>
      <c r="I26" s="24" t="n">
        <f aca="false">G26-H26</f>
        <v>843</v>
      </c>
      <c r="J26" s="25" t="n">
        <f aca="false">IF(H26=0,"",G26/H26-1)</f>
        <v>0.0910662201577186</v>
      </c>
      <c r="K26" s="25" t="n">
        <f aca="false">IFERROR(G26/SUM(G17:G35),"")</f>
        <v>0.033980279772571</v>
      </c>
      <c r="L26" s="25" t="n">
        <f aca="false">IFERROR(G26/SUM(G3:G14,G17:G35),"")</f>
        <v>0.0144131183085474</v>
      </c>
      <c r="M26" s="21"/>
    </row>
    <row r="27" customFormat="false" ht="15" hidden="false" customHeight="true" outlineLevel="0" collapsed="false">
      <c r="A27" s="21" t="s">
        <v>117</v>
      </c>
      <c r="B27" s="22" t="s">
        <v>93</v>
      </c>
      <c r="C27" s="21" t="s">
        <v>94</v>
      </c>
      <c r="D27" s="22" t="s">
        <v>90</v>
      </c>
      <c r="E27" s="22" t="n">
        <v>50</v>
      </c>
      <c r="F27" s="22" t="n">
        <v>190.51</v>
      </c>
      <c r="G27" s="23" t="n">
        <f aca="false">E27*F27</f>
        <v>9525.5</v>
      </c>
      <c r="H27" s="22" t="n">
        <v>7394.5</v>
      </c>
      <c r="I27" s="24" t="n">
        <f aca="false">G27-H27</f>
        <v>2131</v>
      </c>
      <c r="J27" s="25" t="n">
        <f aca="false">IF(H27=0,"",G27/H27-1)</f>
        <v>0.288187166136994</v>
      </c>
      <c r="K27" s="25" t="n">
        <f aca="false">IFERROR(G27/SUM(G17:G35),"")</f>
        <v>0.0320474410864975</v>
      </c>
      <c r="L27" s="25" t="n">
        <f aca="false">IFERROR(G27/SUM(G3:G14,G17:G35),"")</f>
        <v>0.0135932830146602</v>
      </c>
      <c r="M27" s="21"/>
    </row>
    <row r="28" customFormat="false" ht="15" hidden="false" customHeight="true" outlineLevel="0" collapsed="false">
      <c r="A28" s="21" t="s">
        <v>117</v>
      </c>
      <c r="B28" s="22" t="s">
        <v>97</v>
      </c>
      <c r="C28" s="21" t="s">
        <v>98</v>
      </c>
      <c r="D28" s="22" t="s">
        <v>90</v>
      </c>
      <c r="E28" s="22" t="n">
        <v>45</v>
      </c>
      <c r="F28" s="22" t="n">
        <v>211.22</v>
      </c>
      <c r="G28" s="23" t="n">
        <f aca="false">E28*F28</f>
        <v>9504.9</v>
      </c>
      <c r="H28" s="22" t="n">
        <v>7099.31</v>
      </c>
      <c r="I28" s="24" t="n">
        <f aca="false">G28-H28</f>
        <v>2405.59</v>
      </c>
      <c r="J28" s="25" t="n">
        <f aca="false">IF(H28=0,"",G28/H28-1)</f>
        <v>0.338848423297475</v>
      </c>
      <c r="K28" s="25" t="n">
        <f aca="false">IFERROR(G28/SUM(G17:G35),"")</f>
        <v>0.031978134773298</v>
      </c>
      <c r="L28" s="25" t="n">
        <f aca="false">IFERROR(G28/SUM(G3:G14,G17:G35),"")</f>
        <v>0.0135638859614764</v>
      </c>
      <c r="M28" s="21"/>
    </row>
    <row r="29" customFormat="false" ht="15" hidden="false" customHeight="true" outlineLevel="0" collapsed="false">
      <c r="A29" s="21" t="s">
        <v>117</v>
      </c>
      <c r="B29" s="22" t="s">
        <v>140</v>
      </c>
      <c r="C29" s="21" t="s">
        <v>141</v>
      </c>
      <c r="D29" s="22" t="s">
        <v>90</v>
      </c>
      <c r="E29" s="22" t="n">
        <v>125.4484</v>
      </c>
      <c r="F29" s="22" t="n">
        <v>139.06</v>
      </c>
      <c r="G29" s="23" t="n">
        <f aca="false">E29*F29</f>
        <v>17444.854504</v>
      </c>
      <c r="H29" s="22" t="n">
        <v>16585.43</v>
      </c>
      <c r="I29" s="24" t="n">
        <f aca="false">G29-H29</f>
        <v>859.424504000002</v>
      </c>
      <c r="J29" s="25" t="n">
        <f aca="false">IF(H29=0,"",G29/H29-1)</f>
        <v>0.0518180417390446</v>
      </c>
      <c r="K29" s="25" t="n">
        <f aca="false">IFERROR(G29/SUM(G17:G35),"")</f>
        <v>0.0586911917463085</v>
      </c>
      <c r="L29" s="25" t="n">
        <f aca="false">IFERROR(G29/SUM(G3:G14,G17:G35),"")</f>
        <v>0.0248945298853018</v>
      </c>
      <c r="M29" s="21" t="s">
        <v>142</v>
      </c>
    </row>
    <row r="30" customFormat="false" ht="15" hidden="false" customHeight="true" outlineLevel="0" collapsed="false">
      <c r="A30" s="21" t="s">
        <v>117</v>
      </c>
      <c r="B30" s="22" t="s">
        <v>143</v>
      </c>
      <c r="C30" s="21" t="s">
        <v>144</v>
      </c>
      <c r="D30" s="22" t="s">
        <v>90</v>
      </c>
      <c r="E30" s="22" t="n">
        <v>0</v>
      </c>
      <c r="F30" s="22" t="n">
        <v>86.07</v>
      </c>
      <c r="G30" s="23" t="n">
        <f aca="false">E30*F30</f>
        <v>0</v>
      </c>
      <c r="H30" s="22" t="n">
        <v>0</v>
      </c>
      <c r="I30" s="24" t="n">
        <f aca="false">G30-H30</f>
        <v>0</v>
      </c>
      <c r="J30" s="25" t="str">
        <f aca="false">IF(H30=0,"",G30/H30-1)</f>
        <v/>
      </c>
      <c r="K30" s="25" t="n">
        <f aca="false">IFERROR(G30/SUM(G17:G35),"")</f>
        <v>0</v>
      </c>
      <c r="L30" s="25" t="n">
        <f aca="false">IFERROR(G30/SUM(G3:G14,G17:G35),"")</f>
        <v>0</v>
      </c>
      <c r="M30" s="21" t="s">
        <v>145</v>
      </c>
    </row>
    <row r="31" customFormat="false" ht="15" hidden="false" customHeight="true" outlineLevel="0" collapsed="false">
      <c r="A31" s="21" t="s">
        <v>117</v>
      </c>
      <c r="B31" s="22" t="s">
        <v>146</v>
      </c>
      <c r="C31" s="21" t="s">
        <v>147</v>
      </c>
      <c r="D31" s="22" t="s">
        <v>90</v>
      </c>
      <c r="E31" s="22" t="n">
        <v>0</v>
      </c>
      <c r="F31" s="22" t="n">
        <v>327.35</v>
      </c>
      <c r="G31" s="23" t="n">
        <f aca="false">E31*F31</f>
        <v>0</v>
      </c>
      <c r="H31" s="22" t="n">
        <v>0</v>
      </c>
      <c r="I31" s="24" t="n">
        <f aca="false">G31-H31</f>
        <v>0</v>
      </c>
      <c r="J31" s="25" t="str">
        <f aca="false">IF(H31=0,"",G31/H31-1)</f>
        <v/>
      </c>
      <c r="K31" s="25" t="n">
        <f aca="false">IFERROR(G31/SUM(G17:G35),"")</f>
        <v>0</v>
      </c>
      <c r="L31" s="25" t="n">
        <f aca="false">IFERROR(G31/SUM(G3:G14,G17:G35),"")</f>
        <v>0</v>
      </c>
      <c r="M31" s="21" t="s">
        <v>148</v>
      </c>
    </row>
    <row r="32" customFormat="false" ht="15" hidden="false" customHeight="true" outlineLevel="0" collapsed="false">
      <c r="A32" s="21" t="s">
        <v>117</v>
      </c>
      <c r="B32" s="22" t="s">
        <v>149</v>
      </c>
      <c r="C32" s="21" t="s">
        <v>150</v>
      </c>
      <c r="D32" s="22" t="s">
        <v>90</v>
      </c>
      <c r="E32" s="22" t="n">
        <v>0</v>
      </c>
      <c r="F32" s="22" t="n">
        <v>120.16</v>
      </c>
      <c r="G32" s="23" t="n">
        <f aca="false">E32*F32</f>
        <v>0</v>
      </c>
      <c r="H32" s="22" t="n">
        <v>0</v>
      </c>
      <c r="I32" s="24" t="n">
        <f aca="false">G32-H32</f>
        <v>0</v>
      </c>
      <c r="J32" s="25" t="str">
        <f aca="false">IF(H32=0,"",G32/H32-1)</f>
        <v/>
      </c>
      <c r="K32" s="25" t="n">
        <f aca="false">IFERROR(G32/SUM(G17:G35),"")</f>
        <v>0</v>
      </c>
      <c r="L32" s="25" t="n">
        <f aca="false">IFERROR(G32/SUM(G3:G14,G17:G35),"")</f>
        <v>0</v>
      </c>
      <c r="M32" s="21" t="s">
        <v>151</v>
      </c>
    </row>
    <row r="33" customFormat="false" ht="15" hidden="false" customHeight="true" outlineLevel="0" collapsed="false">
      <c r="A33" s="21" t="s">
        <v>117</v>
      </c>
      <c r="B33" s="22" t="s">
        <v>152</v>
      </c>
      <c r="C33" s="21" t="s">
        <v>153</v>
      </c>
      <c r="D33" s="22" t="s">
        <v>113</v>
      </c>
      <c r="E33" s="22" t="n">
        <v>4228.61</v>
      </c>
      <c r="F33" s="22" t="n">
        <v>1</v>
      </c>
      <c r="G33" s="23" t="n">
        <f aca="false">E33*F33</f>
        <v>4228.61</v>
      </c>
      <c r="H33" s="22" t="n">
        <v>4228.61</v>
      </c>
      <c r="I33" s="24" t="n">
        <f aca="false">G33-H33</f>
        <v>0</v>
      </c>
      <c r="J33" s="25" t="n">
        <f aca="false">IF(H33=0,"",G33/H33-1)</f>
        <v>0</v>
      </c>
      <c r="K33" s="25" t="n">
        <f aca="false">IFERROR(G33/SUM(G17:G35),"")</f>
        <v>0.0142266684009001</v>
      </c>
      <c r="L33" s="25" t="n">
        <f aca="false">IFERROR(G33/SUM(G3:G14,G17:G35),"")</f>
        <v>0.00603440160502045</v>
      </c>
      <c r="M33" s="21"/>
    </row>
    <row r="34" customFormat="false" ht="15" hidden="false" customHeight="true" outlineLevel="0" collapsed="false">
      <c r="A34" s="21" t="s">
        <v>117</v>
      </c>
      <c r="B34" s="22" t="s">
        <v>154</v>
      </c>
      <c r="C34" s="21" t="s">
        <v>155</v>
      </c>
      <c r="D34" s="22" t="s">
        <v>90</v>
      </c>
      <c r="E34" s="22" t="n">
        <v>0</v>
      </c>
      <c r="F34" s="22" t="n">
        <v>37.61</v>
      </c>
      <c r="G34" s="23" t="n">
        <f aca="false">E34*F34</f>
        <v>0</v>
      </c>
      <c r="H34" s="22" t="n">
        <v>0</v>
      </c>
      <c r="I34" s="24" t="n">
        <f aca="false">G34-H34</f>
        <v>0</v>
      </c>
      <c r="J34" s="25" t="str">
        <f aca="false">IF(H34=0,"",G34/H34-1)</f>
        <v/>
      </c>
      <c r="K34" s="25" t="n">
        <f aca="false">IFERROR(G34/SUM(G17:G35),"")</f>
        <v>0</v>
      </c>
      <c r="L34" s="25" t="n">
        <f aca="false">IFERROR(G34/SUM(G3:G14,G17:G35),"")</f>
        <v>0</v>
      </c>
      <c r="M34" s="21" t="s">
        <v>156</v>
      </c>
    </row>
    <row r="35" customFormat="false" ht="15" hidden="false" customHeight="true" outlineLevel="0" collapsed="false">
      <c r="A35" s="21" t="s">
        <v>117</v>
      </c>
      <c r="B35" s="22" t="s">
        <v>105</v>
      </c>
      <c r="C35" s="21" t="s">
        <v>106</v>
      </c>
      <c r="D35" s="22" t="s">
        <v>90</v>
      </c>
      <c r="E35" s="22" t="n">
        <v>20</v>
      </c>
      <c r="F35" s="22" t="n">
        <v>162.66</v>
      </c>
      <c r="G35" s="23" t="n">
        <f aca="false">E35*F35</f>
        <v>3253.2</v>
      </c>
      <c r="H35" s="22" t="n">
        <v>3178</v>
      </c>
      <c r="I35" s="24" t="n">
        <f aca="false">G35-H35</f>
        <v>75.1999999999998</v>
      </c>
      <c r="J35" s="25" t="n">
        <f aca="false">IF(H35=0,"",G35/H35-1)</f>
        <v>0.0236626809314033</v>
      </c>
      <c r="K35" s="25" t="n">
        <f aca="false">IFERROR(G35/SUM(G17:G35),"")</f>
        <v>0.0109450144709038</v>
      </c>
      <c r="L35" s="25" t="n">
        <f aca="false">IFERROR(G35/SUM(G3:G14,G17:G35),"")</f>
        <v>0.00464245113676895</v>
      </c>
      <c r="M35" s="21"/>
    </row>
    <row r="36" customFormat="false" ht="15" hidden="false" customHeight="true" outlineLevel="0" collapsed="false">
      <c r="A36" s="30"/>
      <c r="B36" s="30"/>
      <c r="C36" s="32" t="s">
        <v>157</v>
      </c>
      <c r="D36" s="30"/>
      <c r="E36" s="30"/>
      <c r="F36" s="30"/>
      <c r="G36" s="28" t="n">
        <f aca="false">SUM(G17:G35)</f>
        <v>297231.219625</v>
      </c>
      <c r="H36" s="28" t="n">
        <f aca="false">SUM(H17:H35)</f>
        <v>266979.7</v>
      </c>
      <c r="I36" s="28" t="n">
        <f aca="false">SUM(I17:I35)</f>
        <v>30251.519625</v>
      </c>
      <c r="J36" s="30"/>
      <c r="K36" s="30"/>
      <c r="L36" s="30"/>
      <c r="M36" s="30"/>
    </row>
    <row r="38" customFormat="false" ht="15" hidden="false" customHeight="true" outlineLevel="0" collapsed="false">
      <c r="A38" s="33"/>
      <c r="B38" s="33"/>
      <c r="C38" s="34" t="s">
        <v>158</v>
      </c>
      <c r="D38" s="33"/>
      <c r="E38" s="33"/>
      <c r="F38" s="33"/>
      <c r="G38" s="35" t="n">
        <f aca="false">SUM(G3:G14)+SUM(G17:G35)</f>
        <v>700750.509625</v>
      </c>
      <c r="H38" s="35" t="n">
        <f aca="false">SUM(H3:H14)+SUM(H17:H35)</f>
        <v>648174.27</v>
      </c>
      <c r="I38" s="35" t="n">
        <f aca="false">SUM(I3:I14)+SUM(I17:I35)</f>
        <v>52576.239625</v>
      </c>
      <c r="J38" s="33"/>
      <c r="K38" s="33"/>
      <c r="L38" s="33"/>
      <c r="M38" s="33"/>
    </row>
    <row r="40" customFormat="false" ht="39.75" hidden="false" customHeight="true" outlineLevel="0" collapsed="false">
      <c r="A40" s="36" t="s">
        <v>159</v>
      </c>
      <c r="B40" s="36"/>
      <c r="C40" s="36"/>
      <c r="D40" s="36"/>
      <c r="E40" s="36"/>
      <c r="F40" s="36"/>
      <c r="G40" s="36"/>
      <c r="H40" s="36"/>
      <c r="I40" s="36"/>
      <c r="J40" s="36"/>
      <c r="K40" s="36"/>
      <c r="L40" s="36"/>
      <c r="M40" s="36"/>
    </row>
  </sheetData>
  <mergeCells count="3">
    <mergeCell ref="A1:M1"/>
    <mergeCell ref="O1:P1"/>
    <mergeCell ref="A40:M40"/>
  </mergeCells>
  <conditionalFormatting sqref="J3:J35">
    <cfRule type="cellIs" priority="2" operator="greaterThan" aboveAverage="0" equalAverage="0" bottom="0" percent="0" rank="0" text="" dxfId="13">
      <formula>0</formula>
    </cfRule>
    <cfRule type="cellIs" priority="3" operator="lessThan" aboveAverage="0" equalAverage="0" bottom="0" percent="0" rank="0" text="" dxfId="14">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1"/>
    <col collapsed="false" customWidth="true" hidden="false" outlineLevel="0" max="5" min="4" style="1" width="10"/>
    <col collapsed="false" customWidth="true" hidden="false" outlineLevel="0" max="6" min="6" style="1" width="11"/>
    <col collapsed="false" customWidth="true" hidden="false" outlineLevel="0" max="9" min="7"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4" min="13" style="1" width="10"/>
    <col collapsed="false" customWidth="true" hidden="false" outlineLevel="0" max="15" min="15" style="1" width="24"/>
    <col collapsed="false" customWidth="true" hidden="false" outlineLevel="0" max="16" min="16" style="1" width="28"/>
  </cols>
  <sheetData>
    <row r="1" customFormat="false" ht="25.5" hidden="false" customHeight="true" outlineLevel="0" collapsed="false">
      <c r="A1" s="16" t="s">
        <v>160</v>
      </c>
      <c r="B1" s="16"/>
      <c r="C1" s="16"/>
      <c r="D1" s="16"/>
      <c r="E1" s="16"/>
      <c r="F1" s="16"/>
      <c r="G1" s="16"/>
      <c r="H1" s="16"/>
      <c r="I1" s="16"/>
      <c r="J1" s="16"/>
      <c r="K1" s="16"/>
      <c r="L1" s="16"/>
      <c r="M1" s="16"/>
      <c r="N1" s="16"/>
      <c r="O1" s="16"/>
      <c r="P1" s="16"/>
    </row>
    <row r="2" customFormat="false" ht="31.5" hidden="false" customHeight="true" outlineLevel="0" collapsed="false">
      <c r="A2" s="18" t="s">
        <v>74</v>
      </c>
      <c r="B2" s="18" t="s">
        <v>161</v>
      </c>
      <c r="C2" s="18" t="s">
        <v>162</v>
      </c>
      <c r="D2" s="18" t="s">
        <v>163</v>
      </c>
      <c r="E2" s="18" t="s">
        <v>164</v>
      </c>
      <c r="F2" s="18" t="s">
        <v>165</v>
      </c>
      <c r="G2" s="18" t="s">
        <v>166</v>
      </c>
      <c r="H2" s="18" t="s">
        <v>167</v>
      </c>
      <c r="I2" s="18" t="s">
        <v>168</v>
      </c>
      <c r="J2" s="18" t="s">
        <v>169</v>
      </c>
      <c r="K2" s="18" t="s">
        <v>170</v>
      </c>
      <c r="L2" s="18" t="s">
        <v>171</v>
      </c>
      <c r="M2" s="18" t="s">
        <v>172</v>
      </c>
      <c r="N2" s="18" t="s">
        <v>173</v>
      </c>
      <c r="O2" s="18" t="s">
        <v>174</v>
      </c>
      <c r="P2" s="18" t="s">
        <v>175</v>
      </c>
    </row>
    <row r="3" customFormat="false" ht="15" hidden="false" customHeight="true" outlineLevel="0" collapsed="false">
      <c r="A3" s="22" t="s">
        <v>88</v>
      </c>
      <c r="B3" s="21" t="s">
        <v>176</v>
      </c>
      <c r="C3" s="37" t="n">
        <v>46240</v>
      </c>
      <c r="D3" s="22" t="n">
        <v>85.8</v>
      </c>
      <c r="E3" s="22" t="n">
        <v>4.57</v>
      </c>
      <c r="F3" s="22" t="s">
        <v>177</v>
      </c>
      <c r="G3" s="22" t="n">
        <v>259.32</v>
      </c>
      <c r="H3" s="38"/>
      <c r="I3" s="39" t="str">
        <f aca="false">IF(OR(G3="",H3=""),"",H3/G3-1)</f>
        <v/>
      </c>
      <c r="J3" s="40"/>
      <c r="K3" s="22"/>
      <c r="L3" s="21"/>
      <c r="M3" s="22"/>
      <c r="N3" s="41" t="n">
        <f aca="true">IF(C3="","",TODAY()-C3)</f>
        <v>19</v>
      </c>
      <c r="O3" s="42" t="str">
        <f aca="true">IF(A3="","",IF(N3&gt;180,"DUE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Monitor Only</v>
      </c>
      <c r="P3" s="21"/>
    </row>
    <row r="4" customFormat="false" ht="15" hidden="false" customHeight="true" outlineLevel="0" collapsed="false">
      <c r="A4" s="22" t="s">
        <v>93</v>
      </c>
      <c r="B4" s="21" t="s">
        <v>176</v>
      </c>
      <c r="C4" s="37" t="n">
        <v>46240</v>
      </c>
      <c r="D4" s="22" t="n">
        <v>85</v>
      </c>
      <c r="E4" s="22" t="n">
        <v>4.57</v>
      </c>
      <c r="F4" s="22" t="s">
        <v>177</v>
      </c>
      <c r="G4" s="22" t="n">
        <v>190.51</v>
      </c>
      <c r="H4" s="38"/>
      <c r="I4" s="39" t="str">
        <f aca="false">IF(OR(G4="",H4=""),"",H4/G4-1)</f>
        <v/>
      </c>
      <c r="J4" s="40"/>
      <c r="K4" s="22"/>
      <c r="L4" s="21"/>
      <c r="M4" s="22"/>
      <c r="N4" s="41" t="n">
        <f aca="true">IF(C4="","",TODAY()-C4)</f>
        <v>19</v>
      </c>
      <c r="O4" s="42" t="str">
        <f aca="true">IF(A4="","",IF(N4&gt;180,"DUE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Monitor Only</v>
      </c>
      <c r="P4" s="21"/>
    </row>
    <row r="5" customFormat="false" ht="15" hidden="false" customHeight="true" outlineLevel="0" collapsed="false">
      <c r="A5" s="22" t="s">
        <v>95</v>
      </c>
      <c r="B5" s="21" t="s">
        <v>176</v>
      </c>
      <c r="C5" s="37" t="n">
        <v>46240</v>
      </c>
      <c r="D5" s="22" t="n">
        <v>73.2</v>
      </c>
      <c r="E5" s="22" t="n">
        <v>3.57</v>
      </c>
      <c r="F5" s="22" t="s">
        <v>178</v>
      </c>
      <c r="G5" s="22" t="n">
        <v>1678.22</v>
      </c>
      <c r="H5" s="38"/>
      <c r="I5" s="39" t="str">
        <f aca="false">IF(OR(G5="",H5=""),"",H5/G5-1)</f>
        <v/>
      </c>
      <c r="J5" s="40"/>
      <c r="K5" s="22"/>
      <c r="L5" s="21"/>
      <c r="M5" s="22"/>
      <c r="N5" s="41" t="n">
        <f aca="true">IF(C5="","",TODAY()-C5)</f>
        <v>19</v>
      </c>
      <c r="O5" s="42" t="str">
        <f aca="true">IF(A5="","",IF(N5&gt;180,"DUE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P5" s="21"/>
    </row>
    <row r="6" customFormat="false" ht="15" hidden="false" customHeight="true" outlineLevel="0" collapsed="false">
      <c r="A6" s="22" t="s">
        <v>97</v>
      </c>
      <c r="B6" s="21" t="s">
        <v>176</v>
      </c>
      <c r="C6" s="37" t="n">
        <v>46240</v>
      </c>
      <c r="D6" s="22" t="n">
        <v>70.4</v>
      </c>
      <c r="E6" s="22" t="n">
        <v>4</v>
      </c>
      <c r="F6" s="22" t="s">
        <v>178</v>
      </c>
      <c r="G6" s="22" t="n">
        <v>211.22</v>
      </c>
      <c r="H6" s="38"/>
      <c r="I6" s="39" t="str">
        <f aca="false">IF(OR(G6="",H6=""),"",H6/G6-1)</f>
        <v/>
      </c>
      <c r="J6" s="40"/>
      <c r="K6" s="22"/>
      <c r="L6" s="21"/>
      <c r="M6" s="22"/>
      <c r="N6" s="41" t="n">
        <f aca="true">IF(C6="","",TODAY()-C6)</f>
        <v>19</v>
      </c>
      <c r="O6" s="42" t="str">
        <f aca="true">IF(A6="","",IF(N6&gt;180,"DUE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Monitor Only</v>
      </c>
      <c r="P6" s="21"/>
    </row>
    <row r="7" customFormat="false" ht="15" hidden="false" customHeight="true" outlineLevel="0" collapsed="false">
      <c r="A7" s="22" t="s">
        <v>99</v>
      </c>
      <c r="B7" s="21" t="s">
        <v>176</v>
      </c>
      <c r="C7" s="37" t="n">
        <v>46240</v>
      </c>
      <c r="D7" s="22" t="n">
        <v>68.6</v>
      </c>
      <c r="E7" s="22" t="n">
        <v>3.43</v>
      </c>
      <c r="F7" s="22" t="s">
        <v>178</v>
      </c>
      <c r="G7" s="22" t="n">
        <v>192.8</v>
      </c>
      <c r="H7" s="38"/>
      <c r="I7" s="39" t="str">
        <f aca="false">IF(OR(G7="",H7=""),"",H7/G7-1)</f>
        <v/>
      </c>
      <c r="J7" s="40"/>
      <c r="K7" s="22"/>
      <c r="L7" s="21"/>
      <c r="M7" s="22"/>
      <c r="N7" s="41" t="n">
        <f aca="true">IF(C7="","",TODAY()-C7)</f>
        <v>19</v>
      </c>
      <c r="O7" s="42" t="str">
        <f aca="true">IF(A7="","",IF(N7&gt;180,"DUE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Monitor Only</v>
      </c>
      <c r="P7" s="21"/>
    </row>
    <row r="8" customFormat="false" ht="15" hidden="false" customHeight="true" outlineLevel="0" collapsed="false">
      <c r="A8" s="22" t="s">
        <v>101</v>
      </c>
      <c r="B8" s="21" t="s">
        <v>176</v>
      </c>
      <c r="C8" s="37" t="n">
        <v>46240</v>
      </c>
      <c r="D8" s="22" t="n">
        <v>71.8</v>
      </c>
      <c r="E8" s="22" t="n">
        <v>3.64</v>
      </c>
      <c r="F8" s="22" t="s">
        <v>178</v>
      </c>
      <c r="G8" s="22" t="n">
        <v>893.19</v>
      </c>
      <c r="H8" s="38"/>
      <c r="I8" s="39" t="str">
        <f aca="false">IF(OR(G8="",H8=""),"",H8/G8-1)</f>
        <v/>
      </c>
      <c r="J8" s="40"/>
      <c r="K8" s="22"/>
      <c r="L8" s="21"/>
      <c r="M8" s="22"/>
      <c r="N8" s="41" t="n">
        <f aca="true">IF(C8="","",TODAY()-C8)</f>
        <v>19</v>
      </c>
      <c r="O8" s="42" t="str">
        <f aca="true">IF(A8="","",IF(N8&gt;180,"DUE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Monitor Only</v>
      </c>
      <c r="P8" s="21"/>
    </row>
    <row r="9" customFormat="false" ht="15" hidden="false" customHeight="true" outlineLevel="0" collapsed="false">
      <c r="A9" s="22" t="s">
        <v>103</v>
      </c>
      <c r="B9" s="21" t="s">
        <v>176</v>
      </c>
      <c r="C9" s="37" t="n">
        <v>46240</v>
      </c>
      <c r="D9" s="22" t="n">
        <v>93.2</v>
      </c>
      <c r="E9" s="22" t="n">
        <v>4.57</v>
      </c>
      <c r="F9" s="22" t="s">
        <v>177</v>
      </c>
      <c r="G9" s="22" t="n">
        <v>211.87</v>
      </c>
      <c r="H9" s="38"/>
      <c r="I9" s="39" t="str">
        <f aca="false">IF(OR(G9="",H9=""),"",H9/G9-1)</f>
        <v/>
      </c>
      <c r="J9" s="40"/>
      <c r="K9" s="22"/>
      <c r="L9" s="21"/>
      <c r="M9" s="22"/>
      <c r="N9" s="41" t="n">
        <f aca="true">IF(C9="","",TODAY()-C9)</f>
        <v>19</v>
      </c>
      <c r="O9" s="42" t="str">
        <f aca="true">IF(A9="","",IF(N9&gt;180,"DUE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Monitor Only</v>
      </c>
      <c r="P9" s="21"/>
    </row>
    <row r="10" customFormat="false" ht="15" hidden="false" customHeight="true" outlineLevel="0" collapsed="false">
      <c r="A10" s="22" t="s">
        <v>105</v>
      </c>
      <c r="B10" s="21" t="s">
        <v>176</v>
      </c>
      <c r="C10" s="37" t="n">
        <v>46240</v>
      </c>
      <c r="D10" s="22" t="n">
        <v>75.2</v>
      </c>
      <c r="E10" s="22" t="n">
        <v>4</v>
      </c>
      <c r="F10" s="22" t="s">
        <v>178</v>
      </c>
      <c r="G10" s="22" t="n">
        <v>162.66</v>
      </c>
      <c r="H10" s="38"/>
      <c r="I10" s="39" t="str">
        <f aca="false">IF(OR(G10="",H10=""),"",H10/G10-1)</f>
        <v/>
      </c>
      <c r="J10" s="40"/>
      <c r="K10" s="22"/>
      <c r="L10" s="21"/>
      <c r="M10" s="22"/>
      <c r="N10" s="41" t="n">
        <f aca="true">IF(C10="","",TODAY()-C10)</f>
        <v>19</v>
      </c>
      <c r="O10" s="42" t="str">
        <f aca="true">IF(A10="","",IF(N10&gt;180,"DUE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Monitor Only</v>
      </c>
      <c r="P10" s="21"/>
    </row>
    <row r="11" customFormat="false" ht="15" hidden="false" customHeight="true" outlineLevel="0" collapsed="false">
      <c r="A11" s="22" t="s">
        <v>107</v>
      </c>
      <c r="B11" s="21" t="s">
        <v>176</v>
      </c>
      <c r="C11" s="37" t="n">
        <v>46240</v>
      </c>
      <c r="D11" s="22" t="n">
        <v>81</v>
      </c>
      <c r="E11" s="22" t="n">
        <v>4</v>
      </c>
      <c r="F11" s="22" t="s">
        <v>177</v>
      </c>
      <c r="G11" s="22" t="n">
        <v>414</v>
      </c>
      <c r="H11" s="38"/>
      <c r="I11" s="39" t="str">
        <f aca="false">IF(OR(G11="",H11=""),"",H11/G11-1)</f>
        <v/>
      </c>
      <c r="J11" s="40"/>
      <c r="K11" s="22"/>
      <c r="L11" s="21"/>
      <c r="M11" s="22"/>
      <c r="N11" s="41" t="n">
        <f aca="true">IF(C11="","",TODAY()-C11)</f>
        <v>19</v>
      </c>
      <c r="O11" s="42" t="str">
        <f aca="true">IF(A11="","",IF(N11&gt;180,"DUE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Monitor Only</v>
      </c>
      <c r="P11" s="21"/>
    </row>
    <row r="12" customFormat="false" ht="15" hidden="false" customHeight="true" outlineLevel="0" collapsed="false">
      <c r="A12" s="22" t="s">
        <v>109</v>
      </c>
      <c r="B12" s="21" t="s">
        <v>176</v>
      </c>
      <c r="C12" s="37" t="n">
        <v>46240</v>
      </c>
      <c r="D12" s="22" t="n">
        <v>82.8</v>
      </c>
      <c r="E12" s="22" t="n">
        <v>4.36</v>
      </c>
      <c r="F12" s="22" t="s">
        <v>177</v>
      </c>
      <c r="G12" s="22" t="n">
        <v>277.94</v>
      </c>
      <c r="H12" s="38"/>
      <c r="I12" s="39" t="str">
        <f aca="false">IF(OR(G12="",H12=""),"",H12/G12-1)</f>
        <v/>
      </c>
      <c r="J12" s="40"/>
      <c r="K12" s="22"/>
      <c r="L12" s="21"/>
      <c r="M12" s="22"/>
      <c r="N12" s="41" t="n">
        <f aca="true">IF(C12="","",TODAY()-C12)</f>
        <v>19</v>
      </c>
      <c r="O12" s="42" t="str">
        <f aca="true">IF(A12="","",IF(N12&gt;180,"DUE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Monitor Only</v>
      </c>
      <c r="P12" s="21"/>
    </row>
    <row r="13" customFormat="false" ht="15" hidden="false" customHeight="true" outlineLevel="0" collapsed="false">
      <c r="A13" s="22" t="s">
        <v>131</v>
      </c>
      <c r="B13" s="21" t="s">
        <v>176</v>
      </c>
      <c r="C13" s="37" t="n">
        <v>46240</v>
      </c>
      <c r="D13" s="22" t="n">
        <v>80.8</v>
      </c>
      <c r="E13" s="22" t="n">
        <v>4.07</v>
      </c>
      <c r="F13" s="22" t="s">
        <v>177</v>
      </c>
      <c r="G13" s="22" t="n">
        <v>418.16</v>
      </c>
      <c r="H13" s="38"/>
      <c r="I13" s="39" t="str">
        <f aca="false">IF(OR(G13="",H13=""),"",H13/G13-1)</f>
        <v/>
      </c>
      <c r="J13" s="40"/>
      <c r="K13" s="22"/>
      <c r="L13" s="21"/>
      <c r="M13" s="22"/>
      <c r="N13" s="41" t="n">
        <f aca="true">IF(C13="","",TODAY()-C13)</f>
        <v>19</v>
      </c>
      <c r="O13" s="42" t="str">
        <f aca="true">IF(A13="","",IF(N13&gt;180,"DUE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Monitor Only</v>
      </c>
      <c r="P13" s="21"/>
    </row>
    <row r="14" customFormat="false" ht="15" hidden="false" customHeight="true" outlineLevel="0" collapsed="false">
      <c r="A14" s="22" t="s">
        <v>140</v>
      </c>
      <c r="B14" s="21" t="s">
        <v>176</v>
      </c>
      <c r="C14" s="37" t="n">
        <v>46240</v>
      </c>
      <c r="D14" s="22" t="n">
        <v>82</v>
      </c>
      <c r="E14" s="22" t="n">
        <v>4.36</v>
      </c>
      <c r="F14" s="22" t="s">
        <v>177</v>
      </c>
      <c r="G14" s="22" t="n">
        <v>139.06</v>
      </c>
      <c r="H14" s="38"/>
      <c r="I14" s="39" t="str">
        <f aca="false">IF(OR(G14="",H14=""),"",H14/G14-1)</f>
        <v/>
      </c>
      <c r="J14" s="40"/>
      <c r="K14" s="22"/>
      <c r="L14" s="21"/>
      <c r="M14" s="22"/>
      <c r="N14" s="41" t="n">
        <f aca="true">IF(C14="","",TODAY()-C14)</f>
        <v>19</v>
      </c>
      <c r="O14" s="42" t="str">
        <f aca="true">IF(A14="","",IF(N14&gt;180,"DUE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P14" s="21"/>
    </row>
    <row r="15" customFormat="false" ht="15" hidden="false" customHeight="true" outlineLevel="0" collapsed="false">
      <c r="A15" s="22" t="s">
        <v>133</v>
      </c>
      <c r="B15" s="21" t="s">
        <v>176</v>
      </c>
      <c r="C15" s="37" t="n">
        <v>46241</v>
      </c>
      <c r="D15" s="22" t="n">
        <v>75.6</v>
      </c>
      <c r="E15" s="22" t="n">
        <v>3.79</v>
      </c>
      <c r="F15" s="22" t="s">
        <v>178</v>
      </c>
      <c r="G15" s="22" t="n">
        <v>478.7</v>
      </c>
      <c r="H15" s="38"/>
      <c r="I15" s="39" t="str">
        <f aca="false">IF(OR(G15="",H15=""),"",H15/G15-1)</f>
        <v/>
      </c>
      <c r="J15" s="40"/>
      <c r="K15" s="22"/>
      <c r="L15" s="21"/>
      <c r="M15" s="22"/>
      <c r="N15" s="41" t="n">
        <f aca="true">IF(C15="","",TODAY()-C15)</f>
        <v>18</v>
      </c>
      <c r="O15" s="42" t="str">
        <f aca="true">IF(A15="","",IF(N15&gt;180,"DUE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P15" s="21" t="s">
        <v>179</v>
      </c>
    </row>
    <row r="16" customFormat="false" ht="15" hidden="false" customHeight="true" outlineLevel="0" collapsed="false">
      <c r="A16" s="22" t="s">
        <v>143</v>
      </c>
      <c r="B16" s="21" t="s">
        <v>180</v>
      </c>
      <c r="C16" s="37" t="n">
        <v>46240</v>
      </c>
      <c r="D16" s="22"/>
      <c r="E16" s="22" t="n">
        <v>1.86</v>
      </c>
      <c r="F16" s="22" t="s">
        <v>181</v>
      </c>
      <c r="G16" s="22" t="n">
        <v>86.07</v>
      </c>
      <c r="H16" s="38"/>
      <c r="I16" s="39" t="str">
        <f aca="false">IF(OR(G16="",H16=""),"",H16/G16-1)</f>
        <v/>
      </c>
      <c r="J16" s="40"/>
      <c r="K16" s="22"/>
      <c r="L16" s="21"/>
      <c r="M16" s="22"/>
      <c r="N16" s="41" t="n">
        <f aca="true">IF(C16="","",TODAY()-C16)</f>
        <v>19</v>
      </c>
      <c r="O16" s="42" t="str">
        <f aca="true">IF(A16="","",IF(N16&gt;180,"DUE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P16" s="21" t="s">
        <v>182</v>
      </c>
    </row>
    <row r="17" customFormat="false" ht="15" hidden="false" customHeight="true" outlineLevel="0" collapsed="false">
      <c r="A17" s="22" t="s">
        <v>146</v>
      </c>
      <c r="B17" s="21" t="s">
        <v>180</v>
      </c>
      <c r="C17" s="37" t="n">
        <v>46240</v>
      </c>
      <c r="D17" s="22"/>
      <c r="E17" s="22" t="n">
        <v>1.93</v>
      </c>
      <c r="F17" s="22" t="s">
        <v>181</v>
      </c>
      <c r="G17" s="22" t="n">
        <v>327.35</v>
      </c>
      <c r="H17" s="38"/>
      <c r="I17" s="39" t="str">
        <f aca="false">IF(OR(G17="",H17=""),"",H17/G17-1)</f>
        <v/>
      </c>
      <c r="J17" s="40"/>
      <c r="K17" s="22"/>
      <c r="L17" s="21"/>
      <c r="M17" s="22"/>
      <c r="N17" s="41" t="n">
        <f aca="true">IF(C17="","",TODAY()-C17)</f>
        <v>19</v>
      </c>
      <c r="O17" s="42" t="str">
        <f aca="true">IF(A17="","",IF(N17&gt;180,"DUE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Monitor Only</v>
      </c>
      <c r="P17" s="21" t="s">
        <v>182</v>
      </c>
    </row>
    <row r="18" customFormat="false" ht="15" hidden="false" customHeight="true" outlineLevel="0" collapsed="false">
      <c r="A18" s="22" t="s">
        <v>154</v>
      </c>
      <c r="B18" s="21" t="s">
        <v>180</v>
      </c>
      <c r="C18" s="37" t="n">
        <v>46240</v>
      </c>
      <c r="D18" s="22"/>
      <c r="E18" s="22" t="n">
        <v>2.64</v>
      </c>
      <c r="F18" s="22" t="s">
        <v>181</v>
      </c>
      <c r="G18" s="22" t="n">
        <v>37.61</v>
      </c>
      <c r="H18" s="38"/>
      <c r="I18" s="39" t="str">
        <f aca="false">IF(OR(G18="",H18=""),"",H18/G18-1)</f>
        <v/>
      </c>
      <c r="J18" s="40"/>
      <c r="K18" s="22"/>
      <c r="L18" s="21"/>
      <c r="M18" s="22"/>
      <c r="N18" s="41" t="n">
        <f aca="true">IF(C18="","",TODAY()-C18)</f>
        <v>19</v>
      </c>
      <c r="O18" s="42" t="str">
        <f aca="true">IF(A18="","",IF(N18&gt;180,"DUE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P18" s="21" t="s">
        <v>182</v>
      </c>
    </row>
    <row r="19" customFormat="false" ht="15" hidden="false" customHeight="true" outlineLevel="0" collapsed="false">
      <c r="A19" s="21"/>
      <c r="B19" s="21"/>
      <c r="C19" s="22"/>
      <c r="D19" s="22"/>
      <c r="E19" s="22"/>
      <c r="F19" s="22"/>
      <c r="G19" s="22"/>
      <c r="H19" s="38"/>
      <c r="I19" s="39" t="str">
        <f aca="false">IF(OR(G19="",H19=""),"",H19/G19-1)</f>
        <v/>
      </c>
      <c r="J19" s="40"/>
      <c r="K19" s="22"/>
      <c r="L19" s="21"/>
      <c r="M19" s="22"/>
      <c r="N19" s="41" t="str">
        <f aca="true">IF(C19="","",TODAY()-C19)</f>
        <v/>
      </c>
      <c r="O19" s="42" t="str">
        <f aca="true">IF(A19="","",IF(N19&gt;180,"DUE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
      </c>
      <c r="P19" s="21"/>
    </row>
    <row r="20" customFormat="false" ht="15" hidden="false" customHeight="true" outlineLevel="0" collapsed="false">
      <c r="A20" s="21"/>
      <c r="B20" s="21"/>
      <c r="C20" s="22"/>
      <c r="D20" s="22"/>
      <c r="E20" s="22"/>
      <c r="F20" s="22"/>
      <c r="G20" s="22"/>
      <c r="H20" s="38"/>
      <c r="I20" s="39" t="str">
        <f aca="false">IF(OR(G20="",H20=""),"",H20/G20-1)</f>
        <v/>
      </c>
      <c r="J20" s="40"/>
      <c r="K20" s="22"/>
      <c r="L20" s="21"/>
      <c r="M20" s="22"/>
      <c r="N20" s="41" t="str">
        <f aca="true">IF(C20="","",TODAY()-C20)</f>
        <v/>
      </c>
      <c r="O20" s="42" t="str">
        <f aca="true">IF(A20="","",IF(N20&gt;180,"DUE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
      </c>
      <c r="P20" s="21"/>
    </row>
    <row r="21" customFormat="false" ht="15" hidden="false" customHeight="true" outlineLevel="0" collapsed="false">
      <c r="A21" s="21"/>
      <c r="B21" s="21"/>
      <c r="C21" s="22"/>
      <c r="D21" s="22"/>
      <c r="E21" s="22"/>
      <c r="F21" s="22"/>
      <c r="G21" s="22"/>
      <c r="H21" s="38"/>
      <c r="I21" s="39" t="str">
        <f aca="false">IF(OR(G21="",H21=""),"",H21/G21-1)</f>
        <v/>
      </c>
      <c r="J21" s="40"/>
      <c r="K21" s="22"/>
      <c r="L21" s="21"/>
      <c r="M21" s="22"/>
      <c r="N21" s="41" t="str">
        <f aca="true">IF(C21="","",TODAY()-C21)</f>
        <v/>
      </c>
      <c r="O21" s="42" t="str">
        <f aca="true">IF(A21="","",IF(N21&gt;180,"DUE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
      </c>
      <c r="P21" s="21"/>
    </row>
    <row r="22" customFormat="false" ht="15" hidden="false" customHeight="true" outlineLevel="0" collapsed="false">
      <c r="A22" s="21"/>
      <c r="B22" s="21"/>
      <c r="C22" s="22"/>
      <c r="D22" s="22"/>
      <c r="E22" s="22"/>
      <c r="F22" s="22"/>
      <c r="G22" s="22"/>
      <c r="H22" s="38"/>
      <c r="I22" s="39" t="str">
        <f aca="false">IF(OR(G22="",H22=""),"",H22/G22-1)</f>
        <v/>
      </c>
      <c r="J22" s="40"/>
      <c r="K22" s="22"/>
      <c r="L22" s="21"/>
      <c r="M22" s="22"/>
      <c r="N22" s="41" t="str">
        <f aca="true">IF(C22="","",TODAY()-C22)</f>
        <v/>
      </c>
      <c r="O22" s="42" t="str">
        <f aca="true">IF(A22="","",IF(N22&gt;180,"DUE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
      </c>
      <c r="P22" s="21"/>
    </row>
    <row r="23" customFormat="false" ht="15" hidden="false" customHeight="true" outlineLevel="0" collapsed="false">
      <c r="A23" s="21"/>
      <c r="B23" s="21"/>
      <c r="C23" s="22"/>
      <c r="D23" s="22"/>
      <c r="E23" s="22"/>
      <c r="F23" s="22"/>
      <c r="G23" s="22"/>
      <c r="H23" s="38"/>
      <c r="I23" s="39" t="str">
        <f aca="false">IF(OR(G23="",H23=""),"",H23/G23-1)</f>
        <v/>
      </c>
      <c r="J23" s="40"/>
      <c r="K23" s="22"/>
      <c r="L23" s="21"/>
      <c r="M23" s="22"/>
      <c r="N23" s="41" t="str">
        <f aca="true">IF(C23="","",TODAY()-C23)</f>
        <v/>
      </c>
      <c r="O23" s="42" t="str">
        <f aca="true">IF(A23="","",IF(N23&gt;180,"DUE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
      </c>
      <c r="P23" s="21"/>
    </row>
    <row r="24" customFormat="false" ht="15" hidden="false" customHeight="true" outlineLevel="0" collapsed="false">
      <c r="A24" s="21"/>
      <c r="B24" s="21"/>
      <c r="C24" s="22"/>
      <c r="D24" s="22"/>
      <c r="E24" s="22"/>
      <c r="F24" s="22"/>
      <c r="G24" s="22"/>
      <c r="H24" s="38"/>
      <c r="I24" s="39" t="str">
        <f aca="false">IF(OR(G24="",H24=""),"",H24/G24-1)</f>
        <v/>
      </c>
      <c r="J24" s="40"/>
      <c r="K24" s="22"/>
      <c r="L24" s="21"/>
      <c r="M24" s="22"/>
      <c r="N24" s="41" t="str">
        <f aca="true">IF(C24="","",TODAY()-C24)</f>
        <v/>
      </c>
      <c r="O24" s="42" t="str">
        <f aca="true">IF(A24="","",IF(N24&gt;180,"DUE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
      </c>
      <c r="P24" s="21"/>
    </row>
    <row r="25" customFormat="false" ht="15" hidden="false" customHeight="true" outlineLevel="0" collapsed="false">
      <c r="A25" s="21"/>
      <c r="B25" s="21"/>
      <c r="C25" s="22"/>
      <c r="D25" s="22"/>
      <c r="E25" s="22"/>
      <c r="F25" s="22"/>
      <c r="G25" s="22"/>
      <c r="H25" s="38"/>
      <c r="I25" s="39" t="str">
        <f aca="false">IF(OR(G25="",H25=""),"",H25/G25-1)</f>
        <v/>
      </c>
      <c r="J25" s="40"/>
      <c r="K25" s="22"/>
      <c r="L25" s="21"/>
      <c r="M25" s="22"/>
      <c r="N25" s="41" t="str">
        <f aca="true">IF(C25="","",TODAY()-C25)</f>
        <v/>
      </c>
      <c r="O25" s="42" t="str">
        <f aca="true">IF(A25="","",IF(N25&gt;180,"DUE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
      </c>
      <c r="P25" s="21"/>
    </row>
    <row r="26" customFormat="false" ht="15" hidden="false" customHeight="true" outlineLevel="0" collapsed="false">
      <c r="A26" s="21"/>
      <c r="B26" s="21"/>
      <c r="C26" s="22"/>
      <c r="D26" s="22"/>
      <c r="E26" s="22"/>
      <c r="F26" s="22"/>
      <c r="G26" s="22"/>
      <c r="H26" s="38"/>
      <c r="I26" s="39" t="str">
        <f aca="false">IF(OR(G26="",H26=""),"",H26/G26-1)</f>
        <v/>
      </c>
      <c r="J26" s="40"/>
      <c r="K26" s="22"/>
      <c r="L26" s="21"/>
      <c r="M26" s="22"/>
      <c r="N26" s="41" t="str">
        <f aca="true">IF(C26="","",TODAY()-C26)</f>
        <v/>
      </c>
      <c r="O26" s="42" t="str">
        <f aca="true">IF(A26="","",IF(N26&gt;180,"DUE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
      </c>
      <c r="P26" s="21"/>
    </row>
    <row r="27" customFormat="false" ht="15" hidden="false" customHeight="true" outlineLevel="0" collapsed="false">
      <c r="A27" s="21"/>
      <c r="B27" s="21"/>
      <c r="C27" s="22"/>
      <c r="D27" s="22"/>
      <c r="E27" s="22"/>
      <c r="F27" s="22"/>
      <c r="G27" s="22"/>
      <c r="H27" s="38"/>
      <c r="I27" s="39" t="str">
        <f aca="false">IF(OR(G27="",H27=""),"",H27/G27-1)</f>
        <v/>
      </c>
      <c r="J27" s="40"/>
      <c r="K27" s="22"/>
      <c r="L27" s="21"/>
      <c r="M27" s="22"/>
      <c r="N27" s="41" t="str">
        <f aca="true">IF(C27="","",TODAY()-C27)</f>
        <v/>
      </c>
      <c r="O27" s="42" t="str">
        <f aca="true">IF(A27="","",IF(N27&gt;180,"DUE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
      </c>
      <c r="P27" s="21"/>
    </row>
    <row r="28" customFormat="false" ht="15" hidden="false" customHeight="true" outlineLevel="0" collapsed="false">
      <c r="A28" s="21"/>
      <c r="B28" s="21"/>
      <c r="C28" s="22"/>
      <c r="D28" s="22"/>
      <c r="E28" s="22"/>
      <c r="F28" s="22"/>
      <c r="G28" s="22"/>
      <c r="H28" s="38"/>
      <c r="I28" s="39" t="str">
        <f aca="false">IF(OR(G28="",H28=""),"",H28/G28-1)</f>
        <v/>
      </c>
      <c r="J28" s="40"/>
      <c r="K28" s="22"/>
      <c r="L28" s="21"/>
      <c r="M28" s="22"/>
      <c r="N28" s="41" t="str">
        <f aca="true">IF(C28="","",TODAY()-C28)</f>
        <v/>
      </c>
      <c r="O28" s="42" t="str">
        <f aca="true">IF(A28="","",IF(N28&gt;180,"DUE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
      </c>
      <c r="P28" s="21"/>
    </row>
    <row r="29" customFormat="false" ht="15" hidden="false" customHeight="true" outlineLevel="0" collapsed="false">
      <c r="A29" s="21"/>
      <c r="B29" s="21"/>
      <c r="C29" s="22"/>
      <c r="D29" s="22"/>
      <c r="E29" s="22"/>
      <c r="F29" s="22"/>
      <c r="G29" s="22"/>
      <c r="H29" s="38"/>
      <c r="I29" s="39" t="str">
        <f aca="false">IF(OR(G29="",H29=""),"",H29/G29-1)</f>
        <v/>
      </c>
      <c r="J29" s="40"/>
      <c r="K29" s="22"/>
      <c r="L29" s="21"/>
      <c r="M29" s="22"/>
      <c r="N29" s="41" t="str">
        <f aca="true">IF(C29="","",TODAY()-C29)</f>
        <v/>
      </c>
      <c r="O29" s="42" t="str">
        <f aca="true">IF(A29="","",IF(N29&gt;180,"DUE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
      </c>
      <c r="P29" s="21"/>
    </row>
    <row r="30" customFormat="false" ht="15" hidden="false" customHeight="true" outlineLevel="0" collapsed="false">
      <c r="A30" s="21"/>
      <c r="B30" s="21"/>
      <c r="C30" s="22"/>
      <c r="D30" s="22"/>
      <c r="E30" s="22"/>
      <c r="F30" s="22"/>
      <c r="G30" s="22"/>
      <c r="H30" s="38"/>
      <c r="I30" s="39" t="str">
        <f aca="false">IF(OR(G30="",H30=""),"",H30/G30-1)</f>
        <v/>
      </c>
      <c r="J30" s="40"/>
      <c r="K30" s="22"/>
      <c r="L30" s="21"/>
      <c r="M30" s="22"/>
      <c r="N30" s="41" t="str">
        <f aca="true">IF(C30="","",TODAY()-C30)</f>
        <v/>
      </c>
      <c r="O30" s="42" t="str">
        <f aca="true">IF(A30="","",IF(N30&gt;180,"DUE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
      </c>
      <c r="P30" s="21"/>
    </row>
    <row r="31" customFormat="false" ht="15" hidden="false" customHeight="true" outlineLevel="0" collapsed="false">
      <c r="A31" s="21"/>
      <c r="B31" s="21"/>
      <c r="C31" s="22"/>
      <c r="D31" s="22"/>
      <c r="E31" s="22"/>
      <c r="F31" s="22"/>
      <c r="G31" s="22"/>
      <c r="H31" s="38"/>
      <c r="I31" s="39" t="str">
        <f aca="false">IF(OR(G31="",H31=""),"",H31/G31-1)</f>
        <v/>
      </c>
      <c r="J31" s="40"/>
      <c r="K31" s="22"/>
      <c r="L31" s="21"/>
      <c r="M31" s="22"/>
      <c r="N31" s="41" t="str">
        <f aca="true">IF(C31="","",TODAY()-C31)</f>
        <v/>
      </c>
      <c r="O31" s="42" t="str">
        <f aca="true">IF(A31="","",IF(N31&gt;180,"DUE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
      </c>
      <c r="P31" s="21"/>
    </row>
    <row r="32" customFormat="false" ht="15" hidden="false" customHeight="true" outlineLevel="0" collapsed="false">
      <c r="A32" s="21"/>
      <c r="B32" s="21"/>
      <c r="C32" s="22"/>
      <c r="D32" s="22"/>
      <c r="E32" s="22"/>
      <c r="F32" s="22"/>
      <c r="G32" s="22"/>
      <c r="H32" s="38"/>
      <c r="I32" s="39" t="str">
        <f aca="false">IF(OR(G32="",H32=""),"",H32/G32-1)</f>
        <v/>
      </c>
      <c r="J32" s="40"/>
      <c r="K32" s="22"/>
      <c r="L32" s="21"/>
      <c r="M32" s="22"/>
      <c r="N32" s="41" t="str">
        <f aca="true">IF(C32="","",TODAY()-C32)</f>
        <v/>
      </c>
      <c r="O32" s="42" t="str">
        <f aca="true">IF(A32="","",IF(N32&gt;180,"DUE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
      </c>
      <c r="P32" s="21"/>
    </row>
    <row r="33" customFormat="false" ht="15" hidden="false" customHeight="true" outlineLevel="0" collapsed="false">
      <c r="A33" s="21"/>
      <c r="B33" s="21"/>
      <c r="C33" s="22"/>
      <c r="D33" s="22"/>
      <c r="E33" s="22"/>
      <c r="F33" s="22"/>
      <c r="G33" s="22"/>
      <c r="H33" s="38"/>
      <c r="I33" s="39" t="str">
        <f aca="false">IF(OR(G33="",H33=""),"",H33/G33-1)</f>
        <v/>
      </c>
      <c r="J33" s="40"/>
      <c r="K33" s="22"/>
      <c r="L33" s="21"/>
      <c r="M33" s="22"/>
      <c r="N33" s="41" t="str">
        <f aca="true">IF(C33="","",TODAY()-C33)</f>
        <v/>
      </c>
      <c r="O33" s="42" t="str">
        <f aca="true">IF(A33="","",IF(N33&gt;180,"DUE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
      </c>
      <c r="P33" s="21"/>
    </row>
    <row r="34" customFormat="false" ht="15" hidden="false" customHeight="true" outlineLevel="0" collapsed="false">
      <c r="A34" s="21"/>
      <c r="B34" s="21"/>
      <c r="C34" s="22"/>
      <c r="D34" s="22"/>
      <c r="E34" s="22"/>
      <c r="F34" s="22"/>
      <c r="G34" s="22"/>
      <c r="H34" s="38"/>
      <c r="I34" s="39" t="str">
        <f aca="false">IF(OR(G34="",H34=""),"",H34/G34-1)</f>
        <v/>
      </c>
      <c r="J34" s="40"/>
      <c r="K34" s="22"/>
      <c r="L34" s="21"/>
      <c r="M34" s="22"/>
      <c r="N34" s="41" t="str">
        <f aca="true">IF(C34="","",TODAY()-C34)</f>
        <v/>
      </c>
      <c r="O34" s="42" t="str">
        <f aca="true">IF(A34="","",IF(N34&gt;180,"DUE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
      </c>
      <c r="P34" s="21"/>
    </row>
    <row r="35" customFormat="false" ht="15" hidden="false" customHeight="true" outlineLevel="0" collapsed="false">
      <c r="A35" s="21"/>
      <c r="B35" s="21"/>
      <c r="C35" s="22"/>
      <c r="D35" s="22"/>
      <c r="E35" s="22"/>
      <c r="F35" s="22"/>
      <c r="G35" s="22"/>
      <c r="H35" s="38"/>
      <c r="I35" s="39" t="str">
        <f aca="false">IF(OR(G35="",H35=""),"",H35/G35-1)</f>
        <v/>
      </c>
      <c r="J35" s="40"/>
      <c r="K35" s="22"/>
      <c r="L35" s="21"/>
      <c r="M35" s="22"/>
      <c r="N35" s="41" t="str">
        <f aca="true">IF(C35="","",TODAY()-C35)</f>
        <v/>
      </c>
      <c r="O35" s="42" t="str">
        <f aca="true">IF(A35="","",IF(N35&gt;180,"DUE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
      </c>
      <c r="P35" s="21"/>
    </row>
    <row r="36" customFormat="false" ht="15" hidden="false" customHeight="true" outlineLevel="0" collapsed="false">
      <c r="A36" s="21"/>
      <c r="B36" s="21"/>
      <c r="C36" s="22"/>
      <c r="D36" s="22"/>
      <c r="E36" s="22"/>
      <c r="F36" s="22"/>
      <c r="G36" s="22"/>
      <c r="H36" s="38"/>
      <c r="I36" s="39" t="str">
        <f aca="false">IF(OR(G36="",H36=""),"",H36/G36-1)</f>
        <v/>
      </c>
      <c r="J36" s="40"/>
      <c r="K36" s="22"/>
      <c r="L36" s="21"/>
      <c r="M36" s="22"/>
      <c r="N36" s="41" t="str">
        <f aca="true">IF(C36="","",TODAY()-C36)</f>
        <v/>
      </c>
      <c r="O36" s="42" t="str">
        <f aca="true">IF(A36="","",IF(N36&gt;180,"DUE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
      </c>
      <c r="P36" s="21"/>
    </row>
    <row r="37" customFormat="false" ht="15" hidden="false" customHeight="true" outlineLevel="0" collapsed="false">
      <c r="A37" s="21"/>
      <c r="B37" s="21"/>
      <c r="C37" s="22"/>
      <c r="D37" s="22"/>
      <c r="E37" s="22"/>
      <c r="F37" s="22"/>
      <c r="G37" s="22"/>
      <c r="H37" s="38"/>
      <c r="I37" s="39" t="str">
        <f aca="false">IF(OR(G37="",H37=""),"",H37/G37-1)</f>
        <v/>
      </c>
      <c r="J37" s="40"/>
      <c r="K37" s="22"/>
      <c r="L37" s="21"/>
      <c r="M37" s="22"/>
      <c r="N37" s="41" t="str">
        <f aca="true">IF(C37="","",TODAY()-C37)</f>
        <v/>
      </c>
      <c r="O37" s="42" t="str">
        <f aca="true">IF(A37="","",IF(N37&gt;180,"DUE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
      </c>
      <c r="P37" s="21"/>
    </row>
    <row r="38" customFormat="false" ht="15" hidden="false" customHeight="true" outlineLevel="0" collapsed="false">
      <c r="A38" s="21"/>
      <c r="B38" s="21"/>
      <c r="C38" s="22"/>
      <c r="D38" s="22"/>
      <c r="E38" s="22"/>
      <c r="F38" s="22"/>
      <c r="G38" s="22"/>
      <c r="H38" s="38"/>
      <c r="I38" s="39" t="str">
        <f aca="false">IF(OR(G38="",H38=""),"",H38/G38-1)</f>
        <v/>
      </c>
      <c r="J38" s="40"/>
      <c r="K38" s="22"/>
      <c r="L38" s="21"/>
      <c r="M38" s="22"/>
      <c r="N38" s="41" t="str">
        <f aca="true">IF(C38="","",TODAY()-C38)</f>
        <v/>
      </c>
      <c r="O38" s="42" t="str">
        <f aca="true">IF(A38="","",IF(N38&gt;180,"DUE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
      </c>
      <c r="P38" s="21"/>
    </row>
    <row r="39" customFormat="false" ht="15" hidden="false" customHeight="true" outlineLevel="0" collapsed="false">
      <c r="A39" s="21"/>
      <c r="B39" s="21"/>
      <c r="C39" s="22"/>
      <c r="D39" s="22"/>
      <c r="E39" s="22"/>
      <c r="F39" s="22"/>
      <c r="G39" s="22"/>
      <c r="H39" s="38"/>
      <c r="I39" s="39" t="str">
        <f aca="false">IF(OR(G39="",H39=""),"",H39/G39-1)</f>
        <v/>
      </c>
      <c r="J39" s="40"/>
      <c r="K39" s="22"/>
      <c r="L39" s="21"/>
      <c r="M39" s="22"/>
      <c r="N39" s="41" t="str">
        <f aca="true">IF(C39="","",TODAY()-C39)</f>
        <v/>
      </c>
      <c r="O39" s="42" t="str">
        <f aca="true">IF(A39="","",IF(N39&gt;180,"DUE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
      </c>
      <c r="P39" s="21"/>
    </row>
    <row r="40" customFormat="false" ht="15" hidden="false" customHeight="true" outlineLevel="0" collapsed="false">
      <c r="A40" s="21"/>
      <c r="B40" s="21"/>
      <c r="C40" s="22"/>
      <c r="D40" s="22"/>
      <c r="E40" s="22"/>
      <c r="F40" s="22"/>
      <c r="G40" s="22"/>
      <c r="H40" s="38"/>
      <c r="I40" s="39" t="str">
        <f aca="false">IF(OR(G40="",H40=""),"",H40/G40-1)</f>
        <v/>
      </c>
      <c r="J40" s="40"/>
      <c r="K40" s="22"/>
      <c r="L40" s="21"/>
      <c r="M40" s="22"/>
      <c r="N40" s="41" t="str">
        <f aca="true">IF(C40="","",TODAY()-C40)</f>
        <v/>
      </c>
      <c r="O40" s="42" t="str">
        <f aca="true">IF(A40="","",IF(N40&gt;180,"DUE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
      </c>
      <c r="P40" s="21"/>
    </row>
    <row r="41" customFormat="false" ht="15" hidden="false" customHeight="true" outlineLevel="0" collapsed="false">
      <c r="A41" s="21"/>
      <c r="B41" s="21"/>
      <c r="C41" s="22"/>
      <c r="D41" s="22"/>
      <c r="E41" s="22"/>
      <c r="F41" s="22"/>
      <c r="G41" s="22"/>
      <c r="H41" s="38"/>
      <c r="I41" s="39" t="str">
        <f aca="false">IF(OR(G41="",H41=""),"",H41/G41-1)</f>
        <v/>
      </c>
      <c r="J41" s="40"/>
      <c r="K41" s="22"/>
      <c r="L41" s="21"/>
      <c r="M41" s="22"/>
      <c r="N41" s="41" t="str">
        <f aca="true">IF(C41="","",TODAY()-C41)</f>
        <v/>
      </c>
      <c r="O41" s="42" t="str">
        <f aca="true">IF(A41="","",IF(N41&gt;180,"DUE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
      </c>
      <c r="P41" s="21"/>
    </row>
    <row r="42" customFormat="false" ht="15" hidden="false" customHeight="true" outlineLevel="0" collapsed="false">
      <c r="A42" s="21"/>
      <c r="B42" s="21"/>
      <c r="C42" s="22"/>
      <c r="D42" s="22"/>
      <c r="E42" s="22"/>
      <c r="F42" s="22"/>
      <c r="G42" s="22"/>
      <c r="H42" s="38"/>
      <c r="I42" s="39" t="str">
        <f aca="false">IF(OR(G42="",H42=""),"",H42/G42-1)</f>
        <v/>
      </c>
      <c r="J42" s="40"/>
      <c r="K42" s="22"/>
      <c r="L42" s="21"/>
      <c r="M42" s="22"/>
      <c r="N42" s="41" t="str">
        <f aca="true">IF(C42="","",TODAY()-C42)</f>
        <v/>
      </c>
      <c r="O42" s="42" t="str">
        <f aca="true">IF(A42="","",IF(N42&gt;180,"DUE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
      </c>
      <c r="P42" s="21"/>
    </row>
  </sheetData>
  <mergeCells count="1">
    <mergeCell ref="A1:P1"/>
  </mergeCells>
  <conditionalFormatting sqref="O3:O42">
    <cfRule type="expression" priority="2" aboveAverage="0" equalAverage="0" bottom="0" percent="0" rank="0" text="" dxfId="0">
      <formula>ISNUMBER(SEARCH("DUE",O3))</formula>
    </cfRule>
    <cfRule type="expression" priority="3" aboveAverage="0" equalAverage="0" bottom="0" percent="0" rank="0" text="" dxfId="1">
      <formula>ISNUMBER(SEARCH("WATCH",O3))</formula>
    </cfRule>
    <cfRule type="expression" priority="4" aboveAverage="0" equalAverage="0" bottom="0" percent="0" rank="0" text="" dxfId="13">
      <formula>O3="Monitor Only"</formula>
    </cfRule>
  </conditionalFormatting>
  <conditionalFormatting sqref="B3:B42">
    <cfRule type="expression" priority="5" aboveAverage="0" equalAverage="0" bottom="0" percent="0" rank="0" text="" dxfId="15">
      <formula>ISNUMBER(SEARCH("AVOID",B3))</formula>
    </cfRule>
  </conditionalFormatting>
  <dataValidations count="2">
    <dataValidation allowBlank="true" errorStyle="stop" operator="between" showDropDown="false" showErrorMessage="false" showInputMessage="false" sqref="B19:B42" type="list">
      <formula1>"Owned,Owned - Tier1 AVOID,Closed,Watch List,Tier-1 Avoid (external),Near-Miss"</formula1>
      <formula2>0</formula2>
    </dataValidation>
    <dataValidation allowBlank="true" errorStyle="stop" operator="between" showDropDown="false" showErrorMessage="false" showInputMessage="false" sqref="K3:K42 M3:M42"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21" min="2" style="1" width="11"/>
  </cols>
  <sheetData>
    <row r="1" customFormat="false" ht="25.5" hidden="false" customHeight="true" outlineLevel="0" collapsed="false">
      <c r="A1" s="16" t="s">
        <v>183</v>
      </c>
      <c r="B1" s="16"/>
      <c r="C1" s="16"/>
      <c r="D1" s="16"/>
      <c r="E1" s="16"/>
      <c r="F1" s="16"/>
      <c r="G1" s="16"/>
      <c r="H1" s="16"/>
      <c r="I1" s="16"/>
      <c r="J1" s="16"/>
      <c r="K1" s="16"/>
      <c r="L1" s="16"/>
      <c r="M1" s="16"/>
      <c r="N1" s="16"/>
      <c r="O1" s="16"/>
      <c r="P1" s="16"/>
      <c r="Q1" s="16"/>
    </row>
    <row r="2" customFormat="false" ht="15" hidden="false" customHeight="true" outlineLevel="0" collapsed="false">
      <c r="A2" s="43" t="s">
        <v>184</v>
      </c>
      <c r="B2" s="43" t="s">
        <v>88</v>
      </c>
      <c r="C2" s="43" t="s">
        <v>93</v>
      </c>
      <c r="D2" s="43" t="s">
        <v>95</v>
      </c>
      <c r="E2" s="43" t="s">
        <v>131</v>
      </c>
      <c r="F2" s="43" t="s">
        <v>97</v>
      </c>
      <c r="G2" s="43" t="s">
        <v>99</v>
      </c>
      <c r="H2" s="43" t="s">
        <v>101</v>
      </c>
      <c r="I2" s="43" t="s">
        <v>103</v>
      </c>
      <c r="J2" s="43" t="s">
        <v>140</v>
      </c>
      <c r="K2" s="43" t="s">
        <v>105</v>
      </c>
      <c r="L2" s="43" t="s">
        <v>107</v>
      </c>
      <c r="M2" s="43" t="s">
        <v>109</v>
      </c>
      <c r="N2" s="43" t="s">
        <v>133</v>
      </c>
      <c r="O2" s="43" t="s">
        <v>123</v>
      </c>
      <c r="P2" s="43"/>
      <c r="Q2" s="43" t="s">
        <v>129</v>
      </c>
      <c r="R2" s="43" t="s">
        <v>120</v>
      </c>
      <c r="S2" s="43" t="s">
        <v>136</v>
      </c>
      <c r="T2" s="43" t="s">
        <v>138</v>
      </c>
      <c r="U2" s="43"/>
    </row>
    <row r="3" customFormat="false" ht="15" hidden="false" customHeight="true" outlineLevel="0" collapsed="false">
      <c r="A3" s="44" t="n">
        <v>45149</v>
      </c>
      <c r="B3" s="45" t="n">
        <v>508.45</v>
      </c>
      <c r="C3" s="45" t="n">
        <v>43.74</v>
      </c>
      <c r="D3" s="45" t="n">
        <v>661.78</v>
      </c>
      <c r="E3" s="45" t="n">
        <v>82.98</v>
      </c>
      <c r="F3" s="45" t="n">
        <v>37.06</v>
      </c>
      <c r="G3" s="45" t="n">
        <v>47.9</v>
      </c>
      <c r="H3" s="45" t="n">
        <v>64.37</v>
      </c>
      <c r="I3" s="45" t="n">
        <v>40.85</v>
      </c>
      <c r="J3" s="45" t="n">
        <v>123.51</v>
      </c>
      <c r="K3" s="45" t="n">
        <v>15.41</v>
      </c>
      <c r="L3" s="45" t="n">
        <v>91.99</v>
      </c>
      <c r="M3" s="45" t="n">
        <v>33.51</v>
      </c>
      <c r="N3" s="45" t="n">
        <v>349.86</v>
      </c>
      <c r="O3" s="45" t="n">
        <v>82.85</v>
      </c>
      <c r="P3" s="45"/>
      <c r="Q3" s="45" t="n">
        <v>49.84</v>
      </c>
      <c r="R3" s="45" t="n">
        <v>47.82</v>
      </c>
      <c r="S3" s="45" t="n">
        <v>58.54</v>
      </c>
      <c r="T3" s="45" t="n">
        <v>26.91</v>
      </c>
      <c r="U3" s="45"/>
    </row>
    <row r="4" customFormat="false" ht="15" hidden="false" customHeight="true" outlineLevel="0" collapsed="false">
      <c r="A4" s="44" t="n">
        <v>45156</v>
      </c>
      <c r="B4" s="45" t="n">
        <v>508.13</v>
      </c>
      <c r="C4" s="45" t="n">
        <v>45.14</v>
      </c>
      <c r="D4" s="45" t="n">
        <v>655.33</v>
      </c>
      <c r="E4" s="45" t="n">
        <v>82.58</v>
      </c>
      <c r="F4" s="45" t="n">
        <v>36.7</v>
      </c>
      <c r="G4" s="45" t="n">
        <v>47.8</v>
      </c>
      <c r="H4" s="45" t="n">
        <v>63.59</v>
      </c>
      <c r="I4" s="45" t="n">
        <v>43.3</v>
      </c>
      <c r="J4" s="45" t="n">
        <v>121.47</v>
      </c>
      <c r="K4" s="45" t="n">
        <v>14.4</v>
      </c>
      <c r="L4" s="45" t="n">
        <v>91.1</v>
      </c>
      <c r="M4" s="45" t="n">
        <v>33.97</v>
      </c>
      <c r="N4" s="45" t="n">
        <v>344.82</v>
      </c>
      <c r="O4" s="45" t="n">
        <v>80.3</v>
      </c>
      <c r="P4" s="45"/>
      <c r="Q4" s="45" t="n">
        <v>50</v>
      </c>
      <c r="R4" s="45" t="n">
        <v>46.93</v>
      </c>
      <c r="S4" s="45" t="n">
        <v>58.05</v>
      </c>
      <c r="T4" s="45" t="n">
        <v>26.19</v>
      </c>
      <c r="U4" s="45"/>
    </row>
    <row r="5" customFormat="false" ht="15" hidden="false" customHeight="true" outlineLevel="0" collapsed="false">
      <c r="A5" s="44" t="n">
        <v>45163</v>
      </c>
      <c r="B5" s="45" t="n">
        <v>525.06</v>
      </c>
      <c r="C5" s="45" t="n">
        <v>45.23</v>
      </c>
      <c r="D5" s="45" t="n">
        <v>651.01</v>
      </c>
      <c r="E5" s="45" t="n">
        <v>85.18</v>
      </c>
      <c r="F5" s="45" t="n">
        <v>37.4</v>
      </c>
      <c r="G5" s="45" t="n">
        <v>48.17</v>
      </c>
      <c r="H5" s="45" t="n">
        <v>63.72</v>
      </c>
      <c r="I5" s="45" t="n">
        <v>46.02</v>
      </c>
      <c r="J5" s="45" t="n">
        <v>122.66</v>
      </c>
      <c r="K5" s="45" t="n">
        <v>14.53</v>
      </c>
      <c r="L5" s="45" t="n">
        <v>93.1</v>
      </c>
      <c r="M5" s="45" t="n">
        <v>37.5</v>
      </c>
      <c r="N5" s="45" t="n">
        <v>350.06</v>
      </c>
      <c r="O5" s="45" t="n">
        <v>79</v>
      </c>
      <c r="P5" s="45"/>
      <c r="Q5" s="45" t="n">
        <v>50.17</v>
      </c>
      <c r="R5" s="45" t="n">
        <v>47.68</v>
      </c>
      <c r="S5" s="45" t="n">
        <v>57.89</v>
      </c>
      <c r="T5" s="45" t="n">
        <v>25.98</v>
      </c>
      <c r="U5" s="45"/>
    </row>
    <row r="6" customFormat="false" ht="15" hidden="false" customHeight="true" outlineLevel="0" collapsed="false">
      <c r="A6" s="44" t="n">
        <v>45170</v>
      </c>
      <c r="B6" s="45" t="n">
        <v>563.21</v>
      </c>
      <c r="C6" s="45" t="n">
        <v>49.34</v>
      </c>
      <c r="D6" s="45" t="n">
        <v>662.52</v>
      </c>
      <c r="E6" s="45" t="n">
        <v>87.25</v>
      </c>
      <c r="F6" s="45" t="n">
        <v>40.31</v>
      </c>
      <c r="G6" s="45" t="n">
        <v>50.7</v>
      </c>
      <c r="H6" s="45" t="n">
        <v>70.39</v>
      </c>
      <c r="I6" s="45" t="n">
        <v>48.51</v>
      </c>
      <c r="J6" s="45" t="n">
        <v>124.59</v>
      </c>
      <c r="K6" s="45" t="n">
        <v>15.18</v>
      </c>
      <c r="L6" s="45" t="n">
        <v>93.19</v>
      </c>
      <c r="M6" s="45" t="n">
        <v>39.87</v>
      </c>
      <c r="N6" s="45" t="n">
        <v>351.1</v>
      </c>
      <c r="O6" s="45" t="n">
        <v>82.69</v>
      </c>
      <c r="P6" s="45"/>
      <c r="Q6" s="45" t="n">
        <v>49.61</v>
      </c>
      <c r="R6" s="45" t="n">
        <v>48.55</v>
      </c>
      <c r="S6" s="45" t="n">
        <v>58.82</v>
      </c>
      <c r="T6" s="45" t="n">
        <v>26.66</v>
      </c>
      <c r="U6" s="45"/>
    </row>
    <row r="7" customFormat="false" ht="15" hidden="false" customHeight="true" outlineLevel="0" collapsed="false">
      <c r="A7" s="44" t="n">
        <v>45177</v>
      </c>
      <c r="B7" s="45" t="n">
        <v>560.36</v>
      </c>
      <c r="C7" s="45" t="n">
        <v>49.12</v>
      </c>
      <c r="D7" s="45" t="n">
        <v>627.86</v>
      </c>
      <c r="E7" s="45" t="n">
        <v>85.76</v>
      </c>
      <c r="F7" s="45" t="n">
        <v>42.02</v>
      </c>
      <c r="G7" s="45" t="n">
        <v>49.77</v>
      </c>
      <c r="H7" s="45" t="n">
        <v>70.18</v>
      </c>
      <c r="I7" s="45" t="n">
        <v>45.57</v>
      </c>
      <c r="J7" s="45" t="n">
        <v>122.48</v>
      </c>
      <c r="K7" s="45" t="n">
        <v>15.13</v>
      </c>
      <c r="L7" s="45" t="n">
        <v>89.64</v>
      </c>
      <c r="M7" s="45" t="n">
        <v>39.2</v>
      </c>
      <c r="N7" s="45" t="n">
        <v>343.05</v>
      </c>
      <c r="O7" s="45" t="n">
        <v>79.51</v>
      </c>
      <c r="P7" s="45"/>
      <c r="Q7" s="45" t="n">
        <v>48.75</v>
      </c>
      <c r="R7" s="45" t="n">
        <v>48.23</v>
      </c>
      <c r="S7" s="45" t="n">
        <v>59.17</v>
      </c>
      <c r="T7" s="45" t="n">
        <v>26.47</v>
      </c>
      <c r="U7" s="45"/>
    </row>
    <row r="8" customFormat="false" ht="15" hidden="false" customHeight="true" outlineLevel="0" collapsed="false">
      <c r="A8" s="44" t="n">
        <v>45184</v>
      </c>
      <c r="B8" s="45" t="n">
        <v>528.89</v>
      </c>
      <c r="C8" s="45" t="n">
        <v>46.18</v>
      </c>
      <c r="D8" s="45" t="n">
        <v>596.66</v>
      </c>
      <c r="E8" s="45" t="n">
        <v>85.17</v>
      </c>
      <c r="F8" s="45" t="n">
        <v>41.36</v>
      </c>
      <c r="G8" s="45" t="n">
        <v>45.42</v>
      </c>
      <c r="H8" s="45" t="n">
        <v>69.88</v>
      </c>
      <c r="I8" s="45" t="n">
        <v>43.9</v>
      </c>
      <c r="J8" s="45" t="n">
        <v>123.18</v>
      </c>
      <c r="K8" s="45" t="n">
        <v>15.33</v>
      </c>
      <c r="L8" s="45" t="n">
        <v>89.25</v>
      </c>
      <c r="M8" s="45" t="n">
        <v>38.17</v>
      </c>
      <c r="N8" s="45" t="n">
        <v>348.9</v>
      </c>
      <c r="O8" s="45" t="n">
        <v>79.36</v>
      </c>
      <c r="P8" s="45"/>
      <c r="Q8" s="45" t="n">
        <v>50.71</v>
      </c>
      <c r="R8" s="45" t="n">
        <v>48.21</v>
      </c>
      <c r="S8" s="45" t="n">
        <v>59.17</v>
      </c>
      <c r="T8" s="45" t="n">
        <v>26.3</v>
      </c>
      <c r="U8" s="45"/>
    </row>
    <row r="9" customFormat="false" ht="15" hidden="false" customHeight="true" outlineLevel="0" collapsed="false">
      <c r="A9" s="44" t="n">
        <v>45191</v>
      </c>
      <c r="B9" s="45" t="n">
        <v>512.9</v>
      </c>
      <c r="C9" s="45" t="n">
        <v>45.09</v>
      </c>
      <c r="D9" s="45" t="n">
        <v>587.1</v>
      </c>
      <c r="E9" s="45" t="n">
        <v>82.91</v>
      </c>
      <c r="F9" s="45" t="n">
        <v>40.64</v>
      </c>
      <c r="G9" s="45" t="n">
        <v>45.18</v>
      </c>
      <c r="H9" s="45" t="n">
        <v>68.88</v>
      </c>
      <c r="I9" s="45" t="n">
        <v>41.61</v>
      </c>
      <c r="J9" s="45" t="n">
        <v>114.07</v>
      </c>
      <c r="K9" s="45" t="n">
        <v>14.13</v>
      </c>
      <c r="L9" s="45" t="n">
        <v>85.64</v>
      </c>
      <c r="M9" s="45" t="n">
        <v>36.45</v>
      </c>
      <c r="N9" s="45" t="n">
        <v>349.53</v>
      </c>
      <c r="O9" s="45" t="n">
        <v>76.69</v>
      </c>
      <c r="P9" s="45"/>
      <c r="Q9" s="45" t="n">
        <v>51.22</v>
      </c>
      <c r="R9" s="45" t="n">
        <v>46.91</v>
      </c>
      <c r="S9" s="45" t="n">
        <v>57.46</v>
      </c>
      <c r="T9" s="45" t="n">
        <v>25.91</v>
      </c>
      <c r="U9" s="45"/>
    </row>
    <row r="10" customFormat="false" ht="15" hidden="false" customHeight="true" outlineLevel="0" collapsed="false">
      <c r="A10" s="44" t="n">
        <v>45198</v>
      </c>
      <c r="B10" s="45" t="n">
        <v>509.9</v>
      </c>
      <c r="C10" s="45" t="n">
        <v>45.98</v>
      </c>
      <c r="D10" s="45" t="n">
        <v>588.66</v>
      </c>
      <c r="E10" s="45" t="n">
        <v>83.06</v>
      </c>
      <c r="F10" s="45" t="n">
        <v>41.85</v>
      </c>
      <c r="G10" s="45" t="n">
        <v>45.87</v>
      </c>
      <c r="H10" s="45" t="n">
        <v>68.03</v>
      </c>
      <c r="I10" s="45" t="n">
        <v>43.5</v>
      </c>
      <c r="J10" s="45" t="n">
        <v>112.21</v>
      </c>
      <c r="K10" s="45" t="n">
        <v>16</v>
      </c>
      <c r="L10" s="45" t="n">
        <v>86.9</v>
      </c>
      <c r="M10" s="45" t="n">
        <v>37.2</v>
      </c>
      <c r="N10" s="45" t="n">
        <v>347.74</v>
      </c>
      <c r="O10" s="45" t="n">
        <v>77.95</v>
      </c>
      <c r="P10" s="45"/>
      <c r="Q10" s="45" t="n">
        <v>51.89</v>
      </c>
      <c r="R10" s="45" t="n">
        <v>46.93</v>
      </c>
      <c r="S10" s="45" t="n">
        <v>57.28</v>
      </c>
      <c r="T10" s="45" t="n">
        <v>25.98</v>
      </c>
      <c r="U10" s="45"/>
    </row>
    <row r="11" customFormat="false" ht="15" hidden="false" customHeight="true" outlineLevel="0" collapsed="false">
      <c r="A11" s="44" t="n">
        <v>45205</v>
      </c>
      <c r="B11" s="45" t="n">
        <v>526.68</v>
      </c>
      <c r="C11" s="45" t="n">
        <v>48.51</v>
      </c>
      <c r="D11" s="45" t="n">
        <v>597.36</v>
      </c>
      <c r="E11" s="45" t="n">
        <v>84.53</v>
      </c>
      <c r="F11" s="45" t="n">
        <v>44.17</v>
      </c>
      <c r="G11" s="45" t="n">
        <v>46.81</v>
      </c>
      <c r="H11" s="45" t="n">
        <v>69.96</v>
      </c>
      <c r="I11" s="45" t="n">
        <v>45.76</v>
      </c>
      <c r="J11" s="45" t="n">
        <v>108.91</v>
      </c>
      <c r="K11" s="45" t="n">
        <v>16.61</v>
      </c>
      <c r="L11" s="45" t="n">
        <v>89.29</v>
      </c>
      <c r="M11" s="45" t="n">
        <v>39.77</v>
      </c>
      <c r="N11" s="45" t="n">
        <v>360.62</v>
      </c>
      <c r="O11" s="45" t="n">
        <v>75.6</v>
      </c>
      <c r="P11" s="45"/>
      <c r="Q11" s="45" t="n">
        <v>52.12</v>
      </c>
      <c r="R11" s="45" t="n">
        <v>47.13</v>
      </c>
      <c r="S11" s="45" t="n">
        <v>57.92</v>
      </c>
      <c r="T11" s="45" t="n">
        <v>25.5</v>
      </c>
      <c r="U11" s="45"/>
    </row>
    <row r="12" customFormat="false" ht="15" hidden="false" customHeight="true" outlineLevel="0" collapsed="false">
      <c r="A12" s="44" t="n">
        <v>45212</v>
      </c>
      <c r="B12" s="45" t="n">
        <v>548.76</v>
      </c>
      <c r="C12" s="45" t="n">
        <v>47.46</v>
      </c>
      <c r="D12" s="45" t="n">
        <v>599.75</v>
      </c>
      <c r="E12" s="45" t="n">
        <v>88.32</v>
      </c>
      <c r="F12" s="45" t="n">
        <v>46.43</v>
      </c>
      <c r="G12" s="45" t="n">
        <v>48.68</v>
      </c>
      <c r="H12" s="45" t="n">
        <v>69.21</v>
      </c>
      <c r="I12" s="45" t="n">
        <v>45.46</v>
      </c>
      <c r="J12" s="45" t="n">
        <v>109.65</v>
      </c>
      <c r="K12" s="45" t="n">
        <v>17.36</v>
      </c>
      <c r="L12" s="45" t="n">
        <v>90.46</v>
      </c>
      <c r="M12" s="45" t="n">
        <v>39.1</v>
      </c>
      <c r="N12" s="45" t="n">
        <v>371</v>
      </c>
      <c r="O12" s="45" t="n">
        <v>75.8</v>
      </c>
      <c r="P12" s="45"/>
      <c r="Q12" s="45" t="n">
        <v>52.17</v>
      </c>
      <c r="R12" s="45" t="n">
        <v>47.26</v>
      </c>
      <c r="S12" s="45" t="n">
        <v>58.25</v>
      </c>
      <c r="T12" s="45" t="n">
        <v>25.83</v>
      </c>
      <c r="U12" s="45"/>
    </row>
    <row r="13" customFormat="false" ht="15" hidden="false" customHeight="true" outlineLevel="0" collapsed="false">
      <c r="A13" s="44" t="n">
        <v>45219</v>
      </c>
      <c r="B13" s="45" t="n">
        <v>540.96</v>
      </c>
      <c r="C13" s="45" t="n">
        <v>46.53</v>
      </c>
      <c r="D13" s="45" t="n">
        <v>580.1</v>
      </c>
      <c r="E13" s="45" t="n">
        <v>85.36</v>
      </c>
      <c r="F13" s="45" t="n">
        <v>44.69</v>
      </c>
      <c r="G13" s="45" t="n">
        <v>46.24</v>
      </c>
      <c r="H13" s="45" t="n">
        <v>67.22</v>
      </c>
      <c r="I13" s="45" t="n">
        <v>41.39</v>
      </c>
      <c r="J13" s="45" t="n">
        <v>102.43</v>
      </c>
      <c r="K13" s="45" t="n">
        <v>16.11</v>
      </c>
      <c r="L13" s="45" t="n">
        <v>91.31</v>
      </c>
      <c r="M13" s="45" t="n">
        <v>36.74</v>
      </c>
      <c r="N13" s="45" t="n">
        <v>361.86</v>
      </c>
      <c r="O13" s="45" t="n">
        <v>74.53</v>
      </c>
      <c r="P13" s="45"/>
      <c r="Q13" s="45" t="n">
        <v>52.36</v>
      </c>
      <c r="R13" s="45" t="n">
        <v>46.32</v>
      </c>
      <c r="S13" s="45" t="n">
        <v>56.56</v>
      </c>
      <c r="T13" s="45" t="n">
        <v>25.5</v>
      </c>
      <c r="U13" s="45"/>
    </row>
    <row r="14" customFormat="false" ht="15" hidden="false" customHeight="true" outlineLevel="0" collapsed="false">
      <c r="A14" s="44" t="n">
        <v>45226</v>
      </c>
      <c r="B14" s="45" t="n">
        <v>508.12</v>
      </c>
      <c r="C14" s="45" t="n">
        <v>44.05</v>
      </c>
      <c r="D14" s="45" t="n">
        <v>590</v>
      </c>
      <c r="E14" s="45" t="n">
        <v>83.84</v>
      </c>
      <c r="F14" s="45" t="n">
        <v>43.21</v>
      </c>
      <c r="G14" s="45" t="n">
        <v>45.79</v>
      </c>
      <c r="H14" s="45" t="n">
        <v>65.65</v>
      </c>
      <c r="I14" s="45" t="n">
        <v>40.5</v>
      </c>
      <c r="J14" s="45" t="n">
        <v>97.32</v>
      </c>
      <c r="K14" s="45" t="n">
        <v>15.07</v>
      </c>
      <c r="L14" s="45" t="n">
        <v>85.99</v>
      </c>
      <c r="M14" s="45" t="n">
        <v>36.42</v>
      </c>
      <c r="N14" s="45" t="n">
        <v>355.28</v>
      </c>
      <c r="O14" s="45" t="n">
        <v>73.38</v>
      </c>
      <c r="P14" s="45"/>
      <c r="Q14" s="45" t="n">
        <v>52.83</v>
      </c>
      <c r="R14" s="45" t="n">
        <v>45.36</v>
      </c>
      <c r="S14" s="45" t="n">
        <v>55.42</v>
      </c>
      <c r="T14" s="45" t="n">
        <v>24.66</v>
      </c>
      <c r="U14" s="45"/>
    </row>
    <row r="15" customFormat="false" ht="15" hidden="false" customHeight="true" outlineLevel="0" collapsed="false">
      <c r="A15" s="44" t="n">
        <v>45233</v>
      </c>
      <c r="B15" s="45" t="n">
        <v>563.66</v>
      </c>
      <c r="C15" s="45" t="n">
        <v>53.12</v>
      </c>
      <c r="D15" s="45" t="n">
        <v>642.41</v>
      </c>
      <c r="E15" s="45" t="n">
        <v>88.27</v>
      </c>
      <c r="F15" s="45" t="n">
        <v>47.06</v>
      </c>
      <c r="G15" s="45" t="n">
        <v>49.96</v>
      </c>
      <c r="H15" s="45" t="n">
        <v>72.58</v>
      </c>
      <c r="I15" s="45" t="n">
        <v>45.01</v>
      </c>
      <c r="J15" s="45" t="n">
        <v>106.55</v>
      </c>
      <c r="K15" s="45" t="n">
        <v>18.89</v>
      </c>
      <c r="L15" s="45" t="n">
        <v>91.79</v>
      </c>
      <c r="M15" s="45" t="n">
        <v>40.44</v>
      </c>
      <c r="N15" s="45" t="n">
        <v>376.2</v>
      </c>
      <c r="O15" s="45" t="n">
        <v>78.63</v>
      </c>
      <c r="P15" s="45"/>
      <c r="Q15" s="45" t="n">
        <v>52.79</v>
      </c>
      <c r="R15" s="45" t="n">
        <v>47.52</v>
      </c>
      <c r="S15" s="45" t="n">
        <v>58.65</v>
      </c>
      <c r="T15" s="45" t="n">
        <v>26.11</v>
      </c>
      <c r="U15" s="45"/>
    </row>
    <row r="16" customFormat="false" ht="15" hidden="false" customHeight="true" outlineLevel="0" collapsed="false">
      <c r="A16" s="44" t="n">
        <v>45240</v>
      </c>
      <c r="B16" s="45" t="n">
        <v>597.22</v>
      </c>
      <c r="C16" s="45" t="n">
        <v>51.71</v>
      </c>
      <c r="D16" s="45" t="n">
        <v>661.28</v>
      </c>
      <c r="E16" s="45" t="n">
        <v>95.75</v>
      </c>
      <c r="F16" s="45" t="n">
        <v>49.08</v>
      </c>
      <c r="G16" s="45" t="n">
        <v>53.43</v>
      </c>
      <c r="H16" s="45" t="n">
        <v>75.36</v>
      </c>
      <c r="I16" s="45" t="n">
        <v>48.34</v>
      </c>
      <c r="J16" s="45" t="n">
        <v>104.55</v>
      </c>
      <c r="K16" s="45" t="n">
        <v>19.67</v>
      </c>
      <c r="L16" s="45" t="n">
        <v>97.44</v>
      </c>
      <c r="M16" s="45" t="n">
        <v>41.83</v>
      </c>
      <c r="N16" s="45" t="n">
        <v>373.65</v>
      </c>
      <c r="O16" s="45" t="n">
        <v>75.95</v>
      </c>
      <c r="P16" s="45"/>
      <c r="Q16" s="45" t="n">
        <v>52.88</v>
      </c>
      <c r="R16" s="45" t="n">
        <v>48.51</v>
      </c>
      <c r="S16" s="45" t="n">
        <v>60.38</v>
      </c>
      <c r="T16" s="45" t="n">
        <v>25.93</v>
      </c>
      <c r="U16" s="45"/>
    </row>
    <row r="17" customFormat="false" ht="15" hidden="false" customHeight="true" outlineLevel="0" collapsed="false">
      <c r="A17" s="44" t="n">
        <v>45247</v>
      </c>
      <c r="B17" s="45" t="n">
        <v>602.66</v>
      </c>
      <c r="C17" s="45" t="n">
        <v>53.66</v>
      </c>
      <c r="D17" s="45" t="n">
        <v>686.09</v>
      </c>
      <c r="E17" s="45" t="n">
        <v>97.77</v>
      </c>
      <c r="F17" s="45" t="n">
        <v>51.77</v>
      </c>
      <c r="G17" s="45" t="n">
        <v>54.45</v>
      </c>
      <c r="H17" s="45" t="n">
        <v>77.56</v>
      </c>
      <c r="I17" s="45" t="n">
        <v>49.3</v>
      </c>
      <c r="J17" s="45" t="n">
        <v>110.07</v>
      </c>
      <c r="K17" s="45" t="n">
        <v>20.49</v>
      </c>
      <c r="L17" s="45" t="n">
        <v>99.58</v>
      </c>
      <c r="M17" s="45" t="n">
        <v>43.29</v>
      </c>
      <c r="N17" s="45" t="n">
        <v>350.5</v>
      </c>
      <c r="O17" s="45" t="n">
        <v>80.16</v>
      </c>
      <c r="P17" s="45"/>
      <c r="Q17" s="45" t="n">
        <v>52.65</v>
      </c>
      <c r="R17" s="45" t="n">
        <v>48.97</v>
      </c>
      <c r="S17" s="45" t="n">
        <v>61.69</v>
      </c>
      <c r="T17" s="45" t="n">
        <v>26.59</v>
      </c>
      <c r="U17" s="45"/>
    </row>
    <row r="18" customFormat="false" ht="15" hidden="false" customHeight="true" outlineLevel="0" collapsed="false">
      <c r="A18" s="44" t="n">
        <v>45254</v>
      </c>
      <c r="B18" s="45" t="n">
        <v>619.43</v>
      </c>
      <c r="C18" s="45" t="n">
        <v>54.6</v>
      </c>
      <c r="D18" s="45" t="n">
        <v>691.18</v>
      </c>
      <c r="E18" s="45" t="n">
        <v>97.89</v>
      </c>
      <c r="F18" s="45" t="n">
        <v>52.67</v>
      </c>
      <c r="G18" s="45" t="n">
        <v>55.56</v>
      </c>
      <c r="H18" s="45" t="n">
        <v>76.87</v>
      </c>
      <c r="I18" s="45" t="n">
        <v>47.78</v>
      </c>
      <c r="J18" s="45" t="n">
        <v>112</v>
      </c>
      <c r="K18" s="45" t="n">
        <v>19.2</v>
      </c>
      <c r="L18" s="45" t="n">
        <v>97.83</v>
      </c>
      <c r="M18" s="45" t="n">
        <v>42.68</v>
      </c>
      <c r="N18" s="45" t="n">
        <v>353.04</v>
      </c>
      <c r="O18" s="45" t="n">
        <v>80.17</v>
      </c>
      <c r="P18" s="45"/>
      <c r="Q18" s="45" t="n">
        <v>53.17</v>
      </c>
      <c r="R18" s="45" t="n">
        <v>49.23</v>
      </c>
      <c r="S18" s="45" t="n">
        <v>62.03</v>
      </c>
      <c r="T18" s="45" t="n">
        <v>26.78</v>
      </c>
      <c r="U18" s="45"/>
    </row>
    <row r="19" customFormat="false" ht="15" hidden="false" customHeight="true" outlineLevel="0" collapsed="false">
      <c r="A19" s="44" t="n">
        <v>45261</v>
      </c>
      <c r="B19" s="45" t="n">
        <v>612.47</v>
      </c>
      <c r="C19" s="45" t="n">
        <v>54.16</v>
      </c>
      <c r="D19" s="45" t="n">
        <v>692.2</v>
      </c>
      <c r="E19" s="45" t="n">
        <v>93</v>
      </c>
      <c r="F19" s="45" t="n">
        <v>58.76</v>
      </c>
      <c r="G19" s="45" t="n">
        <v>54.9</v>
      </c>
      <c r="H19" s="45" t="n">
        <v>75.93</v>
      </c>
      <c r="I19" s="45" t="n">
        <v>46.77</v>
      </c>
      <c r="J19" s="45" t="n">
        <v>118.26</v>
      </c>
      <c r="K19" s="45" t="n">
        <v>20.27</v>
      </c>
      <c r="L19" s="45" t="n">
        <v>98.55</v>
      </c>
      <c r="M19" s="45" t="n">
        <v>45.14</v>
      </c>
      <c r="N19" s="45" t="n">
        <v>351.16</v>
      </c>
      <c r="O19" s="45" t="n">
        <v>82.86</v>
      </c>
      <c r="P19" s="45"/>
      <c r="Q19" s="45" t="n">
        <v>53.48</v>
      </c>
      <c r="R19" s="45" t="n">
        <v>48.9</v>
      </c>
      <c r="S19" s="45" t="n">
        <v>61.89</v>
      </c>
      <c r="T19" s="45" t="n">
        <v>27.14</v>
      </c>
      <c r="U19" s="45"/>
    </row>
    <row r="20" customFormat="false" ht="15" hidden="false" customHeight="true" outlineLevel="0" collapsed="false">
      <c r="A20" s="44" t="n">
        <v>45268</v>
      </c>
      <c r="B20" s="45" t="n">
        <v>610.01</v>
      </c>
      <c r="C20" s="45" t="n">
        <v>56.01</v>
      </c>
      <c r="D20" s="45" t="n">
        <v>696.43</v>
      </c>
      <c r="E20" s="45" t="n">
        <v>94.43</v>
      </c>
      <c r="F20" s="45" t="n">
        <v>60.64</v>
      </c>
      <c r="G20" s="45" t="n">
        <v>53.44</v>
      </c>
      <c r="H20" s="45" t="n">
        <v>74.96</v>
      </c>
      <c r="I20" s="45" t="n">
        <v>47.51</v>
      </c>
      <c r="J20" s="45" t="n">
        <v>119.85</v>
      </c>
      <c r="K20" s="45" t="n">
        <v>17.77</v>
      </c>
      <c r="L20" s="45" t="n">
        <v>100.35</v>
      </c>
      <c r="M20" s="45" t="n">
        <v>47.14</v>
      </c>
      <c r="N20" s="45" t="n">
        <v>350.15</v>
      </c>
      <c r="O20" s="45" t="n">
        <v>83.55</v>
      </c>
      <c r="P20" s="45"/>
      <c r="Q20" s="45" t="n">
        <v>53.82</v>
      </c>
      <c r="R20" s="45" t="n">
        <v>49.26</v>
      </c>
      <c r="S20" s="45" t="n">
        <v>62.12</v>
      </c>
      <c r="T20" s="45" t="n">
        <v>27.38</v>
      </c>
      <c r="U20" s="45"/>
    </row>
    <row r="21" customFormat="false" ht="15" hidden="false" customHeight="true" outlineLevel="0" collapsed="false">
      <c r="A21" s="44" t="n">
        <v>45275</v>
      </c>
      <c r="B21" s="45" t="n">
        <v>584.68</v>
      </c>
      <c r="C21" s="45" t="n">
        <v>58.9</v>
      </c>
      <c r="D21" s="45" t="n">
        <v>752.96</v>
      </c>
      <c r="E21" s="45" t="n">
        <v>112.97</v>
      </c>
      <c r="F21" s="45" t="n">
        <v>65.02</v>
      </c>
      <c r="G21" s="45" t="n">
        <v>58.51</v>
      </c>
      <c r="H21" s="45" t="n">
        <v>81.41</v>
      </c>
      <c r="I21" s="45" t="n">
        <v>48.89</v>
      </c>
      <c r="J21" s="45" t="n">
        <v>134.26</v>
      </c>
      <c r="K21" s="45" t="n">
        <v>18.2</v>
      </c>
      <c r="L21" s="45" t="n">
        <v>102.54</v>
      </c>
      <c r="M21" s="45" t="n">
        <v>47.73</v>
      </c>
      <c r="N21" s="45" t="n">
        <v>410.68</v>
      </c>
      <c r="O21" s="45" t="n">
        <v>88.13</v>
      </c>
      <c r="P21" s="45"/>
      <c r="Q21" s="45" t="n">
        <v>54.58</v>
      </c>
      <c r="R21" s="45" t="n">
        <v>50</v>
      </c>
      <c r="S21" s="45" t="n">
        <v>64.24</v>
      </c>
      <c r="T21" s="45" t="n">
        <v>28.14</v>
      </c>
      <c r="U21" s="45"/>
    </row>
    <row r="22" customFormat="false" ht="15" hidden="false" customHeight="true" outlineLevel="0" collapsed="false">
      <c r="A22" s="44" t="n">
        <v>45282</v>
      </c>
      <c r="B22" s="45" t="n">
        <v>598.75</v>
      </c>
      <c r="C22" s="45" t="n">
        <v>59.57</v>
      </c>
      <c r="D22" s="45" t="n">
        <v>752.53</v>
      </c>
      <c r="E22" s="45" t="n">
        <v>112.2</v>
      </c>
      <c r="F22" s="45" t="n">
        <v>63.91</v>
      </c>
      <c r="G22" s="45" t="n">
        <v>58.27</v>
      </c>
      <c r="H22" s="45" t="n">
        <v>86.49</v>
      </c>
      <c r="I22" s="45" t="n">
        <v>48.83</v>
      </c>
      <c r="J22" s="45" t="n">
        <v>132.4</v>
      </c>
      <c r="K22" s="45" t="n">
        <v>17.41</v>
      </c>
      <c r="L22" s="45" t="n">
        <v>103.15</v>
      </c>
      <c r="M22" s="45" t="n">
        <v>48.78</v>
      </c>
      <c r="N22" s="45" t="n">
        <v>405.25</v>
      </c>
      <c r="O22" s="45" t="n">
        <v>90.13</v>
      </c>
      <c r="P22" s="45"/>
      <c r="Q22" s="45" t="n">
        <v>54.82</v>
      </c>
      <c r="R22" s="45" t="n">
        <v>50.16</v>
      </c>
      <c r="S22" s="45" t="n">
        <v>65.04</v>
      </c>
      <c r="T22" s="45" t="n">
        <v>28.41</v>
      </c>
      <c r="U22" s="45"/>
    </row>
    <row r="23" customFormat="false" ht="15" hidden="false" customHeight="true" outlineLevel="0" collapsed="false">
      <c r="A23" s="44" t="n">
        <v>45289</v>
      </c>
      <c r="B23" s="45" t="n">
        <v>596.6</v>
      </c>
      <c r="C23" s="45" t="n">
        <v>58.88</v>
      </c>
      <c r="D23" s="45" t="n">
        <v>756.92</v>
      </c>
      <c r="E23" s="45" t="n">
        <v>111.63</v>
      </c>
      <c r="F23" s="45" t="n">
        <v>63.83</v>
      </c>
      <c r="G23" s="45" t="n">
        <v>58.13</v>
      </c>
      <c r="H23" s="45" t="n">
        <v>85.34</v>
      </c>
      <c r="I23" s="45" t="n">
        <v>49.52</v>
      </c>
      <c r="J23" s="45" t="n">
        <v>133.3</v>
      </c>
      <c r="K23" s="45" t="n">
        <v>17.17</v>
      </c>
      <c r="L23" s="45" t="n">
        <v>104</v>
      </c>
      <c r="M23" s="45" t="n">
        <v>48.03</v>
      </c>
      <c r="N23" s="45" t="n">
        <v>406.89</v>
      </c>
      <c r="O23" s="45" t="n">
        <v>89.8</v>
      </c>
      <c r="P23" s="45"/>
      <c r="Q23" s="45" t="n">
        <v>54.52</v>
      </c>
      <c r="R23" s="45" t="n">
        <v>49.93</v>
      </c>
      <c r="S23" s="45" t="n">
        <v>65.5</v>
      </c>
      <c r="T23" s="45" t="n">
        <v>28.34</v>
      </c>
      <c r="U23" s="45"/>
    </row>
    <row r="24" customFormat="false" ht="15" hidden="false" customHeight="true" outlineLevel="0" collapsed="false">
      <c r="A24" s="44" t="n">
        <v>45296</v>
      </c>
      <c r="B24" s="45" t="n">
        <v>564.6</v>
      </c>
      <c r="C24" s="45" t="n">
        <v>57.73</v>
      </c>
      <c r="D24" s="45" t="n">
        <v>703.34</v>
      </c>
      <c r="E24" s="45" t="n">
        <v>104.93</v>
      </c>
      <c r="F24" s="45" t="n">
        <v>61.87</v>
      </c>
      <c r="G24" s="45" t="n">
        <v>54.43</v>
      </c>
      <c r="H24" s="45" t="n">
        <v>83.45</v>
      </c>
      <c r="I24" s="45" t="n">
        <v>49.1</v>
      </c>
      <c r="J24" s="45" t="n">
        <v>130.56</v>
      </c>
      <c r="K24" s="45" t="n">
        <v>15.98</v>
      </c>
      <c r="L24" s="45" t="n">
        <v>99.61</v>
      </c>
      <c r="M24" s="45" t="n">
        <v>46.31</v>
      </c>
      <c r="N24" s="45" t="n">
        <v>416.5</v>
      </c>
      <c r="O24" s="45" t="n">
        <v>87.47</v>
      </c>
      <c r="P24" s="45"/>
      <c r="Q24" s="45" t="n">
        <v>54.93</v>
      </c>
      <c r="R24" s="45" t="n">
        <v>49.15</v>
      </c>
      <c r="S24" s="45" t="n">
        <v>64.82</v>
      </c>
      <c r="T24" s="45" t="n">
        <v>28.37</v>
      </c>
      <c r="U24" s="45"/>
    </row>
    <row r="25" customFormat="false" ht="15" hidden="false" customHeight="true" outlineLevel="0" collapsed="false">
      <c r="A25" s="44" t="n">
        <v>45303</v>
      </c>
      <c r="B25" s="45" t="n">
        <v>596.54</v>
      </c>
      <c r="C25" s="45" t="n">
        <v>63.01</v>
      </c>
      <c r="D25" s="45" t="n">
        <v>713.22</v>
      </c>
      <c r="E25" s="45" t="n">
        <v>110.77</v>
      </c>
      <c r="F25" s="45" t="n">
        <v>70.84</v>
      </c>
      <c r="G25" s="45" t="n">
        <v>56.06</v>
      </c>
      <c r="H25" s="45" t="n">
        <v>82.39</v>
      </c>
      <c r="I25" s="45" t="n">
        <v>54.71</v>
      </c>
      <c r="J25" s="45" t="n">
        <v>131.55</v>
      </c>
      <c r="K25" s="45" t="n">
        <v>16.76</v>
      </c>
      <c r="L25" s="45" t="n">
        <v>101.24</v>
      </c>
      <c r="M25" s="45" t="n">
        <v>49.52</v>
      </c>
      <c r="N25" s="45" t="n">
        <v>433.4</v>
      </c>
      <c r="O25" s="45" t="n">
        <v>86.48</v>
      </c>
      <c r="P25" s="45"/>
      <c r="Q25" s="45" t="n">
        <v>55.27</v>
      </c>
      <c r="R25" s="45" t="n">
        <v>50.49</v>
      </c>
      <c r="S25" s="45" t="n">
        <v>66.84</v>
      </c>
      <c r="T25" s="45" t="n">
        <v>28.29</v>
      </c>
      <c r="U25" s="45"/>
    </row>
    <row r="26" customFormat="false" ht="15" hidden="false" customHeight="true" outlineLevel="0" collapsed="false">
      <c r="A26" s="44" t="n">
        <v>45310</v>
      </c>
      <c r="B26" s="45" t="n">
        <v>611.55</v>
      </c>
      <c r="C26" s="45" t="n">
        <v>65.88</v>
      </c>
      <c r="D26" s="45" t="n">
        <v>757.83</v>
      </c>
      <c r="E26" s="45" t="n">
        <v>121.12</v>
      </c>
      <c r="F26" s="45" t="n">
        <v>72.64</v>
      </c>
      <c r="G26" s="45" t="n">
        <v>61.3</v>
      </c>
      <c r="H26" s="45" t="n">
        <v>87.51</v>
      </c>
      <c r="I26" s="45" t="n">
        <v>59.49</v>
      </c>
      <c r="J26" s="45" t="n">
        <v>128.44</v>
      </c>
      <c r="K26" s="45" t="n">
        <v>16.78</v>
      </c>
      <c r="L26" s="45" t="n">
        <v>114.2</v>
      </c>
      <c r="M26" s="45" t="n">
        <v>53.67</v>
      </c>
      <c r="N26" s="45" t="n">
        <v>435.02</v>
      </c>
      <c r="O26" s="45" t="n">
        <v>86.74</v>
      </c>
      <c r="P26" s="45"/>
      <c r="Q26" s="45" t="n">
        <v>55.31</v>
      </c>
      <c r="R26" s="45" t="n">
        <v>51.39</v>
      </c>
      <c r="S26" s="45" t="n">
        <v>68.25</v>
      </c>
      <c r="T26" s="45" t="n">
        <v>28.02</v>
      </c>
      <c r="U26" s="45"/>
    </row>
    <row r="27" customFormat="false" ht="15" hidden="false" customHeight="true" outlineLevel="0" collapsed="false">
      <c r="A27" s="44" t="n">
        <v>45317</v>
      </c>
      <c r="B27" s="45" t="n">
        <v>613.93</v>
      </c>
      <c r="C27" s="45" t="n">
        <v>66.1</v>
      </c>
      <c r="D27" s="45" t="n">
        <v>867.75</v>
      </c>
      <c r="E27" s="45" t="n">
        <v>120.49</v>
      </c>
      <c r="F27" s="45" t="n">
        <v>72.58</v>
      </c>
      <c r="G27" s="45" t="n">
        <v>59.94</v>
      </c>
      <c r="H27" s="45" t="n">
        <v>88.05</v>
      </c>
      <c r="I27" s="45" t="n">
        <v>61.03</v>
      </c>
      <c r="J27" s="45" t="n">
        <v>126.87</v>
      </c>
      <c r="K27" s="45" t="n">
        <v>16.35</v>
      </c>
      <c r="L27" s="45" t="n">
        <v>117.26</v>
      </c>
      <c r="M27" s="45" t="n">
        <v>53.46</v>
      </c>
      <c r="N27" s="45" t="n">
        <v>430.17</v>
      </c>
      <c r="O27" s="45" t="n">
        <v>88.78</v>
      </c>
      <c r="P27" s="45"/>
      <c r="Q27" s="45" t="n">
        <v>55.32</v>
      </c>
      <c r="R27" s="45" t="n">
        <v>51.79</v>
      </c>
      <c r="S27" s="45" t="n">
        <v>69.35</v>
      </c>
      <c r="T27" s="45" t="n">
        <v>28.25</v>
      </c>
      <c r="U27" s="45"/>
    </row>
    <row r="28" customFormat="false" ht="15" hidden="false" customHeight="true" outlineLevel="0" collapsed="false">
      <c r="A28" s="44" t="n">
        <v>45324</v>
      </c>
      <c r="B28" s="45" t="n">
        <v>634.76</v>
      </c>
      <c r="C28" s="45" t="n">
        <v>68.28</v>
      </c>
      <c r="D28" s="45" t="n">
        <v>890.66</v>
      </c>
      <c r="E28" s="45" t="n">
        <v>122.43</v>
      </c>
      <c r="F28" s="45" t="n">
        <v>75.89</v>
      </c>
      <c r="G28" s="45" t="n">
        <v>60.43</v>
      </c>
      <c r="H28" s="45" t="n">
        <v>86.48</v>
      </c>
      <c r="I28" s="45" t="n">
        <v>66.16</v>
      </c>
      <c r="J28" s="45" t="n">
        <v>129.25</v>
      </c>
      <c r="K28" s="45" t="n">
        <v>17.02</v>
      </c>
      <c r="L28" s="45" t="n">
        <v>115.75</v>
      </c>
      <c r="M28" s="45" t="n">
        <v>61.47</v>
      </c>
      <c r="N28" s="45" t="n">
        <v>424.68</v>
      </c>
      <c r="O28" s="45" t="n">
        <v>87.12</v>
      </c>
      <c r="P28" s="45"/>
      <c r="Q28" s="45" t="n">
        <v>55.93</v>
      </c>
      <c r="R28" s="45" t="n">
        <v>51.94</v>
      </c>
      <c r="S28" s="45" t="n">
        <v>72.52</v>
      </c>
      <c r="T28" s="45" t="n">
        <v>28.52</v>
      </c>
      <c r="U28" s="45"/>
    </row>
    <row r="29" customFormat="false" ht="15" hidden="false" customHeight="true" outlineLevel="0" collapsed="false">
      <c r="A29" s="44" t="n">
        <v>45331</v>
      </c>
      <c r="B29" s="45" t="n">
        <v>627.21</v>
      </c>
      <c r="C29" s="45" t="n">
        <v>70.61</v>
      </c>
      <c r="D29" s="45" t="n">
        <v>949.6</v>
      </c>
      <c r="E29" s="45" t="n">
        <v>128.34</v>
      </c>
      <c r="F29" s="45" t="n">
        <v>82.34</v>
      </c>
      <c r="G29" s="45" t="n">
        <v>64.98</v>
      </c>
      <c r="H29" s="45" t="n">
        <v>85.56</v>
      </c>
      <c r="I29" s="45" t="n">
        <v>72.13</v>
      </c>
      <c r="J29" s="45" t="n">
        <v>132.48</v>
      </c>
      <c r="K29" s="45" t="n">
        <v>24.38</v>
      </c>
      <c r="L29" s="45" t="n">
        <v>133.11</v>
      </c>
      <c r="M29" s="45" t="n">
        <v>63.52</v>
      </c>
      <c r="N29" s="45" t="n">
        <v>422.91</v>
      </c>
      <c r="O29" s="45" t="n">
        <v>87.91</v>
      </c>
      <c r="P29" s="45"/>
      <c r="Q29" s="45" t="n">
        <v>55.97</v>
      </c>
      <c r="R29" s="45" t="n">
        <v>52.49</v>
      </c>
      <c r="S29" s="45" t="n">
        <v>74.25</v>
      </c>
      <c r="T29" s="45" t="n">
        <v>28.63</v>
      </c>
      <c r="U29" s="45"/>
    </row>
    <row r="30" customFormat="false" ht="15" hidden="false" customHeight="true" outlineLevel="0" collapsed="false">
      <c r="A30" s="44" t="n">
        <v>45338</v>
      </c>
      <c r="B30" s="45" t="n">
        <v>546.66</v>
      </c>
      <c r="C30" s="45" t="n">
        <v>65.44</v>
      </c>
      <c r="D30" s="45" t="n">
        <v>928.94</v>
      </c>
      <c r="E30" s="45" t="n">
        <v>124.55</v>
      </c>
      <c r="F30" s="45" t="n">
        <v>82.31</v>
      </c>
      <c r="G30" s="45" t="n">
        <v>66.14</v>
      </c>
      <c r="H30" s="45" t="n">
        <v>79.5</v>
      </c>
      <c r="I30" s="45" t="n">
        <v>72.61</v>
      </c>
      <c r="J30" s="45" t="n">
        <v>133.39</v>
      </c>
      <c r="K30" s="45" t="n">
        <v>24.44</v>
      </c>
      <c r="L30" s="45" t="n">
        <v>126.69</v>
      </c>
      <c r="M30" s="45" t="n">
        <v>62.97</v>
      </c>
      <c r="N30" s="45" t="n">
        <v>422.2</v>
      </c>
      <c r="O30" s="45" t="n">
        <v>88.53</v>
      </c>
      <c r="P30" s="45"/>
      <c r="Q30" s="45" t="n">
        <v>55.76</v>
      </c>
      <c r="R30" s="45" t="n">
        <v>52.32</v>
      </c>
      <c r="S30" s="45" t="n">
        <v>74.87</v>
      </c>
      <c r="T30" s="45" t="n">
        <v>28.87</v>
      </c>
      <c r="U30" s="45"/>
    </row>
    <row r="31" customFormat="false" ht="15" hidden="false" customHeight="true" outlineLevel="0" collapsed="false">
      <c r="A31" s="44" t="n">
        <v>45345</v>
      </c>
      <c r="B31" s="45" t="n">
        <v>553.44</v>
      </c>
      <c r="C31" s="45" t="n">
        <v>66.92</v>
      </c>
      <c r="D31" s="45" t="n">
        <v>933.25</v>
      </c>
      <c r="E31" s="45" t="n">
        <v>129.64</v>
      </c>
      <c r="F31" s="45" t="n">
        <v>77.87</v>
      </c>
      <c r="G31" s="45" t="n">
        <v>66.88</v>
      </c>
      <c r="H31" s="45" t="n">
        <v>86</v>
      </c>
      <c r="I31" s="45" t="n">
        <v>78.82</v>
      </c>
      <c r="J31" s="45" t="n">
        <v>133.21</v>
      </c>
      <c r="K31" s="45" t="n">
        <v>22.97</v>
      </c>
      <c r="L31" s="45" t="n">
        <v>129.53</v>
      </c>
      <c r="M31" s="45" t="n">
        <v>62.7</v>
      </c>
      <c r="N31" s="45" t="n">
        <v>430.11</v>
      </c>
      <c r="O31" s="45" t="n">
        <v>88.24</v>
      </c>
      <c r="P31" s="45"/>
      <c r="Q31" s="45" t="n">
        <v>55.41</v>
      </c>
      <c r="R31" s="45" t="n">
        <v>52.98</v>
      </c>
      <c r="S31" s="45" t="n">
        <v>76.55</v>
      </c>
      <c r="T31" s="45" t="n">
        <v>29.5</v>
      </c>
      <c r="U31" s="45"/>
    </row>
    <row r="32" customFormat="false" ht="15" hidden="false" customHeight="true" outlineLevel="0" collapsed="false">
      <c r="A32" s="44" t="n">
        <v>45352</v>
      </c>
      <c r="B32" s="45" t="n">
        <v>570.93</v>
      </c>
      <c r="C32" s="45" t="n">
        <v>71.94</v>
      </c>
      <c r="D32" s="45" t="n">
        <v>990.94</v>
      </c>
      <c r="E32" s="45" t="n">
        <v>139.92</v>
      </c>
      <c r="F32" s="45" t="n">
        <v>78.65</v>
      </c>
      <c r="G32" s="45" t="n">
        <v>71.76</v>
      </c>
      <c r="H32" s="45" t="n">
        <v>95.15</v>
      </c>
      <c r="I32" s="45" t="n">
        <v>82.28</v>
      </c>
      <c r="J32" s="45" t="n">
        <v>134.6</v>
      </c>
      <c r="K32" s="45" t="n">
        <v>24.93</v>
      </c>
      <c r="L32" s="45" t="n">
        <v>133.9</v>
      </c>
      <c r="M32" s="45" t="n">
        <v>70.57</v>
      </c>
      <c r="N32" s="45" t="n">
        <v>432.76</v>
      </c>
      <c r="O32" s="45" t="n">
        <v>89.63</v>
      </c>
      <c r="P32" s="45"/>
      <c r="Q32" s="45" t="n">
        <v>54.33</v>
      </c>
      <c r="R32" s="45" t="n">
        <v>53.26</v>
      </c>
      <c r="S32" s="45" t="n">
        <v>78.7</v>
      </c>
      <c r="T32" s="45" t="n">
        <v>30.15</v>
      </c>
      <c r="U32" s="45"/>
    </row>
    <row r="33" customFormat="false" ht="15" hidden="false" customHeight="true" outlineLevel="0" collapsed="false">
      <c r="A33" s="44" t="n">
        <v>45359</v>
      </c>
      <c r="B33" s="45" t="n">
        <v>551.69</v>
      </c>
      <c r="C33" s="45" t="n">
        <v>68.28</v>
      </c>
      <c r="D33" s="45" t="n">
        <v>994.33</v>
      </c>
      <c r="E33" s="45" t="n">
        <v>130.87</v>
      </c>
      <c r="F33" s="45" t="n">
        <v>80.71</v>
      </c>
      <c r="G33" s="45" t="n">
        <v>69.92</v>
      </c>
      <c r="H33" s="45" t="n">
        <v>97.62</v>
      </c>
      <c r="I33" s="45" t="n">
        <v>87.53</v>
      </c>
      <c r="J33" s="45" t="n">
        <v>135.07</v>
      </c>
      <c r="K33" s="45" t="n">
        <v>26.04</v>
      </c>
      <c r="L33" s="45" t="n">
        <v>146.37</v>
      </c>
      <c r="M33" s="45" t="n">
        <v>69.37</v>
      </c>
      <c r="N33" s="45" t="n">
        <v>413.59</v>
      </c>
      <c r="O33" s="45" t="n">
        <v>89.73</v>
      </c>
      <c r="P33" s="45"/>
      <c r="Q33" s="45" t="n">
        <v>55.45</v>
      </c>
      <c r="R33" s="45" t="n">
        <v>53.19</v>
      </c>
      <c r="S33" s="45" t="n">
        <v>79</v>
      </c>
      <c r="T33" s="45" t="n">
        <v>30.74</v>
      </c>
      <c r="U33" s="45"/>
    </row>
    <row r="34" customFormat="false" ht="15" hidden="false" customHeight="true" outlineLevel="0" collapsed="false">
      <c r="A34" s="44" t="n">
        <v>45366</v>
      </c>
      <c r="B34" s="45" t="n">
        <v>492.46</v>
      </c>
      <c r="C34" s="45" t="n">
        <v>69.43</v>
      </c>
      <c r="D34" s="45" t="n">
        <v>940.21</v>
      </c>
      <c r="E34" s="45" t="n">
        <v>123.55</v>
      </c>
      <c r="F34" s="45" t="n">
        <v>78.91</v>
      </c>
      <c r="G34" s="45" t="n">
        <v>68.39</v>
      </c>
      <c r="H34" s="45" t="n">
        <v>93.25</v>
      </c>
      <c r="I34" s="45" t="n">
        <v>87.84</v>
      </c>
      <c r="J34" s="45" t="n">
        <v>129.02</v>
      </c>
      <c r="K34" s="45" t="n">
        <v>23.49</v>
      </c>
      <c r="L34" s="45" t="n">
        <v>136.98</v>
      </c>
      <c r="M34" s="45" t="n">
        <v>74.16</v>
      </c>
      <c r="N34" s="45" t="n">
        <v>407.69</v>
      </c>
      <c r="O34" s="45" t="n">
        <v>88.97</v>
      </c>
      <c r="P34" s="45"/>
      <c r="Q34" s="45" t="n">
        <v>55.68</v>
      </c>
      <c r="R34" s="45" t="n">
        <v>52.91</v>
      </c>
      <c r="S34" s="45" t="n">
        <v>78.59</v>
      </c>
      <c r="T34" s="45" t="n">
        <v>31.16</v>
      </c>
      <c r="U34" s="45"/>
    </row>
    <row r="35" customFormat="false" ht="15" hidden="false" customHeight="true" outlineLevel="0" collapsed="false">
      <c r="A35" s="44" t="n">
        <v>45373</v>
      </c>
      <c r="B35" s="45" t="n">
        <v>499.52</v>
      </c>
      <c r="C35" s="45" t="n">
        <v>76.61</v>
      </c>
      <c r="D35" s="45" t="n">
        <v>979.96</v>
      </c>
      <c r="E35" s="45" t="n">
        <v>135.35</v>
      </c>
      <c r="F35" s="45" t="n">
        <v>81.9</v>
      </c>
      <c r="G35" s="45" t="n">
        <v>71.06</v>
      </c>
      <c r="H35" s="45" t="n">
        <v>110.21</v>
      </c>
      <c r="I35" s="45" t="n">
        <v>94.29</v>
      </c>
      <c r="J35" s="45" t="n">
        <v>128.62</v>
      </c>
      <c r="K35" s="45" t="n">
        <v>24.18</v>
      </c>
      <c r="L35" s="45" t="n">
        <v>140.54</v>
      </c>
      <c r="M35" s="45" t="n">
        <v>82.5</v>
      </c>
      <c r="N35" s="45" t="n">
        <v>415.66</v>
      </c>
      <c r="O35" s="45" t="n">
        <v>91.1</v>
      </c>
      <c r="P35" s="45"/>
      <c r="Q35" s="45" t="n">
        <v>56.54</v>
      </c>
      <c r="R35" s="45" t="n">
        <v>54.26</v>
      </c>
      <c r="S35" s="45" t="n">
        <v>80.83</v>
      </c>
      <c r="T35" s="45" t="n">
        <v>31.91</v>
      </c>
      <c r="U35" s="45"/>
    </row>
    <row r="36" customFormat="false" ht="15" hidden="false" customHeight="true" outlineLevel="0" collapsed="false">
      <c r="A36" s="44" t="n">
        <v>45379</v>
      </c>
      <c r="B36" s="45" t="n">
        <v>504.6</v>
      </c>
      <c r="C36" s="45" t="n">
        <v>72.5</v>
      </c>
      <c r="D36" s="45" t="n">
        <v>970.47</v>
      </c>
      <c r="E36" s="45" t="n">
        <v>132.54</v>
      </c>
      <c r="F36" s="45" t="n">
        <v>80.15</v>
      </c>
      <c r="G36" s="45" t="n">
        <v>69.86</v>
      </c>
      <c r="H36" s="45" t="n">
        <v>117.89</v>
      </c>
      <c r="I36" s="45" t="n">
        <v>90.36</v>
      </c>
      <c r="J36" s="45" t="n">
        <v>130.22</v>
      </c>
      <c r="K36" s="45" t="n">
        <v>23.01</v>
      </c>
      <c r="L36" s="45" t="n">
        <v>136.05</v>
      </c>
      <c r="M36" s="45" t="n">
        <v>81.67</v>
      </c>
      <c r="N36" s="45" t="n">
        <v>418.01</v>
      </c>
      <c r="O36" s="45" t="n">
        <v>93.71</v>
      </c>
      <c r="P36" s="45"/>
      <c r="Q36" s="45" t="n">
        <v>57.15</v>
      </c>
      <c r="R36" s="45" t="n">
        <v>54.24</v>
      </c>
      <c r="S36" s="45" t="n">
        <v>80.22</v>
      </c>
      <c r="T36" s="45" t="n">
        <v>32.41</v>
      </c>
      <c r="U36" s="45"/>
    </row>
    <row r="37" customFormat="false" ht="15" hidden="false" customHeight="true" outlineLevel="0" collapsed="false">
      <c r="A37" s="44" t="n">
        <v>45387</v>
      </c>
      <c r="B37" s="45" t="n">
        <v>485.12</v>
      </c>
      <c r="C37" s="45" t="n">
        <v>74.4</v>
      </c>
      <c r="D37" s="45" t="n">
        <v>979.55</v>
      </c>
      <c r="E37" s="45" t="n">
        <v>133.94</v>
      </c>
      <c r="F37" s="45" t="n">
        <v>78.88</v>
      </c>
      <c r="G37" s="45" t="n">
        <v>68.28</v>
      </c>
      <c r="H37" s="45" t="n">
        <v>123.58</v>
      </c>
      <c r="I37" s="45" t="n">
        <v>88.01</v>
      </c>
      <c r="J37" s="45" t="n">
        <v>124.74</v>
      </c>
      <c r="K37" s="45" t="n">
        <v>22.96</v>
      </c>
      <c r="L37" s="45" t="n">
        <v>141.36</v>
      </c>
      <c r="M37" s="45" t="n">
        <v>85.34</v>
      </c>
      <c r="N37" s="45" t="n">
        <v>406.67</v>
      </c>
      <c r="O37" s="45" t="n">
        <v>91.69</v>
      </c>
      <c r="P37" s="45"/>
      <c r="Q37" s="45" t="n">
        <v>57.21</v>
      </c>
      <c r="R37" s="45" t="n">
        <v>53.59</v>
      </c>
      <c r="S37" s="45" t="n">
        <v>80.45</v>
      </c>
      <c r="T37" s="45" t="n">
        <v>32.33</v>
      </c>
      <c r="U37" s="45"/>
    </row>
    <row r="38" customFormat="false" ht="15" hidden="false" customHeight="true" outlineLevel="0" collapsed="false">
      <c r="A38" s="44" t="n">
        <v>45394</v>
      </c>
      <c r="B38" s="45" t="n">
        <v>474.09</v>
      </c>
      <c r="C38" s="45" t="n">
        <v>67.81</v>
      </c>
      <c r="D38" s="45" t="n">
        <v>961.84</v>
      </c>
      <c r="E38" s="45" t="n">
        <v>134.41</v>
      </c>
      <c r="F38" s="45" t="n">
        <v>77.26</v>
      </c>
      <c r="G38" s="45" t="n">
        <v>68.08</v>
      </c>
      <c r="H38" s="45" t="n">
        <v>122.52</v>
      </c>
      <c r="I38" s="45" t="n">
        <v>88.19</v>
      </c>
      <c r="J38" s="45" t="n">
        <v>119</v>
      </c>
      <c r="K38" s="45" t="n">
        <v>22.67</v>
      </c>
      <c r="L38" s="45" t="n">
        <v>142.52</v>
      </c>
      <c r="M38" s="45" t="n">
        <v>83.89</v>
      </c>
      <c r="N38" s="45" t="n">
        <v>396.55</v>
      </c>
      <c r="O38" s="45" t="n">
        <v>88.86</v>
      </c>
      <c r="P38" s="45"/>
      <c r="Q38" s="45" t="n">
        <v>57.06</v>
      </c>
      <c r="R38" s="45" t="n">
        <v>53.4</v>
      </c>
      <c r="S38" s="45" t="n">
        <v>79.32</v>
      </c>
      <c r="T38" s="45" t="n">
        <v>31.49</v>
      </c>
      <c r="U38" s="45"/>
    </row>
    <row r="39" customFormat="false" ht="15" hidden="false" customHeight="true" outlineLevel="0" collapsed="false">
      <c r="A39" s="44" t="n">
        <v>45401</v>
      </c>
      <c r="B39" s="45" t="n">
        <v>465.02</v>
      </c>
      <c r="C39" s="45" t="n">
        <v>61.52</v>
      </c>
      <c r="D39" s="45" t="n">
        <v>859.54</v>
      </c>
      <c r="E39" s="45" t="n">
        <v>120.47</v>
      </c>
      <c r="F39" s="45" t="n">
        <v>70.66</v>
      </c>
      <c r="G39" s="45" t="n">
        <v>62.82</v>
      </c>
      <c r="H39" s="45" t="n">
        <v>106.77</v>
      </c>
      <c r="I39" s="45" t="n">
        <v>76.2</v>
      </c>
      <c r="J39" s="45" t="n">
        <v>103.49</v>
      </c>
      <c r="K39" s="45" t="n">
        <v>20.47</v>
      </c>
      <c r="L39" s="45" t="n">
        <v>127.7</v>
      </c>
      <c r="M39" s="45" t="n">
        <v>75.01</v>
      </c>
      <c r="N39" s="45" t="n">
        <v>394.28</v>
      </c>
      <c r="O39" s="45" t="n">
        <v>88.06</v>
      </c>
      <c r="P39" s="45"/>
      <c r="Q39" s="45" t="n">
        <v>57.69</v>
      </c>
      <c r="R39" s="45" t="n">
        <v>50.84</v>
      </c>
      <c r="S39" s="45" t="n">
        <v>74.81</v>
      </c>
      <c r="T39" s="45" t="n">
        <v>30.93</v>
      </c>
      <c r="U39" s="45"/>
    </row>
    <row r="40" customFormat="false" ht="15" hidden="false" customHeight="true" outlineLevel="0" collapsed="false">
      <c r="A40" s="44" t="n">
        <v>45408</v>
      </c>
      <c r="B40" s="45" t="n">
        <v>477.56</v>
      </c>
      <c r="C40" s="45" t="n">
        <v>66.18</v>
      </c>
      <c r="D40" s="45" t="n">
        <v>918.97</v>
      </c>
      <c r="E40" s="45" t="n">
        <v>134.41</v>
      </c>
      <c r="F40" s="45" t="n">
        <v>76.02</v>
      </c>
      <c r="G40" s="45" t="n">
        <v>70.63</v>
      </c>
      <c r="H40" s="45" t="n">
        <v>114.84</v>
      </c>
      <c r="I40" s="45" t="n">
        <v>87.74</v>
      </c>
      <c r="J40" s="45" t="n">
        <v>104.06</v>
      </c>
      <c r="K40" s="45" t="n">
        <v>22.52</v>
      </c>
      <c r="L40" s="45" t="n">
        <v>138.3</v>
      </c>
      <c r="M40" s="45" t="n">
        <v>93.49</v>
      </c>
      <c r="N40" s="45" t="n">
        <v>397.48</v>
      </c>
      <c r="O40" s="45" t="n">
        <v>90.24</v>
      </c>
      <c r="P40" s="45"/>
      <c r="Q40" s="45" t="n">
        <v>58.21</v>
      </c>
      <c r="R40" s="45" t="n">
        <v>52.66</v>
      </c>
      <c r="S40" s="45" t="n">
        <v>77.06</v>
      </c>
      <c r="T40" s="45" t="n">
        <v>31.32</v>
      </c>
      <c r="U40" s="45"/>
    </row>
    <row r="41" customFormat="false" ht="15" hidden="false" customHeight="true" outlineLevel="0" collapsed="false">
      <c r="A41" s="44" t="n">
        <v>45415</v>
      </c>
      <c r="B41" s="45" t="n">
        <v>486.18</v>
      </c>
      <c r="C41" s="45" t="n">
        <v>68.6</v>
      </c>
      <c r="D41" s="45" t="n">
        <v>901.63</v>
      </c>
      <c r="E41" s="45" t="n">
        <v>127.81</v>
      </c>
      <c r="F41" s="45" t="n">
        <v>77.55</v>
      </c>
      <c r="G41" s="45" t="n">
        <v>69.66</v>
      </c>
      <c r="H41" s="45" t="n">
        <v>114.7</v>
      </c>
      <c r="I41" s="45" t="n">
        <v>88.79</v>
      </c>
      <c r="J41" s="45" t="n">
        <v>105.89</v>
      </c>
      <c r="K41" s="45" t="n">
        <v>23.33</v>
      </c>
      <c r="L41" s="45" t="n">
        <v>141.56</v>
      </c>
      <c r="M41" s="45" t="n">
        <v>93.01</v>
      </c>
      <c r="N41" s="45" t="n">
        <v>401.08</v>
      </c>
      <c r="O41" s="45" t="n">
        <v>90.86</v>
      </c>
      <c r="P41" s="45"/>
      <c r="Q41" s="45" t="n">
        <v>58.4</v>
      </c>
      <c r="R41" s="45" t="n">
        <v>52.75</v>
      </c>
      <c r="S41" s="45" t="n">
        <v>77.82</v>
      </c>
      <c r="T41" s="45" t="n">
        <v>30.83</v>
      </c>
      <c r="U41" s="45"/>
    </row>
    <row r="42" customFormat="false" ht="15" hidden="false" customHeight="true" outlineLevel="0" collapsed="false">
      <c r="A42" s="44" t="n">
        <v>45422</v>
      </c>
      <c r="B42" s="45" t="n">
        <v>482.29</v>
      </c>
      <c r="C42" s="45" t="n">
        <v>78.51</v>
      </c>
      <c r="D42" s="45" t="n">
        <v>930.29</v>
      </c>
      <c r="E42" s="45" t="n">
        <v>133.28</v>
      </c>
      <c r="F42" s="45" t="n">
        <v>80.19</v>
      </c>
      <c r="G42" s="45" t="n">
        <v>71.83</v>
      </c>
      <c r="H42" s="45" t="n">
        <v>121.24</v>
      </c>
      <c r="I42" s="45" t="n">
        <v>89.88</v>
      </c>
      <c r="J42" s="45" t="n">
        <v>107.49</v>
      </c>
      <c r="K42" s="45" t="n">
        <v>20.6</v>
      </c>
      <c r="L42" s="45" t="n">
        <v>149.26</v>
      </c>
      <c r="M42" s="45" t="n">
        <v>95.4</v>
      </c>
      <c r="N42" s="45" t="n">
        <v>422.78</v>
      </c>
      <c r="O42" s="45" t="n">
        <v>92.43</v>
      </c>
      <c r="P42" s="45"/>
      <c r="Q42" s="45" t="n">
        <v>58.56</v>
      </c>
      <c r="R42" s="45" t="n">
        <v>53.48</v>
      </c>
      <c r="S42" s="45" t="n">
        <v>79.55</v>
      </c>
      <c r="T42" s="45" t="n">
        <v>31.51</v>
      </c>
      <c r="U42" s="45"/>
    </row>
    <row r="43" customFormat="false" ht="15" hidden="false" customHeight="true" outlineLevel="0" collapsed="false">
      <c r="A43" s="44" t="n">
        <v>45429</v>
      </c>
      <c r="B43" s="45" t="n">
        <v>483.43</v>
      </c>
      <c r="C43" s="45" t="n">
        <v>79.97</v>
      </c>
      <c r="D43" s="45" t="n">
        <v>924.97</v>
      </c>
      <c r="E43" s="45" t="n">
        <v>139.53</v>
      </c>
      <c r="F43" s="45" t="n">
        <v>86.48</v>
      </c>
      <c r="G43" s="45" t="n">
        <v>74.77</v>
      </c>
      <c r="H43" s="45" t="n">
        <v>125.29</v>
      </c>
      <c r="I43" s="45" t="n">
        <v>92.48</v>
      </c>
      <c r="J43" s="45" t="n">
        <v>111.5</v>
      </c>
      <c r="K43" s="45" t="n">
        <v>21.76</v>
      </c>
      <c r="L43" s="45" t="n">
        <v>151.68</v>
      </c>
      <c r="M43" s="45" t="n">
        <v>96.81</v>
      </c>
      <c r="N43" s="45" t="n">
        <v>445.21</v>
      </c>
      <c r="O43" s="45" t="n">
        <v>93.45</v>
      </c>
      <c r="P43" s="45"/>
      <c r="Q43" s="45" t="n">
        <v>58.98</v>
      </c>
      <c r="R43" s="45" t="n">
        <v>54.12</v>
      </c>
      <c r="S43" s="45" t="n">
        <v>80.75</v>
      </c>
      <c r="T43" s="45" t="n">
        <v>31.8</v>
      </c>
      <c r="U43" s="45"/>
    </row>
    <row r="44" customFormat="false" ht="15" hidden="false" customHeight="true" outlineLevel="0" collapsed="false">
      <c r="A44" s="44" t="n">
        <v>45436</v>
      </c>
      <c r="B44" s="45" t="n">
        <v>475.43</v>
      </c>
      <c r="C44" s="45" t="n">
        <v>76.64</v>
      </c>
      <c r="D44" s="45" t="n">
        <v>956.22</v>
      </c>
      <c r="E44" s="45" t="n">
        <v>140.78</v>
      </c>
      <c r="F44" s="45" t="n">
        <v>87.87</v>
      </c>
      <c r="G44" s="45" t="n">
        <v>77.91</v>
      </c>
      <c r="H44" s="45" t="n">
        <v>129.49</v>
      </c>
      <c r="I44" s="45" t="n">
        <v>106.47</v>
      </c>
      <c r="J44" s="45" t="n">
        <v>104.75</v>
      </c>
      <c r="K44" s="45" t="n">
        <v>21.01</v>
      </c>
      <c r="L44" s="45" t="n">
        <v>160</v>
      </c>
      <c r="M44" s="45" t="n">
        <v>106.17</v>
      </c>
      <c r="N44" s="45" t="n">
        <v>456.95</v>
      </c>
      <c r="O44" s="45" t="n">
        <v>92.06</v>
      </c>
      <c r="P44" s="45"/>
      <c r="Q44" s="45" t="n">
        <v>59.18</v>
      </c>
      <c r="R44" s="45" t="n">
        <v>54.38</v>
      </c>
      <c r="S44" s="45" t="n">
        <v>82.32</v>
      </c>
      <c r="T44" s="45" t="n">
        <v>31.26</v>
      </c>
      <c r="U44" s="45"/>
    </row>
    <row r="45" customFormat="false" ht="15" hidden="false" customHeight="true" outlineLevel="0" collapsed="false">
      <c r="A45" s="44" t="n">
        <v>45443</v>
      </c>
      <c r="B45" s="45" t="n">
        <v>444.76</v>
      </c>
      <c r="C45" s="45" t="n">
        <v>74.41</v>
      </c>
      <c r="D45" s="45" t="n">
        <v>960.35</v>
      </c>
      <c r="E45" s="45" t="n">
        <v>132.85</v>
      </c>
      <c r="F45" s="45" t="n">
        <v>78.42</v>
      </c>
      <c r="G45" s="45" t="n">
        <v>75.95</v>
      </c>
      <c r="H45" s="45" t="n">
        <v>125</v>
      </c>
      <c r="I45" s="45" t="n">
        <v>109.63</v>
      </c>
      <c r="J45" s="45" t="n">
        <v>110.49</v>
      </c>
      <c r="K45" s="45" t="n">
        <v>21.68</v>
      </c>
      <c r="L45" s="45" t="n">
        <v>151.04</v>
      </c>
      <c r="M45" s="45" t="n">
        <v>98.07</v>
      </c>
      <c r="N45" s="45" t="n">
        <v>455.34</v>
      </c>
      <c r="O45" s="45" t="n">
        <v>93.05</v>
      </c>
      <c r="P45" s="45"/>
      <c r="Q45" s="45" t="n">
        <v>58.79</v>
      </c>
      <c r="R45" s="45" t="n">
        <v>54.19</v>
      </c>
      <c r="S45" s="45" t="n">
        <v>81.42</v>
      </c>
      <c r="T45" s="45" t="n">
        <v>31.62</v>
      </c>
      <c r="U45" s="45"/>
    </row>
    <row r="46" customFormat="false" ht="15" hidden="false" customHeight="true" outlineLevel="0" collapsed="false">
      <c r="A46" s="44" t="n">
        <v>45450</v>
      </c>
      <c r="B46" s="45" t="n">
        <v>465.43</v>
      </c>
      <c r="C46" s="45" t="n">
        <v>74.2</v>
      </c>
      <c r="D46" s="45" t="n">
        <v>1028.42</v>
      </c>
      <c r="E46" s="45" t="n">
        <v>140.66</v>
      </c>
      <c r="F46" s="45" t="n">
        <v>87.28</v>
      </c>
      <c r="G46" s="45" t="n">
        <v>76.9</v>
      </c>
      <c r="H46" s="45" t="n">
        <v>130.94</v>
      </c>
      <c r="I46" s="45" t="n">
        <v>120.89</v>
      </c>
      <c r="J46" s="45" t="n">
        <v>110.2</v>
      </c>
      <c r="K46" s="45" t="n">
        <v>23.31</v>
      </c>
      <c r="L46" s="45" t="n">
        <v>164.39</v>
      </c>
      <c r="M46" s="45" t="n">
        <v>87.68</v>
      </c>
      <c r="N46" s="45" t="n">
        <v>483.04</v>
      </c>
      <c r="O46" s="45" t="n">
        <v>89.88</v>
      </c>
      <c r="P46" s="45"/>
      <c r="Q46" s="45" t="n">
        <v>58.54</v>
      </c>
      <c r="R46" s="45" t="n">
        <v>54.49</v>
      </c>
      <c r="S46" s="45" t="n">
        <v>83.89</v>
      </c>
      <c r="T46" s="45" t="n">
        <v>30.95</v>
      </c>
      <c r="U46" s="45"/>
    </row>
    <row r="47" customFormat="false" ht="15" hidden="false" customHeight="true" outlineLevel="0" collapsed="false">
      <c r="A47" s="44" t="n">
        <v>45457</v>
      </c>
      <c r="B47" s="45" t="n">
        <v>525.31</v>
      </c>
      <c r="C47" s="45" t="n">
        <v>82.13</v>
      </c>
      <c r="D47" s="45" t="n">
        <v>1027.9</v>
      </c>
      <c r="E47" s="45" t="n">
        <v>173.5</v>
      </c>
      <c r="F47" s="45" t="n">
        <v>96.36</v>
      </c>
      <c r="G47" s="45" t="n">
        <v>82.48</v>
      </c>
      <c r="H47" s="45" t="n">
        <v>141.36</v>
      </c>
      <c r="I47" s="45" t="n">
        <v>131.88</v>
      </c>
      <c r="J47" s="45" t="n">
        <v>112.29</v>
      </c>
      <c r="K47" s="45" t="n">
        <v>23.57</v>
      </c>
      <c r="L47" s="45" t="n">
        <v>172.51</v>
      </c>
      <c r="M47" s="45" t="n">
        <v>91.48</v>
      </c>
      <c r="N47" s="45" t="n">
        <v>480.73</v>
      </c>
      <c r="O47" s="45" t="n">
        <v>87.73</v>
      </c>
      <c r="P47" s="45"/>
      <c r="Q47" s="45" t="n">
        <v>57.91</v>
      </c>
      <c r="R47" s="45" t="n">
        <v>55.18</v>
      </c>
      <c r="S47" s="45" t="n">
        <v>87.43</v>
      </c>
      <c r="T47" s="45" t="n">
        <v>30.82</v>
      </c>
      <c r="U47" s="45"/>
    </row>
    <row r="48" customFormat="false" ht="15" hidden="false" customHeight="true" outlineLevel="0" collapsed="false">
      <c r="A48" s="44" t="n">
        <v>45464</v>
      </c>
      <c r="B48" s="45" t="n">
        <v>533.44</v>
      </c>
      <c r="C48" s="45" t="n">
        <v>84.34</v>
      </c>
      <c r="D48" s="45" t="n">
        <v>1036.6</v>
      </c>
      <c r="E48" s="45" t="n">
        <v>165.86</v>
      </c>
      <c r="F48" s="45" t="n">
        <v>95.16</v>
      </c>
      <c r="G48" s="45" t="n">
        <v>81.66</v>
      </c>
      <c r="H48" s="45" t="n">
        <v>139.54</v>
      </c>
      <c r="I48" s="45" t="n">
        <v>126.57</v>
      </c>
      <c r="J48" s="45" t="n">
        <v>109.4</v>
      </c>
      <c r="K48" s="45" t="n">
        <v>23.84</v>
      </c>
      <c r="L48" s="45" t="n">
        <v>173.96</v>
      </c>
      <c r="M48" s="45" t="n">
        <v>90.62</v>
      </c>
      <c r="N48" s="45" t="n">
        <v>468.71</v>
      </c>
      <c r="O48" s="45" t="n">
        <v>88.68</v>
      </c>
      <c r="P48" s="45"/>
      <c r="Q48" s="45" t="n">
        <v>57.95</v>
      </c>
      <c r="R48" s="45" t="n">
        <v>55.24</v>
      </c>
      <c r="S48" s="45" t="n">
        <v>87.36</v>
      </c>
      <c r="T48" s="45" t="n">
        <v>31.12</v>
      </c>
      <c r="U48" s="45"/>
    </row>
    <row r="49" customFormat="false" ht="15" hidden="false" customHeight="true" outlineLevel="0" collapsed="false">
      <c r="A49" s="44" t="n">
        <v>45471</v>
      </c>
      <c r="B49" s="45" t="n">
        <v>555.54</v>
      </c>
      <c r="C49" s="45" t="n">
        <v>87.62</v>
      </c>
      <c r="D49" s="45" t="n">
        <v>1022.73</v>
      </c>
      <c r="E49" s="45" t="n">
        <v>160.55</v>
      </c>
      <c r="F49" s="45" t="n">
        <v>95.8</v>
      </c>
      <c r="G49" s="45" t="n">
        <v>82.45</v>
      </c>
      <c r="H49" s="45" t="n">
        <v>131.53</v>
      </c>
      <c r="I49" s="45" t="n">
        <v>123.54</v>
      </c>
      <c r="J49" s="45" t="n">
        <v>112.31</v>
      </c>
      <c r="K49" s="45" t="n">
        <v>25.33</v>
      </c>
      <c r="L49" s="45" t="n">
        <v>173.81</v>
      </c>
      <c r="M49" s="45" t="n">
        <v>86.57</v>
      </c>
      <c r="N49" s="45" t="n">
        <v>468.72</v>
      </c>
      <c r="O49" s="45" t="n">
        <v>89.72</v>
      </c>
      <c r="P49" s="45"/>
      <c r="Q49" s="45" t="n">
        <v>59.47</v>
      </c>
      <c r="R49" s="45" t="n">
        <v>55.5</v>
      </c>
      <c r="S49" s="45" t="n">
        <v>87.46</v>
      </c>
      <c r="T49" s="45" t="n">
        <v>30.92</v>
      </c>
      <c r="U49" s="45"/>
    </row>
    <row r="50" customFormat="false" ht="15" hidden="false" customHeight="true" outlineLevel="0" collapsed="false">
      <c r="A50" s="44" t="n">
        <v>45478</v>
      </c>
      <c r="B50" s="45" t="n">
        <v>578.34</v>
      </c>
      <c r="C50" s="45" t="n">
        <v>91.54</v>
      </c>
      <c r="D50" s="45" t="n">
        <v>1074.48</v>
      </c>
      <c r="E50" s="45" t="n">
        <v>170.33</v>
      </c>
      <c r="F50" s="45" t="n">
        <v>97.42</v>
      </c>
      <c r="G50" s="45" t="n">
        <v>85.52</v>
      </c>
      <c r="H50" s="45" t="n">
        <v>131.6</v>
      </c>
      <c r="I50" s="45" t="n">
        <v>125.83</v>
      </c>
      <c r="J50" s="45" t="n">
        <v>114.46</v>
      </c>
      <c r="K50" s="45" t="n">
        <v>27.23</v>
      </c>
      <c r="L50" s="45" t="n">
        <v>183.99</v>
      </c>
      <c r="M50" s="45" t="n">
        <v>91.78</v>
      </c>
      <c r="N50" s="45" t="n">
        <v>474.57</v>
      </c>
      <c r="O50" s="45" t="n">
        <v>88.24</v>
      </c>
      <c r="P50" s="45"/>
      <c r="Q50" s="45" t="n">
        <v>59.99</v>
      </c>
      <c r="R50" s="45" t="n">
        <v>55.88</v>
      </c>
      <c r="S50" s="45" t="n">
        <v>90.17</v>
      </c>
      <c r="T50" s="45" t="n">
        <v>30.3</v>
      </c>
      <c r="U50" s="45"/>
    </row>
    <row r="51" customFormat="false" ht="15" hidden="false" customHeight="true" outlineLevel="0" collapsed="false">
      <c r="A51" s="44" t="n">
        <v>45485</v>
      </c>
      <c r="B51" s="45" t="n">
        <v>559.05</v>
      </c>
      <c r="C51" s="45" t="n">
        <v>90.48</v>
      </c>
      <c r="D51" s="45" t="n">
        <v>1085.26</v>
      </c>
      <c r="E51" s="45" t="n">
        <v>170.07</v>
      </c>
      <c r="F51" s="45" t="n">
        <v>92.83</v>
      </c>
      <c r="G51" s="45" t="n">
        <v>85.77</v>
      </c>
      <c r="H51" s="45" t="n">
        <v>133.55</v>
      </c>
      <c r="I51" s="45" t="n">
        <v>129.24</v>
      </c>
      <c r="J51" s="45" t="n">
        <v>120.15</v>
      </c>
      <c r="K51" s="45" t="n">
        <v>28.07</v>
      </c>
      <c r="L51" s="45" t="n">
        <v>187.35</v>
      </c>
      <c r="M51" s="45" t="n">
        <v>89.67</v>
      </c>
      <c r="N51" s="45" t="n">
        <v>488.74</v>
      </c>
      <c r="O51" s="45" t="n">
        <v>93.16</v>
      </c>
      <c r="P51" s="45"/>
      <c r="Q51" s="45" t="n">
        <v>60.21</v>
      </c>
      <c r="R51" s="45" t="n">
        <v>55.84</v>
      </c>
      <c r="S51" s="45" t="n">
        <v>89.99</v>
      </c>
      <c r="T51" s="45" t="n">
        <v>31.46</v>
      </c>
      <c r="U51" s="45"/>
    </row>
    <row r="52" customFormat="false" ht="15" hidden="false" customHeight="true" outlineLevel="0" collapsed="false">
      <c r="A52" s="44" t="n">
        <v>45492</v>
      </c>
      <c r="B52" s="45" t="n">
        <v>551</v>
      </c>
      <c r="C52" s="45" t="n">
        <v>82.64</v>
      </c>
      <c r="D52" s="45" t="n">
        <v>895.37</v>
      </c>
      <c r="E52" s="45" t="n">
        <v>157.35</v>
      </c>
      <c r="F52" s="45" t="n">
        <v>76.24</v>
      </c>
      <c r="G52" s="45" t="n">
        <v>76.26</v>
      </c>
      <c r="H52" s="45" t="n">
        <v>114.26</v>
      </c>
      <c r="I52" s="45" t="n">
        <v>117.93</v>
      </c>
      <c r="J52" s="45" t="n">
        <v>123.75</v>
      </c>
      <c r="K52" s="45" t="n">
        <v>28.58</v>
      </c>
      <c r="L52" s="45" t="n">
        <v>165.77</v>
      </c>
      <c r="M52" s="45" t="n">
        <v>85.31</v>
      </c>
      <c r="N52" s="45" t="n">
        <v>491.57</v>
      </c>
      <c r="O52" s="45" t="n">
        <v>95.62</v>
      </c>
      <c r="P52" s="45"/>
      <c r="Q52" s="45" t="n">
        <v>58.58</v>
      </c>
      <c r="R52" s="45" t="n">
        <v>54.19</v>
      </c>
      <c r="S52" s="45" t="n">
        <v>86.35</v>
      </c>
      <c r="T52" s="45" t="n">
        <v>31.94</v>
      </c>
      <c r="U52" s="45"/>
    </row>
    <row r="53" customFormat="false" ht="15" hidden="false" customHeight="true" outlineLevel="0" collapsed="false">
      <c r="A53" s="44" t="n">
        <v>45499</v>
      </c>
      <c r="B53" s="45" t="n">
        <v>542.44</v>
      </c>
      <c r="C53" s="45" t="n">
        <v>79.8</v>
      </c>
      <c r="D53" s="45" t="n">
        <v>888.39</v>
      </c>
      <c r="E53" s="45" t="n">
        <v>151.63</v>
      </c>
      <c r="F53" s="45" t="n">
        <v>64.04</v>
      </c>
      <c r="G53" s="45" t="n">
        <v>78.74</v>
      </c>
      <c r="H53" s="45" t="n">
        <v>109.41</v>
      </c>
      <c r="I53" s="45" t="n">
        <v>113.06</v>
      </c>
      <c r="J53" s="45" t="n">
        <v>122.68</v>
      </c>
      <c r="K53" s="45" t="n">
        <v>27.18</v>
      </c>
      <c r="L53" s="45" t="n">
        <v>161.94</v>
      </c>
      <c r="M53" s="45" t="n">
        <v>77.12</v>
      </c>
      <c r="N53" s="45" t="n">
        <v>495.26</v>
      </c>
      <c r="O53" s="45" t="n">
        <v>99.09</v>
      </c>
      <c r="P53" s="45"/>
      <c r="Q53" s="45" t="n">
        <v>60.1</v>
      </c>
      <c r="R53" s="45" t="n">
        <v>52.96</v>
      </c>
      <c r="S53" s="45" t="n">
        <v>84.72</v>
      </c>
      <c r="T53" s="45" t="n">
        <v>32.51</v>
      </c>
      <c r="U53" s="45"/>
    </row>
    <row r="54" customFormat="false" ht="15" hidden="false" customHeight="true" outlineLevel="0" collapsed="false">
      <c r="A54" s="44" t="n">
        <v>45506</v>
      </c>
      <c r="B54" s="45" t="n">
        <v>526.17</v>
      </c>
      <c r="C54" s="45" t="n">
        <v>79.83</v>
      </c>
      <c r="D54" s="45" t="n">
        <v>809.35</v>
      </c>
      <c r="E54" s="45" t="n">
        <v>143.82</v>
      </c>
      <c r="F54" s="45" t="n">
        <v>54.47</v>
      </c>
      <c r="G54" s="45" t="n">
        <v>69.62</v>
      </c>
      <c r="H54" s="45" t="n">
        <v>92.7</v>
      </c>
      <c r="I54" s="45" t="n">
        <v>107.27</v>
      </c>
      <c r="J54" s="45" t="n">
        <v>123.98</v>
      </c>
      <c r="K54" s="45" t="n">
        <v>24.74</v>
      </c>
      <c r="L54" s="45" t="n">
        <v>149.86</v>
      </c>
      <c r="M54" s="45" t="n">
        <v>69.46</v>
      </c>
      <c r="N54" s="45" t="n">
        <v>494.46</v>
      </c>
      <c r="O54" s="45" t="n">
        <v>92.01</v>
      </c>
      <c r="P54" s="45"/>
      <c r="Q54" s="45" t="n">
        <v>60.6</v>
      </c>
      <c r="R54" s="45" t="n">
        <v>51.14</v>
      </c>
      <c r="S54" s="45" t="n">
        <v>82.2</v>
      </c>
      <c r="T54" s="45" t="n">
        <v>31.58</v>
      </c>
      <c r="U54" s="45"/>
    </row>
    <row r="55" customFormat="false" ht="15" hidden="false" customHeight="true" outlineLevel="0" collapsed="false">
      <c r="A55" s="44" t="n">
        <v>45513</v>
      </c>
      <c r="B55" s="45" t="n">
        <v>536.3</v>
      </c>
      <c r="C55" s="45" t="n">
        <v>83.95</v>
      </c>
      <c r="D55" s="45" t="n">
        <v>860.55</v>
      </c>
      <c r="E55" s="45" t="n">
        <v>148.26</v>
      </c>
      <c r="F55" s="45" t="n">
        <v>60.23</v>
      </c>
      <c r="G55" s="45" t="n">
        <v>74.68</v>
      </c>
      <c r="H55" s="45" t="n">
        <v>93.08</v>
      </c>
      <c r="I55" s="45" t="n">
        <v>104.75</v>
      </c>
      <c r="J55" s="45" t="n">
        <v>121.9</v>
      </c>
      <c r="K55" s="45" t="n">
        <v>30.01</v>
      </c>
      <c r="L55" s="45" t="n">
        <v>167.12</v>
      </c>
      <c r="M55" s="45" t="n">
        <v>71.46</v>
      </c>
      <c r="N55" s="45" t="n">
        <v>468.45</v>
      </c>
      <c r="O55" s="45" t="n">
        <v>90.39</v>
      </c>
      <c r="P55" s="45"/>
      <c r="Q55" s="45" t="n">
        <v>60.94</v>
      </c>
      <c r="R55" s="45" t="n">
        <v>51.29</v>
      </c>
      <c r="S55" s="45" t="n">
        <v>83.62</v>
      </c>
      <c r="T55" s="45" t="n">
        <v>31.53</v>
      </c>
      <c r="U55" s="45"/>
    </row>
    <row r="56" customFormat="false" ht="15" hidden="false" customHeight="true" outlineLevel="0" collapsed="false">
      <c r="A56" s="44" t="n">
        <v>45520</v>
      </c>
      <c r="B56" s="45" t="n">
        <v>553.46</v>
      </c>
      <c r="C56" s="45" t="n">
        <v>88.47</v>
      </c>
      <c r="D56" s="45" t="n">
        <v>918.66</v>
      </c>
      <c r="E56" s="45" t="n">
        <v>165.72</v>
      </c>
      <c r="F56" s="45" t="n">
        <v>65.64</v>
      </c>
      <c r="G56" s="45" t="n">
        <v>81.96</v>
      </c>
      <c r="H56" s="45" t="n">
        <v>107.99</v>
      </c>
      <c r="I56" s="45" t="n">
        <v>124.58</v>
      </c>
      <c r="J56" s="45" t="n">
        <v>122.85</v>
      </c>
      <c r="K56" s="45" t="n">
        <v>32.08</v>
      </c>
      <c r="L56" s="45" t="n">
        <v>174.54</v>
      </c>
      <c r="M56" s="45" t="n">
        <v>79.42</v>
      </c>
      <c r="N56" s="45" t="n">
        <v>477.37</v>
      </c>
      <c r="O56" s="45" t="n">
        <v>92.97</v>
      </c>
      <c r="P56" s="45"/>
      <c r="Q56" s="45" t="n">
        <v>61.02</v>
      </c>
      <c r="R56" s="45" t="n">
        <v>53.45</v>
      </c>
      <c r="S56" s="45" t="n">
        <v>88.39</v>
      </c>
      <c r="T56" s="45" t="n">
        <v>32.04</v>
      </c>
      <c r="U56" s="45"/>
    </row>
    <row r="57" customFormat="false" ht="15" hidden="false" customHeight="true" outlineLevel="0" collapsed="false">
      <c r="A57" s="44" t="n">
        <v>45527</v>
      </c>
      <c r="B57" s="45" t="n">
        <v>558.3</v>
      </c>
      <c r="C57" s="45" t="n">
        <v>88.78</v>
      </c>
      <c r="D57" s="45" t="n">
        <v>907.26</v>
      </c>
      <c r="E57" s="45" t="n">
        <v>166.36</v>
      </c>
      <c r="F57" s="45" t="n">
        <v>67.89</v>
      </c>
      <c r="G57" s="45" t="n">
        <v>81.78</v>
      </c>
      <c r="H57" s="45" t="n">
        <v>102.85</v>
      </c>
      <c r="I57" s="45" t="n">
        <v>129.37</v>
      </c>
      <c r="J57" s="45" t="n">
        <v>128.86</v>
      </c>
      <c r="K57" s="45" t="n">
        <v>31.78</v>
      </c>
      <c r="L57" s="45" t="n">
        <v>171.28</v>
      </c>
      <c r="M57" s="45" t="n">
        <v>78.55</v>
      </c>
      <c r="N57" s="45" t="n">
        <v>481.24</v>
      </c>
      <c r="O57" s="45" t="n">
        <v>95.86</v>
      </c>
      <c r="P57" s="45"/>
      <c r="Q57" s="45" t="n">
        <v>61.51</v>
      </c>
      <c r="R57" s="45" t="n">
        <v>53.9</v>
      </c>
      <c r="S57" s="45" t="n">
        <v>89.61</v>
      </c>
      <c r="T57" s="45" t="n">
        <v>33.09</v>
      </c>
      <c r="U57" s="45"/>
    </row>
    <row r="58" customFormat="false" ht="15" hidden="false" customHeight="true" outlineLevel="0" collapsed="false">
      <c r="A58" s="44" t="n">
        <v>45534</v>
      </c>
      <c r="B58" s="45" t="n">
        <v>574.41</v>
      </c>
      <c r="C58" s="45" t="n">
        <v>88.35</v>
      </c>
      <c r="D58" s="45" t="n">
        <v>903.87</v>
      </c>
      <c r="E58" s="45" t="n">
        <v>162.82</v>
      </c>
      <c r="F58" s="45" t="n">
        <v>69.32</v>
      </c>
      <c r="G58" s="45" t="n">
        <v>81.94</v>
      </c>
      <c r="H58" s="45" t="n">
        <v>96.24</v>
      </c>
      <c r="I58" s="45" t="n">
        <v>119.37</v>
      </c>
      <c r="J58" s="45" t="n">
        <v>127.82</v>
      </c>
      <c r="K58" s="45" t="n">
        <v>31.48</v>
      </c>
      <c r="L58" s="45" t="n">
        <v>171.7</v>
      </c>
      <c r="M58" s="45" t="n">
        <v>83.03</v>
      </c>
      <c r="N58" s="45" t="n">
        <v>495.89</v>
      </c>
      <c r="O58" s="45" t="n">
        <v>95.91</v>
      </c>
      <c r="P58" s="45"/>
      <c r="Q58" s="45" t="n">
        <v>62.02</v>
      </c>
      <c r="R58" s="45" t="n">
        <v>54.08</v>
      </c>
      <c r="S58" s="45" t="n">
        <v>89.25</v>
      </c>
      <c r="T58" s="45" t="n">
        <v>33.2</v>
      </c>
      <c r="U58" s="45"/>
    </row>
    <row r="59" customFormat="false" ht="15" hidden="false" customHeight="true" outlineLevel="0" collapsed="false">
      <c r="A59" s="44" t="n">
        <v>45541</v>
      </c>
      <c r="B59" s="45" t="n">
        <v>563.41</v>
      </c>
      <c r="C59" s="45" t="n">
        <v>78.58</v>
      </c>
      <c r="D59" s="45" t="n">
        <v>752.79</v>
      </c>
      <c r="E59" s="45" t="n">
        <v>137</v>
      </c>
      <c r="F59" s="45" t="n">
        <v>61.6</v>
      </c>
      <c r="G59" s="45" t="n">
        <v>70.28</v>
      </c>
      <c r="H59" s="45" t="n">
        <v>86.38</v>
      </c>
      <c r="I59" s="45" t="n">
        <v>102.83</v>
      </c>
      <c r="J59" s="45" t="n">
        <v>127.23</v>
      </c>
      <c r="K59" s="45" t="n">
        <v>30.33</v>
      </c>
      <c r="L59" s="45" t="n">
        <v>156.82</v>
      </c>
      <c r="M59" s="45" t="n">
        <v>71.77</v>
      </c>
      <c r="N59" s="45" t="n">
        <v>468</v>
      </c>
      <c r="O59" s="45" t="n">
        <v>90.48</v>
      </c>
      <c r="P59" s="45"/>
      <c r="Q59" s="45" t="n">
        <v>61.85</v>
      </c>
      <c r="R59" s="45" t="n">
        <v>51.36</v>
      </c>
      <c r="S59" s="45" t="n">
        <v>83.92</v>
      </c>
      <c r="T59" s="45" t="n">
        <v>31.83</v>
      </c>
      <c r="U59" s="45"/>
    </row>
    <row r="60" customFormat="false" ht="15" hidden="false" customHeight="true" outlineLevel="0" collapsed="false">
      <c r="A60" s="44" t="n">
        <v>45548</v>
      </c>
      <c r="B60" s="45" t="n">
        <v>536.87</v>
      </c>
      <c r="C60" s="45" t="n">
        <v>89.94</v>
      </c>
      <c r="D60" s="45" t="n">
        <v>816.36</v>
      </c>
      <c r="E60" s="45" t="n">
        <v>167.69</v>
      </c>
      <c r="F60" s="45" t="n">
        <v>64.78</v>
      </c>
      <c r="G60" s="45" t="n">
        <v>75.15</v>
      </c>
      <c r="H60" s="45" t="n">
        <v>91.22</v>
      </c>
      <c r="I60" s="45" t="n">
        <v>119.1</v>
      </c>
      <c r="J60" s="45" t="n">
        <v>129.98</v>
      </c>
      <c r="K60" s="45" t="n">
        <v>35.59</v>
      </c>
      <c r="L60" s="45" t="n">
        <v>172.5</v>
      </c>
      <c r="M60" s="45" t="n">
        <v>85.76</v>
      </c>
      <c r="N60" s="45" t="n">
        <v>485.37</v>
      </c>
      <c r="O60" s="45" t="n">
        <v>93.09</v>
      </c>
      <c r="P60" s="45"/>
      <c r="Q60" s="45" t="n">
        <v>61.3</v>
      </c>
      <c r="R60" s="45" t="n">
        <v>53.75</v>
      </c>
      <c r="S60" s="45" t="n">
        <v>89.08</v>
      </c>
      <c r="T60" s="45" t="n">
        <v>32.58</v>
      </c>
      <c r="U60" s="45"/>
    </row>
    <row r="61" customFormat="false" ht="15" hidden="false" customHeight="true" outlineLevel="0" collapsed="false">
      <c r="A61" s="44" t="n">
        <v>45555</v>
      </c>
      <c r="B61" s="45" t="n">
        <v>522.3</v>
      </c>
      <c r="C61" s="45" t="n">
        <v>96.12</v>
      </c>
      <c r="D61" s="45" t="n">
        <v>795.28</v>
      </c>
      <c r="E61" s="45" t="n">
        <v>171.1</v>
      </c>
      <c r="F61" s="45" t="n">
        <v>74.96</v>
      </c>
      <c r="G61" s="45" t="n">
        <v>75.89</v>
      </c>
      <c r="H61" s="45" t="n">
        <v>90.9</v>
      </c>
      <c r="I61" s="45" t="n">
        <v>116</v>
      </c>
      <c r="J61" s="45" t="n">
        <v>125.47</v>
      </c>
      <c r="K61" s="45" t="n">
        <v>37.2</v>
      </c>
      <c r="L61" s="45" t="n">
        <v>174.08</v>
      </c>
      <c r="M61" s="45" t="n">
        <v>94.54</v>
      </c>
      <c r="N61" s="45" t="n">
        <v>464.92</v>
      </c>
      <c r="O61" s="45" t="n">
        <v>95.9</v>
      </c>
      <c r="P61" s="45"/>
      <c r="Q61" s="45" t="n">
        <v>62.79</v>
      </c>
      <c r="R61" s="45" t="n">
        <v>54.41</v>
      </c>
      <c r="S61" s="45" t="n">
        <v>90.53</v>
      </c>
      <c r="T61" s="45" t="n">
        <v>33.14</v>
      </c>
      <c r="U61" s="45"/>
    </row>
    <row r="62" customFormat="false" ht="15" hidden="false" customHeight="true" outlineLevel="0" collapsed="false">
      <c r="A62" s="44" t="n">
        <v>45562</v>
      </c>
      <c r="B62" s="45" t="n">
        <v>515.48</v>
      </c>
      <c r="C62" s="45" t="n">
        <v>95.07</v>
      </c>
      <c r="D62" s="45" t="n">
        <v>841.54</v>
      </c>
      <c r="E62" s="45" t="n">
        <v>172.69</v>
      </c>
      <c r="F62" s="45" t="n">
        <v>71.47</v>
      </c>
      <c r="G62" s="45" t="n">
        <v>78.24</v>
      </c>
      <c r="H62" s="45" t="n">
        <v>107.5</v>
      </c>
      <c r="I62" s="45" t="n">
        <v>121.4</v>
      </c>
      <c r="J62" s="45" t="n">
        <v>125.59</v>
      </c>
      <c r="K62" s="45" t="n">
        <v>36.84</v>
      </c>
      <c r="L62" s="45" t="n">
        <v>177.97</v>
      </c>
      <c r="M62" s="45" t="n">
        <v>98.41</v>
      </c>
      <c r="N62" s="45" t="n">
        <v>462.88</v>
      </c>
      <c r="O62" s="45" t="n">
        <v>95.56</v>
      </c>
      <c r="P62" s="45"/>
      <c r="Q62" s="45" t="n">
        <v>62.19</v>
      </c>
      <c r="R62" s="45" t="n">
        <v>54.8</v>
      </c>
      <c r="S62" s="45" t="n">
        <v>90.34</v>
      </c>
      <c r="T62" s="45" t="n">
        <v>33.21</v>
      </c>
      <c r="U62" s="45"/>
    </row>
    <row r="63" customFormat="false" ht="15" hidden="false" customHeight="true" outlineLevel="0" collapsed="false">
      <c r="A63" s="44" t="n">
        <v>45569</v>
      </c>
      <c r="B63" s="45" t="n">
        <v>507.22</v>
      </c>
      <c r="C63" s="45" t="n">
        <v>98.99</v>
      </c>
      <c r="D63" s="45" t="n">
        <v>833</v>
      </c>
      <c r="E63" s="45" t="n">
        <v>176.64</v>
      </c>
      <c r="F63" s="45" t="n">
        <v>73.06</v>
      </c>
      <c r="G63" s="45" t="n">
        <v>78.74</v>
      </c>
      <c r="H63" s="45" t="n">
        <v>102.25</v>
      </c>
      <c r="I63" s="45" t="n">
        <v>124.92</v>
      </c>
      <c r="J63" s="45" t="n">
        <v>122.42</v>
      </c>
      <c r="K63" s="45" t="n">
        <v>40.01</v>
      </c>
      <c r="L63" s="45" t="n">
        <v>181.16</v>
      </c>
      <c r="M63" s="45" t="n">
        <v>105.2</v>
      </c>
      <c r="N63" s="45" t="n">
        <v>455.31</v>
      </c>
      <c r="O63" s="45" t="n">
        <v>95.83</v>
      </c>
      <c r="P63" s="45"/>
      <c r="Q63" s="45" t="n">
        <v>62.66</v>
      </c>
      <c r="R63" s="45" t="n">
        <v>54.37</v>
      </c>
      <c r="S63" s="45" t="n">
        <v>91.69</v>
      </c>
      <c r="T63" s="45" t="n">
        <v>33.83</v>
      </c>
      <c r="U63" s="45"/>
    </row>
    <row r="64" customFormat="false" ht="15" hidden="false" customHeight="true" outlineLevel="0" collapsed="false">
      <c r="A64" s="44" t="n">
        <v>45576</v>
      </c>
      <c r="B64" s="45" t="n">
        <v>495.42</v>
      </c>
      <c r="C64" s="45" t="n">
        <v>104.23</v>
      </c>
      <c r="D64" s="45" t="n">
        <v>840.69</v>
      </c>
      <c r="E64" s="45" t="n">
        <v>181.48</v>
      </c>
      <c r="F64" s="45" t="n">
        <v>80.05</v>
      </c>
      <c r="G64" s="45" t="n">
        <v>80.37</v>
      </c>
      <c r="H64" s="45" t="n">
        <v>106.92</v>
      </c>
      <c r="I64" s="45" t="n">
        <v>134.8</v>
      </c>
      <c r="J64" s="45" t="n">
        <v>120.24</v>
      </c>
      <c r="K64" s="45" t="n">
        <v>43.51</v>
      </c>
      <c r="L64" s="45" t="n">
        <v>190.81</v>
      </c>
      <c r="M64" s="45" t="n">
        <v>111.84</v>
      </c>
      <c r="N64" s="45" t="n">
        <v>481.71</v>
      </c>
      <c r="O64" s="45" t="n">
        <v>96.97</v>
      </c>
      <c r="P64" s="45"/>
      <c r="Q64" s="45" t="n">
        <v>63.04</v>
      </c>
      <c r="R64" s="45" t="n">
        <v>54.86</v>
      </c>
      <c r="S64" s="45" t="n">
        <v>93.67</v>
      </c>
      <c r="T64" s="45" t="n">
        <v>33.95</v>
      </c>
      <c r="U64" s="45"/>
    </row>
    <row r="65" customFormat="false" ht="15" hidden="false" customHeight="true" outlineLevel="0" collapsed="false">
      <c r="A65" s="44" t="n">
        <v>45583</v>
      </c>
      <c r="B65" s="45" t="n">
        <v>494.9</v>
      </c>
      <c r="C65" s="45" t="n">
        <v>100.5</v>
      </c>
      <c r="D65" s="45" t="n">
        <v>723.26</v>
      </c>
      <c r="E65" s="45" t="n">
        <v>179.89</v>
      </c>
      <c r="F65" s="45" t="n">
        <v>77.54</v>
      </c>
      <c r="G65" s="45" t="n">
        <v>67.85</v>
      </c>
      <c r="H65" s="45" t="n">
        <v>111.15</v>
      </c>
      <c r="I65" s="45" t="n">
        <v>138</v>
      </c>
      <c r="J65" s="45" t="n">
        <v>122.5</v>
      </c>
      <c r="K65" s="45" t="n">
        <v>42.97</v>
      </c>
      <c r="L65" s="45" t="n">
        <v>200.78</v>
      </c>
      <c r="M65" s="45" t="n">
        <v>112.25</v>
      </c>
      <c r="N65" s="45" t="n">
        <v>483</v>
      </c>
      <c r="O65" s="45" t="n">
        <v>98.19</v>
      </c>
      <c r="P65" s="45"/>
      <c r="Q65" s="45" t="n">
        <v>63.28</v>
      </c>
      <c r="R65" s="45" t="n">
        <v>55.27</v>
      </c>
      <c r="S65" s="45" t="n">
        <v>94.07</v>
      </c>
      <c r="T65" s="45" t="n">
        <v>33.79</v>
      </c>
      <c r="U65" s="45"/>
    </row>
    <row r="66" customFormat="false" ht="15" hidden="false" customHeight="true" outlineLevel="0" collapsed="false">
      <c r="A66" s="44" t="n">
        <v>45590</v>
      </c>
      <c r="B66" s="45" t="n">
        <v>483.72</v>
      </c>
      <c r="C66" s="45" t="n">
        <v>98.52</v>
      </c>
      <c r="D66" s="45" t="n">
        <v>711.7</v>
      </c>
      <c r="E66" s="45" t="n">
        <v>173</v>
      </c>
      <c r="F66" s="45" t="n">
        <v>75.16</v>
      </c>
      <c r="G66" s="45" t="n">
        <v>67.31</v>
      </c>
      <c r="H66" s="45" t="n">
        <v>107.91</v>
      </c>
      <c r="I66" s="45" t="n">
        <v>141.54</v>
      </c>
      <c r="J66" s="45" t="n">
        <v>117.54</v>
      </c>
      <c r="K66" s="45" t="n">
        <v>44.86</v>
      </c>
      <c r="L66" s="45" t="n">
        <v>203.44</v>
      </c>
      <c r="M66" s="45" t="n">
        <v>112.17</v>
      </c>
      <c r="N66" s="45" t="n">
        <v>477.7</v>
      </c>
      <c r="O66" s="45" t="n">
        <v>94.92</v>
      </c>
      <c r="P66" s="45"/>
      <c r="Q66" s="45" t="n">
        <v>63.17</v>
      </c>
      <c r="R66" s="45" t="n">
        <v>55.4</v>
      </c>
      <c r="S66" s="45" t="n">
        <v>92.69</v>
      </c>
      <c r="T66" s="45" t="n">
        <v>33.14</v>
      </c>
      <c r="U66" s="45"/>
    </row>
    <row r="67" customFormat="false" ht="15" hidden="false" customHeight="true" outlineLevel="0" collapsed="false">
      <c r="A67" s="44" t="n">
        <v>45597</v>
      </c>
      <c r="B67" s="45" t="n">
        <v>482.8</v>
      </c>
      <c r="C67" s="45" t="n">
        <v>98.54</v>
      </c>
      <c r="D67" s="45" t="n">
        <v>674.73</v>
      </c>
      <c r="E67" s="45" t="n">
        <v>168.92</v>
      </c>
      <c r="F67" s="45" t="n">
        <v>75.78</v>
      </c>
      <c r="G67" s="45" t="n">
        <v>66.94</v>
      </c>
      <c r="H67" s="45" t="n">
        <v>99.73</v>
      </c>
      <c r="I67" s="45" t="n">
        <v>135.4</v>
      </c>
      <c r="J67" s="45" t="n">
        <v>113.4</v>
      </c>
      <c r="K67" s="45" t="n">
        <v>41.92</v>
      </c>
      <c r="L67" s="45" t="n">
        <v>192.95</v>
      </c>
      <c r="M67" s="45" t="n">
        <v>106.9</v>
      </c>
      <c r="N67" s="45" t="n">
        <v>471.12</v>
      </c>
      <c r="O67" s="45" t="n">
        <v>94.69</v>
      </c>
      <c r="P67" s="45"/>
      <c r="Q67" s="45" t="n">
        <v>62.39</v>
      </c>
      <c r="R67" s="45" t="n">
        <v>54.44</v>
      </c>
      <c r="S67" s="45" t="n">
        <v>91.42</v>
      </c>
      <c r="T67" s="45" t="n">
        <v>33.16</v>
      </c>
      <c r="U67" s="45"/>
    </row>
    <row r="68" customFormat="false" ht="15" hidden="false" customHeight="true" outlineLevel="0" collapsed="false">
      <c r="A68" s="44" t="n">
        <v>45604</v>
      </c>
      <c r="B68" s="45" t="n">
        <v>494.68</v>
      </c>
      <c r="C68" s="45" t="n">
        <v>100.11</v>
      </c>
      <c r="D68" s="45" t="n">
        <v>669.47</v>
      </c>
      <c r="E68" s="45" t="n">
        <v>183.64</v>
      </c>
      <c r="F68" s="45" t="n">
        <v>82.51</v>
      </c>
      <c r="G68" s="45" t="n">
        <v>68.74</v>
      </c>
      <c r="H68" s="45" t="n">
        <v>111.9</v>
      </c>
      <c r="I68" s="45" t="n">
        <v>147.63</v>
      </c>
      <c r="J68" s="45" t="n">
        <v>115.83</v>
      </c>
      <c r="K68" s="45" t="n">
        <v>58.39</v>
      </c>
      <c r="L68" s="45" t="n">
        <v>201.2</v>
      </c>
      <c r="M68" s="45" t="n">
        <v>125.75</v>
      </c>
      <c r="N68" s="45" t="n">
        <v>516.74</v>
      </c>
      <c r="O68" s="45" t="n">
        <v>103.08</v>
      </c>
      <c r="P68" s="45"/>
      <c r="Q68" s="45" t="n">
        <v>62.65</v>
      </c>
      <c r="R68" s="45" t="n">
        <v>56.54</v>
      </c>
      <c r="S68" s="45" t="n">
        <v>96.89</v>
      </c>
      <c r="T68" s="45" t="n">
        <v>35.73</v>
      </c>
      <c r="U68" s="45"/>
    </row>
    <row r="69" customFormat="false" ht="15" hidden="false" customHeight="true" outlineLevel="0" collapsed="false">
      <c r="A69" s="44" t="n">
        <v>45611</v>
      </c>
      <c r="B69" s="45" t="n">
        <v>503.37</v>
      </c>
      <c r="C69" s="45" t="n">
        <v>93.6</v>
      </c>
      <c r="D69" s="45" t="n">
        <v>658.63</v>
      </c>
      <c r="E69" s="45" t="n">
        <v>164.84</v>
      </c>
      <c r="F69" s="45" t="n">
        <v>84.19</v>
      </c>
      <c r="G69" s="45" t="n">
        <v>61.45</v>
      </c>
      <c r="H69" s="45" t="n">
        <v>96.34</v>
      </c>
      <c r="I69" s="45" t="n">
        <v>141.98</v>
      </c>
      <c r="J69" s="45" t="n">
        <v>113.42</v>
      </c>
      <c r="K69" s="45" t="n">
        <v>65.77</v>
      </c>
      <c r="L69" s="45" t="n">
        <v>186.01</v>
      </c>
      <c r="M69" s="45" t="n">
        <v>120.87</v>
      </c>
      <c r="N69" s="45" t="n">
        <v>465.7</v>
      </c>
      <c r="O69" s="45" t="n">
        <v>101.08</v>
      </c>
      <c r="P69" s="45"/>
      <c r="Q69" s="45" t="n">
        <v>62.4</v>
      </c>
      <c r="R69" s="45" t="n">
        <v>55.61</v>
      </c>
      <c r="S69" s="45" t="n">
        <v>93.9</v>
      </c>
      <c r="T69" s="45" t="n">
        <v>35.18</v>
      </c>
      <c r="U69" s="45"/>
    </row>
    <row r="70" customFormat="false" ht="15" hidden="false" customHeight="true" outlineLevel="0" collapsed="false">
      <c r="A70" s="44" t="n">
        <v>45618</v>
      </c>
      <c r="B70" s="45" t="n">
        <v>512.15</v>
      </c>
      <c r="C70" s="45" t="n">
        <v>101.62</v>
      </c>
      <c r="D70" s="45" t="n">
        <v>672.88</v>
      </c>
      <c r="E70" s="45" t="n">
        <v>164.23</v>
      </c>
      <c r="F70" s="45" t="n">
        <v>93.07</v>
      </c>
      <c r="G70" s="45" t="n">
        <v>63.96</v>
      </c>
      <c r="H70" s="45" t="n">
        <v>102.64</v>
      </c>
      <c r="I70" s="45" t="n">
        <v>141.95</v>
      </c>
      <c r="J70" s="45" t="n">
        <v>115.8</v>
      </c>
      <c r="K70" s="45" t="n">
        <v>64.35</v>
      </c>
      <c r="L70" s="45" t="n">
        <v>190.08</v>
      </c>
      <c r="M70" s="45" t="n">
        <v>140.15</v>
      </c>
      <c r="N70" s="45" t="n">
        <v>450.97</v>
      </c>
      <c r="O70" s="45" t="n">
        <v>104.78</v>
      </c>
      <c r="P70" s="45"/>
      <c r="Q70" s="45" t="n">
        <v>61.64</v>
      </c>
      <c r="R70" s="45" t="n">
        <v>56.57</v>
      </c>
      <c r="S70" s="45" t="n">
        <v>95.58</v>
      </c>
      <c r="T70" s="45" t="n">
        <v>36.54</v>
      </c>
      <c r="U70" s="45"/>
    </row>
    <row r="71" customFormat="false" ht="15" hidden="false" customHeight="true" outlineLevel="0" collapsed="false">
      <c r="A71" s="44" t="n">
        <v>45625</v>
      </c>
      <c r="B71" s="45" t="n">
        <v>515.93</v>
      </c>
      <c r="C71" s="45" t="n">
        <v>101.46</v>
      </c>
      <c r="D71" s="45" t="n">
        <v>686.61</v>
      </c>
      <c r="E71" s="45" t="n">
        <v>162.08</v>
      </c>
      <c r="F71" s="45" t="n">
        <v>86.49</v>
      </c>
      <c r="G71" s="45" t="n">
        <v>64.7</v>
      </c>
      <c r="H71" s="45" t="n">
        <v>97.95</v>
      </c>
      <c r="I71" s="45" t="n">
        <v>138.25</v>
      </c>
      <c r="J71" s="45" t="n">
        <v>116.78</v>
      </c>
      <c r="K71" s="45" t="n">
        <v>67.08</v>
      </c>
      <c r="L71" s="45" t="n">
        <v>184.66</v>
      </c>
      <c r="M71" s="45" t="n">
        <v>127.6</v>
      </c>
      <c r="N71" s="45" t="n">
        <v>468.13</v>
      </c>
      <c r="O71" s="45" t="n">
        <v>105.49</v>
      </c>
      <c r="P71" s="45"/>
      <c r="Q71" s="45" t="n">
        <v>62.7</v>
      </c>
      <c r="R71" s="45" t="n">
        <v>57.09</v>
      </c>
      <c r="S71" s="45" t="n">
        <v>96.83</v>
      </c>
      <c r="T71" s="45" t="n">
        <v>36.61</v>
      </c>
      <c r="U71" s="45"/>
    </row>
    <row r="72" customFormat="false" ht="15" hidden="false" customHeight="true" outlineLevel="0" collapsed="false">
      <c r="A72" s="44" t="n">
        <v>45632</v>
      </c>
      <c r="B72" s="45" t="n">
        <v>552.96</v>
      </c>
      <c r="C72" s="45" t="n">
        <v>108.25</v>
      </c>
      <c r="D72" s="45" t="n">
        <v>708.98</v>
      </c>
      <c r="E72" s="45" t="n">
        <v>179.53</v>
      </c>
      <c r="F72" s="45" t="n">
        <v>91.41</v>
      </c>
      <c r="G72" s="45" t="n">
        <v>64.83</v>
      </c>
      <c r="H72" s="45" t="n">
        <v>101.17</v>
      </c>
      <c r="I72" s="45" t="n">
        <v>142.44</v>
      </c>
      <c r="J72" s="45" t="n">
        <v>112</v>
      </c>
      <c r="K72" s="45" t="n">
        <v>76.34</v>
      </c>
      <c r="L72" s="45" t="n">
        <v>203.02</v>
      </c>
      <c r="M72" s="45" t="n">
        <v>133.85</v>
      </c>
      <c r="N72" s="45" t="n">
        <v>462.1</v>
      </c>
      <c r="O72" s="45" t="n">
        <v>103.29</v>
      </c>
      <c r="P72" s="45"/>
      <c r="Q72" s="45" t="n">
        <v>63.35</v>
      </c>
      <c r="R72" s="45" t="n">
        <v>57.62</v>
      </c>
      <c r="S72" s="45" t="n">
        <v>98.7</v>
      </c>
      <c r="T72" s="45" t="n">
        <v>36.58</v>
      </c>
      <c r="U72" s="45"/>
    </row>
    <row r="73" customFormat="false" ht="15" hidden="false" customHeight="true" outlineLevel="0" collapsed="false">
      <c r="A73" s="44" t="n">
        <v>45639</v>
      </c>
      <c r="B73" s="45" t="n">
        <v>465.69</v>
      </c>
      <c r="C73" s="45" t="n">
        <v>112.37</v>
      </c>
      <c r="D73" s="45" t="n">
        <v>718.58</v>
      </c>
      <c r="E73" s="45" t="n">
        <v>224.8</v>
      </c>
      <c r="F73" s="45" t="n">
        <v>92.01</v>
      </c>
      <c r="G73" s="45" t="n">
        <v>65.38</v>
      </c>
      <c r="H73" s="45" t="n">
        <v>102.5</v>
      </c>
      <c r="I73" s="45" t="n">
        <v>134.25</v>
      </c>
      <c r="J73" s="45" t="n">
        <v>111.13</v>
      </c>
      <c r="K73" s="45" t="n">
        <v>76.07</v>
      </c>
      <c r="L73" s="45" t="n">
        <v>200.99</v>
      </c>
      <c r="M73" s="45" t="n">
        <v>125.78</v>
      </c>
      <c r="N73" s="45" t="n">
        <v>463.73</v>
      </c>
      <c r="O73" s="45" t="n">
        <v>102.01</v>
      </c>
      <c r="P73" s="45"/>
      <c r="Q73" s="45" t="n">
        <v>62.8</v>
      </c>
      <c r="R73" s="45" t="n">
        <v>57.85</v>
      </c>
      <c r="S73" s="45" t="n">
        <v>97.77</v>
      </c>
      <c r="T73" s="45" t="n">
        <v>34.97</v>
      </c>
      <c r="U73" s="45"/>
    </row>
    <row r="74" customFormat="false" ht="15" hidden="false" customHeight="true" outlineLevel="0" collapsed="false">
      <c r="A74" s="44" t="n">
        <v>45646</v>
      </c>
      <c r="B74" s="45" t="n">
        <v>447.17</v>
      </c>
      <c r="C74" s="45" t="n">
        <v>112.81</v>
      </c>
      <c r="D74" s="45" t="n">
        <v>705.68</v>
      </c>
      <c r="E74" s="45" t="n">
        <v>220.79</v>
      </c>
      <c r="F74" s="45" t="n">
        <v>90.57</v>
      </c>
      <c r="G74" s="45" t="n">
        <v>62.94</v>
      </c>
      <c r="H74" s="45" t="n">
        <v>90.12</v>
      </c>
      <c r="I74" s="45" t="n">
        <v>134.7</v>
      </c>
      <c r="J74" s="45" t="n">
        <v>103.32</v>
      </c>
      <c r="K74" s="45" t="n">
        <v>80.55</v>
      </c>
      <c r="L74" s="45" t="n">
        <v>197.21</v>
      </c>
      <c r="M74" s="45" t="n">
        <v>120.04</v>
      </c>
      <c r="N74" s="45" t="n">
        <v>397.27</v>
      </c>
      <c r="O74" s="45" t="n">
        <v>96.11</v>
      </c>
      <c r="P74" s="45"/>
      <c r="Q74" s="45" t="n">
        <v>62.76</v>
      </c>
      <c r="R74" s="45" t="n">
        <v>57.2</v>
      </c>
      <c r="S74" s="45" t="n">
        <v>95.58</v>
      </c>
      <c r="T74" s="45" t="n">
        <v>33.9</v>
      </c>
      <c r="U74" s="45"/>
    </row>
    <row r="75" customFormat="false" ht="15" hidden="false" customHeight="true" outlineLevel="0" collapsed="false">
      <c r="A75" s="44" t="n">
        <v>45653</v>
      </c>
      <c r="B75" s="45" t="n">
        <v>446.48</v>
      </c>
      <c r="C75" s="45" t="n">
        <v>113.03</v>
      </c>
      <c r="D75" s="45" t="n">
        <v>713.59</v>
      </c>
      <c r="E75" s="45" t="n">
        <v>241.75</v>
      </c>
      <c r="F75" s="45" t="n">
        <v>88.75</v>
      </c>
      <c r="G75" s="45" t="n">
        <v>64.48</v>
      </c>
      <c r="H75" s="45" t="n">
        <v>88.63</v>
      </c>
      <c r="I75" s="45" t="n">
        <v>137.01</v>
      </c>
      <c r="J75" s="45" t="n">
        <v>105.24</v>
      </c>
      <c r="K75" s="45" t="n">
        <v>79.08</v>
      </c>
      <c r="L75" s="45" t="n">
        <v>201.63</v>
      </c>
      <c r="M75" s="45" t="n">
        <v>115.11</v>
      </c>
      <c r="N75" s="45" t="n">
        <v>408.76</v>
      </c>
      <c r="O75" s="45" t="n">
        <v>96.49</v>
      </c>
      <c r="P75" s="45"/>
      <c r="Q75" s="45" t="n">
        <v>63.42</v>
      </c>
      <c r="R75" s="45" t="n">
        <v>57.74</v>
      </c>
      <c r="S75" s="45" t="n">
        <v>96.59</v>
      </c>
      <c r="T75" s="45" t="n">
        <v>34.21</v>
      </c>
      <c r="U75" s="45"/>
    </row>
    <row r="76" customFormat="false" ht="15" hidden="false" customHeight="true" outlineLevel="0" collapsed="false">
      <c r="A76" s="44" t="n">
        <v>45660</v>
      </c>
      <c r="B76" s="45" t="n">
        <v>430.57</v>
      </c>
      <c r="C76" s="45" t="n">
        <v>115.2</v>
      </c>
      <c r="D76" s="45" t="n">
        <v>714.36</v>
      </c>
      <c r="E76" s="45" t="n">
        <v>232.55</v>
      </c>
      <c r="F76" s="45" t="n">
        <v>89.76</v>
      </c>
      <c r="G76" s="45" t="n">
        <v>65.7</v>
      </c>
      <c r="H76" s="45" t="n">
        <v>89.87</v>
      </c>
      <c r="I76" s="45" t="n">
        <v>144.47</v>
      </c>
      <c r="J76" s="45" t="n">
        <v>105.63</v>
      </c>
      <c r="K76" s="45" t="n">
        <v>79.89</v>
      </c>
      <c r="L76" s="45" t="n">
        <v>208.61</v>
      </c>
      <c r="M76" s="45" t="n">
        <v>125.67</v>
      </c>
      <c r="N76" s="45" t="n">
        <v>407.11</v>
      </c>
      <c r="O76" s="45" t="n">
        <v>97.24</v>
      </c>
      <c r="P76" s="45"/>
      <c r="Q76" s="45" t="n">
        <v>62.85</v>
      </c>
      <c r="R76" s="45" t="n">
        <v>57.08</v>
      </c>
      <c r="S76" s="45" t="n">
        <v>96.89</v>
      </c>
      <c r="T76" s="45" t="n">
        <v>34.47</v>
      </c>
      <c r="U76" s="45"/>
    </row>
    <row r="77" customFormat="false" ht="15" hidden="false" customHeight="true" outlineLevel="0" collapsed="false">
      <c r="A77" s="44" t="n">
        <v>45667</v>
      </c>
      <c r="B77" s="45" t="n">
        <v>405.92</v>
      </c>
      <c r="C77" s="45" t="n">
        <v>114.34</v>
      </c>
      <c r="D77" s="45" t="n">
        <v>739.01</v>
      </c>
      <c r="E77" s="45" t="n">
        <v>224.31</v>
      </c>
      <c r="F77" s="45" t="n">
        <v>87.21</v>
      </c>
      <c r="G77" s="45" t="n">
        <v>68.31</v>
      </c>
      <c r="H77" s="45" t="n">
        <v>99.34</v>
      </c>
      <c r="I77" s="45" t="n">
        <v>135.91</v>
      </c>
      <c r="J77" s="45" t="n">
        <v>103.59</v>
      </c>
      <c r="K77" s="45" t="n">
        <v>67.26</v>
      </c>
      <c r="L77" s="45" t="n">
        <v>208.37</v>
      </c>
      <c r="M77" s="45" t="n">
        <v>128.93</v>
      </c>
      <c r="N77" s="45" t="n">
        <v>409.56</v>
      </c>
      <c r="O77" s="45" t="n">
        <v>94.69</v>
      </c>
      <c r="P77" s="45"/>
      <c r="Q77" s="45" t="n">
        <v>62.45</v>
      </c>
      <c r="R77" s="45" t="n">
        <v>55.98</v>
      </c>
      <c r="S77" s="45" t="n">
        <v>95.58</v>
      </c>
      <c r="T77" s="45" t="n">
        <v>34.46</v>
      </c>
      <c r="U77" s="45"/>
    </row>
    <row r="78" customFormat="false" ht="15" hidden="false" customHeight="true" outlineLevel="0" collapsed="false">
      <c r="A78" s="44" t="n">
        <v>45674</v>
      </c>
      <c r="B78" s="45" t="n">
        <v>429.99</v>
      </c>
      <c r="C78" s="45" t="n">
        <v>119.95</v>
      </c>
      <c r="D78" s="45" t="n">
        <v>756.33</v>
      </c>
      <c r="E78" s="45" t="n">
        <v>237.44</v>
      </c>
      <c r="F78" s="45" t="n">
        <v>89.25</v>
      </c>
      <c r="G78" s="45" t="n">
        <v>75.75</v>
      </c>
      <c r="H78" s="45" t="n">
        <v>105.75</v>
      </c>
      <c r="I78" s="45" t="n">
        <v>137.71</v>
      </c>
      <c r="J78" s="45" t="n">
        <v>109.48</v>
      </c>
      <c r="K78" s="45" t="n">
        <v>71.77</v>
      </c>
      <c r="L78" s="45" t="n">
        <v>211.5</v>
      </c>
      <c r="M78" s="45" t="n">
        <v>135.88</v>
      </c>
      <c r="N78" s="45" t="n">
        <v>422</v>
      </c>
      <c r="O78" s="45" t="n">
        <v>99.32</v>
      </c>
      <c r="P78" s="45"/>
      <c r="Q78" s="45" t="n">
        <v>61.36</v>
      </c>
      <c r="R78" s="45" t="n">
        <v>57.27</v>
      </c>
      <c r="S78" s="45" t="n">
        <v>98.65</v>
      </c>
      <c r="T78" s="45" t="n">
        <v>35.79</v>
      </c>
      <c r="U78" s="45"/>
    </row>
    <row r="79" customFormat="false" ht="15" hidden="false" customHeight="true" outlineLevel="0" collapsed="false">
      <c r="A79" s="44" t="n">
        <v>45681</v>
      </c>
      <c r="B79" s="45" t="n">
        <v>435.38</v>
      </c>
      <c r="C79" s="45" t="n">
        <v>129.17</v>
      </c>
      <c r="D79" s="45" t="n">
        <v>732.25</v>
      </c>
      <c r="E79" s="45" t="n">
        <v>244.7</v>
      </c>
      <c r="F79" s="45" t="n">
        <v>93.73</v>
      </c>
      <c r="G79" s="45" t="n">
        <v>74.98</v>
      </c>
      <c r="H79" s="45" t="n">
        <v>103.19</v>
      </c>
      <c r="I79" s="45" t="n">
        <v>142.62</v>
      </c>
      <c r="J79" s="45" t="n">
        <v>118.93</v>
      </c>
      <c r="K79" s="45" t="n">
        <v>78.98</v>
      </c>
      <c r="L79" s="45" t="n">
        <v>221.88</v>
      </c>
      <c r="M79" s="45" t="n">
        <v>146.32</v>
      </c>
      <c r="N79" s="45" t="n">
        <v>439.62</v>
      </c>
      <c r="O79" s="45" t="n">
        <v>99.82</v>
      </c>
      <c r="P79" s="45"/>
      <c r="Q79" s="45" t="n">
        <v>60.49</v>
      </c>
      <c r="R79" s="45" t="n">
        <v>58.07</v>
      </c>
      <c r="S79" s="45" t="n">
        <v>101.33</v>
      </c>
      <c r="T79" s="45" t="n">
        <v>35.88</v>
      </c>
      <c r="U79" s="45"/>
    </row>
    <row r="80" customFormat="false" ht="15" hidden="false" customHeight="true" outlineLevel="0" collapsed="false">
      <c r="A80" s="44" t="n">
        <v>45688</v>
      </c>
      <c r="B80" s="45" t="n">
        <v>437.45</v>
      </c>
      <c r="C80" s="45" t="n">
        <v>115.23</v>
      </c>
      <c r="D80" s="45" t="n">
        <v>739.31</v>
      </c>
      <c r="E80" s="45" t="n">
        <v>221.27</v>
      </c>
      <c r="F80" s="45" t="n">
        <v>99.52</v>
      </c>
      <c r="G80" s="45" t="n">
        <v>73.82</v>
      </c>
      <c r="H80" s="45" t="n">
        <v>91.24</v>
      </c>
      <c r="I80" s="45" t="n">
        <v>120.07</v>
      </c>
      <c r="J80" s="45" t="n">
        <v>119.25</v>
      </c>
      <c r="K80" s="45" t="n">
        <v>82.49</v>
      </c>
      <c r="L80" s="45" t="n">
        <v>209.32</v>
      </c>
      <c r="M80" s="45" t="n">
        <v>117.02</v>
      </c>
      <c r="N80" s="45" t="n">
        <v>461.68</v>
      </c>
      <c r="O80" s="45" t="n">
        <v>98.31</v>
      </c>
      <c r="P80" s="45"/>
      <c r="Q80" s="45" t="n">
        <v>60.36</v>
      </c>
      <c r="R80" s="45" t="n">
        <v>57.47</v>
      </c>
      <c r="S80" s="45" t="n">
        <v>100.04</v>
      </c>
      <c r="T80" s="45" t="n">
        <v>35.51</v>
      </c>
      <c r="U80" s="45"/>
    </row>
    <row r="81" customFormat="false" ht="15" hidden="false" customHeight="true" outlineLevel="0" collapsed="false">
      <c r="A81" s="44" t="n">
        <v>45695</v>
      </c>
      <c r="B81" s="45" t="n">
        <v>433.07</v>
      </c>
      <c r="C81" s="45" t="n">
        <v>118.47</v>
      </c>
      <c r="D81" s="45" t="n">
        <v>727.7</v>
      </c>
      <c r="E81" s="45" t="n">
        <v>224.87</v>
      </c>
      <c r="F81" s="45" t="n">
        <v>105.4</v>
      </c>
      <c r="G81" s="45" t="n">
        <v>74.77</v>
      </c>
      <c r="H81" s="45" t="n">
        <v>92.3</v>
      </c>
      <c r="I81" s="45" t="n">
        <v>129.84</v>
      </c>
      <c r="J81" s="45" t="n">
        <v>117.35</v>
      </c>
      <c r="K81" s="45" t="n">
        <v>110.85</v>
      </c>
      <c r="L81" s="45" t="n">
        <v>206.12</v>
      </c>
      <c r="M81" s="45" t="n">
        <v>121.38</v>
      </c>
      <c r="N81" s="45" t="n">
        <v>469.32</v>
      </c>
      <c r="O81" s="45" t="n">
        <v>97.17</v>
      </c>
      <c r="P81" s="45"/>
      <c r="Q81" s="45" t="n">
        <v>59.58</v>
      </c>
      <c r="R81" s="45" t="n">
        <v>57.17</v>
      </c>
      <c r="S81" s="45" t="n">
        <v>102.03</v>
      </c>
      <c r="T81" s="45" t="n">
        <v>35.2</v>
      </c>
      <c r="U81" s="45"/>
    </row>
    <row r="82" customFormat="false" ht="15" hidden="false" customHeight="true" outlineLevel="0" collapsed="false">
      <c r="A82" s="44" t="n">
        <v>45702</v>
      </c>
      <c r="B82" s="45" t="n">
        <v>460.16</v>
      </c>
      <c r="C82" s="45" t="n">
        <v>106.87</v>
      </c>
      <c r="D82" s="45" t="n">
        <v>751.55</v>
      </c>
      <c r="E82" s="45" t="n">
        <v>233.04</v>
      </c>
      <c r="F82" s="45" t="n">
        <v>112.94</v>
      </c>
      <c r="G82" s="45" t="n">
        <v>75.07</v>
      </c>
      <c r="H82" s="45" t="n">
        <v>99.52</v>
      </c>
      <c r="I82" s="45" t="n">
        <v>138.85</v>
      </c>
      <c r="J82" s="45" t="n">
        <v>120.85</v>
      </c>
      <c r="K82" s="45" t="n">
        <v>119.16</v>
      </c>
      <c r="L82" s="45" t="n">
        <v>203.9</v>
      </c>
      <c r="M82" s="45" t="n">
        <v>108.05</v>
      </c>
      <c r="N82" s="45" t="n">
        <v>459</v>
      </c>
      <c r="O82" s="45" t="n">
        <v>97.47</v>
      </c>
      <c r="P82" s="45"/>
      <c r="Q82" s="45" t="n">
        <v>57.27</v>
      </c>
      <c r="R82" s="45" t="n">
        <v>58.27</v>
      </c>
      <c r="S82" s="45" t="n">
        <v>103.06</v>
      </c>
      <c r="T82" s="45" t="n">
        <v>35.61</v>
      </c>
      <c r="U82" s="45"/>
    </row>
    <row r="83" customFormat="false" ht="15" hidden="false" customHeight="true" outlineLevel="0" collapsed="false">
      <c r="A83" s="44" t="n">
        <v>45709</v>
      </c>
      <c r="B83" s="45" t="n">
        <v>444.32</v>
      </c>
      <c r="C83" s="45" t="n">
        <v>98.3</v>
      </c>
      <c r="D83" s="45" t="n">
        <v>737.21</v>
      </c>
      <c r="E83" s="45" t="n">
        <v>218.66</v>
      </c>
      <c r="F83" s="45" t="n">
        <v>101.67</v>
      </c>
      <c r="G83" s="45" t="n">
        <v>75.43</v>
      </c>
      <c r="H83" s="45" t="n">
        <v>98.84</v>
      </c>
      <c r="I83" s="45" t="n">
        <v>134.43</v>
      </c>
      <c r="J83" s="45" t="n">
        <v>120.97</v>
      </c>
      <c r="K83" s="45" t="n">
        <v>101.35</v>
      </c>
      <c r="L83" s="45" t="n">
        <v>198.24</v>
      </c>
      <c r="M83" s="45" t="n">
        <v>95.99</v>
      </c>
      <c r="N83" s="45" t="n">
        <v>484.24</v>
      </c>
      <c r="O83" s="45" t="n">
        <v>93.91</v>
      </c>
      <c r="P83" s="45"/>
      <c r="Q83" s="45" t="n">
        <v>58.35</v>
      </c>
      <c r="R83" s="45" t="n">
        <v>57.57</v>
      </c>
      <c r="S83" s="45" t="n">
        <v>99.91</v>
      </c>
      <c r="T83" s="45" t="n">
        <v>35.49</v>
      </c>
      <c r="U83" s="45"/>
    </row>
    <row r="84" customFormat="false" ht="15" hidden="false" customHeight="true" outlineLevel="0" collapsed="false">
      <c r="A84" s="44" t="n">
        <v>45716</v>
      </c>
      <c r="B84" s="45" t="n">
        <v>438.56</v>
      </c>
      <c r="C84" s="45" t="n">
        <v>93.05</v>
      </c>
      <c r="D84" s="45" t="n">
        <v>709.08</v>
      </c>
      <c r="E84" s="45" t="n">
        <v>199.43</v>
      </c>
      <c r="F84" s="45" t="n">
        <v>97.42</v>
      </c>
      <c r="G84" s="45" t="n">
        <v>70.88</v>
      </c>
      <c r="H84" s="45" t="n">
        <v>93.63</v>
      </c>
      <c r="I84" s="45" t="n">
        <v>124.92</v>
      </c>
      <c r="J84" s="45" t="n">
        <v>123.92</v>
      </c>
      <c r="K84" s="45" t="n">
        <v>84.92</v>
      </c>
      <c r="L84" s="45" t="n">
        <v>180.53</v>
      </c>
      <c r="M84" s="45" t="n">
        <v>95.17</v>
      </c>
      <c r="N84" s="45" t="n">
        <v>479.79</v>
      </c>
      <c r="O84" s="45" t="n">
        <v>92.85</v>
      </c>
      <c r="P84" s="45"/>
      <c r="Q84" s="45" t="n">
        <v>58</v>
      </c>
      <c r="R84" s="45" t="n">
        <v>55.98</v>
      </c>
      <c r="S84" s="45" t="n">
        <v>99.8</v>
      </c>
      <c r="T84" s="45" t="n">
        <v>35.32</v>
      </c>
      <c r="U84" s="45"/>
    </row>
    <row r="85" customFormat="false" ht="15" hidden="false" customHeight="true" outlineLevel="0" collapsed="false">
      <c r="A85" s="44" t="n">
        <v>45723</v>
      </c>
      <c r="B85" s="45" t="n">
        <v>449.4</v>
      </c>
      <c r="C85" s="45" t="n">
        <v>83.36</v>
      </c>
      <c r="D85" s="45" t="n">
        <v>732.22</v>
      </c>
      <c r="E85" s="45" t="n">
        <v>194.96</v>
      </c>
      <c r="F85" s="45" t="n">
        <v>83.38</v>
      </c>
      <c r="G85" s="45" t="n">
        <v>71.13</v>
      </c>
      <c r="H85" s="45" t="n">
        <v>92.96</v>
      </c>
      <c r="I85" s="45" t="n">
        <v>112.69</v>
      </c>
      <c r="J85" s="45" t="n">
        <v>119.91</v>
      </c>
      <c r="K85" s="45" t="n">
        <v>84.91</v>
      </c>
      <c r="L85" s="45" t="n">
        <v>177.1</v>
      </c>
      <c r="M85" s="45" t="n">
        <v>85.04</v>
      </c>
      <c r="N85" s="45" t="n">
        <v>488.29</v>
      </c>
      <c r="O85" s="45" t="n">
        <v>88.68</v>
      </c>
      <c r="P85" s="45"/>
      <c r="Q85" s="45" t="n">
        <v>59.03</v>
      </c>
      <c r="R85" s="45" t="n">
        <v>53.76</v>
      </c>
      <c r="S85" s="45" t="n">
        <v>94.54</v>
      </c>
      <c r="T85" s="45" t="n">
        <v>34.81</v>
      </c>
      <c r="U85" s="45"/>
    </row>
    <row r="86" customFormat="false" ht="15" hidden="false" customHeight="true" outlineLevel="0" collapsed="false">
      <c r="A86" s="44" t="n">
        <v>45730</v>
      </c>
      <c r="B86" s="45" t="n">
        <v>394.74</v>
      </c>
      <c r="C86" s="45" t="n">
        <v>83.51</v>
      </c>
      <c r="D86" s="45" t="n">
        <v>714</v>
      </c>
      <c r="E86" s="45" t="n">
        <v>195.54</v>
      </c>
      <c r="F86" s="45" t="n">
        <v>88.43</v>
      </c>
      <c r="G86" s="45" t="n">
        <v>71.3</v>
      </c>
      <c r="H86" s="45" t="n">
        <v>100.79</v>
      </c>
      <c r="I86" s="45" t="n">
        <v>121.67</v>
      </c>
      <c r="J86" s="45" t="n">
        <v>111.89</v>
      </c>
      <c r="K86" s="45" t="n">
        <v>86.24</v>
      </c>
      <c r="L86" s="45" t="n">
        <v>174.09</v>
      </c>
      <c r="M86" s="45" t="n">
        <v>87.45</v>
      </c>
      <c r="N86" s="45" t="n">
        <v>504.77</v>
      </c>
      <c r="O86" s="45" t="n">
        <v>87.02</v>
      </c>
      <c r="P86" s="45"/>
      <c r="Q86" s="45" t="n">
        <v>59.99</v>
      </c>
      <c r="R86" s="45" t="n">
        <v>52.61</v>
      </c>
      <c r="S86" s="45" t="n">
        <v>93.86</v>
      </c>
      <c r="T86" s="45" t="n">
        <v>34.09</v>
      </c>
      <c r="U86" s="45"/>
    </row>
    <row r="87" customFormat="false" ht="15" hidden="false" customHeight="true" outlineLevel="0" collapsed="false">
      <c r="A87" s="44" t="n">
        <v>45737</v>
      </c>
      <c r="B87" s="45" t="n">
        <v>387.26</v>
      </c>
      <c r="C87" s="45" t="n">
        <v>83.13</v>
      </c>
      <c r="D87" s="45" t="n">
        <v>716.22</v>
      </c>
      <c r="E87" s="45" t="n">
        <v>191.66</v>
      </c>
      <c r="F87" s="45" t="n">
        <v>90.56</v>
      </c>
      <c r="G87" s="45" t="n">
        <v>70.65</v>
      </c>
      <c r="H87" s="45" t="n">
        <v>94.72</v>
      </c>
      <c r="I87" s="45" t="n">
        <v>117.7</v>
      </c>
      <c r="J87" s="45" t="n">
        <v>108.42</v>
      </c>
      <c r="K87" s="45" t="n">
        <v>90.96</v>
      </c>
      <c r="L87" s="45" t="n">
        <v>176.73</v>
      </c>
      <c r="M87" s="45" t="n">
        <v>88.63</v>
      </c>
      <c r="N87" s="45" t="n">
        <v>503.2</v>
      </c>
      <c r="O87" s="45" t="n">
        <v>87.86</v>
      </c>
      <c r="P87" s="45"/>
      <c r="Q87" s="45" t="n">
        <v>59.84</v>
      </c>
      <c r="R87" s="45" t="n">
        <v>52.8</v>
      </c>
      <c r="S87" s="45" t="n">
        <v>94.22</v>
      </c>
      <c r="T87" s="45" t="n">
        <v>34.67</v>
      </c>
      <c r="U87" s="45"/>
    </row>
    <row r="88" customFormat="false" ht="15" hidden="false" customHeight="true" outlineLevel="0" collapsed="false">
      <c r="A88" s="44" t="n">
        <v>45744</v>
      </c>
      <c r="B88" s="45" t="n">
        <v>385.71</v>
      </c>
      <c r="C88" s="45" t="n">
        <v>77.94</v>
      </c>
      <c r="D88" s="45" t="n">
        <v>674.58</v>
      </c>
      <c r="E88" s="45" t="n">
        <v>169.12</v>
      </c>
      <c r="F88" s="45" t="n">
        <v>89.28</v>
      </c>
      <c r="G88" s="45" t="n">
        <v>67.36</v>
      </c>
      <c r="H88" s="45" t="n">
        <v>88.44</v>
      </c>
      <c r="I88" s="45" t="n">
        <v>109.67</v>
      </c>
      <c r="J88" s="45" t="n">
        <v>110.45</v>
      </c>
      <c r="K88" s="45" t="n">
        <v>85.85</v>
      </c>
      <c r="L88" s="45" t="n">
        <v>165.25</v>
      </c>
      <c r="M88" s="45" t="n">
        <v>74.25</v>
      </c>
      <c r="N88" s="45" t="n">
        <v>492.69</v>
      </c>
      <c r="O88" s="45" t="n">
        <v>87.12</v>
      </c>
      <c r="P88" s="45"/>
      <c r="Q88" s="45" t="n">
        <v>61.6</v>
      </c>
      <c r="R88" s="45" t="n">
        <v>51.81</v>
      </c>
      <c r="S88" s="45" t="n">
        <v>92.19</v>
      </c>
      <c r="T88" s="45" t="n">
        <v>34.1</v>
      </c>
      <c r="U88" s="45"/>
    </row>
    <row r="89" customFormat="false" ht="15" hidden="false" customHeight="true" outlineLevel="0" collapsed="false">
      <c r="A89" s="44" t="n">
        <v>45751</v>
      </c>
      <c r="B89" s="45" t="n">
        <v>349.07</v>
      </c>
      <c r="C89" s="45" t="n">
        <v>64.37</v>
      </c>
      <c r="D89" s="45" t="n">
        <v>605.55</v>
      </c>
      <c r="E89" s="45" t="n">
        <v>146.29</v>
      </c>
      <c r="F89" s="45" t="n">
        <v>80.41</v>
      </c>
      <c r="G89" s="45" t="n">
        <v>57.65</v>
      </c>
      <c r="H89" s="45" t="n">
        <v>64.72</v>
      </c>
      <c r="I89" s="45" t="n">
        <v>94.31</v>
      </c>
      <c r="J89" s="45" t="n">
        <v>98.23</v>
      </c>
      <c r="K89" s="45" t="n">
        <v>74.01</v>
      </c>
      <c r="L89" s="45" t="n">
        <v>146.8</v>
      </c>
      <c r="M89" s="45" t="n">
        <v>59.41</v>
      </c>
      <c r="N89" s="45" t="n">
        <v>474.62</v>
      </c>
      <c r="O89" s="45" t="n">
        <v>78</v>
      </c>
      <c r="P89" s="45"/>
      <c r="Q89" s="45" t="n">
        <v>60.58</v>
      </c>
      <c r="R89" s="45" t="n">
        <v>46.6</v>
      </c>
      <c r="S89" s="45" t="n">
        <v>82.32</v>
      </c>
      <c r="T89" s="45" t="n">
        <v>30.95</v>
      </c>
      <c r="U89" s="45"/>
    </row>
    <row r="90" customFormat="false" ht="15" hidden="false" customHeight="true" outlineLevel="0" collapsed="false">
      <c r="A90" s="44" t="n">
        <v>45758</v>
      </c>
      <c r="B90" s="45" t="n">
        <v>352.47</v>
      </c>
      <c r="C90" s="45" t="n">
        <v>72.67</v>
      </c>
      <c r="D90" s="45" t="n">
        <v>668.81</v>
      </c>
      <c r="E90" s="45" t="n">
        <v>181.94</v>
      </c>
      <c r="F90" s="45" t="n">
        <v>94.48</v>
      </c>
      <c r="G90" s="45" t="n">
        <v>67.02</v>
      </c>
      <c r="H90" s="45" t="n">
        <v>69.55</v>
      </c>
      <c r="I90" s="45" t="n">
        <v>110.93</v>
      </c>
      <c r="J90" s="45" t="n">
        <v>96.23</v>
      </c>
      <c r="K90" s="45" t="n">
        <v>88.55</v>
      </c>
      <c r="L90" s="45" t="n">
        <v>157.08</v>
      </c>
      <c r="M90" s="45" t="n">
        <v>69.61</v>
      </c>
      <c r="N90" s="45" t="n">
        <v>484.22</v>
      </c>
      <c r="O90" s="45" t="n">
        <v>78.98</v>
      </c>
      <c r="P90" s="45"/>
      <c r="Q90" s="45" t="n">
        <v>61.24</v>
      </c>
      <c r="R90" s="45" t="n">
        <v>49.54</v>
      </c>
      <c r="S90" s="45" t="n">
        <v>89.82</v>
      </c>
      <c r="T90" s="45" t="n">
        <v>31.56</v>
      </c>
      <c r="U90" s="45"/>
    </row>
    <row r="91" customFormat="false" ht="15" hidden="false" customHeight="true" outlineLevel="0" collapsed="false">
      <c r="A91" s="44" t="n">
        <v>45764</v>
      </c>
      <c r="B91" s="45" t="n">
        <v>348.8</v>
      </c>
      <c r="C91" s="45" t="n">
        <v>71.2</v>
      </c>
      <c r="D91" s="45" t="n">
        <v>640.16</v>
      </c>
      <c r="E91" s="45" t="n">
        <v>170.99</v>
      </c>
      <c r="F91" s="45" t="n">
        <v>93.91</v>
      </c>
      <c r="G91" s="45" t="n">
        <v>63.44</v>
      </c>
      <c r="H91" s="45" t="n">
        <v>68.8</v>
      </c>
      <c r="I91" s="45" t="n">
        <v>101.49</v>
      </c>
      <c r="J91" s="45" t="n">
        <v>102.1</v>
      </c>
      <c r="K91" s="45" t="n">
        <v>93.78</v>
      </c>
      <c r="L91" s="45" t="n">
        <v>151.74</v>
      </c>
      <c r="M91" s="45" t="n">
        <v>73.21</v>
      </c>
      <c r="N91" s="45" t="n">
        <v>489.1</v>
      </c>
      <c r="O91" s="45" t="n">
        <v>80.45</v>
      </c>
      <c r="P91" s="45"/>
      <c r="Q91" s="45" t="n">
        <v>61.83</v>
      </c>
      <c r="R91" s="45" t="n">
        <v>48.74</v>
      </c>
      <c r="S91" s="45" t="n">
        <v>88.26</v>
      </c>
      <c r="T91" s="45" t="n">
        <v>31.78</v>
      </c>
      <c r="U91" s="45"/>
    </row>
    <row r="92" customFormat="false" ht="15" hidden="false" customHeight="true" outlineLevel="0" collapsed="false">
      <c r="A92" s="44" t="n">
        <v>45772</v>
      </c>
      <c r="B92" s="45" t="n">
        <v>367.72</v>
      </c>
      <c r="C92" s="45" t="n">
        <v>77.91</v>
      </c>
      <c r="D92" s="45" t="n">
        <v>677.27</v>
      </c>
      <c r="E92" s="45" t="n">
        <v>192.31</v>
      </c>
      <c r="F92" s="45" t="n">
        <v>106.22</v>
      </c>
      <c r="G92" s="45" t="n">
        <v>69.46</v>
      </c>
      <c r="H92" s="45" t="n">
        <v>79.78</v>
      </c>
      <c r="I92" s="45" t="n">
        <v>111.01</v>
      </c>
      <c r="J92" s="45" t="n">
        <v>102.24</v>
      </c>
      <c r="K92" s="45" t="n">
        <v>112.78</v>
      </c>
      <c r="L92" s="45" t="n">
        <v>165.1</v>
      </c>
      <c r="M92" s="45" t="n">
        <v>86.95</v>
      </c>
      <c r="N92" s="45" t="n">
        <v>493.84</v>
      </c>
      <c r="O92" s="45" t="n">
        <v>82.71</v>
      </c>
      <c r="P92" s="45"/>
      <c r="Q92" s="45" t="n">
        <v>61.82</v>
      </c>
      <c r="R92" s="45" t="n">
        <v>51.09</v>
      </c>
      <c r="S92" s="45" t="n">
        <v>94.02</v>
      </c>
      <c r="T92" s="45" t="n">
        <v>32.83</v>
      </c>
      <c r="U92" s="45"/>
    </row>
    <row r="93" customFormat="false" ht="15" hidden="false" customHeight="true" outlineLevel="0" collapsed="false">
      <c r="A93" s="44" t="n">
        <v>45779</v>
      </c>
      <c r="B93" s="45" t="n">
        <v>380.87</v>
      </c>
      <c r="C93" s="45" t="n">
        <v>91.02</v>
      </c>
      <c r="D93" s="45" t="n">
        <v>690.33</v>
      </c>
      <c r="E93" s="45" t="n">
        <v>203.64</v>
      </c>
      <c r="F93" s="45" t="n">
        <v>110.15</v>
      </c>
      <c r="G93" s="45" t="n">
        <v>69.82</v>
      </c>
      <c r="H93" s="45" t="n">
        <v>80.72</v>
      </c>
      <c r="I93" s="45" t="n">
        <v>114.5</v>
      </c>
      <c r="J93" s="45" t="n">
        <v>105.41</v>
      </c>
      <c r="K93" s="45" t="n">
        <v>124.28</v>
      </c>
      <c r="L93" s="45" t="n">
        <v>179.28</v>
      </c>
      <c r="M93" s="45" t="n">
        <v>95</v>
      </c>
      <c r="N93" s="45" t="n">
        <v>501.15</v>
      </c>
      <c r="O93" s="45" t="n">
        <v>85.52</v>
      </c>
      <c r="P93" s="45"/>
      <c r="Q93" s="45" t="n">
        <v>61.87</v>
      </c>
      <c r="R93" s="45" t="n">
        <v>51.49</v>
      </c>
      <c r="S93" s="45" t="n">
        <v>97.8</v>
      </c>
      <c r="T93" s="45" t="n">
        <v>33.46</v>
      </c>
      <c r="U93" s="45"/>
    </row>
    <row r="94" customFormat="false" ht="15" hidden="false" customHeight="true" outlineLevel="0" collapsed="false">
      <c r="A94" s="44" t="n">
        <v>45786</v>
      </c>
      <c r="B94" s="45" t="n">
        <v>383.28</v>
      </c>
      <c r="C94" s="45" t="n">
        <v>86.52</v>
      </c>
      <c r="D94" s="45" t="n">
        <v>706.21</v>
      </c>
      <c r="E94" s="45" t="n">
        <v>208.2</v>
      </c>
      <c r="F94" s="45" t="n">
        <v>102.64</v>
      </c>
      <c r="G94" s="45" t="n">
        <v>70.12</v>
      </c>
      <c r="H94" s="45" t="n">
        <v>85.86</v>
      </c>
      <c r="I94" s="45" t="n">
        <v>116.65</v>
      </c>
      <c r="J94" s="45" t="n">
        <v>106.91</v>
      </c>
      <c r="K94" s="45" t="n">
        <v>117.3</v>
      </c>
      <c r="L94" s="45" t="n">
        <v>176.52</v>
      </c>
      <c r="M94" s="45" t="n">
        <v>94.06</v>
      </c>
      <c r="N94" s="45" t="n">
        <v>424.99</v>
      </c>
      <c r="O94" s="45" t="n">
        <v>86.51</v>
      </c>
      <c r="P94" s="45"/>
      <c r="Q94" s="45" t="n">
        <v>62.54</v>
      </c>
      <c r="R94" s="45" t="n">
        <v>51.63</v>
      </c>
      <c r="S94" s="45" t="n">
        <v>98.48</v>
      </c>
      <c r="T94" s="45" t="n">
        <v>33.4</v>
      </c>
      <c r="U94" s="45"/>
    </row>
    <row r="95" customFormat="false" ht="15" hidden="false" customHeight="true" outlineLevel="0" collapsed="false">
      <c r="A95" s="44" t="n">
        <v>45793</v>
      </c>
      <c r="B95" s="45" t="n">
        <v>417.13</v>
      </c>
      <c r="C95" s="45" t="n">
        <v>96.42</v>
      </c>
      <c r="D95" s="45" t="n">
        <v>748.1</v>
      </c>
      <c r="E95" s="45" t="n">
        <v>228.61</v>
      </c>
      <c r="F95" s="45" t="n">
        <v>109.82</v>
      </c>
      <c r="G95" s="45" t="n">
        <v>79.12</v>
      </c>
      <c r="H95" s="45" t="n">
        <v>98</v>
      </c>
      <c r="I95" s="45" t="n">
        <v>135.4</v>
      </c>
      <c r="J95" s="45" t="n">
        <v>110.55</v>
      </c>
      <c r="K95" s="45" t="n">
        <v>129.52</v>
      </c>
      <c r="L95" s="45" t="n">
        <v>194.22</v>
      </c>
      <c r="M95" s="45" t="n">
        <v>106.04</v>
      </c>
      <c r="N95" s="45" t="n">
        <v>438.65</v>
      </c>
      <c r="O95" s="45" t="n">
        <v>90.74</v>
      </c>
      <c r="P95" s="45"/>
      <c r="Q95" s="45" t="n">
        <v>62.95</v>
      </c>
      <c r="R95" s="45" t="n">
        <v>52.52</v>
      </c>
      <c r="S95" s="45" t="n">
        <v>105.2</v>
      </c>
      <c r="T95" s="45" t="n">
        <v>34.84</v>
      </c>
      <c r="U95" s="45"/>
    </row>
    <row r="96" customFormat="false" ht="15" hidden="false" customHeight="true" outlineLevel="0" collapsed="false">
      <c r="A96" s="44" t="n">
        <v>45800</v>
      </c>
      <c r="B96" s="45" t="n">
        <v>407.69</v>
      </c>
      <c r="C96" s="45" t="n">
        <v>91.2</v>
      </c>
      <c r="D96" s="45" t="n">
        <v>732.49</v>
      </c>
      <c r="E96" s="45" t="n">
        <v>228.72</v>
      </c>
      <c r="F96" s="45" t="n">
        <v>113.9</v>
      </c>
      <c r="G96" s="45" t="n">
        <v>75.72</v>
      </c>
      <c r="H96" s="45" t="n">
        <v>93.37</v>
      </c>
      <c r="I96" s="45" t="n">
        <v>131.29</v>
      </c>
      <c r="J96" s="45" t="n">
        <v>104.04</v>
      </c>
      <c r="K96" s="45" t="n">
        <v>123.31</v>
      </c>
      <c r="L96" s="45" t="n">
        <v>191.98</v>
      </c>
      <c r="M96" s="45" t="n">
        <v>104.14</v>
      </c>
      <c r="N96" s="45" t="n">
        <v>436</v>
      </c>
      <c r="O96" s="45" t="n">
        <v>87.11</v>
      </c>
      <c r="P96" s="45"/>
      <c r="Q96" s="45" t="n">
        <v>63.05</v>
      </c>
      <c r="R96" s="45" t="n">
        <v>52.04</v>
      </c>
      <c r="S96" s="45" t="n">
        <v>102.85</v>
      </c>
      <c r="T96" s="45" t="n">
        <v>33.63</v>
      </c>
      <c r="U96" s="45"/>
    </row>
    <row r="97" customFormat="false" ht="15" hidden="false" customHeight="true" outlineLevel="0" collapsed="false">
      <c r="A97" s="44" t="n">
        <v>45807</v>
      </c>
      <c r="B97" s="45" t="n">
        <v>415.09</v>
      </c>
      <c r="C97" s="45" t="n">
        <v>86.64</v>
      </c>
      <c r="D97" s="45" t="n">
        <v>736.77</v>
      </c>
      <c r="E97" s="45" t="n">
        <v>242.07</v>
      </c>
      <c r="F97" s="45" t="n">
        <v>117.84</v>
      </c>
      <c r="G97" s="45" t="n">
        <v>75.69</v>
      </c>
      <c r="H97" s="45" t="n">
        <v>94.46</v>
      </c>
      <c r="I97" s="45" t="n">
        <v>135.13</v>
      </c>
      <c r="J97" s="45" t="n">
        <v>108.6</v>
      </c>
      <c r="K97" s="45" t="n">
        <v>131.78</v>
      </c>
      <c r="L97" s="45" t="n">
        <v>193.32</v>
      </c>
      <c r="M97" s="45" t="n">
        <v>107.93</v>
      </c>
      <c r="N97" s="45" t="n">
        <v>442.05</v>
      </c>
      <c r="O97" s="45" t="n">
        <v>88.13</v>
      </c>
      <c r="P97" s="45"/>
      <c r="Q97" s="45" t="n">
        <v>63.27</v>
      </c>
      <c r="R97" s="45" t="n">
        <v>52.63</v>
      </c>
      <c r="S97" s="45" t="n">
        <v>105.35</v>
      </c>
      <c r="T97" s="45" t="n">
        <v>33.89</v>
      </c>
      <c r="U97" s="45"/>
    </row>
    <row r="98" customFormat="false" ht="15" hidden="false" customHeight="true" outlineLevel="0" collapsed="false">
      <c r="A98" s="44" t="n">
        <v>45814</v>
      </c>
      <c r="B98" s="45" t="n">
        <v>416.92</v>
      </c>
      <c r="C98" s="45" t="n">
        <v>97.25</v>
      </c>
      <c r="D98" s="45" t="n">
        <v>753.02</v>
      </c>
      <c r="E98" s="45" t="n">
        <v>246.93</v>
      </c>
      <c r="F98" s="45" t="n">
        <v>117.1</v>
      </c>
      <c r="G98" s="45" t="n">
        <v>80.8</v>
      </c>
      <c r="H98" s="45" t="n">
        <v>108.56</v>
      </c>
      <c r="I98" s="45" t="n">
        <v>141.72</v>
      </c>
      <c r="J98" s="45" t="n">
        <v>108.79</v>
      </c>
      <c r="K98" s="45" t="n">
        <v>127.72</v>
      </c>
      <c r="L98" s="45" t="n">
        <v>205.18</v>
      </c>
      <c r="M98" s="45" t="n">
        <v>115.36</v>
      </c>
      <c r="N98" s="45" t="n">
        <v>450.5</v>
      </c>
      <c r="O98" s="45" t="n">
        <v>89.76</v>
      </c>
      <c r="P98" s="45"/>
      <c r="Q98" s="45" t="n">
        <v>63.41</v>
      </c>
      <c r="R98" s="45" t="n">
        <v>52.7</v>
      </c>
      <c r="S98" s="45" t="n">
        <v>106.92</v>
      </c>
      <c r="T98" s="45" t="n">
        <v>34.69</v>
      </c>
      <c r="U98" s="45"/>
    </row>
    <row r="99" customFormat="false" ht="15" hidden="false" customHeight="true" outlineLevel="0" collapsed="false">
      <c r="A99" s="44" t="n">
        <v>45821</v>
      </c>
      <c r="B99" s="45" t="n">
        <v>391.68</v>
      </c>
      <c r="C99" s="45" t="n">
        <v>92.35</v>
      </c>
      <c r="D99" s="45" t="n">
        <v>761</v>
      </c>
      <c r="E99" s="45" t="n">
        <v>248.7</v>
      </c>
      <c r="F99" s="45" t="n">
        <v>120.16</v>
      </c>
      <c r="G99" s="45" t="n">
        <v>86.77</v>
      </c>
      <c r="H99" s="45" t="n">
        <v>115.6</v>
      </c>
      <c r="I99" s="45" t="n">
        <v>141.97</v>
      </c>
      <c r="J99" s="45" t="n">
        <v>107.28</v>
      </c>
      <c r="K99" s="45" t="n">
        <v>137.4</v>
      </c>
      <c r="L99" s="45" t="n">
        <v>211.1</v>
      </c>
      <c r="M99" s="45" t="n">
        <v>110.97</v>
      </c>
      <c r="N99" s="45" t="n">
        <v>455.45</v>
      </c>
      <c r="O99" s="45" t="n">
        <v>89.22</v>
      </c>
      <c r="P99" s="45"/>
      <c r="Q99" s="45" t="n">
        <v>62.75</v>
      </c>
      <c r="R99" s="45" t="n">
        <v>52.59</v>
      </c>
      <c r="S99" s="45" t="n">
        <v>106.16</v>
      </c>
      <c r="T99" s="45" t="n">
        <v>35.07</v>
      </c>
      <c r="U99" s="45"/>
    </row>
    <row r="100" customFormat="false" ht="15" hidden="false" customHeight="true" outlineLevel="0" collapsed="false">
      <c r="A100" s="44" t="n">
        <v>45828</v>
      </c>
      <c r="B100" s="45" t="n">
        <v>376.92</v>
      </c>
      <c r="C100" s="45" t="n">
        <v>86.25</v>
      </c>
      <c r="D100" s="45" t="n">
        <v>756.53</v>
      </c>
      <c r="E100" s="45" t="n">
        <v>249.99</v>
      </c>
      <c r="F100" s="45" t="n">
        <v>119.08</v>
      </c>
      <c r="G100" s="45" t="n">
        <v>85</v>
      </c>
      <c r="H100" s="45" t="n">
        <v>123.6</v>
      </c>
      <c r="I100" s="45" t="n">
        <v>143.85</v>
      </c>
      <c r="J100" s="45" t="n">
        <v>105.69</v>
      </c>
      <c r="K100" s="45" t="n">
        <v>137.3</v>
      </c>
      <c r="L100" s="45" t="n">
        <v>209.51</v>
      </c>
      <c r="M100" s="45" t="n">
        <v>118.54</v>
      </c>
      <c r="N100" s="45" t="n">
        <v>440.87</v>
      </c>
      <c r="O100" s="45" t="n">
        <v>89.37</v>
      </c>
      <c r="P100" s="45"/>
      <c r="Q100" s="45" t="n">
        <v>63.47</v>
      </c>
      <c r="R100" s="45" t="n">
        <v>52.75</v>
      </c>
      <c r="S100" s="45" t="n">
        <v>106.91</v>
      </c>
      <c r="T100" s="45" t="n">
        <v>35.03</v>
      </c>
      <c r="U100" s="45"/>
    </row>
    <row r="101" customFormat="false" ht="15" hidden="false" customHeight="true" outlineLevel="0" collapsed="false">
      <c r="A101" s="44" t="n">
        <v>45835</v>
      </c>
      <c r="B101" s="45" t="n">
        <v>385.83</v>
      </c>
      <c r="C101" s="45" t="n">
        <v>99.39</v>
      </c>
      <c r="D101" s="45" t="n">
        <v>795.95</v>
      </c>
      <c r="E101" s="45" t="n">
        <v>269.35</v>
      </c>
      <c r="F101" s="45" t="n">
        <v>124.83</v>
      </c>
      <c r="G101" s="45" t="n">
        <v>88.99</v>
      </c>
      <c r="H101" s="45" t="n">
        <v>124.76</v>
      </c>
      <c r="I101" s="45" t="n">
        <v>157.75</v>
      </c>
      <c r="J101" s="45" t="n">
        <v>105.62</v>
      </c>
      <c r="K101" s="45" t="n">
        <v>130.74</v>
      </c>
      <c r="L101" s="45" t="n">
        <v>228.57</v>
      </c>
      <c r="M101" s="45" t="n">
        <v>127.16</v>
      </c>
      <c r="N101" s="45" t="n">
        <v>441.3</v>
      </c>
      <c r="O101" s="45" t="n">
        <v>91.21</v>
      </c>
      <c r="P101" s="45"/>
      <c r="Q101" s="45" t="n">
        <v>63.94</v>
      </c>
      <c r="R101" s="45" t="n">
        <v>54.27</v>
      </c>
      <c r="S101" s="45" t="n">
        <v>111.84</v>
      </c>
      <c r="T101" s="45" t="n">
        <v>35.33</v>
      </c>
      <c r="U101" s="45"/>
    </row>
    <row r="102" customFormat="false" ht="15" hidden="false" customHeight="true" outlineLevel="0" collapsed="false">
      <c r="A102" s="44" t="n">
        <v>45841</v>
      </c>
      <c r="B102" s="45" t="n">
        <v>379.31</v>
      </c>
      <c r="C102" s="45" t="n">
        <v>102.52</v>
      </c>
      <c r="D102" s="45" t="n">
        <v>794.5</v>
      </c>
      <c r="E102" s="45" t="n">
        <v>275.18</v>
      </c>
      <c r="F102" s="45" t="n">
        <v>128.53</v>
      </c>
      <c r="G102" s="45" t="n">
        <v>92.46</v>
      </c>
      <c r="H102" s="45" t="n">
        <v>122.29</v>
      </c>
      <c r="I102" s="45" t="n">
        <v>159.34</v>
      </c>
      <c r="J102" s="45" t="n">
        <v>108.02</v>
      </c>
      <c r="K102" s="45" t="n">
        <v>134.36</v>
      </c>
      <c r="L102" s="45" t="n">
        <v>234.8</v>
      </c>
      <c r="M102" s="45" t="n">
        <v>127.84</v>
      </c>
      <c r="N102" s="45" t="n">
        <v>459.62</v>
      </c>
      <c r="O102" s="45" t="n">
        <v>95.01</v>
      </c>
      <c r="P102" s="45"/>
      <c r="Q102" s="45" t="n">
        <v>64.17</v>
      </c>
      <c r="R102" s="45" t="n">
        <v>54.16</v>
      </c>
      <c r="S102" s="45" t="n">
        <v>112.51</v>
      </c>
      <c r="T102" s="45" t="n">
        <v>35.77</v>
      </c>
      <c r="U102" s="45"/>
    </row>
    <row r="103" customFormat="false" ht="15" hidden="false" customHeight="true" outlineLevel="0" collapsed="false">
      <c r="A103" s="44" t="n">
        <v>45849</v>
      </c>
      <c r="B103" s="45" t="n">
        <v>363.35</v>
      </c>
      <c r="C103" s="45" t="n">
        <v>108.57</v>
      </c>
      <c r="D103" s="45" t="n">
        <v>801.93</v>
      </c>
      <c r="E103" s="45" t="n">
        <v>274.38</v>
      </c>
      <c r="F103" s="45" t="n">
        <v>119.61</v>
      </c>
      <c r="G103" s="45" t="n">
        <v>92.46</v>
      </c>
      <c r="H103" s="45" t="n">
        <v>124.53</v>
      </c>
      <c r="I103" s="45" t="n">
        <v>164.92</v>
      </c>
      <c r="J103" s="45" t="n">
        <v>109.17</v>
      </c>
      <c r="K103" s="45" t="n">
        <v>142.1</v>
      </c>
      <c r="L103" s="45" t="n">
        <v>230.4</v>
      </c>
      <c r="M103" s="45" t="n">
        <v>123.3</v>
      </c>
      <c r="N103" s="45" t="n">
        <v>468.85</v>
      </c>
      <c r="O103" s="45" t="n">
        <v>94.88</v>
      </c>
      <c r="P103" s="45"/>
      <c r="Q103" s="45" t="n">
        <v>64.18</v>
      </c>
      <c r="R103" s="45" t="n">
        <v>54.36</v>
      </c>
      <c r="S103" s="45" t="n">
        <v>112.17</v>
      </c>
      <c r="T103" s="45" t="n">
        <v>35.84</v>
      </c>
      <c r="U103" s="45"/>
    </row>
    <row r="104" customFormat="false" ht="15" hidden="false" customHeight="true" outlineLevel="0" collapsed="false">
      <c r="A104" s="44" t="n">
        <v>45856</v>
      </c>
      <c r="B104" s="45" t="n">
        <v>365.79</v>
      </c>
      <c r="C104" s="45" t="n">
        <v>111.78</v>
      </c>
      <c r="D104" s="45" t="n">
        <v>734.58</v>
      </c>
      <c r="E104" s="45" t="n">
        <v>283.34</v>
      </c>
      <c r="F104" s="45" t="n">
        <v>118.99</v>
      </c>
      <c r="G104" s="45" t="n">
        <v>93.11</v>
      </c>
      <c r="H104" s="45" t="n">
        <v>114.39</v>
      </c>
      <c r="I104" s="45" t="n">
        <v>172.41</v>
      </c>
      <c r="J104" s="45" t="n">
        <v>106.78</v>
      </c>
      <c r="K104" s="45" t="n">
        <v>153.52</v>
      </c>
      <c r="L104" s="45" t="n">
        <v>240.4</v>
      </c>
      <c r="M104" s="45" t="n">
        <v>129.06</v>
      </c>
      <c r="N104" s="45" t="n">
        <v>459.81</v>
      </c>
      <c r="O104" s="45" t="n">
        <v>93.77</v>
      </c>
      <c r="P104" s="45"/>
      <c r="Q104" s="45" t="n">
        <v>64.32</v>
      </c>
      <c r="R104" s="45" t="n">
        <v>54.69</v>
      </c>
      <c r="S104" s="45" t="n">
        <v>113.83</v>
      </c>
      <c r="T104" s="45" t="n">
        <v>35.08</v>
      </c>
      <c r="U104" s="45"/>
    </row>
    <row r="105" customFormat="false" ht="15" hidden="false" customHeight="true" outlineLevel="0" collapsed="false">
      <c r="A105" s="44" t="n">
        <v>45863</v>
      </c>
      <c r="B105" s="45" t="n">
        <v>370.74</v>
      </c>
      <c r="C105" s="45" t="n">
        <v>114.28</v>
      </c>
      <c r="D105" s="45" t="n">
        <v>711.25</v>
      </c>
      <c r="E105" s="45" t="n">
        <v>290.18</v>
      </c>
      <c r="F105" s="45" t="n">
        <v>116.98</v>
      </c>
      <c r="G105" s="45" t="n">
        <v>90.21</v>
      </c>
      <c r="H105" s="45" t="n">
        <v>111.26</v>
      </c>
      <c r="I105" s="45" t="n">
        <v>173.5</v>
      </c>
      <c r="J105" s="45" t="n">
        <v>110.29</v>
      </c>
      <c r="K105" s="45" t="n">
        <v>158.8</v>
      </c>
      <c r="L105" s="45" t="n">
        <v>245.6</v>
      </c>
      <c r="M105" s="45" t="n">
        <v>137.47</v>
      </c>
      <c r="N105" s="45" t="n">
        <v>469.65</v>
      </c>
      <c r="O105" s="45" t="n">
        <v>95.15</v>
      </c>
      <c r="P105" s="45"/>
      <c r="Q105" s="45" t="n">
        <v>64.87</v>
      </c>
      <c r="R105" s="45" t="n">
        <v>55.08</v>
      </c>
      <c r="S105" s="45" t="n">
        <v>115.03</v>
      </c>
      <c r="T105" s="45" t="n">
        <v>35.85</v>
      </c>
      <c r="U105" s="45"/>
    </row>
    <row r="106" customFormat="false" ht="15" hidden="false" customHeight="true" outlineLevel="0" collapsed="false">
      <c r="A106" s="44" t="n">
        <v>45870</v>
      </c>
      <c r="B106" s="45" t="n">
        <v>347.8</v>
      </c>
      <c r="C106" s="45" t="n">
        <v>117.57</v>
      </c>
      <c r="D106" s="45" t="n">
        <v>689.82</v>
      </c>
      <c r="E106" s="45" t="n">
        <v>288.64</v>
      </c>
      <c r="F106" s="45" t="n">
        <v>111.67</v>
      </c>
      <c r="G106" s="45" t="n">
        <v>88.66</v>
      </c>
      <c r="H106" s="45" t="n">
        <v>104.88</v>
      </c>
      <c r="I106" s="45" t="n">
        <v>173.72</v>
      </c>
      <c r="J106" s="45" t="n">
        <v>104.91</v>
      </c>
      <c r="K106" s="45" t="n">
        <v>154.27</v>
      </c>
      <c r="L106" s="45" t="n">
        <v>235.21</v>
      </c>
      <c r="M106" s="45" t="n">
        <v>141.59</v>
      </c>
      <c r="N106" s="45" t="n">
        <v>462.13</v>
      </c>
      <c r="O106" s="45" t="n">
        <v>90.37</v>
      </c>
      <c r="P106" s="45"/>
      <c r="Q106" s="45" t="n">
        <v>65</v>
      </c>
      <c r="R106" s="45" t="n">
        <v>53.81</v>
      </c>
      <c r="S106" s="45" t="n">
        <v>113.23</v>
      </c>
      <c r="T106" s="45" t="n">
        <v>34.35</v>
      </c>
      <c r="U106" s="45"/>
    </row>
    <row r="107" customFormat="false" ht="15" hidden="false" customHeight="true" outlineLevel="0" collapsed="false">
      <c r="A107" s="44" t="n">
        <v>45877</v>
      </c>
      <c r="B107" s="45" t="n">
        <v>341.05</v>
      </c>
      <c r="C107" s="45" t="n">
        <v>139.18</v>
      </c>
      <c r="D107" s="45" t="n">
        <v>722.32</v>
      </c>
      <c r="E107" s="45" t="n">
        <v>304.97</v>
      </c>
      <c r="F107" s="45" t="n">
        <v>106.12</v>
      </c>
      <c r="G107" s="45" t="n">
        <v>91.48</v>
      </c>
      <c r="H107" s="45" t="n">
        <v>118.89</v>
      </c>
      <c r="I107" s="45" t="n">
        <v>182.7</v>
      </c>
      <c r="J107" s="45" t="n">
        <v>105.68</v>
      </c>
      <c r="K107" s="45" t="n">
        <v>186.96</v>
      </c>
      <c r="L107" s="45" t="n">
        <v>241.83</v>
      </c>
      <c r="M107" s="45" t="n">
        <v>139.93</v>
      </c>
      <c r="N107" s="45" t="n">
        <v>366.54</v>
      </c>
      <c r="O107" s="45" t="n">
        <v>92.47</v>
      </c>
      <c r="P107" s="45"/>
      <c r="Q107" s="45" t="n">
        <v>64.89</v>
      </c>
      <c r="R107" s="45" t="n">
        <v>55.32</v>
      </c>
      <c r="S107" s="45" t="n">
        <v>117.19</v>
      </c>
      <c r="T107" s="45" t="n">
        <v>34.69</v>
      </c>
      <c r="U107" s="45"/>
    </row>
    <row r="108" customFormat="false" ht="15" hidden="false" customHeight="true" outlineLevel="0" collapsed="false">
      <c r="A108" s="44" t="n">
        <v>45884</v>
      </c>
      <c r="B108" s="45" t="n">
        <v>354.85</v>
      </c>
      <c r="C108" s="45" t="n">
        <v>137.3</v>
      </c>
      <c r="D108" s="45" t="n">
        <v>742.16</v>
      </c>
      <c r="E108" s="45" t="n">
        <v>306.34</v>
      </c>
      <c r="F108" s="45" t="n">
        <v>106.98</v>
      </c>
      <c r="G108" s="45" t="n">
        <v>87.49</v>
      </c>
      <c r="H108" s="45" t="n">
        <v>120.87</v>
      </c>
      <c r="I108" s="45" t="n">
        <v>180.45</v>
      </c>
      <c r="J108" s="45" t="n">
        <v>106.59</v>
      </c>
      <c r="K108" s="45" t="n">
        <v>177.17</v>
      </c>
      <c r="L108" s="45" t="n">
        <v>238.88</v>
      </c>
      <c r="M108" s="45" t="n">
        <v>133.07</v>
      </c>
      <c r="N108" s="45" t="n">
        <v>392.79</v>
      </c>
      <c r="O108" s="45" t="n">
        <v>95.23</v>
      </c>
      <c r="P108" s="45"/>
      <c r="Q108" s="45" t="n">
        <v>65.1</v>
      </c>
      <c r="R108" s="45" t="n">
        <v>55.8</v>
      </c>
      <c r="S108" s="45" t="n">
        <v>117.31</v>
      </c>
      <c r="T108" s="45" t="n">
        <v>36.06</v>
      </c>
      <c r="U108" s="45"/>
    </row>
    <row r="109" customFormat="false" ht="15" hidden="false" customHeight="true" outlineLevel="0" collapsed="false">
      <c r="A109" s="44" t="n">
        <v>45891</v>
      </c>
      <c r="B109" s="45" t="n">
        <v>362.09</v>
      </c>
      <c r="C109" s="45" t="n">
        <v>133.25</v>
      </c>
      <c r="D109" s="45" t="n">
        <v>754.89</v>
      </c>
      <c r="E109" s="45" t="n">
        <v>294</v>
      </c>
      <c r="F109" s="45" t="n">
        <v>105.14</v>
      </c>
      <c r="G109" s="45" t="n">
        <v>87.03</v>
      </c>
      <c r="H109" s="45" t="n">
        <v>117.68</v>
      </c>
      <c r="I109" s="45" t="n">
        <v>177.99</v>
      </c>
      <c r="J109" s="45" t="n">
        <v>112.28</v>
      </c>
      <c r="K109" s="45" t="n">
        <v>158.74</v>
      </c>
      <c r="L109" s="45" t="n">
        <v>232.99</v>
      </c>
      <c r="M109" s="45" t="n">
        <v>125.97</v>
      </c>
      <c r="N109" s="45" t="n">
        <v>395.12</v>
      </c>
      <c r="O109" s="45" t="n">
        <v>99.02</v>
      </c>
      <c r="P109" s="45"/>
      <c r="Q109" s="45" t="n">
        <v>64.28</v>
      </c>
      <c r="R109" s="45" t="n">
        <v>55.67</v>
      </c>
      <c r="S109" s="45" t="n">
        <v>116.51</v>
      </c>
      <c r="T109" s="45" t="n">
        <v>36.99</v>
      </c>
      <c r="U109" s="45"/>
    </row>
    <row r="110" customFormat="false" ht="15" hidden="false" customHeight="true" outlineLevel="0" collapsed="false">
      <c r="A110" s="44" t="n">
        <v>45898</v>
      </c>
      <c r="B110" s="45" t="n">
        <v>356.7</v>
      </c>
      <c r="C110" s="45" t="n">
        <v>136.55</v>
      </c>
      <c r="D110" s="45" t="n">
        <v>742.62</v>
      </c>
      <c r="E110" s="45" t="n">
        <v>297.39</v>
      </c>
      <c r="F110" s="45" t="n">
        <v>105.93</v>
      </c>
      <c r="G110" s="45" t="n">
        <v>87.2</v>
      </c>
      <c r="H110" s="45" t="n">
        <v>119.01</v>
      </c>
      <c r="I110" s="45" t="n">
        <v>174.18</v>
      </c>
      <c r="J110" s="45" t="n">
        <v>113.78</v>
      </c>
      <c r="K110" s="45" t="n">
        <v>156.71</v>
      </c>
      <c r="L110" s="45" t="n">
        <v>230.87</v>
      </c>
      <c r="M110" s="45" t="n">
        <v>127.55</v>
      </c>
      <c r="N110" s="45" t="n">
        <v>391.02</v>
      </c>
      <c r="O110" s="45" t="n">
        <v>99.85</v>
      </c>
      <c r="P110" s="45"/>
      <c r="Q110" s="45" t="n">
        <v>64.91</v>
      </c>
      <c r="R110" s="45" t="n">
        <v>55.68</v>
      </c>
      <c r="S110" s="45" t="n">
        <v>116.48</v>
      </c>
      <c r="T110" s="45" t="n">
        <v>37.33</v>
      </c>
      <c r="U110" s="45"/>
    </row>
    <row r="111" customFormat="false" ht="15" hidden="false" customHeight="true" outlineLevel="0" collapsed="false">
      <c r="A111" s="44" t="n">
        <v>45905</v>
      </c>
      <c r="B111" s="45" t="n">
        <v>348.97</v>
      </c>
      <c r="C111" s="45" t="n">
        <v>142.85</v>
      </c>
      <c r="D111" s="45" t="n">
        <v>781.7</v>
      </c>
      <c r="E111" s="45" t="n">
        <v>334.89</v>
      </c>
      <c r="F111" s="45" t="n">
        <v>104.41</v>
      </c>
      <c r="G111" s="45" t="n">
        <v>90.51</v>
      </c>
      <c r="H111" s="45" t="n">
        <v>131.37</v>
      </c>
      <c r="I111" s="45" t="n">
        <v>167.02</v>
      </c>
      <c r="J111" s="45" t="n">
        <v>113.65</v>
      </c>
      <c r="K111" s="45" t="n">
        <v>153.11</v>
      </c>
      <c r="L111" s="45" t="n">
        <v>243.41</v>
      </c>
      <c r="M111" s="45" t="n">
        <v>124</v>
      </c>
      <c r="N111" s="45" t="n">
        <v>396.12</v>
      </c>
      <c r="O111" s="45" t="n">
        <v>100.94</v>
      </c>
      <c r="P111" s="45"/>
      <c r="Q111" s="45" t="n">
        <v>65.56</v>
      </c>
      <c r="R111" s="45" t="n">
        <v>55.78</v>
      </c>
      <c r="S111" s="45" t="n">
        <v>117.05</v>
      </c>
      <c r="T111" s="45" t="n">
        <v>37.61</v>
      </c>
      <c r="U111" s="45"/>
    </row>
    <row r="112" customFormat="false" ht="15" hidden="false" customHeight="true" outlineLevel="0" collapsed="false">
      <c r="A112" s="44" t="n">
        <v>45912</v>
      </c>
      <c r="B112" s="45" t="n">
        <v>349.36</v>
      </c>
      <c r="C112" s="45" t="n">
        <v>139.39</v>
      </c>
      <c r="D112" s="45" t="n">
        <v>813.87</v>
      </c>
      <c r="E112" s="45" t="n">
        <v>359.87</v>
      </c>
      <c r="F112" s="45" t="n">
        <v>109.03</v>
      </c>
      <c r="G112" s="45" t="n">
        <v>96.4</v>
      </c>
      <c r="H112" s="45" t="n">
        <v>157.23</v>
      </c>
      <c r="I112" s="45" t="n">
        <v>177.82</v>
      </c>
      <c r="J112" s="45" t="n">
        <v>115.35</v>
      </c>
      <c r="K112" s="45" t="n">
        <v>171.43</v>
      </c>
      <c r="L112" s="45" t="n">
        <v>259.33</v>
      </c>
      <c r="M112" s="45" t="n">
        <v>134.84</v>
      </c>
      <c r="N112" s="45" t="n">
        <v>394.53</v>
      </c>
      <c r="O112" s="45" t="n">
        <v>100.14</v>
      </c>
      <c r="P112" s="45"/>
      <c r="Q112" s="45" t="n">
        <v>65.6</v>
      </c>
      <c r="R112" s="45" t="n">
        <v>56.54</v>
      </c>
      <c r="S112" s="45" t="n">
        <v>120.48</v>
      </c>
      <c r="T112" s="45" t="n">
        <v>37.5</v>
      </c>
      <c r="U112" s="45"/>
    </row>
    <row r="113" customFormat="false" ht="15" hidden="false" customHeight="true" outlineLevel="0" collapsed="false">
      <c r="A113" s="44" t="n">
        <v>45919</v>
      </c>
      <c r="B113" s="45" t="n">
        <v>365.9</v>
      </c>
      <c r="C113" s="45" t="n">
        <v>149.61</v>
      </c>
      <c r="D113" s="45" t="n">
        <v>932.15</v>
      </c>
      <c r="E113" s="45" t="n">
        <v>344.94</v>
      </c>
      <c r="F113" s="45" t="n">
        <v>125.64</v>
      </c>
      <c r="G113" s="45" t="n">
        <v>104.48</v>
      </c>
      <c r="H113" s="45" t="n">
        <v>162.73</v>
      </c>
      <c r="I113" s="45" t="n">
        <v>176.67</v>
      </c>
      <c r="J113" s="45" t="n">
        <v>113.51</v>
      </c>
      <c r="K113" s="45" t="n">
        <v>182.39</v>
      </c>
      <c r="L113" s="45" t="n">
        <v>264.87</v>
      </c>
      <c r="M113" s="45" t="n">
        <v>143.6</v>
      </c>
      <c r="N113" s="45" t="n">
        <v>383.12</v>
      </c>
      <c r="O113" s="45" t="n">
        <v>100.71</v>
      </c>
      <c r="P113" s="45"/>
      <c r="Q113" s="45" t="n">
        <v>65.27</v>
      </c>
      <c r="R113" s="45" t="n">
        <v>57.16</v>
      </c>
      <c r="S113" s="45" t="n">
        <v>121.93</v>
      </c>
      <c r="T113" s="45" t="n">
        <v>37.45</v>
      </c>
      <c r="U113" s="45"/>
    </row>
    <row r="114" customFormat="false" ht="15" hidden="false" customHeight="true" outlineLevel="0" collapsed="false">
      <c r="A114" s="44" t="n">
        <v>45926</v>
      </c>
      <c r="B114" s="45" t="n">
        <v>360.37</v>
      </c>
      <c r="C114" s="45" t="n">
        <v>142.5</v>
      </c>
      <c r="D114" s="45" t="n">
        <v>951.52</v>
      </c>
      <c r="E114" s="45" t="n">
        <v>334.53</v>
      </c>
      <c r="F114" s="45" t="n">
        <v>120.36</v>
      </c>
      <c r="G114" s="45" t="n">
        <v>106.43</v>
      </c>
      <c r="H114" s="45" t="n">
        <v>157.27</v>
      </c>
      <c r="I114" s="45" t="n">
        <v>178.19</v>
      </c>
      <c r="J114" s="45" t="n">
        <v>114.19</v>
      </c>
      <c r="K114" s="45" t="n">
        <v>177.57</v>
      </c>
      <c r="L114" s="45" t="n">
        <v>273.36</v>
      </c>
      <c r="M114" s="45" t="n">
        <v>138.62</v>
      </c>
      <c r="N114" s="45" t="n">
        <v>385.74</v>
      </c>
      <c r="O114" s="45" t="n">
        <v>100.55</v>
      </c>
      <c r="P114" s="45"/>
      <c r="Q114" s="45" t="n">
        <v>65.37</v>
      </c>
      <c r="R114" s="45" t="n">
        <v>57.25</v>
      </c>
      <c r="S114" s="45" t="n">
        <v>120.58</v>
      </c>
      <c r="T114" s="45" t="n">
        <v>37.74</v>
      </c>
      <c r="U114" s="45"/>
    </row>
    <row r="115" customFormat="false" ht="15" hidden="false" customHeight="true" outlineLevel="0" collapsed="false">
      <c r="A115" s="44" t="n">
        <v>45933</v>
      </c>
      <c r="B115" s="45" t="n">
        <v>346.74</v>
      </c>
      <c r="C115" s="45" t="n">
        <v>145.5</v>
      </c>
      <c r="D115" s="45" t="n">
        <v>1032.22</v>
      </c>
      <c r="E115" s="45" t="n">
        <v>338.37</v>
      </c>
      <c r="F115" s="45" t="n">
        <v>122.47</v>
      </c>
      <c r="G115" s="45" t="n">
        <v>110.16</v>
      </c>
      <c r="H115" s="45" t="n">
        <v>187.83</v>
      </c>
      <c r="I115" s="45" t="n">
        <v>187.62</v>
      </c>
      <c r="J115" s="45" t="n">
        <v>117.06</v>
      </c>
      <c r="K115" s="45" t="n">
        <v>173.07</v>
      </c>
      <c r="L115" s="45" t="n">
        <v>292.19</v>
      </c>
      <c r="M115" s="45" t="n">
        <v>160.2</v>
      </c>
      <c r="N115" s="45" t="n">
        <v>403.3</v>
      </c>
      <c r="O115" s="45" t="n">
        <v>100.66</v>
      </c>
      <c r="P115" s="45"/>
      <c r="Q115" s="45" t="n">
        <v>64.79</v>
      </c>
      <c r="R115" s="45" t="n">
        <v>57.28</v>
      </c>
      <c r="S115" s="45" t="n">
        <v>120.09</v>
      </c>
      <c r="T115" s="45" t="n">
        <v>37.87</v>
      </c>
      <c r="U115" s="45"/>
    </row>
    <row r="116" customFormat="false" ht="15" hidden="false" customHeight="true" outlineLevel="0" collapsed="false">
      <c r="A116" s="44" t="n">
        <v>45940</v>
      </c>
      <c r="B116" s="45" t="n">
        <v>337.51</v>
      </c>
      <c r="C116" s="45" t="n">
        <v>154.1</v>
      </c>
      <c r="D116" s="45" t="n">
        <v>936.19</v>
      </c>
      <c r="E116" s="45" t="n">
        <v>324.63</v>
      </c>
      <c r="F116" s="45" t="n">
        <v>123.42</v>
      </c>
      <c r="G116" s="45" t="n">
        <v>98.28</v>
      </c>
      <c r="H116" s="45" t="n">
        <v>181.6</v>
      </c>
      <c r="I116" s="45" t="n">
        <v>183.16</v>
      </c>
      <c r="J116" s="45" t="n">
        <v>111.23</v>
      </c>
      <c r="K116" s="45" t="n">
        <v>175.44</v>
      </c>
      <c r="L116" s="45" t="n">
        <v>280.66</v>
      </c>
      <c r="M116" s="45" t="n">
        <v>169.01</v>
      </c>
      <c r="N116" s="45" t="n">
        <v>407.79</v>
      </c>
      <c r="O116" s="45" t="n">
        <v>95.19</v>
      </c>
      <c r="P116" s="45"/>
      <c r="Q116" s="45" t="n">
        <v>66.2</v>
      </c>
      <c r="R116" s="45" t="n">
        <v>56.33</v>
      </c>
      <c r="S116" s="45" t="n">
        <v>118.5</v>
      </c>
      <c r="T116" s="45" t="n">
        <v>36.58</v>
      </c>
      <c r="U116" s="45"/>
    </row>
    <row r="117" customFormat="false" ht="15" hidden="false" customHeight="true" outlineLevel="0" collapsed="false">
      <c r="A117" s="44" t="n">
        <v>45947</v>
      </c>
      <c r="B117" s="45" t="n">
        <v>333.26</v>
      </c>
      <c r="C117" s="45" t="n">
        <v>143.1</v>
      </c>
      <c r="D117" s="45" t="n">
        <v>1029.27</v>
      </c>
      <c r="E117" s="45" t="n">
        <v>349.33</v>
      </c>
      <c r="F117" s="45" t="n">
        <v>121.16</v>
      </c>
      <c r="G117" s="45" t="n">
        <v>110.67</v>
      </c>
      <c r="H117" s="45" t="n">
        <v>202.38</v>
      </c>
      <c r="I117" s="45" t="n">
        <v>183.22</v>
      </c>
      <c r="J117" s="45" t="n">
        <v>124.08</v>
      </c>
      <c r="K117" s="45" t="n">
        <v>178.15</v>
      </c>
      <c r="L117" s="45" t="n">
        <v>295.08</v>
      </c>
      <c r="M117" s="45" t="n">
        <v>174</v>
      </c>
      <c r="N117" s="45" t="n">
        <v>416.81</v>
      </c>
      <c r="O117" s="45" t="n">
        <v>97.06</v>
      </c>
      <c r="P117" s="45"/>
      <c r="Q117" s="45" t="n">
        <v>66.35</v>
      </c>
      <c r="R117" s="45" t="n">
        <v>57.48</v>
      </c>
      <c r="S117" s="45" t="n">
        <v>120.42</v>
      </c>
      <c r="T117" s="45" t="n">
        <v>37.09</v>
      </c>
      <c r="U117" s="45"/>
    </row>
    <row r="118" customFormat="false" ht="15" hidden="false" customHeight="true" outlineLevel="0" collapsed="false">
      <c r="A118" s="44" t="n">
        <v>45954</v>
      </c>
      <c r="B118" s="45" t="n">
        <v>353.52</v>
      </c>
      <c r="C118" s="45" t="n">
        <v>153.82</v>
      </c>
      <c r="D118" s="45" t="n">
        <v>1033.1</v>
      </c>
      <c r="E118" s="45" t="n">
        <v>354.13</v>
      </c>
      <c r="F118" s="45" t="n">
        <v>131.83</v>
      </c>
      <c r="G118" s="45" t="n">
        <v>118.28</v>
      </c>
      <c r="H118" s="45" t="n">
        <v>219.02</v>
      </c>
      <c r="I118" s="45" t="n">
        <v>186.26</v>
      </c>
      <c r="J118" s="45" t="n">
        <v>126.43</v>
      </c>
      <c r="K118" s="45" t="n">
        <v>184.63</v>
      </c>
      <c r="L118" s="45" t="n">
        <v>294.96</v>
      </c>
      <c r="M118" s="45" t="n">
        <v>186.06</v>
      </c>
      <c r="N118" s="45" t="n">
        <v>421.39</v>
      </c>
      <c r="O118" s="45" t="n">
        <v>99.91</v>
      </c>
      <c r="P118" s="45"/>
      <c r="Q118" s="45" t="n">
        <v>66.27</v>
      </c>
      <c r="R118" s="45" t="n">
        <v>58.55</v>
      </c>
      <c r="S118" s="45" t="n">
        <v>121.71</v>
      </c>
      <c r="T118" s="45" t="n">
        <v>38.06</v>
      </c>
      <c r="U118" s="45"/>
    </row>
    <row r="119" customFormat="false" ht="15" hidden="false" customHeight="true" outlineLevel="0" collapsed="false">
      <c r="A119" s="44" t="n">
        <v>45961</v>
      </c>
      <c r="B119" s="45" t="n">
        <v>340.31</v>
      </c>
      <c r="C119" s="45" t="n">
        <v>157.69</v>
      </c>
      <c r="D119" s="45" t="n">
        <v>1059.23</v>
      </c>
      <c r="E119" s="45" t="n">
        <v>369.63</v>
      </c>
      <c r="F119" s="45" t="n">
        <v>135.75</v>
      </c>
      <c r="G119" s="45" t="n">
        <v>120.87</v>
      </c>
      <c r="H119" s="45" t="n">
        <v>223.77</v>
      </c>
      <c r="I119" s="45" t="n">
        <v>202.49</v>
      </c>
      <c r="J119" s="45" t="n">
        <v>124.09</v>
      </c>
      <c r="K119" s="45" t="n">
        <v>200.47</v>
      </c>
      <c r="L119" s="45" t="n">
        <v>300.43</v>
      </c>
      <c r="M119" s="45" t="n">
        <v>192.86</v>
      </c>
      <c r="N119" s="45" t="n">
        <v>425.57</v>
      </c>
      <c r="O119" s="45" t="n">
        <v>97.8</v>
      </c>
      <c r="P119" s="45"/>
      <c r="Q119" s="45" t="n">
        <v>66.29</v>
      </c>
      <c r="R119" s="45" t="n">
        <v>59.1</v>
      </c>
      <c r="S119" s="45" t="n">
        <v>121.7</v>
      </c>
      <c r="T119" s="45" t="n">
        <v>37.82</v>
      </c>
      <c r="U119" s="45"/>
    </row>
    <row r="120" customFormat="false" ht="15" hidden="false" customHeight="true" outlineLevel="0" collapsed="false">
      <c r="A120" s="44" t="n">
        <v>45968</v>
      </c>
      <c r="B120" s="45" t="n">
        <v>326.95</v>
      </c>
      <c r="C120" s="45" t="n">
        <v>134.65</v>
      </c>
      <c r="D120" s="45" t="n">
        <v>1016.96</v>
      </c>
      <c r="E120" s="45" t="n">
        <v>349.43</v>
      </c>
      <c r="F120" s="45" t="n">
        <v>134.95</v>
      </c>
      <c r="G120" s="45" t="n">
        <v>119.34</v>
      </c>
      <c r="H120" s="45" t="n">
        <v>237.92</v>
      </c>
      <c r="I120" s="45" t="n">
        <v>188.15</v>
      </c>
      <c r="J120" s="45" t="n">
        <v>125.6</v>
      </c>
      <c r="K120" s="45" t="n">
        <v>177.93</v>
      </c>
      <c r="L120" s="45" t="n">
        <v>286.5</v>
      </c>
      <c r="M120" s="45" t="n">
        <v>179.8</v>
      </c>
      <c r="N120" s="45" t="n">
        <v>409.47</v>
      </c>
      <c r="O120" s="45" t="n">
        <v>97.74</v>
      </c>
      <c r="P120" s="45"/>
      <c r="Q120" s="45" t="n">
        <v>67</v>
      </c>
      <c r="R120" s="45" t="n">
        <v>57.71</v>
      </c>
      <c r="S120" s="45" t="n">
        <v>118.53</v>
      </c>
      <c r="T120" s="45" t="n">
        <v>37.88</v>
      </c>
      <c r="U120" s="45"/>
    </row>
    <row r="121" customFormat="false" ht="15" hidden="false" customHeight="true" outlineLevel="0" collapsed="false">
      <c r="A121" s="44" t="n">
        <v>45975</v>
      </c>
      <c r="B121" s="45" t="n">
        <v>331.11</v>
      </c>
      <c r="C121" s="45" t="n">
        <v>131.37</v>
      </c>
      <c r="D121" s="45" t="n">
        <v>1006.98</v>
      </c>
      <c r="E121" s="45" t="n">
        <v>342.46</v>
      </c>
      <c r="F121" s="45" t="n">
        <v>134.39</v>
      </c>
      <c r="G121" s="45" t="n">
        <v>113.43</v>
      </c>
      <c r="H121" s="45" t="n">
        <v>246.83</v>
      </c>
      <c r="I121" s="45" t="n">
        <v>190.17</v>
      </c>
      <c r="J121" s="45" t="n">
        <v>122.83</v>
      </c>
      <c r="K121" s="45" t="n">
        <v>174.01</v>
      </c>
      <c r="L121" s="45" t="n">
        <v>284.82</v>
      </c>
      <c r="M121" s="45" t="n">
        <v>170.97</v>
      </c>
      <c r="N121" s="45" t="n">
        <v>437.15</v>
      </c>
      <c r="O121" s="45" t="n">
        <v>97.59</v>
      </c>
      <c r="P121" s="45"/>
      <c r="Q121" s="45" t="n">
        <v>66.44</v>
      </c>
      <c r="R121" s="45" t="n">
        <v>57.82</v>
      </c>
      <c r="S121" s="45" t="n">
        <v>117.83</v>
      </c>
      <c r="T121" s="45" t="n">
        <v>38.3</v>
      </c>
      <c r="U121" s="45"/>
    </row>
    <row r="122" customFormat="false" ht="15" hidden="false" customHeight="true" outlineLevel="0" collapsed="false">
      <c r="A122" s="44" t="n">
        <v>45982</v>
      </c>
      <c r="B122" s="45" t="n">
        <v>324.19</v>
      </c>
      <c r="C122" s="45" t="n">
        <v>117.43</v>
      </c>
      <c r="D122" s="45" t="n">
        <v>966.57</v>
      </c>
      <c r="E122" s="45" t="n">
        <v>340.2</v>
      </c>
      <c r="F122" s="45" t="n">
        <v>122.67</v>
      </c>
      <c r="G122" s="45" t="n">
        <v>109.71</v>
      </c>
      <c r="H122" s="45" t="n">
        <v>207.37</v>
      </c>
      <c r="I122" s="45" t="n">
        <v>178.88</v>
      </c>
      <c r="J122" s="45" t="n">
        <v>125.79</v>
      </c>
      <c r="K122" s="45" t="n">
        <v>154.85</v>
      </c>
      <c r="L122" s="45" t="n">
        <v>275.06</v>
      </c>
      <c r="M122" s="45" t="n">
        <v>159.83</v>
      </c>
      <c r="N122" s="45" t="n">
        <v>426.76</v>
      </c>
      <c r="O122" s="45" t="n">
        <v>96.83</v>
      </c>
      <c r="P122" s="45"/>
      <c r="Q122" s="45" t="n">
        <v>67.05</v>
      </c>
      <c r="R122" s="45" t="n">
        <v>56.24</v>
      </c>
      <c r="S122" s="45" t="n">
        <v>114.3</v>
      </c>
      <c r="T122" s="45" t="n">
        <v>37.53</v>
      </c>
      <c r="U122" s="45"/>
    </row>
    <row r="123" customFormat="false" ht="15" hidden="false" customHeight="true" outlineLevel="0" collapsed="false">
      <c r="A123" s="44" t="n">
        <v>45989</v>
      </c>
      <c r="B123" s="45" t="n">
        <v>320.13</v>
      </c>
      <c r="C123" s="45" t="n">
        <v>130.68</v>
      </c>
      <c r="D123" s="45" t="n">
        <v>1060</v>
      </c>
      <c r="E123" s="45" t="n">
        <v>402.96</v>
      </c>
      <c r="F123" s="45" t="n">
        <v>127.29</v>
      </c>
      <c r="G123" s="45" t="n">
        <v>117.55</v>
      </c>
      <c r="H123" s="45" t="n">
        <v>236.48</v>
      </c>
      <c r="I123" s="45" t="n">
        <v>177</v>
      </c>
      <c r="J123" s="45" t="n">
        <v>128.53</v>
      </c>
      <c r="K123" s="45" t="n">
        <v>168.45</v>
      </c>
      <c r="L123" s="45" t="n">
        <v>291.51</v>
      </c>
      <c r="M123" s="45" t="n">
        <v>179.73</v>
      </c>
      <c r="N123" s="45" t="n">
        <v>433.61</v>
      </c>
      <c r="O123" s="45" t="n">
        <v>101.13</v>
      </c>
      <c r="P123" s="45"/>
      <c r="Q123" s="45" t="n">
        <v>66.74</v>
      </c>
      <c r="R123" s="45" t="n">
        <v>58.81</v>
      </c>
      <c r="S123" s="45" t="n">
        <v>120.12</v>
      </c>
      <c r="T123" s="45" t="n">
        <v>38.82</v>
      </c>
      <c r="U123" s="45"/>
    </row>
    <row r="124" customFormat="false" ht="15" hidden="false" customHeight="true" outlineLevel="0" collapsed="false">
      <c r="A124" s="44" t="n">
        <v>45996</v>
      </c>
      <c r="B124" s="45" t="n">
        <v>346.26</v>
      </c>
      <c r="C124" s="45" t="n">
        <v>128.59</v>
      </c>
      <c r="D124" s="45" t="n">
        <v>1099.47</v>
      </c>
      <c r="E124" s="45" t="n">
        <v>390.24</v>
      </c>
      <c r="F124" s="45" t="n">
        <v>128.01</v>
      </c>
      <c r="G124" s="45" t="n">
        <v>121.45</v>
      </c>
      <c r="H124" s="45" t="n">
        <v>237.22</v>
      </c>
      <c r="I124" s="45" t="n">
        <v>182.41</v>
      </c>
      <c r="J124" s="45" t="n">
        <v>127.98</v>
      </c>
      <c r="K124" s="45" t="n">
        <v>181.76</v>
      </c>
      <c r="L124" s="45" t="n">
        <v>294.72</v>
      </c>
      <c r="M124" s="45" t="n">
        <v>189.02</v>
      </c>
      <c r="N124" s="45" t="n">
        <v>455.48</v>
      </c>
      <c r="O124" s="45" t="n">
        <v>102.9</v>
      </c>
      <c r="P124" s="45"/>
      <c r="Q124" s="45" t="n">
        <v>66.72</v>
      </c>
      <c r="R124" s="45" t="n">
        <v>58.82</v>
      </c>
      <c r="S124" s="45" t="n">
        <v>120.85</v>
      </c>
      <c r="T124" s="45" t="n">
        <v>39.42</v>
      </c>
      <c r="U124" s="45"/>
    </row>
    <row r="125" customFormat="false" ht="15" hidden="false" customHeight="true" outlineLevel="0" collapsed="false">
      <c r="A125" s="44" t="n">
        <v>46003</v>
      </c>
      <c r="B125" s="45" t="n">
        <v>356.43</v>
      </c>
      <c r="C125" s="45" t="n">
        <v>124.76</v>
      </c>
      <c r="D125" s="45" t="n">
        <v>1080.85</v>
      </c>
      <c r="E125" s="45" t="n">
        <v>359.93</v>
      </c>
      <c r="F125" s="45" t="n">
        <v>126.2</v>
      </c>
      <c r="G125" s="45" t="n">
        <v>119.39</v>
      </c>
      <c r="H125" s="45" t="n">
        <v>241.14</v>
      </c>
      <c r="I125" s="45" t="n">
        <v>175.02</v>
      </c>
      <c r="J125" s="45" t="n">
        <v>130.18</v>
      </c>
      <c r="K125" s="45" t="n">
        <v>183.57</v>
      </c>
      <c r="L125" s="45" t="n">
        <v>292.04</v>
      </c>
      <c r="M125" s="45" t="n">
        <v>161.27</v>
      </c>
      <c r="N125" s="45" t="n">
        <v>452.04</v>
      </c>
      <c r="O125" s="45" t="n">
        <v>105.11</v>
      </c>
      <c r="P125" s="45"/>
      <c r="Q125" s="45" t="n">
        <v>66.97</v>
      </c>
      <c r="R125" s="45" t="n">
        <v>58.18</v>
      </c>
      <c r="S125" s="45" t="n">
        <v>119.1</v>
      </c>
      <c r="T125" s="45" t="n">
        <v>39.7</v>
      </c>
      <c r="U125" s="45"/>
    </row>
    <row r="126" customFormat="false" ht="15" hidden="false" customHeight="true" outlineLevel="0" collapsed="false">
      <c r="A126" s="44" t="n">
        <v>46010</v>
      </c>
      <c r="B126" s="45" t="n">
        <v>355.86</v>
      </c>
      <c r="C126" s="45" t="n">
        <v>131.12</v>
      </c>
      <c r="D126" s="45" t="n">
        <v>1056.02</v>
      </c>
      <c r="E126" s="45" t="n">
        <v>340.36</v>
      </c>
      <c r="F126" s="45" t="n">
        <v>120.32</v>
      </c>
      <c r="G126" s="45" t="n">
        <v>124.57</v>
      </c>
      <c r="H126" s="45" t="n">
        <v>265.92</v>
      </c>
      <c r="I126" s="45" t="n">
        <v>180.99</v>
      </c>
      <c r="J126" s="45" t="n">
        <v>127.23</v>
      </c>
      <c r="K126" s="45" t="n">
        <v>193.38</v>
      </c>
      <c r="L126" s="45" t="n">
        <v>288.95</v>
      </c>
      <c r="M126" s="45" t="n">
        <v>159.82</v>
      </c>
      <c r="N126" s="45" t="n">
        <v>456.2</v>
      </c>
      <c r="O126" s="45" t="n">
        <v>103.78</v>
      </c>
      <c r="P126" s="45"/>
      <c r="Q126" s="45" t="n">
        <v>67.16</v>
      </c>
      <c r="R126" s="45" t="n">
        <v>58.62</v>
      </c>
      <c r="S126" s="45" t="n">
        <v>119.53</v>
      </c>
      <c r="T126" s="45" t="n">
        <v>39.53</v>
      </c>
      <c r="U126" s="45"/>
    </row>
    <row r="127" customFormat="false" ht="15" hidden="false" customHeight="true" outlineLevel="0" collapsed="false">
      <c r="A127" s="44" t="n">
        <v>46017</v>
      </c>
      <c r="B127" s="45" t="n">
        <v>353.8</v>
      </c>
      <c r="C127" s="45" t="n">
        <v>131.84</v>
      </c>
      <c r="D127" s="45" t="n">
        <v>1072.75</v>
      </c>
      <c r="E127" s="45" t="n">
        <v>352.13</v>
      </c>
      <c r="F127" s="45" t="n">
        <v>120.3</v>
      </c>
      <c r="G127" s="45" t="n">
        <v>127.96</v>
      </c>
      <c r="H127" s="45" t="n">
        <v>284.79</v>
      </c>
      <c r="I127" s="45" t="n">
        <v>190.53</v>
      </c>
      <c r="J127" s="45" t="n">
        <v>128.71</v>
      </c>
      <c r="K127" s="45" t="n">
        <v>188.71</v>
      </c>
      <c r="L127" s="45" t="n">
        <v>302.84</v>
      </c>
      <c r="M127" s="45" t="n">
        <v>167.58</v>
      </c>
      <c r="N127" s="45" t="n">
        <v>462.9</v>
      </c>
      <c r="O127" s="45" t="n">
        <v>103.69</v>
      </c>
      <c r="P127" s="45"/>
      <c r="Q127" s="45" t="n">
        <v>66.57</v>
      </c>
      <c r="R127" s="45" t="n">
        <v>59.34</v>
      </c>
      <c r="S127" s="45" t="n">
        <v>121.38</v>
      </c>
      <c r="T127" s="45" t="n">
        <v>39.79</v>
      </c>
      <c r="U127" s="45"/>
    </row>
    <row r="128" customFormat="false" ht="15" hidden="false" customHeight="true" outlineLevel="0" collapsed="false">
      <c r="A128" s="44" t="n">
        <v>46024</v>
      </c>
      <c r="B128" s="45" t="n">
        <v>333.3</v>
      </c>
      <c r="C128" s="45" t="n">
        <v>133.6</v>
      </c>
      <c r="D128" s="45" t="n">
        <v>1163.78</v>
      </c>
      <c r="E128" s="45" t="n">
        <v>347.62</v>
      </c>
      <c r="F128" s="45" t="n">
        <v>113.4</v>
      </c>
      <c r="G128" s="45" t="n">
        <v>127.45</v>
      </c>
      <c r="H128" s="45" t="n">
        <v>315.42</v>
      </c>
      <c r="I128" s="45" t="n">
        <v>188.85</v>
      </c>
      <c r="J128" s="45" t="n">
        <v>129.05</v>
      </c>
      <c r="K128" s="45" t="n">
        <v>167.86</v>
      </c>
      <c r="L128" s="45" t="n">
        <v>319.61</v>
      </c>
      <c r="M128" s="45" t="n">
        <v>175.61</v>
      </c>
      <c r="N128" s="45" t="n">
        <v>452.13</v>
      </c>
      <c r="O128" s="45" t="n">
        <v>103.12</v>
      </c>
      <c r="P128" s="45"/>
      <c r="Q128" s="45" t="n">
        <v>67.03</v>
      </c>
      <c r="R128" s="45" t="n">
        <v>58.09</v>
      </c>
      <c r="S128" s="45" t="n">
        <v>119.67</v>
      </c>
      <c r="T128" s="45" t="n">
        <v>39.42</v>
      </c>
      <c r="U128" s="45"/>
    </row>
    <row r="129" customFormat="false" ht="15" hidden="false" customHeight="true" outlineLevel="0" collapsed="false">
      <c r="A129" s="44" t="n">
        <v>46031</v>
      </c>
      <c r="B129" s="45" t="n">
        <v>333.95</v>
      </c>
      <c r="C129" s="45" t="n">
        <v>122.89</v>
      </c>
      <c r="D129" s="45" t="n">
        <v>1273.88</v>
      </c>
      <c r="E129" s="45" t="n">
        <v>344.97</v>
      </c>
      <c r="F129" s="45" t="n">
        <v>117.65</v>
      </c>
      <c r="G129" s="45" t="n">
        <v>140</v>
      </c>
      <c r="H129" s="45" t="n">
        <v>345.09</v>
      </c>
      <c r="I129" s="45" t="n">
        <v>184.86</v>
      </c>
      <c r="J129" s="45" t="n">
        <v>129.4</v>
      </c>
      <c r="K129" s="45" t="n">
        <v>177.49</v>
      </c>
      <c r="L129" s="45" t="n">
        <v>323.63</v>
      </c>
      <c r="M129" s="45" t="n">
        <v>163.58</v>
      </c>
      <c r="N129" s="45" t="n">
        <v>463.86</v>
      </c>
      <c r="O129" s="45" t="n">
        <v>107.33</v>
      </c>
      <c r="P129" s="45"/>
      <c r="Q129" s="45" t="n">
        <v>66.64</v>
      </c>
      <c r="R129" s="45" t="n">
        <v>59.16</v>
      </c>
      <c r="S129" s="45" t="n">
        <v>120.03</v>
      </c>
      <c r="T129" s="45" t="n">
        <v>40.43</v>
      </c>
      <c r="U129" s="45"/>
    </row>
    <row r="130" customFormat="false" ht="15" hidden="false" customHeight="true" outlineLevel="0" collapsed="false">
      <c r="A130" s="44" t="n">
        <v>46038</v>
      </c>
      <c r="B130" s="45" t="n">
        <v>296.12</v>
      </c>
      <c r="C130" s="45" t="n">
        <v>129.83</v>
      </c>
      <c r="D130" s="45" t="n">
        <v>1358.57</v>
      </c>
      <c r="E130" s="45" t="n">
        <v>351.71</v>
      </c>
      <c r="F130" s="45" t="n">
        <v>113.47</v>
      </c>
      <c r="G130" s="45" t="n">
        <v>156.78</v>
      </c>
      <c r="H130" s="45" t="n">
        <v>362.75</v>
      </c>
      <c r="I130" s="45" t="n">
        <v>186.23</v>
      </c>
      <c r="J130" s="45" t="n">
        <v>133.21</v>
      </c>
      <c r="K130" s="45" t="n">
        <v>170.96</v>
      </c>
      <c r="L130" s="45" t="n">
        <v>342.4</v>
      </c>
      <c r="M130" s="45" t="n">
        <v>176.93</v>
      </c>
      <c r="N130" s="45" t="n">
        <v>441.36</v>
      </c>
      <c r="O130" s="45" t="n">
        <v>108.51</v>
      </c>
      <c r="P130" s="45"/>
      <c r="Q130" s="45" t="n">
        <v>65.89</v>
      </c>
      <c r="R130" s="45" t="n">
        <v>58.92</v>
      </c>
      <c r="S130" s="45" t="n">
        <v>120</v>
      </c>
      <c r="T130" s="45" t="n">
        <v>39.61</v>
      </c>
      <c r="U130" s="45"/>
    </row>
    <row r="131" customFormat="false" ht="15" hidden="false" customHeight="true" outlineLevel="0" collapsed="false">
      <c r="A131" s="44" t="n">
        <v>46045</v>
      </c>
      <c r="B131" s="45" t="n">
        <v>301.07</v>
      </c>
      <c r="C131" s="45" t="n">
        <v>136.34</v>
      </c>
      <c r="D131" s="45" t="n">
        <v>1389.04</v>
      </c>
      <c r="E131" s="45" t="n">
        <v>320.05</v>
      </c>
      <c r="F131" s="45" t="n">
        <v>113.12</v>
      </c>
      <c r="G131" s="45" t="n">
        <v>151.28</v>
      </c>
      <c r="H131" s="45" t="n">
        <v>399.65</v>
      </c>
      <c r="I131" s="45" t="n">
        <v>187.67</v>
      </c>
      <c r="J131" s="45" t="n">
        <v>127.15</v>
      </c>
      <c r="K131" s="45" t="n">
        <v>169.6</v>
      </c>
      <c r="L131" s="45" t="n">
        <v>334.87</v>
      </c>
      <c r="M131" s="45" t="n">
        <v>182.49</v>
      </c>
      <c r="N131" s="45" t="n">
        <v>468.41</v>
      </c>
      <c r="O131" s="45" t="n">
        <v>108.49</v>
      </c>
      <c r="P131" s="45"/>
      <c r="Q131" s="45" t="n">
        <v>65.01</v>
      </c>
      <c r="R131" s="45" t="n">
        <v>59.22</v>
      </c>
      <c r="S131" s="45" t="n">
        <v>117.92</v>
      </c>
      <c r="T131" s="45" t="n">
        <v>39.86</v>
      </c>
      <c r="U131" s="45"/>
    </row>
    <row r="132" customFormat="false" ht="15" hidden="false" customHeight="true" outlineLevel="0" collapsed="false">
      <c r="A132" s="44" t="n">
        <v>46052</v>
      </c>
      <c r="B132" s="45" t="n">
        <v>293.25</v>
      </c>
      <c r="C132" s="45" t="n">
        <v>141.74</v>
      </c>
      <c r="D132" s="45" t="n">
        <v>1423</v>
      </c>
      <c r="E132" s="45" t="n">
        <v>331.3</v>
      </c>
      <c r="F132" s="45" t="n">
        <v>110.35</v>
      </c>
      <c r="G132" s="45" t="n">
        <v>142.79</v>
      </c>
      <c r="H132" s="45" t="n">
        <v>414.88</v>
      </c>
      <c r="I132" s="45" t="n">
        <v>191.13</v>
      </c>
      <c r="J132" s="45" t="n">
        <v>130.56</v>
      </c>
      <c r="K132" s="45" t="n">
        <v>146.59</v>
      </c>
      <c r="L132" s="45" t="n">
        <v>330.56</v>
      </c>
      <c r="M132" s="45" t="n">
        <v>186.18</v>
      </c>
      <c r="N132" s="45" t="n">
        <v>469.9</v>
      </c>
      <c r="O132" s="45" t="n">
        <v>109.27</v>
      </c>
      <c r="P132" s="45"/>
      <c r="Q132" s="45" t="n">
        <v>64.28</v>
      </c>
      <c r="R132" s="45" t="n">
        <v>59.43</v>
      </c>
      <c r="S132" s="45" t="n">
        <v>119.87</v>
      </c>
      <c r="T132" s="45" t="n">
        <v>39.47</v>
      </c>
      <c r="U132" s="45"/>
    </row>
    <row r="133" customFormat="false" ht="15" hidden="false" customHeight="true" outlineLevel="0" collapsed="false">
      <c r="A133" s="44" t="n">
        <v>46059</v>
      </c>
      <c r="B133" s="45" t="n">
        <v>268.38</v>
      </c>
      <c r="C133" s="45" t="n">
        <v>137.49</v>
      </c>
      <c r="D133" s="45" t="n">
        <v>1413.01</v>
      </c>
      <c r="E133" s="45" t="n">
        <v>332.92</v>
      </c>
      <c r="F133" s="45" t="n">
        <v>98.88</v>
      </c>
      <c r="G133" s="45" t="n">
        <v>144.29</v>
      </c>
      <c r="H133" s="45" t="n">
        <v>394.69</v>
      </c>
      <c r="I133" s="45" t="n">
        <v>185.41</v>
      </c>
      <c r="J133" s="45" t="n">
        <v>136.95</v>
      </c>
      <c r="K133" s="45" t="n">
        <v>135.9</v>
      </c>
      <c r="L133" s="45" t="n">
        <v>348.85</v>
      </c>
      <c r="M133" s="45" t="n">
        <v>195.58</v>
      </c>
      <c r="N133" s="45" t="n">
        <v>477.92</v>
      </c>
      <c r="O133" s="45" t="n">
        <v>115.19</v>
      </c>
      <c r="P133" s="45"/>
      <c r="Q133" s="45" t="n">
        <v>63.39</v>
      </c>
      <c r="R133" s="45" t="n">
        <v>58.05</v>
      </c>
      <c r="S133" s="45" t="n">
        <v>119.84</v>
      </c>
      <c r="T133" s="45" t="n">
        <v>40.43</v>
      </c>
      <c r="U133" s="45"/>
    </row>
    <row r="134" customFormat="false" ht="15" hidden="false" customHeight="true" outlineLevel="0" collapsed="false">
      <c r="A134" s="44" t="n">
        <v>46066</v>
      </c>
      <c r="B134" s="45" t="n">
        <v>263.97</v>
      </c>
      <c r="C134" s="45" t="n">
        <v>141.59</v>
      </c>
      <c r="D134" s="45" t="n">
        <v>1406.61</v>
      </c>
      <c r="E134" s="45" t="n">
        <v>325.17</v>
      </c>
      <c r="F134" s="45" t="n">
        <v>107.41</v>
      </c>
      <c r="G134" s="45" t="n">
        <v>146.41</v>
      </c>
      <c r="H134" s="45" t="n">
        <v>411.66</v>
      </c>
      <c r="I134" s="45" t="n">
        <v>182.81</v>
      </c>
      <c r="J134" s="45" t="n">
        <v>138.97</v>
      </c>
      <c r="K134" s="45" t="n">
        <v>131.41</v>
      </c>
      <c r="L134" s="45" t="n">
        <v>366.36</v>
      </c>
      <c r="M134" s="45" t="n">
        <v>234.53</v>
      </c>
      <c r="N134" s="45" t="n">
        <v>491.47</v>
      </c>
      <c r="O134" s="45" t="n">
        <v>114.9</v>
      </c>
      <c r="P134" s="45"/>
      <c r="Q134" s="45" t="n">
        <v>64.13</v>
      </c>
      <c r="R134" s="45" t="n">
        <v>57.51</v>
      </c>
      <c r="S134" s="45" t="n">
        <v>118.25</v>
      </c>
      <c r="T134" s="45" t="n">
        <v>40.26</v>
      </c>
      <c r="U134" s="45"/>
    </row>
    <row r="135" customFormat="false" ht="15" hidden="false" customHeight="true" outlineLevel="0" collapsed="false">
      <c r="A135" s="44" t="n">
        <v>46073</v>
      </c>
      <c r="B135" s="45" t="n">
        <v>258.61</v>
      </c>
      <c r="C135" s="45" t="n">
        <v>132.79</v>
      </c>
      <c r="D135" s="45" t="n">
        <v>1469.59</v>
      </c>
      <c r="E135" s="45" t="n">
        <v>332.65</v>
      </c>
      <c r="F135" s="45" t="n">
        <v>97.15</v>
      </c>
      <c r="G135" s="45" t="n">
        <v>149.6</v>
      </c>
      <c r="H135" s="45" t="n">
        <v>428.17</v>
      </c>
      <c r="I135" s="45" t="n">
        <v>189.82</v>
      </c>
      <c r="J135" s="45" t="n">
        <v>141.51</v>
      </c>
      <c r="K135" s="45" t="n">
        <v>135.24</v>
      </c>
      <c r="L135" s="45" t="n">
        <v>370.54</v>
      </c>
      <c r="M135" s="45" t="n">
        <v>243.75</v>
      </c>
      <c r="N135" s="45" t="n">
        <v>476.9</v>
      </c>
      <c r="O135" s="45" t="n">
        <v>115.54</v>
      </c>
      <c r="P135" s="45"/>
      <c r="Q135" s="45" t="n">
        <v>65.44</v>
      </c>
      <c r="R135" s="45" t="n">
        <v>58.15</v>
      </c>
      <c r="S135" s="45" t="n">
        <v>119.96</v>
      </c>
      <c r="T135" s="45" t="n">
        <v>40.34</v>
      </c>
      <c r="U135" s="45"/>
    </row>
    <row r="136" customFormat="false" ht="15" hidden="false" customHeight="true" outlineLevel="0" collapsed="false">
      <c r="A136" s="44" t="n">
        <v>46080</v>
      </c>
      <c r="B136" s="45" t="n">
        <v>262.41</v>
      </c>
      <c r="C136" s="45" t="n">
        <v>133.5</v>
      </c>
      <c r="D136" s="45" t="n">
        <v>1450.56</v>
      </c>
      <c r="E136" s="45" t="n">
        <v>319.55</v>
      </c>
      <c r="F136" s="45" t="n">
        <v>93</v>
      </c>
      <c r="G136" s="45" t="n">
        <v>152.46</v>
      </c>
      <c r="H136" s="45" t="n">
        <v>412.37</v>
      </c>
      <c r="I136" s="45" t="n">
        <v>177.19</v>
      </c>
      <c r="J136" s="45" t="n">
        <v>142.57</v>
      </c>
      <c r="K136" s="45" t="n">
        <v>137.19</v>
      </c>
      <c r="L136" s="45" t="n">
        <v>374.58</v>
      </c>
      <c r="M136" s="45" t="n">
        <v>254.89</v>
      </c>
      <c r="N136" s="45" t="n">
        <v>496.83</v>
      </c>
      <c r="O136" s="45" t="n">
        <v>112.98</v>
      </c>
      <c r="P136" s="45"/>
      <c r="Q136" s="45" t="n">
        <v>67.12</v>
      </c>
      <c r="R136" s="45" t="n">
        <v>58.04</v>
      </c>
      <c r="S136" s="45" t="n">
        <v>119.47</v>
      </c>
      <c r="T136" s="45" t="n">
        <v>40.48</v>
      </c>
      <c r="U136" s="45"/>
    </row>
    <row r="137" customFormat="false" ht="15" hidden="false" customHeight="true" outlineLevel="0" collapsed="false">
      <c r="A137" s="44" t="n">
        <v>46087</v>
      </c>
      <c r="B137" s="45" t="n">
        <v>283.62</v>
      </c>
      <c r="C137" s="45" t="n">
        <v>132.89</v>
      </c>
      <c r="D137" s="45" t="n">
        <v>1292.8</v>
      </c>
      <c r="E137" s="45" t="n">
        <v>330.48</v>
      </c>
      <c r="F137" s="45" t="n">
        <v>107.25</v>
      </c>
      <c r="G137" s="45" t="n">
        <v>134.46</v>
      </c>
      <c r="H137" s="45" t="n">
        <v>370.3</v>
      </c>
      <c r="I137" s="45" t="n">
        <v>177.82</v>
      </c>
      <c r="J137" s="45" t="n">
        <v>134.54</v>
      </c>
      <c r="K137" s="45" t="n">
        <v>157.16</v>
      </c>
      <c r="L137" s="45" t="n">
        <v>338.89</v>
      </c>
      <c r="M137" s="45" t="n">
        <v>241.78</v>
      </c>
      <c r="N137" s="45" t="n">
        <v>456.69</v>
      </c>
      <c r="O137" s="45" t="n">
        <v>108.65</v>
      </c>
      <c r="P137" s="45"/>
      <c r="Q137" s="45" t="n">
        <v>67.27</v>
      </c>
      <c r="R137" s="45" t="n">
        <v>56.85</v>
      </c>
      <c r="S137" s="45" t="n">
        <v>118.24</v>
      </c>
      <c r="T137" s="45" t="n">
        <v>40.11</v>
      </c>
      <c r="U137" s="45"/>
    </row>
    <row r="138" customFormat="false" ht="15" hidden="false" customHeight="true" outlineLevel="0" collapsed="false">
      <c r="A138" s="44" t="n">
        <v>46094</v>
      </c>
      <c r="B138" s="45" t="n">
        <v>249.32</v>
      </c>
      <c r="C138" s="45" t="n">
        <v>133.57</v>
      </c>
      <c r="D138" s="45" t="n">
        <v>1345.69</v>
      </c>
      <c r="E138" s="45" t="n">
        <v>322.16</v>
      </c>
      <c r="F138" s="45" t="n">
        <v>110.45</v>
      </c>
      <c r="G138" s="45" t="n">
        <v>141.86</v>
      </c>
      <c r="H138" s="45" t="n">
        <v>426.13</v>
      </c>
      <c r="I138" s="45" t="n">
        <v>180.25</v>
      </c>
      <c r="J138" s="45" t="n">
        <v>131.75</v>
      </c>
      <c r="K138" s="45" t="n">
        <v>150.95</v>
      </c>
      <c r="L138" s="45" t="n">
        <v>338.31</v>
      </c>
      <c r="M138" s="45" t="n">
        <v>258.88</v>
      </c>
      <c r="N138" s="45" t="n">
        <v>469.34</v>
      </c>
      <c r="O138" s="45" t="n">
        <v>106.29</v>
      </c>
      <c r="P138" s="45"/>
      <c r="Q138" s="45" t="n">
        <v>67.54</v>
      </c>
      <c r="R138" s="45" t="n">
        <v>56.56</v>
      </c>
      <c r="S138" s="45" t="n">
        <v>116.18</v>
      </c>
      <c r="T138" s="45" t="n">
        <v>39.2</v>
      </c>
      <c r="U138" s="45"/>
    </row>
    <row r="139" customFormat="false" ht="15" hidden="false" customHeight="true" outlineLevel="0" collapsed="false">
      <c r="A139" s="44" t="n">
        <v>46101</v>
      </c>
      <c r="B139" s="45" t="n">
        <v>248.15</v>
      </c>
      <c r="C139" s="45" t="n">
        <v>131.22</v>
      </c>
      <c r="D139" s="45" t="n">
        <v>1317.25</v>
      </c>
      <c r="E139" s="45" t="n">
        <v>310.51</v>
      </c>
      <c r="F139" s="45" t="n">
        <v>102.25</v>
      </c>
      <c r="G139" s="45" t="n">
        <v>149.87</v>
      </c>
      <c r="H139" s="45" t="n">
        <v>422.9</v>
      </c>
      <c r="I139" s="45" t="n">
        <v>172.7</v>
      </c>
      <c r="J139" s="45" t="n">
        <v>128.01</v>
      </c>
      <c r="K139" s="45" t="n">
        <v>150.68</v>
      </c>
      <c r="L139" s="45" t="n">
        <v>329.24</v>
      </c>
      <c r="M139" s="45" t="n">
        <v>255.88</v>
      </c>
      <c r="N139" s="45" t="n">
        <v>454</v>
      </c>
      <c r="O139" s="45" t="n">
        <v>106.08</v>
      </c>
      <c r="P139" s="45"/>
      <c r="Q139" s="45" t="n">
        <v>67.68</v>
      </c>
      <c r="R139" s="45" t="n">
        <v>55.76</v>
      </c>
      <c r="S139" s="45" t="n">
        <v>113.78</v>
      </c>
      <c r="T139" s="45" t="n">
        <v>39.24</v>
      </c>
      <c r="U139" s="45"/>
    </row>
    <row r="140" customFormat="false" ht="15" hidden="false" customHeight="true" outlineLevel="0" collapsed="false">
      <c r="A140" s="44" t="n">
        <v>46108</v>
      </c>
      <c r="B140" s="45" t="n">
        <v>234.84</v>
      </c>
      <c r="C140" s="45" t="n">
        <v>120.77</v>
      </c>
      <c r="D140" s="45" t="n">
        <v>1302.47</v>
      </c>
      <c r="E140" s="45" t="n">
        <v>300.68</v>
      </c>
      <c r="F140" s="45" t="n">
        <v>92.4</v>
      </c>
      <c r="G140" s="45" t="n">
        <v>144.32</v>
      </c>
      <c r="H140" s="45" t="n">
        <v>357.22</v>
      </c>
      <c r="I140" s="45" t="n">
        <v>167.52</v>
      </c>
      <c r="J140" s="45" t="n">
        <v>128.9</v>
      </c>
      <c r="K140" s="45" t="n">
        <v>143.06</v>
      </c>
      <c r="L140" s="45" t="n">
        <v>326.74</v>
      </c>
      <c r="M140" s="45" t="n">
        <v>251.07</v>
      </c>
      <c r="N140" s="45" t="n">
        <v>433.07</v>
      </c>
      <c r="O140" s="45" t="n">
        <v>109.23</v>
      </c>
      <c r="P140" s="45"/>
      <c r="Q140" s="45" t="n">
        <v>67.7</v>
      </c>
      <c r="R140" s="45" t="n">
        <v>54.13</v>
      </c>
      <c r="S140" s="45" t="n">
        <v>110.31</v>
      </c>
      <c r="T140" s="45" t="n">
        <v>38.75</v>
      </c>
      <c r="U140" s="45"/>
    </row>
    <row r="141" customFormat="false" ht="15" hidden="false" customHeight="true" outlineLevel="0" collapsed="false">
      <c r="A141" s="44" t="n">
        <v>46114</v>
      </c>
      <c r="B141" s="45" t="n">
        <v>242.92</v>
      </c>
      <c r="C141" s="45" t="n">
        <v>126.68</v>
      </c>
      <c r="D141" s="45" t="n">
        <v>1317.23</v>
      </c>
      <c r="E141" s="45" t="n">
        <v>314.55</v>
      </c>
      <c r="F141" s="45" t="n">
        <v>99.78</v>
      </c>
      <c r="G141" s="45" t="n">
        <v>151.68</v>
      </c>
      <c r="H141" s="45" t="n">
        <v>366.24</v>
      </c>
      <c r="I141" s="45" t="n">
        <v>177.39</v>
      </c>
      <c r="J141" s="45" t="n">
        <v>133.77</v>
      </c>
      <c r="K141" s="45" t="n">
        <v>148.46</v>
      </c>
      <c r="L141" s="45" t="n">
        <v>339.04</v>
      </c>
      <c r="M141" s="45" t="n">
        <v>261.29</v>
      </c>
      <c r="N141" s="45" t="n">
        <v>438.71</v>
      </c>
      <c r="O141" s="45" t="n">
        <v>111.42</v>
      </c>
      <c r="P141" s="45"/>
      <c r="Q141" s="45" t="n">
        <v>67.75</v>
      </c>
      <c r="R141" s="45" t="n">
        <v>55.59</v>
      </c>
      <c r="S141" s="45" t="n">
        <v>114.74</v>
      </c>
      <c r="T141" s="45" t="n">
        <v>39.84</v>
      </c>
      <c r="U141" s="45"/>
    </row>
    <row r="142" customFormat="false" ht="15" hidden="false" customHeight="true" outlineLevel="0" collapsed="false">
      <c r="A142" s="44" t="n">
        <v>46122</v>
      </c>
      <c r="B142" s="45" t="n">
        <v>225.35</v>
      </c>
      <c r="C142" s="45" t="n">
        <v>147.35</v>
      </c>
      <c r="D142" s="45" t="n">
        <v>1478.28</v>
      </c>
      <c r="E142" s="45" t="n">
        <v>371.55</v>
      </c>
      <c r="F142" s="45" t="n">
        <v>94.76</v>
      </c>
      <c r="G142" s="45" t="n">
        <v>173.73</v>
      </c>
      <c r="H142" s="45" t="n">
        <v>420.59</v>
      </c>
      <c r="I142" s="45" t="n">
        <v>188.63</v>
      </c>
      <c r="J142" s="45" t="n">
        <v>137.19</v>
      </c>
      <c r="K142" s="45" t="n">
        <v>128.06</v>
      </c>
      <c r="L142" s="45" t="n">
        <v>370.6</v>
      </c>
      <c r="M142" s="45" t="n">
        <v>295.11</v>
      </c>
      <c r="N142" s="45" t="n">
        <v>436.27</v>
      </c>
      <c r="O142" s="45" t="n">
        <v>114.73</v>
      </c>
      <c r="P142" s="45"/>
      <c r="Q142" s="45" t="n">
        <v>68.04</v>
      </c>
      <c r="R142" s="45" t="n">
        <v>57.62</v>
      </c>
      <c r="S142" s="45" t="n">
        <v>123.34</v>
      </c>
      <c r="T142" s="45" t="n">
        <v>39.64</v>
      </c>
      <c r="U142" s="45"/>
    </row>
    <row r="143" customFormat="false" ht="15" hidden="false" customHeight="true" outlineLevel="0" collapsed="false">
      <c r="A143" s="44" t="n">
        <v>46129</v>
      </c>
      <c r="B143" s="45" t="n">
        <v>244.45</v>
      </c>
      <c r="C143" s="45" t="n">
        <v>164.23</v>
      </c>
      <c r="D143" s="45" t="n">
        <v>1459.8</v>
      </c>
      <c r="E143" s="45" t="n">
        <v>406.54</v>
      </c>
      <c r="F143" s="45" t="n">
        <v>105.99</v>
      </c>
      <c r="G143" s="45" t="n">
        <v>179.14</v>
      </c>
      <c r="H143" s="45" t="n">
        <v>455.07</v>
      </c>
      <c r="I143" s="45" t="n">
        <v>201.68</v>
      </c>
      <c r="J143" s="45" t="n">
        <v>145.1</v>
      </c>
      <c r="K143" s="45" t="n">
        <v>146.39</v>
      </c>
      <c r="L143" s="45" t="n">
        <v>370.5</v>
      </c>
      <c r="M143" s="45" t="n">
        <v>307.34</v>
      </c>
      <c r="N143" s="45" t="n">
        <v>441.2</v>
      </c>
      <c r="O143" s="45" t="n">
        <v>117.52</v>
      </c>
      <c r="P143" s="45"/>
      <c r="Q143" s="45" t="n">
        <v>67.32</v>
      </c>
      <c r="R143" s="45" t="n">
        <v>58.66</v>
      </c>
      <c r="S143" s="45" t="n">
        <v>128.3</v>
      </c>
      <c r="T143" s="45" t="n">
        <v>41.76</v>
      </c>
      <c r="U143" s="45"/>
    </row>
    <row r="144" customFormat="false" ht="15" hidden="false" customHeight="true" outlineLevel="0" collapsed="false">
      <c r="A144" s="44" t="n">
        <v>46136</v>
      </c>
      <c r="B144" s="45" t="n">
        <v>245.44</v>
      </c>
      <c r="C144" s="45" t="n">
        <v>176.91</v>
      </c>
      <c r="D144" s="45" t="n">
        <v>1457.7</v>
      </c>
      <c r="E144" s="45" t="n">
        <v>422.76</v>
      </c>
      <c r="F144" s="45" t="n">
        <v>112.03</v>
      </c>
      <c r="G144" s="45" t="n">
        <v>193.5</v>
      </c>
      <c r="H144" s="45" t="n">
        <v>496.72</v>
      </c>
      <c r="I144" s="45" t="n">
        <v>208.27</v>
      </c>
      <c r="J144" s="45" t="n">
        <v>142.1</v>
      </c>
      <c r="K144" s="45" t="n">
        <v>143.09</v>
      </c>
      <c r="L144" s="45" t="n">
        <v>402.46</v>
      </c>
      <c r="M144" s="45" t="n">
        <v>323.46</v>
      </c>
      <c r="N144" s="45" t="n">
        <v>430.29</v>
      </c>
      <c r="O144" s="45" t="n">
        <v>118.96</v>
      </c>
      <c r="P144" s="45"/>
      <c r="Q144" s="45" t="n">
        <v>67.35</v>
      </c>
      <c r="R144" s="45" t="n">
        <v>58.99</v>
      </c>
      <c r="S144" s="45" t="n">
        <v>131.52</v>
      </c>
      <c r="T144" s="45" t="n">
        <v>41.52</v>
      </c>
      <c r="U144" s="45"/>
    </row>
    <row r="145" customFormat="false" ht="15" hidden="false" customHeight="true" outlineLevel="0" collapsed="false">
      <c r="A145" s="44" t="n">
        <v>46143</v>
      </c>
      <c r="B145" s="45" t="n">
        <v>250.71</v>
      </c>
      <c r="C145" s="45" t="n">
        <v>172.7</v>
      </c>
      <c r="D145" s="45" t="n">
        <v>1427.02</v>
      </c>
      <c r="E145" s="45" t="n">
        <v>421.28</v>
      </c>
      <c r="F145" s="45" t="n">
        <v>113.91</v>
      </c>
      <c r="G145" s="45" t="n">
        <v>172.63</v>
      </c>
      <c r="H145" s="45" t="n">
        <v>542.21</v>
      </c>
      <c r="I145" s="45" t="n">
        <v>198.45</v>
      </c>
      <c r="J145" s="45" t="n">
        <v>141.41</v>
      </c>
      <c r="K145" s="45" t="n">
        <v>144.07</v>
      </c>
      <c r="L145" s="45" t="n">
        <v>397.67</v>
      </c>
      <c r="M145" s="45" t="n">
        <v>328.31</v>
      </c>
      <c r="N145" s="45" t="n">
        <v>423.92</v>
      </c>
      <c r="O145" s="45" t="n">
        <v>119.96</v>
      </c>
      <c r="P145" s="45"/>
      <c r="Q145" s="45" t="n">
        <v>67.92</v>
      </c>
      <c r="R145" s="45" t="n">
        <v>58.86</v>
      </c>
      <c r="S145" s="45" t="n">
        <v>134.42</v>
      </c>
      <c r="T145" s="45" t="n">
        <v>42.59</v>
      </c>
      <c r="U145" s="45"/>
    </row>
    <row r="146" customFormat="false" ht="15" hidden="false" customHeight="true" outlineLevel="0" collapsed="false">
      <c r="A146" s="44" t="n">
        <v>46150</v>
      </c>
      <c r="B146" s="45" t="n">
        <v>253.04</v>
      </c>
      <c r="C146" s="45" t="n">
        <v>141.77</v>
      </c>
      <c r="D146" s="45" t="n">
        <v>1592.02</v>
      </c>
      <c r="E146" s="45" t="n">
        <v>430</v>
      </c>
      <c r="F146" s="45" t="n">
        <v>131.94</v>
      </c>
      <c r="G146" s="45" t="n">
        <v>186.92</v>
      </c>
      <c r="H146" s="45" t="n">
        <v>746.81</v>
      </c>
      <c r="I146" s="45" t="n">
        <v>215.2</v>
      </c>
      <c r="J146" s="45" t="n">
        <v>144.09</v>
      </c>
      <c r="K146" s="45" t="n">
        <v>137.8</v>
      </c>
      <c r="L146" s="45" t="n">
        <v>411.68</v>
      </c>
      <c r="M146" s="45" t="n">
        <v>339.97</v>
      </c>
      <c r="N146" s="45" t="n">
        <v>429.82</v>
      </c>
      <c r="O146" s="45" t="n">
        <v>119.84</v>
      </c>
      <c r="P146" s="45"/>
      <c r="Q146" s="45" t="n">
        <v>67.08</v>
      </c>
      <c r="R146" s="45" t="n">
        <v>59.61</v>
      </c>
      <c r="S146" s="45" t="n">
        <v>143.81</v>
      </c>
      <c r="T146" s="45" t="n">
        <v>43.62</v>
      </c>
      <c r="U146" s="45"/>
    </row>
    <row r="147" customFormat="false" ht="15" hidden="false" customHeight="true" outlineLevel="0" collapsed="false">
      <c r="A147" s="44" t="n">
        <v>46157</v>
      </c>
      <c r="B147" s="45" t="n">
        <v>247.6</v>
      </c>
      <c r="C147" s="45" t="n">
        <v>141.97</v>
      </c>
      <c r="D147" s="45" t="n">
        <v>1501.81</v>
      </c>
      <c r="E147" s="45" t="n">
        <v>425.19</v>
      </c>
      <c r="F147" s="45" t="n">
        <v>148.52</v>
      </c>
      <c r="G147" s="45" t="n">
        <v>180.43</v>
      </c>
      <c r="H147" s="45" t="n">
        <v>724.66</v>
      </c>
      <c r="I147" s="45" t="n">
        <v>225.32</v>
      </c>
      <c r="J147" s="45" t="n">
        <v>140.53</v>
      </c>
      <c r="K147" s="45" t="n">
        <v>133.99</v>
      </c>
      <c r="L147" s="45" t="n">
        <v>404.35</v>
      </c>
      <c r="M147" s="45" t="n">
        <v>370.94</v>
      </c>
      <c r="N147" s="45" t="n">
        <v>436.95</v>
      </c>
      <c r="O147" s="45" t="n">
        <v>117.25</v>
      </c>
      <c r="P147" s="45"/>
      <c r="Q147" s="45" t="n">
        <v>67.59</v>
      </c>
      <c r="R147" s="45" t="n">
        <v>59.77</v>
      </c>
      <c r="S147" s="45" t="n">
        <v>143.48</v>
      </c>
      <c r="T147" s="45" t="n">
        <v>42.5</v>
      </c>
      <c r="U147" s="45"/>
    </row>
    <row r="148" customFormat="false" ht="15" hidden="false" customHeight="true" outlineLevel="0" collapsed="false">
      <c r="A148" s="44" t="n">
        <v>46164</v>
      </c>
      <c r="B148" s="45" t="n">
        <v>244.76</v>
      </c>
      <c r="C148" s="45" t="n">
        <v>154.03</v>
      </c>
      <c r="D148" s="45" t="n">
        <v>1632.9</v>
      </c>
      <c r="E148" s="45" t="n">
        <v>414.14</v>
      </c>
      <c r="F148" s="45" t="n">
        <v>165.87</v>
      </c>
      <c r="G148" s="45" t="n">
        <v>188.84</v>
      </c>
      <c r="H148" s="45" t="n">
        <v>751</v>
      </c>
      <c r="I148" s="45" t="n">
        <v>215.33</v>
      </c>
      <c r="J148" s="45" t="n">
        <v>145.9</v>
      </c>
      <c r="K148" s="45" t="n">
        <v>136.88</v>
      </c>
      <c r="L148" s="45" t="n">
        <v>404.52</v>
      </c>
      <c r="M148" s="45" t="n">
        <v>327.46</v>
      </c>
      <c r="N148" s="45" t="n">
        <v>434.52</v>
      </c>
      <c r="O148" s="45" t="n">
        <v>120.03</v>
      </c>
      <c r="P148" s="45"/>
      <c r="Q148" s="45" t="n">
        <v>68.33</v>
      </c>
      <c r="R148" s="45" t="n">
        <v>60.21</v>
      </c>
      <c r="S148" s="45" t="n">
        <v>144.94</v>
      </c>
      <c r="T148" s="45" t="n">
        <v>44.18</v>
      </c>
      <c r="U148" s="45"/>
    </row>
    <row r="149" customFormat="false" ht="15" hidden="false" customHeight="true" outlineLevel="0" collapsed="false">
      <c r="A149" s="44" t="n">
        <v>46171</v>
      </c>
      <c r="B149" s="45" t="n">
        <v>259.21</v>
      </c>
      <c r="C149" s="45" t="n">
        <v>159.47</v>
      </c>
      <c r="D149" s="45" t="n">
        <v>1612.76</v>
      </c>
      <c r="E149" s="45" t="n">
        <v>446.77</v>
      </c>
      <c r="F149" s="45" t="n">
        <v>182.75</v>
      </c>
      <c r="G149" s="45" t="n">
        <v>192.17</v>
      </c>
      <c r="H149" s="45" t="n">
        <v>971</v>
      </c>
      <c r="I149" s="45" t="n">
        <v>211.14</v>
      </c>
      <c r="J149" s="45" t="n">
        <v>143.47</v>
      </c>
      <c r="K149" s="45" t="n">
        <v>156.54</v>
      </c>
      <c r="L149" s="45" t="n">
        <v>418.45</v>
      </c>
      <c r="M149" s="45" t="n">
        <v>315.71</v>
      </c>
      <c r="N149" s="45" t="n">
        <v>447.54</v>
      </c>
      <c r="O149" s="45" t="n">
        <v>120.05</v>
      </c>
      <c r="P149" s="45"/>
      <c r="Q149" s="45" t="n">
        <v>67.7</v>
      </c>
      <c r="R149" s="45" t="n">
        <v>61.15</v>
      </c>
      <c r="S149" s="45" t="n">
        <v>150.59</v>
      </c>
      <c r="T149" s="45" t="n">
        <v>46.57</v>
      </c>
      <c r="U149" s="45"/>
    </row>
    <row r="150" customFormat="false" ht="15" hidden="false" customHeight="true" outlineLevel="0" collapsed="false">
      <c r="A150" s="44" t="n">
        <v>46178</v>
      </c>
      <c r="B150" s="45" t="n">
        <v>251.44</v>
      </c>
      <c r="C150" s="45" t="n">
        <v>154.27</v>
      </c>
      <c r="D150" s="45" t="n">
        <v>1641.74</v>
      </c>
      <c r="E150" s="45" t="n">
        <v>385.73</v>
      </c>
      <c r="F150" s="45" t="n">
        <v>167.76</v>
      </c>
      <c r="G150" s="45" t="n">
        <v>192.92</v>
      </c>
      <c r="H150" s="45" t="n">
        <v>864.01</v>
      </c>
      <c r="I150" s="45" t="n">
        <v>205.1</v>
      </c>
      <c r="J150" s="45" t="n">
        <v>144.54</v>
      </c>
      <c r="K150" s="45" t="n">
        <v>135.53</v>
      </c>
      <c r="L150" s="45" t="n">
        <v>415.17</v>
      </c>
      <c r="M150" s="45" t="n">
        <v>300.51</v>
      </c>
      <c r="N150" s="45" t="n">
        <v>446.83</v>
      </c>
      <c r="O150" s="45" t="n">
        <v>119.7</v>
      </c>
      <c r="P150" s="45"/>
      <c r="Q150" s="45" t="n">
        <v>67.58</v>
      </c>
      <c r="R150" s="45" t="n">
        <v>58.9</v>
      </c>
      <c r="S150" s="45" t="n">
        <v>144.28</v>
      </c>
      <c r="T150" s="45" t="n">
        <v>46.05</v>
      </c>
      <c r="U150" s="45"/>
    </row>
    <row r="151" customFormat="false" ht="15" hidden="false" customHeight="true" outlineLevel="0" collapsed="false">
      <c r="A151" s="44" t="n">
        <v>46185</v>
      </c>
      <c r="B151" s="45" t="n">
        <v>204.02</v>
      </c>
      <c r="C151" s="45" t="n">
        <v>163.24</v>
      </c>
      <c r="D151" s="45" t="n">
        <v>1863.55</v>
      </c>
      <c r="E151" s="45" t="n">
        <v>382.07</v>
      </c>
      <c r="F151" s="45" t="n">
        <v>170.7</v>
      </c>
      <c r="G151" s="45" t="n">
        <v>254.54</v>
      </c>
      <c r="H151" s="45" t="n">
        <v>981.61</v>
      </c>
      <c r="I151" s="45" t="n">
        <v>205.19</v>
      </c>
      <c r="J151" s="45" t="n">
        <v>148.74</v>
      </c>
      <c r="K151" s="45" t="n">
        <v>127.99</v>
      </c>
      <c r="L151" s="45" t="n">
        <v>423.93</v>
      </c>
      <c r="M151" s="45" t="n">
        <v>302.87</v>
      </c>
      <c r="N151" s="45" t="n">
        <v>444.93</v>
      </c>
      <c r="O151" s="45" t="n">
        <v>124.38</v>
      </c>
      <c r="P151" s="45"/>
      <c r="Q151" s="45" t="n">
        <v>68.45</v>
      </c>
      <c r="R151" s="45" t="n">
        <v>59.86</v>
      </c>
      <c r="S151" s="45" t="n">
        <v>152.48</v>
      </c>
      <c r="T151" s="45" t="n">
        <v>46.29</v>
      </c>
      <c r="U151" s="45"/>
    </row>
    <row r="152" customFormat="false" ht="15" hidden="false" customHeight="true" outlineLevel="0" collapsed="false">
      <c r="A152" s="44" t="n">
        <v>46191</v>
      </c>
      <c r="B152" s="45" t="n">
        <v>195.16</v>
      </c>
      <c r="C152" s="45" t="n">
        <v>169.67</v>
      </c>
      <c r="D152" s="45" t="n">
        <v>1929.68</v>
      </c>
      <c r="E152" s="45" t="n">
        <v>411.35</v>
      </c>
      <c r="F152" s="45" t="n">
        <v>171.22</v>
      </c>
      <c r="G152" s="45" t="n">
        <v>259.56</v>
      </c>
      <c r="H152" s="45" t="n">
        <v>1133.99</v>
      </c>
      <c r="I152" s="45" t="n">
        <v>210.69</v>
      </c>
      <c r="J152" s="45" t="n">
        <v>140.54</v>
      </c>
      <c r="K152" s="45" t="n">
        <v>128.47</v>
      </c>
      <c r="L152" s="45" t="n">
        <v>462.12</v>
      </c>
      <c r="M152" s="45" t="n">
        <v>333.05</v>
      </c>
      <c r="N152" s="45" t="n">
        <v>451.63</v>
      </c>
      <c r="O152" s="45" t="n">
        <v>122</v>
      </c>
      <c r="P152" s="45"/>
      <c r="Q152" s="45"/>
      <c r="R152" s="45" t="n">
        <v>61.34</v>
      </c>
      <c r="S152" s="45" t="n">
        <v>159.9</v>
      </c>
      <c r="T152" s="45" t="n">
        <v>45.25</v>
      </c>
      <c r="U152" s="45"/>
    </row>
    <row r="153" customFormat="false" ht="15" hidden="false" customHeight="true" outlineLevel="0" collapsed="false">
      <c r="A153" s="44" t="n">
        <v>46199</v>
      </c>
      <c r="B153" s="45" t="n">
        <v>202.73</v>
      </c>
      <c r="C153" s="45" t="n">
        <v>157.6</v>
      </c>
      <c r="D153" s="45" t="n">
        <v>1794.62</v>
      </c>
      <c r="E153" s="45" t="n">
        <v>365.02</v>
      </c>
      <c r="F153" s="45" t="n">
        <v>175.27</v>
      </c>
      <c r="G153" s="45" t="n">
        <v>248.64</v>
      </c>
      <c r="H153" s="45" t="n">
        <v>1132.33</v>
      </c>
      <c r="I153" s="45" t="n">
        <v>192.53</v>
      </c>
      <c r="J153" s="45" t="n">
        <v>139.97</v>
      </c>
      <c r="K153" s="45" t="n">
        <v>112.93</v>
      </c>
      <c r="L153" s="45" t="n">
        <v>432.35</v>
      </c>
      <c r="M153" s="45" t="n">
        <v>303.95</v>
      </c>
      <c r="N153" s="45" t="n">
        <v>491.34</v>
      </c>
      <c r="O153" s="45" t="n">
        <v>124.94</v>
      </c>
      <c r="P153" s="45"/>
      <c r="Q153" s="45"/>
      <c r="R153" s="45" t="n">
        <v>59.42</v>
      </c>
      <c r="S153" s="45" t="n">
        <v>154.2</v>
      </c>
      <c r="T153" s="45" t="n">
        <v>46.19</v>
      </c>
      <c r="U153" s="45"/>
    </row>
    <row r="154" customFormat="false" ht="15" hidden="false" customHeight="true" outlineLevel="0" collapsed="false">
      <c r="A154" s="44" t="n">
        <v>46205</v>
      </c>
      <c r="B154" s="45" t="n">
        <v>219.72</v>
      </c>
      <c r="C154" s="45" t="n">
        <v>159.99</v>
      </c>
      <c r="D154" s="45" t="n">
        <v>1769.32</v>
      </c>
      <c r="E154" s="45" t="n">
        <v>360.45</v>
      </c>
      <c r="F154" s="45" t="n">
        <v>193.98</v>
      </c>
      <c r="G154" s="45" t="n">
        <v>235.55</v>
      </c>
      <c r="H154" s="45" t="n">
        <v>975.56</v>
      </c>
      <c r="I154" s="45" t="n">
        <v>194.83</v>
      </c>
      <c r="J154" s="45" t="n">
        <v>139.43</v>
      </c>
      <c r="K154" s="45" t="n">
        <v>129.3</v>
      </c>
      <c r="L154" s="45" t="n">
        <v>434.16</v>
      </c>
      <c r="M154" s="45" t="n">
        <v>300.53</v>
      </c>
      <c r="N154" s="45" t="n">
        <v>528.04</v>
      </c>
      <c r="O154" s="45" t="n">
        <v>123.51</v>
      </c>
      <c r="P154" s="45"/>
      <c r="Q154" s="45"/>
      <c r="R154" s="45" t="n">
        <v>59.39</v>
      </c>
      <c r="S154" s="45" t="n">
        <v>150.83</v>
      </c>
      <c r="T154" s="45" t="n">
        <v>47</v>
      </c>
      <c r="U154" s="45"/>
    </row>
    <row r="155" customFormat="false" ht="15" hidden="false" customHeight="true" outlineLevel="0" collapsed="false">
      <c r="A155" s="44" t="n">
        <v>46213</v>
      </c>
      <c r="B155" s="45" t="n">
        <v>223.64</v>
      </c>
      <c r="C155" s="45" t="n">
        <v>186.96</v>
      </c>
      <c r="D155" s="45" t="n">
        <v>1797.32</v>
      </c>
      <c r="E155" s="45" t="n">
        <v>399.97</v>
      </c>
      <c r="F155" s="45" t="n">
        <v>187.18</v>
      </c>
      <c r="G155" s="45" t="n">
        <v>231.52</v>
      </c>
      <c r="H155" s="45" t="n">
        <v>979.3</v>
      </c>
      <c r="I155" s="45" t="n">
        <v>210.96</v>
      </c>
      <c r="J155" s="45" t="n">
        <v>140.87</v>
      </c>
      <c r="K155" s="45" t="n">
        <v>126.79</v>
      </c>
      <c r="L155" s="45" t="n">
        <v>434.11</v>
      </c>
      <c r="M155" s="45" t="n">
        <v>318.86</v>
      </c>
      <c r="N155" s="45" t="n">
        <v>485.39</v>
      </c>
      <c r="O155" s="45" t="n">
        <v>123.95</v>
      </c>
      <c r="P155" s="45"/>
      <c r="Q155" s="45"/>
      <c r="R155" s="45" t="n">
        <v>60.51</v>
      </c>
      <c r="S155" s="45" t="n">
        <v>153.75</v>
      </c>
      <c r="T155" s="45" t="n">
        <v>47.39</v>
      </c>
      <c r="U155" s="45"/>
    </row>
    <row r="156" customFormat="false" ht="15" hidden="false" customHeight="true" outlineLevel="0" collapsed="false">
      <c r="A156" s="44" t="n">
        <v>46220</v>
      </c>
      <c r="B156" s="45" t="n">
        <v>237.25</v>
      </c>
      <c r="C156" s="45" t="n">
        <v>168.61</v>
      </c>
      <c r="D156" s="45" t="n">
        <v>1747.58</v>
      </c>
      <c r="E156" s="45" t="n">
        <v>370.83</v>
      </c>
      <c r="F156" s="45" t="n">
        <v>203.08</v>
      </c>
      <c r="G156" s="45" t="n">
        <v>212.75</v>
      </c>
      <c r="H156" s="45" t="n">
        <v>848.95</v>
      </c>
      <c r="I156" s="45" t="n">
        <v>202.81</v>
      </c>
      <c r="J156" s="45" t="n">
        <v>149.79</v>
      </c>
      <c r="K156" s="45" t="n">
        <v>132.38</v>
      </c>
      <c r="L156" s="45" t="n">
        <v>398.37</v>
      </c>
      <c r="M156" s="45" t="n">
        <v>289.56</v>
      </c>
      <c r="N156" s="45" t="n">
        <v>485.65</v>
      </c>
      <c r="O156" s="45" t="n">
        <v>125.35</v>
      </c>
      <c r="P156" s="45"/>
      <c r="Q156" s="45"/>
      <c r="R156" s="45" t="n">
        <v>58.51</v>
      </c>
      <c r="S156" s="45" t="n">
        <v>143.89</v>
      </c>
      <c r="T156" s="45" t="n">
        <v>47.8</v>
      </c>
      <c r="U156" s="45"/>
    </row>
    <row r="157" customFormat="false" ht="15" hidden="false" customHeight="true" outlineLevel="0" collapsed="false">
      <c r="A157" s="44" t="n">
        <v>46227</v>
      </c>
      <c r="B157" s="45" t="n">
        <v>225.11</v>
      </c>
      <c r="C157" s="45" t="n">
        <v>173.99</v>
      </c>
      <c r="D157" s="45" t="n">
        <v>1757.09</v>
      </c>
      <c r="E157" s="45" t="n">
        <v>381.92</v>
      </c>
      <c r="F157" s="45" t="n">
        <v>183.28</v>
      </c>
      <c r="G157" s="45" t="n">
        <v>210.52</v>
      </c>
      <c r="H157" s="45" t="n">
        <v>920.95</v>
      </c>
      <c r="I157" s="45" t="n">
        <v>206.84</v>
      </c>
      <c r="J157" s="45" t="n">
        <v>147.63</v>
      </c>
      <c r="K157" s="45" t="n">
        <v>122.92</v>
      </c>
      <c r="L157" s="45" t="n">
        <v>403.41</v>
      </c>
      <c r="M157" s="45" t="n">
        <v>290.36</v>
      </c>
      <c r="N157" s="45" t="n">
        <v>477.36</v>
      </c>
      <c r="O157" s="45" t="n">
        <v>125.28</v>
      </c>
      <c r="P157" s="45"/>
      <c r="Q157" s="45"/>
      <c r="R157" s="45" t="n">
        <v>57.96</v>
      </c>
      <c r="S157" s="45" t="n">
        <v>146.51</v>
      </c>
      <c r="T157" s="45" t="n">
        <v>48.14</v>
      </c>
      <c r="U157" s="45"/>
    </row>
    <row r="158" customFormat="false" ht="15" hidden="false" customHeight="true" outlineLevel="0" collapsed="false">
      <c r="A158" s="44" t="n">
        <v>46234</v>
      </c>
      <c r="B158" s="45" t="n">
        <v>250.41</v>
      </c>
      <c r="C158" s="45" t="n">
        <v>180.35</v>
      </c>
      <c r="D158" s="45" t="n">
        <v>1629</v>
      </c>
      <c r="E158" s="45" t="n">
        <v>389.28</v>
      </c>
      <c r="F158" s="45" t="n">
        <v>190.86</v>
      </c>
      <c r="G158" s="45" t="n">
        <v>182.82</v>
      </c>
      <c r="H158" s="45" t="n">
        <v>823.03</v>
      </c>
      <c r="I158" s="45" t="n">
        <v>200.75</v>
      </c>
      <c r="J158" s="45" t="n">
        <v>144.61</v>
      </c>
      <c r="K158" s="45" t="n">
        <v>123.06</v>
      </c>
      <c r="L158" s="45" t="n">
        <v>404.25</v>
      </c>
      <c r="M158" s="45" t="n">
        <v>241.57</v>
      </c>
      <c r="N158" s="45" t="n">
        <v>477.1</v>
      </c>
      <c r="O158" s="45" t="n">
        <v>125.28</v>
      </c>
      <c r="P158" s="45"/>
      <c r="Q158" s="45"/>
      <c r="R158" s="45" t="n">
        <v>58.25</v>
      </c>
      <c r="S158" s="45" t="n">
        <v>143.83</v>
      </c>
      <c r="T158" s="45" t="n">
        <v>49.74</v>
      </c>
      <c r="U158" s="45"/>
    </row>
    <row r="159" customFormat="false" ht="15" hidden="false" customHeight="true" outlineLevel="0" collapsed="false">
      <c r="A159" s="44"/>
      <c r="B159" s="45"/>
      <c r="C159" s="45"/>
      <c r="D159" s="45"/>
      <c r="E159" s="45"/>
      <c r="F159" s="45"/>
      <c r="G159" s="45"/>
      <c r="H159" s="45"/>
      <c r="I159" s="45"/>
      <c r="J159" s="45"/>
      <c r="K159" s="45"/>
      <c r="L159" s="45"/>
      <c r="M159" s="45"/>
      <c r="N159" s="45"/>
      <c r="O159" s="45"/>
      <c r="P159" s="45"/>
      <c r="Q159" s="45"/>
      <c r="R159" s="45"/>
      <c r="S159" s="45"/>
      <c r="T159" s="45"/>
      <c r="U159" s="45"/>
    </row>
    <row r="160" customFormat="false" ht="15" hidden="false" customHeight="true" outlineLevel="0" collapsed="false">
      <c r="A160" s="44"/>
      <c r="B160" s="45"/>
      <c r="C160" s="45"/>
      <c r="D160" s="45"/>
      <c r="E160" s="45"/>
      <c r="F160" s="45"/>
      <c r="G160" s="45"/>
      <c r="H160" s="45"/>
      <c r="I160" s="45"/>
      <c r="J160" s="45"/>
      <c r="K160" s="45"/>
      <c r="L160" s="45"/>
      <c r="M160" s="45"/>
      <c r="N160" s="45"/>
      <c r="O160" s="45"/>
      <c r="P160" s="45"/>
      <c r="Q160" s="45"/>
      <c r="R160" s="45"/>
      <c r="S160" s="45"/>
      <c r="T160" s="45"/>
      <c r="U160" s="45"/>
    </row>
    <row r="161" customFormat="false" ht="15" hidden="false" customHeight="true" outlineLevel="0" collapsed="false">
      <c r="A161" s="44"/>
      <c r="B161" s="45"/>
      <c r="C161" s="45"/>
      <c r="D161" s="45"/>
      <c r="E161" s="45"/>
      <c r="F161" s="45"/>
      <c r="G161" s="45"/>
      <c r="H161" s="45"/>
      <c r="I161" s="45"/>
      <c r="J161" s="45"/>
      <c r="K161" s="45"/>
      <c r="L161" s="45"/>
      <c r="M161" s="45"/>
      <c r="N161" s="45"/>
      <c r="O161" s="45"/>
      <c r="P161" s="45"/>
      <c r="Q161" s="45"/>
      <c r="R161" s="45"/>
      <c r="S161" s="45"/>
      <c r="T161" s="45"/>
      <c r="U161" s="45"/>
    </row>
    <row r="162" customFormat="false" ht="15" hidden="false" customHeight="true" outlineLevel="0" collapsed="false">
      <c r="A162" s="44"/>
      <c r="B162" s="45"/>
      <c r="C162" s="45"/>
      <c r="D162" s="45"/>
      <c r="E162" s="45"/>
      <c r="F162" s="45"/>
      <c r="G162" s="45"/>
      <c r="H162" s="45"/>
      <c r="I162" s="45"/>
      <c r="J162" s="45"/>
      <c r="K162" s="45"/>
      <c r="L162" s="45"/>
      <c r="M162" s="45"/>
      <c r="N162" s="45"/>
      <c r="O162" s="45"/>
      <c r="P162" s="45"/>
      <c r="Q162" s="45"/>
      <c r="R162" s="45"/>
      <c r="S162" s="45"/>
      <c r="T162" s="45"/>
      <c r="U162" s="45"/>
    </row>
  </sheetData>
  <mergeCells count="1">
    <mergeCell ref="A1:Q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 min="2" style="1" width="18"/>
    <col collapsed="false" customWidth="true" hidden="false" outlineLevel="0" max="4" min="3" style="1" width="12"/>
    <col collapsed="false" customWidth="true" hidden="false" outlineLevel="0" max="6" min="5" style="1" width="13"/>
    <col collapsed="false" customWidth="true" hidden="false" outlineLevel="0" max="8" min="7" style="1" width="9"/>
    <col collapsed="false" customWidth="true" hidden="false" outlineLevel="0" max="9" min="9" style="1" width="11"/>
    <col collapsed="false" customWidth="true" hidden="false" outlineLevel="0" max="10" min="10" style="1" width="12"/>
  </cols>
  <sheetData>
    <row r="1" customFormat="false" ht="25.5" hidden="false" customHeight="true" outlineLevel="0" collapsed="false">
      <c r="A1" s="46" t="s">
        <v>74</v>
      </c>
      <c r="B1" s="46" t="s">
        <v>185</v>
      </c>
      <c r="C1" s="46" t="s">
        <v>186</v>
      </c>
      <c r="D1" s="46" t="s">
        <v>187</v>
      </c>
      <c r="E1" s="46" t="s">
        <v>188</v>
      </c>
      <c r="F1" s="46" t="s">
        <v>189</v>
      </c>
      <c r="G1" s="46" t="s">
        <v>190</v>
      </c>
      <c r="H1" s="46" t="s">
        <v>191</v>
      </c>
      <c r="I1" s="46" t="s">
        <v>192</v>
      </c>
      <c r="J1" s="46" t="s">
        <v>193</v>
      </c>
    </row>
    <row r="2" customFormat="false" ht="15" hidden="false" customHeight="true" outlineLevel="0" collapsed="false">
      <c r="A2" s="47" t="str">
        <f aca="false">IF(Scoring!A3="","",Scoring!A3)</f>
        <v>MU</v>
      </c>
      <c r="B2" s="48" t="str">
        <f aca="false">IF(Scoring!B3="","",Scoring!B3)</f>
        <v>Micron Technology</v>
      </c>
      <c r="C2" s="49" t="n">
        <f aca="false">IF(Scoring!C3="","",Scoring!C3)</f>
        <v>46240</v>
      </c>
      <c r="D2" s="50" t="n">
        <f aca="false">IF(Scoring!N3="","",Scoring!N3)</f>
        <v>3.64285714285714</v>
      </c>
      <c r="E2" s="51" t="n">
        <f aca="false">IF(Scoring!AF3="","",Scoring!AF3)</f>
        <v>71.8</v>
      </c>
      <c r="F2" s="47" t="str">
        <f aca="false">IF(Scoring!AG3="","",Scoring!AG3)</f>
        <v>BUY</v>
      </c>
      <c r="G2" s="47" t="str">
        <f aca="false">IF(Scoring!AH3="","",Scoring!AH3)</f>
        <v>OK</v>
      </c>
      <c r="H2" s="47" t="str">
        <f aca="false">IF(Scoring!AI3="","",Scoring!AI3)</f>
        <v>OK</v>
      </c>
      <c r="I2" s="47" t="str">
        <f aca="false">IF(Scoring!AJ3="","",Scoring!AJ3)</f>
        <v>OK</v>
      </c>
      <c r="J2" s="47" t="str">
        <f aca="false">IF(Scoring!AK3="","",Scoring!AK3)</f>
        <v>OK</v>
      </c>
    </row>
    <row r="3" customFormat="false" ht="15" hidden="false" customHeight="true" outlineLevel="0" collapsed="false">
      <c r="A3" s="47" t="str">
        <f aca="false">IF(Scoring!A4="","",Scoring!A4)</f>
        <v>AVGO</v>
      </c>
      <c r="B3" s="48" t="str">
        <f aca="false">IF(Scoring!B4="","",Scoring!B4)</f>
        <v>Broadcom Inc.</v>
      </c>
      <c r="C3" s="49" t="n">
        <f aca="false">IF(Scoring!C4="","",Scoring!C4)</f>
        <v>46240</v>
      </c>
      <c r="D3" s="50" t="n">
        <f aca="false">IF(Scoring!N4="","",Scoring!N4)</f>
        <v>4.07142857142857</v>
      </c>
      <c r="E3" s="51" t="n">
        <f aca="false">IF(Scoring!AF4="","",Scoring!AF4)</f>
        <v>80.8</v>
      </c>
      <c r="F3" s="47" t="str">
        <f aca="false">IF(Scoring!AG4="","",Scoring!AG4)</f>
        <v>STRONG BUY</v>
      </c>
      <c r="G3" s="47" t="str">
        <f aca="false">IF(Scoring!AH4="","",Scoring!AH4)</f>
        <v>OK</v>
      </c>
      <c r="H3" s="47" t="str">
        <f aca="false">IF(Scoring!AI4="","",Scoring!AI4)</f>
        <v>OK</v>
      </c>
      <c r="I3" s="47" t="str">
        <f aca="false">IF(Scoring!AJ4="","",Scoring!AJ4)</f>
        <v>OK</v>
      </c>
      <c r="J3" s="47" t="str">
        <f aca="false">IF(Scoring!AK4="","",Scoring!AK4)</f>
        <v>OK</v>
      </c>
    </row>
    <row r="4" customFormat="false" ht="15" hidden="false" customHeight="true" outlineLevel="0" collapsed="false">
      <c r="A4" s="47" t="str">
        <f aca="false">IF(Scoring!A5="","",Scoring!A5)</f>
        <v>PLTR</v>
      </c>
      <c r="B4" s="48" t="str">
        <f aca="false">IF(Scoring!B5="","",Scoring!B5)</f>
        <v>Palantir Technologies</v>
      </c>
      <c r="C4" s="49" t="n">
        <f aca="false">IF(Scoring!C5="","",Scoring!C5)</f>
        <v>46240</v>
      </c>
      <c r="D4" s="50" t="n">
        <f aca="false">IF(Scoring!N5="","",Scoring!N5)</f>
        <v>4</v>
      </c>
      <c r="E4" s="51" t="n">
        <f aca="false">IF(Scoring!AF5="","",Scoring!AF5)</f>
        <v>75.2</v>
      </c>
      <c r="F4" s="47" t="str">
        <f aca="false">IF(Scoring!AG5="","",Scoring!AG5)</f>
        <v>BUY</v>
      </c>
      <c r="G4" s="47" t="str">
        <f aca="false">IF(Scoring!AH5="","",Scoring!AH5)</f>
        <v>OK</v>
      </c>
      <c r="H4" s="47" t="str">
        <f aca="false">IF(Scoring!AI5="","",Scoring!AI5)</f>
        <v>OK</v>
      </c>
      <c r="I4" s="47" t="str">
        <f aca="false">IF(Scoring!AJ5="","",Scoring!AJ5)</f>
        <v>OK</v>
      </c>
      <c r="J4" s="47" t="str">
        <f aca="false">IF(Scoring!AK5="","",Scoring!AK5)</f>
        <v>OK</v>
      </c>
    </row>
    <row r="5" customFormat="false" ht="15" hidden="false" customHeight="true" outlineLevel="0" collapsed="false">
      <c r="A5" s="47" t="str">
        <f aca="false">IF(Scoring!A6="","",Scoring!A6)</f>
        <v>NVDA</v>
      </c>
      <c r="B5" s="48" t="str">
        <f aca="false">IF(Scoring!B6="","",Scoring!B6)</f>
        <v>NVIDIA Corporation</v>
      </c>
      <c r="C5" s="49" t="n">
        <f aca="false">IF(Scoring!C6="","",Scoring!C6)</f>
        <v>46240</v>
      </c>
      <c r="D5" s="50" t="n">
        <f aca="false">IF(Scoring!N6="","",Scoring!N6)</f>
        <v>4.57142857142857</v>
      </c>
      <c r="E5" s="51" t="n">
        <f aca="false">IF(Scoring!AF6="","",Scoring!AF6)</f>
        <v>93.2</v>
      </c>
      <c r="F5" s="47" t="str">
        <f aca="false">IF(Scoring!AG6="","",Scoring!AG6)</f>
        <v>STRONG BUY</v>
      </c>
      <c r="G5" s="47" t="str">
        <f aca="false">IF(Scoring!AH6="","",Scoring!AH6)</f>
        <v>OK</v>
      </c>
      <c r="H5" s="47" t="str">
        <f aca="false">IF(Scoring!AI6="","",Scoring!AI6)</f>
        <v>OK</v>
      </c>
      <c r="I5" s="47" t="str">
        <f aca="false">IF(Scoring!AJ6="","",Scoring!AJ6)</f>
        <v>OK</v>
      </c>
      <c r="J5" s="47" t="str">
        <f aca="false">IF(Scoring!AK6="","",Scoring!AK6)</f>
        <v>OK</v>
      </c>
    </row>
    <row r="6" customFormat="false" ht="15" hidden="false" customHeight="true" outlineLevel="0" collapsed="false">
      <c r="A6" s="47" t="str">
        <f aca="false">IF(Scoring!A7="","",Scoring!A7)</f>
        <v>VRTX</v>
      </c>
      <c r="B6" s="48" t="str">
        <f aca="false">IF(Scoring!B7="","",Scoring!B7)</f>
        <v>Vertex Pharmaceuticals</v>
      </c>
      <c r="C6" s="49" t="n">
        <f aca="false">IF(Scoring!C7="","",Scoring!C7)</f>
        <v>46241</v>
      </c>
      <c r="D6" s="50" t="n">
        <f aca="false">IF(Scoring!N7="","",Scoring!N7)</f>
        <v>3.78571428571429</v>
      </c>
      <c r="E6" s="51" t="n">
        <f aca="false">IF(Scoring!AF7="","",Scoring!AF7)</f>
        <v>75.6</v>
      </c>
      <c r="F6" s="47" t="str">
        <f aca="false">IF(Scoring!AG7="","",Scoring!AG7)</f>
        <v>BUY</v>
      </c>
      <c r="G6" s="47" t="str">
        <f aca="false">IF(Scoring!AH7="","",Scoring!AH7)</f>
        <v>OK</v>
      </c>
      <c r="H6" s="47" t="str">
        <f aca="false">IF(Scoring!AI7="","",Scoring!AI7)</f>
        <v>OK</v>
      </c>
      <c r="I6" s="47" t="str">
        <f aca="false">IF(Scoring!AJ7="","",Scoring!AJ7)</f>
        <v>OK</v>
      </c>
      <c r="J6" s="47" t="str">
        <f aca="false">IF(Scoring!AK7="","",Scoring!AK7)</f>
        <v>OK</v>
      </c>
    </row>
    <row r="7" customFormat="false" ht="15" hidden="false" customHeight="true" outlineLevel="0" collapsed="false">
      <c r="A7" s="47" t="str">
        <f aca="false">IF(Scoring!A8="","",Scoring!A8)</f>
        <v>PLD</v>
      </c>
      <c r="B7" s="48" t="str">
        <f aca="false">IF(Scoring!B8="","",Scoring!B8)</f>
        <v>Prologis Inc. (REIT-adapted)</v>
      </c>
      <c r="C7" s="49" t="n">
        <f aca="false">IF(Scoring!C8="","",Scoring!C8)</f>
        <v>46240</v>
      </c>
      <c r="D7" s="50" t="n">
        <f aca="false">IF(Scoring!N8="","",Scoring!N8)</f>
        <v>4.35714285714286</v>
      </c>
      <c r="E7" s="51" t="n">
        <f aca="false">IF(Scoring!AF8="","",Scoring!AF8)</f>
        <v>82</v>
      </c>
      <c r="F7" s="47" t="str">
        <f aca="false">IF(Scoring!AG8="","",Scoring!AG8)</f>
        <v>STRONG BUY</v>
      </c>
      <c r="G7" s="47" t="str">
        <f aca="false">IF(Scoring!AH8="","",Scoring!AH8)</f>
        <v>OK</v>
      </c>
      <c r="H7" s="47" t="str">
        <f aca="false">IF(Scoring!AI8="","",Scoring!AI8)</f>
        <v>OK</v>
      </c>
      <c r="I7" s="47" t="str">
        <f aca="false">IF(Scoring!AJ8="","",Scoring!AJ8)</f>
        <v>OK</v>
      </c>
      <c r="J7" s="47" t="str">
        <f aca="false">IF(Scoring!AK8="","",Scoring!AK8)</f>
        <v>OK</v>
      </c>
    </row>
    <row r="8" customFormat="false" ht="15" hidden="false" customHeight="true" outlineLevel="0" collapsed="false">
      <c r="A8" s="47" t="str">
        <f aca="false">IF(Scoring!A9="","",Scoring!A9)</f>
        <v>SFM</v>
      </c>
      <c r="B8" s="48" t="str">
        <f aca="false">IF(Scoring!B9="","",Scoring!B9)</f>
        <v>Sprouts Farmers Market</v>
      </c>
      <c r="C8" s="49" t="n">
        <f aca="false">IF(Scoring!C9="","",Scoring!C9)</f>
        <v>46240</v>
      </c>
      <c r="D8" s="50" t="n">
        <f aca="false">IF(Scoring!N9="","",Scoring!N9)</f>
        <v>1.85714285714286</v>
      </c>
      <c r="E8" s="51" t="str">
        <f aca="false">IF(Scoring!AF9="","",Scoring!AF9)</f>
        <v/>
      </c>
      <c r="F8" s="47" t="str">
        <f aca="false">IF(Scoring!AG9="","",Scoring!AG9)</f>
        <v/>
      </c>
      <c r="G8" s="47" t="str">
        <f aca="false">IF(Scoring!AH9="","",Scoring!AH9)</f>
        <v>FAIL</v>
      </c>
      <c r="H8" s="47" t="str">
        <f aca="false">IF(Scoring!AI9="","",Scoring!AI9)</f>
        <v>REVIEW</v>
      </c>
      <c r="I8" s="47" t="str">
        <f aca="false">IF(Scoring!AJ9="","",Scoring!AJ9)</f>
        <v>AVOID</v>
      </c>
      <c r="J8" s="47" t="str">
        <f aca="false">IF(Scoring!AK9="","",Scoring!AK9)</f>
        <v>OK</v>
      </c>
    </row>
    <row r="9" customFormat="false" ht="15" hidden="false" customHeight="true" outlineLevel="0" collapsed="false">
      <c r="A9" s="47" t="str">
        <f aca="false">IF(Scoring!A10="","",Scoring!A10)</f>
        <v>ONON</v>
      </c>
      <c r="B9" s="48" t="str">
        <f aca="false">IF(Scoring!B10="","",Scoring!B10)</f>
        <v>On Holding AG</v>
      </c>
      <c r="C9" s="49" t="n">
        <f aca="false">IF(Scoring!C10="","",Scoring!C10)</f>
        <v>46240</v>
      </c>
      <c r="D9" s="50" t="n">
        <f aca="false">IF(Scoring!N10="","",Scoring!N10)</f>
        <v>2.64285714285714</v>
      </c>
      <c r="E9" s="51" t="str">
        <f aca="false">IF(Scoring!AF10="","",Scoring!AF10)</f>
        <v/>
      </c>
      <c r="F9" s="47" t="str">
        <f aca="false">IF(Scoring!AG10="","",Scoring!AG10)</f>
        <v/>
      </c>
      <c r="G9" s="47" t="str">
        <f aca="false">IF(Scoring!AH10="","",Scoring!AH10)</f>
        <v>FAIL</v>
      </c>
      <c r="H9" s="47" t="str">
        <f aca="false">IF(Scoring!AI10="","",Scoring!AI10)</f>
        <v>OK</v>
      </c>
      <c r="I9" s="47" t="str">
        <f aca="false">IF(Scoring!AJ10="","",Scoring!AJ10)</f>
        <v>AVOID</v>
      </c>
      <c r="J9" s="47" t="str">
        <f aca="false">IF(Scoring!AK10="","",Scoring!AK10)</f>
        <v>OK</v>
      </c>
    </row>
    <row r="10" customFormat="false" ht="15" hidden="false" customHeight="true" outlineLevel="0" collapsed="false">
      <c r="A10" s="47" t="str">
        <f aca="false">IF(Scoring!A11="","",Scoring!A11)</f>
        <v>TSLA</v>
      </c>
      <c r="B10" s="48" t="str">
        <f aca="false">IF(Scoring!B11="","",Scoring!B11)</f>
        <v>Tesla Inc.</v>
      </c>
      <c r="C10" s="49" t="n">
        <f aca="false">IF(Scoring!C11="","",Scoring!C11)</f>
        <v>46240</v>
      </c>
      <c r="D10" s="50" t="n">
        <f aca="false">IF(Scoring!N11="","",Scoring!N11)</f>
        <v>1.92857142857143</v>
      </c>
      <c r="E10" s="51" t="str">
        <f aca="false">IF(Scoring!AF11="","",Scoring!AF11)</f>
        <v/>
      </c>
      <c r="F10" s="47" t="str">
        <f aca="false">IF(Scoring!AG11="","",Scoring!AG11)</f>
        <v/>
      </c>
      <c r="G10" s="47" t="str">
        <f aca="false">IF(Scoring!AH11="","",Scoring!AH11)</f>
        <v>FAIL</v>
      </c>
      <c r="H10" s="47" t="str">
        <f aca="false">IF(Scoring!AI11="","",Scoring!AI11)</f>
        <v>REVIEW</v>
      </c>
      <c r="I10" s="47" t="str">
        <f aca="false">IF(Scoring!AJ11="","",Scoring!AJ11)</f>
        <v>AVOID</v>
      </c>
      <c r="J10" s="47" t="str">
        <f aca="false">IF(Scoring!AK11="","",Scoring!AK11)</f>
        <v>OK</v>
      </c>
    </row>
    <row r="11" customFormat="false" ht="15" hidden="false" customHeight="true" outlineLevel="0" collapsed="false">
      <c r="A11" s="47" t="str">
        <f aca="false">IF(Scoring!A12="","",Scoring!A12)</f>
        <v>ADBE</v>
      </c>
      <c r="B11" s="48" t="str">
        <f aca="false">IF(Scoring!B12="","",Scoring!B12)</f>
        <v>Adobe Inc.</v>
      </c>
      <c r="C11" s="49" t="n">
        <f aca="false">IF(Scoring!C12="","",Scoring!C12)</f>
        <v>46240</v>
      </c>
      <c r="D11" s="50" t="n">
        <f aca="false">IF(Scoring!N12="","",Scoring!N12)</f>
        <v>4.57142857142857</v>
      </c>
      <c r="E11" s="51" t="n">
        <f aca="false">IF(Scoring!AF12="","",Scoring!AF12)</f>
        <v>85.8</v>
      </c>
      <c r="F11" s="47" t="str">
        <f aca="false">IF(Scoring!AG12="","",Scoring!AG12)</f>
        <v>STRONG BUY</v>
      </c>
      <c r="G11" s="47" t="str">
        <f aca="false">IF(Scoring!AH12="","",Scoring!AH12)</f>
        <v>OK</v>
      </c>
      <c r="H11" s="47" t="str">
        <f aca="false">IF(Scoring!AI12="","",Scoring!AI12)</f>
        <v>OK</v>
      </c>
      <c r="I11" s="47" t="str">
        <f aca="false">IF(Scoring!AJ12="","",Scoring!AJ12)</f>
        <v>OK</v>
      </c>
      <c r="J11" s="47" t="str">
        <f aca="false">IF(Scoring!AK12="","",Scoring!AK12)</f>
        <v>OK</v>
      </c>
    </row>
    <row r="12" customFormat="false" ht="15" hidden="false" customHeight="true" outlineLevel="0" collapsed="false">
      <c r="A12" s="47" t="str">
        <f aca="false">IF(Scoring!A13="","",Scoring!A13)</f>
        <v>ANET</v>
      </c>
      <c r="B12" s="48" t="str">
        <f aca="false">IF(Scoring!B13="","",Scoring!B13)</f>
        <v>Arista Networks</v>
      </c>
      <c r="C12" s="49" t="n">
        <f aca="false">IF(Scoring!C13="","",Scoring!C13)</f>
        <v>46240</v>
      </c>
      <c r="D12" s="50" t="n">
        <f aca="false">IF(Scoring!N13="","",Scoring!N13)</f>
        <v>4.57142857142857</v>
      </c>
      <c r="E12" s="51" t="n">
        <f aca="false">IF(Scoring!AF13="","",Scoring!AF13)</f>
        <v>85</v>
      </c>
      <c r="F12" s="47" t="str">
        <f aca="false">IF(Scoring!AG13="","",Scoring!AG13)</f>
        <v>STRONG BUY</v>
      </c>
      <c r="G12" s="47" t="str">
        <f aca="false">IF(Scoring!AH13="","",Scoring!AH13)</f>
        <v>OK</v>
      </c>
      <c r="H12" s="47" t="str">
        <f aca="false">IF(Scoring!AI13="","",Scoring!AI13)</f>
        <v>OK</v>
      </c>
      <c r="I12" s="47" t="str">
        <f aca="false">IF(Scoring!AJ13="","",Scoring!AJ13)</f>
        <v>OK</v>
      </c>
      <c r="J12" s="47" t="str">
        <f aca="false">IF(Scoring!AK13="","",Scoring!AK13)</f>
        <v>OK</v>
      </c>
    </row>
    <row r="13" customFormat="false" ht="15" hidden="false" customHeight="true" outlineLevel="0" collapsed="false">
      <c r="A13" s="47" t="str">
        <f aca="false">IF(Scoring!A14="","",Scoring!A14)</f>
        <v>ASML</v>
      </c>
      <c r="B13" s="48" t="str">
        <f aca="false">IF(Scoring!B14="","",Scoring!B14)</f>
        <v>ASML Holding</v>
      </c>
      <c r="C13" s="49" t="n">
        <f aca="false">IF(Scoring!C14="","",Scoring!C14)</f>
        <v>46240</v>
      </c>
      <c r="D13" s="50" t="n">
        <f aca="false">IF(Scoring!N14="","",Scoring!N14)</f>
        <v>3.57142857142857</v>
      </c>
      <c r="E13" s="51" t="n">
        <f aca="false">IF(Scoring!AF14="","",Scoring!AF14)</f>
        <v>73.2</v>
      </c>
      <c r="F13" s="47" t="str">
        <f aca="false">IF(Scoring!AG14="","",Scoring!AG14)</f>
        <v>BUY</v>
      </c>
      <c r="G13" s="47" t="str">
        <f aca="false">IF(Scoring!AH14="","",Scoring!AH14)</f>
        <v>OK</v>
      </c>
      <c r="H13" s="47" t="str">
        <f aca="false">IF(Scoring!AI14="","",Scoring!AI14)</f>
        <v>OK</v>
      </c>
      <c r="I13" s="47" t="str">
        <f aca="false">IF(Scoring!AJ14="","",Scoring!AJ14)</f>
        <v>OK</v>
      </c>
      <c r="J13" s="47" t="str">
        <f aca="false">IF(Scoring!AK14="","",Scoring!AK14)</f>
        <v>OK</v>
      </c>
    </row>
    <row r="14" customFormat="false" ht="15" hidden="false" customHeight="true" outlineLevel="0" collapsed="false">
      <c r="A14" s="47" t="str">
        <f aca="false">IF(Scoring!A15="","",Scoring!A15)</f>
        <v>CRWD</v>
      </c>
      <c r="B14" s="48" t="str">
        <f aca="false">IF(Scoring!B15="","",Scoring!B15)</f>
        <v>CrowdStrike Holdings</v>
      </c>
      <c r="C14" s="49" t="n">
        <f aca="false">IF(Scoring!C15="","",Scoring!C15)</f>
        <v>46240</v>
      </c>
      <c r="D14" s="50" t="n">
        <f aca="false">IF(Scoring!N15="","",Scoring!N15)</f>
        <v>4</v>
      </c>
      <c r="E14" s="51" t="n">
        <f aca="false">IF(Scoring!AF15="","",Scoring!AF15)</f>
        <v>70.4</v>
      </c>
      <c r="F14" s="47" t="str">
        <f aca="false">IF(Scoring!AG15="","",Scoring!AG15)</f>
        <v>BUY</v>
      </c>
      <c r="G14" s="47" t="str">
        <f aca="false">IF(Scoring!AH15="","",Scoring!AH15)</f>
        <v>OK</v>
      </c>
      <c r="H14" s="47" t="str">
        <f aca="false">IF(Scoring!AI15="","",Scoring!AI15)</f>
        <v>OK</v>
      </c>
      <c r="I14" s="47" t="str">
        <f aca="false">IF(Scoring!AJ15="","",Scoring!AJ15)</f>
        <v>OK</v>
      </c>
      <c r="J14" s="47" t="str">
        <f aca="false">IF(Scoring!AK15="","",Scoring!AK15)</f>
        <v>OK</v>
      </c>
    </row>
    <row r="15" customFormat="false" ht="15" hidden="false" customHeight="true" outlineLevel="0" collapsed="false">
      <c r="A15" s="47" t="str">
        <f aca="false">IF(Scoring!A16="","",Scoring!A16)</f>
        <v>KLAC</v>
      </c>
      <c r="B15" s="48" t="str">
        <f aca="false">IF(Scoring!B16="","",Scoring!B16)</f>
        <v>KLA Corporation</v>
      </c>
      <c r="C15" s="49" t="n">
        <f aca="false">IF(Scoring!C16="","",Scoring!C16)</f>
        <v>46240</v>
      </c>
      <c r="D15" s="50" t="n">
        <f aca="false">IF(Scoring!N16="","",Scoring!N16)</f>
        <v>3.42857142857143</v>
      </c>
      <c r="E15" s="51" t="n">
        <f aca="false">IF(Scoring!AF16="","",Scoring!AF16)</f>
        <v>68.6</v>
      </c>
      <c r="F15" s="47" t="str">
        <f aca="false">IF(Scoring!AG16="","",Scoring!AG16)</f>
        <v>BUY</v>
      </c>
      <c r="G15" s="47" t="str">
        <f aca="false">IF(Scoring!AH16="","",Scoring!AH16)</f>
        <v>OK</v>
      </c>
      <c r="H15" s="47" t="str">
        <f aca="false">IF(Scoring!AI16="","",Scoring!AI16)</f>
        <v>OK</v>
      </c>
      <c r="I15" s="47" t="str">
        <f aca="false">IF(Scoring!AJ16="","",Scoring!AJ16)</f>
        <v>OK</v>
      </c>
      <c r="J15" s="47" t="str">
        <f aca="false">IF(Scoring!AK16="","",Scoring!AK16)</f>
        <v>OK</v>
      </c>
    </row>
    <row r="16" customFormat="false" ht="15" hidden="false" customHeight="true" outlineLevel="0" collapsed="false">
      <c r="A16" s="47" t="str">
        <f aca="false">IF(Scoring!A17="","",Scoring!A17)</f>
        <v>TSM</v>
      </c>
      <c r="B16" s="48" t="str">
        <f aca="false">IF(Scoring!B17="","",Scoring!B17)</f>
        <v>Taiwan Semiconductor Mfg.</v>
      </c>
      <c r="C16" s="49" t="n">
        <f aca="false">IF(Scoring!C17="","",Scoring!C17)</f>
        <v>46240</v>
      </c>
      <c r="D16" s="50" t="n">
        <f aca="false">IF(Scoring!N17="","",Scoring!N17)</f>
        <v>4</v>
      </c>
      <c r="E16" s="51" t="n">
        <f aca="false">IF(Scoring!AF17="","",Scoring!AF17)</f>
        <v>81</v>
      </c>
      <c r="F16" s="47" t="str">
        <f aca="false">IF(Scoring!AG17="","",Scoring!AG17)</f>
        <v>STRONG BUY</v>
      </c>
      <c r="G16" s="47" t="str">
        <f aca="false">IF(Scoring!AH17="","",Scoring!AH17)</f>
        <v>OK</v>
      </c>
      <c r="H16" s="47" t="str">
        <f aca="false">IF(Scoring!AI17="","",Scoring!AI17)</f>
        <v>OK</v>
      </c>
      <c r="I16" s="47" t="str">
        <f aca="false">IF(Scoring!AJ17="","",Scoring!AJ17)</f>
        <v>OK</v>
      </c>
      <c r="J16" s="47" t="str">
        <f aca="false">IF(Scoring!AK17="","",Scoring!AK17)</f>
        <v>OK</v>
      </c>
    </row>
    <row r="17" customFormat="false" ht="15" hidden="false" customHeight="true" outlineLevel="0" collapsed="false">
      <c r="A17" s="47" t="str">
        <f aca="false">IF(Scoring!A18="","",Scoring!A18)</f>
        <v>VRT</v>
      </c>
      <c r="B17" s="48" t="str">
        <f aca="false">IF(Scoring!B18="","",Scoring!B18)</f>
        <v>Vertiv Holdings</v>
      </c>
      <c r="C17" s="49" t="n">
        <f aca="false">IF(Scoring!C18="","",Scoring!C18)</f>
        <v>46240</v>
      </c>
      <c r="D17" s="50" t="n">
        <f aca="false">IF(Scoring!N18="","",Scoring!N18)</f>
        <v>4.35714285714286</v>
      </c>
      <c r="E17" s="51" t="n">
        <f aca="false">IF(Scoring!AF18="","",Scoring!AF18)</f>
        <v>82.8</v>
      </c>
      <c r="F17" s="47" t="str">
        <f aca="false">IF(Scoring!AG18="","",Scoring!AG18)</f>
        <v>STRONG BUY</v>
      </c>
      <c r="G17" s="47" t="str">
        <f aca="false">IF(Scoring!AH18="","",Scoring!AH18)</f>
        <v>OK</v>
      </c>
      <c r="H17" s="47" t="str">
        <f aca="false">IF(Scoring!AI18="","",Scoring!AI18)</f>
        <v>OK</v>
      </c>
      <c r="I17" s="47" t="str">
        <f aca="false">IF(Scoring!AJ18="","",Scoring!AJ18)</f>
        <v>OK</v>
      </c>
      <c r="J17" s="47" t="str">
        <f aca="false">IF(Scoring!AK18="","",Scoring!AK18)</f>
        <v>OK</v>
      </c>
    </row>
    <row r="18" customFormat="false" ht="15" hidden="false" customHeight="true" outlineLevel="0" collapsed="false">
      <c r="A18" s="47" t="str">
        <f aca="false">IF(Scoring!A19="","",Scoring!A19)</f>
        <v>COST</v>
      </c>
      <c r="B18" s="48" t="str">
        <f aca="false">IF(Scoring!B19="","",Scoring!B19)</f>
        <v>Costco Wholesale Corp.</v>
      </c>
      <c r="C18" s="49" t="n">
        <f aca="false">IF(Scoring!C19="","",Scoring!C19)</f>
        <v>46245</v>
      </c>
      <c r="D18" s="50" t="n">
        <f aca="false">IF(Scoring!N19="","",Scoring!N19)</f>
        <v>4.14285714285714</v>
      </c>
      <c r="E18" s="51" t="n">
        <f aca="false">IF(Scoring!AF19="","",Scoring!AF19)</f>
        <v>77.4</v>
      </c>
      <c r="F18" s="47" t="str">
        <f aca="false">IF(Scoring!AG19="","",Scoring!AG19)</f>
        <v>BUY</v>
      </c>
      <c r="G18" s="47" t="str">
        <f aca="false">IF(Scoring!AH19="","",Scoring!AH19)</f>
        <v>OK</v>
      </c>
      <c r="H18" s="47" t="str">
        <f aca="false">IF(Scoring!AI19="","",Scoring!AI19)</f>
        <v>OK</v>
      </c>
      <c r="I18" s="47" t="str">
        <f aca="false">IF(Scoring!AJ19="","",Scoring!AJ19)</f>
        <v>OK</v>
      </c>
      <c r="J18" s="47" t="str">
        <f aca="false">IF(Scoring!AK19="","",Scoring!AK19)</f>
        <v>OK</v>
      </c>
    </row>
    <row r="19" customFormat="false" ht="15" hidden="false" customHeight="true" outlineLevel="0" collapsed="false">
      <c r="A19" s="47" t="str">
        <f aca="false">IF(Scoring!A20="","",Scoring!A20)</f>
        <v>V</v>
      </c>
      <c r="B19" s="48" t="str">
        <f aca="false">IF(Scoring!B20="","",Scoring!B20)</f>
        <v>Visa Inc.</v>
      </c>
      <c r="C19" s="49" t="n">
        <f aca="false">IF(Scoring!C20="","",Scoring!C20)</f>
        <v>46245</v>
      </c>
      <c r="D19" s="50" t="n">
        <f aca="false">IF(Scoring!N20="","",Scoring!N20)</f>
        <v>4.57142857142857</v>
      </c>
      <c r="E19" s="51" t="n">
        <f aca="false">IF(Scoring!AF20="","",Scoring!AF20)</f>
        <v>86.4</v>
      </c>
      <c r="F19" s="47" t="str">
        <f aca="false">IF(Scoring!AG20="","",Scoring!AG20)</f>
        <v>STRONG BUY</v>
      </c>
      <c r="G19" s="47" t="str">
        <f aca="false">IF(Scoring!AH20="","",Scoring!AH20)</f>
        <v>OK</v>
      </c>
      <c r="H19" s="47" t="str">
        <f aca="false">IF(Scoring!AI20="","",Scoring!AI20)</f>
        <v>OK</v>
      </c>
      <c r="I19" s="47" t="str">
        <f aca="false">IF(Scoring!AJ20="","",Scoring!AJ20)</f>
        <v>OK</v>
      </c>
      <c r="J19" s="47" t="str">
        <f aca="false">IF(Scoring!AK20="","",Scoring!AK20)</f>
        <v>OK</v>
      </c>
    </row>
    <row r="20" customFormat="false" ht="15" hidden="false" customHeight="true" outlineLevel="0" collapsed="false">
      <c r="A20" s="47" t="str">
        <f aca="false">IF(Scoring!A21="","",Scoring!A21)</f>
        <v>NEE</v>
      </c>
      <c r="B20" s="48" t="str">
        <f aca="false">IF(Scoring!B21="","",Scoring!B21)</f>
        <v>NextEra Energy Inc.</v>
      </c>
      <c r="C20" s="49" t="n">
        <f aca="false">IF(Scoring!C21="","",Scoring!C21)</f>
        <v>46245</v>
      </c>
      <c r="D20" s="50" t="n">
        <f aca="false">IF(Scoring!N21="","",Scoring!N21)</f>
        <v>2.5</v>
      </c>
      <c r="E20" s="51" t="str">
        <f aca="false">IF(Scoring!AF21="","",Scoring!AF21)</f>
        <v/>
      </c>
      <c r="F20" s="47" t="str">
        <f aca="false">IF(Scoring!AG21="","",Scoring!AG21)</f>
        <v/>
      </c>
      <c r="G20" s="47" t="str">
        <f aca="false">IF(Scoring!AH21="","",Scoring!AH21)</f>
        <v>FAIL</v>
      </c>
      <c r="H20" s="47" t="str">
        <f aca="false">IF(Scoring!AI21="","",Scoring!AI21)</f>
        <v>REVIEW</v>
      </c>
      <c r="I20" s="47" t="str">
        <f aca="false">IF(Scoring!AJ21="","",Scoring!AJ21)</f>
        <v>AVOID</v>
      </c>
      <c r="J20" s="47" t="str">
        <f aca="false">IF(Scoring!AK21="","",Scoring!AK21)</f>
        <v>OK</v>
      </c>
    </row>
    <row r="21" customFormat="false" ht="15" hidden="false" customHeight="true" outlineLevel="0" collapsed="false">
      <c r="A21" s="47" t="str">
        <f aca="false">IF(Scoring!A22="","",Scoring!A22)</f>
        <v>CRK</v>
      </c>
      <c r="B21" s="48" t="str">
        <f aca="false">IF(Scoring!B22="","",Scoring!B22)</f>
        <v>Comstock Resources Inc.</v>
      </c>
      <c r="C21" s="49" t="n">
        <f aca="false">IF(Scoring!C22="","",Scoring!C22)</f>
        <v>46245</v>
      </c>
      <c r="D21" s="50" t="n">
        <f aca="false">IF(Scoring!N22="","",Scoring!N22)</f>
        <v>1.21428571428571</v>
      </c>
      <c r="E21" s="51" t="str">
        <f aca="false">IF(Scoring!AF22="","",Scoring!AF22)</f>
        <v/>
      </c>
      <c r="F21" s="47" t="str">
        <f aca="false">IF(Scoring!AG22="","",Scoring!AG22)</f>
        <v/>
      </c>
      <c r="G21" s="47" t="str">
        <f aca="false">IF(Scoring!AH22="","",Scoring!AH22)</f>
        <v>FAIL</v>
      </c>
      <c r="H21" s="47" t="str">
        <f aca="false">IF(Scoring!AI22="","",Scoring!AI22)</f>
        <v>REVIEW</v>
      </c>
      <c r="I21" s="47" t="str">
        <f aca="false">IF(Scoring!AJ22="","",Scoring!AJ22)</f>
        <v>AVOID</v>
      </c>
      <c r="J21" s="47" t="str">
        <f aca="false">IF(Scoring!AK22="","",Scoring!AK22)</f>
        <v>OK</v>
      </c>
    </row>
    <row r="22" customFormat="false" ht="15" hidden="false" customHeight="true" outlineLevel="0" collapsed="false">
      <c r="A22" s="47" t="str">
        <f aca="false">IF(Scoring!A23="","",Scoring!A23)</f>
        <v>ET</v>
      </c>
      <c r="B22" s="48" t="str">
        <f aca="false">IF(Scoring!B23="","",Scoring!B23)</f>
        <v>Energy Transfer LP</v>
      </c>
      <c r="C22" s="49" t="n">
        <f aca="false">IF(Scoring!C23="","",Scoring!C23)</f>
        <v>46245</v>
      </c>
      <c r="D22" s="50" t="n">
        <f aca="false">IF(Scoring!N23="","",Scoring!N23)</f>
        <v>4</v>
      </c>
      <c r="E22" s="51" t="str">
        <f aca="false">IF(Scoring!AF23="","",Scoring!AF23)</f>
        <v/>
      </c>
      <c r="F22" s="47" t="str">
        <f aca="false">IF(Scoring!AG23="","",Scoring!AG23)</f>
        <v/>
      </c>
      <c r="G22" s="47" t="str">
        <f aca="false">IF(Scoring!AH23="","",Scoring!AH23)</f>
        <v>OK</v>
      </c>
      <c r="H22" s="47" t="str">
        <f aca="false">IF(Scoring!AI23="","",Scoring!AI23)</f>
        <v>OK</v>
      </c>
      <c r="I22" s="47" t="str">
        <f aca="false">IF(Scoring!AJ23="","",Scoring!AJ23)</f>
        <v>OK</v>
      </c>
      <c r="J22" s="47" t="str">
        <f aca="false">IF(Scoring!AK23="","",Scoring!AK23)</f>
        <v>OK</v>
      </c>
    </row>
    <row r="23" customFormat="false" ht="15" hidden="false" customHeight="true" outlineLevel="0" collapsed="false">
      <c r="A23" s="47" t="str">
        <f aca="false">IF(Scoring!A24="","",Scoring!A24)</f>
        <v>LBRT</v>
      </c>
      <c r="B23" s="48" t="str">
        <f aca="false">IF(Scoring!B24="","",Scoring!B24)</f>
        <v>Liberty Energy Inc.</v>
      </c>
      <c r="C23" s="49" t="n">
        <f aca="false">IF(Scoring!C24="","",Scoring!C24)</f>
        <v>46245</v>
      </c>
      <c r="D23" s="50" t="n">
        <f aca="false">IF(Scoring!N24="","",Scoring!N24)</f>
        <v>2.07142857142857</v>
      </c>
      <c r="E23" s="51" t="str">
        <f aca="false">IF(Scoring!AF24="","",Scoring!AF24)</f>
        <v/>
      </c>
      <c r="F23" s="47" t="str">
        <f aca="false">IF(Scoring!AG24="","",Scoring!AG24)</f>
        <v/>
      </c>
      <c r="G23" s="47" t="str">
        <f aca="false">IF(Scoring!AH24="","",Scoring!AH24)</f>
        <v>FAIL</v>
      </c>
      <c r="H23" s="47" t="str">
        <f aca="false">IF(Scoring!AI24="","",Scoring!AI24)</f>
        <v>REVIEW</v>
      </c>
      <c r="I23" s="47" t="str">
        <f aca="false">IF(Scoring!AJ24="","",Scoring!AJ24)</f>
        <v>AVOID</v>
      </c>
      <c r="J23" s="47" t="str">
        <f aca="false">IF(Scoring!AK24="","",Scoring!AK24)</f>
        <v>OK</v>
      </c>
    </row>
    <row r="24" customFormat="false" ht="15" hidden="false" customHeight="true" outlineLevel="0" collapsed="false">
      <c r="A24" s="47" t="str">
        <f aca="false">IF(Scoring!A25="","",Scoring!A25)</f>
        <v>NOV</v>
      </c>
      <c r="B24" s="48" t="str">
        <f aca="false">IF(Scoring!B25="","",Scoring!B25)</f>
        <v>NOV Inc.</v>
      </c>
      <c r="C24" s="49" t="n">
        <f aca="false">IF(Scoring!C25="","",Scoring!C25)</f>
        <v>46245</v>
      </c>
      <c r="D24" s="50" t="n">
        <f aca="false">IF(Scoring!N25="","",Scoring!N25)</f>
        <v>2.64285714285714</v>
      </c>
      <c r="E24" s="51" t="str">
        <f aca="false">IF(Scoring!AF25="","",Scoring!AF25)</f>
        <v/>
      </c>
      <c r="F24" s="47" t="str">
        <f aca="false">IF(Scoring!AG25="","",Scoring!AG25)</f>
        <v/>
      </c>
      <c r="G24" s="47" t="str">
        <f aca="false">IF(Scoring!AH25="","",Scoring!AH25)</f>
        <v>FAIL</v>
      </c>
      <c r="H24" s="47" t="str">
        <f aca="false">IF(Scoring!AI25="","",Scoring!AI25)</f>
        <v>OK</v>
      </c>
      <c r="I24" s="47" t="str">
        <f aca="false">IF(Scoring!AJ25="","",Scoring!AJ25)</f>
        <v>AVOID</v>
      </c>
      <c r="J24" s="47" t="str">
        <f aca="false">IF(Scoring!AK25="","",Scoring!AK25)</f>
        <v>OK</v>
      </c>
    </row>
    <row r="25" customFormat="false" ht="15" hidden="false" customHeight="true" outlineLevel="0" collapsed="false">
      <c r="A25" s="47" t="str">
        <f aca="false">IF(Scoring!A26="","",Scoring!A26)</f>
        <v>CE</v>
      </c>
      <c r="B25" s="48" t="str">
        <f aca="false">IF(Scoring!B26="","",Scoring!B26)</f>
        <v>Celanese Corp.</v>
      </c>
      <c r="C25" s="49" t="n">
        <f aca="false">IF(Scoring!C26="","",Scoring!C26)</f>
        <v>46245</v>
      </c>
      <c r="D25" s="50" t="n">
        <f aca="false">IF(Scoring!N26="","",Scoring!N26)</f>
        <v>1.78571428571429</v>
      </c>
      <c r="E25" s="51" t="str">
        <f aca="false">IF(Scoring!AF26="","",Scoring!AF26)</f>
        <v/>
      </c>
      <c r="F25" s="47" t="str">
        <f aca="false">IF(Scoring!AG26="","",Scoring!AG26)</f>
        <v/>
      </c>
      <c r="G25" s="47" t="str">
        <f aca="false">IF(Scoring!AH26="","",Scoring!AH26)</f>
        <v>FAIL</v>
      </c>
      <c r="H25" s="47" t="str">
        <f aca="false">IF(Scoring!AI26="","",Scoring!AI26)</f>
        <v>REVIEW</v>
      </c>
      <c r="I25" s="47" t="str">
        <f aca="false">IF(Scoring!AJ26="","",Scoring!AJ26)</f>
        <v>AVOID</v>
      </c>
      <c r="J25" s="47" t="str">
        <f aca="false">IF(Scoring!AK26="","",Scoring!AK26)</f>
        <v>OK</v>
      </c>
    </row>
    <row r="26" customFormat="false" ht="15" hidden="false" customHeight="true" outlineLevel="0" collapsed="false">
      <c r="A26" s="47" t="str">
        <f aca="false">IF(Scoring!A27="","",Scoring!A27)</f>
        <v>CLF</v>
      </c>
      <c r="B26" s="48" t="str">
        <f aca="false">IF(Scoring!B27="","",Scoring!B27)</f>
        <v>Cleveland-Cliffs Inc.</v>
      </c>
      <c r="C26" s="49" t="n">
        <f aca="false">IF(Scoring!C27="","",Scoring!C27)</f>
        <v>46245</v>
      </c>
      <c r="D26" s="50" t="n">
        <f aca="false">IF(Scoring!N27="","",Scoring!N27)</f>
        <v>1.85714285714286</v>
      </c>
      <c r="E26" s="51" t="str">
        <f aca="false">IF(Scoring!AF27="","",Scoring!AF27)</f>
        <v/>
      </c>
      <c r="F26" s="47" t="str">
        <f aca="false">IF(Scoring!AG27="","",Scoring!AG27)</f>
        <v/>
      </c>
      <c r="G26" s="47" t="str">
        <f aca="false">IF(Scoring!AH27="","",Scoring!AH27)</f>
        <v>FAIL</v>
      </c>
      <c r="H26" s="47" t="str">
        <f aca="false">IF(Scoring!AI27="","",Scoring!AI27)</f>
        <v>REVIEW</v>
      </c>
      <c r="I26" s="47" t="str">
        <f aca="false">IF(Scoring!AJ27="","",Scoring!AJ27)</f>
        <v>AVOID</v>
      </c>
      <c r="J26" s="47" t="str">
        <f aca="false">IF(Scoring!AK27="","",Scoring!AK27)</f>
        <v>OK</v>
      </c>
    </row>
    <row r="28" customFormat="false" ht="30" hidden="false" customHeight="true" outlineLevel="0" collapsed="false">
      <c r="A28" s="52" t="s">
        <v>194</v>
      </c>
      <c r="B28" s="52"/>
      <c r="C28" s="52"/>
      <c r="D28" s="52"/>
      <c r="E28" s="52"/>
      <c r="F28" s="52"/>
      <c r="G28" s="53"/>
      <c r="H28" s="53"/>
      <c r="I28" s="53"/>
      <c r="J28" s="53"/>
    </row>
  </sheetData>
  <mergeCells count="1">
    <mergeCell ref="A28:F28"/>
  </mergeCells>
  <conditionalFormatting sqref="F2:F26">
    <cfRule type="cellIs" priority="2" operator="equal" aboveAverage="0" equalAverage="0" bottom="0" percent="0" rank="0" text="" dxfId="20">
      <formula>"STRONG BUY"</formula>
    </cfRule>
    <cfRule type="cellIs" priority="3" operator="equal" aboveAverage="0" equalAverage="0" bottom="0" percent="0" rank="0" text="" dxfId="21">
      <formula>"BUY"</formula>
    </cfRule>
    <cfRule type="cellIs" priority="4" operator="equal" aboveAverage="0" equalAverage="0" bottom="0" percent="0" rank="0" text="" dxfId="1">
      <formula>"WATCH LIST"</formula>
    </cfRule>
    <cfRule type="cellIs" priority="5" operator="equal" aboveAverage="0" equalAverage="0" bottom="0" percent="0" rank="0" text="" dxfId="15">
      <formula>"AVOID"</formula>
    </cfRule>
    <cfRule type="cellIs" priority="6" operator="equal" aboveAverage="0" equalAverage="0" bottom="0" percent="0" rank="0" text="" dxfId="0">
      <formula>"PASS"</formula>
    </cfRule>
  </conditionalFormatting>
  <conditionalFormatting sqref="G2:G26">
    <cfRule type="cellIs" priority="7" operator="equal" aboveAverage="0" equalAverage="0" bottom="0" percent="0" rank="0" text="" dxfId="0">
      <formula>"FAIL"</formula>
    </cfRule>
  </conditionalFormatting>
  <conditionalFormatting sqref="I2:I26">
    <cfRule type="cellIs" priority="8" operator="equal" aboveAverage="0" equalAverage="0" bottom="0" percent="0" rank="0" text="" dxfId="0">
      <formula>"AVOID"</formula>
    </cfRule>
  </conditionalFormatting>
  <conditionalFormatting sqref="H2:H26">
    <cfRule type="cellIs" priority="9" operator="equal" aboveAverage="0" equalAverage="0" bottom="0" percent="0" rank="0" text="" dxfId="1">
      <formula>"REVIEW"</formula>
    </cfRule>
  </conditionalFormatting>
  <conditionalFormatting sqref="J2:J26">
    <cfRule type="cellIs" priority="10" operator="equal" aboveAverage="0" equalAverage="0" bottom="0" percent="0" rank="0" text="" dxfId="1">
      <formula>"CAP AT BUY"</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R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Y3" activePane="bottomRight" state="frozen"/>
      <selection pane="topLeft" activeCell="A1" activeCellId="0" sqref="A1"/>
      <selection pane="topRight" activeCell="Y1" activeCellId="0" sqref="Y1"/>
      <selection pane="bottomLeft" activeCell="A3" activeCellId="0" sqref="A3"/>
      <selection pane="bottomRight" activeCell="AE25" activeCellId="0" sqref="AE25"/>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10"/>
    <col collapsed="false" customWidth="true" hidden="false" outlineLevel="0" max="32" min="4" style="1" width="7.5"/>
    <col collapsed="false" customWidth="true" hidden="false" outlineLevel="0" max="33" min="33" style="1" width="12"/>
    <col collapsed="false" customWidth="true" hidden="false" outlineLevel="0" max="37" min="34" style="1" width="7.5"/>
    <col collapsed="false" customWidth="true" hidden="false" outlineLevel="0" max="44" min="39" style="1" width="10"/>
  </cols>
  <sheetData>
    <row r="1" customFormat="false" ht="33.75" hidden="false" customHeight="true" outlineLevel="0" collapsed="false">
      <c r="D1" s="54" t="s">
        <v>195</v>
      </c>
      <c r="E1" s="54"/>
      <c r="F1" s="54"/>
      <c r="G1" s="54"/>
      <c r="H1" s="54"/>
      <c r="I1" s="54"/>
      <c r="J1" s="54"/>
      <c r="K1" s="54"/>
      <c r="L1" s="54"/>
      <c r="M1" s="54"/>
      <c r="N1" s="54"/>
      <c r="O1" s="54"/>
      <c r="P1" s="54" t="s">
        <v>196</v>
      </c>
      <c r="Q1" s="54"/>
      <c r="R1" s="54"/>
      <c r="S1" s="54"/>
      <c r="T1" s="54"/>
      <c r="U1" s="54"/>
      <c r="V1" s="54"/>
      <c r="W1" s="54"/>
      <c r="X1" s="54"/>
      <c r="Y1" s="54" t="s">
        <v>197</v>
      </c>
      <c r="Z1" s="54"/>
      <c r="AA1" s="54"/>
      <c r="AB1" s="54"/>
      <c r="AC1" s="54"/>
      <c r="AD1" s="54"/>
      <c r="AE1" s="54"/>
      <c r="AH1" s="55" t="s">
        <v>198</v>
      </c>
      <c r="AI1" s="55"/>
      <c r="AJ1" s="55"/>
      <c r="AK1" s="55"/>
      <c r="AM1" s="56" t="s">
        <v>199</v>
      </c>
      <c r="AN1" s="56"/>
      <c r="AO1" s="56"/>
      <c r="AP1" s="56"/>
      <c r="AQ1" s="56"/>
      <c r="AR1" s="56"/>
    </row>
    <row r="2" customFormat="false" ht="30" hidden="false" customHeight="true" outlineLevel="0" collapsed="false">
      <c r="A2" s="18" t="s">
        <v>74</v>
      </c>
      <c r="B2" s="18" t="s">
        <v>185</v>
      </c>
      <c r="C2" s="18" t="s">
        <v>200</v>
      </c>
      <c r="D2" s="18" t="s">
        <v>201</v>
      </c>
      <c r="E2" s="18" t="s">
        <v>202</v>
      </c>
      <c r="F2" s="18" t="s">
        <v>203</v>
      </c>
      <c r="G2" s="18" t="s">
        <v>202</v>
      </c>
      <c r="H2" s="18" t="s">
        <v>204</v>
      </c>
      <c r="I2" s="18" t="s">
        <v>202</v>
      </c>
      <c r="J2" s="18" t="s">
        <v>205</v>
      </c>
      <c r="K2" s="18" t="s">
        <v>202</v>
      </c>
      <c r="L2" s="18" t="s">
        <v>206</v>
      </c>
      <c r="M2" s="18" t="s">
        <v>202</v>
      </c>
      <c r="N2" s="18" t="s">
        <v>207</v>
      </c>
      <c r="O2" s="18" t="s">
        <v>208</v>
      </c>
      <c r="P2" s="18" t="s">
        <v>209</v>
      </c>
      <c r="Q2" s="18" t="s">
        <v>202</v>
      </c>
      <c r="R2" s="18" t="s">
        <v>210</v>
      </c>
      <c r="S2" s="18" t="s">
        <v>202</v>
      </c>
      <c r="T2" s="18" t="s">
        <v>211</v>
      </c>
      <c r="U2" s="18" t="s">
        <v>202</v>
      </c>
      <c r="V2" s="18" t="s">
        <v>212</v>
      </c>
      <c r="W2" s="18" t="s">
        <v>202</v>
      </c>
      <c r="X2" s="18" t="s">
        <v>213</v>
      </c>
      <c r="Y2" s="18" t="s">
        <v>214</v>
      </c>
      <c r="Z2" s="18" t="s">
        <v>202</v>
      </c>
      <c r="AA2" s="18" t="s">
        <v>215</v>
      </c>
      <c r="AB2" s="18" t="s">
        <v>202</v>
      </c>
      <c r="AC2" s="18" t="s">
        <v>216</v>
      </c>
      <c r="AD2" s="18" t="s">
        <v>202</v>
      </c>
      <c r="AE2" s="18" t="s">
        <v>217</v>
      </c>
      <c r="AF2" s="18" t="s">
        <v>218</v>
      </c>
      <c r="AG2" s="18" t="s">
        <v>189</v>
      </c>
      <c r="AH2" s="57" t="s">
        <v>219</v>
      </c>
      <c r="AI2" s="57" t="s">
        <v>220</v>
      </c>
      <c r="AJ2" s="57" t="s">
        <v>221</v>
      </c>
      <c r="AK2" s="57" t="s">
        <v>222</v>
      </c>
      <c r="AM2" s="18" t="s">
        <v>223</v>
      </c>
      <c r="AN2" s="18" t="s">
        <v>224</v>
      </c>
      <c r="AO2" s="18" t="s">
        <v>225</v>
      </c>
      <c r="AP2" s="18" t="s">
        <v>226</v>
      </c>
      <c r="AQ2" s="18" t="s">
        <v>227</v>
      </c>
      <c r="AR2" s="18" t="s">
        <v>228</v>
      </c>
    </row>
    <row r="3" customFormat="false" ht="15" hidden="false" customHeight="true" outlineLevel="0" collapsed="false">
      <c r="A3" s="22" t="s">
        <v>101</v>
      </c>
      <c r="B3" s="22" t="s">
        <v>102</v>
      </c>
      <c r="C3" s="40" t="n">
        <v>46240</v>
      </c>
      <c r="D3" s="22" t="n">
        <v>3</v>
      </c>
      <c r="E3" s="22" t="s">
        <v>229</v>
      </c>
      <c r="F3" s="22" t="n">
        <v>3</v>
      </c>
      <c r="G3" s="22" t="s">
        <v>229</v>
      </c>
      <c r="H3" s="22" t="n">
        <v>4</v>
      </c>
      <c r="I3" s="22" t="s">
        <v>230</v>
      </c>
      <c r="J3" s="22" t="n">
        <v>5</v>
      </c>
      <c r="K3" s="22" t="s">
        <v>230</v>
      </c>
      <c r="L3" s="22" t="n">
        <v>4</v>
      </c>
      <c r="M3" s="22" t="s">
        <v>229</v>
      </c>
      <c r="N3" s="58" t="n">
        <f aca="false">IF(COUNT(D3,F3,H3,J3,L3)=0,"",(D3*0.2+F3*0.15+H3*0.15+J3*0.1+L3*0.1)/0.7)</f>
        <v>3.64285714285714</v>
      </c>
      <c r="O3" s="59" t="n">
        <f aca="false">IF(COUNT(D3,F3,H3,J3,L3)=0,"",D3*0.2+F3*0.15+H3*0.15+J3*0.1+L3*0.1)</f>
        <v>2.55</v>
      </c>
      <c r="P3" s="22" t="n">
        <v>4</v>
      </c>
      <c r="Q3" s="22" t="s">
        <v>229</v>
      </c>
      <c r="R3" s="22" t="n">
        <v>5</v>
      </c>
      <c r="S3" s="22" t="s">
        <v>229</v>
      </c>
      <c r="T3" s="22" t="n">
        <v>5</v>
      </c>
      <c r="U3" s="22" t="s">
        <v>230</v>
      </c>
      <c r="V3" s="22" t="n">
        <v>1</v>
      </c>
      <c r="W3" s="22" t="s">
        <v>230</v>
      </c>
      <c r="X3" s="59" t="n">
        <f aca="false">IF(COUNT(P3,R3,T3,V3)=0,"",P3*0.08+R3*0.06+T3*0.03+V3*0.08)</f>
        <v>0.85</v>
      </c>
      <c r="Y3" s="22" t="n">
        <v>5</v>
      </c>
      <c r="Z3" s="22" t="s">
        <v>230</v>
      </c>
      <c r="AA3" s="22" t="n">
        <v>3</v>
      </c>
      <c r="AB3" s="22" t="s">
        <v>229</v>
      </c>
      <c r="AC3" s="22" t="n">
        <v>3</v>
      </c>
      <c r="AD3" s="22" t="s">
        <v>231</v>
      </c>
      <c r="AE3" s="59" t="n">
        <f aca="false">IF(COUNT(Y3,AA3,AC3)=0,"",Y3*0.02+AA3*0.02+AC3*0.01)</f>
        <v>0.19</v>
      </c>
      <c r="AF3" s="60" t="n">
        <f aca="false">IF(OR(O3="",X3="",AE3=""),"",(O3+X3+AE3)*20)</f>
        <v>71.8</v>
      </c>
      <c r="AG3" s="42" t="str">
        <f aca="false">IF(AF3="","",IF(AF3&gt;=80,"STRONG BUY",IF(AF3&gt;=65,"BUY",IF(AF3&gt;=50,"WATCH LIST",IF(AF3&gt;=35,"AVOID","PASS")))))</f>
        <v>BUY</v>
      </c>
      <c r="AH3" s="42" t="str">
        <f aca="false">IF(N3="","",IF(N3&lt;3,"FAIL","OK"))</f>
        <v>OK</v>
      </c>
      <c r="AI3" s="42" t="str">
        <f aca="false">IF(COUNT(D3:L3)=0,"",IF(COUNTIF(D3:L3,1)&gt;0,"REVIEW","OK"))</f>
        <v>OK</v>
      </c>
      <c r="AJ3" s="42" t="str">
        <f aca="false">IF(COUNT(D3:L3)=0,"",IF(COUNTIF(D3:L3,"&lt;=2")&gt;=2,"AVOID","OK"))</f>
        <v>OK</v>
      </c>
      <c r="AK3" s="42" t="str">
        <f aca="false">IF(COUNTA(E3:M3)=0,"",IF(COUNTIF(E3:M3,"L")&gt;=2,"CAP AT BUY","OK"))</f>
        <v>OK</v>
      </c>
      <c r="AM3" s="61"/>
      <c r="AN3" s="61"/>
      <c r="AO3" s="42" t="str">
        <f aca="false">IF(OR(AM3="",AN3=""),"",IF(AM3&gt;AN3,"OK","LOW CONF"))</f>
        <v/>
      </c>
      <c r="AP3" s="62"/>
      <c r="AQ3" s="62"/>
      <c r="AR3" s="42" t="str">
        <f aca="false">IF(OR(AP3="",AQ3=""),"",IF(AP3&lt;AQ3,"Decreased",IF(AP3&gt;AQ3,"Increased","Flat")))</f>
        <v/>
      </c>
    </row>
    <row r="4" customFormat="false" ht="15" hidden="false" customHeight="true" outlineLevel="0" collapsed="false">
      <c r="A4" s="22" t="s">
        <v>131</v>
      </c>
      <c r="B4" s="22" t="s">
        <v>132</v>
      </c>
      <c r="C4" s="40" t="n">
        <v>46240</v>
      </c>
      <c r="D4" s="22" t="n">
        <v>3</v>
      </c>
      <c r="E4" s="22" t="s">
        <v>229</v>
      </c>
      <c r="F4" s="22" t="n">
        <v>4</v>
      </c>
      <c r="G4" s="22" t="s">
        <v>230</v>
      </c>
      <c r="H4" s="22" t="n">
        <v>5</v>
      </c>
      <c r="I4" s="22" t="s">
        <v>230</v>
      </c>
      <c r="J4" s="22" t="n">
        <v>4</v>
      </c>
      <c r="K4" s="22" t="s">
        <v>229</v>
      </c>
      <c r="L4" s="22" t="n">
        <v>5</v>
      </c>
      <c r="M4" s="22" t="s">
        <v>230</v>
      </c>
      <c r="N4" s="58" t="n">
        <f aca="false">IF(COUNT(D4,F4,H4,J4,L4)=0,"",(D4*0.2+F4*0.15+H4*0.15+J4*0.1+L4*0.1)/0.7)</f>
        <v>4.07142857142857</v>
      </c>
      <c r="O4" s="59" t="n">
        <f aca="false">IF(COUNT(D4,F4,H4,J4,L4)=0,"",D4*0.2+F4*0.15+H4*0.15+J4*0.1+L4*0.1)</f>
        <v>2.85</v>
      </c>
      <c r="P4" s="22" t="n">
        <v>4</v>
      </c>
      <c r="Q4" s="22" t="s">
        <v>230</v>
      </c>
      <c r="R4" s="22" t="n">
        <v>4</v>
      </c>
      <c r="S4" s="22" t="s">
        <v>231</v>
      </c>
      <c r="T4" s="22" t="n">
        <v>4</v>
      </c>
      <c r="U4" s="22" t="s">
        <v>229</v>
      </c>
      <c r="V4" s="22" t="n">
        <v>4</v>
      </c>
      <c r="W4" s="22" t="s">
        <v>229</v>
      </c>
      <c r="X4" s="59" t="n">
        <f aca="false">IF(COUNT(P4,R4,T4,V4)=0,"",P4*0.08+R4*0.06+T4*0.03+V4*0.08)</f>
        <v>1</v>
      </c>
      <c r="Y4" s="22" t="n">
        <v>3</v>
      </c>
      <c r="Z4" s="22" t="s">
        <v>229</v>
      </c>
      <c r="AA4" s="22" t="n">
        <v>5</v>
      </c>
      <c r="AB4" s="22" t="s">
        <v>230</v>
      </c>
      <c r="AC4" s="22" t="n">
        <v>3</v>
      </c>
      <c r="AD4" s="22" t="s">
        <v>229</v>
      </c>
      <c r="AE4" s="59" t="n">
        <f aca="false">IF(COUNT(Y4,AA4,AC4)=0,"",Y4*0.02+AA4*0.02+AC4*0.01)</f>
        <v>0.19</v>
      </c>
      <c r="AF4" s="60" t="n">
        <f aca="false">IF(OR(O4="",X4="",AE4=""),"",(O4+X4+AE4)*20)</f>
        <v>80.8</v>
      </c>
      <c r="AG4" s="42" t="str">
        <f aca="false">IF(AF4="","",IF(AF4&gt;=80,"STRONG BUY",IF(AF4&gt;=65,"BUY",IF(AF4&gt;=50,"WATCH LIST",IF(AF4&gt;=35,"AVOID","PASS")))))</f>
        <v>STRONG BUY</v>
      </c>
      <c r="AH4" s="42" t="str">
        <f aca="false">IF(N4="","",IF(N4&lt;3,"FAIL","OK"))</f>
        <v>OK</v>
      </c>
      <c r="AI4" s="42" t="str">
        <f aca="false">IF(COUNT(D4:L4)=0,"",IF(COUNTIF(D4:L4,1)&gt;0,"REVIEW","OK"))</f>
        <v>OK</v>
      </c>
      <c r="AJ4" s="42" t="str">
        <f aca="false">IF(COUNT(D4:L4)=0,"",IF(COUNTIF(D4:L4,"&lt;=2")&gt;=2,"AVOID","OK"))</f>
        <v>OK</v>
      </c>
      <c r="AK4" s="42" t="str">
        <f aca="false">IF(COUNTA(E4:M4)=0,"",IF(COUNTIF(E4:M4,"L")&gt;=2,"CAP AT BUY","OK"))</f>
        <v>OK</v>
      </c>
      <c r="AM4" s="61"/>
      <c r="AN4" s="61"/>
      <c r="AO4" s="42" t="str">
        <f aca="false">IF(OR(AM4="",AN4=""),"",IF(AM4&gt;AN4,"OK","LOW CONF"))</f>
        <v/>
      </c>
      <c r="AP4" s="62"/>
      <c r="AQ4" s="62"/>
      <c r="AR4" s="42" t="str">
        <f aca="false">IF(OR(AP4="",AQ4=""),"",IF(AP4&lt;AQ4,"Decreased",IF(AP4&gt;AQ4,"Increased","Flat")))</f>
        <v/>
      </c>
    </row>
    <row r="5" customFormat="false" ht="15" hidden="false" customHeight="true" outlineLevel="0" collapsed="false">
      <c r="A5" s="22" t="s">
        <v>105</v>
      </c>
      <c r="B5" s="22" t="s">
        <v>106</v>
      </c>
      <c r="C5" s="40" t="n">
        <v>46240</v>
      </c>
      <c r="D5" s="22" t="n">
        <v>2</v>
      </c>
      <c r="E5" s="22" t="s">
        <v>230</v>
      </c>
      <c r="F5" s="22" t="n">
        <v>5</v>
      </c>
      <c r="G5" s="22" t="s">
        <v>230</v>
      </c>
      <c r="H5" s="22" t="n">
        <v>5</v>
      </c>
      <c r="I5" s="22" t="s">
        <v>229</v>
      </c>
      <c r="J5" s="22" t="n">
        <v>4</v>
      </c>
      <c r="K5" s="22" t="s">
        <v>229</v>
      </c>
      <c r="L5" s="22" t="n">
        <v>5</v>
      </c>
      <c r="M5" s="22" t="s">
        <v>230</v>
      </c>
      <c r="N5" s="58" t="n">
        <f aca="false">IF(COUNT(D5,F5,H5,J5,L5)=0,"",(D5*0.2+F5*0.15+H5*0.15+J5*0.1+L5*0.1)/0.7)</f>
        <v>4</v>
      </c>
      <c r="O5" s="59" t="n">
        <f aca="false">IF(COUNT(D5,F5,H5,J5,L5)=0,"",D5*0.2+F5*0.15+H5*0.15+J5*0.1+L5*0.1)</f>
        <v>2.8</v>
      </c>
      <c r="P5" s="22" t="n">
        <v>3</v>
      </c>
      <c r="Q5" s="22" t="s">
        <v>229</v>
      </c>
      <c r="R5" s="22" t="n">
        <v>5</v>
      </c>
      <c r="S5" s="22" t="s">
        <v>230</v>
      </c>
      <c r="T5" s="22" t="n">
        <v>3</v>
      </c>
      <c r="U5" s="22" t="s">
        <v>229</v>
      </c>
      <c r="V5" s="22" t="n">
        <v>2</v>
      </c>
      <c r="W5" s="22" t="s">
        <v>229</v>
      </c>
      <c r="X5" s="59" t="n">
        <f aca="false">IF(COUNT(P5,R5,T5,V5)=0,"",P5*0.08+R5*0.06+T5*0.03+V5*0.08)</f>
        <v>0.79</v>
      </c>
      <c r="Y5" s="22" t="n">
        <v>3</v>
      </c>
      <c r="Z5" s="22" t="s">
        <v>231</v>
      </c>
      <c r="AA5" s="22" t="n">
        <v>4</v>
      </c>
      <c r="AB5" s="22" t="s">
        <v>229</v>
      </c>
      <c r="AC5" s="22" t="n">
        <v>3</v>
      </c>
      <c r="AD5" s="22" t="s">
        <v>231</v>
      </c>
      <c r="AE5" s="59" t="n">
        <f aca="false">IF(COUNT(Y5,AA5,AC5)=0,"",Y5*0.02+AA5*0.02+AC5*0.01)</f>
        <v>0.17</v>
      </c>
      <c r="AF5" s="60" t="n">
        <f aca="false">IF(OR(O5="",X5="",AE5=""),"",(O5+X5+AE5)*20)</f>
        <v>75.2</v>
      </c>
      <c r="AG5" s="42" t="str">
        <f aca="false">IF(AF5="","",IF(AF5&gt;=80,"STRONG BUY",IF(AF5&gt;=65,"BUY",IF(AF5&gt;=50,"WATCH LIST",IF(AF5&gt;=35,"AVOID","PASS")))))</f>
        <v>BUY</v>
      </c>
      <c r="AH5" s="42" t="str">
        <f aca="false">IF(N5="","",IF(N5&lt;3,"FAIL","OK"))</f>
        <v>OK</v>
      </c>
      <c r="AI5" s="42" t="str">
        <f aca="false">IF(COUNT(D5:L5)=0,"",IF(COUNTIF(D5:L5,1)&gt;0,"REVIEW","OK"))</f>
        <v>OK</v>
      </c>
      <c r="AJ5" s="42" t="str">
        <f aca="false">IF(COUNT(D5:L5)=0,"",IF(COUNTIF(D5:L5,"&lt;=2")&gt;=2,"AVOID","OK"))</f>
        <v>OK</v>
      </c>
      <c r="AK5" s="42" t="str">
        <f aca="false">IF(COUNTA(E5:M5)=0,"",IF(COUNTIF(E5:M5,"L")&gt;=2,"CAP AT BUY","OK"))</f>
        <v>OK</v>
      </c>
      <c r="AM5" s="61"/>
      <c r="AN5" s="61"/>
      <c r="AO5" s="42" t="str">
        <f aca="false">IF(OR(AM5="",AN5=""),"",IF(AM5&gt;AN5,"OK","LOW CONF"))</f>
        <v/>
      </c>
      <c r="AP5" s="62"/>
      <c r="AQ5" s="62"/>
      <c r="AR5" s="42" t="str">
        <f aca="false">IF(OR(AP5="",AQ5=""),"",IF(AP5&lt;AQ5,"Decreased",IF(AP5&gt;AQ5,"Increased","Flat")))</f>
        <v/>
      </c>
    </row>
    <row r="6" customFormat="false" ht="15" hidden="false" customHeight="true" outlineLevel="0" collapsed="false">
      <c r="A6" s="22" t="s">
        <v>103</v>
      </c>
      <c r="B6" s="22" t="s">
        <v>104</v>
      </c>
      <c r="C6" s="40" t="n">
        <v>46240</v>
      </c>
      <c r="D6" s="22" t="n">
        <v>4</v>
      </c>
      <c r="E6" s="22" t="s">
        <v>230</v>
      </c>
      <c r="F6" s="22" t="n">
        <v>5</v>
      </c>
      <c r="G6" s="22" t="s">
        <v>230</v>
      </c>
      <c r="H6" s="22" t="n">
        <v>5</v>
      </c>
      <c r="I6" s="22" t="s">
        <v>230</v>
      </c>
      <c r="J6" s="22" t="n">
        <v>4</v>
      </c>
      <c r="K6" s="22" t="s">
        <v>230</v>
      </c>
      <c r="L6" s="22" t="n">
        <v>5</v>
      </c>
      <c r="M6" s="22" t="s">
        <v>230</v>
      </c>
      <c r="N6" s="58" t="n">
        <f aca="false">IF(COUNT(D6,F6,H6,J6,L6)=0,"",(D6*0.2+F6*0.15+H6*0.15+J6*0.1+L6*0.1)/0.7)</f>
        <v>4.57142857142857</v>
      </c>
      <c r="O6" s="59" t="n">
        <f aca="false">IF(COUNT(D6,F6,H6,J6,L6)=0,"",D6*0.2+F6*0.15+H6*0.15+J6*0.1+L6*0.1)</f>
        <v>3.2</v>
      </c>
      <c r="P6" s="22" t="n">
        <v>5</v>
      </c>
      <c r="Q6" s="22" t="s">
        <v>230</v>
      </c>
      <c r="R6" s="22" t="n">
        <v>5</v>
      </c>
      <c r="S6" s="22" t="s">
        <v>230</v>
      </c>
      <c r="T6" s="22" t="n">
        <v>5</v>
      </c>
      <c r="U6" s="22" t="s">
        <v>230</v>
      </c>
      <c r="V6" s="22" t="n">
        <v>5</v>
      </c>
      <c r="W6" s="22" t="s">
        <v>229</v>
      </c>
      <c r="X6" s="59" t="n">
        <f aca="false">IF(COUNT(P6,R6,T6,V6)=0,"",P6*0.08+R6*0.06+T6*0.03+V6*0.08)</f>
        <v>1.25</v>
      </c>
      <c r="Y6" s="22" t="n">
        <v>4</v>
      </c>
      <c r="Z6" s="22" t="s">
        <v>229</v>
      </c>
      <c r="AA6" s="22" t="n">
        <v>5</v>
      </c>
      <c r="AB6" s="22" t="s">
        <v>229</v>
      </c>
      <c r="AC6" s="22" t="n">
        <v>3</v>
      </c>
      <c r="AD6" s="22" t="s">
        <v>231</v>
      </c>
      <c r="AE6" s="59" t="n">
        <f aca="false">IF(COUNT(Y6,AA6,AC6)=0,"",Y6*0.02+AA6*0.02+AC6*0.01)</f>
        <v>0.21</v>
      </c>
      <c r="AF6" s="60" t="n">
        <f aca="false">IF(OR(O6="",X6="",AE6=""),"",(O6+X6+AE6)*20)</f>
        <v>93.2</v>
      </c>
      <c r="AG6" s="42" t="str">
        <f aca="false">IF(AF6="","",IF(AF6&gt;=80,"STRONG BUY",IF(AF6&gt;=65,"BUY",IF(AF6&gt;=50,"WATCH LIST",IF(AF6&gt;=35,"AVOID","PASS")))))</f>
        <v>STRONG BUY</v>
      </c>
      <c r="AH6" s="42" t="str">
        <f aca="false">IF(N6="","",IF(N6&lt;3,"FAIL","OK"))</f>
        <v>OK</v>
      </c>
      <c r="AI6" s="42" t="str">
        <f aca="false">IF(COUNT(D6:L6)=0,"",IF(COUNTIF(D6:L6,1)&gt;0,"REVIEW","OK"))</f>
        <v>OK</v>
      </c>
      <c r="AJ6" s="42" t="str">
        <f aca="false">IF(COUNT(D6:L6)=0,"",IF(COUNTIF(D6:L6,"&lt;=2")&gt;=2,"AVOID","OK"))</f>
        <v>OK</v>
      </c>
      <c r="AK6" s="42" t="str">
        <f aca="false">IF(COUNTA(E6:M6)=0,"",IF(COUNTIF(E6:M6,"L")&gt;=2,"CAP AT BUY","OK"))</f>
        <v>OK</v>
      </c>
      <c r="AM6" s="61"/>
      <c r="AN6" s="61"/>
      <c r="AO6" s="42" t="str">
        <f aca="false">IF(OR(AM6="",AN6=""),"",IF(AM6&gt;AN6,"OK","LOW CONF"))</f>
        <v/>
      </c>
      <c r="AP6" s="62"/>
      <c r="AQ6" s="62"/>
      <c r="AR6" s="42" t="str">
        <f aca="false">IF(OR(AP6="",AQ6=""),"",IF(AP6&lt;AQ6,"Decreased",IF(AP6&gt;AQ6,"Increased","Flat")))</f>
        <v/>
      </c>
    </row>
    <row r="7" customFormat="false" ht="15" hidden="false" customHeight="true" outlineLevel="0" collapsed="false">
      <c r="A7" s="22" t="s">
        <v>133</v>
      </c>
      <c r="B7" s="22" t="s">
        <v>134</v>
      </c>
      <c r="C7" s="40" t="n">
        <v>46241</v>
      </c>
      <c r="D7" s="22" t="n">
        <v>4</v>
      </c>
      <c r="E7" s="22" t="s">
        <v>230</v>
      </c>
      <c r="F7" s="22" t="n">
        <v>3</v>
      </c>
      <c r="G7" s="22" t="s">
        <v>229</v>
      </c>
      <c r="H7" s="22" t="n">
        <v>4</v>
      </c>
      <c r="I7" s="22" t="s">
        <v>229</v>
      </c>
      <c r="J7" s="22" t="n">
        <v>4</v>
      </c>
      <c r="K7" s="22" t="s">
        <v>229</v>
      </c>
      <c r="L7" s="22" t="n">
        <v>4</v>
      </c>
      <c r="M7" s="22" t="s">
        <v>230</v>
      </c>
      <c r="N7" s="58" t="n">
        <f aca="false">IF(COUNT(D7,F7,H7,J7,L7)=0,"",(D7*0.2+F7*0.15+H7*0.15+J7*0.1+L7*0.1)/0.7)</f>
        <v>3.78571428571429</v>
      </c>
      <c r="O7" s="59" t="n">
        <f aca="false">IF(COUNT(D7,F7,H7,J7,L7)=0,"",D7*0.2+F7*0.15+H7*0.15+J7*0.1+L7*0.1)</f>
        <v>2.65</v>
      </c>
      <c r="P7" s="22" t="n">
        <v>3</v>
      </c>
      <c r="Q7" s="22" t="s">
        <v>229</v>
      </c>
      <c r="R7" s="22" t="n">
        <v>4</v>
      </c>
      <c r="S7" s="22" t="s">
        <v>229</v>
      </c>
      <c r="T7" s="22" t="n">
        <v>4</v>
      </c>
      <c r="U7" s="22" t="s">
        <v>229</v>
      </c>
      <c r="V7" s="22" t="n">
        <v>4</v>
      </c>
      <c r="W7" s="22" t="s">
        <v>229</v>
      </c>
      <c r="X7" s="59" t="n">
        <f aca="false">IF(COUNT(P7,R7,T7,V7)=0,"",P7*0.08+R7*0.06+T7*0.03+V7*0.08)</f>
        <v>0.92</v>
      </c>
      <c r="Y7" s="22" t="n">
        <v>4</v>
      </c>
      <c r="Z7" s="22" t="s">
        <v>229</v>
      </c>
      <c r="AA7" s="22" t="n">
        <v>5</v>
      </c>
      <c r="AB7" s="22" t="s">
        <v>230</v>
      </c>
      <c r="AC7" s="22" t="n">
        <v>3</v>
      </c>
      <c r="AD7" s="22" t="s">
        <v>231</v>
      </c>
      <c r="AE7" s="59" t="n">
        <f aca="false">IF(COUNT(Y7,AA7,AC7)=0,"",Y7*0.02+AA7*0.02+AC7*0.01)</f>
        <v>0.21</v>
      </c>
      <c r="AF7" s="60" t="n">
        <f aca="false">IF(OR(O7="",X7="",AE7=""),"",(O7+X7+AE7)*20)</f>
        <v>75.6</v>
      </c>
      <c r="AG7" s="42" t="str">
        <f aca="false">IF(AF7="","",IF(AF7&gt;=80,"STRONG BUY",IF(AF7&gt;=65,"BUY",IF(AF7&gt;=50,"WATCH LIST",IF(AF7&gt;=35,"AVOID","PASS")))))</f>
        <v>BUY</v>
      </c>
      <c r="AH7" s="42" t="str">
        <f aca="false">IF(N7="","",IF(N7&lt;3,"FAIL","OK"))</f>
        <v>OK</v>
      </c>
      <c r="AI7" s="42" t="str">
        <f aca="false">IF(COUNT(D7:L7)=0,"",IF(COUNTIF(D7:L7,1)&gt;0,"REVIEW","OK"))</f>
        <v>OK</v>
      </c>
      <c r="AJ7" s="42" t="str">
        <f aca="false">IF(COUNT(D7:L7)=0,"",IF(COUNTIF(D7:L7,"&lt;=2")&gt;=2,"AVOID","OK"))</f>
        <v>OK</v>
      </c>
      <c r="AK7" s="42" t="str">
        <f aca="false">IF(COUNTA(E7:M7)=0,"",IF(COUNTIF(E7:M7,"L")&gt;=2,"CAP AT BUY","OK"))</f>
        <v>OK</v>
      </c>
      <c r="AM7" s="61"/>
      <c r="AN7" s="61"/>
      <c r="AO7" s="42" t="str">
        <f aca="false">IF(OR(AM7="",AN7=""),"",IF(AM7&gt;AN7,"OK","LOW CONF"))</f>
        <v/>
      </c>
      <c r="AP7" s="62"/>
      <c r="AQ7" s="62"/>
      <c r="AR7" s="42" t="str">
        <f aca="false">IF(OR(AP7="",AQ7=""),"",IF(AP7&lt;AQ7,"Decreased",IF(AP7&gt;AQ7,"Increased","Flat")))</f>
        <v/>
      </c>
    </row>
    <row r="8" customFormat="false" ht="15" hidden="false" customHeight="true" outlineLevel="0" collapsed="false">
      <c r="A8" s="22" t="s">
        <v>140</v>
      </c>
      <c r="B8" s="22" t="s">
        <v>232</v>
      </c>
      <c r="C8" s="40" t="n">
        <v>46240</v>
      </c>
      <c r="D8" s="22" t="n">
        <v>4</v>
      </c>
      <c r="E8" s="22" t="s">
        <v>229</v>
      </c>
      <c r="F8" s="22" t="n">
        <v>4</v>
      </c>
      <c r="G8" s="22" t="s">
        <v>229</v>
      </c>
      <c r="H8" s="22" t="n">
        <v>5</v>
      </c>
      <c r="I8" s="22" t="s">
        <v>230</v>
      </c>
      <c r="J8" s="22" t="n">
        <v>4</v>
      </c>
      <c r="K8" s="22" t="s">
        <v>229</v>
      </c>
      <c r="L8" s="22" t="n">
        <v>5</v>
      </c>
      <c r="M8" s="22" t="s">
        <v>230</v>
      </c>
      <c r="N8" s="58" t="n">
        <f aca="false">IF(COUNT(D8,F8,H8,J8,L8)=0,"",(D8*0.2+F8*0.15+H8*0.15+J8*0.1+L8*0.1)/0.7)</f>
        <v>4.35714285714286</v>
      </c>
      <c r="O8" s="59" t="n">
        <f aca="false">IF(COUNT(D8,F8,H8,J8,L8)=0,"",D8*0.2+F8*0.15+H8*0.15+J8*0.1+L8*0.1)</f>
        <v>3.05</v>
      </c>
      <c r="P8" s="22" t="n">
        <v>5</v>
      </c>
      <c r="Q8" s="22" t="s">
        <v>230</v>
      </c>
      <c r="R8" s="22" t="n">
        <v>3</v>
      </c>
      <c r="S8" s="22" t="s">
        <v>231</v>
      </c>
      <c r="T8" s="22" t="n">
        <v>4</v>
      </c>
      <c r="U8" s="22" t="s">
        <v>231</v>
      </c>
      <c r="V8" s="22" t="n">
        <v>2</v>
      </c>
      <c r="W8" s="22" t="s">
        <v>230</v>
      </c>
      <c r="X8" s="59" t="n">
        <f aca="false">IF(COUNT(P8,R8,T8,V8)=0,"",P8*0.08+R8*0.06+T8*0.03+V8*0.08)</f>
        <v>0.86</v>
      </c>
      <c r="Y8" s="22" t="n">
        <v>4</v>
      </c>
      <c r="Z8" s="22" t="s">
        <v>231</v>
      </c>
      <c r="AA8" s="22" t="n">
        <v>4</v>
      </c>
      <c r="AB8" s="22" t="s">
        <v>229</v>
      </c>
      <c r="AC8" s="22" t="n">
        <v>3</v>
      </c>
      <c r="AD8" s="22" t="s">
        <v>231</v>
      </c>
      <c r="AE8" s="59" t="n">
        <f aca="false">IF(COUNT(Y8,AA8,AC8)=0,"",Y8*0.02+AA8*0.02+AC8*0.01)</f>
        <v>0.19</v>
      </c>
      <c r="AF8" s="60" t="n">
        <f aca="false">IF(OR(O8="",X8="",AE8=""),"",(O8+X8+AE8)*20)</f>
        <v>82</v>
      </c>
      <c r="AG8" s="42" t="str">
        <f aca="false">IF(AF8="","",IF(AF8&gt;=80,"STRONG BUY",IF(AF8&gt;=65,"BUY",IF(AF8&gt;=50,"WATCH LIST",IF(AF8&gt;=35,"AVOID","PASS")))))</f>
        <v>STRONG BUY</v>
      </c>
      <c r="AH8" s="42" t="str">
        <f aca="false">IF(N8="","",IF(N8&lt;3,"FAIL","OK"))</f>
        <v>OK</v>
      </c>
      <c r="AI8" s="42" t="str">
        <f aca="false">IF(COUNT(D8:L8)=0,"",IF(COUNTIF(D8:L8,1)&gt;0,"REVIEW","OK"))</f>
        <v>OK</v>
      </c>
      <c r="AJ8" s="42" t="str">
        <f aca="false">IF(COUNT(D8:L8)=0,"",IF(COUNTIF(D8:L8,"&lt;=2")&gt;=2,"AVOID","OK"))</f>
        <v>OK</v>
      </c>
      <c r="AK8" s="42" t="str">
        <f aca="false">IF(COUNTA(E8:M8)=0,"",IF(COUNTIF(E8:M8,"L")&gt;=2,"CAP AT BUY","OK"))</f>
        <v>OK</v>
      </c>
      <c r="AM8" s="61"/>
      <c r="AN8" s="61"/>
      <c r="AO8" s="42" t="str">
        <f aca="false">IF(OR(AM8="",AN8=""),"",IF(AM8&gt;AN8,"OK","LOW CONF"))</f>
        <v/>
      </c>
      <c r="AP8" s="62"/>
      <c r="AQ8" s="62"/>
      <c r="AR8" s="42" t="str">
        <f aca="false">IF(OR(AP8="",AQ8=""),"",IF(AP8&lt;AQ8,"Decreased",IF(AP8&gt;AQ8,"Increased","Flat")))</f>
        <v/>
      </c>
    </row>
    <row r="9" customFormat="false" ht="15" hidden="false" customHeight="true" outlineLevel="0" collapsed="false">
      <c r="A9" s="22" t="s">
        <v>143</v>
      </c>
      <c r="B9" s="22" t="s">
        <v>144</v>
      </c>
      <c r="C9" s="40" t="n">
        <v>46240</v>
      </c>
      <c r="D9" s="22" t="n">
        <v>2</v>
      </c>
      <c r="E9" s="22" t="s">
        <v>229</v>
      </c>
      <c r="F9" s="22" t="n">
        <v>2</v>
      </c>
      <c r="G9" s="22" t="s">
        <v>229</v>
      </c>
      <c r="H9" s="22" t="n">
        <v>2</v>
      </c>
      <c r="I9" s="22" t="s">
        <v>229</v>
      </c>
      <c r="J9" s="22" t="n">
        <v>2</v>
      </c>
      <c r="K9" s="22" t="s">
        <v>229</v>
      </c>
      <c r="L9" s="22" t="n">
        <v>1</v>
      </c>
      <c r="M9" s="22" t="s">
        <v>230</v>
      </c>
      <c r="N9" s="58" t="n">
        <f aca="false">IF(COUNT(D9,F9,H9,J9,L9)=0,"",(D9*0.2+F9*0.15+H9*0.15+J9*0.1+L9*0.1)/0.7)</f>
        <v>1.85714285714286</v>
      </c>
      <c r="O9" s="59" t="n">
        <f aca="false">IF(COUNT(D9,F9,H9,J9,L9)=0,"",D9*0.2+F9*0.15+H9*0.15+J9*0.1+L9*0.1)</f>
        <v>1.3</v>
      </c>
      <c r="P9" s="22"/>
      <c r="Q9" s="22"/>
      <c r="R9" s="22"/>
      <c r="S9" s="22"/>
      <c r="T9" s="22"/>
      <c r="U9" s="22"/>
      <c r="V9" s="22"/>
      <c r="W9" s="22"/>
      <c r="X9" s="59" t="str">
        <f aca="false">IF(COUNT(P9,R9,T9,V9)=0,"",P9*0.08+R9*0.06+T9*0.03+V9*0.08)</f>
        <v/>
      </c>
      <c r="Y9" s="22"/>
      <c r="Z9" s="22"/>
      <c r="AA9" s="22"/>
      <c r="AB9" s="22"/>
      <c r="AC9" s="22"/>
      <c r="AD9" s="22"/>
      <c r="AE9" s="59" t="str">
        <f aca="false">IF(COUNT(Y9,AA9,AC9)=0,"",Y9*0.02+AA9*0.02+AC9*0.01)</f>
        <v/>
      </c>
      <c r="AF9" s="60" t="str">
        <f aca="false">IF(OR(O9="",X9="",AE9=""),"",(O9+X9+AE9)*20)</f>
        <v/>
      </c>
      <c r="AG9" s="42" t="str">
        <f aca="false">IF(AF9="","",IF(AF9&gt;=80,"STRONG BUY",IF(AF9&gt;=65,"BUY",IF(AF9&gt;=50,"WATCH LIST",IF(AF9&gt;=35,"AVOID","PASS")))))</f>
        <v/>
      </c>
      <c r="AH9" s="42" t="str">
        <f aca="false">IF(N9="","",IF(N9&lt;3,"FAIL","OK"))</f>
        <v>FAIL</v>
      </c>
      <c r="AI9" s="42" t="str">
        <f aca="false">IF(COUNT(D9:L9)=0,"",IF(COUNTIF(D9:L9,1)&gt;0,"REVIEW","OK"))</f>
        <v>REVIEW</v>
      </c>
      <c r="AJ9" s="42" t="str">
        <f aca="false">IF(COUNT(D9:L9)=0,"",IF(COUNTIF(D9:L9,"&lt;=2")&gt;=2,"AVOID","OK"))</f>
        <v>AVOID</v>
      </c>
      <c r="AK9" s="42" t="str">
        <f aca="false">IF(COUNTA(E9:M9)=0,"",IF(COUNTIF(E9:M9,"L")&gt;=2,"CAP AT BUY","OK"))</f>
        <v>OK</v>
      </c>
      <c r="AM9" s="61"/>
      <c r="AN9" s="61"/>
      <c r="AO9" s="42" t="str">
        <f aca="false">IF(OR(AM9="",AN9=""),"",IF(AM9&gt;AN9,"OK","LOW CONF"))</f>
        <v/>
      </c>
      <c r="AP9" s="62"/>
      <c r="AQ9" s="62"/>
      <c r="AR9" s="42" t="str">
        <f aca="false">IF(OR(AP9="",AQ9=""),"",IF(AP9&lt;AQ9,"Decreased",IF(AP9&gt;AQ9,"Increased","Flat")))</f>
        <v/>
      </c>
    </row>
    <row r="10" customFormat="false" ht="15" hidden="false" customHeight="true" outlineLevel="0" collapsed="false">
      <c r="A10" s="22" t="s">
        <v>154</v>
      </c>
      <c r="B10" s="22" t="s">
        <v>155</v>
      </c>
      <c r="C10" s="40" t="n">
        <v>46240</v>
      </c>
      <c r="D10" s="22" t="n">
        <v>2</v>
      </c>
      <c r="E10" s="22" t="s">
        <v>229</v>
      </c>
      <c r="F10" s="22" t="n">
        <v>4</v>
      </c>
      <c r="G10" s="22" t="s">
        <v>230</v>
      </c>
      <c r="H10" s="22" t="n">
        <v>3</v>
      </c>
      <c r="I10" s="22" t="s">
        <v>229</v>
      </c>
      <c r="J10" s="22" t="n">
        <v>2</v>
      </c>
      <c r="K10" s="22" t="s">
        <v>229</v>
      </c>
      <c r="L10" s="22" t="n">
        <v>2</v>
      </c>
      <c r="M10" s="22" t="s">
        <v>230</v>
      </c>
      <c r="N10" s="58" t="n">
        <f aca="false">IF(COUNT(D10,F10,H10,J10,L10)=0,"",(D10*0.2+F10*0.15+H10*0.15+J10*0.1+L10*0.1)/0.7)</f>
        <v>2.64285714285714</v>
      </c>
      <c r="O10" s="59" t="n">
        <f aca="false">IF(COUNT(D10,F10,H10,J10,L10)=0,"",D10*0.2+F10*0.15+H10*0.15+J10*0.1+L10*0.1)</f>
        <v>1.85</v>
      </c>
      <c r="P10" s="22"/>
      <c r="Q10" s="22"/>
      <c r="R10" s="22"/>
      <c r="S10" s="22"/>
      <c r="T10" s="22"/>
      <c r="U10" s="22"/>
      <c r="V10" s="22"/>
      <c r="W10" s="22"/>
      <c r="X10" s="59" t="str">
        <f aca="false">IF(COUNT(P10,R10,T10,V10)=0,"",P10*0.08+R10*0.06+T10*0.03+V10*0.08)</f>
        <v/>
      </c>
      <c r="Y10" s="22"/>
      <c r="Z10" s="22"/>
      <c r="AA10" s="22"/>
      <c r="AB10" s="22"/>
      <c r="AC10" s="22"/>
      <c r="AD10" s="22"/>
      <c r="AE10" s="59" t="str">
        <f aca="false">IF(COUNT(Y10,AA10,AC10)=0,"",Y10*0.02+AA10*0.02+AC10*0.01)</f>
        <v/>
      </c>
      <c r="AF10" s="60" t="str">
        <f aca="false">IF(OR(O10="",X10="",AE10=""),"",(O10+X10+AE10)*20)</f>
        <v/>
      </c>
      <c r="AG10" s="42" t="str">
        <f aca="false">IF(AF10="","",IF(AF10&gt;=80,"STRONG BUY",IF(AF10&gt;=65,"BUY",IF(AF10&gt;=50,"WATCH LIST",IF(AF10&gt;=35,"AVOID","PASS")))))</f>
        <v/>
      </c>
      <c r="AH10" s="42" t="str">
        <f aca="false">IF(N10="","",IF(N10&lt;3,"FAIL","OK"))</f>
        <v>FAIL</v>
      </c>
      <c r="AI10" s="42" t="str">
        <f aca="false">IF(COUNT(D10:L10)=0,"",IF(COUNTIF(D10:L10,1)&gt;0,"REVIEW","OK"))</f>
        <v>OK</v>
      </c>
      <c r="AJ10" s="42" t="str">
        <f aca="false">IF(COUNT(D10:L10)=0,"",IF(COUNTIF(D10:L10,"&lt;=2")&gt;=2,"AVOID","OK"))</f>
        <v>AVOID</v>
      </c>
      <c r="AK10" s="42" t="str">
        <f aca="false">IF(COUNTA(E10:M10)=0,"",IF(COUNTIF(E10:M10,"L")&gt;=2,"CAP AT BUY","OK"))</f>
        <v>OK</v>
      </c>
      <c r="AM10" s="61"/>
      <c r="AN10" s="61"/>
      <c r="AO10" s="42" t="str">
        <f aca="false">IF(OR(AM10="",AN10=""),"",IF(AM10&gt;AN10,"OK","LOW CONF"))</f>
        <v/>
      </c>
      <c r="AP10" s="62"/>
      <c r="AQ10" s="62"/>
      <c r="AR10" s="42" t="str">
        <f aca="false">IF(OR(AP10="",AQ10=""),"",IF(AP10&lt;AQ10,"Decreased",IF(AP10&gt;AQ10,"Increased","Flat")))</f>
        <v/>
      </c>
    </row>
    <row r="11" customFormat="false" ht="15" hidden="false" customHeight="true" outlineLevel="0" collapsed="false">
      <c r="A11" s="22" t="s">
        <v>146</v>
      </c>
      <c r="B11" s="22" t="s">
        <v>147</v>
      </c>
      <c r="C11" s="40" t="n">
        <v>46240</v>
      </c>
      <c r="D11" s="22" t="n">
        <v>1</v>
      </c>
      <c r="E11" s="22" t="s">
        <v>230</v>
      </c>
      <c r="F11" s="22" t="n">
        <v>2</v>
      </c>
      <c r="G11" s="22" t="s">
        <v>229</v>
      </c>
      <c r="H11" s="22" t="n">
        <v>3</v>
      </c>
      <c r="I11" s="22" t="s">
        <v>229</v>
      </c>
      <c r="J11" s="22" t="n">
        <v>3</v>
      </c>
      <c r="K11" s="22" t="s">
        <v>229</v>
      </c>
      <c r="L11" s="22" t="n">
        <v>1</v>
      </c>
      <c r="M11" s="22" t="s">
        <v>230</v>
      </c>
      <c r="N11" s="58" t="n">
        <f aca="false">IF(COUNT(D11,F11,H11,J11,L11)=0,"",(D11*0.2+F11*0.15+H11*0.15+J11*0.1+L11*0.1)/0.7)</f>
        <v>1.92857142857143</v>
      </c>
      <c r="O11" s="59" t="n">
        <f aca="false">IF(COUNT(D11,F11,H11,J11,L11)=0,"",D11*0.2+F11*0.15+H11*0.15+J11*0.1+L11*0.1)</f>
        <v>1.35</v>
      </c>
      <c r="P11" s="22"/>
      <c r="Q11" s="22"/>
      <c r="R11" s="22"/>
      <c r="S11" s="22"/>
      <c r="T11" s="22"/>
      <c r="U11" s="22"/>
      <c r="V11" s="22"/>
      <c r="W11" s="22"/>
      <c r="X11" s="59" t="str">
        <f aca="false">IF(COUNT(P11,R11,T11,V11)=0,"",P11*0.08+R11*0.06+T11*0.03+V11*0.08)</f>
        <v/>
      </c>
      <c r="Y11" s="22"/>
      <c r="Z11" s="22"/>
      <c r="AA11" s="22"/>
      <c r="AB11" s="22"/>
      <c r="AC11" s="22"/>
      <c r="AD11" s="22"/>
      <c r="AE11" s="59" t="str">
        <f aca="false">IF(COUNT(Y11,AA11,AC11)=0,"",Y11*0.02+AA11*0.02+AC11*0.01)</f>
        <v/>
      </c>
      <c r="AF11" s="60" t="str">
        <f aca="false">IF(OR(O11="",X11="",AE11=""),"",(O11+X11+AE11)*20)</f>
        <v/>
      </c>
      <c r="AG11" s="42" t="str">
        <f aca="false">IF(AF11="","",IF(AF11&gt;=80,"STRONG BUY",IF(AF11&gt;=65,"BUY",IF(AF11&gt;=50,"WATCH LIST",IF(AF11&gt;=35,"AVOID","PASS")))))</f>
        <v/>
      </c>
      <c r="AH11" s="42" t="str">
        <f aca="false">IF(N11="","",IF(N11&lt;3,"FAIL","OK"))</f>
        <v>FAIL</v>
      </c>
      <c r="AI11" s="42" t="str">
        <f aca="false">IF(COUNT(D11:L11)=0,"",IF(COUNTIF(D11:L11,1)&gt;0,"REVIEW","OK"))</f>
        <v>REVIEW</v>
      </c>
      <c r="AJ11" s="42" t="str">
        <f aca="false">IF(COUNT(D11:L11)=0,"",IF(COUNTIF(D11:L11,"&lt;=2")&gt;=2,"AVOID","OK"))</f>
        <v>AVOID</v>
      </c>
      <c r="AK11" s="42" t="str">
        <f aca="false">IF(COUNTA(E11:M11)=0,"",IF(COUNTIF(E11:M11,"L")&gt;=2,"CAP AT BUY","OK"))</f>
        <v>OK</v>
      </c>
      <c r="AM11" s="61"/>
      <c r="AN11" s="61"/>
      <c r="AO11" s="42" t="str">
        <f aca="false">IF(OR(AM11="",AN11=""),"",IF(AM11&gt;AN11,"OK","LOW CONF"))</f>
        <v/>
      </c>
      <c r="AP11" s="62"/>
      <c r="AQ11" s="62"/>
      <c r="AR11" s="42" t="str">
        <f aca="false">IF(OR(AP11="",AQ11=""),"",IF(AP11&lt;AQ11,"Decreased",IF(AP11&gt;AQ11,"Increased","Flat")))</f>
        <v/>
      </c>
    </row>
    <row r="12" customFormat="false" ht="15" hidden="false" customHeight="true" outlineLevel="0" collapsed="false">
      <c r="A12" s="22" t="s">
        <v>88</v>
      </c>
      <c r="B12" s="22" t="s">
        <v>89</v>
      </c>
      <c r="C12" s="40" t="n">
        <v>46240</v>
      </c>
      <c r="D12" s="22" t="n">
        <v>5</v>
      </c>
      <c r="E12" s="22" t="s">
        <v>230</v>
      </c>
      <c r="F12" s="22" t="n">
        <v>4</v>
      </c>
      <c r="G12" s="22" t="s">
        <v>230</v>
      </c>
      <c r="H12" s="22" t="n">
        <v>4</v>
      </c>
      <c r="I12" s="22" t="s">
        <v>229</v>
      </c>
      <c r="J12" s="22" t="n">
        <v>5</v>
      </c>
      <c r="K12" s="22" t="s">
        <v>230</v>
      </c>
      <c r="L12" s="22" t="n">
        <v>5</v>
      </c>
      <c r="M12" s="22" t="s">
        <v>230</v>
      </c>
      <c r="N12" s="58" t="n">
        <f aca="false">IF(COUNT(D12,F12,H12,J12,L12)=0,"",(D12*0.2+F12*0.15+H12*0.15+J12*0.1+L12*0.1)/0.7)</f>
        <v>4.57142857142857</v>
      </c>
      <c r="O12" s="59" t="n">
        <f aca="false">IF(COUNT(D12,F12,H12,J12,L12)=0,"",D12*0.2+F12*0.15+H12*0.15+J12*0.1+L12*0.1)</f>
        <v>3.2</v>
      </c>
      <c r="P12" s="22" t="n">
        <v>3</v>
      </c>
      <c r="Q12" s="22" t="s">
        <v>229</v>
      </c>
      <c r="R12" s="22" t="n">
        <v>5</v>
      </c>
      <c r="S12" s="22" t="s">
        <v>230</v>
      </c>
      <c r="T12" s="22" t="n">
        <v>1</v>
      </c>
      <c r="U12" s="22" t="s">
        <v>230</v>
      </c>
      <c r="V12" s="22" t="n">
        <v>5</v>
      </c>
      <c r="W12" s="22" t="s">
        <v>230</v>
      </c>
      <c r="X12" s="59" t="n">
        <f aca="false">IF(COUNT(P12,R12,T12,V12)=0,"",P12*0.08+R12*0.06+T12*0.03+V12*0.08)</f>
        <v>0.97</v>
      </c>
      <c r="Y12" s="22" t="n">
        <v>2</v>
      </c>
      <c r="Z12" s="22" t="s">
        <v>229</v>
      </c>
      <c r="AA12" s="22" t="n">
        <v>3</v>
      </c>
      <c r="AB12" s="22" t="s">
        <v>229</v>
      </c>
      <c r="AC12" s="22" t="n">
        <v>2</v>
      </c>
      <c r="AD12" s="22" t="s">
        <v>231</v>
      </c>
      <c r="AE12" s="59" t="n">
        <f aca="false">IF(COUNT(Y12,AA12,AC12)=0,"",Y12*0.02+AA12*0.02+AC12*0.01)</f>
        <v>0.12</v>
      </c>
      <c r="AF12" s="60" t="n">
        <f aca="false">IF(OR(O12="",X12="",AE12=""),"",(O12+X12+AE12)*20)</f>
        <v>85.8</v>
      </c>
      <c r="AG12" s="42" t="str">
        <f aca="false">IF(AF12="","",IF(AF12&gt;=80,"STRONG BUY",IF(AF12&gt;=65,"BUY",IF(AF12&gt;=50,"WATCH LIST",IF(AF12&gt;=35,"AVOID","PASS")))))</f>
        <v>STRONG BUY</v>
      </c>
      <c r="AH12" s="42" t="str">
        <f aca="false">IF(N12="","",IF(N12&lt;3,"FAIL","OK"))</f>
        <v>OK</v>
      </c>
      <c r="AI12" s="42" t="str">
        <f aca="false">IF(COUNT(D12:L12)=0,"",IF(COUNTIF(D12:L12,1)&gt;0,"REVIEW","OK"))</f>
        <v>OK</v>
      </c>
      <c r="AJ12" s="42" t="str">
        <f aca="false">IF(COUNT(D12:L12)=0,"",IF(COUNTIF(D12:L12,"&lt;=2")&gt;=2,"AVOID","OK"))</f>
        <v>OK</v>
      </c>
      <c r="AK12" s="42" t="str">
        <f aca="false">IF(COUNTA(E12:M12)=0,"",IF(COUNTIF(E12:M12,"L")&gt;=2,"CAP AT BUY","OK"))</f>
        <v>OK</v>
      </c>
      <c r="AM12" s="61"/>
      <c r="AN12" s="61"/>
      <c r="AO12" s="42" t="str">
        <f aca="false">IF(OR(AM12="",AN12=""),"",IF(AM12&gt;AN12,"OK","LOW CONF"))</f>
        <v/>
      </c>
      <c r="AP12" s="62"/>
      <c r="AQ12" s="62"/>
      <c r="AR12" s="42" t="str">
        <f aca="false">IF(OR(AP12="",AQ12=""),"",IF(AP12&lt;AQ12,"Decreased",IF(AP12&gt;AQ12,"Increased","Flat")))</f>
        <v/>
      </c>
    </row>
    <row r="13" customFormat="false" ht="15" hidden="false" customHeight="true" outlineLevel="0" collapsed="false">
      <c r="A13" s="22" t="s">
        <v>93</v>
      </c>
      <c r="B13" s="22" t="s">
        <v>94</v>
      </c>
      <c r="C13" s="40" t="n">
        <v>46240</v>
      </c>
      <c r="D13" s="22" t="n">
        <v>4</v>
      </c>
      <c r="E13" s="22" t="s">
        <v>229</v>
      </c>
      <c r="F13" s="22" t="n">
        <v>5</v>
      </c>
      <c r="G13" s="22" t="s">
        <v>230</v>
      </c>
      <c r="H13" s="22" t="n">
        <v>5</v>
      </c>
      <c r="I13" s="22" t="s">
        <v>230</v>
      </c>
      <c r="J13" s="22" t="n">
        <v>4</v>
      </c>
      <c r="K13" s="22" t="s">
        <v>229</v>
      </c>
      <c r="L13" s="22" t="n">
        <v>5</v>
      </c>
      <c r="M13" s="22" t="s">
        <v>230</v>
      </c>
      <c r="N13" s="58" t="n">
        <f aca="false">IF(COUNT(D13,F13,H13,J13,L13)=0,"",(D13*0.2+F13*0.15+H13*0.15+J13*0.1+L13*0.1)/0.7)</f>
        <v>4.57142857142857</v>
      </c>
      <c r="O13" s="59" t="n">
        <f aca="false">IF(COUNT(D13,F13,H13,J13,L13)=0,"",D13*0.2+F13*0.15+H13*0.15+J13*0.1+L13*0.1)</f>
        <v>3.2</v>
      </c>
      <c r="P13" s="22" t="n">
        <v>4</v>
      </c>
      <c r="Q13" s="22" t="s">
        <v>230</v>
      </c>
      <c r="R13" s="22" t="n">
        <v>5</v>
      </c>
      <c r="S13" s="22" t="s">
        <v>230</v>
      </c>
      <c r="T13" s="22" t="n">
        <v>5</v>
      </c>
      <c r="U13" s="22" t="s">
        <v>229</v>
      </c>
      <c r="V13" s="22" t="n">
        <v>1</v>
      </c>
      <c r="W13" s="22" t="s">
        <v>230</v>
      </c>
      <c r="X13" s="59" t="n">
        <f aca="false">IF(COUNT(P13,R13,T13,V13)=0,"",P13*0.08+R13*0.06+T13*0.03+V13*0.08)</f>
        <v>0.85</v>
      </c>
      <c r="Y13" s="22" t="n">
        <v>4</v>
      </c>
      <c r="Z13" s="22" t="s">
        <v>229</v>
      </c>
      <c r="AA13" s="22" t="n">
        <v>5</v>
      </c>
      <c r="AB13" s="22" t="s">
        <v>230</v>
      </c>
      <c r="AC13" s="22" t="n">
        <v>2</v>
      </c>
      <c r="AD13" s="22" t="s">
        <v>229</v>
      </c>
      <c r="AE13" s="59" t="n">
        <f aca="false">IF(COUNT(Y13,AA13,AC13)=0,"",Y13*0.02+AA13*0.02+AC13*0.01)</f>
        <v>0.2</v>
      </c>
      <c r="AF13" s="60" t="n">
        <f aca="false">IF(OR(O13="",X13="",AE13=""),"",(O13+X13+AE13)*20)</f>
        <v>85</v>
      </c>
      <c r="AG13" s="42" t="str">
        <f aca="false">IF(AF13="","",IF(AF13&gt;=80,"STRONG BUY",IF(AF13&gt;=65,"BUY",IF(AF13&gt;=50,"WATCH LIST",IF(AF13&gt;=35,"AVOID","PASS")))))</f>
        <v>STRONG BUY</v>
      </c>
      <c r="AH13" s="42" t="str">
        <f aca="false">IF(N13="","",IF(N13&lt;3,"FAIL","OK"))</f>
        <v>OK</v>
      </c>
      <c r="AI13" s="42" t="str">
        <f aca="false">IF(COUNT(D13:L13)=0,"",IF(COUNTIF(D13:L13,1)&gt;0,"REVIEW","OK"))</f>
        <v>OK</v>
      </c>
      <c r="AJ13" s="42" t="str">
        <f aca="false">IF(COUNT(D13:L13)=0,"",IF(COUNTIF(D13:L13,"&lt;=2")&gt;=2,"AVOID","OK"))</f>
        <v>OK</v>
      </c>
      <c r="AK13" s="42" t="str">
        <f aca="false">IF(COUNTA(E13:M13)=0,"",IF(COUNTIF(E13:M13,"L")&gt;=2,"CAP AT BUY","OK"))</f>
        <v>OK</v>
      </c>
      <c r="AM13" s="61"/>
      <c r="AN13" s="61"/>
      <c r="AO13" s="42" t="str">
        <f aca="false">IF(OR(AM13="",AN13=""),"",IF(AM13&gt;AN13,"OK","LOW CONF"))</f>
        <v/>
      </c>
      <c r="AP13" s="62"/>
      <c r="AQ13" s="62"/>
      <c r="AR13" s="42" t="str">
        <f aca="false">IF(OR(AP13="",AQ13=""),"",IF(AP13&lt;AQ13,"Decreased",IF(AP13&gt;AQ13,"Increased","Flat")))</f>
        <v/>
      </c>
    </row>
    <row r="14" customFormat="false" ht="15" hidden="false" customHeight="true" outlineLevel="0" collapsed="false">
      <c r="A14" s="22" t="s">
        <v>95</v>
      </c>
      <c r="B14" s="22" t="s">
        <v>96</v>
      </c>
      <c r="C14" s="40" t="n">
        <v>46240</v>
      </c>
      <c r="D14" s="22" t="n">
        <v>3</v>
      </c>
      <c r="E14" s="22" t="s">
        <v>229</v>
      </c>
      <c r="F14" s="22" t="n">
        <v>3</v>
      </c>
      <c r="G14" s="22" t="s">
        <v>229</v>
      </c>
      <c r="H14" s="22" t="n">
        <v>5</v>
      </c>
      <c r="I14" s="22" t="s">
        <v>230</v>
      </c>
      <c r="J14" s="22" t="n">
        <v>4</v>
      </c>
      <c r="K14" s="22" t="s">
        <v>229</v>
      </c>
      <c r="L14" s="22" t="n">
        <v>3</v>
      </c>
      <c r="M14" s="22" t="s">
        <v>229</v>
      </c>
      <c r="N14" s="58" t="n">
        <f aca="false">IF(COUNT(D14,F14,H14,J14,L14)=0,"",(D14*0.2+F14*0.15+H14*0.15+J14*0.1+L14*0.1)/0.7)</f>
        <v>3.57142857142857</v>
      </c>
      <c r="O14" s="59" t="n">
        <f aca="false">IF(COUNT(D14,F14,H14,J14,L14)=0,"",D14*0.2+F14*0.15+H14*0.15+J14*0.1+L14*0.1)</f>
        <v>2.5</v>
      </c>
      <c r="P14" s="22" t="n">
        <v>4</v>
      </c>
      <c r="Q14" s="22" t="s">
        <v>229</v>
      </c>
      <c r="R14" s="22" t="n">
        <v>5</v>
      </c>
      <c r="S14" s="22" t="s">
        <v>230</v>
      </c>
      <c r="T14" s="22" t="n">
        <v>5</v>
      </c>
      <c r="U14" s="22" t="s">
        <v>230</v>
      </c>
      <c r="V14" s="22" t="n">
        <v>2</v>
      </c>
      <c r="W14" s="22" t="s">
        <v>229</v>
      </c>
      <c r="X14" s="59" t="n">
        <f aca="false">IF(COUNT(P14,R14,T14,V14)=0,"",P14*0.08+R14*0.06+T14*0.03+V14*0.08)</f>
        <v>0.93</v>
      </c>
      <c r="Y14" s="22" t="n">
        <v>5</v>
      </c>
      <c r="Z14" s="22" t="s">
        <v>229</v>
      </c>
      <c r="AA14" s="22" t="n">
        <v>5</v>
      </c>
      <c r="AB14" s="22" t="s">
        <v>230</v>
      </c>
      <c r="AC14" s="22" t="n">
        <v>3</v>
      </c>
      <c r="AD14" s="22" t="s">
        <v>231</v>
      </c>
      <c r="AE14" s="59" t="n">
        <f aca="false">IF(COUNT(Y14,AA14,AC14)=0,"",Y14*0.02+AA14*0.02+AC14*0.01)</f>
        <v>0.23</v>
      </c>
      <c r="AF14" s="60" t="n">
        <f aca="false">IF(OR(O14="",X14="",AE14=""),"",(O14+X14+AE14)*20)</f>
        <v>73.2</v>
      </c>
      <c r="AG14" s="42" t="str">
        <f aca="false">IF(AF14="","",IF(AF14&gt;=80,"STRONG BUY",IF(AF14&gt;=65,"BUY",IF(AF14&gt;=50,"WATCH LIST",IF(AF14&gt;=35,"AVOID","PASS")))))</f>
        <v>BUY</v>
      </c>
      <c r="AH14" s="42" t="str">
        <f aca="false">IF(N14="","",IF(N14&lt;3,"FAIL","OK"))</f>
        <v>OK</v>
      </c>
      <c r="AI14" s="42" t="str">
        <f aca="false">IF(COUNT(D14:L14)=0,"",IF(COUNTIF(D14:L14,1)&gt;0,"REVIEW","OK"))</f>
        <v>OK</v>
      </c>
      <c r="AJ14" s="42" t="str">
        <f aca="false">IF(COUNT(D14:L14)=0,"",IF(COUNTIF(D14:L14,"&lt;=2")&gt;=2,"AVOID","OK"))</f>
        <v>OK</v>
      </c>
      <c r="AK14" s="42" t="str">
        <f aca="false">IF(COUNTA(E14:M14)=0,"",IF(COUNTIF(E14:M14,"L")&gt;=2,"CAP AT BUY","OK"))</f>
        <v>OK</v>
      </c>
      <c r="AM14" s="61"/>
      <c r="AN14" s="61"/>
      <c r="AO14" s="42" t="str">
        <f aca="false">IF(OR(AM14="",AN14=""),"",IF(AM14&gt;AN14,"OK","LOW CONF"))</f>
        <v/>
      </c>
      <c r="AP14" s="62"/>
      <c r="AQ14" s="62"/>
      <c r="AR14" s="42" t="str">
        <f aca="false">IF(OR(AP14="",AQ14=""),"",IF(AP14&lt;AQ14,"Decreased",IF(AP14&gt;AQ14,"Increased","Flat")))</f>
        <v/>
      </c>
    </row>
    <row r="15" customFormat="false" ht="15" hidden="false" customHeight="true" outlineLevel="0" collapsed="false">
      <c r="A15" s="22" t="s">
        <v>97</v>
      </c>
      <c r="B15" s="22" t="s">
        <v>98</v>
      </c>
      <c r="C15" s="40" t="n">
        <v>46240</v>
      </c>
      <c r="D15" s="22" t="n">
        <v>3</v>
      </c>
      <c r="E15" s="22" t="s">
        <v>229</v>
      </c>
      <c r="F15" s="22" t="n">
        <v>4</v>
      </c>
      <c r="G15" s="22" t="s">
        <v>229</v>
      </c>
      <c r="H15" s="22" t="n">
        <v>4</v>
      </c>
      <c r="I15" s="22" t="s">
        <v>229</v>
      </c>
      <c r="J15" s="22" t="n">
        <v>5</v>
      </c>
      <c r="K15" s="22" t="s">
        <v>230</v>
      </c>
      <c r="L15" s="22" t="n">
        <v>5</v>
      </c>
      <c r="M15" s="22" t="s">
        <v>230</v>
      </c>
      <c r="N15" s="58" t="n">
        <f aca="false">IF(COUNT(D15,F15,H15,J15,L15)=0,"",(D15*0.2+F15*0.15+H15*0.15+J15*0.1+L15*0.1)/0.7)</f>
        <v>4</v>
      </c>
      <c r="O15" s="59" t="n">
        <f aca="false">IF(COUNT(D15,F15,H15,J15,L15)=0,"",D15*0.2+F15*0.15+H15*0.15+J15*0.1+L15*0.1)</f>
        <v>2.8</v>
      </c>
      <c r="P15" s="22" t="n">
        <v>3</v>
      </c>
      <c r="Q15" s="22" t="s">
        <v>229</v>
      </c>
      <c r="R15" s="22" t="n">
        <v>2</v>
      </c>
      <c r="S15" s="22" t="s">
        <v>229</v>
      </c>
      <c r="T15" s="22" t="n">
        <v>4</v>
      </c>
      <c r="U15" s="22" t="s">
        <v>230</v>
      </c>
      <c r="V15" s="22" t="n">
        <v>1</v>
      </c>
      <c r="W15" s="22" t="s">
        <v>230</v>
      </c>
      <c r="X15" s="59" t="n">
        <f aca="false">IF(COUNT(P15,R15,T15,V15)=0,"",P15*0.08+R15*0.06+T15*0.03+V15*0.08)</f>
        <v>0.56</v>
      </c>
      <c r="Y15" s="22" t="n">
        <v>4</v>
      </c>
      <c r="Z15" s="22" t="s">
        <v>229</v>
      </c>
      <c r="AA15" s="22" t="n">
        <v>3</v>
      </c>
      <c r="AB15" s="22" t="s">
        <v>229</v>
      </c>
      <c r="AC15" s="22" t="n">
        <v>2</v>
      </c>
      <c r="AD15" s="22" t="s">
        <v>229</v>
      </c>
      <c r="AE15" s="59" t="n">
        <f aca="false">IF(COUNT(Y15,AA15,AC15)=0,"",Y15*0.02+AA15*0.02+AC15*0.01)</f>
        <v>0.16</v>
      </c>
      <c r="AF15" s="60" t="n">
        <f aca="false">IF(OR(O15="",X15="",AE15=""),"",(O15+X15+AE15)*20)</f>
        <v>70.4</v>
      </c>
      <c r="AG15" s="42" t="str">
        <f aca="false">IF(AF15="","",IF(AF15&gt;=80,"STRONG BUY",IF(AF15&gt;=65,"BUY",IF(AF15&gt;=50,"WATCH LIST",IF(AF15&gt;=35,"AVOID","PASS")))))</f>
        <v>BUY</v>
      </c>
      <c r="AH15" s="42" t="str">
        <f aca="false">IF(N15="","",IF(N15&lt;3,"FAIL","OK"))</f>
        <v>OK</v>
      </c>
      <c r="AI15" s="42" t="str">
        <f aca="false">IF(COUNT(D15:L15)=0,"",IF(COUNTIF(D15:L15,1)&gt;0,"REVIEW","OK"))</f>
        <v>OK</v>
      </c>
      <c r="AJ15" s="42" t="str">
        <f aca="false">IF(COUNT(D15:L15)=0,"",IF(COUNTIF(D15:L15,"&lt;=2")&gt;=2,"AVOID","OK"))</f>
        <v>OK</v>
      </c>
      <c r="AK15" s="42" t="str">
        <f aca="false">IF(COUNTA(E15:M15)=0,"",IF(COUNTIF(E15:M15,"L")&gt;=2,"CAP AT BUY","OK"))</f>
        <v>OK</v>
      </c>
      <c r="AM15" s="61"/>
      <c r="AN15" s="61"/>
      <c r="AO15" s="42" t="str">
        <f aca="false">IF(OR(AM15="",AN15=""),"",IF(AM15&gt;AN15,"OK","LOW CONF"))</f>
        <v/>
      </c>
      <c r="AP15" s="62"/>
      <c r="AQ15" s="62"/>
      <c r="AR15" s="42" t="str">
        <f aca="false">IF(OR(AP15="",AQ15=""),"",IF(AP15&lt;AQ15,"Decreased",IF(AP15&gt;AQ15,"Increased","Flat")))</f>
        <v/>
      </c>
    </row>
    <row r="16" customFormat="false" ht="15" hidden="false" customHeight="true" outlineLevel="0" collapsed="false">
      <c r="A16" s="22" t="s">
        <v>99</v>
      </c>
      <c r="B16" s="22" t="s">
        <v>100</v>
      </c>
      <c r="C16" s="40" t="n">
        <v>46240</v>
      </c>
      <c r="D16" s="22" t="n">
        <v>2</v>
      </c>
      <c r="E16" s="22" t="s">
        <v>229</v>
      </c>
      <c r="F16" s="22" t="n">
        <v>3</v>
      </c>
      <c r="G16" s="22" t="s">
        <v>229</v>
      </c>
      <c r="H16" s="22" t="n">
        <v>5</v>
      </c>
      <c r="I16" s="22" t="s">
        <v>230</v>
      </c>
      <c r="J16" s="22" t="n">
        <v>3</v>
      </c>
      <c r="K16" s="22" t="s">
        <v>229</v>
      </c>
      <c r="L16" s="22" t="n">
        <v>5</v>
      </c>
      <c r="M16" s="22" t="s">
        <v>230</v>
      </c>
      <c r="N16" s="58" t="n">
        <f aca="false">IF(COUNT(D16,F16,H16,J16,L16)=0,"",(D16*0.2+F16*0.15+H16*0.15+J16*0.1+L16*0.1)/0.7)</f>
        <v>3.42857142857143</v>
      </c>
      <c r="O16" s="59" t="n">
        <f aca="false">IF(COUNT(D16,F16,H16,J16,L16)=0,"",D16*0.2+F16*0.15+H16*0.15+J16*0.1+L16*0.1)</f>
        <v>2.4</v>
      </c>
      <c r="P16" s="22" t="n">
        <v>4</v>
      </c>
      <c r="Q16" s="22" t="s">
        <v>230</v>
      </c>
      <c r="R16" s="22" t="n">
        <v>5</v>
      </c>
      <c r="S16" s="22" t="s">
        <v>230</v>
      </c>
      <c r="T16" s="22" t="n">
        <v>3</v>
      </c>
      <c r="U16" s="22" t="s">
        <v>229</v>
      </c>
      <c r="V16" s="22" t="n">
        <v>2</v>
      </c>
      <c r="W16" s="22" t="s">
        <v>229</v>
      </c>
      <c r="X16" s="59" t="n">
        <f aca="false">IF(COUNT(P16,R16,T16,V16)=0,"",P16*0.08+R16*0.06+T16*0.03+V16*0.08)</f>
        <v>0.87</v>
      </c>
      <c r="Y16" s="22" t="n">
        <v>2</v>
      </c>
      <c r="Z16" s="22" t="s">
        <v>229</v>
      </c>
      <c r="AA16" s="22" t="n">
        <v>5</v>
      </c>
      <c r="AB16" s="22" t="s">
        <v>230</v>
      </c>
      <c r="AC16" s="22" t="n">
        <v>2</v>
      </c>
      <c r="AD16" s="22" t="s">
        <v>231</v>
      </c>
      <c r="AE16" s="59" t="n">
        <f aca="false">IF(COUNT(Y16,AA16,AC16)=0,"",Y16*0.02+AA16*0.02+AC16*0.01)</f>
        <v>0.16</v>
      </c>
      <c r="AF16" s="60" t="n">
        <f aca="false">IF(OR(O16="",X16="",AE16=""),"",(O16+X16+AE16)*20)</f>
        <v>68.6</v>
      </c>
      <c r="AG16" s="42" t="str">
        <f aca="false">IF(AF16="","",IF(AF16&gt;=80,"STRONG BUY",IF(AF16&gt;=65,"BUY",IF(AF16&gt;=50,"WATCH LIST",IF(AF16&gt;=35,"AVOID","PASS")))))</f>
        <v>BUY</v>
      </c>
      <c r="AH16" s="42" t="str">
        <f aca="false">IF(N16="","",IF(N16&lt;3,"FAIL","OK"))</f>
        <v>OK</v>
      </c>
      <c r="AI16" s="42" t="str">
        <f aca="false">IF(COUNT(D16:L16)=0,"",IF(COUNTIF(D16:L16,1)&gt;0,"REVIEW","OK"))</f>
        <v>OK</v>
      </c>
      <c r="AJ16" s="42" t="str">
        <f aca="false">IF(COUNT(D16:L16)=0,"",IF(COUNTIF(D16:L16,"&lt;=2")&gt;=2,"AVOID","OK"))</f>
        <v>OK</v>
      </c>
      <c r="AK16" s="42" t="str">
        <f aca="false">IF(COUNTA(E16:M16)=0,"",IF(COUNTIF(E16:M16,"L")&gt;=2,"CAP AT BUY","OK"))</f>
        <v>OK</v>
      </c>
      <c r="AM16" s="61"/>
      <c r="AN16" s="61"/>
      <c r="AO16" s="42" t="str">
        <f aca="false">IF(OR(AM16="",AN16=""),"",IF(AM16&gt;AN16,"OK","LOW CONF"))</f>
        <v/>
      </c>
      <c r="AP16" s="62"/>
      <c r="AQ16" s="62"/>
      <c r="AR16" s="42" t="str">
        <f aca="false">IF(OR(AP16="",AQ16=""),"",IF(AP16&lt;AQ16,"Decreased",IF(AP16&gt;AQ16,"Increased","Flat")))</f>
        <v/>
      </c>
    </row>
    <row r="17" customFormat="false" ht="15" hidden="false" customHeight="true" outlineLevel="0" collapsed="false">
      <c r="A17" s="22" t="s">
        <v>107</v>
      </c>
      <c r="B17" s="22" t="s">
        <v>233</v>
      </c>
      <c r="C17" s="40" t="n">
        <v>46240</v>
      </c>
      <c r="D17" s="22" t="n">
        <v>3</v>
      </c>
      <c r="E17" s="22" t="s">
        <v>229</v>
      </c>
      <c r="F17" s="22" t="n">
        <v>5</v>
      </c>
      <c r="G17" s="22" t="s">
        <v>230</v>
      </c>
      <c r="H17" s="22" t="n">
        <v>5</v>
      </c>
      <c r="I17" s="22" t="s">
        <v>230</v>
      </c>
      <c r="J17" s="22" t="n">
        <v>4</v>
      </c>
      <c r="K17" s="22" t="s">
        <v>229</v>
      </c>
      <c r="L17" s="22" t="n">
        <v>3</v>
      </c>
      <c r="M17" s="22" t="s">
        <v>229</v>
      </c>
      <c r="N17" s="58" t="n">
        <f aca="false">IF(COUNT(D17,F17,H17,J17,L17)=0,"",(D17*0.2+F17*0.15+H17*0.15+J17*0.1+L17*0.1)/0.7)</f>
        <v>4</v>
      </c>
      <c r="O17" s="59" t="n">
        <f aca="false">IF(COUNT(D17,F17,H17,J17,L17)=0,"",D17*0.2+F17*0.15+H17*0.15+J17*0.1+L17*0.1)</f>
        <v>2.8</v>
      </c>
      <c r="P17" s="22" t="n">
        <v>4</v>
      </c>
      <c r="Q17" s="22" t="s">
        <v>230</v>
      </c>
      <c r="R17" s="22" t="n">
        <v>5</v>
      </c>
      <c r="S17" s="22" t="s">
        <v>230</v>
      </c>
      <c r="T17" s="22" t="n">
        <v>4</v>
      </c>
      <c r="U17" s="22" t="s">
        <v>229</v>
      </c>
      <c r="V17" s="22" t="n">
        <v>4</v>
      </c>
      <c r="W17" s="22" t="s">
        <v>229</v>
      </c>
      <c r="X17" s="59" t="n">
        <f aca="false">IF(COUNT(P17,R17,T17,V17)=0,"",P17*0.08+R17*0.06+T17*0.03+V17*0.08)</f>
        <v>1.06</v>
      </c>
      <c r="Y17" s="22" t="n">
        <v>3</v>
      </c>
      <c r="Z17" s="22" t="s">
        <v>229</v>
      </c>
      <c r="AA17" s="22" t="n">
        <v>5</v>
      </c>
      <c r="AB17" s="22" t="s">
        <v>230</v>
      </c>
      <c r="AC17" s="22" t="n">
        <v>3</v>
      </c>
      <c r="AD17" s="22" t="s">
        <v>231</v>
      </c>
      <c r="AE17" s="59" t="n">
        <f aca="false">IF(COUNT(Y17,AA17,AC17)=0,"",Y17*0.02+AA17*0.02+AC17*0.01)</f>
        <v>0.19</v>
      </c>
      <c r="AF17" s="60" t="n">
        <f aca="false">IF(OR(O17="",X17="",AE17=""),"",(O17+X17+AE17)*20)</f>
        <v>81</v>
      </c>
      <c r="AG17" s="42" t="str">
        <f aca="false">IF(AF17="","",IF(AF17&gt;=80,"STRONG BUY",IF(AF17&gt;=65,"BUY",IF(AF17&gt;=50,"WATCH LIST",IF(AF17&gt;=35,"AVOID","PASS")))))</f>
        <v>STRONG BUY</v>
      </c>
      <c r="AH17" s="42" t="str">
        <f aca="false">IF(N17="","",IF(N17&lt;3,"FAIL","OK"))</f>
        <v>OK</v>
      </c>
      <c r="AI17" s="42" t="str">
        <f aca="false">IF(COUNT(D17:L17)=0,"",IF(COUNTIF(D17:L17,1)&gt;0,"REVIEW","OK"))</f>
        <v>OK</v>
      </c>
      <c r="AJ17" s="42" t="str">
        <f aca="false">IF(COUNT(D17:L17)=0,"",IF(COUNTIF(D17:L17,"&lt;=2")&gt;=2,"AVOID","OK"))</f>
        <v>OK</v>
      </c>
      <c r="AK17" s="42" t="str">
        <f aca="false">IF(COUNTA(E17:M17)=0,"",IF(COUNTIF(E17:M17,"L")&gt;=2,"CAP AT BUY","OK"))</f>
        <v>OK</v>
      </c>
      <c r="AM17" s="61"/>
      <c r="AN17" s="61"/>
      <c r="AO17" s="42" t="str">
        <f aca="false">IF(OR(AM17="",AN17=""),"",IF(AM17&gt;AN17,"OK","LOW CONF"))</f>
        <v/>
      </c>
      <c r="AP17" s="62"/>
      <c r="AQ17" s="62"/>
      <c r="AR17" s="42" t="str">
        <f aca="false">IF(OR(AP17="",AQ17=""),"",IF(AP17&lt;AQ17,"Decreased",IF(AP17&gt;AQ17,"Increased","Flat")))</f>
        <v/>
      </c>
    </row>
    <row r="18" customFormat="false" ht="15" hidden="false" customHeight="true" outlineLevel="0" collapsed="false">
      <c r="A18" s="22" t="s">
        <v>109</v>
      </c>
      <c r="B18" s="22" t="s">
        <v>110</v>
      </c>
      <c r="C18" s="40" t="n">
        <v>46240</v>
      </c>
      <c r="D18" s="22" t="n">
        <v>4</v>
      </c>
      <c r="E18" s="22" t="s">
        <v>230</v>
      </c>
      <c r="F18" s="22" t="n">
        <v>5</v>
      </c>
      <c r="G18" s="22" t="s">
        <v>230</v>
      </c>
      <c r="H18" s="22" t="n">
        <v>4</v>
      </c>
      <c r="I18" s="22" t="s">
        <v>229</v>
      </c>
      <c r="J18" s="22" t="n">
        <v>4</v>
      </c>
      <c r="K18" s="22" t="s">
        <v>229</v>
      </c>
      <c r="L18" s="22" t="n">
        <v>5</v>
      </c>
      <c r="M18" s="22" t="s">
        <v>230</v>
      </c>
      <c r="N18" s="58" t="n">
        <f aca="false">IF(COUNT(D18,F18,H18,J18,L18)=0,"",(D18*0.2+F18*0.15+H18*0.15+J18*0.1+L18*0.1)/0.7)</f>
        <v>4.35714285714286</v>
      </c>
      <c r="O18" s="59" t="n">
        <f aca="false">IF(COUNT(D18,F18,H18,J18,L18)=0,"",D18*0.2+F18*0.15+H18*0.15+J18*0.1+L18*0.1)</f>
        <v>3.05</v>
      </c>
      <c r="P18" s="22" t="n">
        <v>4</v>
      </c>
      <c r="Q18" s="22" t="s">
        <v>229</v>
      </c>
      <c r="R18" s="22" t="n">
        <v>5</v>
      </c>
      <c r="S18" s="22" t="s">
        <v>230</v>
      </c>
      <c r="T18" s="22" t="n">
        <v>4</v>
      </c>
      <c r="U18" s="22" t="s">
        <v>229</v>
      </c>
      <c r="V18" s="22" t="n">
        <v>2</v>
      </c>
      <c r="W18" s="22" t="s">
        <v>229</v>
      </c>
      <c r="X18" s="59" t="n">
        <f aca="false">IF(COUNT(P18,R18,T18,V18)=0,"",P18*0.08+R18*0.06+T18*0.03+V18*0.08)</f>
        <v>0.9</v>
      </c>
      <c r="Y18" s="22" t="n">
        <v>4</v>
      </c>
      <c r="Z18" s="22" t="s">
        <v>229</v>
      </c>
      <c r="AA18" s="22" t="n">
        <v>4</v>
      </c>
      <c r="AB18" s="22" t="s">
        <v>229</v>
      </c>
      <c r="AC18" s="22" t="n">
        <v>3</v>
      </c>
      <c r="AD18" s="22" t="s">
        <v>231</v>
      </c>
      <c r="AE18" s="59" t="n">
        <f aca="false">IF(COUNT(Y18,AA18,AC18)=0,"",Y18*0.02+AA18*0.02+AC18*0.01)</f>
        <v>0.19</v>
      </c>
      <c r="AF18" s="60" t="n">
        <f aca="false">IF(OR(O18="",X18="",AE18=""),"",(O18+X18+AE18)*20)</f>
        <v>82.8</v>
      </c>
      <c r="AG18" s="42" t="str">
        <f aca="false">IF(AF18="","",IF(AF18&gt;=80,"STRONG BUY",IF(AF18&gt;=65,"BUY",IF(AF18&gt;=50,"WATCH LIST",IF(AF18&gt;=35,"AVOID","PASS")))))</f>
        <v>STRONG BUY</v>
      </c>
      <c r="AH18" s="42" t="str">
        <f aca="false">IF(N18="","",IF(N18&lt;3,"FAIL","OK"))</f>
        <v>OK</v>
      </c>
      <c r="AI18" s="42" t="str">
        <f aca="false">IF(COUNT(D18:L18)=0,"",IF(COUNTIF(D18:L18,1)&gt;0,"REVIEW","OK"))</f>
        <v>OK</v>
      </c>
      <c r="AJ18" s="42" t="str">
        <f aca="false">IF(COUNT(D18:L18)=0,"",IF(COUNTIF(D18:L18,"&lt;=2")&gt;=2,"AVOID","OK"))</f>
        <v>OK</v>
      </c>
      <c r="AK18" s="42" t="str">
        <f aca="false">IF(COUNTA(E18:M18)=0,"",IF(COUNTIF(E18:M18,"L")&gt;=2,"CAP AT BUY","OK"))</f>
        <v>OK</v>
      </c>
      <c r="AM18" s="61"/>
      <c r="AN18" s="61"/>
      <c r="AO18" s="42" t="str">
        <f aca="false">IF(OR(AM18="",AN18=""),"",IF(AM18&gt;AN18,"OK","LOW CONF"))</f>
        <v/>
      </c>
      <c r="AP18" s="62"/>
      <c r="AQ18" s="62"/>
      <c r="AR18" s="42" t="str">
        <f aca="false">IF(OR(AP18="",AQ18=""),"",IF(AP18&lt;AQ18,"Decreased",IF(AP18&gt;AQ18,"Increased","Flat")))</f>
        <v/>
      </c>
    </row>
    <row r="19" customFormat="false" ht="15" hidden="false" customHeight="true" outlineLevel="0" collapsed="false">
      <c r="A19" s="22" t="s">
        <v>234</v>
      </c>
      <c r="B19" s="22" t="s">
        <v>235</v>
      </c>
      <c r="C19" s="40" t="n">
        <v>46245</v>
      </c>
      <c r="D19" s="22" t="n">
        <v>3</v>
      </c>
      <c r="E19" s="22" t="s">
        <v>229</v>
      </c>
      <c r="F19" s="22" t="n">
        <v>5</v>
      </c>
      <c r="G19" s="22" t="s">
        <v>230</v>
      </c>
      <c r="H19" s="22" t="n">
        <v>5</v>
      </c>
      <c r="I19" s="22" t="s">
        <v>230</v>
      </c>
      <c r="J19" s="22" t="n">
        <v>4</v>
      </c>
      <c r="K19" s="22" t="s">
        <v>229</v>
      </c>
      <c r="L19" s="22" t="n">
        <v>4</v>
      </c>
      <c r="M19" s="22" t="s">
        <v>230</v>
      </c>
      <c r="N19" s="58" t="n">
        <f aca="false">IF(COUNT(D19,F19,H19,J19,L19)=0,"",(D19*0.2+F19*0.15+H19*0.15+J19*0.1+L19*0.1)/0.7)</f>
        <v>4.14285714285714</v>
      </c>
      <c r="O19" s="59" t="n">
        <f aca="false">IF(COUNT(D19,F19,H19,J19,L19)=0,"",D19*0.2+F19*0.15+H19*0.15+J19*0.1+L19*0.1)</f>
        <v>2.9</v>
      </c>
      <c r="P19" s="22" t="n">
        <v>3</v>
      </c>
      <c r="Q19" s="22" t="s">
        <v>231</v>
      </c>
      <c r="R19" s="22" t="n">
        <v>5</v>
      </c>
      <c r="S19" s="22" t="s">
        <v>230</v>
      </c>
      <c r="T19" s="22" t="n">
        <v>5</v>
      </c>
      <c r="U19" s="22" t="s">
        <v>230</v>
      </c>
      <c r="V19" s="22" t="n">
        <v>1</v>
      </c>
      <c r="W19" s="22" t="s">
        <v>230</v>
      </c>
      <c r="X19" s="59" t="n">
        <f aca="false">IF(COUNT(P19,R19,T19,V19)=0,"",P19*0.08+R19*0.06+T19*0.03+V19*0.08)</f>
        <v>0.77</v>
      </c>
      <c r="Y19" s="22" t="n">
        <v>4</v>
      </c>
      <c r="Z19" s="22" t="s">
        <v>229</v>
      </c>
      <c r="AA19" s="22" t="n">
        <v>4</v>
      </c>
      <c r="AB19" s="22" t="s">
        <v>229</v>
      </c>
      <c r="AC19" s="22" t="n">
        <v>4</v>
      </c>
      <c r="AD19" s="22" t="s">
        <v>229</v>
      </c>
      <c r="AE19" s="59" t="n">
        <f aca="false">IF(COUNT(Y19,AA19,AC19)=0,"",Y19*0.02+AA19*0.02+AC19*0.01)</f>
        <v>0.2</v>
      </c>
      <c r="AF19" s="60" t="n">
        <f aca="false">IF(OR(O19="",X19="",AE19=""),"",(O19+X19+AE19)*20)</f>
        <v>77.4</v>
      </c>
      <c r="AG19" s="42" t="str">
        <f aca="false">IF(AF19="","",IF(AF19&gt;=80,"STRONG BUY",IF(AF19&gt;=65,"BUY",IF(AF19&gt;=50,"WATCH LIST",IF(AF19&gt;=35,"AVOID","PASS")))))</f>
        <v>BUY</v>
      </c>
      <c r="AH19" s="42" t="str">
        <f aca="false">IF(N19="","",IF(N19&lt;3,"FAIL","OK"))</f>
        <v>OK</v>
      </c>
      <c r="AI19" s="42" t="str">
        <f aca="false">IF(COUNT(D19:L19)=0,"",IF(COUNTIF(D19:L19,1)&gt;0,"REVIEW","OK"))</f>
        <v>OK</v>
      </c>
      <c r="AJ19" s="42" t="str">
        <f aca="false">IF(COUNT(D19:L19)=0,"",IF(COUNTIF(D19:L19,"&lt;=2")&gt;=2,"AVOID","OK"))</f>
        <v>OK</v>
      </c>
      <c r="AK19" s="42" t="str">
        <f aca="false">IF(COUNTA(E19:M19)=0,"",IF(COUNTIF(E19:M19,"L")&gt;=2,"CAP AT BUY","OK"))</f>
        <v>OK</v>
      </c>
      <c r="AM19" s="61"/>
      <c r="AN19" s="61"/>
      <c r="AO19" s="42" t="str">
        <f aca="false">IF(OR(AM19="",AN19=""),"",IF(AM19&gt;AN19,"OK","LOW CONF"))</f>
        <v/>
      </c>
      <c r="AP19" s="62"/>
      <c r="AQ19" s="62"/>
      <c r="AR19" s="42" t="str">
        <f aca="false">IF(OR(AP19="",AQ19=""),"",IF(AP19&lt;AQ19,"Decreased",IF(AP19&gt;AQ19,"Increased","Flat")))</f>
        <v/>
      </c>
    </row>
    <row r="20" customFormat="false" ht="15" hidden="false" customHeight="true" outlineLevel="0" collapsed="false">
      <c r="A20" s="22" t="s">
        <v>236</v>
      </c>
      <c r="B20" s="22" t="s">
        <v>237</v>
      </c>
      <c r="C20" s="40" t="n">
        <v>46245</v>
      </c>
      <c r="D20" s="22" t="n">
        <v>4</v>
      </c>
      <c r="E20" s="22" t="s">
        <v>230</v>
      </c>
      <c r="F20" s="22" t="n">
        <v>5</v>
      </c>
      <c r="G20" s="22" t="s">
        <v>230</v>
      </c>
      <c r="H20" s="22" t="n">
        <v>5</v>
      </c>
      <c r="I20" s="22" t="s">
        <v>230</v>
      </c>
      <c r="J20" s="22" t="n">
        <v>4</v>
      </c>
      <c r="K20" s="22" t="s">
        <v>229</v>
      </c>
      <c r="L20" s="22" t="n">
        <v>5</v>
      </c>
      <c r="M20" s="22" t="s">
        <v>230</v>
      </c>
      <c r="N20" s="58" t="n">
        <f aca="false">IF(COUNT(D20,F20,H20,J20,L20)=0,"",(D20*0.2+F20*0.15+H20*0.15+J20*0.1+L20*0.1)/0.7)</f>
        <v>4.57142857142857</v>
      </c>
      <c r="O20" s="59" t="n">
        <f aca="false">IF(COUNT(D20,F20,H20,J20,L20)=0,"",D20*0.2+F20*0.15+H20*0.15+J20*0.1+L20*0.1)</f>
        <v>3.2</v>
      </c>
      <c r="P20" s="22" t="n">
        <v>4</v>
      </c>
      <c r="Q20" s="22" t="s">
        <v>229</v>
      </c>
      <c r="R20" s="22" t="n">
        <v>5</v>
      </c>
      <c r="S20" s="22" t="s">
        <v>230</v>
      </c>
      <c r="T20" s="22" t="n">
        <v>3</v>
      </c>
      <c r="U20" s="22" t="s">
        <v>229</v>
      </c>
      <c r="V20" s="22" t="n">
        <v>3</v>
      </c>
      <c r="W20" s="22" t="s">
        <v>229</v>
      </c>
      <c r="X20" s="59" t="n">
        <f aca="false">IF(COUNT(P20,R20,T20,V20)=0,"",P20*0.08+R20*0.06+T20*0.03+V20*0.08)</f>
        <v>0.95</v>
      </c>
      <c r="Y20" s="22" t="n">
        <v>3</v>
      </c>
      <c r="Z20" s="22" t="s">
        <v>229</v>
      </c>
      <c r="AA20" s="22" t="n">
        <v>4</v>
      </c>
      <c r="AB20" s="22" t="s">
        <v>229</v>
      </c>
      <c r="AC20" s="22" t="n">
        <v>3</v>
      </c>
      <c r="AD20" s="22" t="s">
        <v>231</v>
      </c>
      <c r="AE20" s="59" t="n">
        <f aca="false">IF(COUNT(Y20,AA20,AC20)=0,"",Y20*0.02+AA20*0.02+AC20*0.01)</f>
        <v>0.17</v>
      </c>
      <c r="AF20" s="60" t="n">
        <f aca="false">IF(OR(O20="",X20="",AE20=""),"",(O20+X20+AE20)*20)</f>
        <v>86.4</v>
      </c>
      <c r="AG20" s="42" t="str">
        <f aca="false">IF(AF20="","",IF(AF20&gt;=80,"STRONG BUY",IF(AF20&gt;=65,"BUY",IF(AF20&gt;=50,"WATCH LIST",IF(AF20&gt;=35,"AVOID","PASS")))))</f>
        <v>STRONG BUY</v>
      </c>
      <c r="AH20" s="42" t="str">
        <f aca="false">IF(N20="","",IF(N20&lt;3,"FAIL","OK"))</f>
        <v>OK</v>
      </c>
      <c r="AI20" s="42" t="str">
        <f aca="false">IF(COUNT(D20:L20)=0,"",IF(COUNTIF(D20:L20,1)&gt;0,"REVIEW","OK"))</f>
        <v>OK</v>
      </c>
      <c r="AJ20" s="42" t="str">
        <f aca="false">IF(COUNT(D20:L20)=0,"",IF(COUNTIF(D20:L20,"&lt;=2")&gt;=2,"AVOID","OK"))</f>
        <v>OK</v>
      </c>
      <c r="AK20" s="42" t="str">
        <f aca="false">IF(COUNTA(E20:M20)=0,"",IF(COUNTIF(E20:M20,"L")&gt;=2,"CAP AT BUY","OK"))</f>
        <v>OK</v>
      </c>
      <c r="AM20" s="61"/>
      <c r="AN20" s="61"/>
      <c r="AO20" s="42" t="str">
        <f aca="false">IF(OR(AM20="",AN20=""),"",IF(AM20&gt;AN20,"OK","LOW CONF"))</f>
        <v/>
      </c>
      <c r="AP20" s="62"/>
      <c r="AQ20" s="62"/>
      <c r="AR20" s="42" t="str">
        <f aca="false">IF(OR(AP20="",AQ20=""),"",IF(AP20&lt;AQ20,"Decreased",IF(AP20&gt;AQ20,"Increased","Flat")))</f>
        <v/>
      </c>
    </row>
    <row r="21" customFormat="false" ht="15" hidden="false" customHeight="true" outlineLevel="0" collapsed="false">
      <c r="A21" s="22" t="s">
        <v>238</v>
      </c>
      <c r="B21" s="22" t="s">
        <v>239</v>
      </c>
      <c r="C21" s="40" t="n">
        <v>46245</v>
      </c>
      <c r="D21" s="22" t="n">
        <v>1</v>
      </c>
      <c r="E21" s="22" t="s">
        <v>230</v>
      </c>
      <c r="F21" s="22" t="n">
        <v>3</v>
      </c>
      <c r="G21" s="22" t="s">
        <v>229</v>
      </c>
      <c r="H21" s="22" t="n">
        <v>4</v>
      </c>
      <c r="I21" s="22" t="s">
        <v>229</v>
      </c>
      <c r="J21" s="22" t="n">
        <v>4</v>
      </c>
      <c r="K21" s="22" t="s">
        <v>229</v>
      </c>
      <c r="L21" s="22" t="n">
        <v>1</v>
      </c>
      <c r="M21" s="22" t="s">
        <v>230</v>
      </c>
      <c r="N21" s="58" t="n">
        <f aca="false">IF(COUNT(D21,F21,H21,J21,L21)=0,"",(D21*0.2+F21*0.15+H21*0.15+J21*0.1+L21*0.1)/0.7)</f>
        <v>2.5</v>
      </c>
      <c r="O21" s="59" t="n">
        <f aca="false">IF(COUNT(D21,F21,H21,J21,L21)=0,"",D21*0.2+F21*0.15+H21*0.15+J21*0.1+L21*0.1)</f>
        <v>1.75</v>
      </c>
      <c r="P21" s="22"/>
      <c r="Q21" s="22"/>
      <c r="R21" s="22"/>
      <c r="S21" s="22"/>
      <c r="T21" s="22"/>
      <c r="U21" s="22"/>
      <c r="V21" s="22"/>
      <c r="W21" s="22"/>
      <c r="X21" s="59" t="str">
        <f aca="false">IF(COUNT(P21,R21,T21,V21)=0,"",P21*0.08+R21*0.06+T21*0.03+V21*0.08)</f>
        <v/>
      </c>
      <c r="Y21" s="22"/>
      <c r="Z21" s="22"/>
      <c r="AA21" s="22"/>
      <c r="AB21" s="22"/>
      <c r="AC21" s="22"/>
      <c r="AD21" s="22"/>
      <c r="AE21" s="59" t="str">
        <f aca="false">IF(COUNT(Y21,AA21,AC21)=0,"",Y21*0.02+AA21*0.02+AC21*0.01)</f>
        <v/>
      </c>
      <c r="AF21" s="60" t="str">
        <f aca="false">IF(OR(O21="",X21="",AE21=""),"",(O21+X21+AE21)*20)</f>
        <v/>
      </c>
      <c r="AG21" s="42" t="str">
        <f aca="false">IF(AF21="","",IF(AF21&gt;=80,"STRONG BUY",IF(AF21&gt;=65,"BUY",IF(AF21&gt;=50,"WATCH LIST",IF(AF21&gt;=35,"AVOID","PASS")))))</f>
        <v/>
      </c>
      <c r="AH21" s="42" t="str">
        <f aca="false">IF(N21="","",IF(N21&lt;3,"FAIL","OK"))</f>
        <v>FAIL</v>
      </c>
      <c r="AI21" s="42" t="str">
        <f aca="false">IF(COUNT(D21:L21)=0,"",IF(COUNTIF(D21:L21,1)&gt;0,"REVIEW","OK"))</f>
        <v>REVIEW</v>
      </c>
      <c r="AJ21" s="42" t="str">
        <f aca="false">IF(COUNT(D21:L21)=0,"",IF(COUNTIF(D21:L21,"&lt;=2")&gt;=2,"AVOID","OK"))</f>
        <v>AVOID</v>
      </c>
      <c r="AK21" s="42" t="str">
        <f aca="false">IF(COUNTA(E21:M21)=0,"",IF(COUNTIF(E21:M21,"L")&gt;=2,"CAP AT BUY","OK"))</f>
        <v>OK</v>
      </c>
      <c r="AM21" s="61"/>
      <c r="AN21" s="61"/>
      <c r="AO21" s="42" t="str">
        <f aca="false">IF(OR(AM21="",AN21=""),"",IF(AM21&gt;AN21,"OK","LOW CONF"))</f>
        <v/>
      </c>
      <c r="AP21" s="62"/>
      <c r="AQ21" s="62"/>
      <c r="AR21" s="42" t="str">
        <f aca="false">IF(OR(AP21="",AQ21=""),"",IF(AP21&lt;AQ21,"Decreased",IF(AP21&gt;AQ21,"Increased","Flat")))</f>
        <v/>
      </c>
    </row>
    <row r="22" customFormat="false" ht="15" hidden="false" customHeight="true" outlineLevel="0" collapsed="false">
      <c r="A22" s="22" t="s">
        <v>240</v>
      </c>
      <c r="B22" s="22" t="s">
        <v>241</v>
      </c>
      <c r="C22" s="40" t="n">
        <v>46245</v>
      </c>
      <c r="D22" s="22" t="n">
        <v>1</v>
      </c>
      <c r="E22" s="22" t="s">
        <v>230</v>
      </c>
      <c r="F22" s="22" t="n">
        <v>1</v>
      </c>
      <c r="G22" s="22" t="s">
        <v>230</v>
      </c>
      <c r="H22" s="22" t="n">
        <v>2</v>
      </c>
      <c r="I22" s="22" t="s">
        <v>229</v>
      </c>
      <c r="J22" s="22" t="n">
        <v>1</v>
      </c>
      <c r="K22" s="22" t="s">
        <v>230</v>
      </c>
      <c r="L22" s="22" t="n">
        <v>1</v>
      </c>
      <c r="M22" s="22" t="s">
        <v>230</v>
      </c>
      <c r="N22" s="58" t="n">
        <f aca="false">IF(COUNT(D22,F22,H22,J22,L22)=0,"",(D22*0.2+F22*0.15+H22*0.15+J22*0.1+L22*0.1)/0.7)</f>
        <v>1.21428571428571</v>
      </c>
      <c r="O22" s="59" t="n">
        <f aca="false">IF(COUNT(D22,F22,H22,J22,L22)=0,"",D22*0.2+F22*0.15+H22*0.15+J22*0.1+L22*0.1)</f>
        <v>0.85</v>
      </c>
      <c r="P22" s="22"/>
      <c r="Q22" s="22"/>
      <c r="R22" s="22"/>
      <c r="S22" s="22"/>
      <c r="T22" s="22"/>
      <c r="U22" s="22"/>
      <c r="V22" s="22"/>
      <c r="W22" s="22"/>
      <c r="X22" s="59" t="str">
        <f aca="false">IF(COUNT(P22,R22,T22,V22)=0,"",P22*0.08+R22*0.06+T22*0.03+V22*0.08)</f>
        <v/>
      </c>
      <c r="Y22" s="22"/>
      <c r="Z22" s="22"/>
      <c r="AA22" s="22"/>
      <c r="AB22" s="22"/>
      <c r="AC22" s="22"/>
      <c r="AD22" s="22"/>
      <c r="AE22" s="59" t="str">
        <f aca="false">IF(COUNT(Y22,AA22,AC22)=0,"",Y22*0.02+AA22*0.02+AC22*0.01)</f>
        <v/>
      </c>
      <c r="AF22" s="60" t="str">
        <f aca="false">IF(OR(O22="",X22="",AE22=""),"",(O22+X22+AE22)*20)</f>
        <v/>
      </c>
      <c r="AG22" s="42" t="str">
        <f aca="false">IF(AF22="","",IF(AF22&gt;=80,"STRONG BUY",IF(AF22&gt;=65,"BUY",IF(AF22&gt;=50,"WATCH LIST",IF(AF22&gt;=35,"AVOID","PASS")))))</f>
        <v/>
      </c>
      <c r="AH22" s="42" t="str">
        <f aca="false">IF(N22="","",IF(N22&lt;3,"FAIL","OK"))</f>
        <v>FAIL</v>
      </c>
      <c r="AI22" s="42" t="str">
        <f aca="false">IF(COUNT(D22:L22)=0,"",IF(COUNTIF(D22:L22,1)&gt;0,"REVIEW","OK"))</f>
        <v>REVIEW</v>
      </c>
      <c r="AJ22" s="42" t="str">
        <f aca="false">IF(COUNT(D22:L22)=0,"",IF(COUNTIF(D22:L22,"&lt;=2")&gt;=2,"AVOID","OK"))</f>
        <v>AVOID</v>
      </c>
      <c r="AK22" s="42" t="str">
        <f aca="false">IF(COUNTA(E22:M22)=0,"",IF(COUNTIF(E22:M22,"L")&gt;=2,"CAP AT BUY","OK"))</f>
        <v>OK</v>
      </c>
      <c r="AM22" s="61"/>
      <c r="AN22" s="61"/>
      <c r="AO22" s="42" t="str">
        <f aca="false">IF(OR(AM22="",AN22=""),"",IF(AM22&gt;AN22,"OK","LOW CONF"))</f>
        <v/>
      </c>
      <c r="AP22" s="62"/>
      <c r="AQ22" s="62"/>
      <c r="AR22" s="42" t="str">
        <f aca="false">IF(OR(AP22="",AQ22=""),"",IF(AP22&lt;AQ22,"Decreased",IF(AP22&gt;AQ22,"Increased","Flat")))</f>
        <v/>
      </c>
    </row>
    <row r="23" customFormat="false" ht="15" hidden="false" customHeight="true" outlineLevel="0" collapsed="false">
      <c r="A23" s="22" t="s">
        <v>242</v>
      </c>
      <c r="B23" s="22" t="s">
        <v>243</v>
      </c>
      <c r="C23" s="40" t="n">
        <v>46245</v>
      </c>
      <c r="D23" s="22" t="n">
        <v>4</v>
      </c>
      <c r="E23" s="22" t="s">
        <v>229</v>
      </c>
      <c r="F23" s="22" t="n">
        <v>4</v>
      </c>
      <c r="G23" s="22" t="s">
        <v>229</v>
      </c>
      <c r="H23" s="22" t="n">
        <v>4</v>
      </c>
      <c r="I23" s="22" t="s">
        <v>229</v>
      </c>
      <c r="J23" s="22" t="n">
        <v>4</v>
      </c>
      <c r="K23" s="22" t="s">
        <v>229</v>
      </c>
      <c r="L23" s="22" t="n">
        <v>4</v>
      </c>
      <c r="M23" s="22" t="s">
        <v>229</v>
      </c>
      <c r="N23" s="58" t="n">
        <f aca="false">IF(COUNT(D23,F23,H23,J23,L23)=0,"",(D23*0.2+F23*0.15+H23*0.15+J23*0.1+L23*0.1)/0.7)</f>
        <v>4</v>
      </c>
      <c r="O23" s="59" t="n">
        <f aca="false">IF(COUNT(D23,F23,H23,J23,L23)=0,"",D23*0.2+F23*0.15+H23*0.15+J23*0.1+L23*0.1)</f>
        <v>2.8</v>
      </c>
      <c r="P23" s="22"/>
      <c r="Q23" s="22"/>
      <c r="R23" s="22"/>
      <c r="S23" s="22"/>
      <c r="T23" s="22"/>
      <c r="U23" s="22"/>
      <c r="V23" s="22"/>
      <c r="W23" s="22"/>
      <c r="X23" s="59" t="str">
        <f aca="false">IF(COUNT(P23,R23,T23,V23)=0,"",P23*0.08+R23*0.06+T23*0.03+V23*0.08)</f>
        <v/>
      </c>
      <c r="Y23" s="22"/>
      <c r="Z23" s="22"/>
      <c r="AA23" s="22"/>
      <c r="AB23" s="22"/>
      <c r="AC23" s="22"/>
      <c r="AD23" s="22"/>
      <c r="AE23" s="59" t="str">
        <f aca="false">IF(COUNT(Y23,AA23,AC23)=0,"",Y23*0.02+AA23*0.02+AC23*0.01)</f>
        <v/>
      </c>
      <c r="AF23" s="60" t="str">
        <f aca="false">IF(OR(O23="",X23="",AE23=""),"",(O23+X23+AE23)*20)</f>
        <v/>
      </c>
      <c r="AG23" s="42" t="str">
        <f aca="false">IF(AF23="","",IF(AF23&gt;=80,"STRONG BUY",IF(AF23&gt;=65,"BUY",IF(AF23&gt;=50,"WATCH LIST",IF(AF23&gt;=35,"AVOID","PASS")))))</f>
        <v/>
      </c>
      <c r="AH23" s="42" t="str">
        <f aca="false">IF(N23="","",IF(N23&lt;3,"FAIL","OK"))</f>
        <v>OK</v>
      </c>
      <c r="AI23" s="42" t="str">
        <f aca="false">IF(COUNT(D23:L23)=0,"",IF(COUNTIF(D23:L23,1)&gt;0,"REVIEW","OK"))</f>
        <v>OK</v>
      </c>
      <c r="AJ23" s="42" t="str">
        <f aca="false">IF(COUNT(D23:L23)=0,"",IF(COUNTIF(D23:L23,"&lt;=2")&gt;=2,"AVOID","OK"))</f>
        <v>OK</v>
      </c>
      <c r="AK23" s="42" t="str">
        <f aca="false">IF(COUNTA(E23:M23)=0,"",IF(COUNTIF(E23:M23,"L")&gt;=2,"CAP AT BUY","OK"))</f>
        <v>OK</v>
      </c>
      <c r="AM23" s="61"/>
      <c r="AN23" s="61"/>
      <c r="AO23" s="42" t="str">
        <f aca="false">IF(OR(AM23="",AN23=""),"",IF(AM23&gt;AN23,"OK","LOW CONF"))</f>
        <v/>
      </c>
      <c r="AP23" s="62"/>
      <c r="AQ23" s="62"/>
      <c r="AR23" s="42" t="str">
        <f aca="false">IF(OR(AP23="",AQ23=""),"",IF(AP23&lt;AQ23,"Decreased",IF(AP23&gt;AQ23,"Increased","Flat")))</f>
        <v/>
      </c>
    </row>
    <row r="24" customFormat="false" ht="15" hidden="false" customHeight="true" outlineLevel="0" collapsed="false">
      <c r="A24" s="22" t="s">
        <v>244</v>
      </c>
      <c r="B24" s="22" t="s">
        <v>245</v>
      </c>
      <c r="C24" s="40" t="n">
        <v>46245</v>
      </c>
      <c r="D24" s="22" t="n">
        <v>2</v>
      </c>
      <c r="E24" s="22" t="s">
        <v>231</v>
      </c>
      <c r="F24" s="22" t="n">
        <v>2</v>
      </c>
      <c r="G24" s="22" t="s">
        <v>229</v>
      </c>
      <c r="H24" s="22" t="n">
        <v>3</v>
      </c>
      <c r="I24" s="22" t="s">
        <v>229</v>
      </c>
      <c r="J24" s="22" t="n">
        <v>2</v>
      </c>
      <c r="K24" s="22" t="s">
        <v>229</v>
      </c>
      <c r="L24" s="22" t="n">
        <v>1</v>
      </c>
      <c r="M24" s="22" t="s">
        <v>230</v>
      </c>
      <c r="N24" s="58" t="n">
        <f aca="false">IF(COUNT(D24,F24,H24,J24,L24)=0,"",(D24*0.2+F24*0.15+H24*0.15+J24*0.1+L24*0.1)/0.7)</f>
        <v>2.07142857142857</v>
      </c>
      <c r="O24" s="59" t="n">
        <f aca="false">IF(COUNT(D24,F24,H24,J24,L24)=0,"",D24*0.2+F24*0.15+H24*0.15+J24*0.1+L24*0.1)</f>
        <v>1.45</v>
      </c>
      <c r="P24" s="22"/>
      <c r="Q24" s="22"/>
      <c r="R24" s="22"/>
      <c r="S24" s="22"/>
      <c r="T24" s="22"/>
      <c r="U24" s="22"/>
      <c r="V24" s="22"/>
      <c r="W24" s="22"/>
      <c r="X24" s="59" t="str">
        <f aca="false">IF(COUNT(P24,R24,T24,V24)=0,"",P24*0.08+R24*0.06+T24*0.03+V24*0.08)</f>
        <v/>
      </c>
      <c r="Y24" s="22"/>
      <c r="Z24" s="22"/>
      <c r="AA24" s="22"/>
      <c r="AB24" s="22"/>
      <c r="AC24" s="22"/>
      <c r="AD24" s="22"/>
      <c r="AE24" s="59" t="str">
        <f aca="false">IF(COUNT(Y24,AA24,AC24)=0,"",Y24*0.02+AA24*0.02+AC24*0.01)</f>
        <v/>
      </c>
      <c r="AF24" s="60" t="str">
        <f aca="false">IF(OR(O24="",X24="",AE24=""),"",(O24+X24+AE24)*20)</f>
        <v/>
      </c>
      <c r="AG24" s="42" t="str">
        <f aca="false">IF(AF24="","",IF(AF24&gt;=80,"STRONG BUY",IF(AF24&gt;=65,"BUY",IF(AF24&gt;=50,"WATCH LIST",IF(AF24&gt;=35,"AVOID","PASS")))))</f>
        <v/>
      </c>
      <c r="AH24" s="42" t="str">
        <f aca="false">IF(N24="","",IF(N24&lt;3,"FAIL","OK"))</f>
        <v>FAIL</v>
      </c>
      <c r="AI24" s="42" t="str">
        <f aca="false">IF(COUNT(D24:L24)=0,"",IF(COUNTIF(D24:L24,1)&gt;0,"REVIEW","OK"))</f>
        <v>REVIEW</v>
      </c>
      <c r="AJ24" s="42" t="str">
        <f aca="false">IF(COUNT(D24:L24)=0,"",IF(COUNTIF(D24:L24,"&lt;=2")&gt;=2,"AVOID","OK"))</f>
        <v>AVOID</v>
      </c>
      <c r="AK24" s="42" t="str">
        <f aca="false">IF(COUNTA(E24:M24)=0,"",IF(COUNTIF(E24:M24,"L")&gt;=2,"CAP AT BUY","OK"))</f>
        <v>OK</v>
      </c>
      <c r="AM24" s="61"/>
      <c r="AN24" s="61"/>
      <c r="AO24" s="42" t="str">
        <f aca="false">IF(OR(AM24="",AN24=""),"",IF(AM24&gt;AN24,"OK","LOW CONF"))</f>
        <v/>
      </c>
      <c r="AP24" s="62"/>
      <c r="AQ24" s="62"/>
      <c r="AR24" s="42" t="str">
        <f aca="false">IF(OR(AP24="",AQ24=""),"",IF(AP24&lt;AQ24,"Decreased",IF(AP24&gt;AQ24,"Increased","Flat")))</f>
        <v/>
      </c>
    </row>
    <row r="25" customFormat="false" ht="15" hidden="false" customHeight="true" outlineLevel="0" collapsed="false">
      <c r="A25" s="22" t="s">
        <v>246</v>
      </c>
      <c r="B25" s="22" t="s">
        <v>247</v>
      </c>
      <c r="C25" s="40" t="n">
        <v>46245</v>
      </c>
      <c r="D25" s="22" t="n">
        <v>3</v>
      </c>
      <c r="E25" s="22" t="s">
        <v>229</v>
      </c>
      <c r="F25" s="22" t="n">
        <v>2</v>
      </c>
      <c r="G25" s="22" t="s">
        <v>230</v>
      </c>
      <c r="H25" s="22" t="n">
        <v>3</v>
      </c>
      <c r="I25" s="22" t="s">
        <v>229</v>
      </c>
      <c r="J25" s="22" t="n">
        <v>3</v>
      </c>
      <c r="K25" s="22" t="s">
        <v>229</v>
      </c>
      <c r="L25" s="22" t="n">
        <v>2</v>
      </c>
      <c r="M25" s="22" t="s">
        <v>230</v>
      </c>
      <c r="N25" s="58" t="n">
        <f aca="false">IF(COUNT(D25,F25,H25,J25,L25)=0,"",(D25*0.2+F25*0.15+H25*0.15+J25*0.1+L25*0.1)/0.7)</f>
        <v>2.64285714285714</v>
      </c>
      <c r="O25" s="59" t="n">
        <f aca="false">IF(COUNT(D25,F25,H25,J25,L25)=0,"",D25*0.2+F25*0.15+H25*0.15+J25*0.1+L25*0.1)</f>
        <v>1.85</v>
      </c>
      <c r="P25" s="22"/>
      <c r="Q25" s="22"/>
      <c r="R25" s="22"/>
      <c r="S25" s="22"/>
      <c r="T25" s="22"/>
      <c r="U25" s="22"/>
      <c r="V25" s="22"/>
      <c r="W25" s="22"/>
      <c r="X25" s="59" t="str">
        <f aca="false">IF(COUNT(P25,R25,T25,V25)=0,"",P25*0.08+R25*0.06+T25*0.03+V25*0.08)</f>
        <v/>
      </c>
      <c r="Y25" s="22"/>
      <c r="Z25" s="22"/>
      <c r="AA25" s="22"/>
      <c r="AB25" s="22"/>
      <c r="AC25" s="22"/>
      <c r="AD25" s="22"/>
      <c r="AE25" s="59" t="str">
        <f aca="false">IF(COUNT(Y25,AA25,AC25)=0,"",Y25*0.02+AA25*0.02+AC25*0.01)</f>
        <v/>
      </c>
      <c r="AF25" s="60" t="str">
        <f aca="false">IF(OR(O25="",X25="",AE25=""),"",(O25+X25+AE25)*20)</f>
        <v/>
      </c>
      <c r="AG25" s="42" t="str">
        <f aca="false">IF(AF25="","",IF(AF25&gt;=80,"STRONG BUY",IF(AF25&gt;=65,"BUY",IF(AF25&gt;=50,"WATCH LIST",IF(AF25&gt;=35,"AVOID","PASS")))))</f>
        <v/>
      </c>
      <c r="AH25" s="42" t="str">
        <f aca="false">IF(N25="","",IF(N25&lt;3,"FAIL","OK"))</f>
        <v>FAIL</v>
      </c>
      <c r="AI25" s="42" t="str">
        <f aca="false">IF(COUNT(D25:L25)=0,"",IF(COUNTIF(D25:L25,1)&gt;0,"REVIEW","OK"))</f>
        <v>OK</v>
      </c>
      <c r="AJ25" s="42" t="str">
        <f aca="false">IF(COUNT(D25:L25)=0,"",IF(COUNTIF(D25:L25,"&lt;=2")&gt;=2,"AVOID","OK"))</f>
        <v>AVOID</v>
      </c>
      <c r="AK25" s="42" t="str">
        <f aca="false">IF(COUNTA(E25:M25)=0,"",IF(COUNTIF(E25:M25,"L")&gt;=2,"CAP AT BUY","OK"))</f>
        <v>OK</v>
      </c>
      <c r="AM25" s="61"/>
      <c r="AN25" s="61"/>
      <c r="AO25" s="42" t="str">
        <f aca="false">IF(OR(AM25="",AN25=""),"",IF(AM25&gt;AN25,"OK","LOW CONF"))</f>
        <v/>
      </c>
      <c r="AP25" s="62"/>
      <c r="AQ25" s="62"/>
      <c r="AR25" s="42" t="str">
        <f aca="false">IF(OR(AP25="",AQ25=""),"",IF(AP25&lt;AQ25,"Decreased",IF(AP25&gt;AQ25,"Increased","Flat")))</f>
        <v/>
      </c>
    </row>
    <row r="26" customFormat="false" ht="15" hidden="false" customHeight="true" outlineLevel="0" collapsed="false">
      <c r="A26" s="22" t="s">
        <v>248</v>
      </c>
      <c r="B26" s="22" t="s">
        <v>249</v>
      </c>
      <c r="C26" s="40" t="n">
        <v>46245</v>
      </c>
      <c r="D26" s="22" t="n">
        <v>2</v>
      </c>
      <c r="E26" s="22" t="s">
        <v>229</v>
      </c>
      <c r="F26" s="22" t="n">
        <v>1</v>
      </c>
      <c r="G26" s="22" t="s">
        <v>230</v>
      </c>
      <c r="H26" s="22" t="n">
        <v>2</v>
      </c>
      <c r="I26" s="22" t="s">
        <v>229</v>
      </c>
      <c r="J26" s="22" t="n">
        <v>2</v>
      </c>
      <c r="K26" s="22" t="s">
        <v>229</v>
      </c>
      <c r="L26" s="22" t="n">
        <v>2</v>
      </c>
      <c r="M26" s="22" t="s">
        <v>229</v>
      </c>
      <c r="N26" s="58" t="n">
        <f aca="false">IF(COUNT(D26,F26,H26,J26,L26)=0,"",(D26*0.2+F26*0.15+H26*0.15+J26*0.1+L26*0.1)/0.7)</f>
        <v>1.78571428571429</v>
      </c>
      <c r="O26" s="59" t="n">
        <f aca="false">IF(COUNT(D26,F26,H26,J26,L26)=0,"",D26*0.2+F26*0.15+H26*0.15+J26*0.1+L26*0.1)</f>
        <v>1.25</v>
      </c>
      <c r="P26" s="22"/>
      <c r="Q26" s="22"/>
      <c r="R26" s="22"/>
      <c r="S26" s="22"/>
      <c r="T26" s="22"/>
      <c r="U26" s="22"/>
      <c r="V26" s="22"/>
      <c r="W26" s="22"/>
      <c r="X26" s="59" t="str">
        <f aca="false">IF(COUNT(P26,R26,T26,V26)=0,"",P26*0.08+R26*0.06+T26*0.03+V26*0.08)</f>
        <v/>
      </c>
      <c r="Y26" s="22"/>
      <c r="Z26" s="22"/>
      <c r="AA26" s="22"/>
      <c r="AB26" s="22"/>
      <c r="AC26" s="22"/>
      <c r="AD26" s="22"/>
      <c r="AE26" s="59" t="str">
        <f aca="false">IF(COUNT(Y26,AA26,AC26)=0,"",Y26*0.02+AA26*0.02+AC26*0.01)</f>
        <v/>
      </c>
      <c r="AF26" s="60" t="str">
        <f aca="false">IF(OR(O26="",X26="",AE26=""),"",(O26+X26+AE26)*20)</f>
        <v/>
      </c>
      <c r="AG26" s="42" t="str">
        <f aca="false">IF(AF26="","",IF(AF26&gt;=80,"STRONG BUY",IF(AF26&gt;=65,"BUY",IF(AF26&gt;=50,"WATCH LIST",IF(AF26&gt;=35,"AVOID","PASS")))))</f>
        <v/>
      </c>
      <c r="AH26" s="42" t="str">
        <f aca="false">IF(N26="","",IF(N26&lt;3,"FAIL","OK"))</f>
        <v>FAIL</v>
      </c>
      <c r="AI26" s="42" t="str">
        <f aca="false">IF(COUNT(D26:L26)=0,"",IF(COUNTIF(D26:L26,1)&gt;0,"REVIEW","OK"))</f>
        <v>REVIEW</v>
      </c>
      <c r="AJ26" s="42" t="str">
        <f aca="false">IF(COUNT(D26:L26)=0,"",IF(COUNTIF(D26:L26,"&lt;=2")&gt;=2,"AVOID","OK"))</f>
        <v>AVOID</v>
      </c>
      <c r="AK26" s="42" t="str">
        <f aca="false">IF(COUNTA(E26:M26)=0,"",IF(COUNTIF(E26:M26,"L")&gt;=2,"CAP AT BUY","OK"))</f>
        <v>OK</v>
      </c>
      <c r="AM26" s="61"/>
      <c r="AN26" s="61"/>
      <c r="AO26" s="42" t="str">
        <f aca="false">IF(OR(AM26="",AN26=""),"",IF(AM26&gt;AN26,"OK","LOW CONF"))</f>
        <v/>
      </c>
      <c r="AP26" s="62"/>
      <c r="AQ26" s="62"/>
      <c r="AR26" s="42" t="str">
        <f aca="false">IF(OR(AP26="",AQ26=""),"",IF(AP26&lt;AQ26,"Decreased",IF(AP26&gt;AQ26,"Increased","Flat")))</f>
        <v/>
      </c>
    </row>
    <row r="27" customFormat="false" ht="15" hidden="false" customHeight="true" outlineLevel="0" collapsed="false">
      <c r="A27" s="22" t="s">
        <v>250</v>
      </c>
      <c r="B27" s="22" t="s">
        <v>251</v>
      </c>
      <c r="C27" s="40" t="n">
        <v>46245</v>
      </c>
      <c r="D27" s="22" t="n">
        <v>2</v>
      </c>
      <c r="E27" s="22" t="s">
        <v>230</v>
      </c>
      <c r="F27" s="22" t="n">
        <v>2</v>
      </c>
      <c r="G27" s="22" t="s">
        <v>229</v>
      </c>
      <c r="H27" s="22" t="n">
        <v>2</v>
      </c>
      <c r="I27" s="22" t="s">
        <v>229</v>
      </c>
      <c r="J27" s="22" t="n">
        <v>2</v>
      </c>
      <c r="K27" s="22" t="s">
        <v>229</v>
      </c>
      <c r="L27" s="22" t="n">
        <v>1</v>
      </c>
      <c r="M27" s="22" t="s">
        <v>230</v>
      </c>
      <c r="N27" s="58" t="n">
        <f aca="false">IF(COUNT(D27,F27,H27,J27,L27)=0,"",(D27*0.2+F27*0.15+H27*0.15+J27*0.1+L27*0.1)/0.7)</f>
        <v>1.85714285714286</v>
      </c>
      <c r="O27" s="59" t="n">
        <f aca="false">IF(COUNT(D27,F27,H27,J27,L27)=0,"",D27*0.2+F27*0.15+H27*0.15+J27*0.1+L27*0.1)</f>
        <v>1.3</v>
      </c>
      <c r="P27" s="22"/>
      <c r="Q27" s="22"/>
      <c r="R27" s="22"/>
      <c r="S27" s="22"/>
      <c r="T27" s="22"/>
      <c r="U27" s="22"/>
      <c r="V27" s="22"/>
      <c r="W27" s="22"/>
      <c r="X27" s="59" t="str">
        <f aca="false">IF(COUNT(P27,R27,T27,V27)=0,"",P27*0.08+R27*0.06+T27*0.03+V27*0.08)</f>
        <v/>
      </c>
      <c r="Y27" s="22"/>
      <c r="Z27" s="22"/>
      <c r="AA27" s="22"/>
      <c r="AB27" s="22"/>
      <c r="AC27" s="22"/>
      <c r="AD27" s="22"/>
      <c r="AE27" s="59" t="str">
        <f aca="false">IF(COUNT(Y27,AA27,AC27)=0,"",Y27*0.02+AA27*0.02+AC27*0.01)</f>
        <v/>
      </c>
      <c r="AF27" s="60" t="str">
        <f aca="false">IF(OR(O27="",X27="",AE27=""),"",(O27+X27+AE27)*20)</f>
        <v/>
      </c>
      <c r="AG27" s="42" t="str">
        <f aca="false">IF(AF27="","",IF(AF27&gt;=80,"STRONG BUY",IF(AF27&gt;=65,"BUY",IF(AF27&gt;=50,"WATCH LIST",IF(AF27&gt;=35,"AVOID","PASS")))))</f>
        <v/>
      </c>
      <c r="AH27" s="42" t="str">
        <f aca="false">IF(N27="","",IF(N27&lt;3,"FAIL","OK"))</f>
        <v>FAIL</v>
      </c>
      <c r="AI27" s="42" t="str">
        <f aca="false">IF(COUNT(D27:L27)=0,"",IF(COUNTIF(D27:L27,1)&gt;0,"REVIEW","OK"))</f>
        <v>REVIEW</v>
      </c>
      <c r="AJ27" s="42" t="str">
        <f aca="false">IF(COUNT(D27:L27)=0,"",IF(COUNTIF(D27:L27,"&lt;=2")&gt;=2,"AVOID","OK"))</f>
        <v>AVOID</v>
      </c>
      <c r="AK27" s="42" t="str">
        <f aca="false">IF(COUNTA(E27:M27)=0,"",IF(COUNTIF(E27:M27,"L")&gt;=2,"CAP AT BUY","OK"))</f>
        <v>OK</v>
      </c>
      <c r="AM27" s="61"/>
      <c r="AN27" s="61"/>
      <c r="AO27" s="42" t="str">
        <f aca="false">IF(OR(AM27="",AN27=""),"",IF(AM27&gt;AN27,"OK","LOW CONF"))</f>
        <v/>
      </c>
      <c r="AP27" s="62"/>
      <c r="AQ27" s="62"/>
      <c r="AR27" s="42" t="str">
        <f aca="false">IF(OR(AP27="",AQ27=""),"",IF(AP27&lt;AQ27,"Decreased",IF(AP27&gt;AQ27,"Increased","Flat")))</f>
        <v/>
      </c>
    </row>
    <row r="28" customFormat="false" ht="15" hidden="false" customHeight="true" outlineLevel="0" collapsed="false">
      <c r="A28" s="63" t="s">
        <v>252</v>
      </c>
      <c r="B28" s="63" t="s">
        <v>253</v>
      </c>
      <c r="C28" s="64" t="n">
        <v>46245</v>
      </c>
      <c r="D28" s="63" t="n">
        <v>4</v>
      </c>
      <c r="E28" s="63" t="s">
        <v>230</v>
      </c>
      <c r="F28" s="63" t="n">
        <v>4</v>
      </c>
      <c r="G28" s="63" t="s">
        <v>230</v>
      </c>
      <c r="H28" s="63" t="n">
        <v>5</v>
      </c>
      <c r="I28" s="63" t="s">
        <v>230</v>
      </c>
      <c r="J28" s="63" t="n">
        <v>5</v>
      </c>
      <c r="K28" s="63" t="s">
        <v>230</v>
      </c>
      <c r="L28" s="63" t="n">
        <v>5</v>
      </c>
      <c r="M28" s="63" t="s">
        <v>230</v>
      </c>
      <c r="N28" s="65" t="n">
        <f aca="false">IF(COUNT(D28,F28,H28,J28,L28)=0,"",(D28*0.2+F28*0.15+H28*0.15+J28*0.1+L28*0.1)/0.7)</f>
        <v>4.5</v>
      </c>
      <c r="O28" s="66" t="n">
        <f aca="false">IF(COUNT(D28,F28,H28,J28,L28)=0,"",D28*0.2+F28*0.15+H28*0.15+J28*0.1+L28*0.1)</f>
        <v>3.15</v>
      </c>
      <c r="P28" s="63"/>
      <c r="Q28" s="63"/>
      <c r="R28" s="63"/>
      <c r="S28" s="63"/>
      <c r="T28" s="63"/>
      <c r="U28" s="63"/>
      <c r="V28" s="63"/>
      <c r="W28" s="63"/>
      <c r="X28" s="47" t="str">
        <f aca="false">IF(COUNT(P28,R28,T28,V28)=0,"",P28*0.08+R28*0.06+T28*0.03+V28*0.08)</f>
        <v/>
      </c>
      <c r="Y28" s="63"/>
      <c r="Z28" s="63"/>
      <c r="AA28" s="63"/>
      <c r="AB28" s="63"/>
      <c r="AC28" s="63"/>
      <c r="AD28" s="63"/>
      <c r="AE28" s="47" t="str">
        <f aca="false">IF(COUNT(Y28,AA28,AC28)=0,"",Y28*0.02+AA28*0.02+AC28*0.01)</f>
        <v/>
      </c>
      <c r="AF28" s="66" t="str">
        <f aca="false">IF(OR(O28="",X28="",AE28=""),"",(O28+X28+AE28)*20)</f>
        <v/>
      </c>
      <c r="AG28" s="66" t="str">
        <f aca="false">IF(AF28="","",IF(AF28&gt;=80,"STRONG BUY",IF(AF28&gt;=65,"BUY",IF(AF28&gt;=50,"WATCH LIST",IF(AF28&gt;=35,"AVOID","PASS")))))</f>
        <v/>
      </c>
      <c r="AH28" s="66" t="str">
        <f aca="false">IF(N28="","",IF(N28&lt;3,"FAIL","OK"))</f>
        <v>OK</v>
      </c>
      <c r="AI28" s="66" t="str">
        <f aca="false">IF(COUNT(D28:L28)=0,"",IF(COUNTIF(D28:L28,1)&gt;0,"REVIEW","OK"))</f>
        <v>OK</v>
      </c>
      <c r="AJ28" s="66" t="str">
        <f aca="false">IF(COUNT(D28:L28)=0,"",IF(COUNTIF(D28:L28,"&lt;=2")&gt;=2,"AVOID","OK"))</f>
        <v>OK</v>
      </c>
      <c r="AK28" s="66" t="str">
        <f aca="false">IF(COUNTA(E28:M28)=0,"",IF(COUNTIF(E28:M28,"L")&gt;=2,"CAP AT BUY","OK"))</f>
        <v>OK</v>
      </c>
      <c r="AM28" s="61"/>
      <c r="AN28" s="61"/>
      <c r="AO28" s="42" t="str">
        <f aca="false">IF(OR(AM28="",AN28=""),"",IF(AM28&gt;AN28,"OK","LOW CONF"))</f>
        <v/>
      </c>
      <c r="AP28" s="62"/>
      <c r="AQ28" s="62"/>
      <c r="AR28" s="42" t="str">
        <f aca="false">IF(OR(AP28="",AQ28=""),"",IF(AP28&lt;AQ28,"Decreased",IF(AP28&gt;AQ28,"Increased","Flat")))</f>
        <v/>
      </c>
    </row>
    <row r="29" customFormat="false" ht="15" hidden="false" customHeight="true" outlineLevel="0" collapsed="false">
      <c r="A29" s="63" t="s">
        <v>254</v>
      </c>
      <c r="B29" s="63" t="s">
        <v>255</v>
      </c>
      <c r="C29" s="64" t="n">
        <v>46245</v>
      </c>
      <c r="D29" s="63" t="n">
        <v>2</v>
      </c>
      <c r="E29" s="63" t="s">
        <v>229</v>
      </c>
      <c r="F29" s="63" t="n">
        <v>2</v>
      </c>
      <c r="G29" s="63" t="s">
        <v>229</v>
      </c>
      <c r="H29" s="63" t="n">
        <v>3</v>
      </c>
      <c r="I29" s="63" t="s">
        <v>229</v>
      </c>
      <c r="J29" s="63" t="n">
        <v>3</v>
      </c>
      <c r="K29" s="63" t="s">
        <v>229</v>
      </c>
      <c r="L29" s="63" t="n">
        <v>2</v>
      </c>
      <c r="M29" s="63" t="s">
        <v>230</v>
      </c>
      <c r="N29" s="65" t="n">
        <f aca="false">IF(COUNT(D29,F29,H29,J29,L29)=0,"",(D29*0.2+F29*0.15+H29*0.15+J29*0.1+L29*0.1)/0.7)</f>
        <v>2.35714285714286</v>
      </c>
      <c r="O29" s="66" t="n">
        <f aca="false">IF(COUNT(D29,F29,H29,J29,L29)=0,"",D29*0.2+F29*0.15+H29*0.15+J29*0.1+L29*0.1)</f>
        <v>1.65</v>
      </c>
      <c r="P29" s="63"/>
      <c r="Q29" s="63"/>
      <c r="R29" s="63"/>
      <c r="S29" s="63"/>
      <c r="T29" s="63"/>
      <c r="U29" s="63"/>
      <c r="V29" s="63"/>
      <c r="W29" s="63"/>
      <c r="X29" s="47" t="str">
        <f aca="false">IF(COUNT(P29,R29,T29,V29)=0,"",P29*0.08+R29*0.06+T29*0.03+V29*0.08)</f>
        <v/>
      </c>
      <c r="Y29" s="63"/>
      <c r="Z29" s="63"/>
      <c r="AA29" s="63"/>
      <c r="AB29" s="63"/>
      <c r="AC29" s="63"/>
      <c r="AD29" s="63"/>
      <c r="AE29" s="47" t="str">
        <f aca="false">IF(COUNT(Y29,AA29,AC29)=0,"",Y29*0.02+AA29*0.02+AC29*0.01)</f>
        <v/>
      </c>
      <c r="AF29" s="66" t="str">
        <f aca="false">IF(OR(O29="",X29="",AE29=""),"",(O29+X29+AE29)*20)</f>
        <v/>
      </c>
      <c r="AG29" s="66" t="str">
        <f aca="false">IF(AF29="","",IF(AF29&gt;=80,"STRONG BUY",IF(AF29&gt;=65,"BUY",IF(AF29&gt;=50,"WATCH LIST",IF(AF29&gt;=35,"AVOID","PASS")))))</f>
        <v/>
      </c>
      <c r="AH29" s="66" t="str">
        <f aca="false">IF(N29="","",IF(N29&lt;3,"FAIL","OK"))</f>
        <v>FAIL</v>
      </c>
      <c r="AI29" s="66" t="str">
        <f aca="false">IF(COUNT(D29:L29)=0,"",IF(COUNTIF(D29:L29,1)&gt;0,"REVIEW","OK"))</f>
        <v>OK</v>
      </c>
      <c r="AJ29" s="66" t="str">
        <f aca="false">IF(COUNT(D29:L29)=0,"",IF(COUNTIF(D29:L29,"&lt;=2")&gt;=2,"AVOID","OK"))</f>
        <v>AVOID</v>
      </c>
      <c r="AK29" s="66" t="str">
        <f aca="false">IF(COUNTA(E29:M29)=0,"",IF(COUNTIF(E29:M29,"L")&gt;=2,"CAP AT BUY","OK"))</f>
        <v>OK</v>
      </c>
      <c r="AM29" s="61"/>
      <c r="AN29" s="61"/>
      <c r="AO29" s="42" t="str">
        <f aca="false">IF(OR(AM29="",AN29=""),"",IF(AM29&gt;AN29,"OK","LOW CONF"))</f>
        <v/>
      </c>
      <c r="AP29" s="62"/>
      <c r="AQ29" s="62"/>
      <c r="AR29" s="42" t="str">
        <f aca="false">IF(OR(AP29="",AQ29=""),"",IF(AP29&lt;AQ29,"Decreased",IF(AP29&gt;AQ29,"Increased","Flat")))</f>
        <v/>
      </c>
    </row>
    <row r="30" customFormat="false" ht="15" hidden="false" customHeight="true" outlineLevel="0" collapsed="false">
      <c r="A30" s="63" t="s">
        <v>256</v>
      </c>
      <c r="B30" s="63" t="s">
        <v>257</v>
      </c>
      <c r="C30" s="64" t="n">
        <v>46245</v>
      </c>
      <c r="D30" s="63" t="n">
        <v>2</v>
      </c>
      <c r="E30" s="63" t="s">
        <v>229</v>
      </c>
      <c r="F30" s="63" t="n">
        <v>1</v>
      </c>
      <c r="G30" s="63" t="s">
        <v>230</v>
      </c>
      <c r="H30" s="63" t="n">
        <v>3</v>
      </c>
      <c r="I30" s="63" t="s">
        <v>229</v>
      </c>
      <c r="J30" s="63" t="n">
        <v>2</v>
      </c>
      <c r="K30" s="63" t="s">
        <v>229</v>
      </c>
      <c r="L30" s="63" t="n">
        <v>3</v>
      </c>
      <c r="M30" s="63" t="s">
        <v>229</v>
      </c>
      <c r="N30" s="65" t="n">
        <f aca="false">IF(COUNT(D30,F30,H30,J30,L30)=0,"",(D30*0.2+F30*0.15+H30*0.15+J30*0.1+L30*0.1)/0.7)</f>
        <v>2.14285714285714</v>
      </c>
      <c r="O30" s="66" t="n">
        <f aca="false">IF(COUNT(D30,F30,H30,J30,L30)=0,"",D30*0.2+F30*0.15+H30*0.15+J30*0.1+L30*0.1)</f>
        <v>1.5</v>
      </c>
      <c r="P30" s="63"/>
      <c r="Q30" s="63"/>
      <c r="R30" s="63"/>
      <c r="S30" s="63"/>
      <c r="T30" s="63"/>
      <c r="U30" s="63"/>
      <c r="V30" s="63"/>
      <c r="W30" s="63"/>
      <c r="X30" s="47" t="str">
        <f aca="false">IF(COUNT(P30,R30,T30,V30)=0,"",P30*0.08+R30*0.06+T30*0.03+V30*0.08)</f>
        <v/>
      </c>
      <c r="Y30" s="63"/>
      <c r="Z30" s="63"/>
      <c r="AA30" s="63"/>
      <c r="AB30" s="63"/>
      <c r="AC30" s="63"/>
      <c r="AD30" s="63"/>
      <c r="AE30" s="47" t="str">
        <f aca="false">IF(COUNT(Y30,AA30,AC30)=0,"",Y30*0.02+AA30*0.02+AC30*0.01)</f>
        <v/>
      </c>
      <c r="AF30" s="66" t="str">
        <f aca="false">IF(OR(O30="",X30="",AE30=""),"",(O30+X30+AE30)*20)</f>
        <v/>
      </c>
      <c r="AG30" s="66" t="str">
        <f aca="false">IF(AF30="","",IF(AF30&gt;=80,"STRONG BUY",IF(AF30&gt;=65,"BUY",IF(AF30&gt;=50,"WATCH LIST",IF(AF30&gt;=35,"AVOID","PASS")))))</f>
        <v/>
      </c>
      <c r="AH30" s="66" t="str">
        <f aca="false">IF(N30="","",IF(N30&lt;3,"FAIL","OK"))</f>
        <v>FAIL</v>
      </c>
      <c r="AI30" s="66" t="str">
        <f aca="false">IF(COUNT(D30:L30)=0,"",IF(COUNTIF(D30:L30,1)&gt;0,"REVIEW","OK"))</f>
        <v>REVIEW</v>
      </c>
      <c r="AJ30" s="66" t="str">
        <f aca="false">IF(COUNT(D30:L30)=0,"",IF(COUNTIF(D30:L30,"&lt;=2")&gt;=2,"AVOID","OK"))</f>
        <v>AVOID</v>
      </c>
      <c r="AK30" s="66" t="str">
        <f aca="false">IF(COUNTA(E30:M30)=0,"",IF(COUNTIF(E30:M30,"L")&gt;=2,"CAP AT BUY","OK"))</f>
        <v>OK</v>
      </c>
      <c r="AM30" s="61"/>
      <c r="AN30" s="61"/>
      <c r="AO30" s="42" t="str">
        <f aca="false">IF(OR(AM30="",AN30=""),"",IF(AM30&gt;AN30,"OK","LOW CONF"))</f>
        <v/>
      </c>
      <c r="AP30" s="62"/>
      <c r="AQ30" s="62"/>
      <c r="AR30" s="42" t="str">
        <f aca="false">IF(OR(AP30="",AQ30=""),"",IF(AP30&lt;AQ30,"Decreased",IF(AP30&gt;AQ30,"Increased","Flat")))</f>
        <v/>
      </c>
    </row>
    <row r="31" customFormat="false" ht="15" hidden="false" customHeight="true" outlineLevel="0" collapsed="false">
      <c r="A31" s="63" t="s">
        <v>258</v>
      </c>
      <c r="B31" s="63" t="s">
        <v>259</v>
      </c>
      <c r="C31" s="64" t="n">
        <v>46245</v>
      </c>
      <c r="D31" s="63" t="n">
        <v>1</v>
      </c>
      <c r="E31" s="63" t="s">
        <v>230</v>
      </c>
      <c r="F31" s="63" t="n">
        <v>2</v>
      </c>
      <c r="G31" s="63" t="s">
        <v>229</v>
      </c>
      <c r="H31" s="63" t="n">
        <v>3</v>
      </c>
      <c r="I31" s="63" t="s">
        <v>229</v>
      </c>
      <c r="J31" s="63" t="n">
        <v>3</v>
      </c>
      <c r="K31" s="63" t="s">
        <v>229</v>
      </c>
      <c r="L31" s="63" t="n">
        <v>1</v>
      </c>
      <c r="M31" s="63" t="s">
        <v>230</v>
      </c>
      <c r="N31" s="65" t="n">
        <f aca="false">IF(COUNT(D31,F31,H31,J31,L31)=0,"",(D31*0.2+F31*0.15+H31*0.15+J31*0.1+L31*0.1)/0.7)</f>
        <v>1.92857142857143</v>
      </c>
      <c r="O31" s="66" t="n">
        <f aca="false">IF(COUNT(D31,F31,H31,J31,L31)=0,"",D31*0.2+F31*0.15+H31*0.15+J31*0.1+L31*0.1)</f>
        <v>1.35</v>
      </c>
      <c r="P31" s="63"/>
      <c r="Q31" s="63"/>
      <c r="R31" s="63"/>
      <c r="S31" s="63"/>
      <c r="T31" s="63"/>
      <c r="U31" s="63"/>
      <c r="V31" s="63"/>
      <c r="W31" s="63"/>
      <c r="X31" s="47" t="str">
        <f aca="false">IF(COUNT(P31,R31,T31,V31)=0,"",P31*0.08+R31*0.06+T31*0.03+V31*0.08)</f>
        <v/>
      </c>
      <c r="Y31" s="63"/>
      <c r="Z31" s="63"/>
      <c r="AA31" s="63"/>
      <c r="AB31" s="63"/>
      <c r="AC31" s="63"/>
      <c r="AD31" s="63"/>
      <c r="AE31" s="47" t="str">
        <f aca="false">IF(COUNT(Y31,AA31,AC31)=0,"",Y31*0.02+AA31*0.02+AC31*0.01)</f>
        <v/>
      </c>
      <c r="AF31" s="66" t="str">
        <f aca="false">IF(OR(O31="",X31="",AE31=""),"",(O31+X31+AE31)*20)</f>
        <v/>
      </c>
      <c r="AG31" s="66" t="str">
        <f aca="false">IF(AF31="","",IF(AF31&gt;=80,"STRONG BUY",IF(AF31&gt;=65,"BUY",IF(AF31&gt;=50,"WATCH LIST",IF(AF31&gt;=35,"AVOID","PASS")))))</f>
        <v/>
      </c>
      <c r="AH31" s="66" t="str">
        <f aca="false">IF(N31="","",IF(N31&lt;3,"FAIL","OK"))</f>
        <v>FAIL</v>
      </c>
      <c r="AI31" s="66" t="str">
        <f aca="false">IF(COUNT(D31:L31)=0,"",IF(COUNTIF(D31:L31,1)&gt;0,"REVIEW","OK"))</f>
        <v>REVIEW</v>
      </c>
      <c r="AJ31" s="66" t="str">
        <f aca="false">IF(COUNT(D31:L31)=0,"",IF(COUNTIF(D31:L31,"&lt;=2")&gt;=2,"AVOID","OK"))</f>
        <v>AVOID</v>
      </c>
      <c r="AK31" s="66" t="str">
        <f aca="false">IF(COUNTA(E31:M31)=0,"",IF(COUNTIF(E31:M31,"L")&gt;=2,"CAP AT BUY","OK"))</f>
        <v>OK</v>
      </c>
      <c r="AM31" s="61"/>
      <c r="AN31" s="61"/>
      <c r="AO31" s="42" t="str">
        <f aca="false">IF(OR(AM31="",AN31=""),"",IF(AM31&gt;AN31,"OK","LOW CONF"))</f>
        <v/>
      </c>
      <c r="AP31" s="62"/>
      <c r="AQ31" s="62"/>
      <c r="AR31" s="42" t="str">
        <f aca="false">IF(OR(AP31="",AQ31=""),"",IF(AP31&lt;AQ31,"Decreased",IF(AP31&gt;AQ31,"Increased","Flat")))</f>
        <v/>
      </c>
    </row>
    <row r="32" customFormat="false" ht="15" hidden="false" customHeight="true" outlineLevel="0" collapsed="false">
      <c r="A32" s="63" t="s">
        <v>260</v>
      </c>
      <c r="B32" s="63" t="s">
        <v>261</v>
      </c>
      <c r="C32" s="64" t="n">
        <v>46245</v>
      </c>
      <c r="D32" s="63" t="n">
        <v>4</v>
      </c>
      <c r="E32" s="63" t="s">
        <v>229</v>
      </c>
      <c r="F32" s="63" t="n">
        <v>4</v>
      </c>
      <c r="G32" s="63" t="s">
        <v>230</v>
      </c>
      <c r="H32" s="63" t="n">
        <v>5</v>
      </c>
      <c r="I32" s="63" t="s">
        <v>230</v>
      </c>
      <c r="J32" s="63" t="n">
        <v>4</v>
      </c>
      <c r="K32" s="63" t="s">
        <v>229</v>
      </c>
      <c r="L32" s="63" t="n">
        <v>4</v>
      </c>
      <c r="M32" s="63" t="s">
        <v>230</v>
      </c>
      <c r="N32" s="65" t="n">
        <f aca="false">IF(COUNT(D32,F32,H32,J32,L32)=0,"",(D32*0.2+F32*0.15+H32*0.15+J32*0.1+L32*0.1)/0.7)</f>
        <v>4.21428571428571</v>
      </c>
      <c r="O32" s="66" t="n">
        <f aca="false">IF(COUNT(D32,F32,H32,J32,L32)=0,"",D32*0.2+F32*0.15+H32*0.15+J32*0.1+L32*0.1)</f>
        <v>2.95</v>
      </c>
      <c r="P32" s="63"/>
      <c r="Q32" s="63"/>
      <c r="R32" s="63"/>
      <c r="S32" s="63"/>
      <c r="T32" s="63"/>
      <c r="U32" s="63"/>
      <c r="V32" s="63"/>
      <c r="W32" s="63"/>
      <c r="X32" s="47" t="str">
        <f aca="false">IF(COUNT(P32,R32,T32,V32)=0,"",P32*0.08+R32*0.06+T32*0.03+V32*0.08)</f>
        <v/>
      </c>
      <c r="Y32" s="63"/>
      <c r="Z32" s="63"/>
      <c r="AA32" s="63"/>
      <c r="AB32" s="63"/>
      <c r="AC32" s="63"/>
      <c r="AD32" s="63"/>
      <c r="AE32" s="47" t="str">
        <f aca="false">IF(COUNT(Y32,AA32,AC32)=0,"",Y32*0.02+AA32*0.02+AC32*0.01)</f>
        <v/>
      </c>
      <c r="AF32" s="66" t="str">
        <f aca="false">IF(OR(O32="",X32="",AE32=""),"",(O32+X32+AE32)*20)</f>
        <v/>
      </c>
      <c r="AG32" s="66" t="str">
        <f aca="false">IF(AF32="","",IF(AF32&gt;=80,"STRONG BUY",IF(AF32&gt;=65,"BUY",IF(AF32&gt;=50,"WATCH LIST",IF(AF32&gt;=35,"AVOID","PASS")))))</f>
        <v/>
      </c>
      <c r="AH32" s="66" t="str">
        <f aca="false">IF(N32="","",IF(N32&lt;3,"FAIL","OK"))</f>
        <v>OK</v>
      </c>
      <c r="AI32" s="66" t="str">
        <f aca="false">IF(COUNT(D32:L32)=0,"",IF(COUNTIF(D32:L32,1)&gt;0,"REVIEW","OK"))</f>
        <v>OK</v>
      </c>
      <c r="AJ32" s="66" t="str">
        <f aca="false">IF(COUNT(D32:L32)=0,"",IF(COUNTIF(D32:L32,"&lt;=2")&gt;=2,"AVOID","OK"))</f>
        <v>OK</v>
      </c>
      <c r="AK32" s="66" t="str">
        <f aca="false">IF(COUNTA(E32:M32)=0,"",IF(COUNTIF(E32:M32,"L")&gt;=2,"CAP AT BUY","OK"))</f>
        <v>OK</v>
      </c>
      <c r="AM32" s="61"/>
      <c r="AN32" s="61"/>
      <c r="AO32" s="42" t="str">
        <f aca="false">IF(OR(AM32="",AN32=""),"",IF(AM32&gt;AN32,"OK","LOW CONF"))</f>
        <v/>
      </c>
      <c r="AP32" s="62"/>
      <c r="AQ32" s="62"/>
      <c r="AR32" s="42" t="str">
        <f aca="false">IF(OR(AP32="",AQ32=""),"",IF(AP32&lt;AQ32,"Decreased",IF(AP32&gt;AQ32,"Increased","Flat")))</f>
        <v/>
      </c>
    </row>
    <row r="33" customFormat="false" ht="15" hidden="false" customHeight="true" outlineLevel="0" collapsed="false">
      <c r="A33" s="63" t="s">
        <v>262</v>
      </c>
      <c r="B33" s="63" t="s">
        <v>263</v>
      </c>
      <c r="C33" s="64" t="n">
        <v>46245</v>
      </c>
      <c r="D33" s="63" t="n">
        <v>4</v>
      </c>
      <c r="E33" s="63" t="s">
        <v>230</v>
      </c>
      <c r="F33" s="63" t="n">
        <v>4</v>
      </c>
      <c r="G33" s="63" t="s">
        <v>230</v>
      </c>
      <c r="H33" s="63" t="n">
        <v>4</v>
      </c>
      <c r="I33" s="63" t="s">
        <v>230</v>
      </c>
      <c r="J33" s="63" t="n">
        <v>3</v>
      </c>
      <c r="K33" s="63" t="s">
        <v>229</v>
      </c>
      <c r="L33" s="63" t="n">
        <v>3</v>
      </c>
      <c r="M33" s="63" t="s">
        <v>230</v>
      </c>
      <c r="N33" s="65" t="n">
        <f aca="false">IF(COUNT(D33,F33,H33,J33,L33)=0,"",(D33*0.2+F33*0.15+H33*0.15+J33*0.1+L33*0.1)/0.7)</f>
        <v>3.71428571428571</v>
      </c>
      <c r="O33" s="66" t="n">
        <f aca="false">IF(COUNT(D33,F33,H33,J33,L33)=0,"",D33*0.2+F33*0.15+H33*0.15+J33*0.1+L33*0.1)</f>
        <v>2.6</v>
      </c>
      <c r="P33" s="63"/>
      <c r="Q33" s="63"/>
      <c r="R33" s="63"/>
      <c r="S33" s="63"/>
      <c r="T33" s="63"/>
      <c r="U33" s="63"/>
      <c r="V33" s="63"/>
      <c r="W33" s="63"/>
      <c r="X33" s="47" t="str">
        <f aca="false">IF(COUNT(P33,R33,T33,V33)=0,"",P33*0.08+R33*0.06+T33*0.03+V33*0.08)</f>
        <v/>
      </c>
      <c r="Y33" s="63"/>
      <c r="Z33" s="63"/>
      <c r="AA33" s="63"/>
      <c r="AB33" s="63"/>
      <c r="AC33" s="63"/>
      <c r="AD33" s="63"/>
      <c r="AE33" s="47" t="str">
        <f aca="false">IF(COUNT(Y33,AA33,AC33)=0,"",Y33*0.02+AA33*0.02+AC33*0.01)</f>
        <v/>
      </c>
      <c r="AF33" s="66" t="str">
        <f aca="false">IF(OR(O33="",X33="",AE33=""),"",(O33+X33+AE33)*20)</f>
        <v/>
      </c>
      <c r="AG33" s="66" t="str">
        <f aca="false">IF(AF33="","",IF(AF33&gt;=80,"STRONG BUY",IF(AF33&gt;=65,"BUY",IF(AF33&gt;=50,"WATCH LIST",IF(AF33&gt;=35,"AVOID","PASS")))))</f>
        <v/>
      </c>
      <c r="AH33" s="66" t="str">
        <f aca="false">IF(N33="","",IF(N33&lt;3,"FAIL","OK"))</f>
        <v>OK</v>
      </c>
      <c r="AI33" s="66" t="str">
        <f aca="false">IF(COUNT(D33:L33)=0,"",IF(COUNTIF(D33:L33,1)&gt;0,"REVIEW","OK"))</f>
        <v>OK</v>
      </c>
      <c r="AJ33" s="66" t="str">
        <f aca="false">IF(COUNT(D33:L33)=0,"",IF(COUNTIF(D33:L33,"&lt;=2")&gt;=2,"AVOID","OK"))</f>
        <v>OK</v>
      </c>
      <c r="AK33" s="66" t="str">
        <f aca="false">IF(COUNTA(E33:M33)=0,"",IF(COUNTIF(E33:M33,"L")&gt;=2,"CAP AT BUY","OK"))</f>
        <v>OK</v>
      </c>
      <c r="AM33" s="61"/>
      <c r="AN33" s="61"/>
      <c r="AO33" s="42" t="str">
        <f aca="false">IF(OR(AM33="",AN33=""),"",IF(AM33&gt;AN33,"OK","LOW CONF"))</f>
        <v/>
      </c>
      <c r="AP33" s="62"/>
      <c r="AQ33" s="62"/>
      <c r="AR33" s="42" t="str">
        <f aca="false">IF(OR(AP33="",AQ33=""),"",IF(AP33&lt;AQ33,"Decreased",IF(AP33&gt;AQ33,"Increased","Flat")))</f>
        <v/>
      </c>
    </row>
    <row r="34" customFormat="false" ht="15" hidden="false" customHeight="true" outlineLevel="0" collapsed="false">
      <c r="A34" s="63" t="s">
        <v>264</v>
      </c>
      <c r="B34" s="63" t="s">
        <v>265</v>
      </c>
      <c r="C34" s="64" t="n">
        <v>46245</v>
      </c>
      <c r="D34" s="63" t="n">
        <v>5</v>
      </c>
      <c r="E34" s="63" t="s">
        <v>230</v>
      </c>
      <c r="F34" s="63" t="n">
        <v>5</v>
      </c>
      <c r="G34" s="63" t="s">
        <v>230</v>
      </c>
      <c r="H34" s="63" t="n">
        <v>5</v>
      </c>
      <c r="I34" s="63" t="s">
        <v>230</v>
      </c>
      <c r="J34" s="63" t="n">
        <v>4</v>
      </c>
      <c r="K34" s="63" t="s">
        <v>230</v>
      </c>
      <c r="L34" s="63" t="n">
        <v>5</v>
      </c>
      <c r="M34" s="63" t="s">
        <v>230</v>
      </c>
      <c r="N34" s="65" t="n">
        <f aca="false">IF(COUNT(D34,F34,H34,J34,L34)=0,"",(D34*0.2+F34*0.15+H34*0.15+J34*0.1+L34*0.1)/0.7)</f>
        <v>4.85714285714286</v>
      </c>
      <c r="O34" s="66" t="n">
        <f aca="false">IF(COUNT(D34,F34,H34,J34,L34)=0,"",D34*0.2+F34*0.15+H34*0.15+J34*0.1+L34*0.1)</f>
        <v>3.4</v>
      </c>
      <c r="P34" s="63"/>
      <c r="Q34" s="63"/>
      <c r="R34" s="63"/>
      <c r="S34" s="63"/>
      <c r="T34" s="63"/>
      <c r="U34" s="63"/>
      <c r="V34" s="63"/>
      <c r="W34" s="63"/>
      <c r="X34" s="47" t="str">
        <f aca="false">IF(COUNT(P34,R34,T34,V34)=0,"",P34*0.08+R34*0.06+T34*0.03+V34*0.08)</f>
        <v/>
      </c>
      <c r="Y34" s="63"/>
      <c r="Z34" s="63"/>
      <c r="AA34" s="63"/>
      <c r="AB34" s="63"/>
      <c r="AC34" s="63"/>
      <c r="AD34" s="63"/>
      <c r="AE34" s="47" t="str">
        <f aca="false">IF(COUNT(Y34,AA34,AC34)=0,"",Y34*0.02+AA34*0.02+AC34*0.01)</f>
        <v/>
      </c>
      <c r="AF34" s="66" t="str">
        <f aca="false">IF(OR(O34="",X34="",AE34=""),"",(O34+X34+AE34)*20)</f>
        <v/>
      </c>
      <c r="AG34" s="66" t="str">
        <f aca="false">IF(AF34="","",IF(AF34&gt;=80,"STRONG BUY",IF(AF34&gt;=65,"BUY",IF(AF34&gt;=50,"WATCH LIST",IF(AF34&gt;=35,"AVOID","PASS")))))</f>
        <v/>
      </c>
      <c r="AH34" s="66" t="str">
        <f aca="false">IF(N34="","",IF(N34&lt;3,"FAIL","OK"))</f>
        <v>OK</v>
      </c>
      <c r="AI34" s="66" t="str">
        <f aca="false">IF(COUNT(D34:L34)=0,"",IF(COUNTIF(D34:L34,1)&gt;0,"REVIEW","OK"))</f>
        <v>OK</v>
      </c>
      <c r="AJ34" s="66" t="str">
        <f aca="false">IF(COUNT(D34:L34)=0,"",IF(COUNTIF(D34:L34,"&lt;=2")&gt;=2,"AVOID","OK"))</f>
        <v>OK</v>
      </c>
      <c r="AK34" s="66" t="str">
        <f aca="false">IF(COUNTA(E34:M34)=0,"",IF(COUNTIF(E34:M34,"L")&gt;=2,"CAP AT BUY","OK"))</f>
        <v>OK</v>
      </c>
      <c r="AM34" s="61"/>
      <c r="AN34" s="61"/>
      <c r="AO34" s="42" t="str">
        <f aca="false">IF(OR(AM34="",AN34=""),"",IF(AM34&gt;AN34,"OK","LOW CONF"))</f>
        <v/>
      </c>
      <c r="AP34" s="62"/>
      <c r="AQ34" s="62"/>
      <c r="AR34" s="42" t="str">
        <f aca="false">IF(OR(AP34="",AQ34=""),"",IF(AP34&lt;AQ34,"Decreased",IF(AP34&gt;AQ34,"Increased","Flat")))</f>
        <v/>
      </c>
    </row>
    <row r="35" customFormat="false" ht="15" hidden="false" customHeight="true" outlineLevel="0" collapsed="false">
      <c r="A35" s="63" t="s">
        <v>266</v>
      </c>
      <c r="B35" s="63" t="s">
        <v>267</v>
      </c>
      <c r="C35" s="64" t="n">
        <v>46245</v>
      </c>
      <c r="D35" s="63" t="n">
        <v>1</v>
      </c>
      <c r="E35" s="63" t="s">
        <v>230</v>
      </c>
      <c r="F35" s="63" t="n">
        <v>1</v>
      </c>
      <c r="G35" s="63" t="s">
        <v>230</v>
      </c>
      <c r="H35" s="63" t="n">
        <v>2</v>
      </c>
      <c r="I35" s="63" t="s">
        <v>229</v>
      </c>
      <c r="J35" s="63" t="n">
        <v>2</v>
      </c>
      <c r="K35" s="63" t="s">
        <v>229</v>
      </c>
      <c r="L35" s="63" t="n">
        <v>1</v>
      </c>
      <c r="M35" s="63" t="s">
        <v>230</v>
      </c>
      <c r="N35" s="65" t="n">
        <f aca="false">IF(COUNT(D35,F35,H35,J35,L35)=0,"",(D35*0.2+F35*0.15+H35*0.15+J35*0.1+L35*0.1)/0.7)</f>
        <v>1.35714285714286</v>
      </c>
      <c r="O35" s="66" t="n">
        <f aca="false">IF(COUNT(D35,F35,H35,J35,L35)=0,"",D35*0.2+F35*0.15+H35*0.15+J35*0.1+L35*0.1)</f>
        <v>0.95</v>
      </c>
      <c r="P35" s="63"/>
      <c r="Q35" s="63"/>
      <c r="R35" s="63"/>
      <c r="S35" s="63"/>
      <c r="T35" s="63"/>
      <c r="U35" s="63"/>
      <c r="V35" s="63"/>
      <c r="W35" s="63"/>
      <c r="X35" s="47" t="str">
        <f aca="false">IF(COUNT(P35,R35,T35,V35)=0,"",P35*0.08+R35*0.06+T35*0.03+V35*0.08)</f>
        <v/>
      </c>
      <c r="Y35" s="63"/>
      <c r="Z35" s="63"/>
      <c r="AA35" s="63"/>
      <c r="AB35" s="63"/>
      <c r="AC35" s="63"/>
      <c r="AD35" s="63"/>
      <c r="AE35" s="47" t="str">
        <f aca="false">IF(COUNT(Y35,AA35,AC35)=0,"",Y35*0.02+AA35*0.02+AC35*0.01)</f>
        <v/>
      </c>
      <c r="AF35" s="66" t="str">
        <f aca="false">IF(OR(O35="",X35="",AE35=""),"",(O35+X35+AE35)*20)</f>
        <v/>
      </c>
      <c r="AG35" s="66" t="str">
        <f aca="false">IF(AF35="","",IF(AF35&gt;=80,"STRONG BUY",IF(AF35&gt;=65,"BUY",IF(AF35&gt;=50,"WATCH LIST",IF(AF35&gt;=35,"AVOID","PASS")))))</f>
        <v/>
      </c>
      <c r="AH35" s="66" t="str">
        <f aca="false">IF(N35="","",IF(N35&lt;3,"FAIL","OK"))</f>
        <v>FAIL</v>
      </c>
      <c r="AI35" s="66" t="str">
        <f aca="false">IF(COUNT(D35:L35)=0,"",IF(COUNTIF(D35:L35,1)&gt;0,"REVIEW","OK"))</f>
        <v>REVIEW</v>
      </c>
      <c r="AJ35" s="66" t="str">
        <f aca="false">IF(COUNT(D35:L35)=0,"",IF(COUNTIF(D35:L35,"&lt;=2")&gt;=2,"AVOID","OK"))</f>
        <v>AVOID</v>
      </c>
      <c r="AK35" s="66" t="str">
        <f aca="false">IF(COUNTA(E35:M35)=0,"",IF(COUNTIF(E35:M35,"L")&gt;=2,"CAP AT BUY","OK"))</f>
        <v>OK</v>
      </c>
      <c r="AM35" s="61"/>
      <c r="AN35" s="61"/>
      <c r="AO35" s="42" t="str">
        <f aca="false">IF(OR(AM35="",AN35=""),"",IF(AM35&gt;AN35,"OK","LOW CONF"))</f>
        <v/>
      </c>
      <c r="AP35" s="62"/>
      <c r="AQ35" s="62"/>
      <c r="AR35" s="42" t="str">
        <f aca="false">IF(OR(AP35="",AQ35=""),"",IF(AP35&lt;AQ35,"Decreased",IF(AP35&gt;AQ35,"Increased","Flat")))</f>
        <v/>
      </c>
    </row>
    <row r="36" customFormat="false" ht="15" hidden="false" customHeight="true" outlineLevel="0" collapsed="false">
      <c r="A36" s="63" t="s">
        <v>268</v>
      </c>
      <c r="B36" s="63" t="s">
        <v>269</v>
      </c>
      <c r="C36" s="64" t="n">
        <v>46245</v>
      </c>
      <c r="D36" s="63" t="n">
        <v>5</v>
      </c>
      <c r="E36" s="63" t="s">
        <v>230</v>
      </c>
      <c r="F36" s="63" t="n">
        <v>4</v>
      </c>
      <c r="G36" s="63" t="s">
        <v>230</v>
      </c>
      <c r="H36" s="63" t="n">
        <v>4</v>
      </c>
      <c r="I36" s="63" t="s">
        <v>229</v>
      </c>
      <c r="J36" s="63" t="n">
        <v>4</v>
      </c>
      <c r="K36" s="63" t="s">
        <v>230</v>
      </c>
      <c r="L36" s="63" t="n">
        <v>4</v>
      </c>
      <c r="M36" s="63" t="s">
        <v>230</v>
      </c>
      <c r="N36" s="65" t="n">
        <f aca="false">IF(COUNT(D36,F36,H36,J36,L36)=0,"",(D36*0.2+F36*0.15+H36*0.15+J36*0.1+L36*0.1)/0.7)</f>
        <v>4.28571428571429</v>
      </c>
      <c r="O36" s="66" t="n">
        <f aca="false">IF(COUNT(D36,F36,H36,J36,L36)=0,"",D36*0.2+F36*0.15+H36*0.15+J36*0.1+L36*0.1)</f>
        <v>3</v>
      </c>
      <c r="P36" s="63"/>
      <c r="Q36" s="63"/>
      <c r="R36" s="63"/>
      <c r="S36" s="63"/>
      <c r="T36" s="63"/>
      <c r="U36" s="63"/>
      <c r="V36" s="63"/>
      <c r="W36" s="63"/>
      <c r="X36" s="47" t="str">
        <f aca="false">IF(COUNT(P36,R36,T36,V36)=0,"",P36*0.08+R36*0.06+T36*0.03+V36*0.08)</f>
        <v/>
      </c>
      <c r="Y36" s="63"/>
      <c r="Z36" s="63"/>
      <c r="AA36" s="63"/>
      <c r="AB36" s="63"/>
      <c r="AC36" s="63"/>
      <c r="AD36" s="63"/>
      <c r="AE36" s="47" t="str">
        <f aca="false">IF(COUNT(Y36,AA36,AC36)=0,"",Y36*0.02+AA36*0.02+AC36*0.01)</f>
        <v/>
      </c>
      <c r="AF36" s="66" t="str">
        <f aca="false">IF(OR(O36="",X36="",AE36=""),"",(O36+X36+AE36)*20)</f>
        <v/>
      </c>
      <c r="AG36" s="66" t="str">
        <f aca="false">IF(AF36="","",IF(AF36&gt;=80,"STRONG BUY",IF(AF36&gt;=65,"BUY",IF(AF36&gt;=50,"WATCH LIST",IF(AF36&gt;=35,"AVOID","PASS")))))</f>
        <v/>
      </c>
      <c r="AH36" s="66" t="str">
        <f aca="false">IF(N36="","",IF(N36&lt;3,"FAIL","OK"))</f>
        <v>OK</v>
      </c>
      <c r="AI36" s="66" t="str">
        <f aca="false">IF(COUNT(D36:L36)=0,"",IF(COUNTIF(D36:L36,1)&gt;0,"REVIEW","OK"))</f>
        <v>OK</v>
      </c>
      <c r="AJ36" s="66" t="str">
        <f aca="false">IF(COUNT(D36:L36)=0,"",IF(COUNTIF(D36:L36,"&lt;=2")&gt;=2,"AVOID","OK"))</f>
        <v>OK</v>
      </c>
      <c r="AK36" s="66" t="str">
        <f aca="false">IF(COUNTA(E36:M36)=0,"",IF(COUNTIF(E36:M36,"L")&gt;=2,"CAP AT BUY","OK"))</f>
        <v>OK</v>
      </c>
      <c r="AM36" s="61"/>
      <c r="AN36" s="61"/>
      <c r="AO36" s="42" t="str">
        <f aca="false">IF(OR(AM36="",AN36=""),"",IF(AM36&gt;AN36,"OK","LOW CONF"))</f>
        <v/>
      </c>
      <c r="AP36" s="62"/>
      <c r="AQ36" s="62"/>
      <c r="AR36" s="42" t="str">
        <f aca="false">IF(OR(AP36="",AQ36=""),"",IF(AP36&lt;AQ36,"Decreased",IF(AP36&gt;AQ36,"Increased","Flat")))</f>
        <v/>
      </c>
    </row>
    <row r="37" customFormat="false" ht="15" hidden="false" customHeight="true" outlineLevel="0" collapsed="false">
      <c r="A37" s="63" t="s">
        <v>270</v>
      </c>
      <c r="B37" s="63" t="s">
        <v>271</v>
      </c>
      <c r="C37" s="64" t="n">
        <v>46246</v>
      </c>
      <c r="D37" s="63" t="n">
        <v>1</v>
      </c>
      <c r="E37" s="63" t="s">
        <v>230</v>
      </c>
      <c r="F37" s="63" t="n">
        <v>1</v>
      </c>
      <c r="G37" s="63" t="s">
        <v>230</v>
      </c>
      <c r="H37" s="63" t="n">
        <v>3</v>
      </c>
      <c r="I37" s="63" t="s">
        <v>229</v>
      </c>
      <c r="J37" s="63" t="n">
        <v>2</v>
      </c>
      <c r="K37" s="63" t="s">
        <v>229</v>
      </c>
      <c r="L37" s="63" t="n">
        <v>1</v>
      </c>
      <c r="M37" s="63" t="s">
        <v>230</v>
      </c>
      <c r="N37" s="65" t="n">
        <f aca="false">IF(COUNT(D37,F37,H37,J37,L37)=0,"",(D37*0.2+F37*0.15+H37*0.15+J37*0.1+L37*0.1)/0.7)</f>
        <v>1.57142857142857</v>
      </c>
      <c r="O37" s="66" t="n">
        <f aca="false">IF(COUNT(D37,F37,H37,J37,L37)=0,"",D37*0.2+F37*0.15+H37*0.15+J37*0.1+L37*0.1)</f>
        <v>1.1</v>
      </c>
      <c r="P37" s="63"/>
      <c r="Q37" s="63"/>
      <c r="R37" s="63"/>
      <c r="S37" s="63"/>
      <c r="T37" s="63"/>
      <c r="U37" s="63"/>
      <c r="V37" s="63"/>
      <c r="W37" s="63"/>
      <c r="X37" s="47" t="str">
        <f aca="false">IF(COUNT(P37,R37,T37,V37)=0,"",P37*0.08+R37*0.06+T37*0.03+V37*0.08)</f>
        <v/>
      </c>
      <c r="Y37" s="63"/>
      <c r="Z37" s="63"/>
      <c r="AA37" s="63"/>
      <c r="AB37" s="63"/>
      <c r="AC37" s="63"/>
      <c r="AD37" s="63"/>
      <c r="AE37" s="47" t="str">
        <f aca="false">IF(COUNT(Y37,AA37,AC37)=0,"",Y37*0.02+AA37*0.02+AC37*0.01)</f>
        <v/>
      </c>
      <c r="AF37" s="66" t="str">
        <f aca="false">IF(OR(O37="",X37="",AE37=""),"",(O37+X37+AE37)*20)</f>
        <v/>
      </c>
      <c r="AG37" s="66" t="str">
        <f aca="false">IF(AF37="","",IF(AF37&gt;=80,"STRONG BUY",IF(AF37&gt;=65,"BUY",IF(AF37&gt;=50,"WATCH LIST",IF(AF37&gt;=35,"AVOID","PASS")))))</f>
        <v/>
      </c>
      <c r="AH37" s="66" t="str">
        <f aca="false">IF(N37="","",IF(N37&lt;3,"FAIL","OK"))</f>
        <v>FAIL</v>
      </c>
      <c r="AI37" s="66" t="str">
        <f aca="false">IF(COUNT(D37:L37)=0,"",IF(COUNTIF(D37:L37,1)&gt;0,"REVIEW","OK"))</f>
        <v>REVIEW</v>
      </c>
      <c r="AJ37" s="66" t="str">
        <f aca="false">IF(COUNT(D37:L37)=0,"",IF(COUNTIF(D37:L37,"&lt;=2")&gt;=2,"AVOID","OK"))</f>
        <v>AVOID</v>
      </c>
      <c r="AK37" s="66" t="str">
        <f aca="false">IF(COUNTA(E37:M37)=0,"",IF(COUNTIF(E37:M37,"L")&gt;=2,"CAP AT BUY","OK"))</f>
        <v>OK</v>
      </c>
      <c r="AM37" s="61"/>
      <c r="AN37" s="61"/>
      <c r="AO37" s="42" t="str">
        <f aca="false">IF(OR(AM37="",AN37=""),"",IF(AM37&gt;AN37,"OK","LOW CONF"))</f>
        <v/>
      </c>
      <c r="AP37" s="62"/>
      <c r="AQ37" s="62"/>
      <c r="AR37" s="42" t="str">
        <f aca="false">IF(OR(AP37="",AQ37=""),"",IF(AP37&lt;AQ37,"Decreased",IF(AP37&gt;AQ37,"Increased","Flat")))</f>
        <v/>
      </c>
    </row>
    <row r="38" customFormat="false" ht="15" hidden="false" customHeight="true" outlineLevel="0" collapsed="false">
      <c r="A38" s="63" t="s">
        <v>272</v>
      </c>
      <c r="B38" s="63" t="s">
        <v>273</v>
      </c>
      <c r="C38" s="64" t="n">
        <v>46246</v>
      </c>
      <c r="D38" s="63" t="n">
        <v>3</v>
      </c>
      <c r="E38" s="63" t="s">
        <v>229</v>
      </c>
      <c r="F38" s="63" t="n">
        <v>3</v>
      </c>
      <c r="G38" s="63" t="s">
        <v>229</v>
      </c>
      <c r="H38" s="63" t="n">
        <v>3</v>
      </c>
      <c r="I38" s="63" t="s">
        <v>229</v>
      </c>
      <c r="J38" s="63" t="n">
        <v>2</v>
      </c>
      <c r="K38" s="63" t="s">
        <v>229</v>
      </c>
      <c r="L38" s="63" t="n">
        <v>3</v>
      </c>
      <c r="M38" s="63" t="s">
        <v>229</v>
      </c>
      <c r="N38" s="65" t="n">
        <f aca="false">IF(COUNT(D38,F38,H38,J38,L38)=0,"",(D38*0.2+F38*0.15+H38*0.15+J38*0.1+L38*0.1)/0.7)</f>
        <v>2.85714285714286</v>
      </c>
      <c r="O38" s="66" t="n">
        <f aca="false">IF(COUNT(D38,F38,H38,J38,L38)=0,"",D38*0.2+F38*0.15+H38*0.15+J38*0.1+L38*0.1)</f>
        <v>2</v>
      </c>
      <c r="P38" s="63"/>
      <c r="Q38" s="63"/>
      <c r="R38" s="63"/>
      <c r="S38" s="63"/>
      <c r="T38" s="63"/>
      <c r="U38" s="63"/>
      <c r="V38" s="63"/>
      <c r="W38" s="63"/>
      <c r="X38" s="47" t="str">
        <f aca="false">IF(COUNT(P38,R38,T38,V38)=0,"",P38*0.08+R38*0.06+T38*0.03+V38*0.08)</f>
        <v/>
      </c>
      <c r="Y38" s="63"/>
      <c r="Z38" s="63"/>
      <c r="AA38" s="63"/>
      <c r="AB38" s="63"/>
      <c r="AC38" s="63"/>
      <c r="AD38" s="63"/>
      <c r="AE38" s="47" t="str">
        <f aca="false">IF(COUNT(Y38,AA38,AC38)=0,"",Y38*0.02+AA38*0.02+AC38*0.01)</f>
        <v/>
      </c>
      <c r="AF38" s="66" t="str">
        <f aca="false">IF(OR(O38="",X38="",AE38=""),"",(O38+X38+AE38)*20)</f>
        <v/>
      </c>
      <c r="AG38" s="66" t="str">
        <f aca="false">IF(AF38="","",IF(AF38&gt;=80,"STRONG BUY",IF(AF38&gt;=65,"BUY",IF(AF38&gt;=50,"WATCH LIST",IF(AF38&gt;=35,"AVOID","PASS")))))</f>
        <v/>
      </c>
      <c r="AH38" s="66" t="str">
        <f aca="false">IF(N38="","",IF(N38&lt;3,"FAIL","OK"))</f>
        <v>FAIL</v>
      </c>
      <c r="AI38" s="66" t="str">
        <f aca="false">IF(COUNT(D38:L38)=0,"",IF(COUNTIF(D38:L38,1)&gt;0,"REVIEW","OK"))</f>
        <v>OK</v>
      </c>
      <c r="AJ38" s="66" t="str">
        <f aca="false">IF(COUNT(D38:L38)=0,"",IF(COUNTIF(D38:L38,"&lt;=2")&gt;=2,"AVOID","OK"))</f>
        <v>OK</v>
      </c>
      <c r="AK38" s="66" t="str">
        <f aca="false">IF(COUNTA(E38:M38)=0,"",IF(COUNTIF(E38:M38,"L")&gt;=2,"CAP AT BUY","OK"))</f>
        <v>OK</v>
      </c>
      <c r="AM38" s="61"/>
      <c r="AN38" s="61"/>
      <c r="AO38" s="42" t="str">
        <f aca="false">IF(OR(AM38="",AN38=""),"",IF(AM38&gt;AN38,"OK","LOW CONF"))</f>
        <v/>
      </c>
      <c r="AP38" s="62"/>
      <c r="AQ38" s="62"/>
      <c r="AR38" s="42" t="str">
        <f aca="false">IF(OR(AP38="",AQ38=""),"",IF(AP38&lt;AQ38,"Decreased",IF(AP38&gt;AQ38,"Increased","Flat")))</f>
        <v/>
      </c>
    </row>
    <row r="39" customFormat="false" ht="15" hidden="false" customHeight="true" outlineLevel="0" collapsed="false">
      <c r="A39" s="63" t="s">
        <v>274</v>
      </c>
      <c r="B39" s="63" t="s">
        <v>275</v>
      </c>
      <c r="C39" s="64" t="n">
        <v>46246</v>
      </c>
      <c r="D39" s="63" t="n">
        <v>2</v>
      </c>
      <c r="E39" s="63" t="s">
        <v>231</v>
      </c>
      <c r="F39" s="63" t="n">
        <v>4</v>
      </c>
      <c r="G39" s="63" t="s">
        <v>230</v>
      </c>
      <c r="H39" s="63" t="n">
        <v>3</v>
      </c>
      <c r="I39" s="63" t="s">
        <v>229</v>
      </c>
      <c r="J39" s="63" t="n">
        <v>2</v>
      </c>
      <c r="K39" s="63" t="s">
        <v>229</v>
      </c>
      <c r="L39" s="63" t="n">
        <v>1</v>
      </c>
      <c r="M39" s="63" t="s">
        <v>230</v>
      </c>
      <c r="N39" s="65" t="n">
        <f aca="false">IF(COUNT(D39,F39,H39,J39,L39)=0,"",(D39*0.2+F39*0.15+H39*0.15+J39*0.1+L39*0.1)/0.7)</f>
        <v>2.5</v>
      </c>
      <c r="O39" s="66" t="n">
        <f aca="false">IF(COUNT(D39,F39,H39,J39,L39)=0,"",D39*0.2+F39*0.15+H39*0.15+J39*0.1+L39*0.1)</f>
        <v>1.75</v>
      </c>
      <c r="P39" s="63"/>
      <c r="Q39" s="63"/>
      <c r="R39" s="63"/>
      <c r="S39" s="63"/>
      <c r="T39" s="63"/>
      <c r="U39" s="63"/>
      <c r="V39" s="63"/>
      <c r="W39" s="63"/>
      <c r="X39" s="47" t="str">
        <f aca="false">IF(COUNT(P39,R39,T39,V39)=0,"",P39*0.08+R39*0.06+T39*0.03+V39*0.08)</f>
        <v/>
      </c>
      <c r="Y39" s="63"/>
      <c r="Z39" s="63"/>
      <c r="AA39" s="63"/>
      <c r="AB39" s="63"/>
      <c r="AC39" s="63"/>
      <c r="AD39" s="63"/>
      <c r="AE39" s="47" t="str">
        <f aca="false">IF(COUNT(Y39,AA39,AC39)=0,"",Y39*0.02+AA39*0.02+AC39*0.01)</f>
        <v/>
      </c>
      <c r="AF39" s="66" t="str">
        <f aca="false">IF(OR(O39="",X39="",AE39=""),"",(O39+X39+AE39)*20)</f>
        <v/>
      </c>
      <c r="AG39" s="66" t="str">
        <f aca="false">IF(AF39="","",IF(AF39&gt;=80,"STRONG BUY",IF(AF39&gt;=65,"BUY",IF(AF39&gt;=50,"WATCH LIST",IF(AF39&gt;=35,"AVOID","PASS")))))</f>
        <v/>
      </c>
      <c r="AH39" s="66" t="str">
        <f aca="false">IF(N39="","",IF(N39&lt;3,"FAIL","OK"))</f>
        <v>FAIL</v>
      </c>
      <c r="AI39" s="66" t="str">
        <f aca="false">IF(COUNT(D39:L39)=0,"",IF(COUNTIF(D39:L39,1)&gt;0,"REVIEW","OK"))</f>
        <v>REVIEW</v>
      </c>
      <c r="AJ39" s="66" t="str">
        <f aca="false">IF(COUNT(D39:L39)=0,"",IF(COUNTIF(D39:L39,"&lt;=2")&gt;=2,"AVOID","OK"))</f>
        <v>AVOID</v>
      </c>
      <c r="AK39" s="66" t="str">
        <f aca="false">IF(COUNTA(E39:M39)=0,"",IF(COUNTIF(E39:M39,"L")&gt;=2,"CAP AT BUY","OK"))</f>
        <v>OK</v>
      </c>
      <c r="AM39" s="61"/>
      <c r="AN39" s="61"/>
      <c r="AO39" s="42" t="str">
        <f aca="false">IF(OR(AM39="",AN39=""),"",IF(AM39&gt;AN39,"OK","LOW CONF"))</f>
        <v/>
      </c>
      <c r="AP39" s="62"/>
      <c r="AQ39" s="62"/>
      <c r="AR39" s="42" t="str">
        <f aca="false">IF(OR(AP39="",AQ39=""),"",IF(AP39&lt;AQ39,"Decreased",IF(AP39&gt;AQ39,"Increased","Flat")))</f>
        <v/>
      </c>
    </row>
    <row r="40" customFormat="false" ht="15" hidden="false" customHeight="true" outlineLevel="0" collapsed="false">
      <c r="A40" s="63" t="s">
        <v>276</v>
      </c>
      <c r="B40" s="63" t="s">
        <v>277</v>
      </c>
      <c r="C40" s="64" t="n">
        <v>46246</v>
      </c>
      <c r="D40" s="63" t="n">
        <v>1</v>
      </c>
      <c r="E40" s="63" t="s">
        <v>230</v>
      </c>
      <c r="F40" s="63" t="n">
        <v>1</v>
      </c>
      <c r="G40" s="63" t="s">
        <v>230</v>
      </c>
      <c r="H40" s="63" t="n">
        <v>2</v>
      </c>
      <c r="I40" s="63" t="s">
        <v>229</v>
      </c>
      <c r="J40" s="63" t="n">
        <v>2</v>
      </c>
      <c r="K40" s="63" t="s">
        <v>229</v>
      </c>
      <c r="L40" s="63" t="n">
        <v>1</v>
      </c>
      <c r="M40" s="63" t="s">
        <v>230</v>
      </c>
      <c r="N40" s="65" t="n">
        <f aca="false">IF(COUNT(D40,F40,H40,J40,L40)=0,"",(D40*0.2+F40*0.15+H40*0.15+J40*0.1+L40*0.1)/0.7)</f>
        <v>1.35714285714286</v>
      </c>
      <c r="O40" s="66" t="n">
        <f aca="false">IF(COUNT(D40,F40,H40,J40,L40)=0,"",D40*0.2+F40*0.15+H40*0.15+J40*0.1+L40*0.1)</f>
        <v>0.95</v>
      </c>
      <c r="P40" s="63"/>
      <c r="Q40" s="63"/>
      <c r="R40" s="63"/>
      <c r="S40" s="63"/>
      <c r="T40" s="63"/>
      <c r="U40" s="63"/>
      <c r="V40" s="63"/>
      <c r="W40" s="63"/>
      <c r="X40" s="47" t="str">
        <f aca="false">IF(COUNT(P40,R40,T40,V40)=0,"",P40*0.08+R40*0.06+T40*0.03+V40*0.08)</f>
        <v/>
      </c>
      <c r="Y40" s="63"/>
      <c r="Z40" s="63"/>
      <c r="AA40" s="63"/>
      <c r="AB40" s="63"/>
      <c r="AC40" s="63"/>
      <c r="AD40" s="63"/>
      <c r="AE40" s="47" t="str">
        <f aca="false">IF(COUNT(Y40,AA40,AC40)=0,"",Y40*0.02+AA40*0.02+AC40*0.01)</f>
        <v/>
      </c>
      <c r="AF40" s="66" t="str">
        <f aca="false">IF(OR(O40="",X40="",AE40=""),"",(O40+X40+AE40)*20)</f>
        <v/>
      </c>
      <c r="AG40" s="66" t="str">
        <f aca="false">IF(AF40="","",IF(AF40&gt;=80,"STRONG BUY",IF(AF40&gt;=65,"BUY",IF(AF40&gt;=50,"WATCH LIST",IF(AF40&gt;=35,"AVOID","PASS")))))</f>
        <v/>
      </c>
      <c r="AH40" s="66" t="str">
        <f aca="false">IF(N40="","",IF(N40&lt;3,"FAIL","OK"))</f>
        <v>FAIL</v>
      </c>
      <c r="AI40" s="66" t="str">
        <f aca="false">IF(COUNT(D40:L40)=0,"",IF(COUNTIF(D40:L40,1)&gt;0,"REVIEW","OK"))</f>
        <v>REVIEW</v>
      </c>
      <c r="AJ40" s="66" t="str">
        <f aca="false">IF(COUNT(D40:L40)=0,"",IF(COUNTIF(D40:L40,"&lt;=2")&gt;=2,"AVOID","OK"))</f>
        <v>AVOID</v>
      </c>
      <c r="AK40" s="66" t="str">
        <f aca="false">IF(COUNTA(E40:M40)=0,"",IF(COUNTIF(E40:M40,"L")&gt;=2,"CAP AT BUY","OK"))</f>
        <v>OK</v>
      </c>
      <c r="AM40" s="61"/>
      <c r="AN40" s="61"/>
      <c r="AO40" s="42" t="str">
        <f aca="false">IF(OR(AM40="",AN40=""),"",IF(AM40&gt;AN40,"OK","LOW CONF"))</f>
        <v/>
      </c>
      <c r="AP40" s="62"/>
      <c r="AQ40" s="62"/>
      <c r="AR40" s="42" t="str">
        <f aca="false">IF(OR(AP40="",AQ40=""),"",IF(AP40&lt;AQ40,"Decreased",IF(AP40&gt;AQ40,"Increased","Flat")))</f>
        <v/>
      </c>
    </row>
    <row r="41" customFormat="false" ht="15" hidden="false" customHeight="true" outlineLevel="0" collapsed="false">
      <c r="A41" s="63" t="s">
        <v>278</v>
      </c>
      <c r="B41" s="63" t="s">
        <v>279</v>
      </c>
      <c r="C41" s="64" t="n">
        <v>46246</v>
      </c>
      <c r="D41" s="63" t="n">
        <v>2</v>
      </c>
      <c r="E41" s="63" t="s">
        <v>229</v>
      </c>
      <c r="F41" s="63" t="n">
        <v>3</v>
      </c>
      <c r="G41" s="63" t="s">
        <v>230</v>
      </c>
      <c r="H41" s="63" t="n">
        <v>4</v>
      </c>
      <c r="I41" s="63" t="s">
        <v>229</v>
      </c>
      <c r="J41" s="63" t="n">
        <v>3</v>
      </c>
      <c r="K41" s="63" t="s">
        <v>229</v>
      </c>
      <c r="L41" s="63" t="n">
        <v>2</v>
      </c>
      <c r="M41" s="63" t="s">
        <v>230</v>
      </c>
      <c r="N41" s="65" t="n">
        <f aca="false">IF(COUNT(D41,F41,H41,J41,L41)=0,"",(D41*0.2+F41*0.15+H41*0.15+J41*0.1+L41*0.1)/0.7)</f>
        <v>2.78571428571429</v>
      </c>
      <c r="O41" s="66" t="n">
        <f aca="false">IF(COUNT(D41,F41,H41,J41,L41)=0,"",D41*0.2+F41*0.15+H41*0.15+J41*0.1+L41*0.1)</f>
        <v>1.95</v>
      </c>
      <c r="P41" s="63"/>
      <c r="Q41" s="63"/>
      <c r="R41" s="63"/>
      <c r="S41" s="63"/>
      <c r="T41" s="63"/>
      <c r="U41" s="63"/>
      <c r="V41" s="63"/>
      <c r="W41" s="63"/>
      <c r="X41" s="47" t="str">
        <f aca="false">IF(COUNT(P41,R41,T41,V41)=0,"",P41*0.08+R41*0.06+T41*0.03+V41*0.08)</f>
        <v/>
      </c>
      <c r="Y41" s="63"/>
      <c r="Z41" s="63"/>
      <c r="AA41" s="63"/>
      <c r="AB41" s="63"/>
      <c r="AC41" s="63"/>
      <c r="AD41" s="63"/>
      <c r="AE41" s="47" t="str">
        <f aca="false">IF(COUNT(Y41,AA41,AC41)=0,"",Y41*0.02+AA41*0.02+AC41*0.01)</f>
        <v/>
      </c>
      <c r="AF41" s="66" t="str">
        <f aca="false">IF(OR(O41="",X41="",AE41=""),"",(O41+X41+AE41)*20)</f>
        <v/>
      </c>
      <c r="AG41" s="66" t="str">
        <f aca="false">IF(AF41="","",IF(AF41&gt;=80,"STRONG BUY",IF(AF41&gt;=65,"BUY",IF(AF41&gt;=50,"WATCH LIST",IF(AF41&gt;=35,"AVOID","PASS")))))</f>
        <v/>
      </c>
      <c r="AH41" s="66" t="str">
        <f aca="false">IF(N41="","",IF(N41&lt;3,"FAIL","OK"))</f>
        <v>FAIL</v>
      </c>
      <c r="AI41" s="66" t="str">
        <f aca="false">IF(COUNT(D41:L41)=0,"",IF(COUNTIF(D41:L41,1)&gt;0,"REVIEW","OK"))</f>
        <v>OK</v>
      </c>
      <c r="AJ41" s="66" t="str">
        <f aca="false">IF(COUNT(D41:L41)=0,"",IF(COUNTIF(D41:L41,"&lt;=2")&gt;=2,"AVOID","OK"))</f>
        <v>AVOID</v>
      </c>
      <c r="AK41" s="66" t="str">
        <f aca="false">IF(COUNTA(E41:M41)=0,"",IF(COUNTIF(E41:M41,"L")&gt;=2,"CAP AT BUY","OK"))</f>
        <v>OK</v>
      </c>
      <c r="AM41" s="61"/>
      <c r="AN41" s="61"/>
      <c r="AO41" s="42" t="str">
        <f aca="false">IF(OR(AM41="",AN41=""),"",IF(AM41&gt;AN41,"OK","LOW CONF"))</f>
        <v/>
      </c>
      <c r="AP41" s="62"/>
      <c r="AQ41" s="62"/>
      <c r="AR41" s="42" t="str">
        <f aca="false">IF(OR(AP41="",AQ41=""),"",IF(AP41&lt;AQ41,"Decreased",IF(AP41&gt;AQ41,"Increased","Flat")))</f>
        <v/>
      </c>
    </row>
    <row r="42" customFormat="false" ht="15" hidden="false" customHeight="true" outlineLevel="0" collapsed="false">
      <c r="A42" s="63" t="s">
        <v>280</v>
      </c>
      <c r="B42" s="63" t="s">
        <v>281</v>
      </c>
      <c r="C42" s="64" t="n">
        <v>46246</v>
      </c>
      <c r="D42" s="63" t="n">
        <v>4</v>
      </c>
      <c r="E42" s="63" t="s">
        <v>230</v>
      </c>
      <c r="F42" s="63" t="n">
        <v>3</v>
      </c>
      <c r="G42" s="63" t="s">
        <v>230</v>
      </c>
      <c r="H42" s="63" t="n">
        <v>3</v>
      </c>
      <c r="I42" s="63" t="s">
        <v>229</v>
      </c>
      <c r="J42" s="63" t="n">
        <v>3</v>
      </c>
      <c r="K42" s="63" t="s">
        <v>229</v>
      </c>
      <c r="L42" s="63" t="n">
        <v>4</v>
      </c>
      <c r="M42" s="63" t="s">
        <v>230</v>
      </c>
      <c r="N42" s="65" t="n">
        <f aca="false">IF(COUNT(D42,F42,H42,J42,L42)=0,"",(D42*0.2+F42*0.15+H42*0.15+J42*0.1+L42*0.1)/0.7)</f>
        <v>3.42857142857143</v>
      </c>
      <c r="O42" s="66" t="n">
        <f aca="false">IF(COUNT(D42,F42,H42,J42,L42)=0,"",D42*0.2+F42*0.15+H42*0.15+J42*0.1+L42*0.1)</f>
        <v>2.4</v>
      </c>
      <c r="P42" s="63"/>
      <c r="Q42" s="63"/>
      <c r="R42" s="63"/>
      <c r="S42" s="63"/>
      <c r="T42" s="63"/>
      <c r="U42" s="63"/>
      <c r="V42" s="63"/>
      <c r="W42" s="63"/>
      <c r="X42" s="47" t="str">
        <f aca="false">IF(COUNT(P42,R42,T42,V42)=0,"",P42*0.08+R42*0.06+T42*0.03+V42*0.08)</f>
        <v/>
      </c>
      <c r="Y42" s="63"/>
      <c r="Z42" s="63"/>
      <c r="AA42" s="63"/>
      <c r="AB42" s="63"/>
      <c r="AC42" s="63"/>
      <c r="AD42" s="63"/>
      <c r="AE42" s="47" t="str">
        <f aca="false">IF(COUNT(Y42,AA42,AC42)=0,"",Y42*0.02+AA42*0.02+AC42*0.01)</f>
        <v/>
      </c>
      <c r="AF42" s="66" t="str">
        <f aca="false">IF(OR(O42="",X42="",AE42=""),"",(O42+X42+AE42)*20)</f>
        <v/>
      </c>
      <c r="AG42" s="66" t="str">
        <f aca="false">IF(AF42="","",IF(AF42&gt;=80,"STRONG BUY",IF(AF42&gt;=65,"BUY",IF(AF42&gt;=50,"WATCH LIST",IF(AF42&gt;=35,"AVOID","PASS")))))</f>
        <v/>
      </c>
      <c r="AH42" s="66" t="str">
        <f aca="false">IF(N42="","",IF(N42&lt;3,"FAIL","OK"))</f>
        <v>OK</v>
      </c>
      <c r="AI42" s="66" t="str">
        <f aca="false">IF(COUNT(D42:L42)=0,"",IF(COUNTIF(D42:L42,1)&gt;0,"REVIEW","OK"))</f>
        <v>OK</v>
      </c>
      <c r="AJ42" s="66" t="str">
        <f aca="false">IF(COUNT(D42:L42)=0,"",IF(COUNTIF(D42:L42,"&lt;=2")&gt;=2,"AVOID","OK"))</f>
        <v>OK</v>
      </c>
      <c r="AK42" s="66" t="str">
        <f aca="false">IF(COUNTA(E42:M42)=0,"",IF(COUNTIF(E42:M42,"L")&gt;=2,"CAP AT BUY","OK"))</f>
        <v>OK</v>
      </c>
      <c r="AM42" s="61"/>
      <c r="AN42" s="61"/>
      <c r="AO42" s="42" t="str">
        <f aca="false">IF(OR(AM42="",AN42=""),"",IF(AM42&gt;AN42,"OK","LOW CONF"))</f>
        <v/>
      </c>
      <c r="AP42" s="62"/>
      <c r="AQ42" s="62"/>
      <c r="AR42" s="42" t="str">
        <f aca="false">IF(OR(AP42="",AQ42=""),"",IF(AP42&lt;AQ42,"Decreased",IF(AP42&gt;AQ42,"Increased","Flat")))</f>
        <v/>
      </c>
    </row>
    <row r="43" customFormat="false" ht="15" hidden="false" customHeight="true" outlineLevel="0" collapsed="false">
      <c r="A43" s="63"/>
      <c r="B43" s="63"/>
      <c r="C43" s="63"/>
      <c r="D43" s="63"/>
      <c r="E43" s="63"/>
      <c r="F43" s="63"/>
      <c r="G43" s="63"/>
      <c r="H43" s="63"/>
      <c r="I43" s="63"/>
      <c r="J43" s="63"/>
      <c r="K43" s="63"/>
      <c r="L43" s="63"/>
      <c r="M43" s="63"/>
      <c r="N43" s="65" t="str">
        <f aca="false">IF(COUNT(D43,F43,H43,J43,L43)=0,"",(D43*0.2+F43*0.15+H43*0.15+J43*0.1+L43*0.1)/0.7)</f>
        <v/>
      </c>
      <c r="O43" s="66" t="str">
        <f aca="false">IF(COUNT(D43,F43,H43,J43,L43)=0,"",D43*0.2+F43*0.15+H43*0.15+J43*0.1+L43*0.1)</f>
        <v/>
      </c>
      <c r="P43" s="63"/>
      <c r="Q43" s="63"/>
      <c r="R43" s="63"/>
      <c r="S43" s="63"/>
      <c r="T43" s="63"/>
      <c r="U43" s="63"/>
      <c r="V43" s="63"/>
      <c r="W43" s="63"/>
      <c r="X43" s="47" t="str">
        <f aca="false">IF(COUNT(P43,R43,T43,V43)=0,"",P43*0.08+R43*0.06+T43*0.03+V43*0.08)</f>
        <v/>
      </c>
      <c r="Y43" s="63"/>
      <c r="Z43" s="63"/>
      <c r="AA43" s="63"/>
      <c r="AB43" s="63"/>
      <c r="AC43" s="63"/>
      <c r="AD43" s="63"/>
      <c r="AE43" s="47" t="str">
        <f aca="false">IF(COUNT(Y43,AA43,AC43)=0,"",Y43*0.02+AA43*0.02+AC43*0.01)</f>
        <v/>
      </c>
      <c r="AF43" s="66" t="str">
        <f aca="false">IF(OR(O43="",X43="",AE43=""),"",(O43+X43+AE43)*20)</f>
        <v/>
      </c>
      <c r="AG43" s="66" t="str">
        <f aca="false">IF(AF43="","",IF(AF43&gt;=80,"STRONG BUY",IF(AF43&gt;=65,"BUY",IF(AF43&gt;=50,"WATCH LIST",IF(AF43&gt;=35,"AVOID","PASS")))))</f>
        <v/>
      </c>
      <c r="AH43" s="66" t="str">
        <f aca="false">IF(N43="","",IF(N43&lt;3,"FAIL","OK"))</f>
        <v/>
      </c>
      <c r="AI43" s="66" t="str">
        <f aca="false">IF(COUNT(D43:L43)=0,"",IF(COUNTIF(D43:L43,1)&gt;0,"REVIEW","OK"))</f>
        <v/>
      </c>
      <c r="AJ43" s="66" t="str">
        <f aca="false">IF(COUNT(D43:L43)=0,"",IF(COUNTIF(D43:L43,"&lt;=2")&gt;=2,"AVOID","OK"))</f>
        <v/>
      </c>
      <c r="AK43" s="66" t="str">
        <f aca="false">IF(COUNTA(E43:M43)=0,"",IF(COUNTIF(E43:M43,"L")&gt;=2,"CAP AT BUY","OK"))</f>
        <v/>
      </c>
      <c r="AM43" s="61"/>
      <c r="AN43" s="61"/>
      <c r="AO43" s="42" t="str">
        <f aca="false">IF(OR(AM43="",AN43=""),"",IF(AM43&gt;AN43,"OK","LOW CONF"))</f>
        <v/>
      </c>
      <c r="AP43" s="62"/>
      <c r="AQ43" s="62"/>
      <c r="AR43" s="42" t="str">
        <f aca="false">IF(OR(AP43="",AQ43=""),"",IF(AP43&lt;AQ43,"Decreased",IF(AP43&gt;AQ43,"Increased","Flat")))</f>
        <v/>
      </c>
    </row>
    <row r="44" customFormat="false" ht="15" hidden="false" customHeight="true" outlineLevel="0" collapsed="false">
      <c r="A44" s="63"/>
      <c r="B44" s="63"/>
      <c r="C44" s="63"/>
      <c r="D44" s="63"/>
      <c r="E44" s="63"/>
      <c r="F44" s="63"/>
      <c r="G44" s="63"/>
      <c r="H44" s="63"/>
      <c r="I44" s="63"/>
      <c r="J44" s="63"/>
      <c r="K44" s="63"/>
      <c r="L44" s="63"/>
      <c r="M44" s="63"/>
      <c r="N44" s="65" t="str">
        <f aca="false">IF(COUNT(D44,F44,H44,J44,L44)=0,"",(D44*0.2+F44*0.15+H44*0.15+J44*0.1+L44*0.1)/0.7)</f>
        <v/>
      </c>
      <c r="O44" s="66" t="str">
        <f aca="false">IF(COUNT(D44,F44,H44,J44,L44)=0,"",D44*0.2+F44*0.15+H44*0.15+J44*0.1+L44*0.1)</f>
        <v/>
      </c>
      <c r="P44" s="63"/>
      <c r="Q44" s="63"/>
      <c r="R44" s="63"/>
      <c r="S44" s="63"/>
      <c r="T44" s="63"/>
      <c r="U44" s="63"/>
      <c r="V44" s="63"/>
      <c r="W44" s="63"/>
      <c r="X44" s="47" t="str">
        <f aca="false">IF(COUNT(P44,R44,T44,V44)=0,"",P44*0.08+R44*0.06+T44*0.03+V44*0.08)</f>
        <v/>
      </c>
      <c r="Y44" s="63"/>
      <c r="Z44" s="63"/>
      <c r="AA44" s="63"/>
      <c r="AB44" s="63"/>
      <c r="AC44" s="63"/>
      <c r="AD44" s="63"/>
      <c r="AE44" s="47" t="str">
        <f aca="false">IF(COUNT(Y44,AA44,AC44)=0,"",Y44*0.02+AA44*0.02+AC44*0.01)</f>
        <v/>
      </c>
      <c r="AF44" s="66" t="str">
        <f aca="false">IF(OR(O44="",X44="",AE44=""),"",(O44+X44+AE44)*20)</f>
        <v/>
      </c>
      <c r="AG44" s="66" t="str">
        <f aca="false">IF(AF44="","",IF(AF44&gt;=80,"STRONG BUY",IF(AF44&gt;=65,"BUY",IF(AF44&gt;=50,"WATCH LIST",IF(AF44&gt;=35,"AVOID","PASS")))))</f>
        <v/>
      </c>
      <c r="AH44" s="66" t="str">
        <f aca="false">IF(N44="","",IF(N44&lt;3,"FAIL","OK"))</f>
        <v/>
      </c>
      <c r="AI44" s="66" t="str">
        <f aca="false">IF(COUNT(D44:L44)=0,"",IF(COUNTIF(D44:L44,1)&gt;0,"REVIEW","OK"))</f>
        <v/>
      </c>
      <c r="AJ44" s="66" t="str">
        <f aca="false">IF(COUNT(D44:L44)=0,"",IF(COUNTIF(D44:L44,"&lt;=2")&gt;=2,"AVOID","OK"))</f>
        <v/>
      </c>
      <c r="AK44" s="66" t="str">
        <f aca="false">IF(COUNTA(E44:M44)=0,"",IF(COUNTIF(E44:M44,"L")&gt;=2,"CAP AT BUY","OK"))</f>
        <v/>
      </c>
      <c r="AM44" s="61"/>
      <c r="AN44" s="61"/>
      <c r="AO44" s="42" t="str">
        <f aca="false">IF(OR(AM44="",AN44=""),"",IF(AM44&gt;AN44,"OK","LOW CONF"))</f>
        <v/>
      </c>
      <c r="AP44" s="62"/>
      <c r="AQ44" s="62"/>
      <c r="AR44" s="42" t="str">
        <f aca="false">IF(OR(AP44="",AQ44=""),"",IF(AP44&lt;AQ44,"Decreased",IF(AP44&gt;AQ44,"Increased","Flat")))</f>
        <v/>
      </c>
    </row>
    <row r="45" customFormat="false" ht="15" hidden="false" customHeight="true" outlineLevel="0" collapsed="false">
      <c r="A45" s="63"/>
      <c r="B45" s="63"/>
      <c r="C45" s="63"/>
      <c r="D45" s="63"/>
      <c r="E45" s="63"/>
      <c r="F45" s="63"/>
      <c r="G45" s="63"/>
      <c r="H45" s="63"/>
      <c r="I45" s="63"/>
      <c r="J45" s="63"/>
      <c r="K45" s="63"/>
      <c r="L45" s="63"/>
      <c r="M45" s="63"/>
      <c r="N45" s="65" t="str">
        <f aca="false">IF(COUNT(D45,F45,H45,J45,L45)=0,"",(D45*0.2+F45*0.15+H45*0.15+J45*0.1+L45*0.1)/0.7)</f>
        <v/>
      </c>
      <c r="O45" s="66" t="str">
        <f aca="false">IF(COUNT(D45,F45,H45,J45,L45)=0,"",D45*0.2+F45*0.15+H45*0.15+J45*0.1+L45*0.1)</f>
        <v/>
      </c>
      <c r="P45" s="63"/>
      <c r="Q45" s="63"/>
      <c r="R45" s="63"/>
      <c r="S45" s="63"/>
      <c r="T45" s="63"/>
      <c r="U45" s="63"/>
      <c r="V45" s="63"/>
      <c r="W45" s="63"/>
      <c r="X45" s="47" t="str">
        <f aca="false">IF(COUNT(P45,R45,T45,V45)=0,"",P45*0.08+R45*0.06+T45*0.03+V45*0.08)</f>
        <v/>
      </c>
      <c r="Y45" s="63"/>
      <c r="Z45" s="63"/>
      <c r="AA45" s="63"/>
      <c r="AB45" s="63"/>
      <c r="AC45" s="63"/>
      <c r="AD45" s="63"/>
      <c r="AE45" s="47" t="str">
        <f aca="false">IF(COUNT(Y45,AA45,AC45)=0,"",Y45*0.02+AA45*0.02+AC45*0.01)</f>
        <v/>
      </c>
      <c r="AF45" s="66" t="str">
        <f aca="false">IF(OR(O45="",X45="",AE45=""),"",(O45+X45+AE45)*20)</f>
        <v/>
      </c>
      <c r="AG45" s="66" t="str">
        <f aca="false">IF(AF45="","",IF(AF45&gt;=80,"STRONG BUY",IF(AF45&gt;=65,"BUY",IF(AF45&gt;=50,"WATCH LIST",IF(AF45&gt;=35,"AVOID","PASS")))))</f>
        <v/>
      </c>
      <c r="AH45" s="66" t="str">
        <f aca="false">IF(N45="","",IF(N45&lt;3,"FAIL","OK"))</f>
        <v/>
      </c>
      <c r="AI45" s="66" t="str">
        <f aca="false">IF(COUNT(D45:L45)=0,"",IF(COUNTIF(D45:L45,1)&gt;0,"REVIEW","OK"))</f>
        <v/>
      </c>
      <c r="AJ45" s="66" t="str">
        <f aca="false">IF(COUNT(D45:L45)=0,"",IF(COUNTIF(D45:L45,"&lt;=2")&gt;=2,"AVOID","OK"))</f>
        <v/>
      </c>
      <c r="AK45" s="66" t="str">
        <f aca="false">IF(COUNTA(E45:M45)=0,"",IF(COUNTIF(E45:M45,"L")&gt;=2,"CAP AT BUY","OK"))</f>
        <v/>
      </c>
      <c r="AM45" s="61"/>
      <c r="AN45" s="61"/>
      <c r="AO45" s="42" t="str">
        <f aca="false">IF(OR(AM45="",AN45=""),"",IF(AM45&gt;AN45,"OK","LOW CONF"))</f>
        <v/>
      </c>
      <c r="AP45" s="62"/>
      <c r="AQ45" s="62"/>
      <c r="AR45" s="42" t="str">
        <f aca="false">IF(OR(AP45="",AQ45=""),"",IF(AP45&lt;AQ45,"Decreased",IF(AP45&gt;AQ45,"Increased","Flat")))</f>
        <v/>
      </c>
    </row>
    <row r="46" customFormat="false" ht="15" hidden="false" customHeight="true" outlineLevel="0" collapsed="false">
      <c r="A46" s="63"/>
      <c r="B46" s="63"/>
      <c r="C46" s="63"/>
      <c r="D46" s="63"/>
      <c r="E46" s="63"/>
      <c r="F46" s="63"/>
      <c r="G46" s="63"/>
      <c r="H46" s="63"/>
      <c r="I46" s="63"/>
      <c r="J46" s="63"/>
      <c r="K46" s="63"/>
      <c r="L46" s="63"/>
      <c r="M46" s="63"/>
      <c r="N46" s="65" t="str">
        <f aca="false">IF(COUNT(D46,F46,H46,J46,L46)=0,"",(D46*0.2+F46*0.15+H46*0.15+J46*0.1+L46*0.1)/0.7)</f>
        <v/>
      </c>
      <c r="O46" s="66" t="str">
        <f aca="false">IF(COUNT(D46,F46,H46,J46,L46)=0,"",D46*0.2+F46*0.15+H46*0.15+J46*0.1+L46*0.1)</f>
        <v/>
      </c>
      <c r="P46" s="63"/>
      <c r="Q46" s="63"/>
      <c r="R46" s="63"/>
      <c r="S46" s="63"/>
      <c r="T46" s="63"/>
      <c r="U46" s="63"/>
      <c r="V46" s="63"/>
      <c r="W46" s="63"/>
      <c r="X46" s="47" t="str">
        <f aca="false">IF(COUNT(P46,R46,T46,V46)=0,"",P46*0.08+R46*0.06+T46*0.03+V46*0.08)</f>
        <v/>
      </c>
      <c r="Y46" s="63"/>
      <c r="Z46" s="63"/>
      <c r="AA46" s="63"/>
      <c r="AB46" s="63"/>
      <c r="AC46" s="63"/>
      <c r="AD46" s="63"/>
      <c r="AE46" s="47" t="str">
        <f aca="false">IF(COUNT(Y46,AA46,AC46)=0,"",Y46*0.02+AA46*0.02+AC46*0.01)</f>
        <v/>
      </c>
      <c r="AF46" s="66" t="str">
        <f aca="false">IF(OR(O46="",X46="",AE46=""),"",(O46+X46+AE46)*20)</f>
        <v/>
      </c>
      <c r="AG46" s="66" t="str">
        <f aca="false">IF(AF46="","",IF(AF46&gt;=80,"STRONG BUY",IF(AF46&gt;=65,"BUY",IF(AF46&gt;=50,"WATCH LIST",IF(AF46&gt;=35,"AVOID","PASS")))))</f>
        <v/>
      </c>
      <c r="AH46" s="66" t="str">
        <f aca="false">IF(N46="","",IF(N46&lt;3,"FAIL","OK"))</f>
        <v/>
      </c>
      <c r="AI46" s="66" t="str">
        <f aca="false">IF(COUNT(D46:L46)=0,"",IF(COUNTIF(D46:L46,1)&gt;0,"REVIEW","OK"))</f>
        <v/>
      </c>
      <c r="AJ46" s="66" t="str">
        <f aca="false">IF(COUNT(D46:L46)=0,"",IF(COUNTIF(D46:L46,"&lt;=2")&gt;=2,"AVOID","OK"))</f>
        <v/>
      </c>
      <c r="AK46" s="66" t="str">
        <f aca="false">IF(COUNTA(E46:M46)=0,"",IF(COUNTIF(E46:M46,"L")&gt;=2,"CAP AT BUY","OK"))</f>
        <v/>
      </c>
      <c r="AM46" s="61"/>
      <c r="AN46" s="61"/>
      <c r="AO46" s="42" t="str">
        <f aca="false">IF(OR(AM46="",AN46=""),"",IF(AM46&gt;AN46,"OK","LOW CONF"))</f>
        <v/>
      </c>
      <c r="AP46" s="62"/>
      <c r="AQ46" s="62"/>
      <c r="AR46" s="42" t="str">
        <f aca="false">IF(OR(AP46="",AQ46=""),"",IF(AP46&lt;AQ46,"Decreased",IF(AP46&gt;AQ46,"Increased","Flat")))</f>
        <v/>
      </c>
    </row>
    <row r="47" customFormat="false" ht="15" hidden="false" customHeight="true" outlineLevel="0" collapsed="false">
      <c r="A47" s="63"/>
      <c r="B47" s="63"/>
      <c r="C47" s="63"/>
      <c r="D47" s="63"/>
      <c r="E47" s="63"/>
      <c r="F47" s="63"/>
      <c r="G47" s="63"/>
      <c r="H47" s="63"/>
      <c r="I47" s="63"/>
      <c r="J47" s="63"/>
      <c r="K47" s="63"/>
      <c r="L47" s="63"/>
      <c r="M47" s="63"/>
      <c r="N47" s="65" t="str">
        <f aca="false">IF(COUNT(D47,F47,H47,J47,L47)=0,"",(D47*0.2+F47*0.15+H47*0.15+J47*0.1+L47*0.1)/0.7)</f>
        <v/>
      </c>
      <c r="O47" s="66" t="str">
        <f aca="false">IF(COUNT(D47,F47,H47,J47,L47)=0,"",D47*0.2+F47*0.15+H47*0.15+J47*0.1+L47*0.1)</f>
        <v/>
      </c>
      <c r="P47" s="63"/>
      <c r="Q47" s="63"/>
      <c r="R47" s="63"/>
      <c r="S47" s="63"/>
      <c r="T47" s="63"/>
      <c r="U47" s="63"/>
      <c r="V47" s="63"/>
      <c r="W47" s="63"/>
      <c r="X47" s="47" t="str">
        <f aca="false">IF(COUNT(P47,R47,T47,V47)=0,"",P47*0.08+R47*0.06+T47*0.03+V47*0.08)</f>
        <v/>
      </c>
      <c r="Y47" s="63"/>
      <c r="Z47" s="63"/>
      <c r="AA47" s="63"/>
      <c r="AB47" s="63"/>
      <c r="AC47" s="63"/>
      <c r="AD47" s="63"/>
      <c r="AE47" s="47" t="str">
        <f aca="false">IF(COUNT(Y47,AA47,AC47)=0,"",Y47*0.02+AA47*0.02+AC47*0.01)</f>
        <v/>
      </c>
      <c r="AF47" s="66" t="str">
        <f aca="false">IF(OR(O47="",X47="",AE47=""),"",(O47+X47+AE47)*20)</f>
        <v/>
      </c>
      <c r="AG47" s="66" t="str">
        <f aca="false">IF(AF47="","",IF(AF47&gt;=80,"STRONG BUY",IF(AF47&gt;=65,"BUY",IF(AF47&gt;=50,"WATCH LIST",IF(AF47&gt;=35,"AVOID","PASS")))))</f>
        <v/>
      </c>
      <c r="AH47" s="66" t="str">
        <f aca="false">IF(N47="","",IF(N47&lt;3,"FAIL","OK"))</f>
        <v/>
      </c>
      <c r="AI47" s="66" t="str">
        <f aca="false">IF(COUNT(D47:L47)=0,"",IF(COUNTIF(D47:L47,1)&gt;0,"REVIEW","OK"))</f>
        <v/>
      </c>
      <c r="AJ47" s="66" t="str">
        <f aca="false">IF(COUNT(D47:L47)=0,"",IF(COUNTIF(D47:L47,"&lt;=2")&gt;=2,"AVOID","OK"))</f>
        <v/>
      </c>
      <c r="AK47" s="66" t="str">
        <f aca="false">IF(COUNTA(E47:M47)=0,"",IF(COUNTIF(E47:M47,"L")&gt;=2,"CAP AT BUY","OK"))</f>
        <v/>
      </c>
      <c r="AM47" s="61"/>
      <c r="AN47" s="61"/>
      <c r="AO47" s="42" t="str">
        <f aca="false">IF(OR(AM47="",AN47=""),"",IF(AM47&gt;AN47,"OK","LOW CONF"))</f>
        <v/>
      </c>
      <c r="AP47" s="62"/>
      <c r="AQ47" s="62"/>
      <c r="AR47" s="42" t="str">
        <f aca="false">IF(OR(AP47="",AQ47=""),"",IF(AP47&lt;AQ47,"Decreased",IF(AP47&gt;AQ47,"Increased","Flat")))</f>
        <v/>
      </c>
    </row>
    <row r="48" customFormat="false" ht="15" hidden="false" customHeight="true" outlineLevel="0" collapsed="false">
      <c r="A48" s="63"/>
      <c r="B48" s="63"/>
      <c r="C48" s="63"/>
      <c r="D48" s="63"/>
      <c r="E48" s="63"/>
      <c r="F48" s="63"/>
      <c r="G48" s="63"/>
      <c r="H48" s="63"/>
      <c r="I48" s="63"/>
      <c r="J48" s="63"/>
      <c r="K48" s="63"/>
      <c r="L48" s="63"/>
      <c r="M48" s="63"/>
      <c r="N48" s="65" t="str">
        <f aca="false">IF(COUNT(D48,F48,H48,J48,L48)=0,"",(D48*0.2+F48*0.15+H48*0.15+J48*0.1+L48*0.1)/0.7)</f>
        <v/>
      </c>
      <c r="O48" s="66" t="str">
        <f aca="false">IF(COUNT(D48,F48,H48,J48,L48)=0,"",D48*0.2+F48*0.15+H48*0.15+J48*0.1+L48*0.1)</f>
        <v/>
      </c>
      <c r="P48" s="63"/>
      <c r="Q48" s="63"/>
      <c r="R48" s="63"/>
      <c r="S48" s="63"/>
      <c r="T48" s="63"/>
      <c r="U48" s="63"/>
      <c r="V48" s="63"/>
      <c r="W48" s="63"/>
      <c r="X48" s="47" t="str">
        <f aca="false">IF(COUNT(P48,R48,T48,V48)=0,"",P48*0.08+R48*0.06+T48*0.03+V48*0.08)</f>
        <v/>
      </c>
      <c r="Y48" s="63"/>
      <c r="Z48" s="63"/>
      <c r="AA48" s="63"/>
      <c r="AB48" s="63"/>
      <c r="AC48" s="63"/>
      <c r="AD48" s="63"/>
      <c r="AE48" s="47" t="str">
        <f aca="false">IF(COUNT(Y48,AA48,AC48)=0,"",Y48*0.02+AA48*0.02+AC48*0.01)</f>
        <v/>
      </c>
      <c r="AF48" s="66" t="str">
        <f aca="false">IF(OR(O48="",X48="",AE48=""),"",(O48+X48+AE48)*20)</f>
        <v/>
      </c>
      <c r="AG48" s="66" t="str">
        <f aca="false">IF(AF48="","",IF(AF48&gt;=80,"STRONG BUY",IF(AF48&gt;=65,"BUY",IF(AF48&gt;=50,"WATCH LIST",IF(AF48&gt;=35,"AVOID","PASS")))))</f>
        <v/>
      </c>
      <c r="AH48" s="66" t="str">
        <f aca="false">IF(N48="","",IF(N48&lt;3,"FAIL","OK"))</f>
        <v/>
      </c>
      <c r="AI48" s="66" t="str">
        <f aca="false">IF(COUNT(D48:L48)=0,"",IF(COUNTIF(D48:L48,1)&gt;0,"REVIEW","OK"))</f>
        <v/>
      </c>
      <c r="AJ48" s="66" t="str">
        <f aca="false">IF(COUNT(D48:L48)=0,"",IF(COUNTIF(D48:L48,"&lt;=2")&gt;=2,"AVOID","OK"))</f>
        <v/>
      </c>
      <c r="AK48" s="66" t="str">
        <f aca="false">IF(COUNTA(E48:M48)=0,"",IF(COUNTIF(E48:M48,"L")&gt;=2,"CAP AT BUY","OK"))</f>
        <v/>
      </c>
      <c r="AM48" s="61"/>
      <c r="AN48" s="61"/>
      <c r="AO48" s="42" t="str">
        <f aca="false">IF(OR(AM48="",AN48=""),"",IF(AM48&gt;AN48,"OK","LOW CONF"))</f>
        <v/>
      </c>
      <c r="AP48" s="62"/>
      <c r="AQ48" s="62"/>
      <c r="AR48" s="42" t="str">
        <f aca="false">IF(OR(AP48="",AQ48=""),"",IF(AP48&lt;AQ48,"Decreased",IF(AP48&gt;AQ48,"Increased","Flat")))</f>
        <v/>
      </c>
    </row>
    <row r="49" customFormat="false" ht="15" hidden="false" customHeight="true" outlineLevel="0" collapsed="false">
      <c r="A49" s="63"/>
      <c r="B49" s="63"/>
      <c r="C49" s="63"/>
      <c r="D49" s="63"/>
      <c r="E49" s="63"/>
      <c r="F49" s="63"/>
      <c r="G49" s="63"/>
      <c r="H49" s="63"/>
      <c r="I49" s="63"/>
      <c r="J49" s="63"/>
      <c r="K49" s="63"/>
      <c r="L49" s="63"/>
      <c r="M49" s="63"/>
      <c r="N49" s="65" t="str">
        <f aca="false">IF(COUNT(D49,F49,H49,J49,L49)=0,"",(D49*0.2+F49*0.15+H49*0.15+J49*0.1+L49*0.1)/0.7)</f>
        <v/>
      </c>
      <c r="O49" s="66" t="str">
        <f aca="false">IF(COUNT(D49,F49,H49,J49,L49)=0,"",D49*0.2+F49*0.15+H49*0.15+J49*0.1+L49*0.1)</f>
        <v/>
      </c>
      <c r="P49" s="63"/>
      <c r="Q49" s="63"/>
      <c r="R49" s="63"/>
      <c r="S49" s="63"/>
      <c r="T49" s="63"/>
      <c r="U49" s="63"/>
      <c r="V49" s="63"/>
      <c r="W49" s="63"/>
      <c r="X49" s="47" t="str">
        <f aca="false">IF(COUNT(P49,R49,T49,V49)=0,"",P49*0.08+R49*0.06+T49*0.03+V49*0.08)</f>
        <v/>
      </c>
      <c r="Y49" s="63"/>
      <c r="Z49" s="63"/>
      <c r="AA49" s="63"/>
      <c r="AB49" s="63"/>
      <c r="AC49" s="63"/>
      <c r="AD49" s="63"/>
      <c r="AE49" s="47" t="str">
        <f aca="false">IF(COUNT(Y49,AA49,AC49)=0,"",Y49*0.02+AA49*0.02+AC49*0.01)</f>
        <v/>
      </c>
      <c r="AF49" s="66" t="str">
        <f aca="false">IF(OR(O49="",X49="",AE49=""),"",(O49+X49+AE49)*20)</f>
        <v/>
      </c>
      <c r="AG49" s="66" t="str">
        <f aca="false">IF(AF49="","",IF(AF49&gt;=80,"STRONG BUY",IF(AF49&gt;=65,"BUY",IF(AF49&gt;=50,"WATCH LIST",IF(AF49&gt;=35,"AVOID","PASS")))))</f>
        <v/>
      </c>
      <c r="AH49" s="66" t="str">
        <f aca="false">IF(N49="","",IF(N49&lt;3,"FAIL","OK"))</f>
        <v/>
      </c>
      <c r="AI49" s="66" t="str">
        <f aca="false">IF(COUNT(D49:L49)=0,"",IF(COUNTIF(D49:L49,1)&gt;0,"REVIEW","OK"))</f>
        <v/>
      </c>
      <c r="AJ49" s="66" t="str">
        <f aca="false">IF(COUNT(D49:L49)=0,"",IF(COUNTIF(D49:L49,"&lt;=2")&gt;=2,"AVOID","OK"))</f>
        <v/>
      </c>
      <c r="AK49" s="66" t="str">
        <f aca="false">IF(COUNTA(E49:M49)=0,"",IF(COUNTIF(E49:M49,"L")&gt;=2,"CAP AT BUY","OK"))</f>
        <v/>
      </c>
      <c r="AM49" s="61"/>
      <c r="AN49" s="61"/>
      <c r="AO49" s="42" t="str">
        <f aca="false">IF(OR(AM49="",AN49=""),"",IF(AM49&gt;AN49,"OK","LOW CONF"))</f>
        <v/>
      </c>
      <c r="AP49" s="62"/>
      <c r="AQ49" s="62"/>
      <c r="AR49" s="42" t="str">
        <f aca="false">IF(OR(AP49="",AQ49=""),"",IF(AP49&lt;AQ49,"Decreased",IF(AP49&gt;AQ49,"Increased","Flat")))</f>
        <v/>
      </c>
    </row>
    <row r="50" customFormat="false" ht="15" hidden="false" customHeight="true" outlineLevel="0" collapsed="false">
      <c r="A50" s="63"/>
      <c r="B50" s="63"/>
      <c r="C50" s="63"/>
      <c r="D50" s="63"/>
      <c r="E50" s="63"/>
      <c r="F50" s="63"/>
      <c r="G50" s="63"/>
      <c r="H50" s="63"/>
      <c r="I50" s="63"/>
      <c r="J50" s="63"/>
      <c r="K50" s="63"/>
      <c r="L50" s="63"/>
      <c r="M50" s="63"/>
      <c r="N50" s="65" t="str">
        <f aca="false">IF(COUNT(D50,F50,H50,J50,L50)=0,"",(D50*0.2+F50*0.15+H50*0.15+J50*0.1+L50*0.1)/0.7)</f>
        <v/>
      </c>
      <c r="O50" s="66" t="str">
        <f aca="false">IF(COUNT(D50,F50,H50,J50,L50)=0,"",D50*0.2+F50*0.15+H50*0.15+J50*0.1+L50*0.1)</f>
        <v/>
      </c>
      <c r="P50" s="63"/>
      <c r="Q50" s="63"/>
      <c r="R50" s="63"/>
      <c r="S50" s="63"/>
      <c r="T50" s="63"/>
      <c r="U50" s="63"/>
      <c r="V50" s="63"/>
      <c r="W50" s="63"/>
      <c r="X50" s="47" t="str">
        <f aca="false">IF(COUNT(P50,R50,T50,V50)=0,"",P50*0.08+R50*0.06+T50*0.03+V50*0.08)</f>
        <v/>
      </c>
      <c r="Y50" s="63"/>
      <c r="Z50" s="63"/>
      <c r="AA50" s="63"/>
      <c r="AB50" s="63"/>
      <c r="AC50" s="63"/>
      <c r="AD50" s="63"/>
      <c r="AE50" s="47" t="str">
        <f aca="false">IF(COUNT(Y50,AA50,AC50)=0,"",Y50*0.02+AA50*0.02+AC50*0.01)</f>
        <v/>
      </c>
      <c r="AF50" s="66" t="str">
        <f aca="false">IF(OR(O50="",X50="",AE50=""),"",(O50+X50+AE50)*20)</f>
        <v/>
      </c>
      <c r="AG50" s="66" t="str">
        <f aca="false">IF(AF50="","",IF(AF50&gt;=80,"STRONG BUY",IF(AF50&gt;=65,"BUY",IF(AF50&gt;=50,"WATCH LIST",IF(AF50&gt;=35,"AVOID","PASS")))))</f>
        <v/>
      </c>
      <c r="AH50" s="66" t="str">
        <f aca="false">IF(N50="","",IF(N50&lt;3,"FAIL","OK"))</f>
        <v/>
      </c>
      <c r="AI50" s="66" t="str">
        <f aca="false">IF(COUNT(D50:L50)=0,"",IF(COUNTIF(D50:L50,1)&gt;0,"REVIEW","OK"))</f>
        <v/>
      </c>
      <c r="AJ50" s="66" t="str">
        <f aca="false">IF(COUNT(D50:L50)=0,"",IF(COUNTIF(D50:L50,"&lt;=2")&gt;=2,"AVOID","OK"))</f>
        <v/>
      </c>
      <c r="AK50" s="66" t="str">
        <f aca="false">IF(COUNTA(E50:M50)=0,"",IF(COUNTIF(E50:M50,"L")&gt;=2,"CAP AT BUY","OK"))</f>
        <v/>
      </c>
      <c r="AM50" s="61"/>
      <c r="AN50" s="61"/>
      <c r="AO50" s="42" t="str">
        <f aca="false">IF(OR(AM50="",AN50=""),"",IF(AM50&gt;AN50,"OK","LOW CONF"))</f>
        <v/>
      </c>
      <c r="AP50" s="62"/>
      <c r="AQ50" s="62"/>
      <c r="AR50" s="42" t="str">
        <f aca="false">IF(OR(AP50="",AQ50=""),"",IF(AP50&lt;AQ50,"Decreased",IF(AP50&gt;AQ50,"Increased","Flat")))</f>
        <v/>
      </c>
    </row>
    <row r="51" customFormat="false" ht="15" hidden="false" customHeight="true" outlineLevel="0" collapsed="false">
      <c r="A51" s="63"/>
      <c r="B51" s="63"/>
      <c r="C51" s="63"/>
      <c r="D51" s="63"/>
      <c r="E51" s="63"/>
      <c r="F51" s="63"/>
      <c r="G51" s="63"/>
      <c r="H51" s="63"/>
      <c r="I51" s="63"/>
      <c r="J51" s="63"/>
      <c r="K51" s="63"/>
      <c r="L51" s="63"/>
      <c r="M51" s="63"/>
      <c r="N51" s="65" t="str">
        <f aca="false">IF(COUNT(D51,F51,H51,J51,L51)=0,"",(D51*0.2+F51*0.15+H51*0.15+J51*0.1+L51*0.1)/0.7)</f>
        <v/>
      </c>
      <c r="O51" s="66" t="str">
        <f aca="false">IF(COUNT(D51,F51,H51,J51,L51)=0,"",D51*0.2+F51*0.15+H51*0.15+J51*0.1+L51*0.1)</f>
        <v/>
      </c>
      <c r="P51" s="63"/>
      <c r="Q51" s="63"/>
      <c r="R51" s="63"/>
      <c r="S51" s="63"/>
      <c r="T51" s="63"/>
      <c r="U51" s="63"/>
      <c r="V51" s="63"/>
      <c r="W51" s="63"/>
      <c r="X51" s="47" t="str">
        <f aca="false">IF(COUNT(P51,R51,T51,V51)=0,"",P51*0.08+R51*0.06+T51*0.03+V51*0.08)</f>
        <v/>
      </c>
      <c r="Y51" s="63"/>
      <c r="Z51" s="63"/>
      <c r="AA51" s="63"/>
      <c r="AB51" s="63"/>
      <c r="AC51" s="63"/>
      <c r="AD51" s="63"/>
      <c r="AE51" s="47" t="str">
        <f aca="false">IF(COUNT(Y51,AA51,AC51)=0,"",Y51*0.02+AA51*0.02+AC51*0.01)</f>
        <v/>
      </c>
      <c r="AF51" s="66" t="str">
        <f aca="false">IF(OR(O51="",X51="",AE51=""),"",(O51+X51+AE51)*20)</f>
        <v/>
      </c>
      <c r="AG51" s="66" t="str">
        <f aca="false">IF(AF51="","",IF(AF51&gt;=80,"STRONG BUY",IF(AF51&gt;=65,"BUY",IF(AF51&gt;=50,"WATCH LIST",IF(AF51&gt;=35,"AVOID","PASS")))))</f>
        <v/>
      </c>
      <c r="AH51" s="66" t="str">
        <f aca="false">IF(N51="","",IF(N51&lt;3,"FAIL","OK"))</f>
        <v/>
      </c>
      <c r="AI51" s="66" t="str">
        <f aca="false">IF(COUNT(D51:L51)=0,"",IF(COUNTIF(D51:L51,1)&gt;0,"REVIEW","OK"))</f>
        <v/>
      </c>
      <c r="AJ51" s="66" t="str">
        <f aca="false">IF(COUNT(D51:L51)=0,"",IF(COUNTIF(D51:L51,"&lt;=2")&gt;=2,"AVOID","OK"))</f>
        <v/>
      </c>
      <c r="AK51" s="66" t="str">
        <f aca="false">IF(COUNTA(E51:M51)=0,"",IF(COUNTIF(E51:M51,"L")&gt;=2,"CAP AT BUY","OK"))</f>
        <v/>
      </c>
      <c r="AM51" s="61"/>
      <c r="AN51" s="61"/>
      <c r="AO51" s="42" t="str">
        <f aca="false">IF(OR(AM51="",AN51=""),"",IF(AM51&gt;AN51,"OK","LOW CONF"))</f>
        <v/>
      </c>
      <c r="AP51" s="62"/>
      <c r="AQ51" s="62"/>
      <c r="AR51" s="42" t="str">
        <f aca="false">IF(OR(AP51="",AQ51=""),"",IF(AP51&lt;AQ51,"Decreased",IF(AP51&gt;AQ51,"Increased","Flat")))</f>
        <v/>
      </c>
    </row>
    <row r="52" customFormat="false" ht="15" hidden="false" customHeight="true" outlineLevel="0" collapsed="false">
      <c r="A52" s="63"/>
      <c r="B52" s="63"/>
      <c r="C52" s="63"/>
      <c r="D52" s="63"/>
      <c r="E52" s="63"/>
      <c r="F52" s="63"/>
      <c r="G52" s="63"/>
      <c r="H52" s="63"/>
      <c r="I52" s="63"/>
      <c r="J52" s="63"/>
      <c r="K52" s="63"/>
      <c r="L52" s="63"/>
      <c r="M52" s="63"/>
      <c r="N52" s="65" t="str">
        <f aca="false">IF(COUNT(D52,F52,H52,J52,L52)=0,"",(D52*0.2+F52*0.15+H52*0.15+J52*0.1+L52*0.1)/0.7)</f>
        <v/>
      </c>
      <c r="O52" s="66" t="str">
        <f aca="false">IF(COUNT(D52,F52,H52,J52,L52)=0,"",D52*0.2+F52*0.15+H52*0.15+J52*0.1+L52*0.1)</f>
        <v/>
      </c>
      <c r="P52" s="63"/>
      <c r="Q52" s="63"/>
      <c r="R52" s="63"/>
      <c r="S52" s="63"/>
      <c r="T52" s="63"/>
      <c r="U52" s="63"/>
      <c r="V52" s="63"/>
      <c r="W52" s="63"/>
      <c r="X52" s="47" t="str">
        <f aca="false">IF(COUNT(P52,R52,T52,V52)=0,"",P52*0.08+R52*0.06+T52*0.03+V52*0.08)</f>
        <v/>
      </c>
      <c r="Y52" s="63"/>
      <c r="Z52" s="63"/>
      <c r="AA52" s="63"/>
      <c r="AB52" s="63"/>
      <c r="AC52" s="63"/>
      <c r="AD52" s="63"/>
      <c r="AE52" s="47" t="str">
        <f aca="false">IF(COUNT(Y52,AA52,AC52)=0,"",Y52*0.02+AA52*0.02+AC52*0.01)</f>
        <v/>
      </c>
      <c r="AF52" s="66" t="str">
        <f aca="false">IF(OR(O52="",X52="",AE52=""),"",(O52+X52+AE52)*20)</f>
        <v/>
      </c>
      <c r="AG52" s="66" t="str">
        <f aca="false">IF(AF52="","",IF(AF52&gt;=80,"STRONG BUY",IF(AF52&gt;=65,"BUY",IF(AF52&gt;=50,"WATCH LIST",IF(AF52&gt;=35,"AVOID","PASS")))))</f>
        <v/>
      </c>
      <c r="AH52" s="66" t="str">
        <f aca="false">IF(N52="","",IF(N52&lt;3,"FAIL","OK"))</f>
        <v/>
      </c>
      <c r="AI52" s="66" t="str">
        <f aca="false">IF(COUNT(D52:L52)=0,"",IF(COUNTIF(D52:L52,1)&gt;0,"REVIEW","OK"))</f>
        <v/>
      </c>
      <c r="AJ52" s="66" t="str">
        <f aca="false">IF(COUNT(D52:L52)=0,"",IF(COUNTIF(D52:L52,"&lt;=2")&gt;=2,"AVOID","OK"))</f>
        <v/>
      </c>
      <c r="AK52" s="66" t="str">
        <f aca="false">IF(COUNTA(E52:M52)=0,"",IF(COUNTIF(E52:M52,"L")&gt;=2,"CAP AT BUY","OK"))</f>
        <v/>
      </c>
      <c r="AM52" s="61"/>
      <c r="AN52" s="61"/>
      <c r="AO52" s="42" t="str">
        <f aca="false">IF(OR(AM52="",AN52=""),"",IF(AM52&gt;AN52,"OK","LOW CONF"))</f>
        <v/>
      </c>
      <c r="AP52" s="62"/>
      <c r="AQ52" s="62"/>
      <c r="AR52" s="42" t="str">
        <f aca="false">IF(OR(AP52="",AQ52=""),"",IF(AP52&lt;AQ52,"Decreased",IF(AP52&gt;AQ52,"Increased","Flat")))</f>
        <v/>
      </c>
    </row>
    <row r="53" customFormat="false" ht="15" hidden="false" customHeight="true" outlineLevel="0" collapsed="false">
      <c r="A53" s="63"/>
      <c r="B53" s="63"/>
      <c r="C53" s="63"/>
      <c r="D53" s="63"/>
      <c r="E53" s="63"/>
      <c r="F53" s="63"/>
      <c r="G53" s="63"/>
      <c r="H53" s="63"/>
      <c r="I53" s="63"/>
      <c r="J53" s="63"/>
      <c r="K53" s="63"/>
      <c r="L53" s="63"/>
      <c r="M53" s="63"/>
      <c r="N53" s="65" t="str">
        <f aca="false">IF(COUNT(D53,F53,H53,J53,L53)=0,"",(D53*0.2+F53*0.15+H53*0.15+J53*0.1+L53*0.1)/0.7)</f>
        <v/>
      </c>
      <c r="O53" s="66" t="str">
        <f aca="false">IF(COUNT(D53,F53,H53,J53,L53)=0,"",D53*0.2+F53*0.15+H53*0.15+J53*0.1+L53*0.1)</f>
        <v/>
      </c>
      <c r="P53" s="63"/>
      <c r="Q53" s="63"/>
      <c r="R53" s="63"/>
      <c r="S53" s="63"/>
      <c r="T53" s="63"/>
      <c r="U53" s="63"/>
      <c r="V53" s="63"/>
      <c r="W53" s="63"/>
      <c r="X53" s="47" t="str">
        <f aca="false">IF(COUNT(P53,R53,T53,V53)=0,"",P53*0.08+R53*0.06+T53*0.03+V53*0.08)</f>
        <v/>
      </c>
      <c r="Y53" s="63"/>
      <c r="Z53" s="63"/>
      <c r="AA53" s="63"/>
      <c r="AB53" s="63"/>
      <c r="AC53" s="63"/>
      <c r="AD53" s="63"/>
      <c r="AE53" s="47" t="str">
        <f aca="false">IF(COUNT(Y53,AA53,AC53)=0,"",Y53*0.02+AA53*0.02+AC53*0.01)</f>
        <v/>
      </c>
      <c r="AF53" s="66" t="str">
        <f aca="false">IF(OR(O53="",X53="",AE53=""),"",(O53+X53+AE53)*20)</f>
        <v/>
      </c>
      <c r="AG53" s="66" t="str">
        <f aca="false">IF(AF53="","",IF(AF53&gt;=80,"STRONG BUY",IF(AF53&gt;=65,"BUY",IF(AF53&gt;=50,"WATCH LIST",IF(AF53&gt;=35,"AVOID","PASS")))))</f>
        <v/>
      </c>
      <c r="AH53" s="66" t="str">
        <f aca="false">IF(N53="","",IF(N53&lt;3,"FAIL","OK"))</f>
        <v/>
      </c>
      <c r="AI53" s="66" t="str">
        <f aca="false">IF(COUNT(D53:L53)=0,"",IF(COUNTIF(D53:L53,1)&gt;0,"REVIEW","OK"))</f>
        <v/>
      </c>
      <c r="AJ53" s="66" t="str">
        <f aca="false">IF(COUNT(D53:L53)=0,"",IF(COUNTIF(D53:L53,"&lt;=2")&gt;=2,"AVOID","OK"))</f>
        <v/>
      </c>
      <c r="AK53" s="66" t="str">
        <f aca="false">IF(COUNTA(E53:M53)=0,"",IF(COUNTIF(E53:M53,"L")&gt;=2,"CAP AT BUY","OK"))</f>
        <v/>
      </c>
      <c r="AM53" s="61"/>
      <c r="AN53" s="61"/>
      <c r="AO53" s="42" t="str">
        <f aca="false">IF(OR(AM53="",AN53=""),"",IF(AM53&gt;AN53,"OK","LOW CONF"))</f>
        <v/>
      </c>
      <c r="AP53" s="62"/>
      <c r="AQ53" s="62"/>
      <c r="AR53" s="42" t="str">
        <f aca="false">IF(OR(AP53="",AQ53=""),"",IF(AP53&lt;AQ53,"Decreased",IF(AP53&gt;AQ53,"Increased","Flat")))</f>
        <v/>
      </c>
    </row>
    <row r="54" customFormat="false" ht="15" hidden="false" customHeight="true" outlineLevel="0" collapsed="false">
      <c r="A54" s="63"/>
      <c r="B54" s="63"/>
      <c r="C54" s="63"/>
      <c r="D54" s="63"/>
      <c r="E54" s="63"/>
      <c r="F54" s="63"/>
      <c r="G54" s="63"/>
      <c r="H54" s="63"/>
      <c r="I54" s="63"/>
      <c r="J54" s="63"/>
      <c r="K54" s="63"/>
      <c r="L54" s="63"/>
      <c r="M54" s="63"/>
      <c r="N54" s="65" t="str">
        <f aca="false">IF(COUNT(D54,F54,H54,J54,L54)=0,"",(D54*0.2+F54*0.15+H54*0.15+J54*0.1+L54*0.1)/0.7)</f>
        <v/>
      </c>
      <c r="O54" s="66" t="str">
        <f aca="false">IF(COUNT(D54,F54,H54,J54,L54)=0,"",D54*0.2+F54*0.15+H54*0.15+J54*0.1+L54*0.1)</f>
        <v/>
      </c>
      <c r="P54" s="63"/>
      <c r="Q54" s="63"/>
      <c r="R54" s="63"/>
      <c r="S54" s="63"/>
      <c r="T54" s="63"/>
      <c r="U54" s="63"/>
      <c r="V54" s="63"/>
      <c r="W54" s="63"/>
      <c r="X54" s="47" t="str">
        <f aca="false">IF(COUNT(P54,R54,T54,V54)=0,"",P54*0.08+R54*0.06+T54*0.03+V54*0.08)</f>
        <v/>
      </c>
      <c r="Y54" s="63"/>
      <c r="Z54" s="63"/>
      <c r="AA54" s="63"/>
      <c r="AB54" s="63"/>
      <c r="AC54" s="63"/>
      <c r="AD54" s="63"/>
      <c r="AE54" s="47" t="str">
        <f aca="false">IF(COUNT(Y54,AA54,AC54)=0,"",Y54*0.02+AA54*0.02+AC54*0.01)</f>
        <v/>
      </c>
      <c r="AF54" s="66" t="str">
        <f aca="false">IF(OR(O54="",X54="",AE54=""),"",(O54+X54+AE54)*20)</f>
        <v/>
      </c>
      <c r="AG54" s="66" t="str">
        <f aca="false">IF(AF54="","",IF(AF54&gt;=80,"STRONG BUY",IF(AF54&gt;=65,"BUY",IF(AF54&gt;=50,"WATCH LIST",IF(AF54&gt;=35,"AVOID","PASS")))))</f>
        <v/>
      </c>
      <c r="AH54" s="66" t="str">
        <f aca="false">IF(N54="","",IF(N54&lt;3,"FAIL","OK"))</f>
        <v/>
      </c>
      <c r="AI54" s="66" t="str">
        <f aca="false">IF(COUNT(D54:L54)=0,"",IF(COUNTIF(D54:L54,1)&gt;0,"REVIEW","OK"))</f>
        <v/>
      </c>
      <c r="AJ54" s="66" t="str">
        <f aca="false">IF(COUNT(D54:L54)=0,"",IF(COUNTIF(D54:L54,"&lt;=2")&gt;=2,"AVOID","OK"))</f>
        <v/>
      </c>
      <c r="AK54" s="66" t="str">
        <f aca="false">IF(COUNTA(E54:M54)=0,"",IF(COUNTIF(E54:M54,"L")&gt;=2,"CAP AT BUY","OK"))</f>
        <v/>
      </c>
      <c r="AM54" s="61"/>
      <c r="AN54" s="61"/>
      <c r="AO54" s="42" t="str">
        <f aca="false">IF(OR(AM54="",AN54=""),"",IF(AM54&gt;AN54,"OK","LOW CONF"))</f>
        <v/>
      </c>
      <c r="AP54" s="62"/>
      <c r="AQ54" s="62"/>
      <c r="AR54" s="42" t="str">
        <f aca="false">IF(OR(AP54="",AQ54=""),"",IF(AP54&lt;AQ54,"Decreased",IF(AP54&gt;AQ54,"Increased","Flat")))</f>
        <v/>
      </c>
    </row>
    <row r="55" customFormat="false" ht="15" hidden="false" customHeight="true" outlineLevel="0" collapsed="false">
      <c r="A55" s="63"/>
      <c r="B55" s="63"/>
      <c r="C55" s="63"/>
      <c r="D55" s="63"/>
      <c r="E55" s="63"/>
      <c r="F55" s="63"/>
      <c r="G55" s="63"/>
      <c r="H55" s="63"/>
      <c r="I55" s="63"/>
      <c r="J55" s="63"/>
      <c r="K55" s="63"/>
      <c r="L55" s="63"/>
      <c r="M55" s="63"/>
      <c r="N55" s="65" t="str">
        <f aca="false">IF(COUNT(D55,F55,H55,J55,L55)=0,"",(D55*0.2+F55*0.15+H55*0.15+J55*0.1+L55*0.1)/0.7)</f>
        <v/>
      </c>
      <c r="O55" s="66" t="str">
        <f aca="false">IF(COUNT(D55,F55,H55,J55,L55)=0,"",D55*0.2+F55*0.15+H55*0.15+J55*0.1+L55*0.1)</f>
        <v/>
      </c>
      <c r="P55" s="63"/>
      <c r="Q55" s="63"/>
      <c r="R55" s="63"/>
      <c r="S55" s="63"/>
      <c r="T55" s="63"/>
      <c r="U55" s="63"/>
      <c r="V55" s="63"/>
      <c r="W55" s="63"/>
      <c r="X55" s="47" t="str">
        <f aca="false">IF(COUNT(P55,R55,T55,V55)=0,"",P55*0.08+R55*0.06+T55*0.03+V55*0.08)</f>
        <v/>
      </c>
      <c r="Y55" s="63"/>
      <c r="Z55" s="63"/>
      <c r="AA55" s="63"/>
      <c r="AB55" s="63"/>
      <c r="AC55" s="63"/>
      <c r="AD55" s="63"/>
      <c r="AE55" s="47" t="str">
        <f aca="false">IF(COUNT(Y55,AA55,AC55)=0,"",Y55*0.02+AA55*0.02+AC55*0.01)</f>
        <v/>
      </c>
      <c r="AF55" s="66" t="str">
        <f aca="false">IF(OR(O55="",X55="",AE55=""),"",(O55+X55+AE55)*20)</f>
        <v/>
      </c>
      <c r="AG55" s="66" t="str">
        <f aca="false">IF(AF55="","",IF(AF55&gt;=80,"STRONG BUY",IF(AF55&gt;=65,"BUY",IF(AF55&gt;=50,"WATCH LIST",IF(AF55&gt;=35,"AVOID","PASS")))))</f>
        <v/>
      </c>
      <c r="AH55" s="66" t="str">
        <f aca="false">IF(N55="","",IF(N55&lt;3,"FAIL","OK"))</f>
        <v/>
      </c>
      <c r="AI55" s="66" t="str">
        <f aca="false">IF(COUNT(D55:L55)=0,"",IF(COUNTIF(D55:L55,1)&gt;0,"REVIEW","OK"))</f>
        <v/>
      </c>
      <c r="AJ55" s="66" t="str">
        <f aca="false">IF(COUNT(D55:L55)=0,"",IF(COUNTIF(D55:L55,"&lt;=2")&gt;=2,"AVOID","OK"))</f>
        <v/>
      </c>
      <c r="AK55" s="66" t="str">
        <f aca="false">IF(COUNTA(E55:M55)=0,"",IF(COUNTIF(E55:M55,"L")&gt;=2,"CAP AT BUY","OK"))</f>
        <v/>
      </c>
      <c r="AM55" s="61"/>
      <c r="AN55" s="61"/>
      <c r="AO55" s="42" t="str">
        <f aca="false">IF(OR(AM55="",AN55=""),"",IF(AM55&gt;AN55,"OK","LOW CONF"))</f>
        <v/>
      </c>
      <c r="AP55" s="62"/>
      <c r="AQ55" s="62"/>
      <c r="AR55" s="42" t="str">
        <f aca="false">IF(OR(AP55="",AQ55=""),"",IF(AP55&lt;AQ55,"Decreased",IF(AP55&gt;AQ55,"Increased","Flat")))</f>
        <v/>
      </c>
    </row>
    <row r="56" customFormat="false" ht="15" hidden="false" customHeight="true" outlineLevel="0" collapsed="false">
      <c r="A56" s="63"/>
      <c r="B56" s="63"/>
      <c r="C56" s="63"/>
      <c r="D56" s="63"/>
      <c r="E56" s="63"/>
      <c r="F56" s="63"/>
      <c r="G56" s="63"/>
      <c r="H56" s="63"/>
      <c r="I56" s="63"/>
      <c r="J56" s="63"/>
      <c r="K56" s="63"/>
      <c r="L56" s="63"/>
      <c r="M56" s="63"/>
      <c r="N56" s="65" t="str">
        <f aca="false">IF(COUNT(D56,F56,H56,J56,L56)=0,"",(D56*0.2+F56*0.15+H56*0.15+J56*0.1+L56*0.1)/0.7)</f>
        <v/>
      </c>
      <c r="O56" s="66" t="str">
        <f aca="false">IF(COUNT(D56,F56,H56,J56,L56)=0,"",D56*0.2+F56*0.15+H56*0.15+J56*0.1+L56*0.1)</f>
        <v/>
      </c>
      <c r="P56" s="63"/>
      <c r="Q56" s="63"/>
      <c r="R56" s="63"/>
      <c r="S56" s="63"/>
      <c r="T56" s="63"/>
      <c r="U56" s="63"/>
      <c r="V56" s="63"/>
      <c r="W56" s="63"/>
      <c r="X56" s="47" t="str">
        <f aca="false">IF(COUNT(P56,R56,T56,V56)=0,"",P56*0.08+R56*0.06+T56*0.03+V56*0.08)</f>
        <v/>
      </c>
      <c r="Y56" s="63"/>
      <c r="Z56" s="63"/>
      <c r="AA56" s="63"/>
      <c r="AB56" s="63"/>
      <c r="AC56" s="63"/>
      <c r="AD56" s="63"/>
      <c r="AE56" s="47" t="str">
        <f aca="false">IF(COUNT(Y56,AA56,AC56)=0,"",Y56*0.02+AA56*0.02+AC56*0.01)</f>
        <v/>
      </c>
      <c r="AF56" s="66" t="str">
        <f aca="false">IF(OR(O56="",X56="",AE56=""),"",(O56+X56+AE56)*20)</f>
        <v/>
      </c>
      <c r="AG56" s="66" t="str">
        <f aca="false">IF(AF56="","",IF(AF56&gt;=80,"STRONG BUY",IF(AF56&gt;=65,"BUY",IF(AF56&gt;=50,"WATCH LIST",IF(AF56&gt;=35,"AVOID","PASS")))))</f>
        <v/>
      </c>
      <c r="AH56" s="66" t="str">
        <f aca="false">IF(N56="","",IF(N56&lt;3,"FAIL","OK"))</f>
        <v/>
      </c>
      <c r="AI56" s="66" t="str">
        <f aca="false">IF(COUNT(D56:L56)=0,"",IF(COUNTIF(D56:L56,1)&gt;0,"REVIEW","OK"))</f>
        <v/>
      </c>
      <c r="AJ56" s="66" t="str">
        <f aca="false">IF(COUNT(D56:L56)=0,"",IF(COUNTIF(D56:L56,"&lt;=2")&gt;=2,"AVOID","OK"))</f>
        <v/>
      </c>
      <c r="AK56" s="66" t="str">
        <f aca="false">IF(COUNTA(E56:M56)=0,"",IF(COUNTIF(E56:M56,"L")&gt;=2,"CAP AT BUY","OK"))</f>
        <v/>
      </c>
      <c r="AM56" s="61"/>
      <c r="AN56" s="61"/>
      <c r="AO56" s="42" t="str">
        <f aca="false">IF(OR(AM56="",AN56=""),"",IF(AM56&gt;AN56,"OK","LOW CONF"))</f>
        <v/>
      </c>
      <c r="AP56" s="62"/>
      <c r="AQ56" s="62"/>
      <c r="AR56" s="42" t="str">
        <f aca="false">IF(OR(AP56="",AQ56=""),"",IF(AP56&lt;AQ56,"Decreased",IF(AP56&gt;AQ56,"Increased","Flat")))</f>
        <v/>
      </c>
    </row>
    <row r="57" customFormat="false" ht="15" hidden="false" customHeight="true" outlineLevel="0" collapsed="false">
      <c r="A57" s="63"/>
      <c r="B57" s="63"/>
      <c r="C57" s="63"/>
      <c r="D57" s="63"/>
      <c r="E57" s="63"/>
      <c r="F57" s="63"/>
      <c r="G57" s="63"/>
      <c r="H57" s="63"/>
      <c r="I57" s="63"/>
      <c r="J57" s="63"/>
      <c r="K57" s="63"/>
      <c r="L57" s="63"/>
      <c r="M57" s="63"/>
      <c r="N57" s="65" t="str">
        <f aca="false">IF(COUNT(D57,F57,H57,J57,L57)=0,"",(D57*0.2+F57*0.15+H57*0.15+J57*0.1+L57*0.1)/0.7)</f>
        <v/>
      </c>
      <c r="O57" s="66" t="str">
        <f aca="false">IF(COUNT(D57,F57,H57,J57,L57)=0,"",D57*0.2+F57*0.15+H57*0.15+J57*0.1+L57*0.1)</f>
        <v/>
      </c>
      <c r="P57" s="63"/>
      <c r="Q57" s="63"/>
      <c r="R57" s="63"/>
      <c r="S57" s="63"/>
      <c r="T57" s="63"/>
      <c r="U57" s="63"/>
      <c r="V57" s="63"/>
      <c r="W57" s="63"/>
      <c r="X57" s="47" t="str">
        <f aca="false">IF(COUNT(P57,R57,T57,V57)=0,"",P57*0.08+R57*0.06+T57*0.03+V57*0.08)</f>
        <v/>
      </c>
      <c r="Y57" s="63"/>
      <c r="Z57" s="63"/>
      <c r="AA57" s="63"/>
      <c r="AB57" s="63"/>
      <c r="AC57" s="63"/>
      <c r="AD57" s="63"/>
      <c r="AE57" s="47" t="str">
        <f aca="false">IF(COUNT(Y57,AA57,AC57)=0,"",Y57*0.02+AA57*0.02+AC57*0.01)</f>
        <v/>
      </c>
      <c r="AF57" s="66" t="str">
        <f aca="false">IF(OR(O57="",X57="",AE57=""),"",(O57+X57+AE57)*20)</f>
        <v/>
      </c>
      <c r="AG57" s="66" t="str">
        <f aca="false">IF(AF57="","",IF(AF57&gt;=80,"STRONG BUY",IF(AF57&gt;=65,"BUY",IF(AF57&gt;=50,"WATCH LIST",IF(AF57&gt;=35,"AVOID","PASS")))))</f>
        <v/>
      </c>
      <c r="AH57" s="66" t="str">
        <f aca="false">IF(N57="","",IF(N57&lt;3,"FAIL","OK"))</f>
        <v/>
      </c>
      <c r="AI57" s="66" t="str">
        <f aca="false">IF(COUNT(D57:L57)=0,"",IF(COUNTIF(D57:L57,1)&gt;0,"REVIEW","OK"))</f>
        <v/>
      </c>
      <c r="AJ57" s="66" t="str">
        <f aca="false">IF(COUNT(D57:L57)=0,"",IF(COUNTIF(D57:L57,"&lt;=2")&gt;=2,"AVOID","OK"))</f>
        <v/>
      </c>
      <c r="AK57" s="66" t="str">
        <f aca="false">IF(COUNTA(E57:M57)=0,"",IF(COUNTIF(E57:M57,"L")&gt;=2,"CAP AT BUY","OK"))</f>
        <v/>
      </c>
      <c r="AM57" s="61"/>
      <c r="AN57" s="61"/>
      <c r="AO57" s="42" t="str">
        <f aca="false">IF(OR(AM57="",AN57=""),"",IF(AM57&gt;AN57,"OK","LOW CONF"))</f>
        <v/>
      </c>
      <c r="AP57" s="62"/>
      <c r="AQ57" s="62"/>
      <c r="AR57" s="42" t="str">
        <f aca="false">IF(OR(AP57="",AQ57=""),"",IF(AP57&lt;AQ57,"Decreased",IF(AP57&gt;AQ57,"Increased","Flat")))</f>
        <v/>
      </c>
    </row>
    <row r="58" customFormat="false" ht="15" hidden="false" customHeight="true" outlineLevel="0" collapsed="false">
      <c r="A58" s="63"/>
      <c r="B58" s="63"/>
      <c r="C58" s="63"/>
      <c r="D58" s="63"/>
      <c r="E58" s="63"/>
      <c r="F58" s="63"/>
      <c r="G58" s="63"/>
      <c r="H58" s="63"/>
      <c r="I58" s="63"/>
      <c r="J58" s="63"/>
      <c r="K58" s="63"/>
      <c r="L58" s="63"/>
      <c r="M58" s="63"/>
      <c r="N58" s="65" t="str">
        <f aca="false">IF(COUNT(D58,F58,H58,J58,L58)=0,"",(D58*0.2+F58*0.15+H58*0.15+J58*0.1+L58*0.1)/0.7)</f>
        <v/>
      </c>
      <c r="O58" s="66" t="str">
        <f aca="false">IF(COUNT(D58,F58,H58,J58,L58)=0,"",D58*0.2+F58*0.15+H58*0.15+J58*0.1+L58*0.1)</f>
        <v/>
      </c>
      <c r="P58" s="63"/>
      <c r="Q58" s="63"/>
      <c r="R58" s="63"/>
      <c r="S58" s="63"/>
      <c r="T58" s="63"/>
      <c r="U58" s="63"/>
      <c r="V58" s="63"/>
      <c r="W58" s="63"/>
      <c r="X58" s="47" t="str">
        <f aca="false">IF(COUNT(P58,R58,T58,V58)=0,"",P58*0.08+R58*0.06+T58*0.03+V58*0.08)</f>
        <v/>
      </c>
      <c r="Y58" s="63"/>
      <c r="Z58" s="63"/>
      <c r="AA58" s="63"/>
      <c r="AB58" s="63"/>
      <c r="AC58" s="63"/>
      <c r="AD58" s="63"/>
      <c r="AE58" s="47" t="str">
        <f aca="false">IF(COUNT(Y58,AA58,AC58)=0,"",Y58*0.02+AA58*0.02+AC58*0.01)</f>
        <v/>
      </c>
      <c r="AF58" s="66" t="str">
        <f aca="false">IF(OR(O58="",X58="",AE58=""),"",(O58+X58+AE58)*20)</f>
        <v/>
      </c>
      <c r="AG58" s="66" t="str">
        <f aca="false">IF(AF58="","",IF(AF58&gt;=80,"STRONG BUY",IF(AF58&gt;=65,"BUY",IF(AF58&gt;=50,"WATCH LIST",IF(AF58&gt;=35,"AVOID","PASS")))))</f>
        <v/>
      </c>
      <c r="AH58" s="66" t="str">
        <f aca="false">IF(N58="","",IF(N58&lt;3,"FAIL","OK"))</f>
        <v/>
      </c>
      <c r="AI58" s="66" t="str">
        <f aca="false">IF(COUNT(D58:L58)=0,"",IF(COUNTIF(D58:L58,1)&gt;0,"REVIEW","OK"))</f>
        <v/>
      </c>
      <c r="AJ58" s="66" t="str">
        <f aca="false">IF(COUNT(D58:L58)=0,"",IF(COUNTIF(D58:L58,"&lt;=2")&gt;=2,"AVOID","OK"))</f>
        <v/>
      </c>
      <c r="AK58" s="66" t="str">
        <f aca="false">IF(COUNTA(E58:M58)=0,"",IF(COUNTIF(E58:M58,"L")&gt;=2,"CAP AT BUY","OK"))</f>
        <v/>
      </c>
      <c r="AM58" s="61"/>
      <c r="AN58" s="61"/>
      <c r="AO58" s="42" t="str">
        <f aca="false">IF(OR(AM58="",AN58=""),"",IF(AM58&gt;AN58,"OK","LOW CONF"))</f>
        <v/>
      </c>
      <c r="AP58" s="62"/>
      <c r="AQ58" s="62"/>
      <c r="AR58" s="42" t="str">
        <f aca="false">IF(OR(AP58="",AQ58=""),"",IF(AP58&lt;AQ58,"Decreased",IF(AP58&gt;AQ58,"Increased","Flat")))</f>
        <v/>
      </c>
    </row>
    <row r="59" customFormat="false" ht="15" hidden="false" customHeight="true" outlineLevel="0" collapsed="false">
      <c r="A59" s="63"/>
      <c r="B59" s="63"/>
      <c r="C59" s="63"/>
      <c r="D59" s="63"/>
      <c r="E59" s="63"/>
      <c r="F59" s="63"/>
      <c r="G59" s="63"/>
      <c r="H59" s="63"/>
      <c r="I59" s="63"/>
      <c r="J59" s="63"/>
      <c r="K59" s="63"/>
      <c r="L59" s="63"/>
      <c r="M59" s="63"/>
      <c r="N59" s="65" t="str">
        <f aca="false">IF(COUNT(D59,F59,H59,J59,L59)=0,"",(D59*0.2+F59*0.15+H59*0.15+J59*0.1+L59*0.1)/0.7)</f>
        <v/>
      </c>
      <c r="O59" s="66" t="str">
        <f aca="false">IF(COUNT(D59,F59,H59,J59,L59)=0,"",D59*0.2+F59*0.15+H59*0.15+J59*0.1+L59*0.1)</f>
        <v/>
      </c>
      <c r="P59" s="63"/>
      <c r="Q59" s="63"/>
      <c r="R59" s="63"/>
      <c r="S59" s="63"/>
      <c r="T59" s="63"/>
      <c r="U59" s="63"/>
      <c r="V59" s="63"/>
      <c r="W59" s="63"/>
      <c r="X59" s="47" t="str">
        <f aca="false">IF(COUNT(P59,R59,T59,V59)=0,"",P59*0.08+R59*0.06+T59*0.03+V59*0.08)</f>
        <v/>
      </c>
      <c r="Y59" s="63"/>
      <c r="Z59" s="63"/>
      <c r="AA59" s="63"/>
      <c r="AB59" s="63"/>
      <c r="AC59" s="63"/>
      <c r="AD59" s="63"/>
      <c r="AE59" s="47" t="str">
        <f aca="false">IF(COUNT(Y59,AA59,AC59)=0,"",Y59*0.02+AA59*0.02+AC59*0.01)</f>
        <v/>
      </c>
      <c r="AF59" s="66" t="str">
        <f aca="false">IF(OR(O59="",X59="",AE59=""),"",(O59+X59+AE59)*20)</f>
        <v/>
      </c>
      <c r="AG59" s="66" t="str">
        <f aca="false">IF(AF59="","",IF(AF59&gt;=80,"STRONG BUY",IF(AF59&gt;=65,"BUY",IF(AF59&gt;=50,"WATCH LIST",IF(AF59&gt;=35,"AVOID","PASS")))))</f>
        <v/>
      </c>
      <c r="AH59" s="66" t="str">
        <f aca="false">IF(N59="","",IF(N59&lt;3,"FAIL","OK"))</f>
        <v/>
      </c>
      <c r="AI59" s="66" t="str">
        <f aca="false">IF(COUNT(D59:L59)=0,"",IF(COUNTIF(D59:L59,1)&gt;0,"REVIEW","OK"))</f>
        <v/>
      </c>
      <c r="AJ59" s="66" t="str">
        <f aca="false">IF(COUNT(D59:L59)=0,"",IF(COUNTIF(D59:L59,"&lt;=2")&gt;=2,"AVOID","OK"))</f>
        <v/>
      </c>
      <c r="AK59" s="66" t="str">
        <f aca="false">IF(COUNTA(E59:M59)=0,"",IF(COUNTIF(E59:M59,"L")&gt;=2,"CAP AT BUY","OK"))</f>
        <v/>
      </c>
      <c r="AM59" s="61"/>
      <c r="AN59" s="61"/>
      <c r="AO59" s="42" t="str">
        <f aca="false">IF(OR(AM59="",AN59=""),"",IF(AM59&gt;AN59,"OK","LOW CONF"))</f>
        <v/>
      </c>
      <c r="AP59" s="62"/>
      <c r="AQ59" s="62"/>
      <c r="AR59" s="42" t="str">
        <f aca="false">IF(OR(AP59="",AQ59=""),"",IF(AP59&lt;AQ59,"Decreased",IF(AP59&gt;AQ59,"Increased","Flat")))</f>
        <v/>
      </c>
    </row>
    <row r="60" customFormat="false" ht="15" hidden="false" customHeight="true" outlineLevel="0" collapsed="false">
      <c r="A60" s="63"/>
      <c r="B60" s="63"/>
      <c r="C60" s="63"/>
      <c r="D60" s="63"/>
      <c r="E60" s="63"/>
      <c r="F60" s="63"/>
      <c r="G60" s="63"/>
      <c r="H60" s="63"/>
      <c r="I60" s="63"/>
      <c r="J60" s="63"/>
      <c r="K60" s="63"/>
      <c r="L60" s="63"/>
      <c r="M60" s="63"/>
      <c r="N60" s="65" t="str">
        <f aca="false">IF(COUNT(D60,F60,H60,J60,L60)=0,"",(D60*0.2+F60*0.15+H60*0.15+J60*0.1+L60*0.1)/0.7)</f>
        <v/>
      </c>
      <c r="O60" s="66" t="str">
        <f aca="false">IF(COUNT(D60,F60,H60,J60,L60)=0,"",D60*0.2+F60*0.15+H60*0.15+J60*0.1+L60*0.1)</f>
        <v/>
      </c>
      <c r="P60" s="63"/>
      <c r="Q60" s="63"/>
      <c r="R60" s="63"/>
      <c r="S60" s="63"/>
      <c r="T60" s="63"/>
      <c r="U60" s="63"/>
      <c r="V60" s="63"/>
      <c r="W60" s="63"/>
      <c r="X60" s="47" t="str">
        <f aca="false">IF(COUNT(P60,R60,T60,V60)=0,"",P60*0.08+R60*0.06+T60*0.03+V60*0.08)</f>
        <v/>
      </c>
      <c r="Y60" s="63"/>
      <c r="Z60" s="63"/>
      <c r="AA60" s="63"/>
      <c r="AB60" s="63"/>
      <c r="AC60" s="63"/>
      <c r="AD60" s="63"/>
      <c r="AE60" s="47" t="str">
        <f aca="false">IF(COUNT(Y60,AA60,AC60)=0,"",Y60*0.02+AA60*0.02+AC60*0.01)</f>
        <v/>
      </c>
      <c r="AF60" s="66" t="str">
        <f aca="false">IF(OR(O60="",X60="",AE60=""),"",(O60+X60+AE60)*20)</f>
        <v/>
      </c>
      <c r="AG60" s="66" t="str">
        <f aca="false">IF(AF60="","",IF(AF60&gt;=80,"STRONG BUY",IF(AF60&gt;=65,"BUY",IF(AF60&gt;=50,"WATCH LIST",IF(AF60&gt;=35,"AVOID","PASS")))))</f>
        <v/>
      </c>
      <c r="AH60" s="66" t="str">
        <f aca="false">IF(N60="","",IF(N60&lt;3,"FAIL","OK"))</f>
        <v/>
      </c>
      <c r="AI60" s="66" t="str">
        <f aca="false">IF(COUNT(D60:L60)=0,"",IF(COUNTIF(D60:L60,1)&gt;0,"REVIEW","OK"))</f>
        <v/>
      </c>
      <c r="AJ60" s="66" t="str">
        <f aca="false">IF(COUNT(D60:L60)=0,"",IF(COUNTIF(D60:L60,"&lt;=2")&gt;=2,"AVOID","OK"))</f>
        <v/>
      </c>
      <c r="AK60" s="66" t="str">
        <f aca="false">IF(COUNTA(E60:M60)=0,"",IF(COUNTIF(E60:M60,"L")&gt;=2,"CAP AT BUY","OK"))</f>
        <v/>
      </c>
      <c r="AM60" s="61"/>
      <c r="AN60" s="61"/>
      <c r="AO60" s="42" t="str">
        <f aca="false">IF(OR(AM60="",AN60=""),"",IF(AM60&gt;AN60,"OK","LOW CONF"))</f>
        <v/>
      </c>
      <c r="AP60" s="62"/>
      <c r="AQ60" s="62"/>
      <c r="AR60" s="42" t="str">
        <f aca="false">IF(OR(AP60="",AQ60=""),"",IF(AP60&lt;AQ60,"Decreased",IF(AP60&gt;AQ60,"Increased","Flat")))</f>
        <v/>
      </c>
    </row>
  </sheetData>
  <mergeCells count="5">
    <mergeCell ref="D1:O1"/>
    <mergeCell ref="P1:X1"/>
    <mergeCell ref="Y1:AE1"/>
    <mergeCell ref="AH1:AK1"/>
    <mergeCell ref="AM1:AR1"/>
  </mergeCells>
  <conditionalFormatting sqref="AG3:AG60">
    <cfRule type="cellIs" priority="2" operator="equal" aboveAverage="0" equalAverage="0" bottom="0" percent="0" rank="0" text="" dxfId="20">
      <formula>"STRONG BUY"</formula>
    </cfRule>
    <cfRule type="cellIs" priority="3" operator="equal" aboveAverage="0" equalAverage="0" bottom="0" percent="0" rank="0" text="" dxfId="21">
      <formula>"BUY"</formula>
    </cfRule>
    <cfRule type="cellIs" priority="4" operator="equal" aboveAverage="0" equalAverage="0" bottom="0" percent="0" rank="0" text="" dxfId="1">
      <formula>"WATCH LIST"</formula>
    </cfRule>
    <cfRule type="cellIs" priority="5" operator="equal" aboveAverage="0" equalAverage="0" bottom="0" percent="0" rank="0" text="" dxfId="15">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13">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13">
      <formula>"OK"</formula>
    </cfRule>
  </conditionalFormatting>
  <conditionalFormatting sqref="AI3:AI60">
    <cfRule type="cellIs" priority="11" operator="equal" aboveAverage="0" equalAverage="0" bottom="0" percent="0" rank="0" text="" dxfId="1">
      <formula>"REVIEW"</formula>
    </cfRule>
  </conditionalFormatting>
  <conditionalFormatting sqref="AK3:AK60">
    <cfRule type="cellIs" priority="12" operator="equal" aboveAverage="0" equalAverage="0" bottom="0" percent="0" rank="0" text="" dxfId="1">
      <formula>"CAP AT BUY"</formula>
    </cfRule>
  </conditionalFormatting>
  <conditionalFormatting sqref="AO3:AO60">
    <cfRule type="cellIs" priority="13" operator="equal" aboveAverage="0" equalAverage="0" bottom="0" percent="0" rank="0" text="" dxfId="1">
      <formula>"LOW CONF"</formula>
    </cfRule>
    <cfRule type="cellIs" priority="14" operator="equal" aboveAverage="0" equalAverage="0" bottom="0" percent="0" rank="0" text="" dxfId="13">
      <formula>"OK"</formula>
    </cfRule>
  </conditionalFormatting>
  <conditionalFormatting sqref="AR3:AR60">
    <cfRule type="cellIs" priority="15" operator="equal" aboveAverage="0" equalAverage="0" bottom="0" percent="0" rank="0" text="" dxfId="1">
      <formula>"Increased"</formula>
    </cfRule>
    <cfRule type="cellIs" priority="16" operator="equal" aboveAverage="0" equalAverage="0" bottom="0" percent="0" rank="0" text="" dxfId="13">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6"/>
    <col collapsed="false" customWidth="true" hidden="false" outlineLevel="0" max="5" min="3" style="1" width="9"/>
    <col collapsed="false" customWidth="true" hidden="false" outlineLevel="0" max="7" min="6" style="1" width="11"/>
    <col collapsed="false" customWidth="true" hidden="false" outlineLevel="0" max="8" min="8" style="1" width="13"/>
    <col collapsed="false" customWidth="true" hidden="false" outlineLevel="0" max="9" min="9" style="1" width="10"/>
    <col collapsed="false" customWidth="true" hidden="false" outlineLevel="0" max="10" min="10" style="1" width="9"/>
    <col collapsed="false" customWidth="true" hidden="false" outlineLevel="0" max="11" min="11" style="1" width="10"/>
    <col collapsed="false" customWidth="true" hidden="false" outlineLevel="0" max="14" min="12" style="1" width="9"/>
    <col collapsed="false" customWidth="true" hidden="false" outlineLevel="0" max="15" min="15" style="1" width="10"/>
    <col collapsed="false" customWidth="true" hidden="false" outlineLevel="0" max="17" min="16" style="1" width="11"/>
    <col collapsed="false" customWidth="true" hidden="false" outlineLevel="0" max="18" min="18" style="1" width="28"/>
  </cols>
  <sheetData>
    <row r="1" customFormat="false" ht="25.5" hidden="false" customHeight="true" outlineLevel="0" collapsed="false">
      <c r="A1" s="16" t="s">
        <v>282</v>
      </c>
      <c r="B1" s="16"/>
      <c r="C1" s="16"/>
      <c r="D1" s="16"/>
      <c r="E1" s="16"/>
      <c r="F1" s="16"/>
      <c r="G1" s="16"/>
      <c r="H1" s="16"/>
      <c r="I1" s="16"/>
      <c r="J1" s="16"/>
      <c r="K1" s="16"/>
      <c r="L1" s="16"/>
      <c r="M1" s="16"/>
      <c r="N1" s="16"/>
      <c r="O1" s="16"/>
      <c r="P1" s="16"/>
      <c r="Q1" s="16"/>
      <c r="R1" s="16"/>
    </row>
    <row r="2" customFormat="false" ht="57" hidden="false" customHeight="true" outlineLevel="0" collapsed="false">
      <c r="A2" s="18" t="s">
        <v>74</v>
      </c>
      <c r="B2" s="18" t="s">
        <v>185</v>
      </c>
      <c r="C2" s="18" t="s">
        <v>283</v>
      </c>
      <c r="D2" s="18" t="s">
        <v>284</v>
      </c>
      <c r="E2" s="18" t="s">
        <v>285</v>
      </c>
      <c r="F2" s="18" t="s">
        <v>286</v>
      </c>
      <c r="G2" s="18" t="s">
        <v>287</v>
      </c>
      <c r="H2" s="18" t="s">
        <v>288</v>
      </c>
      <c r="I2" s="18" t="s">
        <v>289</v>
      </c>
      <c r="J2" s="18" t="s">
        <v>290</v>
      </c>
      <c r="K2" s="18" t="s">
        <v>291</v>
      </c>
      <c r="L2" s="18" t="s">
        <v>292</v>
      </c>
      <c r="M2" s="18" t="s">
        <v>293</v>
      </c>
      <c r="N2" s="18" t="s">
        <v>294</v>
      </c>
      <c r="O2" s="18" t="s">
        <v>295</v>
      </c>
      <c r="P2" s="18" t="s">
        <v>296</v>
      </c>
      <c r="Q2" s="18" t="s">
        <v>297</v>
      </c>
      <c r="R2" s="18" t="s">
        <v>298</v>
      </c>
    </row>
    <row r="3" customFormat="false" ht="15" hidden="false" customHeight="true" outlineLevel="0" collapsed="false">
      <c r="A3" s="42" t="str">
        <f aca="false">IF(Scoring!A3="","",Scoring!A3)</f>
        <v>MU</v>
      </c>
      <c r="B3" s="67" t="str">
        <f aca="false">IF(Scoring!B3="","",Scoring!B3)</f>
        <v>Micron Technology</v>
      </c>
      <c r="C3" s="42" t="str">
        <f aca="false">IF(Scoring!AG3="","",IF(OR(Scoring!AG3="STRONG BUY",Scoring!AG3="BUY"),"PASS","FAIL"))</f>
        <v>PASS</v>
      </c>
      <c r="D3" s="42" t="str">
        <f aca="false">IF(Scoring!AH3="","",IF(Scoring!AH3="OK","PASS","FAIL"))</f>
        <v>PASS</v>
      </c>
      <c r="E3" s="42" t="str">
        <f aca="false">IF(Scoring!AI3="","",IF(Scoring!AI3="OK","PASS","FAIL — mandatory review required"))</f>
        <v>PASS</v>
      </c>
      <c r="F3" s="22"/>
      <c r="G3" s="22"/>
      <c r="H3" s="42" t="str">
        <f aca="false">IF(OR(F3="",G3=""),"",IF(AND(F3="Y",G3="Y"),"Standard initial size","50% of normal initial size + 90-day technical review"))</f>
        <v/>
      </c>
      <c r="I3" s="22"/>
      <c r="J3" s="22"/>
      <c r="K3" s="42" t="str">
        <f aca="false">IF(I3="","",IF(I3="N","PASS",IF(J3="Y","PASS — risk documented in thesis","FAIL — undocumented binary risk")))</f>
        <v/>
      </c>
      <c r="L3" s="42" t="str">
        <f aca="false">IF('Implied-Return Calculator'!T4="","",'Implied-Return Calculator'!T4)</f>
        <v/>
      </c>
      <c r="M3" s="42" t="str">
        <f aca="false">IF('Implied-Return Calculator'!U4="","",'Implied-Return Calculator'!U4)</f>
        <v/>
      </c>
      <c r="N3" s="62"/>
      <c r="O3" s="68"/>
      <c r="P3" s="42" t="str">
        <f aca="false">IF(OR(N3="",O3=""),"",IF(N3&lt;=50,"PASS — within ceiling",IF(AND(O3&gt;0.3,L3="PASS"),"PASS — growth+bear case exception met","FAIL — exceeds 50x, exception not met")))</f>
        <v/>
      </c>
      <c r="Q3" s="42" t="str">
        <f aca="false">IF(OR(C3="",D3="",E3="",K3="",L3="",M3="",P3=""),"",IF(AND(C3="PASS",D3="PASS",LEFT(E3,4)="PASS",LEFT(K3,4)="PASS",L3="PASS",M3="OK",LEFT(P3,4)="PASS"),"YES","NO — see failing rule(s)"))</f>
        <v/>
      </c>
      <c r="R3" s="42" t="str">
        <f aca="false">IF(Q3="","",IF(Q3="YES","Initiate: "&amp;H3,"DO NOT ENTER — resolve failing Entry Rule(s) above first"))</f>
        <v/>
      </c>
    </row>
    <row r="4" customFormat="false" ht="15" hidden="false" customHeight="true" outlineLevel="0" collapsed="false">
      <c r="A4" s="42" t="str">
        <f aca="false">IF(Scoring!A4="","",Scoring!A4)</f>
        <v>AVGO</v>
      </c>
      <c r="B4" s="67" t="str">
        <f aca="false">IF(Scoring!B4="","",Scoring!B4)</f>
        <v>Broadcom Inc.</v>
      </c>
      <c r="C4" s="42" t="str">
        <f aca="false">IF(Scoring!AG4="","",IF(OR(Scoring!AG4="STRONG BUY",Scoring!AG4="BUY"),"PASS","FAIL"))</f>
        <v>PASS</v>
      </c>
      <c r="D4" s="42" t="str">
        <f aca="false">IF(Scoring!AH4="","",IF(Scoring!AH4="OK","PASS","FAIL"))</f>
        <v>PASS</v>
      </c>
      <c r="E4" s="42" t="str">
        <f aca="false">IF(Scoring!AI4="","",IF(Scoring!AI4="OK","PASS","FAIL — mandatory review required"))</f>
        <v>PASS</v>
      </c>
      <c r="F4" s="22"/>
      <c r="G4" s="22"/>
      <c r="H4" s="42" t="str">
        <f aca="false">IF(OR(F4="",G4=""),"",IF(AND(F4="Y",G4="Y"),"Standard initial size","50% of normal initial size + 90-day technical review"))</f>
        <v/>
      </c>
      <c r="I4" s="22"/>
      <c r="J4" s="22"/>
      <c r="K4" s="42" t="str">
        <f aca="false">IF(I4="","",IF(I4="N","PASS",IF(J4="Y","PASS — risk documented in thesis","FAIL — undocumented binary risk")))</f>
        <v/>
      </c>
      <c r="L4" s="42" t="str">
        <f aca="false">IF('Implied-Return Calculator'!T5="","",'Implied-Return Calculator'!T5)</f>
        <v/>
      </c>
      <c r="M4" s="42" t="str">
        <f aca="false">IF('Implied-Return Calculator'!U5="","",'Implied-Return Calculator'!U5)</f>
        <v/>
      </c>
      <c r="N4" s="62"/>
      <c r="O4" s="68"/>
      <c r="P4" s="42" t="str">
        <f aca="false">IF(OR(N4="",O4=""),"",IF(N4&lt;=50,"PASS — within ceiling",IF(AND(O4&gt;0.3,L4="PASS"),"PASS — growth+bear case exception met","FAIL — exceeds 50x, exception not met")))</f>
        <v/>
      </c>
      <c r="Q4" s="42" t="str">
        <f aca="false">IF(OR(C4="",D4="",E4="",K4="",L4="",M4="",P4=""),"",IF(AND(C4="PASS",D4="PASS",LEFT(E4,4)="PASS",LEFT(K4,4)="PASS",L4="PASS",M4="OK",LEFT(P4,4)="PASS"),"YES","NO — see failing rule(s)"))</f>
        <v/>
      </c>
      <c r="R4" s="42" t="str">
        <f aca="false">IF(Q4="","",IF(Q4="YES","Initiate: "&amp;H4,"DO NOT ENTER — resolve failing Entry Rule(s) above first"))</f>
        <v/>
      </c>
    </row>
    <row r="5" customFormat="false" ht="15" hidden="false" customHeight="true" outlineLevel="0" collapsed="false">
      <c r="A5" s="42" t="str">
        <f aca="false">IF(Scoring!A5="","",Scoring!A5)</f>
        <v>PLTR</v>
      </c>
      <c r="B5" s="67" t="str">
        <f aca="false">IF(Scoring!B5="","",Scoring!B5)</f>
        <v>Palantir Technologies</v>
      </c>
      <c r="C5" s="42" t="str">
        <f aca="false">IF(Scoring!AG5="","",IF(OR(Scoring!AG5="STRONG BUY",Scoring!AG5="BUY"),"PASS","FAIL"))</f>
        <v>PASS</v>
      </c>
      <c r="D5" s="42" t="str">
        <f aca="false">IF(Scoring!AH5="","",IF(Scoring!AH5="OK","PASS","FAIL"))</f>
        <v>PASS</v>
      </c>
      <c r="E5" s="42" t="str">
        <f aca="false">IF(Scoring!AI5="","",IF(Scoring!AI5="OK","PASS","FAIL — mandatory review required"))</f>
        <v>PASS</v>
      </c>
      <c r="F5" s="22"/>
      <c r="G5" s="22"/>
      <c r="H5" s="42" t="str">
        <f aca="false">IF(OR(F5="",G5=""),"",IF(AND(F5="Y",G5="Y"),"Standard initial size","50% of normal initial size + 90-day technical review"))</f>
        <v/>
      </c>
      <c r="I5" s="22"/>
      <c r="J5" s="22"/>
      <c r="K5" s="42" t="str">
        <f aca="false">IF(I5="","",IF(I5="N","PASS",IF(J5="Y","PASS — risk documented in thesis","FAIL — undocumented binary risk")))</f>
        <v/>
      </c>
      <c r="L5" s="42" t="str">
        <f aca="false">IF('Implied-Return Calculator'!T6="","",'Implied-Return Calculator'!T6)</f>
        <v/>
      </c>
      <c r="M5" s="42" t="str">
        <f aca="false">IF('Implied-Return Calculator'!U6="","",'Implied-Return Calculator'!U6)</f>
        <v/>
      </c>
      <c r="N5" s="62"/>
      <c r="O5" s="68"/>
      <c r="P5" s="42" t="str">
        <f aca="false">IF(OR(N5="",O5=""),"",IF(N5&lt;=50,"PASS — within ceiling",IF(AND(O5&gt;0.3,L5="PASS"),"PASS — growth+bear case exception met","FAIL — exceeds 50x, exception not met")))</f>
        <v/>
      </c>
      <c r="Q5" s="42" t="str">
        <f aca="false">IF(OR(C5="",D5="",E5="",K5="",L5="",M5="",P5=""),"",IF(AND(C5="PASS",D5="PASS",LEFT(E5,4)="PASS",LEFT(K5,4)="PASS",L5="PASS",M5="OK",LEFT(P5,4)="PASS"),"YES","NO — see failing rule(s)"))</f>
        <v/>
      </c>
      <c r="R5" s="42" t="str">
        <f aca="false">IF(Q5="","",IF(Q5="YES","Initiate: "&amp;H5,"DO NOT ENTER — resolve failing Entry Rule(s) above first"))</f>
        <v/>
      </c>
    </row>
    <row r="6" customFormat="false" ht="15" hidden="false" customHeight="true" outlineLevel="0" collapsed="false">
      <c r="A6" s="42" t="str">
        <f aca="false">IF(Scoring!A6="","",Scoring!A6)</f>
        <v>NVDA</v>
      </c>
      <c r="B6" s="67" t="str">
        <f aca="false">IF(Scoring!B6="","",Scoring!B6)</f>
        <v>NVIDIA Corporation</v>
      </c>
      <c r="C6" s="42" t="str">
        <f aca="false">IF(Scoring!AG6="","",IF(OR(Scoring!AG6="STRONG BUY",Scoring!AG6="BUY"),"PASS","FAIL"))</f>
        <v>PASS</v>
      </c>
      <c r="D6" s="42" t="str">
        <f aca="false">IF(Scoring!AH6="","",IF(Scoring!AH6="OK","PASS","FAIL"))</f>
        <v>PASS</v>
      </c>
      <c r="E6" s="42" t="str">
        <f aca="false">IF(Scoring!AI6="","",IF(Scoring!AI6="OK","PASS","FAIL — mandatory review required"))</f>
        <v>PASS</v>
      </c>
      <c r="F6" s="22"/>
      <c r="G6" s="22"/>
      <c r="H6" s="42" t="str">
        <f aca="false">IF(OR(F6="",G6=""),"",IF(AND(F6="Y",G6="Y"),"Standard initial size","50% of normal initial size + 90-day technical review"))</f>
        <v/>
      </c>
      <c r="I6" s="22"/>
      <c r="J6" s="22"/>
      <c r="K6" s="42" t="str">
        <f aca="false">IF(I6="","",IF(I6="N","PASS",IF(J6="Y","PASS — risk documented in thesis","FAIL — undocumented binary risk")))</f>
        <v/>
      </c>
      <c r="L6" s="42" t="str">
        <f aca="false">IF('Implied-Return Calculator'!T7="","",'Implied-Return Calculator'!T7)</f>
        <v/>
      </c>
      <c r="M6" s="42" t="str">
        <f aca="false">IF('Implied-Return Calculator'!U7="","",'Implied-Return Calculator'!U7)</f>
        <v/>
      </c>
      <c r="N6" s="62"/>
      <c r="O6" s="68"/>
      <c r="P6" s="42" t="str">
        <f aca="false">IF(OR(N6="",O6=""),"",IF(N6&lt;=50,"PASS — within ceiling",IF(AND(O6&gt;0.3,L6="PASS"),"PASS — growth+bear case exception met","FAIL — exceeds 50x, exception not met")))</f>
        <v/>
      </c>
      <c r="Q6" s="42" t="str">
        <f aca="false">IF(OR(C6="",D6="",E6="",K6="",L6="",M6="",P6=""),"",IF(AND(C6="PASS",D6="PASS",LEFT(E6,4)="PASS",LEFT(K6,4)="PASS",L6="PASS",M6="OK",LEFT(P6,4)="PASS"),"YES","NO — see failing rule(s)"))</f>
        <v/>
      </c>
      <c r="R6" s="42" t="str">
        <f aca="false">IF(Q6="","",IF(Q6="YES","Initiate: "&amp;H6,"DO NOT ENTER — resolve failing Entry Rule(s) above first"))</f>
        <v/>
      </c>
    </row>
    <row r="7" customFormat="false" ht="15" hidden="false" customHeight="true" outlineLevel="0" collapsed="false">
      <c r="A7" s="42" t="str">
        <f aca="false">IF(Scoring!A7="","",Scoring!A7)</f>
        <v>VRTX</v>
      </c>
      <c r="B7" s="67" t="str">
        <f aca="false">IF(Scoring!B7="","",Scoring!B7)</f>
        <v>Vertex Pharmaceuticals</v>
      </c>
      <c r="C7" s="42" t="str">
        <f aca="false">IF(Scoring!AG7="","",IF(OR(Scoring!AG7="STRONG BUY",Scoring!AG7="BUY"),"PASS","FAIL"))</f>
        <v>PASS</v>
      </c>
      <c r="D7" s="42" t="str">
        <f aca="false">IF(Scoring!AH7="","",IF(Scoring!AH7="OK","PASS","FAIL"))</f>
        <v>PASS</v>
      </c>
      <c r="E7" s="42" t="str">
        <f aca="false">IF(Scoring!AI7="","",IF(Scoring!AI7="OK","PASS","FAIL — mandatory review required"))</f>
        <v>PASS</v>
      </c>
      <c r="F7" s="22"/>
      <c r="G7" s="22"/>
      <c r="H7" s="42" t="str">
        <f aca="false">IF(OR(F7="",G7=""),"",IF(AND(F7="Y",G7="Y"),"Standard initial size","50% of normal initial size + 90-day technical review"))</f>
        <v/>
      </c>
      <c r="I7" s="22"/>
      <c r="J7" s="22"/>
      <c r="K7" s="42" t="str">
        <f aca="false">IF(I7="","",IF(I7="N","PASS",IF(J7="Y","PASS — risk documented in thesis","FAIL — undocumented binary risk")))</f>
        <v/>
      </c>
      <c r="L7" s="42" t="str">
        <f aca="false">IF('Implied-Return Calculator'!T8="","",'Implied-Return Calculator'!T8)</f>
        <v/>
      </c>
      <c r="M7" s="42" t="str">
        <f aca="false">IF('Implied-Return Calculator'!U8="","",'Implied-Return Calculator'!U8)</f>
        <v/>
      </c>
      <c r="N7" s="62"/>
      <c r="O7" s="68"/>
      <c r="P7" s="42" t="str">
        <f aca="false">IF(OR(N7="",O7=""),"",IF(N7&lt;=50,"PASS — within ceiling",IF(AND(O7&gt;0.3,L7="PASS"),"PASS — growth+bear case exception met","FAIL — exceeds 50x, exception not met")))</f>
        <v/>
      </c>
      <c r="Q7" s="42" t="str">
        <f aca="false">IF(OR(C7="",D7="",E7="",K7="",L7="",M7="",P7=""),"",IF(AND(C7="PASS",D7="PASS",LEFT(E7,4)="PASS",LEFT(K7,4)="PASS",L7="PASS",M7="OK",LEFT(P7,4)="PASS"),"YES","NO — see failing rule(s)"))</f>
        <v/>
      </c>
      <c r="R7" s="42" t="str">
        <f aca="false">IF(Q7="","",IF(Q7="YES","Initiate: "&amp;H7,"DO NOT ENTER — resolve failing Entry Rule(s) above first"))</f>
        <v/>
      </c>
    </row>
    <row r="8" customFormat="false" ht="15" hidden="false" customHeight="true" outlineLevel="0" collapsed="false">
      <c r="A8" s="42" t="str">
        <f aca="false">IF(Scoring!A8="","",Scoring!A8)</f>
        <v>PLD</v>
      </c>
      <c r="B8" s="67" t="str">
        <f aca="false">IF(Scoring!B8="","",Scoring!B8)</f>
        <v>Prologis Inc. (REIT-adapted)</v>
      </c>
      <c r="C8" s="42" t="str">
        <f aca="false">IF(Scoring!AG8="","",IF(OR(Scoring!AG8="STRONG BUY",Scoring!AG8="BUY"),"PASS","FAIL"))</f>
        <v>PASS</v>
      </c>
      <c r="D8" s="42" t="str">
        <f aca="false">IF(Scoring!AH8="","",IF(Scoring!AH8="OK","PASS","FAIL"))</f>
        <v>PASS</v>
      </c>
      <c r="E8" s="42" t="str">
        <f aca="false">IF(Scoring!AI8="","",IF(Scoring!AI8="OK","PASS","FAIL — mandatory review required"))</f>
        <v>PASS</v>
      </c>
      <c r="F8" s="22"/>
      <c r="G8" s="22"/>
      <c r="H8" s="42" t="str">
        <f aca="false">IF(OR(F8="",G8=""),"",IF(AND(F8="Y",G8="Y"),"Standard initial size","50% of normal initial size + 90-day technical review"))</f>
        <v/>
      </c>
      <c r="I8" s="22"/>
      <c r="J8" s="22"/>
      <c r="K8" s="42" t="str">
        <f aca="false">IF(I8="","",IF(I8="N","PASS",IF(J8="Y","PASS — risk documented in thesis","FAIL — undocumented binary risk")))</f>
        <v/>
      </c>
      <c r="L8" s="42" t="str">
        <f aca="false">IF('Implied-Return Calculator'!T9="","",'Implied-Return Calculator'!T9)</f>
        <v/>
      </c>
      <c r="M8" s="42" t="str">
        <f aca="false">IF('Implied-Return Calculator'!U9="","",'Implied-Return Calculator'!U9)</f>
        <v/>
      </c>
      <c r="N8" s="62"/>
      <c r="O8" s="68"/>
      <c r="P8" s="42" t="str">
        <f aca="false">IF(OR(N8="",O8=""),"",IF(N8&lt;=50,"PASS — within ceiling",IF(AND(O8&gt;0.3,L8="PASS"),"PASS — growth+bear case exception met","FAIL — exceeds 50x, exception not met")))</f>
        <v/>
      </c>
      <c r="Q8" s="42" t="str">
        <f aca="false">IF(OR(C8="",D8="",E8="",K8="",L8="",M8="",P8=""),"",IF(AND(C8="PASS",D8="PASS",LEFT(E8,4)="PASS",LEFT(K8,4)="PASS",L8="PASS",M8="OK",LEFT(P8,4)="PASS"),"YES","NO — see failing rule(s)"))</f>
        <v/>
      </c>
      <c r="R8" s="42" t="str">
        <f aca="false">IF(Q8="","",IF(Q8="YES","Initiate: "&amp;H8,"DO NOT ENTER — resolve failing Entry Rule(s) above first"))</f>
        <v/>
      </c>
    </row>
    <row r="9" customFormat="false" ht="15" hidden="false" customHeight="true" outlineLevel="0" collapsed="false">
      <c r="A9" s="42" t="str">
        <f aca="false">IF(Scoring!A9="","",Scoring!A9)</f>
        <v>SFM</v>
      </c>
      <c r="B9" s="67" t="str">
        <f aca="false">IF(Scoring!B9="","",Scoring!B9)</f>
        <v>Sprouts Farmers Market</v>
      </c>
      <c r="C9" s="42" t="str">
        <f aca="false">IF(Scoring!AG9="","",IF(OR(Scoring!AG9="STRONG BUY",Scoring!AG9="BUY"),"PASS","FAIL"))</f>
        <v/>
      </c>
      <c r="D9" s="42" t="str">
        <f aca="false">IF(Scoring!AH9="","",IF(Scoring!AH9="OK","PASS","FAIL"))</f>
        <v>FAIL</v>
      </c>
      <c r="E9" s="42" t="str">
        <f aca="false">IF(Scoring!AI9="","",IF(Scoring!AI9="OK","PASS","FAIL — mandatory review required"))</f>
        <v>FAIL — mandatory review required</v>
      </c>
      <c r="F9" s="22"/>
      <c r="G9" s="22"/>
      <c r="H9" s="42" t="str">
        <f aca="false">IF(OR(F9="",G9=""),"",IF(AND(F9="Y",G9="Y"),"Standard initial size","50% of normal initial size + 90-day technical review"))</f>
        <v/>
      </c>
      <c r="I9" s="22"/>
      <c r="J9" s="22"/>
      <c r="K9" s="42" t="str">
        <f aca="false">IF(I9="","",IF(I9="N","PASS",IF(J9="Y","PASS — risk documented in thesis","FAIL — undocumented binary risk")))</f>
        <v/>
      </c>
      <c r="L9" s="42" t="str">
        <f aca="false">IF('Implied-Return Calculator'!T10="","",'Implied-Return Calculator'!T10)</f>
        <v/>
      </c>
      <c r="M9" s="42" t="str">
        <f aca="false">IF('Implied-Return Calculator'!U10="","",'Implied-Return Calculator'!U10)</f>
        <v/>
      </c>
      <c r="N9" s="62"/>
      <c r="O9" s="68"/>
      <c r="P9" s="42" t="str">
        <f aca="false">IF(OR(N9="",O9=""),"",IF(N9&lt;=50,"PASS — within ceiling",IF(AND(O9&gt;0.3,L9="PASS"),"PASS — growth+bear case exception met","FAIL — exceeds 50x, exception not met")))</f>
        <v/>
      </c>
      <c r="Q9" s="42" t="str">
        <f aca="false">IF(OR(C9="",D9="",E9="",K9="",L9="",M9="",P9=""),"",IF(AND(C9="PASS",D9="PASS",LEFT(E9,4)="PASS",LEFT(K9,4)="PASS",L9="PASS",M9="OK",LEFT(P9,4)="PASS"),"YES","NO — see failing rule(s)"))</f>
        <v/>
      </c>
      <c r="R9" s="42" t="str">
        <f aca="false">IF(Q9="","",IF(Q9="YES","Initiate: "&amp;H9,"DO NOT ENTER — resolve failing Entry Rule(s) above first"))</f>
        <v/>
      </c>
    </row>
    <row r="10" customFormat="false" ht="15" hidden="false" customHeight="true" outlineLevel="0" collapsed="false">
      <c r="A10" s="42" t="str">
        <f aca="false">IF(Scoring!A10="","",Scoring!A10)</f>
        <v>ONON</v>
      </c>
      <c r="B10" s="67" t="str">
        <f aca="false">IF(Scoring!B10="","",Scoring!B10)</f>
        <v>On Holding AG</v>
      </c>
      <c r="C10" s="42" t="str">
        <f aca="false">IF(Scoring!AG10="","",IF(OR(Scoring!AG10="STRONG BUY",Scoring!AG10="BUY"),"PASS","FAIL"))</f>
        <v/>
      </c>
      <c r="D10" s="42" t="str">
        <f aca="false">IF(Scoring!AH10="","",IF(Scoring!AH10="OK","PASS","FAIL"))</f>
        <v>FAIL</v>
      </c>
      <c r="E10" s="42" t="str">
        <f aca="false">IF(Scoring!AI10="","",IF(Scoring!AI10="OK","PASS","FAIL — mandatory review required"))</f>
        <v>PASS</v>
      </c>
      <c r="F10" s="22"/>
      <c r="G10" s="22"/>
      <c r="H10" s="42" t="str">
        <f aca="false">IF(OR(F10="",G10=""),"",IF(AND(F10="Y",G10="Y"),"Standard initial size","50% of normal initial size + 90-day technical review"))</f>
        <v/>
      </c>
      <c r="I10" s="22"/>
      <c r="J10" s="22"/>
      <c r="K10" s="42" t="str">
        <f aca="false">IF(I10="","",IF(I10="N","PASS",IF(J10="Y","PASS — risk documented in thesis","FAIL — undocumented binary risk")))</f>
        <v/>
      </c>
      <c r="L10" s="42" t="str">
        <f aca="false">IF('Implied-Return Calculator'!T11="","",'Implied-Return Calculator'!T11)</f>
        <v/>
      </c>
      <c r="M10" s="42" t="str">
        <f aca="false">IF('Implied-Return Calculator'!U11="","",'Implied-Return Calculator'!U11)</f>
        <v/>
      </c>
      <c r="N10" s="62"/>
      <c r="O10" s="68"/>
      <c r="P10" s="42" t="str">
        <f aca="false">IF(OR(N10="",O10=""),"",IF(N10&lt;=50,"PASS — within ceiling",IF(AND(O10&gt;0.3,L10="PASS"),"PASS — growth+bear case exception met","FAIL — exceeds 50x, exception not met")))</f>
        <v/>
      </c>
      <c r="Q10" s="42" t="str">
        <f aca="false">IF(OR(C10="",D10="",E10="",K10="",L10="",M10="",P10=""),"",IF(AND(C10="PASS",D10="PASS",LEFT(E10,4)="PASS",LEFT(K10,4)="PASS",L10="PASS",M10="OK",LEFT(P10,4)="PASS"),"YES","NO — see failing rule(s)"))</f>
        <v/>
      </c>
      <c r="R10" s="42" t="str">
        <f aca="false">IF(Q10="","",IF(Q10="YES","Initiate: "&amp;H10,"DO NOT ENTER — resolve failing Entry Rule(s) above first"))</f>
        <v/>
      </c>
    </row>
    <row r="11" customFormat="false" ht="15" hidden="false" customHeight="true" outlineLevel="0" collapsed="false">
      <c r="A11" s="42" t="str">
        <f aca="false">IF(Scoring!A11="","",Scoring!A11)</f>
        <v>TSLA</v>
      </c>
      <c r="B11" s="67" t="str">
        <f aca="false">IF(Scoring!B11="","",Scoring!B11)</f>
        <v>Tesla Inc.</v>
      </c>
      <c r="C11" s="42" t="str">
        <f aca="false">IF(Scoring!AG11="","",IF(OR(Scoring!AG11="STRONG BUY",Scoring!AG11="BUY"),"PASS","FAIL"))</f>
        <v/>
      </c>
      <c r="D11" s="42" t="str">
        <f aca="false">IF(Scoring!AH11="","",IF(Scoring!AH11="OK","PASS","FAIL"))</f>
        <v>FAIL</v>
      </c>
      <c r="E11" s="42" t="str">
        <f aca="false">IF(Scoring!AI11="","",IF(Scoring!AI11="OK","PASS","FAIL — mandatory review required"))</f>
        <v>FAIL — mandatory review required</v>
      </c>
      <c r="F11" s="22"/>
      <c r="G11" s="22"/>
      <c r="H11" s="42" t="str">
        <f aca="false">IF(OR(F11="",G11=""),"",IF(AND(F11="Y",G11="Y"),"Standard initial size","50% of normal initial size + 90-day technical review"))</f>
        <v/>
      </c>
      <c r="I11" s="22"/>
      <c r="J11" s="22"/>
      <c r="K11" s="42" t="str">
        <f aca="false">IF(I11="","",IF(I11="N","PASS",IF(J11="Y","PASS — risk documented in thesis","FAIL — undocumented binary risk")))</f>
        <v/>
      </c>
      <c r="L11" s="42" t="str">
        <f aca="false">IF('Implied-Return Calculator'!T12="","",'Implied-Return Calculator'!T12)</f>
        <v/>
      </c>
      <c r="M11" s="42" t="str">
        <f aca="false">IF('Implied-Return Calculator'!U12="","",'Implied-Return Calculator'!U12)</f>
        <v/>
      </c>
      <c r="N11" s="62"/>
      <c r="O11" s="68"/>
      <c r="P11" s="42" t="str">
        <f aca="false">IF(OR(N11="",O11=""),"",IF(N11&lt;=50,"PASS — within ceiling",IF(AND(O11&gt;0.3,L11="PASS"),"PASS — growth+bear case exception met","FAIL — exceeds 50x, exception not met")))</f>
        <v/>
      </c>
      <c r="Q11" s="42" t="str">
        <f aca="false">IF(OR(C11="",D11="",E11="",K11="",L11="",M11="",P11=""),"",IF(AND(C11="PASS",D11="PASS",LEFT(E11,4)="PASS",LEFT(K11,4)="PASS",L11="PASS",M11="OK",LEFT(P11,4)="PASS"),"YES","NO — see failing rule(s)"))</f>
        <v/>
      </c>
      <c r="R11" s="42" t="str">
        <f aca="false">IF(Q11="","",IF(Q11="YES","Initiate: "&amp;H11,"DO NOT ENTER — resolve failing Entry Rule(s) above first"))</f>
        <v/>
      </c>
    </row>
    <row r="12" customFormat="false" ht="15" hidden="false" customHeight="true" outlineLevel="0" collapsed="false">
      <c r="A12" s="42" t="str">
        <f aca="false">IF(Scoring!A12="","",Scoring!A12)</f>
        <v>ADBE</v>
      </c>
      <c r="B12" s="67" t="str">
        <f aca="false">IF(Scoring!B12="","",Scoring!B12)</f>
        <v>Adobe Inc.</v>
      </c>
      <c r="C12" s="42" t="str">
        <f aca="false">IF(Scoring!AG12="","",IF(OR(Scoring!AG12="STRONG BUY",Scoring!AG12="BUY"),"PASS","FAIL"))</f>
        <v>PASS</v>
      </c>
      <c r="D12" s="42" t="str">
        <f aca="false">IF(Scoring!AH12="","",IF(Scoring!AH12="OK","PASS","FAIL"))</f>
        <v>PASS</v>
      </c>
      <c r="E12" s="42" t="str">
        <f aca="false">IF(Scoring!AI12="","",IF(Scoring!AI12="OK","PASS","FAIL — mandatory review required"))</f>
        <v>PASS</v>
      </c>
      <c r="F12" s="22"/>
      <c r="G12" s="22"/>
      <c r="H12" s="42" t="str">
        <f aca="false">IF(OR(F12="",G12=""),"",IF(AND(F12="Y",G12="Y"),"Standard initial size","50% of normal initial size + 90-day technical review"))</f>
        <v/>
      </c>
      <c r="I12" s="22"/>
      <c r="J12" s="22"/>
      <c r="K12" s="42" t="str">
        <f aca="false">IF(I12="","",IF(I12="N","PASS",IF(J12="Y","PASS — risk documented in thesis","FAIL — undocumented binary risk")))</f>
        <v/>
      </c>
      <c r="L12" s="42" t="str">
        <f aca="false">IF('Implied-Return Calculator'!T13="","",'Implied-Return Calculator'!T13)</f>
        <v/>
      </c>
      <c r="M12" s="42" t="str">
        <f aca="false">IF('Implied-Return Calculator'!U13="","",'Implied-Return Calculator'!U13)</f>
        <v/>
      </c>
      <c r="N12" s="62"/>
      <c r="O12" s="68"/>
      <c r="P12" s="42" t="str">
        <f aca="false">IF(OR(N12="",O12=""),"",IF(N12&lt;=50,"PASS — within ceiling",IF(AND(O12&gt;0.3,L12="PASS"),"PASS — growth+bear case exception met","FAIL — exceeds 50x, exception not met")))</f>
        <v/>
      </c>
      <c r="Q12" s="42" t="str">
        <f aca="false">IF(OR(C12="",D12="",E12="",K12="",L12="",M12="",P12=""),"",IF(AND(C12="PASS",D12="PASS",LEFT(E12,4)="PASS",LEFT(K12,4)="PASS",L12="PASS",M12="OK",LEFT(P12,4)="PASS"),"YES","NO — see failing rule(s)"))</f>
        <v/>
      </c>
      <c r="R12" s="42" t="str">
        <f aca="false">IF(Q12="","",IF(Q12="YES","Initiate: "&amp;H12,"DO NOT ENTER — resolve failing Entry Rule(s) above first"))</f>
        <v/>
      </c>
    </row>
    <row r="13" customFormat="false" ht="15" hidden="false" customHeight="true" outlineLevel="0" collapsed="false">
      <c r="A13" s="42" t="str">
        <f aca="false">IF(Scoring!A13="","",Scoring!A13)</f>
        <v>ANET</v>
      </c>
      <c r="B13" s="67" t="str">
        <f aca="false">IF(Scoring!B13="","",Scoring!B13)</f>
        <v>Arista Networks</v>
      </c>
      <c r="C13" s="42" t="str">
        <f aca="false">IF(Scoring!AG13="","",IF(OR(Scoring!AG13="STRONG BUY",Scoring!AG13="BUY"),"PASS","FAIL"))</f>
        <v>PASS</v>
      </c>
      <c r="D13" s="42" t="str">
        <f aca="false">IF(Scoring!AH13="","",IF(Scoring!AH13="OK","PASS","FAIL"))</f>
        <v>PASS</v>
      </c>
      <c r="E13" s="42" t="str">
        <f aca="false">IF(Scoring!AI13="","",IF(Scoring!AI13="OK","PASS","FAIL — mandatory review required"))</f>
        <v>PASS</v>
      </c>
      <c r="F13" s="22"/>
      <c r="G13" s="22"/>
      <c r="H13" s="42" t="str">
        <f aca="false">IF(OR(F13="",G13=""),"",IF(AND(F13="Y",G13="Y"),"Standard initial size","50% of normal initial size + 90-day technical review"))</f>
        <v/>
      </c>
      <c r="I13" s="22"/>
      <c r="J13" s="22"/>
      <c r="K13" s="42" t="str">
        <f aca="false">IF(I13="","",IF(I13="N","PASS",IF(J13="Y","PASS — risk documented in thesis","FAIL — undocumented binary risk")))</f>
        <v/>
      </c>
      <c r="L13" s="42" t="str">
        <f aca="false">IF('Implied-Return Calculator'!T14="","",'Implied-Return Calculator'!T14)</f>
        <v/>
      </c>
      <c r="M13" s="42" t="str">
        <f aca="false">IF('Implied-Return Calculator'!U14="","",'Implied-Return Calculator'!U14)</f>
        <v/>
      </c>
      <c r="N13" s="62"/>
      <c r="O13" s="68"/>
      <c r="P13" s="42" t="str">
        <f aca="false">IF(OR(N13="",O13=""),"",IF(N13&lt;=50,"PASS — within ceiling",IF(AND(O13&gt;0.3,L13="PASS"),"PASS — growth+bear case exception met","FAIL — exceeds 50x, exception not met")))</f>
        <v/>
      </c>
      <c r="Q13" s="42" t="str">
        <f aca="false">IF(OR(C13="",D13="",E13="",K13="",L13="",M13="",P13=""),"",IF(AND(C13="PASS",D13="PASS",LEFT(E13,4)="PASS",LEFT(K13,4)="PASS",L13="PASS",M13="OK",LEFT(P13,4)="PASS"),"YES","NO — see failing rule(s)"))</f>
        <v/>
      </c>
      <c r="R13" s="42" t="str">
        <f aca="false">IF(Q13="","",IF(Q13="YES","Initiate: "&amp;H13,"DO NOT ENTER — resolve failing Entry Rule(s) above first"))</f>
        <v/>
      </c>
    </row>
    <row r="14" customFormat="false" ht="15" hidden="false" customHeight="true" outlineLevel="0" collapsed="false">
      <c r="A14" s="42" t="str">
        <f aca="false">IF(Scoring!A14="","",Scoring!A14)</f>
        <v>ASML</v>
      </c>
      <c r="B14" s="67" t="str">
        <f aca="false">IF(Scoring!B14="","",Scoring!B14)</f>
        <v>ASML Holding</v>
      </c>
      <c r="C14" s="42" t="str">
        <f aca="false">IF(Scoring!AG14="","",IF(OR(Scoring!AG14="STRONG BUY",Scoring!AG14="BUY"),"PASS","FAIL"))</f>
        <v>PASS</v>
      </c>
      <c r="D14" s="42" t="str">
        <f aca="false">IF(Scoring!AH14="","",IF(Scoring!AH14="OK","PASS","FAIL"))</f>
        <v>PASS</v>
      </c>
      <c r="E14" s="42" t="str">
        <f aca="false">IF(Scoring!AI14="","",IF(Scoring!AI14="OK","PASS","FAIL — mandatory review required"))</f>
        <v>PASS</v>
      </c>
      <c r="F14" s="22"/>
      <c r="G14" s="22"/>
      <c r="H14" s="42" t="str">
        <f aca="false">IF(OR(F14="",G14=""),"",IF(AND(F14="Y",G14="Y"),"Standard initial size","50% of normal initial size + 90-day technical review"))</f>
        <v/>
      </c>
      <c r="I14" s="22"/>
      <c r="J14" s="22"/>
      <c r="K14" s="42" t="str">
        <f aca="false">IF(I14="","",IF(I14="N","PASS",IF(J14="Y","PASS — risk documented in thesis","FAIL — undocumented binary risk")))</f>
        <v/>
      </c>
      <c r="L14" s="42" t="str">
        <f aca="false">IF('Implied-Return Calculator'!T15="","",'Implied-Return Calculator'!T15)</f>
        <v/>
      </c>
      <c r="M14" s="42" t="str">
        <f aca="false">IF('Implied-Return Calculator'!U15="","",'Implied-Return Calculator'!U15)</f>
        <v/>
      </c>
      <c r="N14" s="62"/>
      <c r="O14" s="68"/>
      <c r="P14" s="42" t="str">
        <f aca="false">IF(OR(N14="",O14=""),"",IF(N14&lt;=50,"PASS — within ceiling",IF(AND(O14&gt;0.3,L14="PASS"),"PASS — growth+bear case exception met","FAIL — exceeds 50x, exception not met")))</f>
        <v/>
      </c>
      <c r="Q14" s="42" t="str">
        <f aca="false">IF(OR(C14="",D14="",E14="",K14="",L14="",M14="",P14=""),"",IF(AND(C14="PASS",D14="PASS",LEFT(E14,4)="PASS",LEFT(K14,4)="PASS",L14="PASS",M14="OK",LEFT(P14,4)="PASS"),"YES","NO — see failing rule(s)"))</f>
        <v/>
      </c>
      <c r="R14" s="42" t="str">
        <f aca="false">IF(Q14="","",IF(Q14="YES","Initiate: "&amp;H14,"DO NOT ENTER — resolve failing Entry Rule(s) above first"))</f>
        <v/>
      </c>
    </row>
    <row r="15" customFormat="false" ht="15" hidden="false" customHeight="true" outlineLevel="0" collapsed="false">
      <c r="A15" s="42" t="str">
        <f aca="false">IF(Scoring!A15="","",Scoring!A15)</f>
        <v>CRWD</v>
      </c>
      <c r="B15" s="67" t="str">
        <f aca="false">IF(Scoring!B15="","",Scoring!B15)</f>
        <v>CrowdStrike Holdings</v>
      </c>
      <c r="C15" s="42" t="str">
        <f aca="false">IF(Scoring!AG15="","",IF(OR(Scoring!AG15="STRONG BUY",Scoring!AG15="BUY"),"PASS","FAIL"))</f>
        <v>PASS</v>
      </c>
      <c r="D15" s="42" t="str">
        <f aca="false">IF(Scoring!AH15="","",IF(Scoring!AH15="OK","PASS","FAIL"))</f>
        <v>PASS</v>
      </c>
      <c r="E15" s="42" t="str">
        <f aca="false">IF(Scoring!AI15="","",IF(Scoring!AI15="OK","PASS","FAIL — mandatory review required"))</f>
        <v>PASS</v>
      </c>
      <c r="F15" s="22"/>
      <c r="G15" s="22"/>
      <c r="H15" s="42" t="str">
        <f aca="false">IF(OR(F15="",G15=""),"",IF(AND(F15="Y",G15="Y"),"Standard initial size","50% of normal initial size + 90-day technical review"))</f>
        <v/>
      </c>
      <c r="I15" s="22"/>
      <c r="J15" s="22"/>
      <c r="K15" s="42" t="str">
        <f aca="false">IF(I15="","",IF(I15="N","PASS",IF(J15="Y","PASS — risk documented in thesis","FAIL — undocumented binary risk")))</f>
        <v/>
      </c>
      <c r="L15" s="42" t="str">
        <f aca="false">IF('Implied-Return Calculator'!T16="","",'Implied-Return Calculator'!T16)</f>
        <v/>
      </c>
      <c r="M15" s="42" t="str">
        <f aca="false">IF('Implied-Return Calculator'!U16="","",'Implied-Return Calculator'!U16)</f>
        <v/>
      </c>
      <c r="N15" s="62"/>
      <c r="O15" s="68"/>
      <c r="P15" s="42" t="str">
        <f aca="false">IF(OR(N15="",O15=""),"",IF(N15&lt;=50,"PASS — within ceiling",IF(AND(O15&gt;0.3,L15="PASS"),"PASS — growth+bear case exception met","FAIL — exceeds 50x, exception not met")))</f>
        <v/>
      </c>
      <c r="Q15" s="42" t="str">
        <f aca="false">IF(OR(C15="",D15="",E15="",K15="",L15="",M15="",P15=""),"",IF(AND(C15="PASS",D15="PASS",LEFT(E15,4)="PASS",LEFT(K15,4)="PASS",L15="PASS",M15="OK",LEFT(P15,4)="PASS"),"YES","NO — see failing rule(s)"))</f>
        <v/>
      </c>
      <c r="R15" s="42" t="str">
        <f aca="false">IF(Q15="","",IF(Q15="YES","Initiate: "&amp;H15,"DO NOT ENTER — resolve failing Entry Rule(s) above first"))</f>
        <v/>
      </c>
    </row>
    <row r="16" customFormat="false" ht="15" hidden="false" customHeight="true" outlineLevel="0" collapsed="false">
      <c r="A16" s="42" t="str">
        <f aca="false">IF(Scoring!A16="","",Scoring!A16)</f>
        <v>KLAC</v>
      </c>
      <c r="B16" s="67" t="str">
        <f aca="false">IF(Scoring!B16="","",Scoring!B16)</f>
        <v>KLA Corporation</v>
      </c>
      <c r="C16" s="42" t="str">
        <f aca="false">IF(Scoring!AG16="","",IF(OR(Scoring!AG16="STRONG BUY",Scoring!AG16="BUY"),"PASS","FAIL"))</f>
        <v>PASS</v>
      </c>
      <c r="D16" s="42" t="str">
        <f aca="false">IF(Scoring!AH16="","",IF(Scoring!AH16="OK","PASS","FAIL"))</f>
        <v>PASS</v>
      </c>
      <c r="E16" s="42" t="str">
        <f aca="false">IF(Scoring!AI16="","",IF(Scoring!AI16="OK","PASS","FAIL — mandatory review required"))</f>
        <v>PASS</v>
      </c>
      <c r="F16" s="22"/>
      <c r="G16" s="22"/>
      <c r="H16" s="42" t="str">
        <f aca="false">IF(OR(F16="",G16=""),"",IF(AND(F16="Y",G16="Y"),"Standard initial size","50% of normal initial size + 90-day technical review"))</f>
        <v/>
      </c>
      <c r="I16" s="22"/>
      <c r="J16" s="22"/>
      <c r="K16" s="42" t="str">
        <f aca="false">IF(I16="","",IF(I16="N","PASS",IF(J16="Y","PASS — risk documented in thesis","FAIL — undocumented binary risk")))</f>
        <v/>
      </c>
      <c r="L16" s="42" t="str">
        <f aca="false">IF('Implied-Return Calculator'!T17="","",'Implied-Return Calculator'!T17)</f>
        <v/>
      </c>
      <c r="M16" s="42" t="str">
        <f aca="false">IF('Implied-Return Calculator'!U17="","",'Implied-Return Calculator'!U17)</f>
        <v/>
      </c>
      <c r="N16" s="62"/>
      <c r="O16" s="68"/>
      <c r="P16" s="42" t="str">
        <f aca="false">IF(OR(N16="",O16=""),"",IF(N16&lt;=50,"PASS — within ceiling",IF(AND(O16&gt;0.3,L16="PASS"),"PASS — growth+bear case exception met","FAIL — exceeds 50x, exception not met")))</f>
        <v/>
      </c>
      <c r="Q16" s="42" t="str">
        <f aca="false">IF(OR(C16="",D16="",E16="",K16="",L16="",M16="",P16=""),"",IF(AND(C16="PASS",D16="PASS",LEFT(E16,4)="PASS",LEFT(K16,4)="PASS",L16="PASS",M16="OK",LEFT(P16,4)="PASS"),"YES","NO — see failing rule(s)"))</f>
        <v/>
      </c>
      <c r="R16" s="42" t="str">
        <f aca="false">IF(Q16="","",IF(Q16="YES","Initiate: "&amp;H16,"DO NOT ENTER — resolve failing Entry Rule(s) above first"))</f>
        <v/>
      </c>
    </row>
    <row r="17" customFormat="false" ht="15" hidden="false" customHeight="true" outlineLevel="0" collapsed="false">
      <c r="A17" s="42" t="str">
        <f aca="false">IF(Scoring!A17="","",Scoring!A17)</f>
        <v>TSM</v>
      </c>
      <c r="B17" s="67" t="str">
        <f aca="false">IF(Scoring!B17="","",Scoring!B17)</f>
        <v>Taiwan Semiconductor Mfg.</v>
      </c>
      <c r="C17" s="42" t="str">
        <f aca="false">IF(Scoring!AG17="","",IF(OR(Scoring!AG17="STRONG BUY",Scoring!AG17="BUY"),"PASS","FAIL"))</f>
        <v>PASS</v>
      </c>
      <c r="D17" s="42" t="str">
        <f aca="false">IF(Scoring!AH17="","",IF(Scoring!AH17="OK","PASS","FAIL"))</f>
        <v>PASS</v>
      </c>
      <c r="E17" s="42" t="str">
        <f aca="false">IF(Scoring!AI17="","",IF(Scoring!AI17="OK","PASS","FAIL — mandatory review required"))</f>
        <v>PASS</v>
      </c>
      <c r="F17" s="22"/>
      <c r="G17" s="22"/>
      <c r="H17" s="42" t="str">
        <f aca="false">IF(OR(F17="",G17=""),"",IF(AND(F17="Y",G17="Y"),"Standard initial size","50% of normal initial size + 90-day technical review"))</f>
        <v/>
      </c>
      <c r="I17" s="22"/>
      <c r="J17" s="22"/>
      <c r="K17" s="42" t="str">
        <f aca="false">IF(I17="","",IF(I17="N","PASS",IF(J17="Y","PASS — risk documented in thesis","FAIL — undocumented binary risk")))</f>
        <v/>
      </c>
      <c r="L17" s="42" t="str">
        <f aca="false">IF('Implied-Return Calculator'!T18="","",'Implied-Return Calculator'!T18)</f>
        <v/>
      </c>
      <c r="M17" s="42" t="str">
        <f aca="false">IF('Implied-Return Calculator'!U18="","",'Implied-Return Calculator'!U18)</f>
        <v/>
      </c>
      <c r="N17" s="62"/>
      <c r="O17" s="68"/>
      <c r="P17" s="42" t="str">
        <f aca="false">IF(OR(N17="",O17=""),"",IF(N17&lt;=50,"PASS — within ceiling",IF(AND(O17&gt;0.3,L17="PASS"),"PASS — growth+bear case exception met","FAIL — exceeds 50x, exception not met")))</f>
        <v/>
      </c>
      <c r="Q17" s="42" t="str">
        <f aca="false">IF(OR(C17="",D17="",E17="",K17="",L17="",M17="",P17=""),"",IF(AND(C17="PASS",D17="PASS",LEFT(E17,4)="PASS",LEFT(K17,4)="PASS",L17="PASS",M17="OK",LEFT(P17,4)="PASS"),"YES","NO — see failing rule(s)"))</f>
        <v/>
      </c>
      <c r="R17" s="42" t="str">
        <f aca="false">IF(Q17="","",IF(Q17="YES","Initiate: "&amp;H17,"DO NOT ENTER — resolve failing Entry Rule(s) above first"))</f>
        <v/>
      </c>
    </row>
    <row r="18" customFormat="false" ht="15" hidden="false" customHeight="true" outlineLevel="0" collapsed="false">
      <c r="A18" s="42" t="str">
        <f aca="false">IF(Scoring!A18="","",Scoring!A18)</f>
        <v>VRT</v>
      </c>
      <c r="B18" s="67" t="str">
        <f aca="false">IF(Scoring!B18="","",Scoring!B18)</f>
        <v>Vertiv Holdings</v>
      </c>
      <c r="C18" s="42" t="str">
        <f aca="false">IF(Scoring!AG18="","",IF(OR(Scoring!AG18="STRONG BUY",Scoring!AG18="BUY"),"PASS","FAIL"))</f>
        <v>PASS</v>
      </c>
      <c r="D18" s="42" t="str">
        <f aca="false">IF(Scoring!AH18="","",IF(Scoring!AH18="OK","PASS","FAIL"))</f>
        <v>PASS</v>
      </c>
      <c r="E18" s="42" t="str">
        <f aca="false">IF(Scoring!AI18="","",IF(Scoring!AI18="OK","PASS","FAIL — mandatory review required"))</f>
        <v>PASS</v>
      </c>
      <c r="F18" s="22"/>
      <c r="G18" s="22"/>
      <c r="H18" s="42" t="str">
        <f aca="false">IF(OR(F18="",G18=""),"",IF(AND(F18="Y",G18="Y"),"Standard initial size","50% of normal initial size + 90-day technical review"))</f>
        <v/>
      </c>
      <c r="I18" s="22"/>
      <c r="J18" s="22"/>
      <c r="K18" s="42" t="str">
        <f aca="false">IF(I18="","",IF(I18="N","PASS",IF(J18="Y","PASS — risk documented in thesis","FAIL — undocumented binary risk")))</f>
        <v/>
      </c>
      <c r="L18" s="42" t="str">
        <f aca="false">IF('Implied-Return Calculator'!T19="","",'Implied-Return Calculator'!T19)</f>
        <v/>
      </c>
      <c r="M18" s="42" t="str">
        <f aca="false">IF('Implied-Return Calculator'!U19="","",'Implied-Return Calculator'!U19)</f>
        <v/>
      </c>
      <c r="N18" s="62"/>
      <c r="O18" s="68"/>
      <c r="P18" s="42" t="str">
        <f aca="false">IF(OR(N18="",O18=""),"",IF(N18&lt;=50,"PASS — within ceiling",IF(AND(O18&gt;0.3,L18="PASS"),"PASS — growth+bear case exception met","FAIL — exceeds 50x, exception not met")))</f>
        <v/>
      </c>
      <c r="Q18" s="42" t="str">
        <f aca="false">IF(OR(C18="",D18="",E18="",K18="",L18="",M18="",P18=""),"",IF(AND(C18="PASS",D18="PASS",LEFT(E18,4)="PASS",LEFT(K18,4)="PASS",L18="PASS",M18="OK",LEFT(P18,4)="PASS"),"YES","NO — see failing rule(s)"))</f>
        <v/>
      </c>
      <c r="R18" s="42" t="str">
        <f aca="false">IF(Q18="","",IF(Q18="YES","Initiate: "&amp;H18,"DO NOT ENTER — resolve failing Entry Rule(s) above first"))</f>
        <v/>
      </c>
    </row>
    <row r="19" customFormat="false" ht="15" hidden="false" customHeight="true" outlineLevel="0" collapsed="false">
      <c r="A19" s="42" t="str">
        <f aca="false">IF(Scoring!A19="","",Scoring!A19)</f>
        <v>COST</v>
      </c>
      <c r="B19" s="67" t="str">
        <f aca="false">IF(Scoring!B19="","",Scoring!B19)</f>
        <v>Costco Wholesale Corp.</v>
      </c>
      <c r="C19" s="42" t="str">
        <f aca="false">IF(Scoring!AG19="","",IF(OR(Scoring!AG19="STRONG BUY",Scoring!AG19="BUY"),"PASS","FAIL"))</f>
        <v>PASS</v>
      </c>
      <c r="D19" s="42" t="str">
        <f aca="false">IF(Scoring!AH19="","",IF(Scoring!AH19="OK","PASS","FAIL"))</f>
        <v>PASS</v>
      </c>
      <c r="E19" s="42" t="str">
        <f aca="false">IF(Scoring!AI19="","",IF(Scoring!AI19="OK","PASS","FAIL — mandatory review required"))</f>
        <v>PASS</v>
      </c>
      <c r="F19" s="22"/>
      <c r="G19" s="22"/>
      <c r="H19" s="42" t="str">
        <f aca="false">IF(OR(F19="",G19=""),"",IF(AND(F19="Y",G19="Y"),"Standard initial size","50% of normal initial size + 90-day technical review"))</f>
        <v/>
      </c>
      <c r="I19" s="22"/>
      <c r="J19" s="22"/>
      <c r="K19" s="42" t="str">
        <f aca="false">IF(I19="","",IF(I19="N","PASS",IF(J19="Y","PASS — risk documented in thesis","FAIL — undocumented binary risk")))</f>
        <v/>
      </c>
      <c r="L19" s="42" t="str">
        <f aca="false">IF('Implied-Return Calculator'!T20="","",'Implied-Return Calculator'!T20)</f>
        <v/>
      </c>
      <c r="M19" s="42" t="str">
        <f aca="false">IF('Implied-Return Calculator'!U20="","",'Implied-Return Calculator'!U20)</f>
        <v/>
      </c>
      <c r="N19" s="62"/>
      <c r="O19" s="68"/>
      <c r="P19" s="42" t="str">
        <f aca="false">IF(OR(N19="",O19=""),"",IF(N19&lt;=50,"PASS — within ceiling",IF(AND(O19&gt;0.3,L19="PASS"),"PASS — growth+bear case exception met","FAIL — exceeds 50x, exception not met")))</f>
        <v/>
      </c>
      <c r="Q19" s="42" t="str">
        <f aca="false">IF(OR(C19="",D19="",E19="",K19="",L19="",M19="",P19=""),"",IF(AND(C19="PASS",D19="PASS",LEFT(E19,4)="PASS",LEFT(K19,4)="PASS",L19="PASS",M19="OK",LEFT(P19,4)="PASS"),"YES","NO — see failing rule(s)"))</f>
        <v/>
      </c>
      <c r="R19" s="42" t="str">
        <f aca="false">IF(Q19="","",IF(Q19="YES","Initiate: "&amp;H19,"DO NOT ENTER — resolve failing Entry Rule(s) above first"))</f>
        <v/>
      </c>
    </row>
    <row r="20" customFormat="false" ht="15" hidden="false" customHeight="true" outlineLevel="0" collapsed="false">
      <c r="A20" s="42" t="str">
        <f aca="false">IF(Scoring!A20="","",Scoring!A20)</f>
        <v>V</v>
      </c>
      <c r="B20" s="67" t="str">
        <f aca="false">IF(Scoring!B20="","",Scoring!B20)</f>
        <v>Visa Inc.</v>
      </c>
      <c r="C20" s="42" t="str">
        <f aca="false">IF(Scoring!AG20="","",IF(OR(Scoring!AG20="STRONG BUY",Scoring!AG20="BUY"),"PASS","FAIL"))</f>
        <v>PASS</v>
      </c>
      <c r="D20" s="42" t="str">
        <f aca="false">IF(Scoring!AH20="","",IF(Scoring!AH20="OK","PASS","FAIL"))</f>
        <v>PASS</v>
      </c>
      <c r="E20" s="42" t="str">
        <f aca="false">IF(Scoring!AI20="","",IF(Scoring!AI20="OK","PASS","FAIL — mandatory review required"))</f>
        <v>PASS</v>
      </c>
      <c r="F20" s="22"/>
      <c r="G20" s="22"/>
      <c r="H20" s="42" t="str">
        <f aca="false">IF(OR(F20="",G20=""),"",IF(AND(F20="Y",G20="Y"),"Standard initial size","50% of normal initial size + 90-day technical review"))</f>
        <v/>
      </c>
      <c r="I20" s="22"/>
      <c r="J20" s="22"/>
      <c r="K20" s="42" t="str">
        <f aca="false">IF(I20="","",IF(I20="N","PASS",IF(J20="Y","PASS — risk documented in thesis","FAIL — undocumented binary risk")))</f>
        <v/>
      </c>
      <c r="L20" s="42" t="str">
        <f aca="false">IF('Implied-Return Calculator'!T21="","",'Implied-Return Calculator'!T21)</f>
        <v/>
      </c>
      <c r="M20" s="42" t="str">
        <f aca="false">IF('Implied-Return Calculator'!U21="","",'Implied-Return Calculator'!U21)</f>
        <v/>
      </c>
      <c r="N20" s="62"/>
      <c r="O20" s="68"/>
      <c r="P20" s="42" t="str">
        <f aca="false">IF(OR(N20="",O20=""),"",IF(N20&lt;=50,"PASS — within ceiling",IF(AND(O20&gt;0.3,L20="PASS"),"PASS — growth+bear case exception met","FAIL — exceeds 50x, exception not met")))</f>
        <v/>
      </c>
      <c r="Q20" s="42" t="str">
        <f aca="false">IF(OR(C20="",D20="",E20="",K20="",L20="",M20="",P20=""),"",IF(AND(C20="PASS",D20="PASS",LEFT(E20,4)="PASS",LEFT(K20,4)="PASS",L20="PASS",M20="OK",LEFT(P20,4)="PASS"),"YES","NO — see failing rule(s)"))</f>
        <v/>
      </c>
      <c r="R20" s="42" t="str">
        <f aca="false">IF(Q20="","",IF(Q20="YES","Initiate: "&amp;H20,"DO NOT ENTER — resolve failing Entry Rule(s) above first"))</f>
        <v/>
      </c>
    </row>
    <row r="21" customFormat="false" ht="15" hidden="false" customHeight="true" outlineLevel="0" collapsed="false">
      <c r="A21" s="42" t="str">
        <f aca="false">IF(Scoring!A21="","",Scoring!A21)</f>
        <v>NEE</v>
      </c>
      <c r="B21" s="67" t="str">
        <f aca="false">IF(Scoring!B21="","",Scoring!B21)</f>
        <v>NextEra Energy Inc.</v>
      </c>
      <c r="C21" s="42" t="str">
        <f aca="false">IF(Scoring!AG21="","",IF(OR(Scoring!AG21="STRONG BUY",Scoring!AG21="BUY"),"PASS","FAIL"))</f>
        <v/>
      </c>
      <c r="D21" s="42" t="str">
        <f aca="false">IF(Scoring!AH21="","",IF(Scoring!AH21="OK","PASS","FAIL"))</f>
        <v>FAIL</v>
      </c>
      <c r="E21" s="42" t="str">
        <f aca="false">IF(Scoring!AI21="","",IF(Scoring!AI21="OK","PASS","FAIL — mandatory review required"))</f>
        <v>FAIL — mandatory review required</v>
      </c>
      <c r="F21" s="22"/>
      <c r="G21" s="22"/>
      <c r="H21" s="42" t="str">
        <f aca="false">IF(OR(F21="",G21=""),"",IF(AND(F21="Y",G21="Y"),"Standard initial size","50% of normal initial size + 90-day technical review"))</f>
        <v/>
      </c>
      <c r="I21" s="22"/>
      <c r="J21" s="22"/>
      <c r="K21" s="42" t="str">
        <f aca="false">IF(I21="","",IF(I21="N","PASS",IF(J21="Y","PASS — risk documented in thesis","FAIL — undocumented binary risk")))</f>
        <v/>
      </c>
      <c r="L21" s="42" t="str">
        <f aca="false">IF('Implied-Return Calculator'!T22="","",'Implied-Return Calculator'!T22)</f>
        <v/>
      </c>
      <c r="M21" s="42" t="str">
        <f aca="false">IF('Implied-Return Calculator'!U22="","",'Implied-Return Calculator'!U22)</f>
        <v/>
      </c>
      <c r="N21" s="62"/>
      <c r="O21" s="68"/>
      <c r="P21" s="42" t="str">
        <f aca="false">IF(OR(N21="",O21=""),"",IF(N21&lt;=50,"PASS — within ceiling",IF(AND(O21&gt;0.3,L21="PASS"),"PASS — growth+bear case exception met","FAIL — exceeds 50x, exception not met")))</f>
        <v/>
      </c>
      <c r="Q21" s="42" t="str">
        <f aca="false">IF(OR(C21="",D21="",E21="",K21="",L21="",M21="",P21=""),"",IF(AND(C21="PASS",D21="PASS",LEFT(E21,4)="PASS",LEFT(K21,4)="PASS",L21="PASS",M21="OK",LEFT(P21,4)="PASS"),"YES","NO — see failing rule(s)"))</f>
        <v/>
      </c>
      <c r="R21" s="42" t="str">
        <f aca="false">IF(Q21="","",IF(Q21="YES","Initiate: "&amp;H21,"DO NOT ENTER — resolve failing Entry Rule(s) above first"))</f>
        <v/>
      </c>
    </row>
    <row r="22" customFormat="false" ht="15" hidden="false" customHeight="true" outlineLevel="0" collapsed="false">
      <c r="A22" s="42" t="str">
        <f aca="false">IF(Scoring!A22="","",Scoring!A22)</f>
        <v>CRK</v>
      </c>
      <c r="B22" s="67" t="str">
        <f aca="false">IF(Scoring!B22="","",Scoring!B22)</f>
        <v>Comstock Resources Inc.</v>
      </c>
      <c r="C22" s="42" t="str">
        <f aca="false">IF(Scoring!AG22="","",IF(OR(Scoring!AG22="STRONG BUY",Scoring!AG22="BUY"),"PASS","FAIL"))</f>
        <v/>
      </c>
      <c r="D22" s="42" t="str">
        <f aca="false">IF(Scoring!AH22="","",IF(Scoring!AH22="OK","PASS","FAIL"))</f>
        <v>FAIL</v>
      </c>
      <c r="E22" s="42" t="str">
        <f aca="false">IF(Scoring!AI22="","",IF(Scoring!AI22="OK","PASS","FAIL — mandatory review required"))</f>
        <v>FAIL — mandatory review required</v>
      </c>
      <c r="F22" s="22"/>
      <c r="G22" s="22"/>
      <c r="H22" s="42" t="str">
        <f aca="false">IF(OR(F22="",G22=""),"",IF(AND(F22="Y",G22="Y"),"Standard initial size","50% of normal initial size + 90-day technical review"))</f>
        <v/>
      </c>
      <c r="I22" s="22"/>
      <c r="J22" s="22"/>
      <c r="K22" s="42" t="str">
        <f aca="false">IF(I22="","",IF(I22="N","PASS",IF(J22="Y","PASS — risk documented in thesis","FAIL — undocumented binary risk")))</f>
        <v/>
      </c>
      <c r="L22" s="42" t="str">
        <f aca="false">IF('Implied-Return Calculator'!T23="","",'Implied-Return Calculator'!T23)</f>
        <v/>
      </c>
      <c r="M22" s="42" t="str">
        <f aca="false">IF('Implied-Return Calculator'!U23="","",'Implied-Return Calculator'!U23)</f>
        <v/>
      </c>
      <c r="N22" s="62"/>
      <c r="O22" s="68"/>
      <c r="P22" s="42" t="str">
        <f aca="false">IF(OR(N22="",O22=""),"",IF(N22&lt;=50,"PASS — within ceiling",IF(AND(O22&gt;0.3,L22="PASS"),"PASS — growth+bear case exception met","FAIL — exceeds 50x, exception not met")))</f>
        <v/>
      </c>
      <c r="Q22" s="42" t="str">
        <f aca="false">IF(OR(C22="",D22="",E22="",K22="",L22="",M22="",P22=""),"",IF(AND(C22="PASS",D22="PASS",LEFT(E22,4)="PASS",LEFT(K22,4)="PASS",L22="PASS",M22="OK",LEFT(P22,4)="PASS"),"YES","NO — see failing rule(s)"))</f>
        <v/>
      </c>
      <c r="R22" s="42" t="str">
        <f aca="false">IF(Q22="","",IF(Q22="YES","Initiate: "&amp;H22,"DO NOT ENTER — resolve failing Entry Rule(s) above first"))</f>
        <v/>
      </c>
    </row>
    <row r="23" customFormat="false" ht="15" hidden="false" customHeight="true" outlineLevel="0" collapsed="false">
      <c r="A23" s="42" t="str">
        <f aca="false">IF(Scoring!A23="","",Scoring!A23)</f>
        <v>ET</v>
      </c>
      <c r="B23" s="67" t="str">
        <f aca="false">IF(Scoring!B23="","",Scoring!B23)</f>
        <v>Energy Transfer LP</v>
      </c>
      <c r="C23" s="42" t="str">
        <f aca="false">IF(Scoring!AG23="","",IF(OR(Scoring!AG23="STRONG BUY",Scoring!AG23="BUY"),"PASS","FAIL"))</f>
        <v/>
      </c>
      <c r="D23" s="42" t="str">
        <f aca="false">IF(Scoring!AH23="","",IF(Scoring!AH23="OK","PASS","FAIL"))</f>
        <v>PASS</v>
      </c>
      <c r="E23" s="42" t="str">
        <f aca="false">IF(Scoring!AI23="","",IF(Scoring!AI23="OK","PASS","FAIL — mandatory review required"))</f>
        <v>PASS</v>
      </c>
      <c r="F23" s="22"/>
      <c r="G23" s="22"/>
      <c r="H23" s="42" t="str">
        <f aca="false">IF(OR(F23="",G23=""),"",IF(AND(F23="Y",G23="Y"),"Standard initial size","50% of normal initial size + 90-day technical review"))</f>
        <v/>
      </c>
      <c r="I23" s="22"/>
      <c r="J23" s="22"/>
      <c r="K23" s="42" t="str">
        <f aca="false">IF(I23="","",IF(I23="N","PASS",IF(J23="Y","PASS — risk documented in thesis","FAIL — undocumented binary risk")))</f>
        <v/>
      </c>
      <c r="L23" s="42" t="str">
        <f aca="false">IF('Implied-Return Calculator'!T24="","",'Implied-Return Calculator'!T24)</f>
        <v/>
      </c>
      <c r="M23" s="42" t="str">
        <f aca="false">IF('Implied-Return Calculator'!U24="","",'Implied-Return Calculator'!U24)</f>
        <v/>
      </c>
      <c r="N23" s="62"/>
      <c r="O23" s="68"/>
      <c r="P23" s="42" t="str">
        <f aca="false">IF(OR(N23="",O23=""),"",IF(N23&lt;=50,"PASS — within ceiling",IF(AND(O23&gt;0.3,L23="PASS"),"PASS — growth+bear case exception met","FAIL — exceeds 50x, exception not met")))</f>
        <v/>
      </c>
      <c r="Q23" s="42" t="str">
        <f aca="false">IF(OR(C23="",D23="",E23="",K23="",L23="",M23="",P23=""),"",IF(AND(C23="PASS",D23="PASS",LEFT(E23,4)="PASS",LEFT(K23,4)="PASS",L23="PASS",M23="OK",LEFT(P23,4)="PASS"),"YES","NO — see failing rule(s)"))</f>
        <v/>
      </c>
      <c r="R23" s="42" t="str">
        <f aca="false">IF(Q23="","",IF(Q23="YES","Initiate: "&amp;H23,"DO NOT ENTER — resolve failing Entry Rule(s) above first"))</f>
        <v/>
      </c>
    </row>
    <row r="24" customFormat="false" ht="15" hidden="false" customHeight="true" outlineLevel="0" collapsed="false">
      <c r="A24" s="42" t="str">
        <f aca="false">IF(Scoring!A24="","",Scoring!A24)</f>
        <v>LBRT</v>
      </c>
      <c r="B24" s="67" t="str">
        <f aca="false">IF(Scoring!B24="","",Scoring!B24)</f>
        <v>Liberty Energy Inc.</v>
      </c>
      <c r="C24" s="42" t="str">
        <f aca="false">IF(Scoring!AG24="","",IF(OR(Scoring!AG24="STRONG BUY",Scoring!AG24="BUY"),"PASS","FAIL"))</f>
        <v/>
      </c>
      <c r="D24" s="42" t="str">
        <f aca="false">IF(Scoring!AH24="","",IF(Scoring!AH24="OK","PASS","FAIL"))</f>
        <v>FAIL</v>
      </c>
      <c r="E24" s="42" t="str">
        <f aca="false">IF(Scoring!AI24="","",IF(Scoring!AI24="OK","PASS","FAIL — mandatory review required"))</f>
        <v>FAIL — mandatory review required</v>
      </c>
      <c r="F24" s="22"/>
      <c r="G24" s="22"/>
      <c r="H24" s="42" t="str">
        <f aca="false">IF(OR(F24="",G24=""),"",IF(AND(F24="Y",G24="Y"),"Standard initial size","50% of normal initial size + 90-day technical review"))</f>
        <v/>
      </c>
      <c r="I24" s="22"/>
      <c r="J24" s="22"/>
      <c r="K24" s="42" t="str">
        <f aca="false">IF(I24="","",IF(I24="N","PASS",IF(J24="Y","PASS — risk documented in thesis","FAIL — undocumented binary risk")))</f>
        <v/>
      </c>
      <c r="L24" s="42" t="str">
        <f aca="false">IF('Implied-Return Calculator'!T25="","",'Implied-Return Calculator'!T25)</f>
        <v/>
      </c>
      <c r="M24" s="42" t="str">
        <f aca="false">IF('Implied-Return Calculator'!U25="","",'Implied-Return Calculator'!U25)</f>
        <v/>
      </c>
      <c r="N24" s="62"/>
      <c r="O24" s="68"/>
      <c r="P24" s="42" t="str">
        <f aca="false">IF(OR(N24="",O24=""),"",IF(N24&lt;=50,"PASS — within ceiling",IF(AND(O24&gt;0.3,L24="PASS"),"PASS — growth+bear case exception met","FAIL — exceeds 50x, exception not met")))</f>
        <v/>
      </c>
      <c r="Q24" s="42" t="str">
        <f aca="false">IF(OR(C24="",D24="",E24="",K24="",L24="",M24="",P24=""),"",IF(AND(C24="PASS",D24="PASS",LEFT(E24,4)="PASS",LEFT(K24,4)="PASS",L24="PASS",M24="OK",LEFT(P24,4)="PASS"),"YES","NO — see failing rule(s)"))</f>
        <v/>
      </c>
      <c r="R24" s="42" t="str">
        <f aca="false">IF(Q24="","",IF(Q24="YES","Initiate: "&amp;H24,"DO NOT ENTER — resolve failing Entry Rule(s) above first"))</f>
        <v/>
      </c>
    </row>
    <row r="25" customFormat="false" ht="15" hidden="false" customHeight="true" outlineLevel="0" collapsed="false">
      <c r="A25" s="42" t="str">
        <f aca="false">IF(Scoring!A25="","",Scoring!A25)</f>
        <v>NOV</v>
      </c>
      <c r="B25" s="67" t="str">
        <f aca="false">IF(Scoring!B25="","",Scoring!B25)</f>
        <v>NOV Inc.</v>
      </c>
      <c r="C25" s="42" t="str">
        <f aca="false">IF(Scoring!AG25="","",IF(OR(Scoring!AG25="STRONG BUY",Scoring!AG25="BUY"),"PASS","FAIL"))</f>
        <v/>
      </c>
      <c r="D25" s="42" t="str">
        <f aca="false">IF(Scoring!AH25="","",IF(Scoring!AH25="OK","PASS","FAIL"))</f>
        <v>FAIL</v>
      </c>
      <c r="E25" s="42" t="str">
        <f aca="false">IF(Scoring!AI25="","",IF(Scoring!AI25="OK","PASS","FAIL — mandatory review required"))</f>
        <v>PASS</v>
      </c>
      <c r="F25" s="22"/>
      <c r="G25" s="22"/>
      <c r="H25" s="42" t="str">
        <f aca="false">IF(OR(F25="",G25=""),"",IF(AND(F25="Y",G25="Y"),"Standard initial size","50% of normal initial size + 90-day technical review"))</f>
        <v/>
      </c>
      <c r="I25" s="22"/>
      <c r="J25" s="22"/>
      <c r="K25" s="42" t="str">
        <f aca="false">IF(I25="","",IF(I25="N","PASS",IF(J25="Y","PASS — risk documented in thesis","FAIL — undocumented binary risk")))</f>
        <v/>
      </c>
      <c r="L25" s="42" t="str">
        <f aca="false">IF('Implied-Return Calculator'!T26="","",'Implied-Return Calculator'!T26)</f>
        <v/>
      </c>
      <c r="M25" s="42" t="str">
        <f aca="false">IF('Implied-Return Calculator'!U26="","",'Implied-Return Calculator'!U26)</f>
        <v/>
      </c>
      <c r="N25" s="62"/>
      <c r="O25" s="68"/>
      <c r="P25" s="42" t="str">
        <f aca="false">IF(OR(N25="",O25=""),"",IF(N25&lt;=50,"PASS — within ceiling",IF(AND(O25&gt;0.3,L25="PASS"),"PASS — growth+bear case exception met","FAIL — exceeds 50x, exception not met")))</f>
        <v/>
      </c>
      <c r="Q25" s="42" t="str">
        <f aca="false">IF(OR(C25="",D25="",E25="",K25="",L25="",M25="",P25=""),"",IF(AND(C25="PASS",D25="PASS",LEFT(E25,4)="PASS",LEFT(K25,4)="PASS",L25="PASS",M25="OK",LEFT(P25,4)="PASS"),"YES","NO — see failing rule(s)"))</f>
        <v/>
      </c>
      <c r="R25" s="42" t="str">
        <f aca="false">IF(Q25="","",IF(Q25="YES","Initiate: "&amp;H25,"DO NOT ENTER — resolve failing Entry Rule(s) above first"))</f>
        <v/>
      </c>
    </row>
    <row r="26" customFormat="false" ht="15" hidden="false" customHeight="true" outlineLevel="0" collapsed="false">
      <c r="A26" s="42" t="str">
        <f aca="false">IF(Scoring!A26="","",Scoring!A26)</f>
        <v>CE</v>
      </c>
      <c r="B26" s="67" t="str">
        <f aca="false">IF(Scoring!B26="","",Scoring!B26)</f>
        <v>Celanese Corp.</v>
      </c>
      <c r="C26" s="42" t="str">
        <f aca="false">IF(Scoring!AG26="","",IF(OR(Scoring!AG26="STRONG BUY",Scoring!AG26="BUY"),"PASS","FAIL"))</f>
        <v/>
      </c>
      <c r="D26" s="42" t="str">
        <f aca="false">IF(Scoring!AH26="","",IF(Scoring!AH26="OK","PASS","FAIL"))</f>
        <v>FAIL</v>
      </c>
      <c r="E26" s="42" t="str">
        <f aca="false">IF(Scoring!AI26="","",IF(Scoring!AI26="OK","PASS","FAIL — mandatory review required"))</f>
        <v>FAIL — mandatory review required</v>
      </c>
      <c r="F26" s="22"/>
      <c r="G26" s="22"/>
      <c r="H26" s="42" t="str">
        <f aca="false">IF(OR(F26="",G26=""),"",IF(AND(F26="Y",G26="Y"),"Standard initial size","50% of normal initial size + 90-day technical review"))</f>
        <v/>
      </c>
      <c r="I26" s="22"/>
      <c r="J26" s="22"/>
      <c r="K26" s="42" t="str">
        <f aca="false">IF(I26="","",IF(I26="N","PASS",IF(J26="Y","PASS — risk documented in thesis","FAIL — undocumented binary risk")))</f>
        <v/>
      </c>
      <c r="L26" s="42" t="str">
        <f aca="false">IF('Implied-Return Calculator'!T27="","",'Implied-Return Calculator'!T27)</f>
        <v/>
      </c>
      <c r="M26" s="42" t="str">
        <f aca="false">IF('Implied-Return Calculator'!U27="","",'Implied-Return Calculator'!U27)</f>
        <v/>
      </c>
      <c r="N26" s="62"/>
      <c r="O26" s="68"/>
      <c r="P26" s="42" t="str">
        <f aca="false">IF(OR(N26="",O26=""),"",IF(N26&lt;=50,"PASS — within ceiling",IF(AND(O26&gt;0.3,L26="PASS"),"PASS — growth+bear case exception met","FAIL — exceeds 50x, exception not met")))</f>
        <v/>
      </c>
      <c r="Q26" s="42" t="str">
        <f aca="false">IF(OR(C26="",D26="",E26="",K26="",L26="",M26="",P26=""),"",IF(AND(C26="PASS",D26="PASS",LEFT(E26,4)="PASS",LEFT(K26,4)="PASS",L26="PASS",M26="OK",LEFT(P26,4)="PASS"),"YES","NO — see failing rule(s)"))</f>
        <v/>
      </c>
      <c r="R26" s="42" t="str">
        <f aca="false">IF(Q26="","",IF(Q26="YES","Initiate: "&amp;H26,"DO NOT ENTER — resolve failing Entry Rule(s) above first"))</f>
        <v/>
      </c>
    </row>
    <row r="27" customFormat="false" ht="15" hidden="false" customHeight="true" outlineLevel="0" collapsed="false">
      <c r="A27" s="42" t="str">
        <f aca="false">IF(Scoring!A27="","",Scoring!A27)</f>
        <v>CLF</v>
      </c>
      <c r="B27" s="67" t="str">
        <f aca="false">IF(Scoring!B27="","",Scoring!B27)</f>
        <v>Cleveland-Cliffs Inc.</v>
      </c>
      <c r="C27" s="42" t="str">
        <f aca="false">IF(Scoring!AG27="","",IF(OR(Scoring!AG27="STRONG BUY",Scoring!AG27="BUY"),"PASS","FAIL"))</f>
        <v/>
      </c>
      <c r="D27" s="42" t="str">
        <f aca="false">IF(Scoring!AH27="","",IF(Scoring!AH27="OK","PASS","FAIL"))</f>
        <v>FAIL</v>
      </c>
      <c r="E27" s="42" t="str">
        <f aca="false">IF(Scoring!AI27="","",IF(Scoring!AI27="OK","PASS","FAIL — mandatory review required"))</f>
        <v>FAIL — mandatory review required</v>
      </c>
      <c r="F27" s="22"/>
      <c r="G27" s="22"/>
      <c r="H27" s="42" t="str">
        <f aca="false">IF(OR(F27="",G27=""),"",IF(AND(F27="Y",G27="Y"),"Standard initial size","50% of normal initial size + 90-day technical review"))</f>
        <v/>
      </c>
      <c r="I27" s="22"/>
      <c r="J27" s="22"/>
      <c r="K27" s="42" t="str">
        <f aca="false">IF(I27="","",IF(I27="N","PASS",IF(J27="Y","PASS — risk documented in thesis","FAIL — undocumented binary risk")))</f>
        <v/>
      </c>
      <c r="L27" s="42" t="str">
        <f aca="false">IF('Implied-Return Calculator'!T28="","",'Implied-Return Calculator'!T28)</f>
        <v/>
      </c>
      <c r="M27" s="42" t="str">
        <f aca="false">IF('Implied-Return Calculator'!U28="","",'Implied-Return Calculator'!U28)</f>
        <v/>
      </c>
      <c r="N27" s="62"/>
      <c r="O27" s="68"/>
      <c r="P27" s="42" t="str">
        <f aca="false">IF(OR(N27="",O27=""),"",IF(N27&lt;=50,"PASS — within ceiling",IF(AND(O27&gt;0.3,L27="PASS"),"PASS — growth+bear case exception met","FAIL — exceeds 50x, exception not met")))</f>
        <v/>
      </c>
      <c r="Q27" s="42" t="str">
        <f aca="false">IF(OR(C27="",D27="",E27="",K27="",L27="",M27="",P27=""),"",IF(AND(C27="PASS",D27="PASS",LEFT(E27,4)="PASS",LEFT(K27,4)="PASS",L27="PASS",M27="OK",LEFT(P27,4)="PASS"),"YES","NO — see failing rule(s)"))</f>
        <v/>
      </c>
      <c r="R27" s="42" t="str">
        <f aca="false">IF(Q27="","",IF(Q27="YES","Initiate: "&amp;H27,"DO NOT ENTER — resolve failing Entry Rule(s) above first"))</f>
        <v/>
      </c>
    </row>
  </sheetData>
  <mergeCells count="1">
    <mergeCell ref="A1:R1"/>
  </mergeCells>
  <conditionalFormatting sqref="C3:C27">
    <cfRule type="cellIs" priority="2" operator="equal" aboveAverage="0" equalAverage="0" bottom="0" percent="0" rank="0" text="" dxfId="20">
      <formula>"PASS"</formula>
    </cfRule>
    <cfRule type="cellIs" priority="3" operator="equal" aboveAverage="0" equalAverage="0" bottom="0" percent="0" rank="0" text="" dxfId="0">
      <formula>"FAIL"</formula>
    </cfRule>
  </conditionalFormatting>
  <conditionalFormatting sqref="D3:D27">
    <cfRule type="cellIs" priority="4" operator="equal" aboveAverage="0" equalAverage="0" bottom="0" percent="0" rank="0" text="" dxfId="20">
      <formula>"PASS"</formula>
    </cfRule>
    <cfRule type="cellIs" priority="5" operator="equal" aboveAverage="0" equalAverage="0" bottom="0" percent="0" rank="0" text="" dxfId="0">
      <formula>"FAIL"</formula>
    </cfRule>
  </conditionalFormatting>
  <conditionalFormatting sqref="E3:E27">
    <cfRule type="expression" priority="6" aboveAverage="0" equalAverage="0" bottom="0" percent="0" rank="0" text="" dxfId="20">
      <formula>LEFT(E3,4)="PASS"</formula>
    </cfRule>
    <cfRule type="expression" priority="7" aboveAverage="0" equalAverage="0" bottom="0" percent="0" rank="0" text="" dxfId="0">
      <formula>LEFT(E3,4)="FAIL"</formula>
    </cfRule>
  </conditionalFormatting>
  <conditionalFormatting sqref="K3:K27">
    <cfRule type="expression" priority="8" aboveAverage="0" equalAverage="0" bottom="0" percent="0" rank="0" text="" dxfId="20">
      <formula>LEFT(K3,4)="PASS"</formula>
    </cfRule>
    <cfRule type="expression" priority="9" aboveAverage="0" equalAverage="0" bottom="0" percent="0" rank="0" text="" dxfId="0">
      <formula>LEFT(K3,4)="FAIL"</formula>
    </cfRule>
  </conditionalFormatting>
  <conditionalFormatting sqref="P3:P27">
    <cfRule type="expression" priority="10" aboveAverage="0" equalAverage="0" bottom="0" percent="0" rank="0" text="" dxfId="20">
      <formula>LEFT(P3,4)="PASS"</formula>
    </cfRule>
    <cfRule type="expression" priority="11" aboveAverage="0" equalAverage="0" bottom="0" percent="0" rank="0" text="" dxfId="0">
      <formula>LEFT(P3,4)="FAIL"</formula>
    </cfRule>
  </conditionalFormatting>
  <conditionalFormatting sqref="L3:L27">
    <cfRule type="cellIs" priority="12" operator="equal" aboveAverage="0" equalAverage="0" bottom="0" percent="0" rank="0" text="" dxfId="20">
      <formula>"PASS"</formula>
    </cfRule>
    <cfRule type="cellIs" priority="13" operator="equal" aboveAverage="0" equalAverage="0" bottom="0" percent="0" rank="0" text="" dxfId="0">
      <formula>"FAIL"</formula>
    </cfRule>
  </conditionalFormatting>
  <conditionalFormatting sqref="M3:M27">
    <cfRule type="cellIs" priority="14" operator="equal" aboveAverage="0" equalAverage="0" bottom="0" percent="0" rank="0" text="" dxfId="20">
      <formula>"OK"</formula>
    </cfRule>
    <cfRule type="cellIs" priority="15" operator="equal" aboveAverage="0" equalAverage="0" bottom="0" percent="0" rank="0" text="" dxfId="0">
      <formula>"CHECK TAGS"</formula>
    </cfRule>
  </conditionalFormatting>
  <conditionalFormatting sqref="Q3:Q27">
    <cfRule type="cellIs" priority="16" operator="equal" aboveAverage="0" equalAverage="0" bottom="0" percent="0" rank="0" text="" dxfId="20">
      <formula>"YES"</formula>
    </cfRule>
    <cfRule type="expression" priority="17" aboveAverage="0" equalAverage="0" bottom="0" percent="0" rank="0" text="" dxfId="0">
      <formula>LEFT(Q3,2)="NO"</formula>
    </cfRule>
  </conditionalFormatting>
  <conditionalFormatting sqref="H3:H27">
    <cfRule type="cellIs" priority="18" operator="equal" aboveAverage="0" equalAverage="0" bottom="0" percent="0" rank="0" text="" dxfId="20">
      <formula>"Standard initial size"</formula>
    </cfRule>
    <cfRule type="expression" priority="19" aboveAverage="0" equalAverage="0" bottom="0" percent="0" rank="0" text="" dxfId="1">
      <formula>ISNUMBER(SEARCH("50%",H3))</formula>
    </cfRule>
  </conditionalFormatting>
  <dataValidations count="1">
    <dataValidation allowBlank="true" errorStyle="stop" operator="between" showDropDown="false" showErrorMessage="false" showInputMessage="false" sqref="F3:G27 I3:J27"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 min="2" style="1" width="20"/>
    <col collapsed="false" customWidth="true" hidden="false" outlineLevel="0" max="3" min="3" style="1" width="11"/>
    <col collapsed="false" customWidth="true" hidden="false" outlineLevel="0" max="4" min="4" style="1" width="13"/>
    <col collapsed="false" customWidth="true" hidden="false" outlineLevel="0" max="5" min="5" style="1" width="15"/>
    <col collapsed="false" customWidth="true" hidden="false" outlineLevel="0" max="6" min="6" style="1" width="9"/>
    <col collapsed="false" customWidth="true" hidden="false" outlineLevel="0" max="8" min="7" style="1" width="11"/>
    <col collapsed="false" customWidth="true" hidden="false" outlineLevel="0" max="9" min="9" style="1" width="12"/>
  </cols>
  <sheetData>
    <row r="1" customFormat="false" ht="15" hidden="false" customHeight="true" outlineLevel="0" collapsed="false">
      <c r="A1" s="69" t="s">
        <v>299</v>
      </c>
      <c r="B1" s="69"/>
      <c r="C1" s="69"/>
      <c r="D1" s="69"/>
      <c r="E1" s="69"/>
      <c r="F1" s="69"/>
      <c r="G1" s="69"/>
      <c r="H1" s="69"/>
      <c r="I1" s="69"/>
    </row>
    <row r="2" customFormat="false" ht="25.5" hidden="false" customHeight="true" outlineLevel="0" collapsed="false">
      <c r="A2" s="46" t="s">
        <v>74</v>
      </c>
      <c r="B2" s="46" t="s">
        <v>185</v>
      </c>
      <c r="C2" s="46" t="s">
        <v>78</v>
      </c>
      <c r="D2" s="46" t="s">
        <v>300</v>
      </c>
      <c r="E2" s="46" t="s">
        <v>301</v>
      </c>
      <c r="F2" s="46" t="s">
        <v>302</v>
      </c>
      <c r="G2" s="46" t="s">
        <v>303</v>
      </c>
      <c r="H2" s="46" t="s">
        <v>304</v>
      </c>
      <c r="I2" s="46" t="s">
        <v>305</v>
      </c>
    </row>
    <row r="3" customFormat="false" ht="15" hidden="false" customHeight="true" outlineLevel="0" collapsed="false">
      <c r="A3" s="63"/>
      <c r="B3" s="63"/>
      <c r="C3" s="70"/>
      <c r="D3" s="71"/>
      <c r="E3" s="20"/>
      <c r="F3" s="72"/>
      <c r="G3" s="70"/>
      <c r="H3" s="70"/>
      <c r="I3" s="73"/>
    </row>
    <row r="4" customFormat="false" ht="15" hidden="false" customHeight="true" outlineLevel="0" collapsed="false">
      <c r="A4" s="63"/>
      <c r="B4" s="63"/>
      <c r="C4" s="70"/>
      <c r="D4" s="71"/>
      <c r="E4" s="20"/>
      <c r="F4" s="72"/>
      <c r="G4" s="70"/>
      <c r="H4" s="70"/>
      <c r="I4" s="73"/>
    </row>
    <row r="5" customFormat="false" ht="15" hidden="false" customHeight="true" outlineLevel="0" collapsed="false">
      <c r="A5" s="63"/>
      <c r="B5" s="63"/>
      <c r="C5" s="70"/>
      <c r="D5" s="71"/>
      <c r="E5" s="20"/>
      <c r="F5" s="72"/>
      <c r="G5" s="70"/>
      <c r="H5" s="70"/>
      <c r="I5" s="73"/>
    </row>
    <row r="6" customFormat="false" ht="15" hidden="false" customHeight="true" outlineLevel="0" collapsed="false">
      <c r="A6" s="63"/>
      <c r="B6" s="63"/>
      <c r="C6" s="70"/>
      <c r="D6" s="71"/>
      <c r="E6" s="20"/>
      <c r="F6" s="72"/>
      <c r="G6" s="70"/>
      <c r="H6" s="70"/>
      <c r="I6" s="73"/>
    </row>
    <row r="7" customFormat="false" ht="15" hidden="false" customHeight="true" outlineLevel="0" collapsed="false">
      <c r="A7" s="63"/>
      <c r="B7" s="63"/>
      <c r="C7" s="70"/>
      <c r="D7" s="71"/>
      <c r="E7" s="20"/>
      <c r="F7" s="72"/>
      <c r="G7" s="70"/>
      <c r="H7" s="70"/>
      <c r="I7" s="73"/>
    </row>
    <row r="8" customFormat="false" ht="15" hidden="false" customHeight="true" outlineLevel="0" collapsed="false">
      <c r="A8" s="63"/>
      <c r="B8" s="63"/>
      <c r="C8" s="70"/>
      <c r="D8" s="71"/>
      <c r="E8" s="20"/>
      <c r="F8" s="72"/>
      <c r="G8" s="70"/>
      <c r="H8" s="70"/>
      <c r="I8" s="73"/>
    </row>
    <row r="9" customFormat="false" ht="15" hidden="false" customHeight="true" outlineLevel="0" collapsed="false">
      <c r="A9" s="63"/>
      <c r="B9" s="63"/>
      <c r="C9" s="70"/>
      <c r="D9" s="71"/>
      <c r="E9" s="20"/>
      <c r="F9" s="72"/>
      <c r="G9" s="70"/>
      <c r="H9" s="70"/>
      <c r="I9" s="73"/>
    </row>
    <row r="10" customFormat="false" ht="15" hidden="false" customHeight="true" outlineLevel="0" collapsed="false">
      <c r="A10" s="63"/>
      <c r="B10" s="63"/>
      <c r="C10" s="70"/>
      <c r="D10" s="71"/>
      <c r="E10" s="20"/>
      <c r="F10" s="72"/>
      <c r="G10" s="70"/>
      <c r="H10" s="70"/>
      <c r="I10" s="73"/>
    </row>
    <row r="11" customFormat="false" ht="15" hidden="false" customHeight="true" outlineLevel="0" collapsed="false">
      <c r="A11" s="63"/>
      <c r="B11" s="63"/>
      <c r="C11" s="70"/>
      <c r="D11" s="71"/>
      <c r="E11" s="20"/>
      <c r="F11" s="72"/>
      <c r="G11" s="70"/>
      <c r="H11" s="70"/>
      <c r="I11" s="73"/>
    </row>
    <row r="12" customFormat="false" ht="15" hidden="false" customHeight="true" outlineLevel="0" collapsed="false">
      <c r="A12" s="63"/>
      <c r="B12" s="63"/>
      <c r="C12" s="70"/>
      <c r="D12" s="71"/>
      <c r="E12" s="20"/>
      <c r="F12" s="72"/>
      <c r="G12" s="70"/>
      <c r="H12" s="70"/>
      <c r="I12" s="73"/>
    </row>
    <row r="13" customFormat="false" ht="15" hidden="false" customHeight="true" outlineLevel="0" collapsed="false">
      <c r="A13" s="63"/>
      <c r="B13" s="63"/>
      <c r="C13" s="70"/>
      <c r="D13" s="71"/>
      <c r="E13" s="20"/>
      <c r="F13" s="72"/>
      <c r="G13" s="70"/>
      <c r="H13" s="70"/>
      <c r="I13" s="73"/>
    </row>
    <row r="14" customFormat="false" ht="15" hidden="false" customHeight="true" outlineLevel="0" collapsed="false">
      <c r="A14" s="63"/>
      <c r="B14" s="63"/>
      <c r="C14" s="70"/>
      <c r="D14" s="71"/>
      <c r="E14" s="20"/>
      <c r="F14" s="72"/>
      <c r="G14" s="70"/>
      <c r="H14" s="70"/>
      <c r="I14" s="73"/>
    </row>
    <row r="15" customFormat="false" ht="15" hidden="false" customHeight="true" outlineLevel="0" collapsed="false">
      <c r="A15" s="63"/>
      <c r="B15" s="63"/>
      <c r="C15" s="70"/>
      <c r="D15" s="71"/>
      <c r="E15" s="20"/>
      <c r="F15" s="72"/>
      <c r="G15" s="70"/>
      <c r="H15" s="70"/>
      <c r="I15" s="73"/>
    </row>
    <row r="16" customFormat="false" ht="15" hidden="false" customHeight="true" outlineLevel="0" collapsed="false">
      <c r="A16" s="63"/>
      <c r="B16" s="63"/>
      <c r="C16" s="70"/>
      <c r="D16" s="71"/>
      <c r="E16" s="20"/>
      <c r="F16" s="72"/>
      <c r="G16" s="70"/>
      <c r="H16" s="70"/>
      <c r="I16" s="73"/>
    </row>
    <row r="17" customFormat="false" ht="15" hidden="false" customHeight="true" outlineLevel="0" collapsed="false">
      <c r="A17" s="63"/>
      <c r="B17" s="63"/>
      <c r="C17" s="70"/>
      <c r="D17" s="71"/>
      <c r="E17" s="20"/>
      <c r="F17" s="72"/>
      <c r="G17" s="70"/>
      <c r="H17" s="70"/>
      <c r="I17" s="73"/>
    </row>
    <row r="18" customFormat="false" ht="15" hidden="false" customHeight="true" outlineLevel="0" collapsed="false">
      <c r="A18" s="63"/>
      <c r="B18" s="63"/>
      <c r="C18" s="70"/>
      <c r="D18" s="71"/>
      <c r="E18" s="20"/>
      <c r="F18" s="72"/>
      <c r="G18" s="70"/>
      <c r="H18" s="70"/>
      <c r="I18" s="73"/>
    </row>
    <row r="19" customFormat="false" ht="15" hidden="false" customHeight="true" outlineLevel="0" collapsed="false">
      <c r="A19" s="63"/>
      <c r="B19" s="63"/>
      <c r="C19" s="70"/>
      <c r="D19" s="71"/>
      <c r="E19" s="20"/>
      <c r="F19" s="72"/>
      <c r="G19" s="70"/>
      <c r="H19" s="70"/>
      <c r="I19" s="73"/>
    </row>
    <row r="20" customFormat="false" ht="15" hidden="false" customHeight="true" outlineLevel="0" collapsed="false">
      <c r="A20" s="63"/>
      <c r="B20" s="63"/>
      <c r="C20" s="70"/>
      <c r="D20" s="71"/>
      <c r="E20" s="20"/>
      <c r="F20" s="72"/>
      <c r="G20" s="70"/>
      <c r="H20" s="70"/>
      <c r="I20" s="73"/>
    </row>
    <row r="21" customFormat="false" ht="15" hidden="false" customHeight="true" outlineLevel="0" collapsed="false">
      <c r="A21" s="63"/>
      <c r="B21" s="63"/>
      <c r="C21" s="70"/>
      <c r="D21" s="71"/>
      <c r="E21" s="20"/>
      <c r="F21" s="72"/>
      <c r="G21" s="70"/>
      <c r="H21" s="70"/>
      <c r="I21" s="73"/>
    </row>
    <row r="22" customFormat="false" ht="15" hidden="false" customHeight="true" outlineLevel="0" collapsed="false">
      <c r="A22" s="63"/>
      <c r="B22" s="63"/>
      <c r="C22" s="70"/>
      <c r="D22" s="71"/>
      <c r="E22" s="20"/>
      <c r="F22" s="72"/>
      <c r="G22" s="70"/>
      <c r="H22" s="70"/>
      <c r="I22" s="73"/>
    </row>
    <row r="23" customFormat="false" ht="15" hidden="false" customHeight="true" outlineLevel="0" collapsed="false">
      <c r="A23" s="63"/>
      <c r="B23" s="63"/>
      <c r="C23" s="70"/>
      <c r="D23" s="71"/>
      <c r="E23" s="20"/>
      <c r="F23" s="72"/>
      <c r="G23" s="70"/>
      <c r="H23" s="70"/>
      <c r="I23" s="73"/>
    </row>
    <row r="24" customFormat="false" ht="15" hidden="false" customHeight="true" outlineLevel="0" collapsed="false">
      <c r="A24" s="63"/>
      <c r="B24" s="63"/>
      <c r="C24" s="70"/>
      <c r="D24" s="71"/>
      <c r="E24" s="20"/>
      <c r="F24" s="72"/>
      <c r="G24" s="70"/>
      <c r="H24" s="70"/>
      <c r="I24" s="73"/>
    </row>
    <row r="25" customFormat="false" ht="15" hidden="false" customHeight="true" outlineLevel="0" collapsed="false">
      <c r="A25" s="63"/>
      <c r="B25" s="63"/>
      <c r="C25" s="70"/>
      <c r="D25" s="71"/>
      <c r="E25" s="20"/>
      <c r="F25" s="72"/>
      <c r="G25" s="70"/>
      <c r="H25" s="70"/>
      <c r="I25" s="73"/>
    </row>
    <row r="26" customFormat="false" ht="15" hidden="false" customHeight="true" outlineLevel="0" collapsed="false">
      <c r="A26" s="63"/>
      <c r="B26" s="63"/>
      <c r="C26" s="70"/>
      <c r="D26" s="71"/>
      <c r="E26" s="20"/>
      <c r="F26" s="72"/>
      <c r="G26" s="70"/>
      <c r="H26" s="70"/>
      <c r="I26" s="73"/>
    </row>
    <row r="27" customFormat="false" ht="15" hidden="false" customHeight="true" outlineLevel="0" collapsed="false">
      <c r="A27" s="63"/>
      <c r="B27" s="63"/>
      <c r="C27" s="70"/>
      <c r="D27" s="71"/>
      <c r="E27" s="20"/>
      <c r="F27" s="72"/>
      <c r="G27" s="70"/>
      <c r="H27" s="70"/>
      <c r="I27" s="73"/>
    </row>
    <row r="30" customFormat="false" ht="15" hidden="false" customHeight="true" outlineLevel="0" collapsed="false">
      <c r="A30" s="74" t="s">
        <v>306</v>
      </c>
      <c r="B30" s="74"/>
      <c r="C30" s="74"/>
      <c r="D30" s="74"/>
      <c r="E30" s="74"/>
      <c r="F30" s="74"/>
      <c r="G30" s="74"/>
      <c r="H30" s="74"/>
      <c r="I30" s="74"/>
    </row>
    <row r="31" customFormat="false" ht="15" hidden="false" customHeight="true" outlineLevel="0" collapsed="false">
      <c r="A31" s="74" t="s">
        <v>307</v>
      </c>
      <c r="B31" s="74"/>
      <c r="C31" s="74"/>
      <c r="D31" s="74"/>
      <c r="E31" s="74"/>
      <c r="F31" s="74"/>
      <c r="G31" s="74"/>
      <c r="H31" s="74"/>
      <c r="I31" s="74"/>
    </row>
    <row r="32" customFormat="false" ht="15" hidden="false" customHeight="true" outlineLevel="0" collapsed="false">
      <c r="A32" s="74" t="s">
        <v>308</v>
      </c>
      <c r="B32" s="74"/>
      <c r="C32" s="74"/>
      <c r="D32" s="74"/>
      <c r="E32" s="74"/>
      <c r="F32" s="74"/>
      <c r="G32" s="74"/>
      <c r="H32" s="74"/>
      <c r="I32" s="74"/>
    </row>
    <row r="33" customFormat="false" ht="15" hidden="false" customHeight="true" outlineLevel="0" collapsed="false">
      <c r="A33" s="74" t="s">
        <v>309</v>
      </c>
      <c r="B33" s="74"/>
      <c r="C33" s="74"/>
      <c r="D33" s="74"/>
      <c r="E33" s="74"/>
      <c r="F33" s="74"/>
      <c r="G33" s="74"/>
      <c r="H33" s="74"/>
      <c r="I33" s="74"/>
    </row>
    <row r="34" customFormat="false" ht="15" hidden="false" customHeight="true" outlineLevel="0" collapsed="false">
      <c r="A34" s="74" t="s">
        <v>310</v>
      </c>
      <c r="B34" s="74"/>
      <c r="C34" s="74"/>
      <c r="D34" s="74"/>
      <c r="E34" s="74"/>
      <c r="F34" s="74"/>
      <c r="G34" s="74"/>
      <c r="H34" s="74"/>
      <c r="I34" s="74"/>
    </row>
    <row r="35" customFormat="false" ht="15" hidden="false" customHeight="true" outlineLevel="0" collapsed="false">
      <c r="A35" s="74" t="s">
        <v>311</v>
      </c>
      <c r="B35" s="74"/>
      <c r="C35" s="74"/>
      <c r="D35" s="74"/>
      <c r="E35" s="74"/>
      <c r="F35" s="74"/>
      <c r="G35" s="74"/>
      <c r="H35" s="74"/>
      <c r="I35" s="74"/>
    </row>
  </sheetData>
  <mergeCells count="7">
    <mergeCell ref="A1:I1"/>
    <mergeCell ref="A30:I30"/>
    <mergeCell ref="A31:I31"/>
    <mergeCell ref="A32:I32"/>
    <mergeCell ref="A33:I33"/>
    <mergeCell ref="A34:I34"/>
    <mergeCell ref="A35:I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1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21" min="2" style="1" width="11"/>
    <col collapsed="false" customWidth="true" hidden="false" outlineLevel="0" max="40" min="23" style="1" width="10"/>
  </cols>
  <sheetData>
    <row r="1" customFormat="false" ht="15" hidden="false" customHeight="true" outlineLevel="0" collapsed="false">
      <c r="A1" s="16" t="s">
        <v>312</v>
      </c>
      <c r="B1" s="16"/>
      <c r="C1" s="16"/>
      <c r="D1" s="16"/>
      <c r="E1" s="16"/>
      <c r="F1" s="16"/>
      <c r="G1" s="16"/>
      <c r="H1" s="16"/>
      <c r="I1" s="16"/>
      <c r="J1" s="16"/>
      <c r="K1" s="16"/>
      <c r="L1" s="16"/>
      <c r="M1" s="16"/>
      <c r="N1" s="16"/>
      <c r="O1" s="16"/>
      <c r="P1" s="16"/>
      <c r="Q1" s="16"/>
      <c r="R1" s="16"/>
      <c r="S1" s="16"/>
      <c r="T1" s="16"/>
      <c r="U1" s="16"/>
    </row>
    <row r="2" customFormat="false" ht="15" hidden="false" customHeight="true" outlineLevel="0" collapsed="false">
      <c r="A2" s="46" t="s">
        <v>184</v>
      </c>
      <c r="B2" s="46" t="str">
        <f aca="false">'Price History'!B2</f>
        <v>ADBE</v>
      </c>
      <c r="C2" s="46" t="str">
        <f aca="false">'Price History'!C2</f>
        <v>ANET</v>
      </c>
      <c r="D2" s="46" t="str">
        <f aca="false">'Price History'!D2</f>
        <v>ASML</v>
      </c>
      <c r="E2" s="46" t="str">
        <f aca="false">'Price History'!E2</f>
        <v>AVGO</v>
      </c>
      <c r="F2" s="46" t="str">
        <f aca="false">'Price History'!F2</f>
        <v>CRWD</v>
      </c>
      <c r="G2" s="46" t="str">
        <f aca="false">'Price History'!G2</f>
        <v>KLAC</v>
      </c>
      <c r="H2" s="46" t="str">
        <f aca="false">'Price History'!H2</f>
        <v>MU</v>
      </c>
      <c r="I2" s="46" t="str">
        <f aca="false">'Price History'!I2</f>
        <v>NVDA</v>
      </c>
      <c r="J2" s="46" t="str">
        <f aca="false">'Price History'!J2</f>
        <v>PLD</v>
      </c>
      <c r="K2" s="46" t="str">
        <f aca="false">'Price History'!K2</f>
        <v>PLTR</v>
      </c>
      <c r="L2" s="46" t="str">
        <f aca="false">'Price History'!L2</f>
        <v>TSM</v>
      </c>
      <c r="M2" s="46" t="str">
        <f aca="false">'Price History'!M2</f>
        <v>VRT</v>
      </c>
      <c r="N2" s="46" t="str">
        <f aca="false">'Price History'!N2</f>
        <v>VRTX</v>
      </c>
      <c r="O2" s="46" t="str">
        <f aca="false">'Price History'!O2</f>
        <v>AVUV</v>
      </c>
      <c r="P2" s="46" t="n">
        <f aca="false">'Price History'!P2</f>
        <v>0</v>
      </c>
      <c r="Q2" s="46" t="str">
        <f aca="false">'Price History'!Q2</f>
        <v>HELO</v>
      </c>
      <c r="R2" s="46" t="str">
        <f aca="false">'Price History'!R2</f>
        <v>JEPQ</v>
      </c>
      <c r="S2" s="46" t="str">
        <f aca="false">'Price History'!S2</f>
        <v>SPMO</v>
      </c>
      <c r="T2" s="46" t="str">
        <f aca="false">'Price History'!T2</f>
        <v>VFLO</v>
      </c>
      <c r="U2" s="46" t="n">
        <f aca="false">'Price History'!U2</f>
        <v>0</v>
      </c>
      <c r="W2" s="75" t="s">
        <v>313</v>
      </c>
      <c r="X2" s="75" t="s">
        <v>314</v>
      </c>
      <c r="Y2" s="75" t="s">
        <v>315</v>
      </c>
      <c r="Z2" s="75" t="s">
        <v>316</v>
      </c>
      <c r="AA2" s="75" t="s">
        <v>317</v>
      </c>
      <c r="AB2" s="75" t="s">
        <v>318</v>
      </c>
      <c r="AC2" s="75" t="s">
        <v>319</v>
      </c>
      <c r="AD2" s="75" t="s">
        <v>320</v>
      </c>
      <c r="AE2" s="75" t="s">
        <v>321</v>
      </c>
      <c r="AF2" s="75" t="s">
        <v>322</v>
      </c>
      <c r="AG2" s="75" t="s">
        <v>323</v>
      </c>
      <c r="AH2" s="75" t="s">
        <v>324</v>
      </c>
      <c r="AI2" s="75" t="s">
        <v>325</v>
      </c>
      <c r="AJ2" s="75" t="s">
        <v>326</v>
      </c>
      <c r="AK2" s="75" t="s">
        <v>327</v>
      </c>
      <c r="AL2" s="75" t="s">
        <v>328</v>
      </c>
      <c r="AM2" s="75" t="s">
        <v>329</v>
      </c>
      <c r="AN2" s="75" t="s">
        <v>330</v>
      </c>
    </row>
    <row r="3" customFormat="false" ht="15" hidden="false" customHeight="true" outlineLevel="0" collapsed="false">
      <c r="A3" s="49" t="n">
        <f aca="false">IF('Price History'!A4="","",'Price History'!A4)</f>
        <v>45156</v>
      </c>
      <c r="B3" s="76" t="n">
        <f aca="false">IFERROR(IF(OR(NOT(ISNUMBER('Price History'!B4)),NOT(ISNUMBER('Price History'!B3)),'Price History'!B3=0),"",'Price History'!B4/'Price History'!B3-1),"")</f>
        <v>-0.00062936375258138</v>
      </c>
      <c r="C3" s="76" t="n">
        <f aca="false">IFERROR(IF(OR(NOT(ISNUMBER('Price History'!C4)),NOT(ISNUMBER('Price History'!C3)),'Price History'!C3=0),"",'Price History'!C4/'Price History'!C3-1),"")</f>
        <v>0.0320073159579333</v>
      </c>
      <c r="D3" s="76" t="n">
        <f aca="false">IFERROR(IF(OR(NOT(ISNUMBER('Price History'!D4)),NOT(ISNUMBER('Price History'!D3)),'Price History'!D3=0),"",'Price History'!D4/'Price History'!D3-1),"")</f>
        <v>-0.00974644141557612</v>
      </c>
      <c r="E3" s="76" t="n">
        <f aca="false">IFERROR(IF(OR(NOT(ISNUMBER('Price History'!E4)),NOT(ISNUMBER('Price History'!E3)),'Price History'!E3=0),"",'Price History'!E4/'Price History'!E3-1),"")</f>
        <v>-0.0048204386599181</v>
      </c>
      <c r="F3" s="76" t="n">
        <f aca="false">IFERROR(IF(OR(NOT(ISNUMBER('Price History'!F4)),NOT(ISNUMBER('Price History'!F3)),'Price History'!F3=0),"",'Price History'!F4/'Price History'!F3-1),"")</f>
        <v>-0.00971397733405288</v>
      </c>
      <c r="G3" s="76" t="n">
        <f aca="false">IFERROR(IF(OR(NOT(ISNUMBER('Price History'!G4)),NOT(ISNUMBER('Price History'!G3)),'Price History'!G3=0),"",'Price History'!G4/'Price History'!G3-1),"")</f>
        <v>-0.0020876826722338</v>
      </c>
      <c r="H3" s="76" t="n">
        <f aca="false">IFERROR(IF(OR(NOT(ISNUMBER('Price History'!H4)),NOT(ISNUMBER('Price History'!H3)),'Price History'!H3=0),"",'Price History'!H4/'Price History'!H3-1),"")</f>
        <v>-0.0121174460152245</v>
      </c>
      <c r="I3" s="76" t="n">
        <f aca="false">IFERROR(IF(OR(NOT(ISNUMBER('Price History'!I4)),NOT(ISNUMBER('Price History'!I3)),'Price History'!I3=0),"",'Price History'!I4/'Price History'!I3-1),"")</f>
        <v>0.0599755201958383</v>
      </c>
      <c r="J3" s="76" t="n">
        <f aca="false">IFERROR(IF(OR(NOT(ISNUMBER('Price History'!J4)),NOT(ISNUMBER('Price History'!J3)),'Price History'!J3=0),"",'Price History'!J4/'Price History'!J3-1),"")</f>
        <v>-0.0165168812241924</v>
      </c>
      <c r="K3" s="76" t="n">
        <f aca="false">IFERROR(IF(OR(NOT(ISNUMBER('Price History'!K4)),NOT(ISNUMBER('Price History'!K3)),'Price History'!K3=0),"",'Price History'!K4/'Price History'!K3-1),"")</f>
        <v>-0.0655418559377028</v>
      </c>
      <c r="L3" s="76" t="n">
        <f aca="false">IFERROR(IF(OR(NOT(ISNUMBER('Price History'!L4)),NOT(ISNUMBER('Price History'!L3)),'Price History'!L3=0),"",'Price History'!L4/'Price History'!L3-1),"")</f>
        <v>-0.00967496467007289</v>
      </c>
      <c r="M3" s="76" t="n">
        <f aca="false">IFERROR(IF(OR(NOT(ISNUMBER('Price History'!M4)),NOT(ISNUMBER('Price History'!M3)),'Price History'!M3=0),"",'Price History'!M4/'Price History'!M3-1),"")</f>
        <v>0.0137272455983288</v>
      </c>
      <c r="N3" s="76" t="n">
        <f aca="false">IFERROR(IF(OR(NOT(ISNUMBER('Price History'!N4)),NOT(ISNUMBER('Price History'!N3)),'Price History'!N3=0),"",'Price History'!N4/'Price History'!N3-1),"")</f>
        <v>-0.0144057623049221</v>
      </c>
      <c r="O3" s="76" t="n">
        <f aca="false">IFERROR(IF(OR(NOT(ISNUMBER('Price History'!O4)),NOT(ISNUMBER('Price History'!O3)),'Price History'!O3=0),"",'Price History'!O4/'Price History'!O3-1),"")</f>
        <v>-0.0307785153892577</v>
      </c>
      <c r="P3" s="76" t="str">
        <f aca="false">IFERROR(IF(OR(NOT(ISNUMBER('Price History'!P4)),NOT(ISNUMBER('Price History'!P3)),'Price History'!P3=0),"",'Price History'!P4/'Price History'!P3-1),"")</f>
        <v/>
      </c>
      <c r="Q3" s="76" t="n">
        <f aca="false">IFERROR(IF(OR(NOT(ISNUMBER('Price History'!Q4)),NOT(ISNUMBER('Price History'!Q3)),'Price History'!Q3=0),"",'Price History'!Q4/'Price History'!Q3-1),"")</f>
        <v>0.0032102728731942</v>
      </c>
      <c r="R3" s="76" t="n">
        <f aca="false">IFERROR(IF(OR(NOT(ISNUMBER('Price History'!R4)),NOT(ISNUMBER('Price History'!R3)),'Price History'!R3=0),"",'Price History'!R4/'Price History'!R3-1),"")</f>
        <v>-0.0186114596403179</v>
      </c>
      <c r="S3" s="76" t="n">
        <f aca="false">IFERROR(IF(OR(NOT(ISNUMBER('Price History'!S4)),NOT(ISNUMBER('Price History'!S3)),'Price History'!S3=0),"",'Price History'!S4/'Price History'!S3-1),"")</f>
        <v>-0.00837034506320467</v>
      </c>
      <c r="T3" s="76" t="n">
        <f aca="false">IFERROR(IF(OR(NOT(ISNUMBER('Price History'!T4)),NOT(ISNUMBER('Price History'!T3)),'Price History'!T3=0),"",'Price History'!T4/'Price History'!T3-1),"")</f>
        <v>-0.0267558528428093</v>
      </c>
      <c r="U3" s="76" t="str">
        <f aca="false">IFERROR(IF(OR(NOT(ISNUMBER('Price History'!U4)),NOT(ISNUMBER('Price History'!U3)),'Price History'!U3=0),"",'Price History'!U4/'Price History'!U3-1),"")</f>
        <v/>
      </c>
      <c r="W3" s="77" t="n">
        <f aca="false">'Price History'!B3+('Price History'!B158-'Price History'!B3)*0</f>
        <v>508.45</v>
      </c>
      <c r="X3" s="77" t="n">
        <f aca="false">'Price History'!C3+('Price History'!C158-'Price History'!C3)*0</f>
        <v>43.74</v>
      </c>
      <c r="Y3" s="77" t="n">
        <f aca="false">'Price History'!D3+('Price History'!D158-'Price History'!D3)*0</f>
        <v>661.78</v>
      </c>
      <c r="Z3" s="77" t="n">
        <f aca="false">'Price History'!E3+('Price History'!E158-'Price History'!E3)*0</f>
        <v>82.98</v>
      </c>
      <c r="AA3" s="77" t="n">
        <f aca="false">'Price History'!F3+('Price History'!F158-'Price History'!F3)*0</f>
        <v>37.06</v>
      </c>
      <c r="AB3" s="77" t="n">
        <f aca="false">'Price History'!G3+('Price History'!G158-'Price History'!G3)*0</f>
        <v>47.9</v>
      </c>
      <c r="AC3" s="77" t="n">
        <f aca="false">'Price History'!H3+('Price History'!H158-'Price History'!H3)*0</f>
        <v>64.37</v>
      </c>
      <c r="AD3" s="77" t="n">
        <f aca="false">'Price History'!I3+('Price History'!I158-'Price History'!I3)*0</f>
        <v>40.85</v>
      </c>
      <c r="AE3" s="77" t="n">
        <f aca="false">'Price History'!J3+('Price History'!J158-'Price History'!J3)*0</f>
        <v>123.51</v>
      </c>
      <c r="AF3" s="77" t="n">
        <f aca="false">'Price History'!K3+('Price History'!K158-'Price History'!K3)*0</f>
        <v>15.41</v>
      </c>
      <c r="AG3" s="77" t="n">
        <f aca="false">'Price History'!L3+('Price History'!L158-'Price History'!L3)*0</f>
        <v>91.99</v>
      </c>
      <c r="AH3" s="77" t="n">
        <f aca="false">'Price History'!M3+('Price History'!M158-'Price History'!M3)*0</f>
        <v>33.51</v>
      </c>
      <c r="AI3" s="77" t="n">
        <f aca="false">'Price History'!N3+('Price History'!N158-'Price History'!N3)*0</f>
        <v>349.86</v>
      </c>
      <c r="AJ3" s="77" t="n">
        <f aca="false">'Price History'!O3+('Price History'!O158-'Price History'!O3)*0</f>
        <v>82.85</v>
      </c>
      <c r="AK3" s="77" t="n">
        <f aca="false">'Price History'!Q3+('Price History'!Q151-'Price History'!Q3)*0</f>
        <v>49.84</v>
      </c>
      <c r="AL3" s="77" t="n">
        <f aca="false">'Price History'!R3+('Price History'!R158-'Price History'!R3)*0</f>
        <v>47.82</v>
      </c>
      <c r="AM3" s="77" t="n">
        <f aca="false">'Price History'!S3+('Price History'!S158-'Price History'!S3)*0</f>
        <v>58.54</v>
      </c>
      <c r="AN3" s="77" t="n">
        <f aca="false">'Price History'!T3+('Price History'!T158-'Price History'!T3)*0</f>
        <v>26.91</v>
      </c>
    </row>
    <row r="4" customFormat="false" ht="15" hidden="false" customHeight="true" outlineLevel="0" collapsed="false">
      <c r="A4" s="49" t="n">
        <f aca="false">IF('Price History'!A5="","",'Price History'!A5)</f>
        <v>45163</v>
      </c>
      <c r="B4" s="76" t="n">
        <f aca="false">IFERROR(IF(OR(NOT(ISNUMBER('Price History'!B5)),NOT(ISNUMBER('Price History'!B4)),'Price History'!B4=0),"",'Price History'!B5/'Price History'!B4-1),"")</f>
        <v>0.0333182453309191</v>
      </c>
      <c r="C4" s="76" t="n">
        <f aca="false">IFERROR(IF(OR(NOT(ISNUMBER('Price History'!C5)),NOT(ISNUMBER('Price History'!C4)),'Price History'!C4=0),"",'Price History'!C5/'Price History'!C4-1),"")</f>
        <v>0.00199379707576419</v>
      </c>
      <c r="D4" s="76" t="n">
        <f aca="false">IFERROR(IF(OR(NOT(ISNUMBER('Price History'!D5)),NOT(ISNUMBER('Price History'!D4)),'Price History'!D4=0),"",'Price History'!D5/'Price History'!D4-1),"")</f>
        <v>-0.00659209863732779</v>
      </c>
      <c r="E4" s="76" t="n">
        <f aca="false">IFERROR(IF(OR(NOT(ISNUMBER('Price History'!E5)),NOT(ISNUMBER('Price History'!E4)),'Price History'!E4=0),"",'Price History'!E5/'Price History'!E4-1),"")</f>
        <v>0.0314846209736015</v>
      </c>
      <c r="F4" s="76" t="n">
        <f aca="false">IFERROR(IF(OR(NOT(ISNUMBER('Price History'!F5)),NOT(ISNUMBER('Price History'!F4)),'Price History'!F4=0),"",'Price History'!F5/'Price History'!F4-1),"")</f>
        <v>0.0190735694822888</v>
      </c>
      <c r="G4" s="76" t="n">
        <f aca="false">IFERROR(IF(OR(NOT(ISNUMBER('Price History'!G5)),NOT(ISNUMBER('Price History'!G4)),'Price History'!G4=0),"",'Price History'!G5/'Price History'!G4-1),"")</f>
        <v>0.00774058577405867</v>
      </c>
      <c r="H4" s="76" t="n">
        <f aca="false">IFERROR(IF(OR(NOT(ISNUMBER('Price History'!H5)),NOT(ISNUMBER('Price History'!H4)),'Price History'!H4=0),"",'Price History'!H5/'Price History'!H4-1),"")</f>
        <v>0.00204434659537656</v>
      </c>
      <c r="I4" s="76" t="n">
        <f aca="false">IFERROR(IF(OR(NOT(ISNUMBER('Price History'!I5)),NOT(ISNUMBER('Price History'!I4)),'Price History'!I4=0),"",'Price History'!I5/'Price History'!I4-1),"")</f>
        <v>0.0628175519630487</v>
      </c>
      <c r="J4" s="76" t="n">
        <f aca="false">IFERROR(IF(OR(NOT(ISNUMBER('Price History'!J5)),NOT(ISNUMBER('Price History'!J4)),'Price History'!J4=0),"",'Price History'!J5/'Price History'!J4-1),"")</f>
        <v>0.00979665761093274</v>
      </c>
      <c r="K4" s="76" t="n">
        <f aca="false">IFERROR(IF(OR(NOT(ISNUMBER('Price History'!K5)),NOT(ISNUMBER('Price History'!K4)),'Price History'!K4=0),"",'Price History'!K5/'Price History'!K4-1),"")</f>
        <v>0.00902777777777764</v>
      </c>
      <c r="L4" s="76" t="n">
        <f aca="false">IFERROR(IF(OR(NOT(ISNUMBER('Price History'!L5)),NOT(ISNUMBER('Price History'!L4)),'Price History'!L4=0),"",'Price History'!L5/'Price History'!L4-1),"")</f>
        <v>0.021953896816685</v>
      </c>
      <c r="M4" s="76" t="n">
        <f aca="false">IFERROR(IF(OR(NOT(ISNUMBER('Price History'!M5)),NOT(ISNUMBER('Price History'!M4)),'Price History'!M4=0),"",'Price History'!M5/'Price History'!M4-1),"")</f>
        <v>0.103915219311157</v>
      </c>
      <c r="N4" s="76" t="n">
        <f aca="false">IFERROR(IF(OR(NOT(ISNUMBER('Price History'!N5)),NOT(ISNUMBER('Price History'!N4)),'Price History'!N4=0),"",'Price History'!N5/'Price History'!N4-1),"")</f>
        <v>0.0151963343193551</v>
      </c>
      <c r="O4" s="76" t="n">
        <f aca="false">IFERROR(IF(OR(NOT(ISNUMBER('Price History'!O5)),NOT(ISNUMBER('Price History'!O4)),'Price History'!O4=0),"",'Price History'!O5/'Price History'!O4-1),"")</f>
        <v>-0.0161892901618929</v>
      </c>
      <c r="P4" s="76" t="str">
        <f aca="false">IFERROR(IF(OR(NOT(ISNUMBER('Price History'!P5)),NOT(ISNUMBER('Price History'!P4)),'Price History'!P4=0),"",'Price History'!P5/'Price History'!P4-1),"")</f>
        <v/>
      </c>
      <c r="Q4" s="76" t="n">
        <f aca="false">IFERROR(IF(OR(NOT(ISNUMBER('Price History'!Q5)),NOT(ISNUMBER('Price History'!Q4)),'Price History'!Q4=0),"",'Price History'!Q5/'Price History'!Q4-1),"")</f>
        <v>0.00340000000000007</v>
      </c>
      <c r="R4" s="76" t="n">
        <f aca="false">IFERROR(IF(OR(NOT(ISNUMBER('Price History'!R5)),NOT(ISNUMBER('Price History'!R4)),'Price History'!R4=0),"",'Price History'!R5/'Price History'!R4-1),"")</f>
        <v>0.0159812486682294</v>
      </c>
      <c r="S4" s="76" t="n">
        <f aca="false">IFERROR(IF(OR(NOT(ISNUMBER('Price History'!S5)),NOT(ISNUMBER('Price History'!S4)),'Price History'!S4=0),"",'Price History'!S5/'Price History'!S4-1),"")</f>
        <v>-0.00275624461670965</v>
      </c>
      <c r="T4" s="76" t="n">
        <f aca="false">IFERROR(IF(OR(NOT(ISNUMBER('Price History'!T5)),NOT(ISNUMBER('Price History'!T4)),'Price History'!T4=0),"",'Price History'!T5/'Price History'!T4-1),"")</f>
        <v>-0.00801832760595655</v>
      </c>
      <c r="U4" s="76" t="str">
        <f aca="false">IFERROR(IF(OR(NOT(ISNUMBER('Price History'!U5)),NOT(ISNUMBER('Price History'!U4)),'Price History'!U4=0),"",'Price History'!U5/'Price History'!U4-1),"")</f>
        <v/>
      </c>
      <c r="W4" s="77" t="n">
        <f aca="false">'Price History'!B3+('Price History'!B158-'Price History'!B3)*0.00649350649350649</f>
        <v>506.774415584416</v>
      </c>
      <c r="X4" s="77" t="n">
        <f aca="false">'Price History'!C3+('Price History'!C158-'Price History'!C3)*0.00649350649350649</f>
        <v>44.6270779220779</v>
      </c>
      <c r="Y4" s="77" t="n">
        <f aca="false">'Price History'!D3+('Price History'!D158-'Price History'!D3)*0.00649350649350649</f>
        <v>668.060649350649</v>
      </c>
      <c r="Z4" s="77" t="n">
        <f aca="false">'Price History'!E3+('Price History'!E158-'Price History'!E3)*0.00649350649350649</f>
        <v>84.968961038961</v>
      </c>
      <c r="AA4" s="77" t="n">
        <f aca="false">'Price History'!F3+('Price History'!F158-'Price History'!F3)*0.00649350649350649</f>
        <v>38.0587012987013</v>
      </c>
      <c r="AB4" s="77" t="n">
        <f aca="false">'Price History'!G3+('Price History'!G158-'Price History'!G3)*0.00649350649350649</f>
        <v>48.7761038961039</v>
      </c>
      <c r="AC4" s="77" t="n">
        <f aca="false">'Price History'!H3+('Price History'!H158-'Price History'!H3)*0.00649350649350649</f>
        <v>69.2963636363636</v>
      </c>
      <c r="AD4" s="77" t="n">
        <f aca="false">'Price History'!I3+('Price History'!I158-'Price History'!I3)*0.00649350649350649</f>
        <v>41.8883116883117</v>
      </c>
      <c r="AE4" s="77" t="n">
        <f aca="false">'Price History'!J3+('Price History'!J158-'Price History'!J3)*0.00649350649350649</f>
        <v>123.647012987013</v>
      </c>
      <c r="AF4" s="77" t="n">
        <f aca="false">'Price History'!K3+('Price History'!K158-'Price History'!K3)*0.00649350649350649</f>
        <v>16.109025974026</v>
      </c>
      <c r="AG4" s="77" t="n">
        <f aca="false">'Price History'!L3+('Price History'!L158-'Price History'!L3)*0.00649350649350649</f>
        <v>94.0176623376623</v>
      </c>
      <c r="AH4" s="77" t="n">
        <f aca="false">'Price History'!M3+('Price History'!M158-'Price History'!M3)*0.00649350649350649</f>
        <v>34.861038961039</v>
      </c>
      <c r="AI4" s="77" t="n">
        <f aca="false">'Price History'!N3+('Price History'!N158-'Price History'!N3)*0.00649350649350649</f>
        <v>350.686233766234</v>
      </c>
      <c r="AJ4" s="77" t="n">
        <f aca="false">'Price History'!O3+('Price History'!O158-'Price History'!O3)*0.00649350649350649</f>
        <v>83.1255194805195</v>
      </c>
      <c r="AK4" s="77" t="n">
        <f aca="false">'Price History'!Q3+('Price History'!Q151-'Price History'!Q3)*0.00649350649350649</f>
        <v>49.9608441558442</v>
      </c>
      <c r="AL4" s="77" t="n">
        <f aca="false">'Price History'!R3+('Price History'!R158-'Price History'!R3)*0.00649350649350649</f>
        <v>47.8877272727273</v>
      </c>
      <c r="AM4" s="77" t="n">
        <f aca="false">'Price History'!S3+('Price History'!S158-'Price History'!S3)*0.00649350649350649</f>
        <v>59.0938311688312</v>
      </c>
      <c r="AN4" s="77" t="n">
        <f aca="false">'Price History'!T3+('Price History'!T158-'Price History'!T3)*0.00649350649350649</f>
        <v>27.0582467532468</v>
      </c>
    </row>
    <row r="5" customFormat="false" ht="15" hidden="false" customHeight="true" outlineLevel="0" collapsed="false">
      <c r="A5" s="49" t="n">
        <f aca="false">IF('Price History'!A6="","",'Price History'!A6)</f>
        <v>45170</v>
      </c>
      <c r="B5" s="76" t="n">
        <f aca="false">IFERROR(IF(OR(NOT(ISNUMBER('Price History'!B6)),NOT(ISNUMBER('Price History'!B5)),'Price History'!B5=0),"",'Price History'!B6/'Price History'!B5-1),"")</f>
        <v>0.0726583628537694</v>
      </c>
      <c r="C5" s="76" t="n">
        <f aca="false">IFERROR(IF(OR(NOT(ISNUMBER('Price History'!C6)),NOT(ISNUMBER('Price History'!C5)),'Price History'!C5=0),"",'Price History'!C6/'Price History'!C5-1),"")</f>
        <v>0.0908688923281009</v>
      </c>
      <c r="D5" s="76" t="n">
        <f aca="false">IFERROR(IF(OR(NOT(ISNUMBER('Price History'!D6)),NOT(ISNUMBER('Price History'!D5)),'Price History'!D5=0),"",'Price History'!D6/'Price History'!D5-1),"")</f>
        <v>0.0176802199658992</v>
      </c>
      <c r="E5" s="76" t="n">
        <f aca="false">IFERROR(IF(OR(NOT(ISNUMBER('Price History'!E6)),NOT(ISNUMBER('Price History'!E5)),'Price History'!E5=0),"",'Price History'!E6/'Price History'!E5-1),"")</f>
        <v>0.0243014792204741</v>
      </c>
      <c r="F5" s="76" t="n">
        <f aca="false">IFERROR(IF(OR(NOT(ISNUMBER('Price History'!F6)),NOT(ISNUMBER('Price History'!F5)),'Price History'!F5=0),"",'Price History'!F6/'Price History'!F5-1),"")</f>
        <v>0.0778074866310161</v>
      </c>
      <c r="G5" s="76" t="n">
        <f aca="false">IFERROR(IF(OR(NOT(ISNUMBER('Price History'!G6)),NOT(ISNUMBER('Price History'!G5)),'Price History'!G5=0),"",'Price History'!G6/'Price History'!G5-1),"")</f>
        <v>0.0525223167946856</v>
      </c>
      <c r="H5" s="76" t="n">
        <f aca="false">IFERROR(IF(OR(NOT(ISNUMBER('Price History'!H6)),NOT(ISNUMBER('Price History'!H5)),'Price History'!H5=0),"",'Price History'!H6/'Price History'!H5-1),"")</f>
        <v>0.104676710608914</v>
      </c>
      <c r="I5" s="76" t="n">
        <f aca="false">IFERROR(IF(OR(NOT(ISNUMBER('Price History'!I6)),NOT(ISNUMBER('Price History'!I5)),'Price History'!I5=0),"",'Price History'!I6/'Price History'!I5-1),"")</f>
        <v>0.0541069100391134</v>
      </c>
      <c r="J5" s="76" t="n">
        <f aca="false">IFERROR(IF(OR(NOT(ISNUMBER('Price History'!J6)),NOT(ISNUMBER('Price History'!J5)),'Price History'!J5=0),"",'Price History'!J6/'Price History'!J5-1),"")</f>
        <v>0.015734550790804</v>
      </c>
      <c r="K5" s="76" t="n">
        <f aca="false">IFERROR(IF(OR(NOT(ISNUMBER('Price History'!K6)),NOT(ISNUMBER('Price History'!K5)),'Price History'!K5=0),"",'Price History'!K6/'Price History'!K5-1),"")</f>
        <v>0.044735030970406</v>
      </c>
      <c r="L5" s="76" t="n">
        <f aca="false">IFERROR(IF(OR(NOT(ISNUMBER('Price History'!L6)),NOT(ISNUMBER('Price History'!L5)),'Price History'!L5=0),"",'Price History'!L6/'Price History'!L5-1),"")</f>
        <v>0.000966702470461822</v>
      </c>
      <c r="M5" s="76" t="n">
        <f aca="false">IFERROR(IF(OR(NOT(ISNUMBER('Price History'!M6)),NOT(ISNUMBER('Price History'!M5)),'Price History'!M5=0),"",'Price History'!M6/'Price History'!M5-1),"")</f>
        <v>0.0631999999999999</v>
      </c>
      <c r="N5" s="76" t="n">
        <f aca="false">IFERROR(IF(OR(NOT(ISNUMBER('Price History'!N6)),NOT(ISNUMBER('Price History'!N5)),'Price History'!N5=0),"",'Price History'!N6/'Price History'!N5-1),"")</f>
        <v>0.00297091927098214</v>
      </c>
      <c r="O5" s="76" t="n">
        <f aca="false">IFERROR(IF(OR(NOT(ISNUMBER('Price History'!O6)),NOT(ISNUMBER('Price History'!O5)),'Price History'!O5=0),"",'Price History'!O6/'Price History'!O5-1),"")</f>
        <v>0.0467088607594937</v>
      </c>
      <c r="P5" s="76" t="str">
        <f aca="false">IFERROR(IF(OR(NOT(ISNUMBER('Price History'!P6)),NOT(ISNUMBER('Price History'!P5)),'Price History'!P5=0),"",'Price History'!P6/'Price History'!P5-1),"")</f>
        <v/>
      </c>
      <c r="Q5" s="76" t="n">
        <f aca="false">IFERROR(IF(OR(NOT(ISNUMBER('Price History'!Q6)),NOT(ISNUMBER('Price History'!Q5)),'Price History'!Q5=0),"",'Price History'!Q6/'Price History'!Q5-1),"")</f>
        <v>-0.0111620490332869</v>
      </c>
      <c r="R5" s="76" t="n">
        <f aca="false">IFERROR(IF(OR(NOT(ISNUMBER('Price History'!R6)),NOT(ISNUMBER('Price History'!R5)),'Price History'!R5=0),"",'Price History'!R6/'Price History'!R5-1),"")</f>
        <v>0.018246644295302</v>
      </c>
      <c r="S5" s="76" t="n">
        <f aca="false">IFERROR(IF(OR(NOT(ISNUMBER('Price History'!S6)),NOT(ISNUMBER('Price History'!S5)),'Price History'!S5=0),"",'Price History'!S6/'Price History'!S5-1),"")</f>
        <v>0.0160649507686992</v>
      </c>
      <c r="T5" s="76" t="n">
        <f aca="false">IFERROR(IF(OR(NOT(ISNUMBER('Price History'!T6)),NOT(ISNUMBER('Price History'!T5)),'Price History'!T5=0),"",'Price History'!T6/'Price History'!T5-1),"")</f>
        <v>0.0261739799846035</v>
      </c>
      <c r="U5" s="76" t="str">
        <f aca="false">IFERROR(IF(OR(NOT(ISNUMBER('Price History'!U6)),NOT(ISNUMBER('Price History'!U5)),'Price History'!U5=0),"",'Price History'!U6/'Price History'!U5-1),"")</f>
        <v/>
      </c>
      <c r="W5" s="77" t="n">
        <f aca="false">'Price History'!B3+('Price History'!B158-'Price History'!B3)*0.012987012987013</f>
        <v>505.098831168831</v>
      </c>
      <c r="X5" s="77" t="n">
        <f aca="false">'Price History'!C3+('Price History'!C158-'Price History'!C3)*0.012987012987013</f>
        <v>45.5141558441558</v>
      </c>
      <c r="Y5" s="77" t="n">
        <f aca="false">'Price History'!D3+('Price History'!D158-'Price History'!D3)*0.012987012987013</f>
        <v>674.341298701299</v>
      </c>
      <c r="Z5" s="77" t="n">
        <f aca="false">'Price History'!E3+('Price History'!E158-'Price History'!E3)*0.012987012987013</f>
        <v>86.9579220779221</v>
      </c>
      <c r="AA5" s="77" t="n">
        <f aca="false">'Price History'!F3+('Price History'!F158-'Price History'!F3)*0.012987012987013</f>
        <v>39.0574025974026</v>
      </c>
      <c r="AB5" s="77" t="n">
        <f aca="false">'Price History'!G3+('Price History'!G158-'Price History'!G3)*0.012987012987013</f>
        <v>49.6522077922078</v>
      </c>
      <c r="AC5" s="77" t="n">
        <f aca="false">'Price History'!H3+('Price History'!H158-'Price History'!H3)*0.012987012987013</f>
        <v>74.2227272727273</v>
      </c>
      <c r="AD5" s="77" t="n">
        <f aca="false">'Price History'!I3+('Price History'!I158-'Price History'!I3)*0.012987012987013</f>
        <v>42.9266233766234</v>
      </c>
      <c r="AE5" s="77" t="n">
        <f aca="false">'Price History'!J3+('Price History'!J158-'Price History'!J3)*0.012987012987013</f>
        <v>123.784025974026</v>
      </c>
      <c r="AF5" s="77" t="n">
        <f aca="false">'Price History'!K3+('Price History'!K158-'Price History'!K3)*0.012987012987013</f>
        <v>16.808051948052</v>
      </c>
      <c r="AG5" s="77" t="n">
        <f aca="false">'Price History'!L3+('Price History'!L158-'Price History'!L3)*0.012987012987013</f>
        <v>96.0453246753247</v>
      </c>
      <c r="AH5" s="77" t="n">
        <f aca="false">'Price History'!M3+('Price History'!M158-'Price History'!M3)*0.012987012987013</f>
        <v>36.2120779220779</v>
      </c>
      <c r="AI5" s="77" t="n">
        <f aca="false">'Price History'!N3+('Price History'!N158-'Price History'!N3)*0.012987012987013</f>
        <v>351.512467532468</v>
      </c>
      <c r="AJ5" s="77" t="n">
        <f aca="false">'Price History'!O3+('Price History'!O158-'Price History'!O3)*0.012987012987013</f>
        <v>83.401038961039</v>
      </c>
      <c r="AK5" s="77" t="n">
        <f aca="false">'Price History'!Q3+('Price History'!Q151-'Price History'!Q3)*0.012987012987013</f>
        <v>50.0816883116883</v>
      </c>
      <c r="AL5" s="77" t="n">
        <f aca="false">'Price History'!R3+('Price History'!R158-'Price History'!R3)*0.012987012987013</f>
        <v>47.9554545454545</v>
      </c>
      <c r="AM5" s="77" t="n">
        <f aca="false">'Price History'!S3+('Price History'!S158-'Price History'!S3)*0.012987012987013</f>
        <v>59.6476623376623</v>
      </c>
      <c r="AN5" s="77" t="n">
        <f aca="false">'Price History'!T3+('Price History'!T158-'Price History'!T3)*0.012987012987013</f>
        <v>27.2064935064935</v>
      </c>
    </row>
    <row r="6" customFormat="false" ht="15" hidden="false" customHeight="true" outlineLevel="0" collapsed="false">
      <c r="A6" s="49" t="n">
        <f aca="false">IF('Price History'!A7="","",'Price History'!A7)</f>
        <v>45177</v>
      </c>
      <c r="B6" s="76" t="n">
        <f aca="false">IFERROR(IF(OR(NOT(ISNUMBER('Price History'!B7)),NOT(ISNUMBER('Price History'!B6)),'Price History'!B6=0),"",'Price History'!B7/'Price History'!B6-1),"")</f>
        <v>-0.00506027946946974</v>
      </c>
      <c r="C6" s="76" t="n">
        <f aca="false">IFERROR(IF(OR(NOT(ISNUMBER('Price History'!C7)),NOT(ISNUMBER('Price History'!C6)),'Price History'!C6=0),"",'Price History'!C7/'Price History'!C6-1),"")</f>
        <v>-0.00445885691122838</v>
      </c>
      <c r="D6" s="76" t="n">
        <f aca="false">IFERROR(IF(OR(NOT(ISNUMBER('Price History'!D7)),NOT(ISNUMBER('Price History'!D6)),'Price History'!D6=0),"",'Price History'!D7/'Price History'!D6-1),"")</f>
        <v>-0.0523154017991909</v>
      </c>
      <c r="E6" s="76" t="n">
        <f aca="false">IFERROR(IF(OR(NOT(ISNUMBER('Price History'!E7)),NOT(ISNUMBER('Price History'!E6)),'Price History'!E6=0),"",'Price History'!E7/'Price History'!E6-1),"")</f>
        <v>-0.0170773638968481</v>
      </c>
      <c r="F6" s="76" t="n">
        <f aca="false">IFERROR(IF(OR(NOT(ISNUMBER('Price History'!F7)),NOT(ISNUMBER('Price History'!F6)),'Price History'!F6=0),"",'Price History'!F7/'Price History'!F6-1),"")</f>
        <v>0.0424212354254527</v>
      </c>
      <c r="G6" s="76" t="n">
        <f aca="false">IFERROR(IF(OR(NOT(ISNUMBER('Price History'!G7)),NOT(ISNUMBER('Price History'!G6)),'Price History'!G6=0),"",'Price History'!G7/'Price History'!G6-1),"")</f>
        <v>-0.0183431952662722</v>
      </c>
      <c r="H6" s="76" t="n">
        <f aca="false">IFERROR(IF(OR(NOT(ISNUMBER('Price History'!H7)),NOT(ISNUMBER('Price History'!H6)),'Price History'!H6=0),"",'Price History'!H7/'Price History'!H6-1),"")</f>
        <v>-0.0029833783207841</v>
      </c>
      <c r="I6" s="76" t="n">
        <f aca="false">IFERROR(IF(OR(NOT(ISNUMBER('Price History'!I7)),NOT(ISNUMBER('Price History'!I6)),'Price History'!I6=0),"",'Price History'!I7/'Price History'!I6-1),"")</f>
        <v>-0.0606060606060606</v>
      </c>
      <c r="J6" s="76" t="n">
        <f aca="false">IFERROR(IF(OR(NOT(ISNUMBER('Price History'!J7)),NOT(ISNUMBER('Price History'!J6)),'Price History'!J6=0),"",'Price History'!J7/'Price History'!J6-1),"")</f>
        <v>-0.016935548599406</v>
      </c>
      <c r="K6" s="76" t="n">
        <f aca="false">IFERROR(IF(OR(NOT(ISNUMBER('Price History'!K7)),NOT(ISNUMBER('Price History'!K6)),'Price History'!K6=0),"",'Price History'!K7/'Price History'!K6-1),"")</f>
        <v>-0.00329380764163367</v>
      </c>
      <c r="L6" s="76" t="n">
        <f aca="false">IFERROR(IF(OR(NOT(ISNUMBER('Price History'!L7)),NOT(ISNUMBER('Price History'!L6)),'Price History'!L6=0),"",'Price History'!L7/'Price History'!L6-1),"")</f>
        <v>-0.0380942161176091</v>
      </c>
      <c r="M6" s="76" t="n">
        <f aca="false">IFERROR(IF(OR(NOT(ISNUMBER('Price History'!M7)),NOT(ISNUMBER('Price History'!M6)),'Price History'!M6=0),"",'Price History'!M7/'Price History'!M6-1),"")</f>
        <v>-0.0168046149987458</v>
      </c>
      <c r="N6" s="76" t="n">
        <f aca="false">IFERROR(IF(OR(NOT(ISNUMBER('Price History'!N7)),NOT(ISNUMBER('Price History'!N6)),'Price History'!N6=0),"",'Price History'!N7/'Price History'!N6-1),"")</f>
        <v>-0.0229279407576189</v>
      </c>
      <c r="O6" s="76" t="n">
        <f aca="false">IFERROR(IF(OR(NOT(ISNUMBER('Price History'!O7)),NOT(ISNUMBER('Price History'!O6)),'Price History'!O6=0),"",'Price History'!O7/'Price History'!O6-1),"")</f>
        <v>-0.0384568871689441</v>
      </c>
      <c r="P6" s="76" t="str">
        <f aca="false">IFERROR(IF(OR(NOT(ISNUMBER('Price History'!P7)),NOT(ISNUMBER('Price History'!P6)),'Price History'!P6=0),"",'Price History'!P7/'Price History'!P6-1),"")</f>
        <v/>
      </c>
      <c r="Q6" s="76" t="n">
        <f aca="false">IFERROR(IF(OR(NOT(ISNUMBER('Price History'!Q7)),NOT(ISNUMBER('Price History'!Q6)),'Price History'!Q6=0),"",'Price History'!Q7/'Price History'!Q6-1),"")</f>
        <v>-0.0173352146744608</v>
      </c>
      <c r="R6" s="76" t="n">
        <f aca="false">IFERROR(IF(OR(NOT(ISNUMBER('Price History'!R7)),NOT(ISNUMBER('Price History'!R6)),'Price History'!R6=0),"",'Price History'!R7/'Price History'!R6-1),"")</f>
        <v>-0.00659114315139031</v>
      </c>
      <c r="S6" s="76" t="n">
        <f aca="false">IFERROR(IF(OR(NOT(ISNUMBER('Price History'!S7)),NOT(ISNUMBER('Price History'!S6)),'Price History'!S6=0),"",'Price History'!S7/'Price History'!S6-1),"")</f>
        <v>0.00595035702142122</v>
      </c>
      <c r="T6" s="76" t="n">
        <f aca="false">IFERROR(IF(OR(NOT(ISNUMBER('Price History'!T7)),NOT(ISNUMBER('Price History'!T6)),'Price History'!T6=0),"",'Price History'!T7/'Price History'!T6-1),"")</f>
        <v>-0.00712678169542391</v>
      </c>
      <c r="U6" s="76" t="str">
        <f aca="false">IFERROR(IF(OR(NOT(ISNUMBER('Price History'!U7)),NOT(ISNUMBER('Price History'!U6)),'Price History'!U6=0),"",'Price History'!U7/'Price History'!U6-1),"")</f>
        <v/>
      </c>
      <c r="W6" s="77" t="n">
        <f aca="false">'Price History'!B3+('Price History'!B158-'Price History'!B3)*0.0194805194805195</f>
        <v>503.423246753247</v>
      </c>
      <c r="X6" s="77" t="n">
        <f aca="false">'Price History'!C3+('Price History'!C158-'Price History'!C3)*0.0194805194805195</f>
        <v>46.4012337662338</v>
      </c>
      <c r="Y6" s="77" t="n">
        <f aca="false">'Price History'!D3+('Price History'!D158-'Price History'!D3)*0.0194805194805195</f>
        <v>680.621948051948</v>
      </c>
      <c r="Z6" s="77" t="n">
        <f aca="false">'Price History'!E3+('Price History'!E158-'Price History'!E3)*0.0194805194805195</f>
        <v>88.9468831168831</v>
      </c>
      <c r="AA6" s="77" t="n">
        <f aca="false">'Price History'!F3+('Price History'!F158-'Price History'!F3)*0.0194805194805195</f>
        <v>40.0561038961039</v>
      </c>
      <c r="AB6" s="77" t="n">
        <f aca="false">'Price History'!G3+('Price History'!G158-'Price History'!G3)*0.0194805194805195</f>
        <v>50.5283116883117</v>
      </c>
      <c r="AC6" s="77" t="n">
        <f aca="false">'Price History'!H3+('Price History'!H158-'Price History'!H3)*0.0194805194805195</f>
        <v>79.1490909090909</v>
      </c>
      <c r="AD6" s="77" t="n">
        <f aca="false">'Price History'!I3+('Price History'!I158-'Price History'!I3)*0.0194805194805195</f>
        <v>43.9649350649351</v>
      </c>
      <c r="AE6" s="77" t="n">
        <f aca="false">'Price History'!J3+('Price History'!J158-'Price History'!J3)*0.0194805194805195</f>
        <v>123.921038961039</v>
      </c>
      <c r="AF6" s="77" t="n">
        <f aca="false">'Price History'!K3+('Price History'!K158-'Price History'!K3)*0.0194805194805195</f>
        <v>17.5070779220779</v>
      </c>
      <c r="AG6" s="77" t="n">
        <f aca="false">'Price History'!L3+('Price History'!L158-'Price History'!L3)*0.0194805194805195</f>
        <v>98.072987012987</v>
      </c>
      <c r="AH6" s="77" t="n">
        <f aca="false">'Price History'!M3+('Price History'!M158-'Price History'!M3)*0.0194805194805195</f>
        <v>37.5631168831169</v>
      </c>
      <c r="AI6" s="77" t="n">
        <f aca="false">'Price History'!N3+('Price History'!N158-'Price History'!N3)*0.0194805194805195</f>
        <v>352.338701298701</v>
      </c>
      <c r="AJ6" s="77" t="n">
        <f aca="false">'Price History'!O3+('Price History'!O158-'Price History'!O3)*0.0194805194805195</f>
        <v>83.6765584415584</v>
      </c>
      <c r="AK6" s="77" t="n">
        <f aca="false">'Price History'!Q3+('Price History'!Q151-'Price History'!Q3)*0.0194805194805195</f>
        <v>50.2025324675325</v>
      </c>
      <c r="AL6" s="77" t="n">
        <f aca="false">'Price History'!R3+('Price History'!R158-'Price History'!R3)*0.0194805194805195</f>
        <v>48.0231818181818</v>
      </c>
      <c r="AM6" s="77" t="n">
        <f aca="false">'Price History'!S3+('Price History'!S158-'Price History'!S3)*0.0194805194805195</f>
        <v>60.2014935064935</v>
      </c>
      <c r="AN6" s="77" t="n">
        <f aca="false">'Price History'!T3+('Price History'!T158-'Price History'!T3)*0.0194805194805195</f>
        <v>27.3547402597403</v>
      </c>
    </row>
    <row r="7" customFormat="false" ht="15" hidden="false" customHeight="true" outlineLevel="0" collapsed="false">
      <c r="A7" s="49" t="n">
        <f aca="false">IF('Price History'!A8="","",'Price History'!A8)</f>
        <v>45184</v>
      </c>
      <c r="B7" s="76" t="n">
        <f aca="false">IFERROR(IF(OR(NOT(ISNUMBER('Price History'!B8)),NOT(ISNUMBER('Price History'!B7)),'Price History'!B7=0),"",'Price History'!B8/'Price History'!B7-1),"")</f>
        <v>-0.0561603255050325</v>
      </c>
      <c r="C7" s="76" t="n">
        <f aca="false">IFERROR(IF(OR(NOT(ISNUMBER('Price History'!C8)),NOT(ISNUMBER('Price History'!C7)),'Price History'!C7=0),"",'Price History'!C8/'Price History'!C7-1),"")</f>
        <v>-0.0598534201954397</v>
      </c>
      <c r="D7" s="76" t="n">
        <f aca="false">IFERROR(IF(OR(NOT(ISNUMBER('Price History'!D8)),NOT(ISNUMBER('Price History'!D7)),'Price History'!D7=0),"",'Price History'!D8/'Price History'!D7-1),"")</f>
        <v>-0.0496926066320518</v>
      </c>
      <c r="E7" s="76" t="n">
        <f aca="false">IFERROR(IF(OR(NOT(ISNUMBER('Price History'!E8)),NOT(ISNUMBER('Price History'!E7)),'Price History'!E7=0),"",'Price History'!E8/'Price History'!E7-1),"")</f>
        <v>-0.00687966417910457</v>
      </c>
      <c r="F7" s="76" t="n">
        <f aca="false">IFERROR(IF(OR(NOT(ISNUMBER('Price History'!F8)),NOT(ISNUMBER('Price History'!F7)),'Price History'!F7=0),"",'Price History'!F8/'Price History'!F7-1),"")</f>
        <v>-0.0157068062827226</v>
      </c>
      <c r="G7" s="76" t="n">
        <f aca="false">IFERROR(IF(OR(NOT(ISNUMBER('Price History'!G8)),NOT(ISNUMBER('Price History'!G7)),'Price History'!G7=0),"",'Price History'!G8/'Price History'!G7-1),"")</f>
        <v>-0.087402049427366</v>
      </c>
      <c r="H7" s="76" t="n">
        <f aca="false">IFERROR(IF(OR(NOT(ISNUMBER('Price History'!H8)),NOT(ISNUMBER('Price History'!H7)),'Price History'!H7=0),"",'Price History'!H8/'Price History'!H7-1),"")</f>
        <v>-0.00427472214306091</v>
      </c>
      <c r="I7" s="76" t="n">
        <f aca="false">IFERROR(IF(OR(NOT(ISNUMBER('Price History'!I8)),NOT(ISNUMBER('Price History'!I7)),'Price History'!I7=0),"",'Price History'!I8/'Price History'!I7-1),"")</f>
        <v>-0.0366469168312487</v>
      </c>
      <c r="J7" s="76" t="n">
        <f aca="false">IFERROR(IF(OR(NOT(ISNUMBER('Price History'!J8)),NOT(ISNUMBER('Price History'!J7)),'Price History'!J7=0),"",'Price History'!J8/'Price History'!J7-1),"")</f>
        <v>0.0057152188112346</v>
      </c>
      <c r="K7" s="76" t="n">
        <f aca="false">IFERROR(IF(OR(NOT(ISNUMBER('Price History'!K8)),NOT(ISNUMBER('Price History'!K7)),'Price History'!K7=0),"",'Price History'!K8/'Price History'!K7-1),"")</f>
        <v>0.0132187706543292</v>
      </c>
      <c r="L7" s="76" t="n">
        <f aca="false">IFERROR(IF(OR(NOT(ISNUMBER('Price History'!L8)),NOT(ISNUMBER('Price History'!L7)),'Price History'!L7=0),"",'Price History'!L8/'Price History'!L7-1),"")</f>
        <v>-0.00435073627844718</v>
      </c>
      <c r="M7" s="76" t="n">
        <f aca="false">IFERROR(IF(OR(NOT(ISNUMBER('Price History'!M8)),NOT(ISNUMBER('Price History'!M7)),'Price History'!M7=0),"",'Price History'!M8/'Price History'!M7-1),"")</f>
        <v>-0.0262755102040817</v>
      </c>
      <c r="N7" s="76" t="n">
        <f aca="false">IFERROR(IF(OR(NOT(ISNUMBER('Price History'!N8)),NOT(ISNUMBER('Price History'!N7)),'Price History'!N7=0),"",'Price History'!N8/'Price History'!N7-1),"")</f>
        <v>0.0170529077393964</v>
      </c>
      <c r="O7" s="76" t="n">
        <f aca="false">IFERROR(IF(OR(NOT(ISNUMBER('Price History'!O8)),NOT(ISNUMBER('Price History'!O7)),'Price History'!O7=0),"",'Price History'!O8/'Price History'!O7-1),"")</f>
        <v>-0.00188655515029568</v>
      </c>
      <c r="P7" s="76" t="str">
        <f aca="false">IFERROR(IF(OR(NOT(ISNUMBER('Price History'!P8)),NOT(ISNUMBER('Price History'!P7)),'Price History'!P7=0),"",'Price History'!P8/'Price History'!P7-1),"")</f>
        <v/>
      </c>
      <c r="Q7" s="76" t="n">
        <f aca="false">IFERROR(IF(OR(NOT(ISNUMBER('Price History'!Q8)),NOT(ISNUMBER('Price History'!Q7)),'Price History'!Q7=0),"",'Price History'!Q8/'Price History'!Q7-1),"")</f>
        <v>0.0402051282051281</v>
      </c>
      <c r="R7" s="76" t="n">
        <f aca="false">IFERROR(IF(OR(NOT(ISNUMBER('Price History'!R8)),NOT(ISNUMBER('Price History'!R7)),'Price History'!R7=0),"",'Price History'!R8/'Price History'!R7-1),"")</f>
        <v>-0.000414679659962558</v>
      </c>
      <c r="S7" s="76" t="n">
        <f aca="false">IFERROR(IF(OR(NOT(ISNUMBER('Price History'!S8)),NOT(ISNUMBER('Price History'!S7)),'Price History'!S7=0),"",'Price History'!S8/'Price History'!S7-1),"")</f>
        <v>0</v>
      </c>
      <c r="T7" s="76" t="n">
        <f aca="false">IFERROR(IF(OR(NOT(ISNUMBER('Price History'!T8)),NOT(ISNUMBER('Price History'!T7)),'Price History'!T7=0),"",'Price History'!T8/'Price History'!T7-1),"")</f>
        <v>-0.0064223649414431</v>
      </c>
      <c r="U7" s="76" t="str">
        <f aca="false">IFERROR(IF(OR(NOT(ISNUMBER('Price History'!U8)),NOT(ISNUMBER('Price History'!U7)),'Price History'!U7=0),"",'Price History'!U8/'Price History'!U7-1),"")</f>
        <v/>
      </c>
      <c r="W7" s="77" t="n">
        <f aca="false">'Price History'!B3+('Price History'!B158-'Price History'!B3)*0.025974025974026</f>
        <v>501.747662337662</v>
      </c>
      <c r="X7" s="77" t="n">
        <f aca="false">'Price History'!C3+('Price History'!C158-'Price History'!C3)*0.025974025974026</f>
        <v>47.2883116883117</v>
      </c>
      <c r="Y7" s="77" t="n">
        <f aca="false">'Price History'!D3+('Price History'!D158-'Price History'!D3)*0.025974025974026</f>
        <v>686.902597402597</v>
      </c>
      <c r="Z7" s="77" t="n">
        <f aca="false">'Price History'!E3+('Price History'!E158-'Price History'!E3)*0.025974025974026</f>
        <v>90.9358441558442</v>
      </c>
      <c r="AA7" s="77" t="n">
        <f aca="false">'Price History'!F3+('Price History'!F158-'Price History'!F3)*0.025974025974026</f>
        <v>41.0548051948052</v>
      </c>
      <c r="AB7" s="77" t="n">
        <f aca="false">'Price History'!G3+('Price History'!G158-'Price History'!G3)*0.025974025974026</f>
        <v>51.4044155844156</v>
      </c>
      <c r="AC7" s="77" t="n">
        <f aca="false">'Price History'!H3+('Price History'!H158-'Price History'!H3)*0.025974025974026</f>
        <v>84.0754545454546</v>
      </c>
      <c r="AD7" s="77" t="n">
        <f aca="false">'Price History'!I3+('Price History'!I158-'Price History'!I3)*0.025974025974026</f>
        <v>45.0032467532468</v>
      </c>
      <c r="AE7" s="77" t="n">
        <f aca="false">'Price History'!J3+('Price History'!J158-'Price History'!J3)*0.025974025974026</f>
        <v>124.058051948052</v>
      </c>
      <c r="AF7" s="77" t="n">
        <f aca="false">'Price History'!K3+('Price History'!K158-'Price History'!K3)*0.025974025974026</f>
        <v>18.2061038961039</v>
      </c>
      <c r="AG7" s="77" t="n">
        <f aca="false">'Price History'!L3+('Price History'!L158-'Price History'!L3)*0.025974025974026</f>
        <v>100.100649350649</v>
      </c>
      <c r="AH7" s="77" t="n">
        <f aca="false">'Price History'!M3+('Price History'!M158-'Price History'!M3)*0.025974025974026</f>
        <v>38.9141558441559</v>
      </c>
      <c r="AI7" s="77" t="n">
        <f aca="false">'Price History'!N3+('Price History'!N158-'Price History'!N3)*0.025974025974026</f>
        <v>353.164935064935</v>
      </c>
      <c r="AJ7" s="77" t="n">
        <f aca="false">'Price History'!O3+('Price History'!O158-'Price History'!O3)*0.025974025974026</f>
        <v>83.9520779220779</v>
      </c>
      <c r="AK7" s="77" t="n">
        <f aca="false">'Price History'!Q3+('Price History'!Q151-'Price History'!Q3)*0.025974025974026</f>
        <v>50.3233766233766</v>
      </c>
      <c r="AL7" s="77" t="n">
        <f aca="false">'Price History'!R3+('Price History'!R158-'Price History'!R3)*0.025974025974026</f>
        <v>48.0909090909091</v>
      </c>
      <c r="AM7" s="77" t="n">
        <f aca="false">'Price History'!S3+('Price History'!S158-'Price History'!S3)*0.025974025974026</f>
        <v>60.7553246753247</v>
      </c>
      <c r="AN7" s="77" t="n">
        <f aca="false">'Price History'!T3+('Price History'!T158-'Price History'!T3)*0.025974025974026</f>
        <v>27.502987012987</v>
      </c>
    </row>
    <row r="8" customFormat="false" ht="15" hidden="false" customHeight="true" outlineLevel="0" collapsed="false">
      <c r="A8" s="49" t="n">
        <f aca="false">IF('Price History'!A9="","",'Price History'!A9)</f>
        <v>45191</v>
      </c>
      <c r="B8" s="76" t="n">
        <f aca="false">IFERROR(IF(OR(NOT(ISNUMBER('Price History'!B9)),NOT(ISNUMBER('Price History'!B8)),'Price History'!B8=0),"",'Price History'!B9/'Price History'!B8-1),"")</f>
        <v>-0.0302331297623325</v>
      </c>
      <c r="C8" s="76" t="n">
        <f aca="false">IFERROR(IF(OR(NOT(ISNUMBER('Price History'!C9)),NOT(ISNUMBER('Price History'!C8)),'Price History'!C8=0),"",'Price History'!C9/'Price History'!C8-1),"")</f>
        <v>-0.023603291468168</v>
      </c>
      <c r="D8" s="76" t="n">
        <f aca="false">IFERROR(IF(OR(NOT(ISNUMBER('Price History'!D9)),NOT(ISNUMBER('Price History'!D8)),'Price History'!D8=0),"",'Price History'!D9/'Price History'!D8-1),"")</f>
        <v>-0.0160225253913451</v>
      </c>
      <c r="E8" s="76" t="n">
        <f aca="false">IFERROR(IF(OR(NOT(ISNUMBER('Price History'!E9)),NOT(ISNUMBER('Price History'!E8)),'Price History'!E8=0),"",'Price History'!E9/'Price History'!E8-1),"")</f>
        <v>-0.0265351649641893</v>
      </c>
      <c r="F8" s="76" t="n">
        <f aca="false">IFERROR(IF(OR(NOT(ISNUMBER('Price History'!F9)),NOT(ISNUMBER('Price History'!F8)),'Price History'!F8=0),"",'Price History'!F9/'Price History'!F8-1),"")</f>
        <v>-0.0174081237911025</v>
      </c>
      <c r="G8" s="76" t="n">
        <f aca="false">IFERROR(IF(OR(NOT(ISNUMBER('Price History'!G9)),NOT(ISNUMBER('Price History'!G8)),'Price History'!G8=0),"",'Price History'!G9/'Price History'!G8-1),"")</f>
        <v>-0.00528401585204763</v>
      </c>
      <c r="H8" s="76" t="n">
        <f aca="false">IFERROR(IF(OR(NOT(ISNUMBER('Price History'!H9)),NOT(ISNUMBER('Price History'!H8)),'Price History'!H8=0),"",'Price History'!H9/'Price History'!H8-1),"")</f>
        <v>-0.0143102461362336</v>
      </c>
      <c r="I8" s="76" t="n">
        <f aca="false">IFERROR(IF(OR(NOT(ISNUMBER('Price History'!I9)),NOT(ISNUMBER('Price History'!I8)),'Price History'!I8=0),"",'Price History'!I9/'Price History'!I8-1),"")</f>
        <v>-0.0521640091116173</v>
      </c>
      <c r="J8" s="76" t="n">
        <f aca="false">IFERROR(IF(OR(NOT(ISNUMBER('Price History'!J9)),NOT(ISNUMBER('Price History'!J8)),'Price History'!J8=0),"",'Price History'!J9/'Price History'!J8-1),"")</f>
        <v>-0.0739568111706447</v>
      </c>
      <c r="K8" s="76" t="n">
        <f aca="false">IFERROR(IF(OR(NOT(ISNUMBER('Price History'!K9)),NOT(ISNUMBER('Price History'!K8)),'Price History'!K8=0),"",'Price History'!K9/'Price History'!K8-1),"")</f>
        <v>-0.0782778864970646</v>
      </c>
      <c r="L8" s="76" t="n">
        <f aca="false">IFERROR(IF(OR(NOT(ISNUMBER('Price History'!L9)),NOT(ISNUMBER('Price History'!L8)),'Price History'!L8=0),"",'Price History'!L9/'Price History'!L8-1),"")</f>
        <v>-0.0404481792717086</v>
      </c>
      <c r="M8" s="76" t="n">
        <f aca="false">IFERROR(IF(OR(NOT(ISNUMBER('Price History'!M9)),NOT(ISNUMBER('Price History'!M8)),'Price History'!M8=0),"",'Price History'!M9/'Price History'!M8-1),"")</f>
        <v>-0.0450615666753995</v>
      </c>
      <c r="N8" s="76" t="n">
        <f aca="false">IFERROR(IF(OR(NOT(ISNUMBER('Price History'!N9)),NOT(ISNUMBER('Price History'!N8)),'Price History'!N8=0),"",'Price History'!N9/'Price History'!N8-1),"")</f>
        <v>0.00180567497850381</v>
      </c>
      <c r="O8" s="76" t="n">
        <f aca="false">IFERROR(IF(OR(NOT(ISNUMBER('Price History'!O9)),NOT(ISNUMBER('Price History'!O8)),'Price History'!O8=0),"",'Price History'!O9/'Price History'!O8-1),"")</f>
        <v>-0.0336441532258065</v>
      </c>
      <c r="P8" s="76" t="str">
        <f aca="false">IFERROR(IF(OR(NOT(ISNUMBER('Price History'!P9)),NOT(ISNUMBER('Price History'!P8)),'Price History'!P8=0),"",'Price History'!P9/'Price History'!P8-1),"")</f>
        <v/>
      </c>
      <c r="Q8" s="76" t="n">
        <f aca="false">IFERROR(IF(OR(NOT(ISNUMBER('Price History'!Q9)),NOT(ISNUMBER('Price History'!Q8)),'Price History'!Q8=0),"",'Price History'!Q9/'Price History'!Q8-1),"")</f>
        <v>0.0100571879313744</v>
      </c>
      <c r="R8" s="76" t="n">
        <f aca="false">IFERROR(IF(OR(NOT(ISNUMBER('Price History'!R9)),NOT(ISNUMBER('Price History'!R8)),'Price History'!R8=0),"",'Price History'!R9/'Price History'!R8-1),"")</f>
        <v>-0.0269653598838416</v>
      </c>
      <c r="S8" s="76" t="n">
        <f aca="false">IFERROR(IF(OR(NOT(ISNUMBER('Price History'!S9)),NOT(ISNUMBER('Price History'!S8)),'Price History'!S8=0),"",'Price History'!S9/'Price History'!S8-1),"")</f>
        <v>-0.0288997802940679</v>
      </c>
      <c r="T8" s="76" t="n">
        <f aca="false">IFERROR(IF(OR(NOT(ISNUMBER('Price History'!T9)),NOT(ISNUMBER('Price History'!T8)),'Price History'!T8=0),"",'Price History'!T9/'Price History'!T8-1),"")</f>
        <v>-0.0148288973384031</v>
      </c>
      <c r="U8" s="76" t="str">
        <f aca="false">IFERROR(IF(OR(NOT(ISNUMBER('Price History'!U9)),NOT(ISNUMBER('Price History'!U8)),'Price History'!U8=0),"",'Price History'!U9/'Price History'!U8-1),"")</f>
        <v/>
      </c>
      <c r="W8" s="77" t="n">
        <f aca="false">'Price History'!B3+('Price History'!B158-'Price History'!B3)*0.0324675324675325</f>
        <v>500.072077922078</v>
      </c>
      <c r="X8" s="77" t="n">
        <f aca="false">'Price History'!C3+('Price History'!C158-'Price History'!C3)*0.0324675324675325</f>
        <v>48.1753896103896</v>
      </c>
      <c r="Y8" s="77" t="n">
        <f aca="false">'Price History'!D3+('Price History'!D158-'Price History'!D3)*0.0324675324675325</f>
        <v>693.183246753247</v>
      </c>
      <c r="Z8" s="77" t="n">
        <f aca="false">'Price History'!E3+('Price History'!E158-'Price History'!E3)*0.0324675324675325</f>
        <v>92.9248051948052</v>
      </c>
      <c r="AA8" s="77" t="n">
        <f aca="false">'Price History'!F3+('Price History'!F158-'Price History'!F3)*0.0324675324675325</f>
        <v>42.0535064935065</v>
      </c>
      <c r="AB8" s="77" t="n">
        <f aca="false">'Price History'!G3+('Price History'!G158-'Price History'!G3)*0.0324675324675325</f>
        <v>52.2805194805195</v>
      </c>
      <c r="AC8" s="77" t="n">
        <f aca="false">'Price History'!H3+('Price History'!H158-'Price History'!H3)*0.0324675324675325</f>
        <v>89.0018181818182</v>
      </c>
      <c r="AD8" s="77" t="n">
        <f aca="false">'Price History'!I3+('Price History'!I158-'Price History'!I3)*0.0324675324675325</f>
        <v>46.0415584415585</v>
      </c>
      <c r="AE8" s="77" t="n">
        <f aca="false">'Price History'!J3+('Price History'!J158-'Price History'!J3)*0.0324675324675325</f>
        <v>124.195064935065</v>
      </c>
      <c r="AF8" s="77" t="n">
        <f aca="false">'Price History'!K3+('Price History'!K158-'Price History'!K3)*0.0324675324675325</f>
        <v>18.9051298701299</v>
      </c>
      <c r="AG8" s="77" t="n">
        <f aca="false">'Price History'!L3+('Price History'!L158-'Price History'!L3)*0.0324675324675325</f>
        <v>102.128311688312</v>
      </c>
      <c r="AH8" s="77" t="n">
        <f aca="false">'Price History'!M3+('Price History'!M158-'Price History'!M3)*0.0324675324675325</f>
        <v>40.2651948051948</v>
      </c>
      <c r="AI8" s="77" t="n">
        <f aca="false">'Price History'!N3+('Price History'!N158-'Price History'!N3)*0.0324675324675325</f>
        <v>353.991168831169</v>
      </c>
      <c r="AJ8" s="77" t="n">
        <f aca="false">'Price History'!O3+('Price History'!O158-'Price History'!O3)*0.0324675324675325</f>
        <v>84.2275974025974</v>
      </c>
      <c r="AK8" s="77" t="n">
        <f aca="false">'Price History'!Q3+('Price History'!Q151-'Price History'!Q3)*0.0324675324675325</f>
        <v>50.4442207792208</v>
      </c>
      <c r="AL8" s="77" t="n">
        <f aca="false">'Price History'!R3+('Price History'!R158-'Price History'!R3)*0.0324675324675325</f>
        <v>48.1586363636364</v>
      </c>
      <c r="AM8" s="77" t="n">
        <f aca="false">'Price History'!S3+('Price History'!S158-'Price History'!S3)*0.0324675324675325</f>
        <v>61.3091558441558</v>
      </c>
      <c r="AN8" s="77" t="n">
        <f aca="false">'Price History'!T3+('Price History'!T158-'Price History'!T3)*0.0324675324675325</f>
        <v>27.6512337662338</v>
      </c>
    </row>
    <row r="9" customFormat="false" ht="15" hidden="false" customHeight="true" outlineLevel="0" collapsed="false">
      <c r="A9" s="49" t="n">
        <f aca="false">IF('Price History'!A10="","",'Price History'!A10)</f>
        <v>45198</v>
      </c>
      <c r="B9" s="76" t="n">
        <f aca="false">IFERROR(IF(OR(NOT(ISNUMBER('Price History'!B10)),NOT(ISNUMBER('Price History'!B9)),'Price History'!B9=0),"",'Price History'!B10/'Price History'!B9-1),"")</f>
        <v>-0.00584909339052442</v>
      </c>
      <c r="C9" s="76" t="n">
        <f aca="false">IFERROR(IF(OR(NOT(ISNUMBER('Price History'!C10)),NOT(ISNUMBER('Price History'!C9)),'Price History'!C9=0),"",'Price History'!C10/'Price History'!C9-1),"")</f>
        <v>0.0197383011754269</v>
      </c>
      <c r="D9" s="76" t="n">
        <f aca="false">IFERROR(IF(OR(NOT(ISNUMBER('Price History'!D10)),NOT(ISNUMBER('Price History'!D9)),'Price History'!D9=0),"",'Price History'!D10/'Price History'!D9-1),"")</f>
        <v>0.00265712825753695</v>
      </c>
      <c r="E9" s="76" t="n">
        <f aca="false">IFERROR(IF(OR(NOT(ISNUMBER('Price History'!E10)),NOT(ISNUMBER('Price History'!E9)),'Price History'!E9=0),"",'Price History'!E10/'Price History'!E9-1),"")</f>
        <v>0.00180919068869856</v>
      </c>
      <c r="F9" s="76" t="n">
        <f aca="false">IFERROR(IF(OR(NOT(ISNUMBER('Price History'!F10)),NOT(ISNUMBER('Price History'!F9)),'Price History'!F9=0),"",'Price History'!F10/'Price History'!F9-1),"")</f>
        <v>0.0297736220472442</v>
      </c>
      <c r="G9" s="76" t="n">
        <f aca="false">IFERROR(IF(OR(NOT(ISNUMBER('Price History'!G10)),NOT(ISNUMBER('Price History'!G9)),'Price History'!G9=0),"",'Price History'!G10/'Price History'!G9-1),"")</f>
        <v>0.0152722443559097</v>
      </c>
      <c r="H9" s="76" t="n">
        <f aca="false">IFERROR(IF(OR(NOT(ISNUMBER('Price History'!H10)),NOT(ISNUMBER('Price History'!H9)),'Price History'!H9=0),"",'Price History'!H10/'Price History'!H9-1),"")</f>
        <v>-0.0123403019744482</v>
      </c>
      <c r="I9" s="76" t="n">
        <f aca="false">IFERROR(IF(OR(NOT(ISNUMBER('Price History'!I10)),NOT(ISNUMBER('Price History'!I9)),'Price History'!I9=0),"",'Price History'!I10/'Price History'!I9-1),"")</f>
        <v>0.0454217736121125</v>
      </c>
      <c r="J9" s="76" t="n">
        <f aca="false">IFERROR(IF(OR(NOT(ISNUMBER('Price History'!J10)),NOT(ISNUMBER('Price History'!J9)),'Price History'!J9=0),"",'Price History'!J10/'Price History'!J9-1),"")</f>
        <v>-0.0163057771543789</v>
      </c>
      <c r="K9" s="76" t="n">
        <f aca="false">IFERROR(IF(OR(NOT(ISNUMBER('Price History'!K10)),NOT(ISNUMBER('Price History'!K9)),'Price History'!K9=0),"",'Price History'!K10/'Price History'!K9-1),"")</f>
        <v>0.132342533616419</v>
      </c>
      <c r="L9" s="76" t="n">
        <f aca="false">IFERROR(IF(OR(NOT(ISNUMBER('Price History'!L10)),NOT(ISNUMBER('Price History'!L9)),'Price History'!L9=0),"",'Price History'!L10/'Price History'!L9-1),"")</f>
        <v>0.0147127510509109</v>
      </c>
      <c r="M9" s="76" t="n">
        <f aca="false">IFERROR(IF(OR(NOT(ISNUMBER('Price History'!M10)),NOT(ISNUMBER('Price History'!M9)),'Price History'!M9=0),"",'Price History'!M10/'Price History'!M9-1),"")</f>
        <v>0.0205761316872428</v>
      </c>
      <c r="N9" s="76" t="n">
        <f aca="false">IFERROR(IF(OR(NOT(ISNUMBER('Price History'!N10)),NOT(ISNUMBER('Price History'!N9)),'Price History'!N9=0),"",'Price History'!N10/'Price History'!N9-1),"")</f>
        <v>-0.00512116270420271</v>
      </c>
      <c r="O9" s="76" t="n">
        <f aca="false">IFERROR(IF(OR(NOT(ISNUMBER('Price History'!O10)),NOT(ISNUMBER('Price History'!O9)),'Price History'!O9=0),"",'Price History'!O10/'Price History'!O9-1),"")</f>
        <v>0.0164297822401878</v>
      </c>
      <c r="P9" s="76" t="str">
        <f aca="false">IFERROR(IF(OR(NOT(ISNUMBER('Price History'!P10)),NOT(ISNUMBER('Price History'!P9)),'Price History'!P9=0),"",'Price History'!P10/'Price History'!P9-1),"")</f>
        <v/>
      </c>
      <c r="Q9" s="76" t="n">
        <f aca="false">IFERROR(IF(OR(NOT(ISNUMBER('Price History'!Q10)),NOT(ISNUMBER('Price History'!Q9)),'Price History'!Q9=0),"",'Price History'!Q10/'Price History'!Q9-1),"")</f>
        <v>0.0130808278016401</v>
      </c>
      <c r="R9" s="76" t="n">
        <f aca="false">IFERROR(IF(OR(NOT(ISNUMBER('Price History'!R10)),NOT(ISNUMBER('Price History'!R9)),'Price History'!R9=0),"",'Price History'!R10/'Price History'!R9-1),"")</f>
        <v>0.000426348326582948</v>
      </c>
      <c r="S9" s="76" t="n">
        <f aca="false">IFERROR(IF(OR(NOT(ISNUMBER('Price History'!S10)),NOT(ISNUMBER('Price History'!S9)),'Price History'!S9=0),"",'Price History'!S10/'Price History'!S9-1),"")</f>
        <v>-0.00313261399234255</v>
      </c>
      <c r="T9" s="76" t="n">
        <f aca="false">IFERROR(IF(OR(NOT(ISNUMBER('Price History'!T10)),NOT(ISNUMBER('Price History'!T9)),'Price History'!T9=0),"",'Price History'!T10/'Price History'!T9-1),"")</f>
        <v>0.00270165959089153</v>
      </c>
      <c r="U9" s="76" t="str">
        <f aca="false">IFERROR(IF(OR(NOT(ISNUMBER('Price History'!U10)),NOT(ISNUMBER('Price History'!U9)),'Price History'!U9=0),"",'Price History'!U10/'Price History'!U9-1),"")</f>
        <v/>
      </c>
      <c r="W9" s="77" t="n">
        <f aca="false">'Price History'!B3+('Price History'!B158-'Price History'!B3)*0.038961038961039</f>
        <v>498.396493506493</v>
      </c>
      <c r="X9" s="77" t="n">
        <f aca="false">'Price History'!C3+('Price History'!C158-'Price History'!C3)*0.038961038961039</f>
        <v>49.0624675324675</v>
      </c>
      <c r="Y9" s="77" t="n">
        <f aca="false">'Price History'!D3+('Price History'!D158-'Price History'!D3)*0.038961038961039</f>
        <v>699.463896103896</v>
      </c>
      <c r="Z9" s="77" t="n">
        <f aca="false">'Price History'!E3+('Price History'!E158-'Price History'!E3)*0.038961038961039</f>
        <v>94.9137662337663</v>
      </c>
      <c r="AA9" s="77" t="n">
        <f aca="false">'Price History'!F3+('Price History'!F158-'Price History'!F3)*0.038961038961039</f>
        <v>43.0522077922078</v>
      </c>
      <c r="AB9" s="77" t="n">
        <f aca="false">'Price History'!G3+('Price History'!G158-'Price History'!G3)*0.038961038961039</f>
        <v>53.1566233766234</v>
      </c>
      <c r="AC9" s="77" t="n">
        <f aca="false">'Price History'!H3+('Price History'!H158-'Price History'!H3)*0.038961038961039</f>
        <v>93.9281818181819</v>
      </c>
      <c r="AD9" s="77" t="n">
        <f aca="false">'Price History'!I3+('Price History'!I158-'Price History'!I3)*0.038961038961039</f>
        <v>47.0798701298701</v>
      </c>
      <c r="AE9" s="77" t="n">
        <f aca="false">'Price History'!J3+('Price History'!J158-'Price History'!J3)*0.038961038961039</f>
        <v>124.332077922078</v>
      </c>
      <c r="AF9" s="77" t="n">
        <f aca="false">'Price History'!K3+('Price History'!K158-'Price History'!K3)*0.038961038961039</f>
        <v>19.6041558441558</v>
      </c>
      <c r="AG9" s="77" t="n">
        <f aca="false">'Price History'!L3+('Price History'!L158-'Price History'!L3)*0.038961038961039</f>
        <v>104.155974025974</v>
      </c>
      <c r="AH9" s="77" t="n">
        <f aca="false">'Price History'!M3+('Price History'!M158-'Price History'!M3)*0.038961038961039</f>
        <v>41.6162337662338</v>
      </c>
      <c r="AI9" s="77" t="n">
        <f aca="false">'Price History'!N3+('Price History'!N158-'Price History'!N3)*0.038961038961039</f>
        <v>354.817402597403</v>
      </c>
      <c r="AJ9" s="77" t="n">
        <f aca="false">'Price History'!O3+('Price History'!O158-'Price History'!O3)*0.038961038961039</f>
        <v>84.5031168831169</v>
      </c>
      <c r="AK9" s="77" t="n">
        <f aca="false">'Price History'!Q3+('Price History'!Q151-'Price History'!Q3)*0.038961038961039</f>
        <v>50.5650649350649</v>
      </c>
      <c r="AL9" s="77" t="n">
        <f aca="false">'Price History'!R3+('Price History'!R158-'Price History'!R3)*0.038961038961039</f>
        <v>48.2263636363636</v>
      </c>
      <c r="AM9" s="77" t="n">
        <f aca="false">'Price History'!S3+('Price History'!S158-'Price History'!S3)*0.038961038961039</f>
        <v>61.862987012987</v>
      </c>
      <c r="AN9" s="77" t="n">
        <f aca="false">'Price History'!T3+('Price History'!T158-'Price History'!T3)*0.038961038961039</f>
        <v>27.7994805194805</v>
      </c>
    </row>
    <row r="10" customFormat="false" ht="15" hidden="false" customHeight="true" outlineLevel="0" collapsed="false">
      <c r="A10" s="49" t="n">
        <f aca="false">IF('Price History'!A11="","",'Price History'!A11)</f>
        <v>45205</v>
      </c>
      <c r="B10" s="76" t="n">
        <f aca="false">IFERROR(IF(OR(NOT(ISNUMBER('Price History'!B11)),NOT(ISNUMBER('Price History'!B10)),'Price History'!B10=0),"",'Price History'!B11/'Price History'!B10-1),"")</f>
        <v>0.0329084134143949</v>
      </c>
      <c r="C10" s="76" t="n">
        <f aca="false">IFERROR(IF(OR(NOT(ISNUMBER('Price History'!C11)),NOT(ISNUMBER('Price History'!C10)),'Price History'!C10=0),"",'Price History'!C11/'Price History'!C10-1),"")</f>
        <v>0.0550239234449761</v>
      </c>
      <c r="D10" s="76" t="n">
        <f aca="false">IFERROR(IF(OR(NOT(ISNUMBER('Price History'!D11)),NOT(ISNUMBER('Price History'!D10)),'Price History'!D10=0),"",'Price History'!D11/'Price History'!D10-1),"")</f>
        <v>0.014779329324228</v>
      </c>
      <c r="E10" s="76" t="n">
        <f aca="false">IFERROR(IF(OR(NOT(ISNUMBER('Price History'!E11)),NOT(ISNUMBER('Price History'!E10)),'Price History'!E10=0),"",'Price History'!E11/'Price History'!E10-1),"")</f>
        <v>0.0176980496026968</v>
      </c>
      <c r="F10" s="76" t="n">
        <f aca="false">IFERROR(IF(OR(NOT(ISNUMBER('Price History'!F11)),NOT(ISNUMBER('Price History'!F10)),'Price History'!F10=0),"",'Price History'!F11/'Price History'!F10-1),"")</f>
        <v>0.055436081242533</v>
      </c>
      <c r="G10" s="76" t="n">
        <f aca="false">IFERROR(IF(OR(NOT(ISNUMBER('Price History'!G11)),NOT(ISNUMBER('Price History'!G10)),'Price History'!G10=0),"",'Price History'!G11/'Price History'!G10-1),"")</f>
        <v>0.0204926967516896</v>
      </c>
      <c r="H10" s="76" t="n">
        <f aca="false">IFERROR(IF(OR(NOT(ISNUMBER('Price History'!H11)),NOT(ISNUMBER('Price History'!H10)),'Price History'!H10=0),"",'Price History'!H11/'Price History'!H10-1),"")</f>
        <v>0.0283698368366896</v>
      </c>
      <c r="I10" s="76" t="n">
        <f aca="false">IFERROR(IF(OR(NOT(ISNUMBER('Price History'!I11)),NOT(ISNUMBER('Price History'!I10)),'Price History'!I10=0),"",'Price History'!I11/'Price History'!I10-1),"")</f>
        <v>0.0519540229885056</v>
      </c>
      <c r="J10" s="76" t="n">
        <f aca="false">IFERROR(IF(OR(NOT(ISNUMBER('Price History'!J11)),NOT(ISNUMBER('Price History'!J10)),'Price History'!J10=0),"",'Price History'!J11/'Price History'!J10-1),"")</f>
        <v>-0.0294091435700917</v>
      </c>
      <c r="K10" s="76" t="n">
        <f aca="false">IFERROR(IF(OR(NOT(ISNUMBER('Price History'!K11)),NOT(ISNUMBER('Price History'!K10)),'Price History'!K10=0),"",'Price History'!K11/'Price History'!K10-1),"")</f>
        <v>0.038125</v>
      </c>
      <c r="L10" s="76" t="n">
        <f aca="false">IFERROR(IF(OR(NOT(ISNUMBER('Price History'!L11)),NOT(ISNUMBER('Price History'!L10)),'Price History'!L10=0),"",'Price History'!L11/'Price History'!L10-1),"")</f>
        <v>0.0275028768699654</v>
      </c>
      <c r="M10" s="76" t="n">
        <f aca="false">IFERROR(IF(OR(NOT(ISNUMBER('Price History'!M11)),NOT(ISNUMBER('Price History'!M10)),'Price History'!M10=0),"",'Price History'!M11/'Price History'!M10-1),"")</f>
        <v>0.0690860215053764</v>
      </c>
      <c r="N10" s="76" t="n">
        <f aca="false">IFERROR(IF(OR(NOT(ISNUMBER('Price History'!N11)),NOT(ISNUMBER('Price History'!N10)),'Price History'!N10=0),"",'Price History'!N11/'Price History'!N10-1),"")</f>
        <v>0.0370391671938806</v>
      </c>
      <c r="O10" s="76" t="n">
        <f aca="false">IFERROR(IF(OR(NOT(ISNUMBER('Price History'!O11)),NOT(ISNUMBER('Price History'!O10)),'Price History'!O10=0),"",'Price History'!O11/'Price History'!O10-1),"")</f>
        <v>-0.030147530468249</v>
      </c>
      <c r="P10" s="76" t="str">
        <f aca="false">IFERROR(IF(OR(NOT(ISNUMBER('Price History'!P11)),NOT(ISNUMBER('Price History'!P10)),'Price History'!P10=0),"",'Price History'!P11/'Price History'!P10-1),"")</f>
        <v/>
      </c>
      <c r="Q10" s="76" t="n">
        <f aca="false">IFERROR(IF(OR(NOT(ISNUMBER('Price History'!Q11)),NOT(ISNUMBER('Price History'!Q10)),'Price History'!Q10=0),"",'Price History'!Q11/'Price History'!Q10-1),"")</f>
        <v>0.00443245326652519</v>
      </c>
      <c r="R10" s="76" t="n">
        <f aca="false">IFERROR(IF(OR(NOT(ISNUMBER('Price History'!R11)),NOT(ISNUMBER('Price History'!R10)),'Price History'!R10=0),"",'Price History'!R11/'Price History'!R10-1),"")</f>
        <v>0.0042616663115278</v>
      </c>
      <c r="S10" s="76" t="n">
        <f aca="false">IFERROR(IF(OR(NOT(ISNUMBER('Price History'!S11)),NOT(ISNUMBER('Price History'!S10)),'Price History'!S10=0),"",'Price History'!S11/'Price History'!S10-1),"")</f>
        <v>0.011173184357542</v>
      </c>
      <c r="T10" s="76" t="n">
        <f aca="false">IFERROR(IF(OR(NOT(ISNUMBER('Price History'!T11)),NOT(ISNUMBER('Price History'!T10)),'Price History'!T10=0),"",'Price History'!T11/'Price History'!T10-1),"")</f>
        <v>-0.0184757505773672</v>
      </c>
      <c r="U10" s="76" t="str">
        <f aca="false">IFERROR(IF(OR(NOT(ISNUMBER('Price History'!U11)),NOT(ISNUMBER('Price History'!U10)),'Price History'!U10=0),"",'Price History'!U11/'Price History'!U10-1),"")</f>
        <v/>
      </c>
      <c r="W10" s="77" t="n">
        <f aca="false">'Price History'!B3+('Price History'!B158-'Price History'!B3)*0.0454545454545455</f>
        <v>496.720909090909</v>
      </c>
      <c r="X10" s="77" t="n">
        <f aca="false">'Price History'!C3+('Price History'!C158-'Price History'!C3)*0.0454545454545455</f>
        <v>49.9495454545455</v>
      </c>
      <c r="Y10" s="77" t="n">
        <f aca="false">'Price History'!D3+('Price History'!D158-'Price History'!D3)*0.0454545454545455</f>
        <v>705.744545454546</v>
      </c>
      <c r="Z10" s="77" t="n">
        <f aca="false">'Price History'!E3+('Price History'!E158-'Price History'!E3)*0.0454545454545455</f>
        <v>96.9027272727273</v>
      </c>
      <c r="AA10" s="77" t="n">
        <f aca="false">'Price History'!F3+('Price History'!F158-'Price History'!F3)*0.0454545454545455</f>
        <v>44.0509090909091</v>
      </c>
      <c r="AB10" s="77" t="n">
        <f aca="false">'Price History'!G3+('Price History'!G158-'Price History'!G3)*0.0454545454545455</f>
        <v>54.0327272727273</v>
      </c>
      <c r="AC10" s="77" t="n">
        <f aca="false">'Price History'!H3+('Price History'!H158-'Price History'!H3)*0.0454545454545455</f>
        <v>98.8545454545455</v>
      </c>
      <c r="AD10" s="77" t="n">
        <f aca="false">'Price History'!I3+('Price History'!I158-'Price History'!I3)*0.0454545454545455</f>
        <v>48.1181818181818</v>
      </c>
      <c r="AE10" s="77" t="n">
        <f aca="false">'Price History'!J3+('Price History'!J158-'Price History'!J3)*0.0454545454545455</f>
        <v>124.469090909091</v>
      </c>
      <c r="AF10" s="77" t="n">
        <f aca="false">'Price History'!K3+('Price History'!K158-'Price History'!K3)*0.0454545454545455</f>
        <v>20.3031818181818</v>
      </c>
      <c r="AG10" s="77" t="n">
        <f aca="false">'Price History'!L3+('Price History'!L158-'Price History'!L3)*0.0454545454545455</f>
        <v>106.183636363636</v>
      </c>
      <c r="AH10" s="77" t="n">
        <f aca="false">'Price History'!M3+('Price History'!M158-'Price History'!M3)*0.0454545454545455</f>
        <v>42.9672727272727</v>
      </c>
      <c r="AI10" s="77" t="n">
        <f aca="false">'Price History'!N3+('Price History'!N158-'Price History'!N3)*0.0454545454545455</f>
        <v>355.643636363636</v>
      </c>
      <c r="AJ10" s="77" t="n">
        <f aca="false">'Price History'!O3+('Price History'!O158-'Price History'!O3)*0.0454545454545455</f>
        <v>84.7786363636364</v>
      </c>
      <c r="AK10" s="77" t="n">
        <f aca="false">'Price History'!Q3+('Price History'!Q151-'Price History'!Q3)*0.0454545454545455</f>
        <v>50.6859090909091</v>
      </c>
      <c r="AL10" s="77" t="n">
        <f aca="false">'Price History'!R3+('Price History'!R158-'Price History'!R3)*0.0454545454545455</f>
        <v>48.2940909090909</v>
      </c>
      <c r="AM10" s="77" t="n">
        <f aca="false">'Price History'!S3+('Price History'!S158-'Price History'!S3)*0.0454545454545455</f>
        <v>62.4168181818182</v>
      </c>
      <c r="AN10" s="77" t="n">
        <f aca="false">'Price History'!T3+('Price History'!T158-'Price History'!T3)*0.0454545454545455</f>
        <v>27.9477272727273</v>
      </c>
    </row>
    <row r="11" customFormat="false" ht="15" hidden="false" customHeight="true" outlineLevel="0" collapsed="false">
      <c r="A11" s="49" t="n">
        <f aca="false">IF('Price History'!A12="","",'Price History'!A12)</f>
        <v>45212</v>
      </c>
      <c r="B11" s="76" t="n">
        <f aca="false">IFERROR(IF(OR(NOT(ISNUMBER('Price History'!B12)),NOT(ISNUMBER('Price History'!B11)),'Price History'!B11=0),"",'Price History'!B12/'Price History'!B11-1),"")</f>
        <v>0.0419229892914104</v>
      </c>
      <c r="C11" s="76" t="n">
        <f aca="false">IFERROR(IF(OR(NOT(ISNUMBER('Price History'!C12)),NOT(ISNUMBER('Price History'!C11)),'Price History'!C11=0),"",'Price History'!C12/'Price History'!C11-1),"")</f>
        <v>-0.0216450216450216</v>
      </c>
      <c r="D11" s="76" t="n">
        <f aca="false">IFERROR(IF(OR(NOT(ISNUMBER('Price History'!D12)),NOT(ISNUMBER('Price History'!D11)),'Price History'!D11=0),"",'Price History'!D12/'Price History'!D11-1),"")</f>
        <v>0.00400093745814911</v>
      </c>
      <c r="E11" s="76" t="n">
        <f aca="false">IFERROR(IF(OR(NOT(ISNUMBER('Price History'!E12)),NOT(ISNUMBER('Price History'!E11)),'Price History'!E11=0),"",'Price History'!E12/'Price History'!E11-1),"")</f>
        <v>0.0448361528451438</v>
      </c>
      <c r="F11" s="76" t="n">
        <f aca="false">IFERROR(IF(OR(NOT(ISNUMBER('Price History'!F12)),NOT(ISNUMBER('Price History'!F11)),'Price History'!F11=0),"",'Price History'!F12/'Price History'!F11-1),"")</f>
        <v>0.0511659497396422</v>
      </c>
      <c r="G11" s="76" t="n">
        <f aca="false">IFERROR(IF(OR(NOT(ISNUMBER('Price History'!G12)),NOT(ISNUMBER('Price History'!G11)),'Price History'!G11=0),"",'Price History'!G12/'Price History'!G11-1),"")</f>
        <v>0.0399487289040803</v>
      </c>
      <c r="H11" s="76" t="n">
        <f aca="false">IFERROR(IF(OR(NOT(ISNUMBER('Price History'!H12)),NOT(ISNUMBER('Price History'!H11)),'Price History'!H11=0),"",'Price History'!H12/'Price History'!H11-1),"")</f>
        <v>-0.0107204116638079</v>
      </c>
      <c r="I11" s="76" t="n">
        <f aca="false">IFERROR(IF(OR(NOT(ISNUMBER('Price History'!I12)),NOT(ISNUMBER('Price History'!I11)),'Price History'!I11=0),"",'Price History'!I12/'Price History'!I11-1),"")</f>
        <v>-0.00655594405594395</v>
      </c>
      <c r="J11" s="76" t="n">
        <f aca="false">IFERROR(IF(OR(NOT(ISNUMBER('Price History'!J12)),NOT(ISNUMBER('Price History'!J11)),'Price History'!J11=0),"",'Price History'!J12/'Price History'!J11-1),"")</f>
        <v>0.0067946010467359</v>
      </c>
      <c r="K11" s="76" t="n">
        <f aca="false">IFERROR(IF(OR(NOT(ISNUMBER('Price History'!K12)),NOT(ISNUMBER('Price History'!K11)),'Price History'!K11=0),"",'Price History'!K12/'Price History'!K11-1),"")</f>
        <v>0.0451535219747141</v>
      </c>
      <c r="L11" s="76" t="n">
        <f aca="false">IFERROR(IF(OR(NOT(ISNUMBER('Price History'!L12)),NOT(ISNUMBER('Price History'!L11)),'Price History'!L11=0),"",'Price History'!L12/'Price History'!L11-1),"")</f>
        <v>0.01310337103819</v>
      </c>
      <c r="M11" s="76" t="n">
        <f aca="false">IFERROR(IF(OR(NOT(ISNUMBER('Price History'!M12)),NOT(ISNUMBER('Price History'!M11)),'Price History'!M11=0),"",'Price History'!M12/'Price History'!M11-1),"")</f>
        <v>-0.0168468694996229</v>
      </c>
      <c r="N11" s="76" t="n">
        <f aca="false">IFERROR(IF(OR(NOT(ISNUMBER('Price History'!N12)),NOT(ISNUMBER('Price History'!N11)),'Price History'!N11=0),"",'Price History'!N12/'Price History'!N11-1),"")</f>
        <v>0.0287837612999833</v>
      </c>
      <c r="O11" s="76" t="n">
        <f aca="false">IFERROR(IF(OR(NOT(ISNUMBER('Price History'!O12)),NOT(ISNUMBER('Price History'!O11)),'Price History'!O11=0),"",'Price History'!O12/'Price History'!O11-1),"")</f>
        <v>0.00264550264550278</v>
      </c>
      <c r="P11" s="76" t="str">
        <f aca="false">IFERROR(IF(OR(NOT(ISNUMBER('Price History'!P12)),NOT(ISNUMBER('Price History'!P11)),'Price History'!P11=0),"",'Price History'!P12/'Price History'!P11-1),"")</f>
        <v/>
      </c>
      <c r="Q11" s="76" t="n">
        <f aca="false">IFERROR(IF(OR(NOT(ISNUMBER('Price History'!Q12)),NOT(ISNUMBER('Price History'!Q11)),'Price History'!Q11=0),"",'Price History'!Q12/'Price History'!Q11-1),"")</f>
        <v>0.000959324635456671</v>
      </c>
      <c r="R11" s="76" t="n">
        <f aca="false">IFERROR(IF(OR(NOT(ISNUMBER('Price History'!R12)),NOT(ISNUMBER('Price History'!R11)),'Price History'!R11=0),"",'Price History'!R12/'Price History'!R11-1),"")</f>
        <v>0.00275832802885634</v>
      </c>
      <c r="S11" s="76" t="n">
        <f aca="false">IFERROR(IF(OR(NOT(ISNUMBER('Price History'!S12)),NOT(ISNUMBER('Price History'!S11)),'Price History'!S11=0),"",'Price History'!S12/'Price History'!S11-1),"")</f>
        <v>0.00569751381215466</v>
      </c>
      <c r="T11" s="76" t="n">
        <f aca="false">IFERROR(IF(OR(NOT(ISNUMBER('Price History'!T12)),NOT(ISNUMBER('Price History'!T11)),'Price History'!T11=0),"",'Price History'!T12/'Price History'!T11-1),"")</f>
        <v>0.0129411764705882</v>
      </c>
      <c r="U11" s="76" t="str">
        <f aca="false">IFERROR(IF(OR(NOT(ISNUMBER('Price History'!U12)),NOT(ISNUMBER('Price History'!U11)),'Price History'!U11=0),"",'Price History'!U12/'Price History'!U11-1),"")</f>
        <v/>
      </c>
      <c r="W11" s="77" t="n">
        <f aca="false">'Price History'!B3+('Price History'!B158-'Price History'!B3)*0.051948051948052</f>
        <v>495.045324675325</v>
      </c>
      <c r="X11" s="77" t="n">
        <f aca="false">'Price History'!C3+('Price History'!C158-'Price History'!C3)*0.051948051948052</f>
        <v>50.8366233766234</v>
      </c>
      <c r="Y11" s="77" t="n">
        <f aca="false">'Price History'!D3+('Price History'!D158-'Price History'!D3)*0.051948051948052</f>
        <v>712.025194805195</v>
      </c>
      <c r="Z11" s="77" t="n">
        <f aca="false">'Price History'!E3+('Price History'!E158-'Price History'!E3)*0.051948051948052</f>
        <v>98.8916883116883</v>
      </c>
      <c r="AA11" s="77" t="n">
        <f aca="false">'Price History'!F3+('Price History'!F158-'Price History'!F3)*0.051948051948052</f>
        <v>45.0496103896104</v>
      </c>
      <c r="AB11" s="77" t="n">
        <f aca="false">'Price History'!G3+('Price History'!G158-'Price History'!G3)*0.051948051948052</f>
        <v>54.9088311688312</v>
      </c>
      <c r="AC11" s="77" t="n">
        <f aca="false">'Price History'!H3+('Price History'!H158-'Price History'!H3)*0.051948051948052</f>
        <v>103.780909090909</v>
      </c>
      <c r="AD11" s="77" t="n">
        <f aca="false">'Price History'!I3+('Price History'!I158-'Price History'!I3)*0.051948051948052</f>
        <v>49.1564935064935</v>
      </c>
      <c r="AE11" s="77" t="n">
        <f aca="false">'Price History'!J3+('Price History'!J158-'Price History'!J3)*0.051948051948052</f>
        <v>124.606103896104</v>
      </c>
      <c r="AF11" s="77" t="n">
        <f aca="false">'Price History'!K3+('Price History'!K158-'Price History'!K3)*0.051948051948052</f>
        <v>21.0022077922078</v>
      </c>
      <c r="AG11" s="77" t="n">
        <f aca="false">'Price History'!L3+('Price History'!L158-'Price History'!L3)*0.051948051948052</f>
        <v>108.211298701299</v>
      </c>
      <c r="AH11" s="77" t="n">
        <f aca="false">'Price History'!M3+('Price History'!M158-'Price History'!M3)*0.051948051948052</f>
        <v>44.3183116883117</v>
      </c>
      <c r="AI11" s="77" t="n">
        <f aca="false">'Price History'!N3+('Price History'!N158-'Price History'!N3)*0.051948051948052</f>
        <v>356.46987012987</v>
      </c>
      <c r="AJ11" s="77" t="n">
        <f aca="false">'Price History'!O3+('Price History'!O158-'Price History'!O3)*0.051948051948052</f>
        <v>85.0541558441558</v>
      </c>
      <c r="AK11" s="77" t="n">
        <f aca="false">'Price History'!Q3+('Price History'!Q151-'Price History'!Q3)*0.051948051948052</f>
        <v>50.8067532467533</v>
      </c>
      <c r="AL11" s="77" t="n">
        <f aca="false">'Price History'!R3+('Price History'!R158-'Price History'!R3)*0.051948051948052</f>
        <v>48.3618181818182</v>
      </c>
      <c r="AM11" s="77" t="n">
        <f aca="false">'Price History'!S3+('Price History'!S158-'Price History'!S3)*0.051948051948052</f>
        <v>62.9706493506494</v>
      </c>
      <c r="AN11" s="77" t="n">
        <f aca="false">'Price History'!T3+('Price History'!T158-'Price History'!T3)*0.051948051948052</f>
        <v>28.095974025974</v>
      </c>
    </row>
    <row r="12" customFormat="false" ht="15" hidden="false" customHeight="true" outlineLevel="0" collapsed="false">
      <c r="A12" s="49" t="n">
        <f aca="false">IF('Price History'!A13="","",'Price History'!A13)</f>
        <v>45219</v>
      </c>
      <c r="B12" s="76" t="n">
        <f aca="false">IFERROR(IF(OR(NOT(ISNUMBER('Price History'!B13)),NOT(ISNUMBER('Price History'!B12)),'Price History'!B12=0),"",'Price History'!B13/'Price History'!B12-1),"")</f>
        <v>-0.0142138639842553</v>
      </c>
      <c r="C12" s="76" t="n">
        <f aca="false">IFERROR(IF(OR(NOT(ISNUMBER('Price History'!C13)),NOT(ISNUMBER('Price History'!C12)),'Price History'!C12=0),"",'Price History'!C13/'Price History'!C12-1),"")</f>
        <v>-0.0195954487989887</v>
      </c>
      <c r="D12" s="76" t="n">
        <f aca="false">IFERROR(IF(OR(NOT(ISNUMBER('Price History'!D13)),NOT(ISNUMBER('Price History'!D12)),'Price History'!D12=0),"",'Price History'!D13/'Price History'!D12-1),"")</f>
        <v>-0.0327636515214672</v>
      </c>
      <c r="E12" s="76" t="n">
        <f aca="false">IFERROR(IF(OR(NOT(ISNUMBER('Price History'!E13)),NOT(ISNUMBER('Price History'!E12)),'Price History'!E12=0),"",'Price History'!E13/'Price History'!E12-1),"")</f>
        <v>-0.0335144927536232</v>
      </c>
      <c r="F12" s="76" t="n">
        <f aca="false">IFERROR(IF(OR(NOT(ISNUMBER('Price History'!F13)),NOT(ISNUMBER('Price History'!F12)),'Price History'!F12=0),"",'Price History'!F13/'Price History'!F12-1),"")</f>
        <v>-0.0374757699763084</v>
      </c>
      <c r="G12" s="76" t="n">
        <f aca="false">IFERROR(IF(OR(NOT(ISNUMBER('Price History'!G13)),NOT(ISNUMBER('Price History'!G12)),'Price History'!G12=0),"",'Price History'!G13/'Price History'!G12-1),"")</f>
        <v>-0.0501232539030402</v>
      </c>
      <c r="H12" s="76" t="n">
        <f aca="false">IFERROR(IF(OR(NOT(ISNUMBER('Price History'!H13)),NOT(ISNUMBER('Price History'!H12)),'Price History'!H12=0),"",'Price History'!H13/'Price History'!H12-1),"")</f>
        <v>-0.0287530703655541</v>
      </c>
      <c r="I12" s="76" t="n">
        <f aca="false">IFERROR(IF(OR(NOT(ISNUMBER('Price History'!I13)),NOT(ISNUMBER('Price History'!I12)),'Price History'!I12=0),"",'Price History'!I13/'Price History'!I12-1),"")</f>
        <v>-0.0895292564892213</v>
      </c>
      <c r="J12" s="76" t="n">
        <f aca="false">IFERROR(IF(OR(NOT(ISNUMBER('Price History'!J13)),NOT(ISNUMBER('Price History'!J12)),'Price History'!J12=0),"",'Price History'!J13/'Price History'!J12-1),"")</f>
        <v>-0.0658458732330142</v>
      </c>
      <c r="K12" s="76" t="n">
        <f aca="false">IFERROR(IF(OR(NOT(ISNUMBER('Price History'!K13)),NOT(ISNUMBER('Price History'!K12)),'Price History'!K12=0),"",'Price History'!K13/'Price History'!K12-1),"")</f>
        <v>-0.0720046082949308</v>
      </c>
      <c r="L12" s="76" t="n">
        <f aca="false">IFERROR(IF(OR(NOT(ISNUMBER('Price History'!L13)),NOT(ISNUMBER('Price History'!L12)),'Price History'!L12=0),"",'Price History'!L13/'Price History'!L12-1),"")</f>
        <v>0.0093964183064339</v>
      </c>
      <c r="M12" s="76" t="n">
        <f aca="false">IFERROR(IF(OR(NOT(ISNUMBER('Price History'!M13)),NOT(ISNUMBER('Price History'!M12)),'Price History'!M12=0),"",'Price History'!M13/'Price History'!M12-1),"")</f>
        <v>-0.0603580562659847</v>
      </c>
      <c r="N12" s="76" t="n">
        <f aca="false">IFERROR(IF(OR(NOT(ISNUMBER('Price History'!N13)),NOT(ISNUMBER('Price History'!N12)),'Price History'!N12=0),"",'Price History'!N13/'Price History'!N12-1),"")</f>
        <v>-0.0246361185983827</v>
      </c>
      <c r="O12" s="76" t="n">
        <f aca="false">IFERROR(IF(OR(NOT(ISNUMBER('Price History'!O13)),NOT(ISNUMBER('Price History'!O12)),'Price History'!O12=0),"",'Price History'!O13/'Price History'!O12-1),"")</f>
        <v>-0.016754617414248</v>
      </c>
      <c r="P12" s="76" t="str">
        <f aca="false">IFERROR(IF(OR(NOT(ISNUMBER('Price History'!P13)),NOT(ISNUMBER('Price History'!P12)),'Price History'!P12=0),"",'Price History'!P13/'Price History'!P12-1),"")</f>
        <v/>
      </c>
      <c r="Q12" s="76" t="n">
        <f aca="false">IFERROR(IF(OR(NOT(ISNUMBER('Price History'!Q13)),NOT(ISNUMBER('Price History'!Q12)),'Price History'!Q12=0),"",'Price History'!Q13/'Price History'!Q12-1),"")</f>
        <v>0.00364193981215255</v>
      </c>
      <c r="R12" s="76" t="n">
        <f aca="false">IFERROR(IF(OR(NOT(ISNUMBER('Price History'!R13)),NOT(ISNUMBER('Price History'!R12)),'Price History'!R12=0),"",'Price History'!R13/'Price History'!R12-1),"")</f>
        <v>-0.0198899703766399</v>
      </c>
      <c r="S12" s="76" t="n">
        <f aca="false">IFERROR(IF(OR(NOT(ISNUMBER('Price History'!S13)),NOT(ISNUMBER('Price History'!S12)),'Price History'!S12=0),"",'Price History'!S13/'Price History'!S12-1),"")</f>
        <v>-0.0290128755364807</v>
      </c>
      <c r="T12" s="76" t="n">
        <f aca="false">IFERROR(IF(OR(NOT(ISNUMBER('Price History'!T13)),NOT(ISNUMBER('Price History'!T12)),'Price History'!T12=0),"",'Price History'!T13/'Price History'!T12-1),"")</f>
        <v>-0.0127758420441346</v>
      </c>
      <c r="U12" s="76" t="str">
        <f aca="false">IFERROR(IF(OR(NOT(ISNUMBER('Price History'!U13)),NOT(ISNUMBER('Price History'!U12)),'Price History'!U12=0),"",'Price History'!U13/'Price History'!U12-1),"")</f>
        <v/>
      </c>
      <c r="W12" s="77" t="n">
        <f aca="false">'Price History'!B3+('Price History'!B158-'Price History'!B3)*0.0584415584415584</f>
        <v>493.36974025974</v>
      </c>
      <c r="X12" s="77" t="n">
        <f aca="false">'Price History'!C3+('Price History'!C158-'Price History'!C3)*0.0584415584415584</f>
        <v>51.7237012987013</v>
      </c>
      <c r="Y12" s="77" t="n">
        <f aca="false">'Price History'!D3+('Price History'!D158-'Price History'!D3)*0.0584415584415584</f>
        <v>718.305844155844</v>
      </c>
      <c r="Z12" s="77" t="n">
        <f aca="false">'Price History'!E3+('Price History'!E158-'Price History'!E3)*0.0584415584415584</f>
        <v>100.880649350649</v>
      </c>
      <c r="AA12" s="77" t="n">
        <f aca="false">'Price History'!F3+('Price History'!F158-'Price History'!F3)*0.0584415584415584</f>
        <v>46.0483116883117</v>
      </c>
      <c r="AB12" s="77" t="n">
        <f aca="false">'Price History'!G3+('Price History'!G158-'Price History'!G3)*0.0584415584415584</f>
        <v>55.7849350649351</v>
      </c>
      <c r="AC12" s="77" t="n">
        <f aca="false">'Price History'!H3+('Price History'!H158-'Price History'!H3)*0.0584415584415584</f>
        <v>108.707272727273</v>
      </c>
      <c r="AD12" s="77" t="n">
        <f aca="false">'Price History'!I3+('Price History'!I158-'Price History'!I3)*0.0584415584415584</f>
        <v>50.1948051948052</v>
      </c>
      <c r="AE12" s="77" t="n">
        <f aca="false">'Price History'!J3+('Price History'!J158-'Price History'!J3)*0.0584415584415584</f>
        <v>124.743116883117</v>
      </c>
      <c r="AF12" s="77" t="n">
        <f aca="false">'Price History'!K3+('Price History'!K158-'Price History'!K3)*0.0584415584415584</f>
        <v>21.7012337662338</v>
      </c>
      <c r="AG12" s="77" t="n">
        <f aca="false">'Price History'!L3+('Price History'!L158-'Price History'!L3)*0.0584415584415584</f>
        <v>110.238961038961</v>
      </c>
      <c r="AH12" s="77" t="n">
        <f aca="false">'Price History'!M3+('Price History'!M158-'Price History'!M3)*0.0584415584415584</f>
        <v>45.6693506493506</v>
      </c>
      <c r="AI12" s="77" t="n">
        <f aca="false">'Price History'!N3+('Price History'!N158-'Price History'!N3)*0.0584415584415584</f>
        <v>357.296103896104</v>
      </c>
      <c r="AJ12" s="77" t="n">
        <f aca="false">'Price History'!O3+('Price History'!O158-'Price History'!O3)*0.0584415584415584</f>
        <v>85.3296753246753</v>
      </c>
      <c r="AK12" s="77" t="n">
        <f aca="false">'Price History'!Q3+('Price History'!Q151-'Price History'!Q3)*0.0584415584415584</f>
        <v>50.9275974025974</v>
      </c>
      <c r="AL12" s="77" t="n">
        <f aca="false">'Price History'!R3+('Price History'!R158-'Price History'!R3)*0.0584415584415584</f>
        <v>48.4295454545455</v>
      </c>
      <c r="AM12" s="77" t="n">
        <f aca="false">'Price History'!S3+('Price History'!S158-'Price History'!S3)*0.0584415584415584</f>
        <v>63.5244805194805</v>
      </c>
      <c r="AN12" s="77" t="n">
        <f aca="false">'Price History'!T3+('Price History'!T158-'Price History'!T3)*0.0584415584415584</f>
        <v>28.2442207792208</v>
      </c>
    </row>
    <row r="13" customFormat="false" ht="15" hidden="false" customHeight="true" outlineLevel="0" collapsed="false">
      <c r="A13" s="49" t="n">
        <f aca="false">IF('Price History'!A14="","",'Price History'!A14)</f>
        <v>45226</v>
      </c>
      <c r="B13" s="76" t="n">
        <f aca="false">IFERROR(IF(OR(NOT(ISNUMBER('Price History'!B14)),NOT(ISNUMBER('Price History'!B13)),'Price History'!B13=0),"",'Price History'!B14/'Price History'!B13-1),"")</f>
        <v>-0.0607068914522331</v>
      </c>
      <c r="C13" s="76" t="n">
        <f aca="false">IFERROR(IF(OR(NOT(ISNUMBER('Price History'!C14)),NOT(ISNUMBER('Price History'!C13)),'Price History'!C13=0),"",'Price History'!C14/'Price History'!C13-1),"")</f>
        <v>-0.0532989469159683</v>
      </c>
      <c r="D13" s="76" t="n">
        <f aca="false">IFERROR(IF(OR(NOT(ISNUMBER('Price History'!D14)),NOT(ISNUMBER('Price History'!D13)),'Price History'!D13=0),"",'Price History'!D14/'Price History'!D13-1),"")</f>
        <v>0.0170660230994655</v>
      </c>
      <c r="E13" s="76" t="n">
        <f aca="false">IFERROR(IF(OR(NOT(ISNUMBER('Price History'!E14)),NOT(ISNUMBER('Price History'!E13)),'Price History'!E13=0),"",'Price History'!E14/'Price History'!E13-1),"")</f>
        <v>-0.0178069353327085</v>
      </c>
      <c r="F13" s="76" t="n">
        <f aca="false">IFERROR(IF(OR(NOT(ISNUMBER('Price History'!F14)),NOT(ISNUMBER('Price History'!F13)),'Price History'!F13=0),"",'Price History'!F14/'Price History'!F13-1),"")</f>
        <v>-0.0331170284179906</v>
      </c>
      <c r="G13" s="76" t="n">
        <f aca="false">IFERROR(IF(OR(NOT(ISNUMBER('Price History'!G14)),NOT(ISNUMBER('Price History'!G13)),'Price History'!G13=0),"",'Price History'!G14/'Price History'!G13-1),"")</f>
        <v>-0.00973183391003463</v>
      </c>
      <c r="H13" s="76" t="n">
        <f aca="false">IFERROR(IF(OR(NOT(ISNUMBER('Price History'!H14)),NOT(ISNUMBER('Price History'!H13)),'Price History'!H13=0),"",'Price History'!H14/'Price History'!H13-1),"")</f>
        <v>-0.0233561440047604</v>
      </c>
      <c r="I13" s="76" t="n">
        <f aca="false">IFERROR(IF(OR(NOT(ISNUMBER('Price History'!I14)),NOT(ISNUMBER('Price History'!I13)),'Price History'!I13=0),"",'Price History'!I14/'Price History'!I13-1),"")</f>
        <v>-0.0215027784489007</v>
      </c>
      <c r="J13" s="76" t="n">
        <f aca="false">IFERROR(IF(OR(NOT(ISNUMBER('Price History'!J14)),NOT(ISNUMBER('Price History'!J13)),'Price History'!J13=0),"",'Price History'!J14/'Price History'!J13-1),"")</f>
        <v>-0.0498877282046277</v>
      </c>
      <c r="K13" s="76" t="n">
        <f aca="false">IFERROR(IF(OR(NOT(ISNUMBER('Price History'!K14)),NOT(ISNUMBER('Price History'!K13)),'Price History'!K13=0),"",'Price History'!K14/'Price History'!K13-1),"")</f>
        <v>-0.0645561762880198</v>
      </c>
      <c r="L13" s="76" t="n">
        <f aca="false">IFERROR(IF(OR(NOT(ISNUMBER('Price History'!L14)),NOT(ISNUMBER('Price History'!L13)),'Price History'!L13=0),"",'Price History'!L14/'Price History'!L13-1),"")</f>
        <v>-0.0582630599058155</v>
      </c>
      <c r="M13" s="76" t="n">
        <f aca="false">IFERROR(IF(OR(NOT(ISNUMBER('Price History'!M14)),NOT(ISNUMBER('Price History'!M13)),'Price History'!M13=0),"",'Price History'!M14/'Price History'!M13-1),"")</f>
        <v>-0.00870985302123029</v>
      </c>
      <c r="N13" s="76" t="n">
        <f aca="false">IFERROR(IF(OR(NOT(ISNUMBER('Price History'!N14)),NOT(ISNUMBER('Price History'!N13)),'Price History'!N13=0),"",'Price History'!N14/'Price History'!N13-1),"")</f>
        <v>-0.018183827999779</v>
      </c>
      <c r="O13" s="76" t="n">
        <f aca="false">IFERROR(IF(OR(NOT(ISNUMBER('Price History'!O14)),NOT(ISNUMBER('Price History'!O13)),'Price History'!O13=0),"",'Price History'!O14/'Price History'!O13-1),"")</f>
        <v>-0.0154300281765732</v>
      </c>
      <c r="P13" s="76" t="str">
        <f aca="false">IFERROR(IF(OR(NOT(ISNUMBER('Price History'!P14)),NOT(ISNUMBER('Price History'!P13)),'Price History'!P13=0),"",'Price History'!P14/'Price History'!P13-1),"")</f>
        <v/>
      </c>
      <c r="Q13" s="76" t="n">
        <f aca="false">IFERROR(IF(OR(NOT(ISNUMBER('Price History'!Q14)),NOT(ISNUMBER('Price History'!Q13)),'Price History'!Q13=0),"",'Price History'!Q14/'Price History'!Q13-1),"")</f>
        <v>0.0089763177998472</v>
      </c>
      <c r="R13" s="76" t="n">
        <f aca="false">IFERROR(IF(OR(NOT(ISNUMBER('Price History'!R14)),NOT(ISNUMBER('Price History'!R13)),'Price History'!R13=0),"",'Price History'!R14/'Price History'!R13-1),"")</f>
        <v>-0.0207253886010363</v>
      </c>
      <c r="S13" s="76" t="n">
        <f aca="false">IFERROR(IF(OR(NOT(ISNUMBER('Price History'!S14)),NOT(ISNUMBER('Price History'!S13)),'Price History'!S13=0),"",'Price History'!S14/'Price History'!S13-1),"")</f>
        <v>-0.0201555869872702</v>
      </c>
      <c r="T13" s="76" t="n">
        <f aca="false">IFERROR(IF(OR(NOT(ISNUMBER('Price History'!T14)),NOT(ISNUMBER('Price History'!T13)),'Price History'!T13=0),"",'Price History'!T14/'Price History'!T13-1),"")</f>
        <v>-0.0329411764705883</v>
      </c>
      <c r="U13" s="76" t="str">
        <f aca="false">IFERROR(IF(OR(NOT(ISNUMBER('Price History'!U14)),NOT(ISNUMBER('Price History'!U13)),'Price History'!U13=0),"",'Price History'!U14/'Price History'!U13-1),"")</f>
        <v/>
      </c>
      <c r="W13" s="77" t="n">
        <f aca="false">'Price History'!B3+('Price History'!B158-'Price History'!B3)*0.0649350649350649</f>
        <v>491.694155844156</v>
      </c>
      <c r="X13" s="77" t="n">
        <f aca="false">'Price History'!C3+('Price History'!C158-'Price History'!C3)*0.0649350649350649</f>
        <v>52.6107792207792</v>
      </c>
      <c r="Y13" s="77" t="n">
        <f aca="false">'Price History'!D3+('Price History'!D158-'Price History'!D3)*0.0649350649350649</f>
        <v>724.586493506493</v>
      </c>
      <c r="Z13" s="77" t="n">
        <f aca="false">'Price History'!E3+('Price History'!E158-'Price History'!E3)*0.0649350649350649</f>
        <v>102.86961038961</v>
      </c>
      <c r="AA13" s="77" t="n">
        <f aca="false">'Price History'!F3+('Price History'!F158-'Price History'!F3)*0.0649350649350649</f>
        <v>47.047012987013</v>
      </c>
      <c r="AB13" s="77" t="n">
        <f aca="false">'Price History'!G3+('Price History'!G158-'Price History'!G3)*0.0649350649350649</f>
        <v>56.661038961039</v>
      </c>
      <c r="AC13" s="77" t="n">
        <f aca="false">'Price History'!H3+('Price History'!H158-'Price History'!H3)*0.0649350649350649</f>
        <v>113.633636363636</v>
      </c>
      <c r="AD13" s="77" t="n">
        <f aca="false">'Price History'!I3+('Price History'!I158-'Price History'!I3)*0.0649350649350649</f>
        <v>51.2331168831169</v>
      </c>
      <c r="AE13" s="77" t="n">
        <f aca="false">'Price History'!J3+('Price History'!J158-'Price History'!J3)*0.0649350649350649</f>
        <v>124.88012987013</v>
      </c>
      <c r="AF13" s="77" t="n">
        <f aca="false">'Price History'!K3+('Price History'!K158-'Price History'!K3)*0.0649350649350649</f>
        <v>22.4002597402597</v>
      </c>
      <c r="AG13" s="77" t="n">
        <f aca="false">'Price History'!L3+('Price History'!L158-'Price History'!L3)*0.0649350649350649</f>
        <v>112.266623376623</v>
      </c>
      <c r="AH13" s="77" t="n">
        <f aca="false">'Price History'!M3+('Price History'!M158-'Price History'!M3)*0.0649350649350649</f>
        <v>47.0203896103896</v>
      </c>
      <c r="AI13" s="77" t="n">
        <f aca="false">'Price History'!N3+('Price History'!N158-'Price History'!N3)*0.0649350649350649</f>
        <v>358.122337662338</v>
      </c>
      <c r="AJ13" s="77" t="n">
        <f aca="false">'Price History'!O3+('Price History'!O158-'Price History'!O3)*0.0649350649350649</f>
        <v>85.6051948051948</v>
      </c>
      <c r="AK13" s="77" t="n">
        <f aca="false">'Price History'!Q3+('Price History'!Q151-'Price History'!Q3)*0.0649350649350649</f>
        <v>51.0484415584416</v>
      </c>
      <c r="AL13" s="77" t="n">
        <f aca="false">'Price History'!R3+('Price History'!R158-'Price History'!R3)*0.0649350649350649</f>
        <v>48.4972727272727</v>
      </c>
      <c r="AM13" s="77" t="n">
        <f aca="false">'Price History'!S3+('Price History'!S158-'Price History'!S3)*0.0649350649350649</f>
        <v>64.0783116883117</v>
      </c>
      <c r="AN13" s="77" t="n">
        <f aca="false">'Price History'!T3+('Price History'!T158-'Price History'!T3)*0.0649350649350649</f>
        <v>28.3924675324675</v>
      </c>
    </row>
    <row r="14" customFormat="false" ht="15" hidden="false" customHeight="true" outlineLevel="0" collapsed="false">
      <c r="A14" s="49" t="n">
        <f aca="false">IF('Price History'!A15="","",'Price History'!A15)</f>
        <v>45233</v>
      </c>
      <c r="B14" s="76" t="n">
        <f aca="false">IFERROR(IF(OR(NOT(ISNUMBER('Price History'!B15)),NOT(ISNUMBER('Price History'!B14)),'Price History'!B14=0),"",'Price History'!B15/'Price History'!B14-1),"")</f>
        <v>0.10930488860899</v>
      </c>
      <c r="C14" s="76" t="n">
        <f aca="false">IFERROR(IF(OR(NOT(ISNUMBER('Price History'!C15)),NOT(ISNUMBER('Price History'!C14)),'Price History'!C14=0),"",'Price History'!C15/'Price History'!C14-1),"")</f>
        <v>0.205902383654938</v>
      </c>
      <c r="D14" s="76" t="n">
        <f aca="false">IFERROR(IF(OR(NOT(ISNUMBER('Price History'!D15)),NOT(ISNUMBER('Price History'!D14)),'Price History'!D14=0),"",'Price History'!D15/'Price History'!D14-1),"")</f>
        <v>0.0888305084745762</v>
      </c>
      <c r="E14" s="76" t="n">
        <f aca="false">IFERROR(IF(OR(NOT(ISNUMBER('Price History'!E15)),NOT(ISNUMBER('Price History'!E14)),'Price History'!E14=0),"",'Price History'!E15/'Price History'!E14-1),"")</f>
        <v>0.0528387404580153</v>
      </c>
      <c r="F14" s="76" t="n">
        <f aca="false">IFERROR(IF(OR(NOT(ISNUMBER('Price History'!F15)),NOT(ISNUMBER('Price History'!F14)),'Price History'!F14=0),"",'Price History'!F15/'Price History'!F14-1),"")</f>
        <v>0.0890997454292988</v>
      </c>
      <c r="G14" s="76" t="n">
        <f aca="false">IFERROR(IF(OR(NOT(ISNUMBER('Price History'!G15)),NOT(ISNUMBER('Price History'!G14)),'Price History'!G14=0),"",'Price History'!G15/'Price History'!G14-1),"")</f>
        <v>0.0910679187595544</v>
      </c>
      <c r="H14" s="76" t="n">
        <f aca="false">IFERROR(IF(OR(NOT(ISNUMBER('Price History'!H15)),NOT(ISNUMBER('Price History'!H14)),'Price History'!H14=0),"",'Price History'!H15/'Price History'!H14-1),"")</f>
        <v>0.105559786747905</v>
      </c>
      <c r="I14" s="76" t="n">
        <f aca="false">IFERROR(IF(OR(NOT(ISNUMBER('Price History'!I15)),NOT(ISNUMBER('Price History'!I14)),'Price History'!I14=0),"",'Price History'!I15/'Price History'!I14-1),"")</f>
        <v>0.111358024691358</v>
      </c>
      <c r="J14" s="76" t="n">
        <f aca="false">IFERROR(IF(OR(NOT(ISNUMBER('Price History'!J15)),NOT(ISNUMBER('Price History'!J14)),'Price History'!J14=0),"",'Price History'!J15/'Price History'!J14-1),"")</f>
        <v>0.0948417591450885</v>
      </c>
      <c r="K14" s="76" t="n">
        <f aca="false">IFERROR(IF(OR(NOT(ISNUMBER('Price History'!K15)),NOT(ISNUMBER('Price History'!K14)),'Price History'!K14=0),"",'Price History'!K15/'Price History'!K14-1),"")</f>
        <v>0.253483742534838</v>
      </c>
      <c r="L14" s="76" t="n">
        <f aca="false">IFERROR(IF(OR(NOT(ISNUMBER('Price History'!L15)),NOT(ISNUMBER('Price History'!L14)),'Price History'!L14=0),"",'Price History'!L15/'Price History'!L14-1),"")</f>
        <v>0.0674497034538901</v>
      </c>
      <c r="M14" s="76" t="n">
        <f aca="false">IFERROR(IF(OR(NOT(ISNUMBER('Price History'!M15)),NOT(ISNUMBER('Price History'!M14)),'Price History'!M14=0),"",'Price History'!M15/'Price History'!M14-1),"")</f>
        <v>0.110378912685338</v>
      </c>
      <c r="N14" s="76" t="n">
        <f aca="false">IFERROR(IF(OR(NOT(ISNUMBER('Price History'!N15)),NOT(ISNUMBER('Price History'!N14)),'Price History'!N14=0),"",'Price History'!N15/'Price History'!N14-1),"")</f>
        <v>0.0588831344291827</v>
      </c>
      <c r="O14" s="76" t="n">
        <f aca="false">IFERROR(IF(OR(NOT(ISNUMBER('Price History'!O15)),NOT(ISNUMBER('Price History'!O14)),'Price History'!O14=0),"",'Price History'!O15/'Price History'!O14-1),"")</f>
        <v>0.0715453802125921</v>
      </c>
      <c r="P14" s="76" t="str">
        <f aca="false">IFERROR(IF(OR(NOT(ISNUMBER('Price History'!P15)),NOT(ISNUMBER('Price History'!P14)),'Price History'!P14=0),"",'Price History'!P15/'Price History'!P14-1),"")</f>
        <v/>
      </c>
      <c r="Q14" s="76" t="n">
        <f aca="false">IFERROR(IF(OR(NOT(ISNUMBER('Price History'!Q15)),NOT(ISNUMBER('Price History'!Q14)),'Price History'!Q14=0),"",'Price History'!Q15/'Price History'!Q14-1),"")</f>
        <v>-0.000757145561234185</v>
      </c>
      <c r="R14" s="76" t="n">
        <f aca="false">IFERROR(IF(OR(NOT(ISNUMBER('Price History'!R15)),NOT(ISNUMBER('Price History'!R14)),'Price History'!R14=0),"",'Price History'!R15/'Price History'!R14-1),"")</f>
        <v>0.0476190476190477</v>
      </c>
      <c r="S14" s="76" t="n">
        <f aca="false">IFERROR(IF(OR(NOT(ISNUMBER('Price History'!S15)),NOT(ISNUMBER('Price History'!S14)),'Price History'!S14=0),"",'Price History'!S15/'Price History'!S14-1),"")</f>
        <v>0.0582822085889569</v>
      </c>
      <c r="T14" s="76" t="n">
        <f aca="false">IFERROR(IF(OR(NOT(ISNUMBER('Price History'!T15)),NOT(ISNUMBER('Price History'!T14)),'Price History'!T14=0),"",'Price History'!T15/'Price History'!T14-1),"")</f>
        <v>0.0587996755879967</v>
      </c>
      <c r="U14" s="76" t="str">
        <f aca="false">IFERROR(IF(OR(NOT(ISNUMBER('Price History'!U15)),NOT(ISNUMBER('Price History'!U14)),'Price History'!U14=0),"",'Price History'!U15/'Price History'!U14-1),"")</f>
        <v/>
      </c>
      <c r="W14" s="77" t="n">
        <f aca="false">'Price History'!B3+('Price History'!B158-'Price History'!B3)*0.0714285714285714</f>
        <v>490.018571428571</v>
      </c>
      <c r="X14" s="77" t="n">
        <f aca="false">'Price History'!C3+('Price History'!C158-'Price History'!C3)*0.0714285714285714</f>
        <v>53.4978571428571</v>
      </c>
      <c r="Y14" s="77" t="n">
        <f aca="false">'Price History'!D3+('Price History'!D158-'Price History'!D3)*0.0714285714285714</f>
        <v>730.867142857143</v>
      </c>
      <c r="Z14" s="77" t="n">
        <f aca="false">'Price History'!E3+('Price History'!E158-'Price History'!E3)*0.0714285714285714</f>
        <v>104.858571428571</v>
      </c>
      <c r="AA14" s="77" t="n">
        <f aca="false">'Price History'!F3+('Price History'!F158-'Price History'!F3)*0.0714285714285714</f>
        <v>48.0457142857143</v>
      </c>
      <c r="AB14" s="77" t="n">
        <f aca="false">'Price History'!G3+('Price History'!G158-'Price History'!G3)*0.0714285714285714</f>
        <v>57.5371428571429</v>
      </c>
      <c r="AC14" s="77" t="n">
        <f aca="false">'Price History'!H3+('Price History'!H158-'Price History'!H3)*0.0714285714285714</f>
        <v>118.56</v>
      </c>
      <c r="AD14" s="77" t="n">
        <f aca="false">'Price History'!I3+('Price History'!I158-'Price History'!I3)*0.0714285714285714</f>
        <v>52.2714285714286</v>
      </c>
      <c r="AE14" s="77" t="n">
        <f aca="false">'Price History'!J3+('Price History'!J158-'Price History'!J3)*0.0714285714285714</f>
        <v>125.017142857143</v>
      </c>
      <c r="AF14" s="77" t="n">
        <f aca="false">'Price History'!K3+('Price History'!K158-'Price History'!K3)*0.0714285714285714</f>
        <v>23.0992857142857</v>
      </c>
      <c r="AG14" s="77" t="n">
        <f aca="false">'Price History'!L3+('Price History'!L158-'Price History'!L3)*0.0714285714285714</f>
        <v>114.294285714286</v>
      </c>
      <c r="AH14" s="77" t="n">
        <f aca="false">'Price History'!M3+('Price History'!M158-'Price History'!M3)*0.0714285714285714</f>
        <v>48.3714285714286</v>
      </c>
      <c r="AI14" s="77" t="n">
        <f aca="false">'Price History'!N3+('Price History'!N158-'Price History'!N3)*0.0714285714285714</f>
        <v>358.948571428571</v>
      </c>
      <c r="AJ14" s="77" t="n">
        <f aca="false">'Price History'!O3+('Price History'!O158-'Price History'!O3)*0.0714285714285714</f>
        <v>85.8807142857143</v>
      </c>
      <c r="AK14" s="77" t="n">
        <f aca="false">'Price History'!Q3+('Price History'!Q151-'Price History'!Q3)*0.0714285714285714</f>
        <v>51.1692857142857</v>
      </c>
      <c r="AL14" s="77" t="n">
        <f aca="false">'Price History'!R3+('Price History'!R158-'Price History'!R3)*0.0714285714285714</f>
        <v>48.565</v>
      </c>
      <c r="AM14" s="77" t="n">
        <f aca="false">'Price History'!S3+('Price History'!S158-'Price History'!S3)*0.0714285714285714</f>
        <v>64.6321428571429</v>
      </c>
      <c r="AN14" s="77" t="n">
        <f aca="false">'Price History'!T3+('Price History'!T158-'Price History'!T3)*0.0714285714285714</f>
        <v>28.5407142857143</v>
      </c>
    </row>
    <row r="15" customFormat="false" ht="15" hidden="false" customHeight="true" outlineLevel="0" collapsed="false">
      <c r="A15" s="49" t="n">
        <f aca="false">IF('Price History'!A16="","",'Price History'!A16)</f>
        <v>45240</v>
      </c>
      <c r="B15" s="76" t="n">
        <f aca="false">IFERROR(IF(OR(NOT(ISNUMBER('Price History'!B16)),NOT(ISNUMBER('Price History'!B15)),'Price History'!B15=0),"",'Price History'!B16/'Price History'!B15-1),"")</f>
        <v>0.0595394386687012</v>
      </c>
      <c r="C15" s="76" t="n">
        <f aca="false">IFERROR(IF(OR(NOT(ISNUMBER('Price History'!C16)),NOT(ISNUMBER('Price History'!C15)),'Price History'!C15=0),"",'Price History'!C16/'Price History'!C15-1),"")</f>
        <v>-0.0265436746987952</v>
      </c>
      <c r="D15" s="76" t="n">
        <f aca="false">IFERROR(IF(OR(NOT(ISNUMBER('Price History'!D16)),NOT(ISNUMBER('Price History'!D15)),'Price History'!D15=0),"",'Price History'!D16/'Price History'!D15-1),"")</f>
        <v>0.029373764418362</v>
      </c>
      <c r="E15" s="76" t="n">
        <f aca="false">IFERROR(IF(OR(NOT(ISNUMBER('Price History'!E16)),NOT(ISNUMBER('Price History'!E15)),'Price History'!E15=0),"",'Price History'!E16/'Price History'!E15-1),"")</f>
        <v>0.0847400022657756</v>
      </c>
      <c r="F15" s="76" t="n">
        <f aca="false">IFERROR(IF(OR(NOT(ISNUMBER('Price History'!F16)),NOT(ISNUMBER('Price History'!F15)),'Price History'!F15=0),"",'Price History'!F16/'Price History'!F15-1),"")</f>
        <v>0.0429239269018273</v>
      </c>
      <c r="G15" s="76" t="n">
        <f aca="false">IFERROR(IF(OR(NOT(ISNUMBER('Price History'!G16)),NOT(ISNUMBER('Price History'!G15)),'Price History'!G15=0),"",'Price History'!G16/'Price History'!G15-1),"")</f>
        <v>0.0694555644515613</v>
      </c>
      <c r="H15" s="76" t="n">
        <f aca="false">IFERROR(IF(OR(NOT(ISNUMBER('Price History'!H16)),NOT(ISNUMBER('Price History'!H15)),'Price History'!H15=0),"",'Price History'!H16/'Price History'!H15-1),"")</f>
        <v>0.0383025626894462</v>
      </c>
      <c r="I15" s="76" t="n">
        <f aca="false">IFERROR(IF(OR(NOT(ISNUMBER('Price History'!I16)),NOT(ISNUMBER('Price History'!I15)),'Price History'!I15=0),"",'Price History'!I16/'Price History'!I15-1),"")</f>
        <v>0.0739835592090647</v>
      </c>
      <c r="J15" s="76" t="n">
        <f aca="false">IFERROR(IF(OR(NOT(ISNUMBER('Price History'!J16)),NOT(ISNUMBER('Price History'!J15)),'Price History'!J15=0),"",'Price History'!J16/'Price History'!J15-1),"")</f>
        <v>-0.0187705302674801</v>
      </c>
      <c r="K15" s="76" t="n">
        <f aca="false">IFERROR(IF(OR(NOT(ISNUMBER('Price History'!K16)),NOT(ISNUMBER('Price History'!K15)),'Price History'!K15=0),"",'Price History'!K16/'Price History'!K15-1),"")</f>
        <v>0.0412916887241928</v>
      </c>
      <c r="L15" s="76" t="n">
        <f aca="false">IFERROR(IF(OR(NOT(ISNUMBER('Price History'!L16)),NOT(ISNUMBER('Price History'!L15)),'Price History'!L15=0),"",'Price History'!L16/'Price History'!L15-1),"")</f>
        <v>0.0615535461379235</v>
      </c>
      <c r="M15" s="76" t="n">
        <f aca="false">IFERROR(IF(OR(NOT(ISNUMBER('Price History'!M16)),NOT(ISNUMBER('Price History'!M15)),'Price History'!M15=0),"",'Price History'!M16/'Price History'!M15-1),"")</f>
        <v>0.0343719090009891</v>
      </c>
      <c r="N15" s="76" t="n">
        <f aca="false">IFERROR(IF(OR(NOT(ISNUMBER('Price History'!N16)),NOT(ISNUMBER('Price History'!N15)),'Price History'!N15=0),"",'Price History'!N16/'Price History'!N15-1),"")</f>
        <v>-0.00677830940988844</v>
      </c>
      <c r="O15" s="76" t="n">
        <f aca="false">IFERROR(IF(OR(NOT(ISNUMBER('Price History'!O16)),NOT(ISNUMBER('Price History'!O15)),'Price History'!O15=0),"",'Price History'!O16/'Price History'!O15-1),"")</f>
        <v>-0.0340836830726186</v>
      </c>
      <c r="P15" s="76" t="str">
        <f aca="false">IFERROR(IF(OR(NOT(ISNUMBER('Price History'!P16)),NOT(ISNUMBER('Price History'!P15)),'Price History'!P15=0),"",'Price History'!P16/'Price History'!P15-1),"")</f>
        <v/>
      </c>
      <c r="Q15" s="76" t="n">
        <f aca="false">IFERROR(IF(OR(NOT(ISNUMBER('Price History'!Q16)),NOT(ISNUMBER('Price History'!Q15)),'Price History'!Q15=0),"",'Price History'!Q16/'Price History'!Q15-1),"")</f>
        <v>0.0017048683462777</v>
      </c>
      <c r="R15" s="76" t="n">
        <f aca="false">IFERROR(IF(OR(NOT(ISNUMBER('Price History'!R16)),NOT(ISNUMBER('Price History'!R15)),'Price History'!R15=0),"",'Price History'!R16/'Price History'!R15-1),"")</f>
        <v>0.0208333333333333</v>
      </c>
      <c r="S15" s="76" t="n">
        <f aca="false">IFERROR(IF(OR(NOT(ISNUMBER('Price History'!S16)),NOT(ISNUMBER('Price History'!S15)),'Price History'!S15=0),"",'Price History'!S16/'Price History'!S15-1),"")</f>
        <v>0.0294970161977834</v>
      </c>
      <c r="T15" s="76" t="n">
        <f aca="false">IFERROR(IF(OR(NOT(ISNUMBER('Price History'!T16)),NOT(ISNUMBER('Price History'!T15)),'Price History'!T15=0),"",'Price History'!T16/'Price History'!T15-1),"")</f>
        <v>-0.00689391037916509</v>
      </c>
      <c r="U15" s="76" t="str">
        <f aca="false">IFERROR(IF(OR(NOT(ISNUMBER('Price History'!U16)),NOT(ISNUMBER('Price History'!U15)),'Price History'!U15=0),"",'Price History'!U16/'Price History'!U15-1),"")</f>
        <v/>
      </c>
      <c r="W15" s="77" t="n">
        <f aca="false">'Price History'!B3+('Price History'!B158-'Price History'!B3)*0.0779220779220779</f>
        <v>488.342987012987</v>
      </c>
      <c r="X15" s="77" t="n">
        <f aca="false">'Price History'!C3+('Price History'!C158-'Price History'!C3)*0.0779220779220779</f>
        <v>54.3849350649351</v>
      </c>
      <c r="Y15" s="77" t="n">
        <f aca="false">'Price History'!D3+('Price History'!D158-'Price History'!D3)*0.0779220779220779</f>
        <v>737.147792207792</v>
      </c>
      <c r="Z15" s="77" t="n">
        <f aca="false">'Price History'!E3+('Price History'!E158-'Price History'!E3)*0.0779220779220779</f>
        <v>106.847532467532</v>
      </c>
      <c r="AA15" s="77" t="n">
        <f aca="false">'Price History'!F3+('Price History'!F158-'Price History'!F3)*0.0779220779220779</f>
        <v>49.0444155844156</v>
      </c>
      <c r="AB15" s="77" t="n">
        <f aca="false">'Price History'!G3+('Price History'!G158-'Price History'!G3)*0.0779220779220779</f>
        <v>58.4132467532468</v>
      </c>
      <c r="AC15" s="77" t="n">
        <f aca="false">'Price History'!H3+('Price History'!H158-'Price History'!H3)*0.0779220779220779</f>
        <v>123.486363636364</v>
      </c>
      <c r="AD15" s="77" t="n">
        <f aca="false">'Price History'!I3+('Price History'!I158-'Price History'!I3)*0.0779220779220779</f>
        <v>53.3097402597403</v>
      </c>
      <c r="AE15" s="77" t="n">
        <f aca="false">'Price History'!J3+('Price History'!J158-'Price History'!J3)*0.0779220779220779</f>
        <v>125.154155844156</v>
      </c>
      <c r="AF15" s="77" t="n">
        <f aca="false">'Price History'!K3+('Price History'!K158-'Price History'!K3)*0.0779220779220779</f>
        <v>23.7983116883117</v>
      </c>
      <c r="AG15" s="77" t="n">
        <f aca="false">'Price History'!L3+('Price History'!L158-'Price History'!L3)*0.0779220779220779</f>
        <v>116.321948051948</v>
      </c>
      <c r="AH15" s="77" t="n">
        <f aca="false">'Price History'!M3+('Price History'!M158-'Price History'!M3)*0.0779220779220779</f>
        <v>49.7224675324675</v>
      </c>
      <c r="AI15" s="77" t="n">
        <f aca="false">'Price History'!N3+('Price History'!N158-'Price History'!N3)*0.0779220779220779</f>
        <v>359.774805194805</v>
      </c>
      <c r="AJ15" s="77" t="n">
        <f aca="false">'Price History'!O3+('Price History'!O158-'Price History'!O3)*0.0779220779220779</f>
        <v>86.1562337662338</v>
      </c>
      <c r="AK15" s="77" t="n">
        <f aca="false">'Price History'!Q3+('Price History'!Q151-'Price History'!Q3)*0.0779220779220779</f>
        <v>51.2901298701299</v>
      </c>
      <c r="AL15" s="77" t="n">
        <f aca="false">'Price History'!R3+('Price History'!R158-'Price History'!R3)*0.0779220779220779</f>
        <v>48.6327272727273</v>
      </c>
      <c r="AM15" s="77" t="n">
        <f aca="false">'Price History'!S3+('Price History'!S158-'Price History'!S3)*0.0779220779220779</f>
        <v>65.185974025974</v>
      </c>
      <c r="AN15" s="77" t="n">
        <f aca="false">'Price History'!T3+('Price History'!T158-'Price History'!T3)*0.0779220779220779</f>
        <v>28.688961038961</v>
      </c>
    </row>
    <row r="16" customFormat="false" ht="15" hidden="false" customHeight="true" outlineLevel="0" collapsed="false">
      <c r="A16" s="49" t="n">
        <f aca="false">IF('Price History'!A17="","",'Price History'!A17)</f>
        <v>45247</v>
      </c>
      <c r="B16" s="76" t="n">
        <f aca="false">IFERROR(IF(OR(NOT(ISNUMBER('Price History'!B17)),NOT(ISNUMBER('Price History'!B16)),'Price History'!B16=0),"",'Price History'!B17/'Price History'!B16-1),"")</f>
        <v>0.00910887110277603</v>
      </c>
      <c r="C16" s="76" t="n">
        <f aca="false">IFERROR(IF(OR(NOT(ISNUMBER('Price History'!C17)),NOT(ISNUMBER('Price History'!C16)),'Price History'!C16=0),"",'Price History'!C17/'Price History'!C16-1),"")</f>
        <v>0.0377103074840455</v>
      </c>
      <c r="D16" s="76" t="n">
        <f aca="false">IFERROR(IF(OR(NOT(ISNUMBER('Price History'!D17)),NOT(ISNUMBER('Price History'!D16)),'Price History'!D16=0),"",'Price History'!D17/'Price History'!D16-1),"")</f>
        <v>0.0375181466247279</v>
      </c>
      <c r="E16" s="76" t="n">
        <f aca="false">IFERROR(IF(OR(NOT(ISNUMBER('Price History'!E17)),NOT(ISNUMBER('Price History'!E16)),'Price History'!E16=0),"",'Price History'!E17/'Price History'!E16-1),"")</f>
        <v>0.0210966057441253</v>
      </c>
      <c r="F16" s="76" t="n">
        <f aca="false">IFERROR(IF(OR(NOT(ISNUMBER('Price History'!F17)),NOT(ISNUMBER('Price History'!F16)),'Price History'!F16=0),"",'Price History'!F17/'Price History'!F16-1),"")</f>
        <v>0.0548084759576204</v>
      </c>
      <c r="G16" s="76" t="n">
        <f aca="false">IFERROR(IF(OR(NOT(ISNUMBER('Price History'!G17)),NOT(ISNUMBER('Price History'!G16)),'Price History'!G16=0),"",'Price History'!G17/'Price History'!G16-1),"")</f>
        <v>0.0190903986524424</v>
      </c>
      <c r="H16" s="76" t="n">
        <f aca="false">IFERROR(IF(OR(NOT(ISNUMBER('Price History'!H17)),NOT(ISNUMBER('Price History'!H16)),'Price History'!H16=0),"",'Price History'!H17/'Price History'!H16-1),"")</f>
        <v>0.0291932059447984</v>
      </c>
      <c r="I16" s="76" t="n">
        <f aca="false">IFERROR(IF(OR(NOT(ISNUMBER('Price History'!I17)),NOT(ISNUMBER('Price History'!I16)),'Price History'!I16=0),"",'Price History'!I17/'Price History'!I16-1),"")</f>
        <v>0.0198593297476208</v>
      </c>
      <c r="J16" s="76" t="n">
        <f aca="false">IFERROR(IF(OR(NOT(ISNUMBER('Price History'!J17)),NOT(ISNUMBER('Price History'!J16)),'Price History'!J16=0),"",'Price History'!J17/'Price History'!J16-1),"")</f>
        <v>0.0527977044476327</v>
      </c>
      <c r="K16" s="76" t="n">
        <f aca="false">IFERROR(IF(OR(NOT(ISNUMBER('Price History'!K17)),NOT(ISNUMBER('Price History'!K16)),'Price History'!K16=0),"",'Price History'!K17/'Price History'!K16-1),"")</f>
        <v>0.0416878495170308</v>
      </c>
      <c r="L16" s="76" t="n">
        <f aca="false">IFERROR(IF(OR(NOT(ISNUMBER('Price History'!L17)),NOT(ISNUMBER('Price History'!L16)),'Price History'!L16=0),"",'Price History'!L17/'Price History'!L16-1),"")</f>
        <v>0.0219622331691298</v>
      </c>
      <c r="M16" s="76" t="n">
        <f aca="false">IFERROR(IF(OR(NOT(ISNUMBER('Price History'!M17)),NOT(ISNUMBER('Price History'!M16)),'Price History'!M16=0),"",'Price History'!M17/'Price History'!M16-1),"")</f>
        <v>0.034903179536218</v>
      </c>
      <c r="N16" s="76" t="n">
        <f aca="false">IFERROR(IF(OR(NOT(ISNUMBER('Price History'!N17)),NOT(ISNUMBER('Price History'!N16)),'Price History'!N16=0),"",'Price History'!N17/'Price History'!N16-1),"")</f>
        <v>-0.06195637628797</v>
      </c>
      <c r="O16" s="76" t="n">
        <f aca="false">IFERROR(IF(OR(NOT(ISNUMBER('Price History'!O17)),NOT(ISNUMBER('Price History'!O16)),'Price History'!O16=0),"",'Price History'!O17/'Price History'!O16-1),"")</f>
        <v>0.0554312047399603</v>
      </c>
      <c r="P16" s="76" t="str">
        <f aca="false">IFERROR(IF(OR(NOT(ISNUMBER('Price History'!P17)),NOT(ISNUMBER('Price History'!P16)),'Price History'!P16=0),"",'Price History'!P17/'Price History'!P16-1),"")</f>
        <v/>
      </c>
      <c r="Q16" s="76" t="n">
        <f aca="false">IFERROR(IF(OR(NOT(ISNUMBER('Price History'!Q17)),NOT(ISNUMBER('Price History'!Q16)),'Price History'!Q16=0),"",'Price History'!Q17/'Price History'!Q16-1),"")</f>
        <v>-0.00434947049924361</v>
      </c>
      <c r="R16" s="76" t="n">
        <f aca="false">IFERROR(IF(OR(NOT(ISNUMBER('Price History'!R17)),NOT(ISNUMBER('Price History'!R16)),'Price History'!R16=0),"",'Price History'!R17/'Price History'!R16-1),"")</f>
        <v>0.00948258091115228</v>
      </c>
      <c r="S16" s="76" t="n">
        <f aca="false">IFERROR(IF(OR(NOT(ISNUMBER('Price History'!S17)),NOT(ISNUMBER('Price History'!S16)),'Price History'!S16=0),"",'Price History'!S17/'Price History'!S16-1),"")</f>
        <v>0.0216959258032461</v>
      </c>
      <c r="T16" s="76" t="n">
        <f aca="false">IFERROR(IF(OR(NOT(ISNUMBER('Price History'!T17)),NOT(ISNUMBER('Price History'!T16)),'Price History'!T16=0),"",'Price History'!T17/'Price History'!T16-1),"")</f>
        <v>0.0254531430775165</v>
      </c>
      <c r="U16" s="76" t="str">
        <f aca="false">IFERROR(IF(OR(NOT(ISNUMBER('Price History'!U17)),NOT(ISNUMBER('Price History'!U16)),'Price History'!U16=0),"",'Price History'!U17/'Price History'!U16-1),"")</f>
        <v/>
      </c>
      <c r="W16" s="77" t="n">
        <f aca="false">'Price History'!B3+('Price History'!B158-'Price History'!B3)*0.0844155844155844</f>
        <v>486.667402597403</v>
      </c>
      <c r="X16" s="77" t="n">
        <f aca="false">'Price History'!C3+('Price History'!C158-'Price History'!C3)*0.0844155844155844</f>
        <v>55.272012987013</v>
      </c>
      <c r="Y16" s="77" t="n">
        <f aca="false">'Price History'!D3+('Price History'!D158-'Price History'!D3)*0.0844155844155844</f>
        <v>743.428441558442</v>
      </c>
      <c r="Z16" s="77" t="n">
        <f aca="false">'Price History'!E3+('Price History'!E158-'Price History'!E3)*0.0844155844155844</f>
        <v>108.836493506494</v>
      </c>
      <c r="AA16" s="77" t="n">
        <f aca="false">'Price History'!F3+('Price History'!F158-'Price History'!F3)*0.0844155844155844</f>
        <v>50.0431168831169</v>
      </c>
      <c r="AB16" s="77" t="n">
        <f aca="false">'Price History'!G3+('Price History'!G158-'Price History'!G3)*0.0844155844155844</f>
        <v>59.2893506493506</v>
      </c>
      <c r="AC16" s="77" t="n">
        <f aca="false">'Price History'!H3+('Price History'!H158-'Price History'!H3)*0.0844155844155844</f>
        <v>128.412727272727</v>
      </c>
      <c r="AD16" s="77" t="n">
        <f aca="false">'Price History'!I3+('Price History'!I158-'Price History'!I3)*0.0844155844155844</f>
        <v>54.3480519480519</v>
      </c>
      <c r="AE16" s="77" t="n">
        <f aca="false">'Price History'!J3+('Price History'!J158-'Price History'!J3)*0.0844155844155844</f>
        <v>125.291168831169</v>
      </c>
      <c r="AF16" s="77" t="n">
        <f aca="false">'Price History'!K3+('Price History'!K158-'Price History'!K3)*0.0844155844155844</f>
        <v>24.4973376623377</v>
      </c>
      <c r="AG16" s="77" t="n">
        <f aca="false">'Price History'!L3+('Price History'!L158-'Price History'!L3)*0.0844155844155844</f>
        <v>118.34961038961</v>
      </c>
      <c r="AH16" s="77" t="n">
        <f aca="false">'Price History'!M3+('Price History'!M158-'Price History'!M3)*0.0844155844155844</f>
        <v>51.0735064935065</v>
      </c>
      <c r="AI16" s="77" t="n">
        <f aca="false">'Price History'!N3+('Price History'!N158-'Price History'!N3)*0.0844155844155844</f>
        <v>360.601038961039</v>
      </c>
      <c r="AJ16" s="77" t="n">
        <f aca="false">'Price History'!O3+('Price History'!O158-'Price History'!O3)*0.0844155844155844</f>
        <v>86.4317532467533</v>
      </c>
      <c r="AK16" s="77" t="n">
        <f aca="false">'Price History'!Q3+('Price History'!Q151-'Price History'!Q3)*0.0844155844155844</f>
        <v>51.410974025974</v>
      </c>
      <c r="AL16" s="77" t="n">
        <f aca="false">'Price History'!R3+('Price History'!R158-'Price History'!R3)*0.0844155844155844</f>
        <v>48.7004545454546</v>
      </c>
      <c r="AM16" s="77" t="n">
        <f aca="false">'Price History'!S3+('Price History'!S158-'Price History'!S3)*0.0844155844155844</f>
        <v>65.7398051948052</v>
      </c>
      <c r="AN16" s="77" t="n">
        <f aca="false">'Price History'!T3+('Price History'!T158-'Price History'!T3)*0.0844155844155844</f>
        <v>28.8372077922078</v>
      </c>
    </row>
    <row r="17" customFormat="false" ht="15" hidden="false" customHeight="true" outlineLevel="0" collapsed="false">
      <c r="A17" s="49" t="n">
        <f aca="false">IF('Price History'!A18="","",'Price History'!A18)</f>
        <v>45254</v>
      </c>
      <c r="B17" s="76" t="n">
        <f aca="false">IFERROR(IF(OR(NOT(ISNUMBER('Price History'!B18)),NOT(ISNUMBER('Price History'!B17)),'Price History'!B17=0),"",'Price History'!B18/'Price History'!B17-1),"")</f>
        <v>0.02782663525039</v>
      </c>
      <c r="C17" s="76" t="n">
        <f aca="false">IFERROR(IF(OR(NOT(ISNUMBER('Price History'!C18)),NOT(ISNUMBER('Price History'!C17)),'Price History'!C17=0),"",'Price History'!C18/'Price History'!C17-1),"")</f>
        <v>0.0175177040626167</v>
      </c>
      <c r="D17" s="76" t="n">
        <f aca="false">IFERROR(IF(OR(NOT(ISNUMBER('Price History'!D18)),NOT(ISNUMBER('Price History'!D17)),'Price History'!D17=0),"",'Price History'!D18/'Price History'!D17-1),"")</f>
        <v>0.00741885175414292</v>
      </c>
      <c r="E17" s="76" t="n">
        <f aca="false">IFERROR(IF(OR(NOT(ISNUMBER('Price History'!E18)),NOT(ISNUMBER('Price History'!E17)),'Price History'!E17=0),"",'Price History'!E18/'Price History'!E17-1),"")</f>
        <v>0.00122737035900578</v>
      </c>
      <c r="F17" s="76" t="n">
        <f aca="false">IFERROR(IF(OR(NOT(ISNUMBER('Price History'!F18)),NOT(ISNUMBER('Price History'!F17)),'Price History'!F17=0),"",'Price History'!F18/'Price History'!F17-1),"")</f>
        <v>0.0173845856673749</v>
      </c>
      <c r="G17" s="76" t="n">
        <f aca="false">IFERROR(IF(OR(NOT(ISNUMBER('Price History'!G18)),NOT(ISNUMBER('Price History'!G17)),'Price History'!G17=0),"",'Price History'!G18/'Price History'!G17-1),"")</f>
        <v>0.0203856749311295</v>
      </c>
      <c r="H17" s="76" t="n">
        <f aca="false">IFERROR(IF(OR(NOT(ISNUMBER('Price History'!H18)),NOT(ISNUMBER('Price History'!H17)),'Price History'!H17=0),"",'Price History'!H18/'Price History'!H17-1),"")</f>
        <v>-0.00889633831872094</v>
      </c>
      <c r="I17" s="76" t="n">
        <f aca="false">IFERROR(IF(OR(NOT(ISNUMBER('Price History'!I18)),NOT(ISNUMBER('Price History'!I17)),'Price History'!I17=0),"",'Price History'!I18/'Price History'!I17-1),"")</f>
        <v>-0.0308316430020283</v>
      </c>
      <c r="J17" s="76" t="n">
        <f aca="false">IFERROR(IF(OR(NOT(ISNUMBER('Price History'!J18)),NOT(ISNUMBER('Price History'!J17)),'Price History'!J17=0),"",'Price History'!J18/'Price History'!J17-1),"")</f>
        <v>0.0175342963568639</v>
      </c>
      <c r="K17" s="76" t="n">
        <f aca="false">IFERROR(IF(OR(NOT(ISNUMBER('Price History'!K18)),NOT(ISNUMBER('Price History'!K17)),'Price History'!K17=0),"",'Price History'!K18/'Price History'!K17-1),"")</f>
        <v>-0.0629575402635432</v>
      </c>
      <c r="L17" s="76" t="n">
        <f aca="false">IFERROR(IF(OR(NOT(ISNUMBER('Price History'!L18)),NOT(ISNUMBER('Price History'!L17)),'Price History'!L17=0),"",'Price History'!L18/'Price History'!L17-1),"")</f>
        <v>-0.0175738100020084</v>
      </c>
      <c r="M17" s="76" t="n">
        <f aca="false">IFERROR(IF(OR(NOT(ISNUMBER('Price History'!M18)),NOT(ISNUMBER('Price History'!M17)),'Price History'!M17=0),"",'Price History'!M18/'Price History'!M17-1),"")</f>
        <v>-0.0140910140910141</v>
      </c>
      <c r="N17" s="76" t="n">
        <f aca="false">IFERROR(IF(OR(NOT(ISNUMBER('Price History'!N18)),NOT(ISNUMBER('Price History'!N17)),'Price History'!N17=0),"",'Price History'!N18/'Price History'!N17-1),"")</f>
        <v>0.00724679029957209</v>
      </c>
      <c r="O17" s="76" t="n">
        <f aca="false">IFERROR(IF(OR(NOT(ISNUMBER('Price History'!O18)),NOT(ISNUMBER('Price History'!O17)),'Price History'!O17=0),"",'Price History'!O18/'Price History'!O17-1),"")</f>
        <v>0.000124750499002069</v>
      </c>
      <c r="P17" s="76" t="str">
        <f aca="false">IFERROR(IF(OR(NOT(ISNUMBER('Price History'!P18)),NOT(ISNUMBER('Price History'!P17)),'Price History'!P17=0),"",'Price History'!P18/'Price History'!P17-1),"")</f>
        <v/>
      </c>
      <c r="Q17" s="76" t="n">
        <f aca="false">IFERROR(IF(OR(NOT(ISNUMBER('Price History'!Q18)),NOT(ISNUMBER('Price History'!Q17)),'Price History'!Q17=0),"",'Price History'!Q18/'Price History'!Q17-1),"")</f>
        <v>0.00987654320987663</v>
      </c>
      <c r="R17" s="76" t="n">
        <f aca="false">IFERROR(IF(OR(NOT(ISNUMBER('Price History'!R18)),NOT(ISNUMBER('Price History'!R17)),'Price History'!R17=0),"",'Price History'!R18/'Price History'!R17-1),"")</f>
        <v>0.00530937308556245</v>
      </c>
      <c r="S17" s="76" t="n">
        <f aca="false">IFERROR(IF(OR(NOT(ISNUMBER('Price History'!S18)),NOT(ISNUMBER('Price History'!S17)),'Price History'!S17=0),"",'Price History'!S18/'Price History'!S17-1),"")</f>
        <v>0.00551142810828331</v>
      </c>
      <c r="T17" s="76" t="n">
        <f aca="false">IFERROR(IF(OR(NOT(ISNUMBER('Price History'!T18)),NOT(ISNUMBER('Price History'!T17)),'Price History'!T17=0),"",'Price History'!T18/'Price History'!T17-1),"")</f>
        <v>0.00714554343738261</v>
      </c>
      <c r="U17" s="76" t="str">
        <f aca="false">IFERROR(IF(OR(NOT(ISNUMBER('Price History'!U18)),NOT(ISNUMBER('Price History'!U17)),'Price History'!U17=0),"",'Price History'!U18/'Price History'!U17-1),"")</f>
        <v/>
      </c>
      <c r="W17" s="77" t="n">
        <f aca="false">'Price History'!B3+('Price History'!B158-'Price History'!B3)*0.0909090909090909</f>
        <v>484.991818181818</v>
      </c>
      <c r="X17" s="77" t="n">
        <f aca="false">'Price History'!C3+('Price History'!C158-'Price History'!C3)*0.0909090909090909</f>
        <v>56.1590909090909</v>
      </c>
      <c r="Y17" s="77" t="n">
        <f aca="false">'Price History'!D3+('Price History'!D158-'Price History'!D3)*0.0909090909090909</f>
        <v>749.709090909091</v>
      </c>
      <c r="Z17" s="77" t="n">
        <f aca="false">'Price History'!E3+('Price History'!E158-'Price History'!E3)*0.0909090909090909</f>
        <v>110.825454545455</v>
      </c>
      <c r="AA17" s="77" t="n">
        <f aca="false">'Price History'!F3+('Price History'!F158-'Price History'!F3)*0.0909090909090909</f>
        <v>51.0418181818182</v>
      </c>
      <c r="AB17" s="77" t="n">
        <f aca="false">'Price History'!G3+('Price History'!G158-'Price History'!G3)*0.0909090909090909</f>
        <v>60.1654545454545</v>
      </c>
      <c r="AC17" s="77" t="n">
        <f aca="false">'Price History'!H3+('Price History'!H158-'Price History'!H3)*0.0909090909090909</f>
        <v>133.339090909091</v>
      </c>
      <c r="AD17" s="77" t="n">
        <f aca="false">'Price History'!I3+('Price History'!I158-'Price History'!I3)*0.0909090909090909</f>
        <v>55.3863636363636</v>
      </c>
      <c r="AE17" s="77" t="n">
        <f aca="false">'Price History'!J3+('Price History'!J158-'Price History'!J3)*0.0909090909090909</f>
        <v>125.428181818182</v>
      </c>
      <c r="AF17" s="77" t="n">
        <f aca="false">'Price History'!K3+('Price History'!K158-'Price History'!K3)*0.0909090909090909</f>
        <v>25.1963636363636</v>
      </c>
      <c r="AG17" s="77" t="n">
        <f aca="false">'Price History'!L3+('Price History'!L158-'Price History'!L3)*0.0909090909090909</f>
        <v>120.377272727273</v>
      </c>
      <c r="AH17" s="77" t="n">
        <f aca="false">'Price History'!M3+('Price History'!M158-'Price History'!M3)*0.0909090909090909</f>
        <v>52.4245454545455</v>
      </c>
      <c r="AI17" s="77" t="n">
        <f aca="false">'Price History'!N3+('Price History'!N158-'Price History'!N3)*0.0909090909090909</f>
        <v>361.427272727273</v>
      </c>
      <c r="AJ17" s="77" t="n">
        <f aca="false">'Price History'!O3+('Price History'!O158-'Price History'!O3)*0.0909090909090909</f>
        <v>86.7072727272727</v>
      </c>
      <c r="AK17" s="77" t="n">
        <f aca="false">'Price History'!Q3+('Price History'!Q151-'Price History'!Q3)*0.0909090909090909</f>
        <v>51.5318181818182</v>
      </c>
      <c r="AL17" s="77" t="n">
        <f aca="false">'Price History'!R3+('Price History'!R158-'Price History'!R3)*0.0909090909090909</f>
        <v>48.7681818181818</v>
      </c>
      <c r="AM17" s="77" t="n">
        <f aca="false">'Price History'!S3+('Price History'!S158-'Price History'!S3)*0.0909090909090909</f>
        <v>66.2936363636364</v>
      </c>
      <c r="AN17" s="77" t="n">
        <f aca="false">'Price History'!T3+('Price History'!T158-'Price History'!T3)*0.0909090909090909</f>
        <v>28.9854545454545</v>
      </c>
    </row>
    <row r="18" customFormat="false" ht="15" hidden="false" customHeight="true" outlineLevel="0" collapsed="false">
      <c r="A18" s="49" t="n">
        <f aca="false">IF('Price History'!A19="","",'Price History'!A19)</f>
        <v>45261</v>
      </c>
      <c r="B18" s="76" t="n">
        <f aca="false">IFERROR(IF(OR(NOT(ISNUMBER('Price History'!B19)),NOT(ISNUMBER('Price History'!B18)),'Price History'!B18=0),"",'Price History'!B19/'Price History'!B18-1),"")</f>
        <v>-0.0112361364480247</v>
      </c>
      <c r="C18" s="76" t="n">
        <f aca="false">IFERROR(IF(OR(NOT(ISNUMBER('Price History'!C19)),NOT(ISNUMBER('Price History'!C18)),'Price History'!C18=0),"",'Price History'!C19/'Price History'!C18-1),"")</f>
        <v>-0.00805860805860814</v>
      </c>
      <c r="D18" s="76" t="n">
        <f aca="false">IFERROR(IF(OR(NOT(ISNUMBER('Price History'!D19)),NOT(ISNUMBER('Price History'!D18)),'Price History'!D18=0),"",'Price History'!D19/'Price History'!D18-1),"")</f>
        <v>0.00147573714517213</v>
      </c>
      <c r="E18" s="76" t="n">
        <f aca="false">IFERROR(IF(OR(NOT(ISNUMBER('Price History'!E19)),NOT(ISNUMBER('Price History'!E18)),'Price History'!E18=0),"",'Price History'!E19/'Price History'!E18-1),"")</f>
        <v>-0.0499540300337114</v>
      </c>
      <c r="F18" s="76" t="n">
        <f aca="false">IFERROR(IF(OR(NOT(ISNUMBER('Price History'!F19)),NOT(ISNUMBER('Price History'!F18)),'Price History'!F18=0),"",'Price History'!F19/'Price History'!F18-1),"")</f>
        <v>0.115625593316879</v>
      </c>
      <c r="G18" s="76" t="n">
        <f aca="false">IFERROR(IF(OR(NOT(ISNUMBER('Price History'!G19)),NOT(ISNUMBER('Price History'!G18)),'Price History'!G18=0),"",'Price History'!G19/'Price History'!G18-1),"")</f>
        <v>-0.0118790496760259</v>
      </c>
      <c r="H18" s="76" t="n">
        <f aca="false">IFERROR(IF(OR(NOT(ISNUMBER('Price History'!H19)),NOT(ISNUMBER('Price History'!H18)),'Price History'!H18=0),"",'Price History'!H19/'Price History'!H18-1),"")</f>
        <v>-0.0122284376219591</v>
      </c>
      <c r="I18" s="76" t="n">
        <f aca="false">IFERROR(IF(OR(NOT(ISNUMBER('Price History'!I19)),NOT(ISNUMBER('Price History'!I18)),'Price History'!I18=0),"",'Price History'!I19/'Price History'!I18-1),"")</f>
        <v>-0.0211385516952699</v>
      </c>
      <c r="J18" s="76" t="n">
        <f aca="false">IFERROR(IF(OR(NOT(ISNUMBER('Price History'!J19)),NOT(ISNUMBER('Price History'!J18)),'Price History'!J18=0),"",'Price History'!J19/'Price History'!J18-1),"")</f>
        <v>0.0558928571428572</v>
      </c>
      <c r="K18" s="76" t="n">
        <f aca="false">IFERROR(IF(OR(NOT(ISNUMBER('Price History'!K19)),NOT(ISNUMBER('Price History'!K18)),'Price History'!K18=0),"",'Price History'!K19/'Price History'!K18-1),"")</f>
        <v>0.0557291666666666</v>
      </c>
      <c r="L18" s="76" t="n">
        <f aca="false">IFERROR(IF(OR(NOT(ISNUMBER('Price History'!L19)),NOT(ISNUMBER('Price History'!L18)),'Price History'!L18=0),"",'Price History'!L19/'Price History'!L18-1),"")</f>
        <v>0.00735970561177557</v>
      </c>
      <c r="M18" s="76" t="n">
        <f aca="false">IFERROR(IF(OR(NOT(ISNUMBER('Price History'!M19)),NOT(ISNUMBER('Price History'!M18)),'Price History'!M18=0),"",'Price History'!M19/'Price History'!M18-1),"")</f>
        <v>0.0576382380506093</v>
      </c>
      <c r="N18" s="76" t="n">
        <f aca="false">IFERROR(IF(OR(NOT(ISNUMBER('Price History'!N19)),NOT(ISNUMBER('Price History'!N18)),'Price History'!N18=0),"",'Price History'!N19/'Price History'!N18-1),"")</f>
        <v>-0.00532517561749379</v>
      </c>
      <c r="O18" s="76" t="n">
        <f aca="false">IFERROR(IF(OR(NOT(ISNUMBER('Price History'!O19)),NOT(ISNUMBER('Price History'!O18)),'Price History'!O18=0),"",'Price History'!O19/'Price History'!O18-1),"")</f>
        <v>0.0335536983909193</v>
      </c>
      <c r="P18" s="76" t="str">
        <f aca="false">IFERROR(IF(OR(NOT(ISNUMBER('Price History'!P19)),NOT(ISNUMBER('Price History'!P18)),'Price History'!P18=0),"",'Price History'!P19/'Price History'!P18-1),"")</f>
        <v/>
      </c>
      <c r="Q18" s="76" t="n">
        <f aca="false">IFERROR(IF(OR(NOT(ISNUMBER('Price History'!Q19)),NOT(ISNUMBER('Price History'!Q18)),'Price History'!Q18=0),"",'Price History'!Q19/'Price History'!Q18-1),"")</f>
        <v>0.00583035546360722</v>
      </c>
      <c r="R18" s="76" t="n">
        <f aca="false">IFERROR(IF(OR(NOT(ISNUMBER('Price History'!R19)),NOT(ISNUMBER('Price History'!R18)),'Price History'!R18=0),"",'Price History'!R19/'Price History'!R18-1),"")</f>
        <v>-0.00670322973796467</v>
      </c>
      <c r="S18" s="76" t="n">
        <f aca="false">IFERROR(IF(OR(NOT(ISNUMBER('Price History'!S19)),NOT(ISNUMBER('Price History'!S18)),'Price History'!S18=0),"",'Price History'!S19/'Price History'!S18-1),"")</f>
        <v>-0.00225697243269385</v>
      </c>
      <c r="T18" s="76" t="n">
        <f aca="false">IFERROR(IF(OR(NOT(ISNUMBER('Price History'!T19)),NOT(ISNUMBER('Price History'!T18)),'Price History'!T18=0),"",'Price History'!T19/'Price History'!T18-1),"")</f>
        <v>0.0134428678117999</v>
      </c>
      <c r="U18" s="76" t="str">
        <f aca="false">IFERROR(IF(OR(NOT(ISNUMBER('Price History'!U19)),NOT(ISNUMBER('Price History'!U18)),'Price History'!U18=0),"",'Price History'!U19/'Price History'!U18-1),"")</f>
        <v/>
      </c>
      <c r="W18" s="77" t="n">
        <f aca="false">'Price History'!B3+('Price History'!B158-'Price History'!B3)*0.0974025974025974</f>
        <v>483.316233766234</v>
      </c>
      <c r="X18" s="77" t="n">
        <f aca="false">'Price History'!C3+('Price History'!C158-'Price History'!C3)*0.0974025974025974</f>
        <v>57.0461688311688</v>
      </c>
      <c r="Y18" s="77" t="n">
        <f aca="false">'Price History'!D3+('Price History'!D158-'Price History'!D3)*0.0974025974025974</f>
        <v>755.98974025974</v>
      </c>
      <c r="Z18" s="77" t="n">
        <f aca="false">'Price History'!E3+('Price History'!E158-'Price History'!E3)*0.0974025974025974</f>
        <v>112.814415584416</v>
      </c>
      <c r="AA18" s="77" t="n">
        <f aca="false">'Price History'!F3+('Price History'!F158-'Price History'!F3)*0.0974025974025974</f>
        <v>52.0405194805195</v>
      </c>
      <c r="AB18" s="77" t="n">
        <f aca="false">'Price History'!G3+('Price History'!G158-'Price History'!G3)*0.0974025974025974</f>
        <v>61.0415584415584</v>
      </c>
      <c r="AC18" s="77" t="n">
        <f aca="false">'Price History'!H3+('Price History'!H158-'Price History'!H3)*0.0974025974025974</f>
        <v>138.265454545455</v>
      </c>
      <c r="AD18" s="77" t="n">
        <f aca="false">'Price History'!I3+('Price History'!I158-'Price History'!I3)*0.0974025974025974</f>
        <v>56.4246753246753</v>
      </c>
      <c r="AE18" s="77" t="n">
        <f aca="false">'Price History'!J3+('Price History'!J158-'Price History'!J3)*0.0974025974025974</f>
        <v>125.565194805195</v>
      </c>
      <c r="AF18" s="77" t="n">
        <f aca="false">'Price History'!K3+('Price History'!K158-'Price History'!K3)*0.0974025974025974</f>
        <v>25.8953896103896</v>
      </c>
      <c r="AG18" s="77" t="n">
        <f aca="false">'Price History'!L3+('Price History'!L158-'Price History'!L3)*0.0974025974025974</f>
        <v>122.404935064935</v>
      </c>
      <c r="AH18" s="77" t="n">
        <f aca="false">'Price History'!M3+('Price History'!M158-'Price History'!M3)*0.0974025974025974</f>
        <v>53.7755844155844</v>
      </c>
      <c r="AI18" s="77" t="n">
        <f aca="false">'Price History'!N3+('Price History'!N158-'Price History'!N3)*0.0974025974025974</f>
        <v>362.253506493507</v>
      </c>
      <c r="AJ18" s="77" t="n">
        <f aca="false">'Price History'!O3+('Price History'!O158-'Price History'!O3)*0.0974025974025974</f>
        <v>86.9827922077922</v>
      </c>
      <c r="AK18" s="77" t="n">
        <f aca="false">'Price History'!Q3+('Price History'!Q151-'Price History'!Q3)*0.0974025974025974</f>
        <v>51.6526623376623</v>
      </c>
      <c r="AL18" s="77" t="n">
        <f aca="false">'Price History'!R3+('Price History'!R158-'Price History'!R3)*0.0974025974025974</f>
        <v>48.8359090909091</v>
      </c>
      <c r="AM18" s="77" t="n">
        <f aca="false">'Price History'!S3+('Price History'!S158-'Price History'!S3)*0.0974025974025974</f>
        <v>66.8474675324675</v>
      </c>
      <c r="AN18" s="77" t="n">
        <f aca="false">'Price History'!T3+('Price History'!T158-'Price History'!T3)*0.0974025974025974</f>
        <v>29.1337012987013</v>
      </c>
    </row>
    <row r="19" customFormat="false" ht="15" hidden="false" customHeight="true" outlineLevel="0" collapsed="false">
      <c r="A19" s="49" t="n">
        <f aca="false">IF('Price History'!A20="","",'Price History'!A20)</f>
        <v>45268</v>
      </c>
      <c r="B19" s="76" t="n">
        <f aca="false">IFERROR(IF(OR(NOT(ISNUMBER('Price History'!B20)),NOT(ISNUMBER('Price History'!B19)),'Price History'!B19=0),"",'Price History'!B20/'Price History'!B19-1),"")</f>
        <v>-0.00401652325828206</v>
      </c>
      <c r="C19" s="76" t="n">
        <f aca="false">IFERROR(IF(OR(NOT(ISNUMBER('Price History'!C20)),NOT(ISNUMBER('Price History'!C19)),'Price History'!C19=0),"",'Price History'!C20/'Price History'!C19-1),"")</f>
        <v>0.0341580502215657</v>
      </c>
      <c r="D19" s="76" t="n">
        <f aca="false">IFERROR(IF(OR(NOT(ISNUMBER('Price History'!D20)),NOT(ISNUMBER('Price History'!D19)),'Price History'!D19=0),"",'Price History'!D20/'Price History'!D19-1),"")</f>
        <v>0.00611095059231426</v>
      </c>
      <c r="E19" s="76" t="n">
        <f aca="false">IFERROR(IF(OR(NOT(ISNUMBER('Price History'!E20)),NOT(ISNUMBER('Price History'!E19)),'Price History'!E19=0),"",'Price History'!E20/'Price History'!E19-1),"")</f>
        <v>0.0153763440860215</v>
      </c>
      <c r="F19" s="76" t="n">
        <f aca="false">IFERROR(IF(OR(NOT(ISNUMBER('Price History'!F20)),NOT(ISNUMBER('Price History'!F19)),'Price History'!F19=0),"",'Price History'!F20/'Price History'!F19-1),"")</f>
        <v>0.0319945541184479</v>
      </c>
      <c r="G19" s="76" t="n">
        <f aca="false">IFERROR(IF(OR(NOT(ISNUMBER('Price History'!G20)),NOT(ISNUMBER('Price History'!G19)),'Price History'!G19=0),"",'Price History'!G20/'Price History'!G19-1),"")</f>
        <v>-0.0265938069216758</v>
      </c>
      <c r="H19" s="76" t="n">
        <f aca="false">IFERROR(IF(OR(NOT(ISNUMBER('Price History'!H20)),NOT(ISNUMBER('Price History'!H19)),'Price History'!H19=0),"",'Price History'!H20/'Price History'!H19-1),"")</f>
        <v>-0.0127749242723563</v>
      </c>
      <c r="I19" s="76" t="n">
        <f aca="false">IFERROR(IF(OR(NOT(ISNUMBER('Price History'!I20)),NOT(ISNUMBER('Price History'!I19)),'Price History'!I19=0),"",'Price History'!I20/'Price History'!I19-1),"")</f>
        <v>0.01582210818901</v>
      </c>
      <c r="J19" s="76" t="n">
        <f aca="false">IFERROR(IF(OR(NOT(ISNUMBER('Price History'!J20)),NOT(ISNUMBER('Price History'!J19)),'Price History'!J19=0),"",'Price History'!J20/'Price History'!J19-1),"")</f>
        <v>0.0134449518011162</v>
      </c>
      <c r="K19" s="76" t="n">
        <f aca="false">IFERROR(IF(OR(NOT(ISNUMBER('Price History'!K20)),NOT(ISNUMBER('Price History'!K19)),'Price History'!K19=0),"",'Price History'!K20/'Price History'!K19-1),"")</f>
        <v>-0.123334977799704</v>
      </c>
      <c r="L19" s="76" t="n">
        <f aca="false">IFERROR(IF(OR(NOT(ISNUMBER('Price History'!L20)),NOT(ISNUMBER('Price History'!L19)),'Price History'!L19=0),"",'Price History'!L20/'Price History'!L19-1),"")</f>
        <v>0.0182648401826484</v>
      </c>
      <c r="M19" s="76" t="n">
        <f aca="false">IFERROR(IF(OR(NOT(ISNUMBER('Price History'!M20)),NOT(ISNUMBER('Price History'!M19)),'Price History'!M19=0),"",'Price History'!M20/'Price History'!M19-1),"")</f>
        <v>0.0443066016836509</v>
      </c>
      <c r="N19" s="76" t="n">
        <f aca="false">IFERROR(IF(OR(NOT(ISNUMBER('Price History'!N20)),NOT(ISNUMBER('Price History'!N19)),'Price History'!N19=0),"",'Price History'!N20/'Price History'!N19-1),"")</f>
        <v>-0.0028761817974714</v>
      </c>
      <c r="O19" s="76" t="n">
        <f aca="false">IFERROR(IF(OR(NOT(ISNUMBER('Price History'!O20)),NOT(ISNUMBER('Price History'!O19)),'Price History'!O19=0),"",'Price History'!O20/'Price History'!O19-1),"")</f>
        <v>0.00832729905865315</v>
      </c>
      <c r="P19" s="76" t="str">
        <f aca="false">IFERROR(IF(OR(NOT(ISNUMBER('Price History'!P20)),NOT(ISNUMBER('Price History'!P19)),'Price History'!P19=0),"",'Price History'!P20/'Price History'!P19-1),"")</f>
        <v/>
      </c>
      <c r="Q19" s="76" t="n">
        <f aca="false">IFERROR(IF(OR(NOT(ISNUMBER('Price History'!Q20)),NOT(ISNUMBER('Price History'!Q19)),'Price History'!Q19=0),"",'Price History'!Q20/'Price History'!Q19-1),"")</f>
        <v>0.0063575168287211</v>
      </c>
      <c r="R19" s="76" t="n">
        <f aca="false">IFERROR(IF(OR(NOT(ISNUMBER('Price History'!R20)),NOT(ISNUMBER('Price History'!R19)),'Price History'!R19=0),"",'Price History'!R20/'Price History'!R19-1),"")</f>
        <v>0.00736196319018401</v>
      </c>
      <c r="S19" s="76" t="n">
        <f aca="false">IFERROR(IF(OR(NOT(ISNUMBER('Price History'!S20)),NOT(ISNUMBER('Price History'!S19)),'Price History'!S19=0),"",'Price History'!S20/'Price History'!S19-1),"")</f>
        <v>0.0037162708030376</v>
      </c>
      <c r="T19" s="76" t="n">
        <f aca="false">IFERROR(IF(OR(NOT(ISNUMBER('Price History'!T20)),NOT(ISNUMBER('Price History'!T19)),'Price History'!T19=0),"",'Price History'!T20/'Price History'!T19-1),"")</f>
        <v>0.00884303610906412</v>
      </c>
      <c r="U19" s="76" t="str">
        <f aca="false">IFERROR(IF(OR(NOT(ISNUMBER('Price History'!U20)),NOT(ISNUMBER('Price History'!U19)),'Price History'!U19=0),"",'Price History'!U20/'Price History'!U19-1),"")</f>
        <v/>
      </c>
      <c r="W19" s="77" t="n">
        <f aca="false">'Price History'!B3+('Price History'!B158-'Price History'!B3)*0.103896103896104</f>
        <v>481.640649350649</v>
      </c>
      <c r="X19" s="77" t="n">
        <f aca="false">'Price History'!C3+('Price History'!C158-'Price History'!C3)*0.103896103896104</f>
        <v>57.9332467532468</v>
      </c>
      <c r="Y19" s="77" t="n">
        <f aca="false">'Price History'!D3+('Price History'!D158-'Price History'!D3)*0.103896103896104</f>
        <v>762.27038961039</v>
      </c>
      <c r="Z19" s="77" t="n">
        <f aca="false">'Price History'!E3+('Price History'!E158-'Price History'!E3)*0.103896103896104</f>
        <v>114.803376623377</v>
      </c>
      <c r="AA19" s="77" t="n">
        <f aca="false">'Price History'!F3+('Price History'!F158-'Price History'!F3)*0.103896103896104</f>
        <v>53.0392207792208</v>
      </c>
      <c r="AB19" s="77" t="n">
        <f aca="false">'Price History'!G3+('Price History'!G158-'Price History'!G3)*0.103896103896104</f>
        <v>61.9176623376624</v>
      </c>
      <c r="AC19" s="77" t="n">
        <f aca="false">'Price History'!H3+('Price History'!H158-'Price History'!H3)*0.103896103896104</f>
        <v>143.191818181818</v>
      </c>
      <c r="AD19" s="77" t="n">
        <f aca="false">'Price History'!I3+('Price History'!I158-'Price History'!I3)*0.103896103896104</f>
        <v>57.462987012987</v>
      </c>
      <c r="AE19" s="77" t="n">
        <f aca="false">'Price History'!J3+('Price History'!J158-'Price History'!J3)*0.103896103896104</f>
        <v>125.702207792208</v>
      </c>
      <c r="AF19" s="77" t="n">
        <f aca="false">'Price History'!K3+('Price History'!K158-'Price History'!K3)*0.103896103896104</f>
        <v>26.5944155844156</v>
      </c>
      <c r="AG19" s="77" t="n">
        <f aca="false">'Price History'!L3+('Price History'!L158-'Price History'!L3)*0.103896103896104</f>
        <v>124.432597402597</v>
      </c>
      <c r="AH19" s="77" t="n">
        <f aca="false">'Price History'!M3+('Price History'!M158-'Price History'!M3)*0.103896103896104</f>
        <v>55.1266233766234</v>
      </c>
      <c r="AI19" s="77" t="n">
        <f aca="false">'Price History'!N3+('Price History'!N158-'Price History'!N3)*0.103896103896104</f>
        <v>363.07974025974</v>
      </c>
      <c r="AJ19" s="77" t="n">
        <f aca="false">'Price History'!O3+('Price History'!O158-'Price History'!O3)*0.103896103896104</f>
        <v>87.2583116883117</v>
      </c>
      <c r="AK19" s="77" t="n">
        <f aca="false">'Price History'!Q3+('Price History'!Q151-'Price History'!Q3)*0.103896103896104</f>
        <v>51.7735064935065</v>
      </c>
      <c r="AL19" s="77" t="n">
        <f aca="false">'Price History'!R3+('Price History'!R158-'Price History'!R3)*0.103896103896104</f>
        <v>48.9036363636364</v>
      </c>
      <c r="AM19" s="77" t="n">
        <f aca="false">'Price History'!S3+('Price History'!S158-'Price History'!S3)*0.103896103896104</f>
        <v>67.4012987012987</v>
      </c>
      <c r="AN19" s="77" t="n">
        <f aca="false">'Price History'!T3+('Price History'!T158-'Price History'!T3)*0.103896103896104</f>
        <v>29.2819480519481</v>
      </c>
    </row>
    <row r="20" customFormat="false" ht="15" hidden="false" customHeight="true" outlineLevel="0" collapsed="false">
      <c r="A20" s="49" t="n">
        <f aca="false">IF('Price History'!A21="","",'Price History'!A21)</f>
        <v>45275</v>
      </c>
      <c r="B20" s="76" t="n">
        <f aca="false">IFERROR(IF(OR(NOT(ISNUMBER('Price History'!B21)),NOT(ISNUMBER('Price History'!B20)),'Price History'!B20=0),"",'Price History'!B21/'Price History'!B20-1),"")</f>
        <v>-0.0415239094441076</v>
      </c>
      <c r="C20" s="76" t="n">
        <f aca="false">IFERROR(IF(OR(NOT(ISNUMBER('Price History'!C21)),NOT(ISNUMBER('Price History'!C20)),'Price History'!C20=0),"",'Price History'!C21/'Price History'!C20-1),"")</f>
        <v>0.0515979289412605</v>
      </c>
      <c r="D20" s="76" t="n">
        <f aca="false">IFERROR(IF(OR(NOT(ISNUMBER('Price History'!D21)),NOT(ISNUMBER('Price History'!D20)),'Price History'!D20=0),"",'Price History'!D21/'Price History'!D20-1),"")</f>
        <v>0.0811711155464299</v>
      </c>
      <c r="E20" s="76" t="n">
        <f aca="false">IFERROR(IF(OR(NOT(ISNUMBER('Price History'!E21)),NOT(ISNUMBER('Price History'!E20)),'Price History'!E20=0),"",'Price History'!E21/'Price History'!E20-1),"")</f>
        <v>0.19633591019803</v>
      </c>
      <c r="F20" s="76" t="n">
        <f aca="false">IFERROR(IF(OR(NOT(ISNUMBER('Price History'!F21)),NOT(ISNUMBER('Price History'!F20)),'Price History'!F20=0),"",'Price History'!F21/'Price History'!F20-1),"")</f>
        <v>0.0722295514511873</v>
      </c>
      <c r="G20" s="76" t="n">
        <f aca="false">IFERROR(IF(OR(NOT(ISNUMBER('Price History'!G21)),NOT(ISNUMBER('Price History'!G20)),'Price History'!G20=0),"",'Price History'!G21/'Price History'!G20-1),"")</f>
        <v>0.094872754491018</v>
      </c>
      <c r="H20" s="76" t="n">
        <f aca="false">IFERROR(IF(OR(NOT(ISNUMBER('Price History'!H21)),NOT(ISNUMBER('Price History'!H20)),'Price History'!H20=0),"",'Price History'!H21/'Price History'!H20-1),"")</f>
        <v>0.0860458911419424</v>
      </c>
      <c r="I20" s="76" t="n">
        <f aca="false">IFERROR(IF(OR(NOT(ISNUMBER('Price History'!I21)),NOT(ISNUMBER('Price History'!I20)),'Price History'!I20=0),"",'Price History'!I21/'Price History'!I20-1),"")</f>
        <v>0.0290465165228373</v>
      </c>
      <c r="J20" s="76" t="n">
        <f aca="false">IFERROR(IF(OR(NOT(ISNUMBER('Price History'!J21)),NOT(ISNUMBER('Price History'!J20)),'Price History'!J20=0),"",'Price History'!J21/'Price History'!J20-1),"")</f>
        <v>0.12023362536504</v>
      </c>
      <c r="K20" s="76" t="n">
        <f aca="false">IFERROR(IF(OR(NOT(ISNUMBER('Price History'!K21)),NOT(ISNUMBER('Price History'!K20)),'Price History'!K20=0),"",'Price History'!K21/'Price History'!K20-1),"")</f>
        <v>0.024198086662915</v>
      </c>
      <c r="L20" s="76" t="n">
        <f aca="false">IFERROR(IF(OR(NOT(ISNUMBER('Price History'!L21)),NOT(ISNUMBER('Price History'!L20)),'Price History'!L20=0),"",'Price History'!L21/'Price History'!L20-1),"")</f>
        <v>0.0218236173393125</v>
      </c>
      <c r="M20" s="76" t="n">
        <f aca="false">IFERROR(IF(OR(NOT(ISNUMBER('Price History'!M21)),NOT(ISNUMBER('Price History'!M20)),'Price History'!M20=0),"",'Price History'!M21/'Price History'!M20-1),"")</f>
        <v>0.0125159100551548</v>
      </c>
      <c r="N20" s="76" t="n">
        <f aca="false">IFERROR(IF(OR(NOT(ISNUMBER('Price History'!N21)),NOT(ISNUMBER('Price History'!N20)),'Price History'!N20=0),"",'Price History'!N21/'Price History'!N20-1),"")</f>
        <v>0.172868770526917</v>
      </c>
      <c r="O20" s="76" t="n">
        <f aca="false">IFERROR(IF(OR(NOT(ISNUMBER('Price History'!O21)),NOT(ISNUMBER('Price History'!O20)),'Price History'!O20=0),"",'Price History'!O21/'Price History'!O20-1),"")</f>
        <v>0.0548174745661281</v>
      </c>
      <c r="P20" s="76" t="str">
        <f aca="false">IFERROR(IF(OR(NOT(ISNUMBER('Price History'!P21)),NOT(ISNUMBER('Price History'!P20)),'Price History'!P20=0),"",'Price History'!P21/'Price History'!P20-1),"")</f>
        <v/>
      </c>
      <c r="Q20" s="76" t="n">
        <f aca="false">IFERROR(IF(OR(NOT(ISNUMBER('Price History'!Q21)),NOT(ISNUMBER('Price History'!Q20)),'Price History'!Q20=0),"",'Price History'!Q21/'Price History'!Q20-1),"")</f>
        <v>0.0141211445559271</v>
      </c>
      <c r="R20" s="76" t="n">
        <f aca="false">IFERROR(IF(OR(NOT(ISNUMBER('Price History'!R21)),NOT(ISNUMBER('Price History'!R20)),'Price History'!R20=0),"",'Price History'!R21/'Price History'!R20-1),"")</f>
        <v>0.0150223304912709</v>
      </c>
      <c r="S20" s="76" t="n">
        <f aca="false">IFERROR(IF(OR(NOT(ISNUMBER('Price History'!S21)),NOT(ISNUMBER('Price History'!S20)),'Price History'!S20=0),"",'Price History'!S21/'Price History'!S20-1),"")</f>
        <v>0.0341274951706374</v>
      </c>
      <c r="T20" s="76" t="n">
        <f aca="false">IFERROR(IF(OR(NOT(ISNUMBER('Price History'!T21)),NOT(ISNUMBER('Price History'!T20)),'Price History'!T20=0),"",'Price History'!T21/'Price History'!T20-1),"")</f>
        <v>0.0277574872169468</v>
      </c>
      <c r="U20" s="76" t="str">
        <f aca="false">IFERROR(IF(OR(NOT(ISNUMBER('Price History'!U21)),NOT(ISNUMBER('Price History'!U20)),'Price History'!U20=0),"",'Price History'!U21/'Price History'!U20-1),"")</f>
        <v/>
      </c>
      <c r="W20" s="77" t="n">
        <f aca="false">'Price History'!B3+('Price History'!B158-'Price History'!B3)*0.11038961038961</f>
        <v>479.965064935065</v>
      </c>
      <c r="X20" s="77" t="n">
        <f aca="false">'Price History'!C3+('Price History'!C158-'Price History'!C3)*0.11038961038961</f>
        <v>58.8203246753246</v>
      </c>
      <c r="Y20" s="77" t="n">
        <f aca="false">'Price History'!D3+('Price History'!D158-'Price History'!D3)*0.11038961038961</f>
        <v>768.551038961039</v>
      </c>
      <c r="Z20" s="77" t="n">
        <f aca="false">'Price History'!E3+('Price History'!E158-'Price History'!E3)*0.11038961038961</f>
        <v>116.792337662338</v>
      </c>
      <c r="AA20" s="77" t="n">
        <f aca="false">'Price History'!F3+('Price History'!F158-'Price History'!F3)*0.11038961038961</f>
        <v>54.037922077922</v>
      </c>
      <c r="AB20" s="77" t="n">
        <f aca="false">'Price History'!G3+('Price History'!G158-'Price History'!G3)*0.11038961038961</f>
        <v>62.7937662337662</v>
      </c>
      <c r="AC20" s="77" t="n">
        <f aca="false">'Price History'!H3+('Price History'!H158-'Price History'!H3)*0.11038961038961</f>
        <v>148.118181818182</v>
      </c>
      <c r="AD20" s="77" t="n">
        <f aca="false">'Price History'!I3+('Price History'!I158-'Price History'!I3)*0.11038961038961</f>
        <v>58.5012987012986</v>
      </c>
      <c r="AE20" s="77" t="n">
        <f aca="false">'Price History'!J3+('Price History'!J158-'Price History'!J3)*0.11038961038961</f>
        <v>125.839220779221</v>
      </c>
      <c r="AF20" s="77" t="n">
        <f aca="false">'Price History'!K3+('Price History'!K158-'Price History'!K3)*0.11038961038961</f>
        <v>27.2934415584415</v>
      </c>
      <c r="AG20" s="77" t="n">
        <f aca="false">'Price History'!L3+('Price History'!L158-'Price History'!L3)*0.11038961038961</f>
        <v>126.46025974026</v>
      </c>
      <c r="AH20" s="77" t="n">
        <f aca="false">'Price History'!M3+('Price History'!M158-'Price History'!M3)*0.11038961038961</f>
        <v>56.4776623376623</v>
      </c>
      <c r="AI20" s="77" t="n">
        <f aca="false">'Price History'!N3+('Price History'!N158-'Price History'!N3)*0.11038961038961</f>
        <v>363.905974025974</v>
      </c>
      <c r="AJ20" s="77" t="n">
        <f aca="false">'Price History'!O3+('Price History'!O158-'Price History'!O3)*0.11038961038961</f>
        <v>87.5338311688311</v>
      </c>
      <c r="AK20" s="77" t="n">
        <f aca="false">'Price History'!Q3+('Price History'!Q151-'Price History'!Q3)*0.11038961038961</f>
        <v>51.8943506493506</v>
      </c>
      <c r="AL20" s="77" t="n">
        <f aca="false">'Price History'!R3+('Price History'!R158-'Price History'!R3)*0.11038961038961</f>
        <v>48.9713636363636</v>
      </c>
      <c r="AM20" s="77" t="n">
        <f aca="false">'Price History'!S3+('Price History'!S158-'Price History'!S3)*0.11038961038961</f>
        <v>67.9551298701298</v>
      </c>
      <c r="AN20" s="77" t="n">
        <f aca="false">'Price History'!T3+('Price History'!T158-'Price History'!T3)*0.11038961038961</f>
        <v>29.4301948051948</v>
      </c>
    </row>
    <row r="21" customFormat="false" ht="15" hidden="false" customHeight="true" outlineLevel="0" collapsed="false">
      <c r="A21" s="49" t="n">
        <f aca="false">IF('Price History'!A22="","",'Price History'!A22)</f>
        <v>45282</v>
      </c>
      <c r="B21" s="76" t="n">
        <f aca="false">IFERROR(IF(OR(NOT(ISNUMBER('Price History'!B22)),NOT(ISNUMBER('Price History'!B21)),'Price History'!B21=0),"",'Price History'!B22/'Price History'!B21-1),"")</f>
        <v>0.0240644455086545</v>
      </c>
      <c r="C21" s="76" t="n">
        <f aca="false">IFERROR(IF(OR(NOT(ISNUMBER('Price History'!C22)),NOT(ISNUMBER('Price History'!C21)),'Price History'!C21=0),"",'Price History'!C22/'Price History'!C21-1),"")</f>
        <v>0.0113752122241086</v>
      </c>
      <c r="D21" s="76" t="n">
        <f aca="false">IFERROR(IF(OR(NOT(ISNUMBER('Price History'!D22)),NOT(ISNUMBER('Price History'!D21)),'Price History'!D21=0),"",'Price History'!D22/'Price History'!D21-1),"")</f>
        <v>-0.00057107947301327</v>
      </c>
      <c r="E21" s="76" t="n">
        <f aca="false">IFERROR(IF(OR(NOT(ISNUMBER('Price History'!E22)),NOT(ISNUMBER('Price History'!E21)),'Price History'!E21=0),"",'Price History'!E22/'Price History'!E21-1),"")</f>
        <v>-0.00681596884128521</v>
      </c>
      <c r="F21" s="76" t="n">
        <f aca="false">IFERROR(IF(OR(NOT(ISNUMBER('Price History'!F22)),NOT(ISNUMBER('Price History'!F21)),'Price History'!F21=0),"",'Price History'!F22/'Price History'!F21-1),"")</f>
        <v>-0.0170716702553061</v>
      </c>
      <c r="G21" s="76" t="n">
        <f aca="false">IFERROR(IF(OR(NOT(ISNUMBER('Price History'!G22)),NOT(ISNUMBER('Price History'!G21)),'Price History'!G21=0),"",'Price History'!G22/'Price History'!G21-1),"")</f>
        <v>-0.00410186292941372</v>
      </c>
      <c r="H21" s="76" t="n">
        <f aca="false">IFERROR(IF(OR(NOT(ISNUMBER('Price History'!H22)),NOT(ISNUMBER('Price History'!H21)),'Price History'!H21=0),"",'Price History'!H22/'Price History'!H21-1),"")</f>
        <v>0.0624001965360521</v>
      </c>
      <c r="I21" s="76" t="n">
        <f aca="false">IFERROR(IF(OR(NOT(ISNUMBER('Price History'!I22)),NOT(ISNUMBER('Price History'!I21)),'Price History'!I21=0),"",'Price History'!I22/'Price History'!I21-1),"")</f>
        <v>-0.00122724483534464</v>
      </c>
      <c r="J21" s="76" t="n">
        <f aca="false">IFERROR(IF(OR(NOT(ISNUMBER('Price History'!J22)),NOT(ISNUMBER('Price History'!J21)),'Price History'!J21=0),"",'Price History'!J22/'Price History'!J21-1),"")</f>
        <v>-0.0138537166691493</v>
      </c>
      <c r="K21" s="76" t="n">
        <f aca="false">IFERROR(IF(OR(NOT(ISNUMBER('Price History'!K22)),NOT(ISNUMBER('Price History'!K21)),'Price History'!K21=0),"",'Price History'!K22/'Price History'!K21-1),"")</f>
        <v>-0.0434065934065934</v>
      </c>
      <c r="L21" s="76" t="n">
        <f aca="false">IFERROR(IF(OR(NOT(ISNUMBER('Price History'!L22)),NOT(ISNUMBER('Price History'!L21)),'Price History'!L21=0),"",'Price History'!L22/'Price History'!L21-1),"")</f>
        <v>0.00594889799102782</v>
      </c>
      <c r="M21" s="76" t="n">
        <f aca="false">IFERROR(IF(OR(NOT(ISNUMBER('Price History'!M22)),NOT(ISNUMBER('Price History'!M21)),'Price History'!M21=0),"",'Price History'!M22/'Price History'!M21-1),"")</f>
        <v>0.0219987429289756</v>
      </c>
      <c r="N21" s="76" t="n">
        <f aca="false">IFERROR(IF(OR(NOT(ISNUMBER('Price History'!N22)),NOT(ISNUMBER('Price History'!N21)),'Price History'!N21=0),"",'Price History'!N22/'Price History'!N21-1),"")</f>
        <v>-0.0132219733125548</v>
      </c>
      <c r="O21" s="76" t="n">
        <f aca="false">IFERROR(IF(OR(NOT(ISNUMBER('Price History'!O22)),NOT(ISNUMBER('Price History'!O21)),'Price History'!O21=0),"",'Price History'!O22/'Price History'!O21-1),"")</f>
        <v>0.0226937478724611</v>
      </c>
      <c r="P21" s="76" t="str">
        <f aca="false">IFERROR(IF(OR(NOT(ISNUMBER('Price History'!P22)),NOT(ISNUMBER('Price History'!P21)),'Price History'!P21=0),"",'Price History'!P22/'Price History'!P21-1),"")</f>
        <v/>
      </c>
      <c r="Q21" s="76" t="n">
        <f aca="false">IFERROR(IF(OR(NOT(ISNUMBER('Price History'!Q22)),NOT(ISNUMBER('Price History'!Q21)),'Price History'!Q21=0),"",'Price History'!Q22/'Price History'!Q21-1),"")</f>
        <v>0.00439721509710522</v>
      </c>
      <c r="R21" s="76" t="n">
        <f aca="false">IFERROR(IF(OR(NOT(ISNUMBER('Price History'!R22)),NOT(ISNUMBER('Price History'!R21)),'Price History'!R21=0),"",'Price History'!R22/'Price History'!R21-1),"")</f>
        <v>0.00319999999999987</v>
      </c>
      <c r="S21" s="76" t="n">
        <f aca="false">IFERROR(IF(OR(NOT(ISNUMBER('Price History'!S22)),NOT(ISNUMBER('Price History'!S21)),'Price History'!S21=0),"",'Price History'!S22/'Price History'!S21-1),"")</f>
        <v>0.0124533001245333</v>
      </c>
      <c r="T21" s="76" t="n">
        <f aca="false">IFERROR(IF(OR(NOT(ISNUMBER('Price History'!T22)),NOT(ISNUMBER('Price History'!T21)),'Price History'!T21=0),"",'Price History'!T22/'Price History'!T21-1),"")</f>
        <v>0.00959488272921116</v>
      </c>
      <c r="U21" s="76" t="str">
        <f aca="false">IFERROR(IF(OR(NOT(ISNUMBER('Price History'!U22)),NOT(ISNUMBER('Price History'!U21)),'Price History'!U21=0),"",'Price History'!U22/'Price History'!U21-1),"")</f>
        <v/>
      </c>
      <c r="W21" s="77" t="n">
        <f aca="false">'Price History'!B3+('Price History'!B158-'Price History'!B3)*0.116883116883117</f>
        <v>478.289480519481</v>
      </c>
      <c r="X21" s="77" t="n">
        <f aca="false">'Price History'!C3+('Price History'!C158-'Price History'!C3)*0.116883116883117</f>
        <v>59.7074025974026</v>
      </c>
      <c r="Y21" s="77" t="n">
        <f aca="false">'Price History'!D3+('Price History'!D158-'Price History'!D3)*0.116883116883117</f>
        <v>774.831688311688</v>
      </c>
      <c r="Z21" s="77" t="n">
        <f aca="false">'Price History'!E3+('Price History'!E158-'Price History'!E3)*0.116883116883117</f>
        <v>118.781298701299</v>
      </c>
      <c r="AA21" s="77" t="n">
        <f aca="false">'Price History'!F3+('Price History'!F158-'Price History'!F3)*0.116883116883117</f>
        <v>55.0366233766234</v>
      </c>
      <c r="AB21" s="77" t="n">
        <f aca="false">'Price History'!G3+('Price History'!G158-'Price History'!G3)*0.116883116883117</f>
        <v>63.6698701298701</v>
      </c>
      <c r="AC21" s="77" t="n">
        <f aca="false">'Price History'!H3+('Price History'!H158-'Price History'!H3)*0.116883116883117</f>
        <v>153.044545454546</v>
      </c>
      <c r="AD21" s="77" t="n">
        <f aca="false">'Price History'!I3+('Price History'!I158-'Price History'!I3)*0.116883116883117</f>
        <v>59.5396103896104</v>
      </c>
      <c r="AE21" s="77" t="n">
        <f aca="false">'Price History'!J3+('Price History'!J158-'Price History'!J3)*0.116883116883117</f>
        <v>125.976233766234</v>
      </c>
      <c r="AF21" s="77" t="n">
        <f aca="false">'Price History'!K3+('Price History'!K158-'Price History'!K3)*0.116883116883117</f>
        <v>27.9924675324675</v>
      </c>
      <c r="AG21" s="77" t="n">
        <f aca="false">'Price History'!L3+('Price History'!L158-'Price History'!L3)*0.116883116883117</f>
        <v>128.487922077922</v>
      </c>
      <c r="AH21" s="77" t="n">
        <f aca="false">'Price History'!M3+('Price History'!M158-'Price History'!M3)*0.116883116883117</f>
        <v>57.8287012987013</v>
      </c>
      <c r="AI21" s="77" t="n">
        <f aca="false">'Price History'!N3+('Price History'!N158-'Price History'!N3)*0.116883116883117</f>
        <v>364.732207792208</v>
      </c>
      <c r="AJ21" s="77" t="n">
        <f aca="false">'Price History'!O3+('Price History'!O158-'Price History'!O3)*0.116883116883117</f>
        <v>87.8093506493507</v>
      </c>
      <c r="AK21" s="77" t="n">
        <f aca="false">'Price History'!Q3+('Price History'!Q151-'Price History'!Q3)*0.116883116883117</f>
        <v>52.0151948051948</v>
      </c>
      <c r="AL21" s="77" t="n">
        <f aca="false">'Price History'!R3+('Price History'!R158-'Price History'!R3)*0.116883116883117</f>
        <v>49.0390909090909</v>
      </c>
      <c r="AM21" s="77" t="n">
        <f aca="false">'Price History'!S3+('Price History'!S158-'Price History'!S3)*0.116883116883117</f>
        <v>68.5089610389611</v>
      </c>
      <c r="AN21" s="77" t="n">
        <f aca="false">'Price History'!T3+('Price History'!T158-'Price History'!T3)*0.116883116883117</f>
        <v>29.5784415584416</v>
      </c>
    </row>
    <row r="22" customFormat="false" ht="15" hidden="false" customHeight="true" outlineLevel="0" collapsed="false">
      <c r="A22" s="49" t="n">
        <f aca="false">IF('Price History'!A23="","",'Price History'!A23)</f>
        <v>45289</v>
      </c>
      <c r="B22" s="76" t="n">
        <f aca="false">IFERROR(IF(OR(NOT(ISNUMBER('Price History'!B23)),NOT(ISNUMBER('Price History'!B22)),'Price History'!B22=0),"",'Price History'!B23/'Price History'!B22-1),"")</f>
        <v>-0.00359081419624219</v>
      </c>
      <c r="C22" s="76" t="n">
        <f aca="false">IFERROR(IF(OR(NOT(ISNUMBER('Price History'!C23)),NOT(ISNUMBER('Price History'!C22)),'Price History'!C22=0),"",'Price History'!C23/'Price History'!C22-1),"")</f>
        <v>-0.0115830115830116</v>
      </c>
      <c r="D22" s="76" t="n">
        <f aca="false">IFERROR(IF(OR(NOT(ISNUMBER('Price History'!D23)),NOT(ISNUMBER('Price History'!D22)),'Price History'!D22=0),"",'Price History'!D23/'Price History'!D22-1),"")</f>
        <v>0.00583365447224704</v>
      </c>
      <c r="E22" s="76" t="n">
        <f aca="false">IFERROR(IF(OR(NOT(ISNUMBER('Price History'!E23)),NOT(ISNUMBER('Price History'!E22)),'Price History'!E22=0),"",'Price History'!E23/'Price History'!E22-1),"")</f>
        <v>-0.00508021390374336</v>
      </c>
      <c r="F22" s="76" t="n">
        <f aca="false">IFERROR(IF(OR(NOT(ISNUMBER('Price History'!F23)),NOT(ISNUMBER('Price History'!F22)),'Price History'!F22=0),"",'Price History'!F23/'Price History'!F22-1),"")</f>
        <v>-0.00125176028790486</v>
      </c>
      <c r="G22" s="76" t="n">
        <f aca="false">IFERROR(IF(OR(NOT(ISNUMBER('Price History'!G23)),NOT(ISNUMBER('Price History'!G22)),'Price History'!G22=0),"",'Price History'!G23/'Price History'!G22-1),"")</f>
        <v>-0.00240260854642183</v>
      </c>
      <c r="H22" s="76" t="n">
        <f aca="false">IFERROR(IF(OR(NOT(ISNUMBER('Price History'!H23)),NOT(ISNUMBER('Price History'!H22)),'Price History'!H22=0),"",'Price History'!H23/'Price History'!H22-1),"")</f>
        <v>-0.0132963348363971</v>
      </c>
      <c r="I22" s="76" t="n">
        <f aca="false">IFERROR(IF(OR(NOT(ISNUMBER('Price History'!I23)),NOT(ISNUMBER('Price History'!I22)),'Price History'!I22=0),"",'Price History'!I23/'Price History'!I22-1),"")</f>
        <v>0.0141306573827567</v>
      </c>
      <c r="J22" s="76" t="n">
        <f aca="false">IFERROR(IF(OR(NOT(ISNUMBER('Price History'!J23)),NOT(ISNUMBER('Price History'!J22)),'Price History'!J22=0),"",'Price History'!J23/'Price History'!J22-1),"")</f>
        <v>0.00679758308157097</v>
      </c>
      <c r="K22" s="76" t="n">
        <f aca="false">IFERROR(IF(OR(NOT(ISNUMBER('Price History'!K23)),NOT(ISNUMBER('Price History'!K22)),'Price History'!K22=0),"",'Price History'!K23/'Price History'!K22-1),"")</f>
        <v>-0.0137851809304996</v>
      </c>
      <c r="L22" s="76" t="n">
        <f aca="false">IFERROR(IF(OR(NOT(ISNUMBER('Price History'!L23)),NOT(ISNUMBER('Price History'!L22)),'Price History'!L22=0),"",'Price History'!L23/'Price History'!L22-1),"")</f>
        <v>0.00824042656325741</v>
      </c>
      <c r="M22" s="76" t="n">
        <f aca="false">IFERROR(IF(OR(NOT(ISNUMBER('Price History'!M23)),NOT(ISNUMBER('Price History'!M22)),'Price History'!M22=0),"",'Price History'!M23/'Price History'!M22-1),"")</f>
        <v>-0.0153751537515375</v>
      </c>
      <c r="N22" s="76" t="n">
        <f aca="false">IFERROR(IF(OR(NOT(ISNUMBER('Price History'!N23)),NOT(ISNUMBER('Price History'!N22)),'Price History'!N22=0),"",'Price History'!N23/'Price History'!N22-1),"")</f>
        <v>0.00404688463911174</v>
      </c>
      <c r="O22" s="76" t="n">
        <f aca="false">IFERROR(IF(OR(NOT(ISNUMBER('Price History'!O23)),NOT(ISNUMBER('Price History'!O22)),'Price History'!O22=0),"",'Price History'!O23/'Price History'!O22-1),"")</f>
        <v>-0.0036613780095418</v>
      </c>
      <c r="P22" s="76" t="str">
        <f aca="false">IFERROR(IF(OR(NOT(ISNUMBER('Price History'!P23)),NOT(ISNUMBER('Price History'!P22)),'Price History'!P22=0),"",'Price History'!P23/'Price History'!P22-1),"")</f>
        <v/>
      </c>
      <c r="Q22" s="76" t="n">
        <f aca="false">IFERROR(IF(OR(NOT(ISNUMBER('Price History'!Q23)),NOT(ISNUMBER('Price History'!Q22)),'Price History'!Q22=0),"",'Price History'!Q23/'Price History'!Q22-1),"")</f>
        <v>-0.00547245530828155</v>
      </c>
      <c r="R22" s="76" t="n">
        <f aca="false">IFERROR(IF(OR(NOT(ISNUMBER('Price History'!R23)),NOT(ISNUMBER('Price History'!R22)),'Price History'!R22=0),"",'Price History'!R23/'Price History'!R22-1),"")</f>
        <v>-0.00458532695374792</v>
      </c>
      <c r="S22" s="76" t="n">
        <f aca="false">IFERROR(IF(OR(NOT(ISNUMBER('Price History'!S23)),NOT(ISNUMBER('Price History'!S22)),'Price History'!S22=0),"",'Price History'!S23/'Price History'!S22-1),"")</f>
        <v>0.00707257072570711</v>
      </c>
      <c r="T22" s="76" t="n">
        <f aca="false">IFERROR(IF(OR(NOT(ISNUMBER('Price History'!T23)),NOT(ISNUMBER('Price History'!T22)),'Price History'!T22=0),"",'Price History'!T23/'Price History'!T22-1),"")</f>
        <v>-0.0024639211545231</v>
      </c>
      <c r="U22" s="76" t="str">
        <f aca="false">IFERROR(IF(OR(NOT(ISNUMBER('Price History'!U23)),NOT(ISNUMBER('Price History'!U22)),'Price History'!U22=0),"",'Price History'!U23/'Price History'!U22-1),"")</f>
        <v/>
      </c>
      <c r="W22" s="77" t="n">
        <f aca="false">'Price History'!B3+('Price History'!B158-'Price History'!B3)*0.123376623376623</f>
        <v>476.613896103896</v>
      </c>
      <c r="X22" s="77" t="n">
        <f aca="false">'Price History'!C3+('Price History'!C158-'Price History'!C3)*0.123376623376623</f>
        <v>60.5944805194805</v>
      </c>
      <c r="Y22" s="77" t="n">
        <f aca="false">'Price History'!D3+('Price History'!D158-'Price History'!D3)*0.123376623376623</f>
        <v>781.112337662337</v>
      </c>
      <c r="Z22" s="77" t="n">
        <f aca="false">'Price History'!E3+('Price History'!E158-'Price History'!E3)*0.123376623376623</f>
        <v>120.77025974026</v>
      </c>
      <c r="AA22" s="77" t="n">
        <f aca="false">'Price History'!F3+('Price History'!F158-'Price History'!F3)*0.123376623376623</f>
        <v>56.0353246753246</v>
      </c>
      <c r="AB22" s="77" t="n">
        <f aca="false">'Price History'!G3+('Price History'!G158-'Price History'!G3)*0.123376623376623</f>
        <v>64.545974025974</v>
      </c>
      <c r="AC22" s="77" t="n">
        <f aca="false">'Price History'!H3+('Price History'!H158-'Price History'!H3)*0.123376623376623</f>
        <v>157.970909090909</v>
      </c>
      <c r="AD22" s="77" t="n">
        <f aca="false">'Price History'!I3+('Price History'!I158-'Price History'!I3)*0.123376623376623</f>
        <v>60.577922077922</v>
      </c>
      <c r="AE22" s="77" t="n">
        <f aca="false">'Price History'!J3+('Price History'!J158-'Price History'!J3)*0.123376623376623</f>
        <v>126.113246753247</v>
      </c>
      <c r="AF22" s="77" t="n">
        <f aca="false">'Price History'!K3+('Price History'!K158-'Price History'!K3)*0.123376623376623</f>
        <v>28.6914935064935</v>
      </c>
      <c r="AG22" s="77" t="n">
        <f aca="false">'Price History'!L3+('Price History'!L158-'Price History'!L3)*0.123376623376623</f>
        <v>130.515584415584</v>
      </c>
      <c r="AH22" s="77" t="n">
        <f aca="false">'Price History'!M3+('Price History'!M158-'Price History'!M3)*0.123376623376623</f>
        <v>59.1797402597402</v>
      </c>
      <c r="AI22" s="77" t="n">
        <f aca="false">'Price History'!N3+('Price History'!N158-'Price History'!N3)*0.123376623376623</f>
        <v>365.558441558442</v>
      </c>
      <c r="AJ22" s="77" t="n">
        <f aca="false">'Price History'!O3+('Price History'!O158-'Price History'!O3)*0.123376623376623</f>
        <v>88.0848701298701</v>
      </c>
      <c r="AK22" s="77" t="n">
        <f aca="false">'Price History'!Q3+('Price History'!Q151-'Price History'!Q3)*0.123376623376623</f>
        <v>52.136038961039</v>
      </c>
      <c r="AL22" s="77" t="n">
        <f aca="false">'Price History'!R3+('Price History'!R158-'Price History'!R3)*0.123376623376623</f>
        <v>49.1068181818182</v>
      </c>
      <c r="AM22" s="77" t="n">
        <f aca="false">'Price History'!S3+('Price History'!S158-'Price History'!S3)*0.123376623376623</f>
        <v>69.0627922077922</v>
      </c>
      <c r="AN22" s="77" t="n">
        <f aca="false">'Price History'!T3+('Price History'!T158-'Price History'!T3)*0.123376623376623</f>
        <v>29.7266883116883</v>
      </c>
    </row>
    <row r="23" customFormat="false" ht="15" hidden="false" customHeight="true" outlineLevel="0" collapsed="false">
      <c r="A23" s="49" t="n">
        <f aca="false">IF('Price History'!A24="","",'Price History'!A24)</f>
        <v>45296</v>
      </c>
      <c r="B23" s="76" t="n">
        <f aca="false">IFERROR(IF(OR(NOT(ISNUMBER('Price History'!B24)),NOT(ISNUMBER('Price History'!B23)),'Price History'!B23=0),"",'Price History'!B24/'Price History'!B23-1),"")</f>
        <v>-0.0536372779081462</v>
      </c>
      <c r="C23" s="76" t="n">
        <f aca="false">IFERROR(IF(OR(NOT(ISNUMBER('Price History'!C24)),NOT(ISNUMBER('Price History'!C23)),'Price History'!C23=0),"",'Price History'!C24/'Price History'!C23-1),"")</f>
        <v>-0.0195312500000001</v>
      </c>
      <c r="D23" s="76" t="n">
        <f aca="false">IFERROR(IF(OR(NOT(ISNUMBER('Price History'!D24)),NOT(ISNUMBER('Price History'!D23)),'Price History'!D23=0),"",'Price History'!D24/'Price History'!D23-1),"")</f>
        <v>-0.0707868731173703</v>
      </c>
      <c r="E23" s="76" t="n">
        <f aca="false">IFERROR(IF(OR(NOT(ISNUMBER('Price History'!E24)),NOT(ISNUMBER('Price History'!E23)),'Price History'!E23=0),"",'Price History'!E24/'Price History'!E23-1),"")</f>
        <v>-0.060019707963809</v>
      </c>
      <c r="F23" s="76" t="n">
        <f aca="false">IFERROR(IF(OR(NOT(ISNUMBER('Price History'!F24)),NOT(ISNUMBER('Price History'!F23)),'Price History'!F23=0),"",'Price History'!F24/'Price History'!F23-1),"")</f>
        <v>-0.0307065643114524</v>
      </c>
      <c r="G23" s="76" t="n">
        <f aca="false">IFERROR(IF(OR(NOT(ISNUMBER('Price History'!G24)),NOT(ISNUMBER('Price History'!G23)),'Price History'!G23=0),"",'Price History'!G24/'Price History'!G23-1),"")</f>
        <v>-0.0636504386719422</v>
      </c>
      <c r="H23" s="76" t="n">
        <f aca="false">IFERROR(IF(OR(NOT(ISNUMBER('Price History'!H24)),NOT(ISNUMBER('Price History'!H23)),'Price History'!H23=0),"",'Price History'!H24/'Price History'!H23-1),"")</f>
        <v>-0.0221467072884931</v>
      </c>
      <c r="I23" s="76" t="n">
        <f aca="false">IFERROR(IF(OR(NOT(ISNUMBER('Price History'!I24)),NOT(ISNUMBER('Price History'!I23)),'Price History'!I23=0),"",'Price History'!I24/'Price History'!I23-1),"")</f>
        <v>-0.00848142164781907</v>
      </c>
      <c r="J23" s="76" t="n">
        <f aca="false">IFERROR(IF(OR(NOT(ISNUMBER('Price History'!J24)),NOT(ISNUMBER('Price History'!J23)),'Price History'!J23=0),"",'Price History'!J24/'Price History'!J23-1),"")</f>
        <v>-0.0205551387846963</v>
      </c>
      <c r="K23" s="76" t="n">
        <f aca="false">IFERROR(IF(OR(NOT(ISNUMBER('Price History'!K24)),NOT(ISNUMBER('Price History'!K23)),'Price History'!K23=0),"",'Price History'!K24/'Price History'!K23-1),"")</f>
        <v>-0.0693069306930694</v>
      </c>
      <c r="L23" s="76" t="n">
        <f aca="false">IFERROR(IF(OR(NOT(ISNUMBER('Price History'!L24)),NOT(ISNUMBER('Price History'!L23)),'Price History'!L23=0),"",'Price History'!L24/'Price History'!L23-1),"")</f>
        <v>-0.0422115384615385</v>
      </c>
      <c r="M23" s="76" t="n">
        <f aca="false">IFERROR(IF(OR(NOT(ISNUMBER('Price History'!M24)),NOT(ISNUMBER('Price History'!M23)),'Price History'!M23=0),"",'Price History'!M24/'Price History'!M23-1),"")</f>
        <v>-0.0358109514886529</v>
      </c>
      <c r="N23" s="76" t="n">
        <f aca="false">IFERROR(IF(OR(NOT(ISNUMBER('Price History'!N24)),NOT(ISNUMBER('Price History'!N23)),'Price History'!N23=0),"",'Price History'!N24/'Price History'!N23-1),"")</f>
        <v>0.0236181769028485</v>
      </c>
      <c r="O23" s="76" t="n">
        <f aca="false">IFERROR(IF(OR(NOT(ISNUMBER('Price History'!O24)),NOT(ISNUMBER('Price History'!O23)),'Price History'!O23=0),"",'Price History'!O24/'Price History'!O23-1),"")</f>
        <v>-0.025946547884187</v>
      </c>
      <c r="P23" s="76" t="str">
        <f aca="false">IFERROR(IF(OR(NOT(ISNUMBER('Price History'!P24)),NOT(ISNUMBER('Price History'!P23)),'Price History'!P23=0),"",'Price History'!P24/'Price History'!P23-1),"")</f>
        <v/>
      </c>
      <c r="Q23" s="76" t="n">
        <f aca="false">IFERROR(IF(OR(NOT(ISNUMBER('Price History'!Q24)),NOT(ISNUMBER('Price History'!Q23)),'Price History'!Q23=0),"",'Price History'!Q24/'Price History'!Q23-1),"")</f>
        <v>0.0075201760821717</v>
      </c>
      <c r="R23" s="76" t="n">
        <f aca="false">IFERROR(IF(OR(NOT(ISNUMBER('Price History'!R24)),NOT(ISNUMBER('Price History'!R23)),'Price History'!R23=0),"",'Price History'!R24/'Price History'!R23-1),"")</f>
        <v>-0.0156218706188664</v>
      </c>
      <c r="S23" s="76" t="n">
        <f aca="false">IFERROR(IF(OR(NOT(ISNUMBER('Price History'!S24)),NOT(ISNUMBER('Price History'!S23)),'Price History'!S23=0),"",'Price History'!S24/'Price History'!S23-1),"")</f>
        <v>-0.0103816793893131</v>
      </c>
      <c r="T23" s="76" t="n">
        <f aca="false">IFERROR(IF(OR(NOT(ISNUMBER('Price History'!T24)),NOT(ISNUMBER('Price History'!T23)),'Price History'!T23=0),"",'Price History'!T24/'Price History'!T23-1),"")</f>
        <v>0.00105857445307</v>
      </c>
      <c r="U23" s="76" t="str">
        <f aca="false">IFERROR(IF(OR(NOT(ISNUMBER('Price History'!U24)),NOT(ISNUMBER('Price History'!U23)),'Price History'!U23=0),"",'Price History'!U24/'Price History'!U23-1),"")</f>
        <v/>
      </c>
      <c r="W23" s="77" t="n">
        <f aca="false">'Price History'!B3+('Price History'!B158-'Price History'!B3)*0.12987012987013</f>
        <v>474.938311688312</v>
      </c>
      <c r="X23" s="77" t="n">
        <f aca="false">'Price History'!C3+('Price History'!C158-'Price History'!C3)*0.12987012987013</f>
        <v>61.4815584415585</v>
      </c>
      <c r="Y23" s="77" t="n">
        <f aca="false">'Price History'!D3+('Price History'!D158-'Price History'!D3)*0.12987012987013</f>
        <v>787.392987012987</v>
      </c>
      <c r="Z23" s="77" t="n">
        <f aca="false">'Price History'!E3+('Price History'!E158-'Price History'!E3)*0.12987012987013</f>
        <v>122.759220779221</v>
      </c>
      <c r="AA23" s="77" t="n">
        <f aca="false">'Price History'!F3+('Price History'!F158-'Price History'!F3)*0.12987012987013</f>
        <v>57.034025974026</v>
      </c>
      <c r="AB23" s="77" t="n">
        <f aca="false">'Price History'!G3+('Price History'!G158-'Price History'!G3)*0.12987012987013</f>
        <v>65.4220779220779</v>
      </c>
      <c r="AC23" s="77" t="n">
        <f aca="false">'Price History'!H3+('Price History'!H158-'Price History'!H3)*0.12987012987013</f>
        <v>162.897272727273</v>
      </c>
      <c r="AD23" s="77" t="n">
        <f aca="false">'Price History'!I3+('Price History'!I158-'Price History'!I3)*0.12987012987013</f>
        <v>61.6162337662338</v>
      </c>
      <c r="AE23" s="77" t="n">
        <f aca="false">'Price History'!J3+('Price History'!J158-'Price History'!J3)*0.12987012987013</f>
        <v>126.25025974026</v>
      </c>
      <c r="AF23" s="77" t="n">
        <f aca="false">'Price History'!K3+('Price History'!K158-'Price History'!K3)*0.12987012987013</f>
        <v>29.3905194805195</v>
      </c>
      <c r="AG23" s="77" t="n">
        <f aca="false">'Price History'!L3+('Price History'!L158-'Price History'!L3)*0.12987012987013</f>
        <v>132.543246753247</v>
      </c>
      <c r="AH23" s="77" t="n">
        <f aca="false">'Price History'!M3+('Price History'!M158-'Price History'!M3)*0.12987012987013</f>
        <v>60.5307792207792</v>
      </c>
      <c r="AI23" s="77" t="n">
        <f aca="false">'Price History'!N3+('Price History'!N158-'Price History'!N3)*0.12987012987013</f>
        <v>366.384675324675</v>
      </c>
      <c r="AJ23" s="77" t="n">
        <f aca="false">'Price History'!O3+('Price History'!O158-'Price History'!O3)*0.12987012987013</f>
        <v>88.3603896103896</v>
      </c>
      <c r="AK23" s="77" t="n">
        <f aca="false">'Price History'!Q3+('Price History'!Q151-'Price History'!Q3)*0.12987012987013</f>
        <v>52.2568831168831</v>
      </c>
      <c r="AL23" s="77" t="n">
        <f aca="false">'Price History'!R3+('Price History'!R158-'Price History'!R3)*0.12987012987013</f>
        <v>49.1745454545455</v>
      </c>
      <c r="AM23" s="77" t="n">
        <f aca="false">'Price History'!S3+('Price History'!S158-'Price History'!S3)*0.12987012987013</f>
        <v>69.6166233766234</v>
      </c>
      <c r="AN23" s="77" t="n">
        <f aca="false">'Price History'!T3+('Price History'!T158-'Price History'!T3)*0.12987012987013</f>
        <v>29.8749350649351</v>
      </c>
    </row>
    <row r="24" customFormat="false" ht="15" hidden="false" customHeight="true" outlineLevel="0" collapsed="false">
      <c r="A24" s="49" t="n">
        <f aca="false">IF('Price History'!A25="","",'Price History'!A25)</f>
        <v>45303</v>
      </c>
      <c r="B24" s="76" t="n">
        <f aca="false">IFERROR(IF(OR(NOT(ISNUMBER('Price History'!B25)),NOT(ISNUMBER('Price History'!B24)),'Price History'!B24=0),"",'Price History'!B25/'Price History'!B24-1),"")</f>
        <v>0.0565710237336166</v>
      </c>
      <c r="C24" s="76" t="n">
        <f aca="false">IFERROR(IF(OR(NOT(ISNUMBER('Price History'!C25)),NOT(ISNUMBER('Price History'!C24)),'Price History'!C24=0),"",'Price History'!C25/'Price History'!C24-1),"")</f>
        <v>0.0914602459726313</v>
      </c>
      <c r="D24" s="76" t="n">
        <f aca="false">IFERROR(IF(OR(NOT(ISNUMBER('Price History'!D25)),NOT(ISNUMBER('Price History'!D24)),'Price History'!D24=0),"",'Price History'!D25/'Price History'!D24-1),"")</f>
        <v>0.014047260215543</v>
      </c>
      <c r="E24" s="76" t="n">
        <f aca="false">IFERROR(IF(OR(NOT(ISNUMBER('Price History'!E25)),NOT(ISNUMBER('Price History'!E24)),'Price History'!E24=0),"",'Price History'!E25/'Price History'!E24-1),"")</f>
        <v>0.0556561517201943</v>
      </c>
      <c r="F24" s="76" t="n">
        <f aca="false">IFERROR(IF(OR(NOT(ISNUMBER('Price History'!F25)),NOT(ISNUMBER('Price History'!F24)),'Price History'!F24=0),"",'Price History'!F25/'Price History'!F24-1),"")</f>
        <v>0.144981412639405</v>
      </c>
      <c r="G24" s="76" t="n">
        <f aca="false">IFERROR(IF(OR(NOT(ISNUMBER('Price History'!G25)),NOT(ISNUMBER('Price History'!G24)),'Price History'!G24=0),"",'Price History'!G25/'Price History'!G24-1),"")</f>
        <v>0.0299467205585156</v>
      </c>
      <c r="H24" s="76" t="n">
        <f aca="false">IFERROR(IF(OR(NOT(ISNUMBER('Price History'!H25)),NOT(ISNUMBER('Price History'!H24)),'Price History'!H24=0),"",'Price History'!H25/'Price History'!H24-1),"")</f>
        <v>-0.0127022168963451</v>
      </c>
      <c r="I24" s="76" t="n">
        <f aca="false">IFERROR(IF(OR(NOT(ISNUMBER('Price History'!I25)),NOT(ISNUMBER('Price History'!I24)),'Price History'!I24=0),"",'Price History'!I25/'Price History'!I24-1),"")</f>
        <v>0.114256619144603</v>
      </c>
      <c r="J24" s="76" t="n">
        <f aca="false">IFERROR(IF(OR(NOT(ISNUMBER('Price History'!J25)),NOT(ISNUMBER('Price History'!J24)),'Price History'!J24=0),"",'Price History'!J25/'Price History'!J24-1),"")</f>
        <v>0.00758272058823528</v>
      </c>
      <c r="K24" s="76" t="n">
        <f aca="false">IFERROR(IF(OR(NOT(ISNUMBER('Price History'!K25)),NOT(ISNUMBER('Price History'!K24)),'Price History'!K24=0),"",'Price History'!K25/'Price History'!K24-1),"")</f>
        <v>0.0488110137672091</v>
      </c>
      <c r="L24" s="76" t="n">
        <f aca="false">IFERROR(IF(OR(NOT(ISNUMBER('Price History'!L25)),NOT(ISNUMBER('Price History'!L24)),'Price History'!L24=0),"",'Price History'!L25/'Price History'!L24-1),"")</f>
        <v>0.0163638188936854</v>
      </c>
      <c r="M24" s="76" t="n">
        <f aca="false">IFERROR(IF(OR(NOT(ISNUMBER('Price History'!M25)),NOT(ISNUMBER('Price History'!M24)),'Price History'!M24=0),"",'Price History'!M25/'Price History'!M24-1),"")</f>
        <v>0.0693154826171454</v>
      </c>
      <c r="N24" s="76" t="n">
        <f aca="false">IFERROR(IF(OR(NOT(ISNUMBER('Price History'!N25)),NOT(ISNUMBER('Price History'!N24)),'Price History'!N24=0),"",'Price History'!N25/'Price History'!N24-1),"")</f>
        <v>0.0405762304921968</v>
      </c>
      <c r="O24" s="76" t="n">
        <f aca="false">IFERROR(IF(OR(NOT(ISNUMBER('Price History'!O25)),NOT(ISNUMBER('Price History'!O24)),'Price History'!O24=0),"",'Price History'!O25/'Price History'!O24-1),"")</f>
        <v>-0.0113181662284211</v>
      </c>
      <c r="P24" s="76" t="str">
        <f aca="false">IFERROR(IF(OR(NOT(ISNUMBER('Price History'!P25)),NOT(ISNUMBER('Price History'!P24)),'Price History'!P24=0),"",'Price History'!P25/'Price History'!P24-1),"")</f>
        <v/>
      </c>
      <c r="Q24" s="76" t="n">
        <f aca="false">IFERROR(IF(OR(NOT(ISNUMBER('Price History'!Q25)),NOT(ISNUMBER('Price History'!Q24)),'Price History'!Q24=0),"",'Price History'!Q25/'Price History'!Q24-1),"")</f>
        <v>0.00618969597669761</v>
      </c>
      <c r="R24" s="76" t="n">
        <f aca="false">IFERROR(IF(OR(NOT(ISNUMBER('Price History'!R25)),NOT(ISNUMBER('Price History'!R24)),'Price History'!R24=0),"",'Price History'!R25/'Price History'!R24-1),"")</f>
        <v>0.0272634791454731</v>
      </c>
      <c r="S24" s="76" t="n">
        <f aca="false">IFERROR(IF(OR(NOT(ISNUMBER('Price History'!S25)),NOT(ISNUMBER('Price History'!S24)),'Price History'!S24=0),"",'Price History'!S25/'Price History'!S24-1),"")</f>
        <v>0.0311632212280162</v>
      </c>
      <c r="T24" s="76" t="n">
        <f aca="false">IFERROR(IF(OR(NOT(ISNUMBER('Price History'!T25)),NOT(ISNUMBER('Price History'!T24)),'Price History'!T24=0),"",'Price History'!T25/'Price History'!T24-1),"")</f>
        <v>-0.00281988015509349</v>
      </c>
      <c r="U24" s="76" t="str">
        <f aca="false">IFERROR(IF(OR(NOT(ISNUMBER('Price History'!U25)),NOT(ISNUMBER('Price History'!U24)),'Price History'!U24=0),"",'Price History'!U25/'Price History'!U24-1),"")</f>
        <v/>
      </c>
      <c r="W24" s="77" t="n">
        <f aca="false">'Price History'!B3+('Price History'!B158-'Price History'!B3)*0.136363636363636</f>
        <v>473.262727272727</v>
      </c>
      <c r="X24" s="77" t="n">
        <f aca="false">'Price History'!C3+('Price History'!C158-'Price History'!C3)*0.136363636363636</f>
        <v>62.3686363636363</v>
      </c>
      <c r="Y24" s="77" t="n">
        <f aca="false">'Price History'!D3+('Price History'!D158-'Price History'!D3)*0.136363636363636</f>
        <v>793.673636363636</v>
      </c>
      <c r="Z24" s="77" t="n">
        <f aca="false">'Price History'!E3+('Price History'!E158-'Price History'!E3)*0.136363636363636</f>
        <v>124.748181818182</v>
      </c>
      <c r="AA24" s="77" t="n">
        <f aca="false">'Price History'!F3+('Price History'!F158-'Price History'!F3)*0.136363636363636</f>
        <v>58.0327272727272</v>
      </c>
      <c r="AB24" s="77" t="n">
        <f aca="false">'Price History'!G3+('Price History'!G158-'Price History'!G3)*0.136363636363636</f>
        <v>66.2981818181818</v>
      </c>
      <c r="AC24" s="77" t="n">
        <f aca="false">'Price History'!H3+('Price History'!H158-'Price History'!H3)*0.136363636363636</f>
        <v>167.823636363636</v>
      </c>
      <c r="AD24" s="77" t="n">
        <f aca="false">'Price History'!I3+('Price History'!I158-'Price History'!I3)*0.136363636363636</f>
        <v>62.6545454545454</v>
      </c>
      <c r="AE24" s="77" t="n">
        <f aca="false">'Price History'!J3+('Price History'!J158-'Price History'!J3)*0.136363636363636</f>
        <v>126.387272727273</v>
      </c>
      <c r="AF24" s="77" t="n">
        <f aca="false">'Price History'!K3+('Price History'!K158-'Price History'!K3)*0.136363636363636</f>
        <v>30.0895454545454</v>
      </c>
      <c r="AG24" s="77" t="n">
        <f aca="false">'Price History'!L3+('Price History'!L158-'Price History'!L3)*0.136363636363636</f>
        <v>134.570909090909</v>
      </c>
      <c r="AH24" s="77" t="n">
        <f aca="false">'Price History'!M3+('Price History'!M158-'Price History'!M3)*0.136363636363636</f>
        <v>61.8818181818181</v>
      </c>
      <c r="AI24" s="77" t="n">
        <f aca="false">'Price History'!N3+('Price History'!N158-'Price History'!N3)*0.136363636363636</f>
        <v>367.210909090909</v>
      </c>
      <c r="AJ24" s="77" t="n">
        <f aca="false">'Price History'!O3+('Price History'!O158-'Price History'!O3)*0.136363636363636</f>
        <v>88.6359090909091</v>
      </c>
      <c r="AK24" s="77" t="n">
        <f aca="false">'Price History'!Q3+('Price History'!Q151-'Price History'!Q3)*0.136363636363636</f>
        <v>52.3777272727273</v>
      </c>
      <c r="AL24" s="77" t="n">
        <f aca="false">'Price History'!R3+('Price History'!R158-'Price History'!R3)*0.136363636363636</f>
        <v>49.2422727272727</v>
      </c>
      <c r="AM24" s="77" t="n">
        <f aca="false">'Price History'!S3+('Price History'!S158-'Price History'!S3)*0.136363636363636</f>
        <v>70.1704545454545</v>
      </c>
      <c r="AN24" s="77" t="n">
        <f aca="false">'Price History'!T3+('Price History'!T158-'Price History'!T3)*0.136363636363636</f>
        <v>30.0231818181818</v>
      </c>
    </row>
    <row r="25" customFormat="false" ht="15" hidden="false" customHeight="true" outlineLevel="0" collapsed="false">
      <c r="A25" s="49" t="n">
        <f aca="false">IF('Price History'!A26="","",'Price History'!A26)</f>
        <v>45310</v>
      </c>
      <c r="B25" s="76" t="n">
        <f aca="false">IFERROR(IF(OR(NOT(ISNUMBER('Price History'!B26)),NOT(ISNUMBER('Price History'!B25)),'Price History'!B25=0),"",'Price History'!B26/'Price History'!B25-1),"")</f>
        <v>0.0251617661850001</v>
      </c>
      <c r="C25" s="76" t="n">
        <f aca="false">IFERROR(IF(OR(NOT(ISNUMBER('Price History'!C26)),NOT(ISNUMBER('Price History'!C25)),'Price History'!C25=0),"",'Price History'!C26/'Price History'!C25-1),"")</f>
        <v>0.0455483256625933</v>
      </c>
      <c r="D25" s="76" t="n">
        <f aca="false">IFERROR(IF(OR(NOT(ISNUMBER('Price History'!D26)),NOT(ISNUMBER('Price History'!D25)),'Price History'!D25=0),"",'Price History'!D26/'Price History'!D25-1),"")</f>
        <v>0.0625473206023388</v>
      </c>
      <c r="E25" s="76" t="n">
        <f aca="false">IFERROR(IF(OR(NOT(ISNUMBER('Price History'!E26)),NOT(ISNUMBER('Price History'!E25)),'Price History'!E25=0),"",'Price History'!E26/'Price History'!E25-1),"")</f>
        <v>0.0934368511329784</v>
      </c>
      <c r="F25" s="76" t="n">
        <f aca="false">IFERROR(IF(OR(NOT(ISNUMBER('Price History'!F26)),NOT(ISNUMBER('Price History'!F25)),'Price History'!F25=0),"",'Price History'!F26/'Price History'!F25-1),"")</f>
        <v>0.0254093732354601</v>
      </c>
      <c r="G25" s="76" t="n">
        <f aca="false">IFERROR(IF(OR(NOT(ISNUMBER('Price History'!G26)),NOT(ISNUMBER('Price History'!G25)),'Price History'!G25=0),"",'Price History'!G26/'Price History'!G25-1),"")</f>
        <v>0.0934712807706029</v>
      </c>
      <c r="H25" s="76" t="n">
        <f aca="false">IFERROR(IF(OR(NOT(ISNUMBER('Price History'!H26)),NOT(ISNUMBER('Price History'!H25)),'Price History'!H25=0),"",'Price History'!H26/'Price History'!H25-1),"")</f>
        <v>0.0621434640126231</v>
      </c>
      <c r="I25" s="76" t="n">
        <f aca="false">IFERROR(IF(OR(NOT(ISNUMBER('Price History'!I26)),NOT(ISNUMBER('Price History'!I25)),'Price History'!I25=0),"",'Price History'!I26/'Price History'!I25-1),"")</f>
        <v>0.0873697678669347</v>
      </c>
      <c r="J25" s="76" t="n">
        <f aca="false">IFERROR(IF(OR(NOT(ISNUMBER('Price History'!J26)),NOT(ISNUMBER('Price History'!J25)),'Price History'!J25=0),"",'Price History'!J26/'Price History'!J25-1),"")</f>
        <v>-0.0236412010642343</v>
      </c>
      <c r="K25" s="76" t="n">
        <f aca="false">IFERROR(IF(OR(NOT(ISNUMBER('Price History'!K26)),NOT(ISNUMBER('Price History'!K25)),'Price History'!K25=0),"",'Price History'!K26/'Price History'!K25-1),"")</f>
        <v>0.00119331742243434</v>
      </c>
      <c r="L25" s="76" t="n">
        <f aca="false">IFERROR(IF(OR(NOT(ISNUMBER('Price History'!L26)),NOT(ISNUMBER('Price History'!L25)),'Price History'!L25=0),"",'Price History'!L26/'Price History'!L25-1),"")</f>
        <v>0.128012643224022</v>
      </c>
      <c r="M25" s="76" t="n">
        <f aca="false">IFERROR(IF(OR(NOT(ISNUMBER('Price History'!M26)),NOT(ISNUMBER('Price History'!M25)),'Price History'!M25=0),"",'Price History'!M26/'Price History'!M25-1),"")</f>
        <v>0.0838045234248788</v>
      </c>
      <c r="N25" s="76" t="n">
        <f aca="false">IFERROR(IF(OR(NOT(ISNUMBER('Price History'!N26)),NOT(ISNUMBER('Price History'!N25)),'Price History'!N25=0),"",'Price History'!N26/'Price History'!N25-1),"")</f>
        <v>0.00373788647900319</v>
      </c>
      <c r="O25" s="76" t="n">
        <f aca="false">IFERROR(IF(OR(NOT(ISNUMBER('Price History'!O26)),NOT(ISNUMBER('Price History'!O25)),'Price History'!O25=0),"",'Price History'!O26/'Price History'!O25-1),"")</f>
        <v>0.00300647548566135</v>
      </c>
      <c r="P25" s="76" t="str">
        <f aca="false">IFERROR(IF(OR(NOT(ISNUMBER('Price History'!P26)),NOT(ISNUMBER('Price History'!P25)),'Price History'!P25=0),"",'Price History'!P26/'Price History'!P25-1),"")</f>
        <v/>
      </c>
      <c r="Q25" s="76" t="n">
        <f aca="false">IFERROR(IF(OR(NOT(ISNUMBER('Price History'!Q26)),NOT(ISNUMBER('Price History'!Q25)),'Price History'!Q25=0),"",'Price History'!Q26/'Price History'!Q25-1),"")</f>
        <v>0.000723719920390886</v>
      </c>
      <c r="R25" s="76" t="n">
        <f aca="false">IFERROR(IF(OR(NOT(ISNUMBER('Price History'!R26)),NOT(ISNUMBER('Price History'!R25)),'Price History'!R25=0),"",'Price History'!R26/'Price History'!R25-1),"")</f>
        <v>0.017825311942959</v>
      </c>
      <c r="S25" s="76" t="n">
        <f aca="false">IFERROR(IF(OR(NOT(ISNUMBER('Price History'!S26)),NOT(ISNUMBER('Price History'!S25)),'Price History'!S25=0),"",'Price History'!S26/'Price History'!S25-1),"")</f>
        <v>0.0210951526032315</v>
      </c>
      <c r="T25" s="76" t="n">
        <f aca="false">IFERROR(IF(OR(NOT(ISNUMBER('Price History'!T26)),NOT(ISNUMBER('Price History'!T25)),'Price History'!T25=0),"",'Price History'!T26/'Price History'!T25-1),"")</f>
        <v>-0.00954400848356307</v>
      </c>
      <c r="U25" s="76" t="str">
        <f aca="false">IFERROR(IF(OR(NOT(ISNUMBER('Price History'!U26)),NOT(ISNUMBER('Price History'!U25)),'Price History'!U25=0),"",'Price History'!U26/'Price History'!U25-1),"")</f>
        <v/>
      </c>
      <c r="W25" s="77" t="n">
        <f aca="false">'Price History'!B3+('Price History'!B158-'Price History'!B3)*0.142857142857143</f>
        <v>471.587142857143</v>
      </c>
      <c r="X25" s="77" t="n">
        <f aca="false">'Price History'!C3+('Price History'!C158-'Price History'!C3)*0.142857142857143</f>
        <v>63.2557142857143</v>
      </c>
      <c r="Y25" s="77" t="n">
        <f aca="false">'Price History'!D3+('Price History'!D158-'Price History'!D3)*0.142857142857143</f>
        <v>799.954285714286</v>
      </c>
      <c r="Z25" s="77" t="n">
        <f aca="false">'Price History'!E3+('Price History'!E158-'Price History'!E3)*0.142857142857143</f>
        <v>126.737142857143</v>
      </c>
      <c r="AA25" s="77" t="n">
        <f aca="false">'Price History'!F3+('Price History'!F158-'Price History'!F3)*0.142857142857143</f>
        <v>59.0314285714286</v>
      </c>
      <c r="AB25" s="77" t="n">
        <f aca="false">'Price History'!G3+('Price History'!G158-'Price History'!G3)*0.142857142857143</f>
        <v>67.1742857142857</v>
      </c>
      <c r="AC25" s="77" t="n">
        <f aca="false">'Price History'!H3+('Price History'!H158-'Price History'!H3)*0.142857142857143</f>
        <v>172.75</v>
      </c>
      <c r="AD25" s="77" t="n">
        <f aca="false">'Price History'!I3+('Price History'!I158-'Price History'!I3)*0.142857142857143</f>
        <v>63.6928571428572</v>
      </c>
      <c r="AE25" s="77" t="n">
        <f aca="false">'Price History'!J3+('Price History'!J158-'Price History'!J3)*0.142857142857143</f>
        <v>126.524285714286</v>
      </c>
      <c r="AF25" s="77" t="n">
        <f aca="false">'Price History'!K3+('Price History'!K158-'Price History'!K3)*0.142857142857143</f>
        <v>30.7885714285714</v>
      </c>
      <c r="AG25" s="77" t="n">
        <f aca="false">'Price History'!L3+('Price History'!L158-'Price History'!L3)*0.142857142857143</f>
        <v>136.598571428571</v>
      </c>
      <c r="AH25" s="77" t="n">
        <f aca="false">'Price History'!M3+('Price History'!M158-'Price History'!M3)*0.142857142857143</f>
        <v>63.2328571428572</v>
      </c>
      <c r="AI25" s="77" t="n">
        <f aca="false">'Price History'!N3+('Price History'!N158-'Price History'!N3)*0.142857142857143</f>
        <v>368.037142857143</v>
      </c>
      <c r="AJ25" s="77" t="n">
        <f aca="false">'Price History'!O3+('Price History'!O158-'Price History'!O3)*0.142857142857143</f>
        <v>88.9114285714286</v>
      </c>
      <c r="AK25" s="77" t="n">
        <f aca="false">'Price History'!Q3+('Price History'!Q151-'Price History'!Q3)*0.142857142857143</f>
        <v>52.4985714285714</v>
      </c>
      <c r="AL25" s="77" t="n">
        <f aca="false">'Price History'!R3+('Price History'!R158-'Price History'!R3)*0.142857142857143</f>
        <v>49.31</v>
      </c>
      <c r="AM25" s="77" t="n">
        <f aca="false">'Price History'!S3+('Price History'!S158-'Price History'!S3)*0.142857142857143</f>
        <v>70.7242857142857</v>
      </c>
      <c r="AN25" s="77" t="n">
        <f aca="false">'Price History'!T3+('Price History'!T158-'Price History'!T3)*0.142857142857143</f>
        <v>30.1714285714286</v>
      </c>
    </row>
    <row r="26" customFormat="false" ht="15" hidden="false" customHeight="true" outlineLevel="0" collapsed="false">
      <c r="A26" s="49" t="n">
        <f aca="false">IF('Price History'!A27="","",'Price History'!A27)</f>
        <v>45317</v>
      </c>
      <c r="B26" s="76" t="n">
        <f aca="false">IFERROR(IF(OR(NOT(ISNUMBER('Price History'!B27)),NOT(ISNUMBER('Price History'!B26)),'Price History'!B26=0),"",'Price History'!B27/'Price History'!B26-1),"")</f>
        <v>0.00389175047011681</v>
      </c>
      <c r="C26" s="76" t="n">
        <f aca="false">IFERROR(IF(OR(NOT(ISNUMBER('Price History'!C27)),NOT(ISNUMBER('Price History'!C26)),'Price History'!C26=0),"",'Price History'!C27/'Price History'!C26-1),"")</f>
        <v>0.00333940497874918</v>
      </c>
      <c r="D26" s="76" t="n">
        <f aca="false">IFERROR(IF(OR(NOT(ISNUMBER('Price History'!D27)),NOT(ISNUMBER('Price History'!D26)),'Price History'!D26=0),"",'Price History'!D27/'Price History'!D26-1),"")</f>
        <v>0.145045722655477</v>
      </c>
      <c r="E26" s="76" t="n">
        <f aca="false">IFERROR(IF(OR(NOT(ISNUMBER('Price History'!E27)),NOT(ISNUMBER('Price History'!E26)),'Price History'!E26=0),"",'Price History'!E27/'Price History'!E26-1),"")</f>
        <v>-0.00520145310435938</v>
      </c>
      <c r="F26" s="76" t="n">
        <f aca="false">IFERROR(IF(OR(NOT(ISNUMBER('Price History'!F27)),NOT(ISNUMBER('Price History'!F26)),'Price History'!F26=0),"",'Price History'!F27/'Price History'!F26-1),"")</f>
        <v>-0.000825991189427389</v>
      </c>
      <c r="G26" s="76" t="n">
        <f aca="false">IFERROR(IF(OR(NOT(ISNUMBER('Price History'!G27)),NOT(ISNUMBER('Price History'!G26)),'Price History'!G26=0),"",'Price History'!G27/'Price History'!G26-1),"")</f>
        <v>-0.0221859706362153</v>
      </c>
      <c r="H26" s="76" t="n">
        <f aca="false">IFERROR(IF(OR(NOT(ISNUMBER('Price History'!H27)),NOT(ISNUMBER('Price History'!H26)),'Price History'!H26=0),"",'Price History'!H27/'Price History'!H26-1),"")</f>
        <v>0.00617072334590318</v>
      </c>
      <c r="I26" s="76" t="n">
        <f aca="false">IFERROR(IF(OR(NOT(ISNUMBER('Price History'!I27)),NOT(ISNUMBER('Price History'!I26)),'Price History'!I26=0),"",'Price History'!I27/'Price History'!I26-1),"")</f>
        <v>0.0258867036476718</v>
      </c>
      <c r="J26" s="76" t="n">
        <f aca="false">IFERROR(IF(OR(NOT(ISNUMBER('Price History'!J27)),NOT(ISNUMBER('Price History'!J26)),'Price History'!J26=0),"",'Price History'!J27/'Price History'!J26-1),"")</f>
        <v>-0.012223606353161</v>
      </c>
      <c r="K26" s="76" t="n">
        <f aca="false">IFERROR(IF(OR(NOT(ISNUMBER('Price History'!K27)),NOT(ISNUMBER('Price History'!K26)),'Price History'!K26=0),"",'Price History'!K27/'Price History'!K26-1),"")</f>
        <v>-0.0256257449344458</v>
      </c>
      <c r="L26" s="76" t="n">
        <f aca="false">IFERROR(IF(OR(NOT(ISNUMBER('Price History'!L27)),NOT(ISNUMBER('Price History'!L26)),'Price History'!L26=0),"",'Price History'!L27/'Price History'!L26-1),"")</f>
        <v>0.0267950963222416</v>
      </c>
      <c r="M26" s="76" t="n">
        <f aca="false">IFERROR(IF(OR(NOT(ISNUMBER('Price History'!M27)),NOT(ISNUMBER('Price History'!M26)),'Price History'!M26=0),"",'Price History'!M27/'Price History'!M26-1),"")</f>
        <v>-0.00391280044717723</v>
      </c>
      <c r="N26" s="76" t="n">
        <f aca="false">IFERROR(IF(OR(NOT(ISNUMBER('Price History'!N27)),NOT(ISNUMBER('Price History'!N26)),'Price History'!N26=0),"",'Price History'!N27/'Price History'!N26-1),"")</f>
        <v>-0.0111489126936691</v>
      </c>
      <c r="O26" s="76" t="n">
        <f aca="false">IFERROR(IF(OR(NOT(ISNUMBER('Price History'!O27)),NOT(ISNUMBER('Price History'!O26)),'Price History'!O26=0),"",'Price History'!O27/'Price History'!O26-1),"")</f>
        <v>0.0235185612174316</v>
      </c>
      <c r="P26" s="76" t="str">
        <f aca="false">IFERROR(IF(OR(NOT(ISNUMBER('Price History'!P27)),NOT(ISNUMBER('Price History'!P26)),'Price History'!P26=0),"",'Price History'!P27/'Price History'!P26-1),"")</f>
        <v/>
      </c>
      <c r="Q26" s="76" t="n">
        <f aca="false">IFERROR(IF(OR(NOT(ISNUMBER('Price History'!Q27)),NOT(ISNUMBER('Price History'!Q26)),'Price History'!Q26=0),"",'Price History'!Q27/'Price History'!Q26-1),"")</f>
        <v>0.000180799132164067</v>
      </c>
      <c r="R26" s="76" t="n">
        <f aca="false">IFERROR(IF(OR(NOT(ISNUMBER('Price History'!R27)),NOT(ISNUMBER('Price History'!R26)),'Price History'!R26=0),"",'Price History'!R27/'Price History'!R26-1),"")</f>
        <v>0.00778361548939488</v>
      </c>
      <c r="S26" s="76" t="n">
        <f aca="false">IFERROR(IF(OR(NOT(ISNUMBER('Price History'!S27)),NOT(ISNUMBER('Price History'!S26)),'Price History'!S26=0),"",'Price History'!S27/'Price History'!S26-1),"")</f>
        <v>0.0161172161172161</v>
      </c>
      <c r="T26" s="76" t="n">
        <f aca="false">IFERROR(IF(OR(NOT(ISNUMBER('Price History'!T27)),NOT(ISNUMBER('Price History'!T26)),'Price History'!T26=0),"",'Price History'!T27/'Price History'!T26-1),"")</f>
        <v>0.00820842255531762</v>
      </c>
      <c r="U26" s="76" t="str">
        <f aca="false">IFERROR(IF(OR(NOT(ISNUMBER('Price History'!U27)),NOT(ISNUMBER('Price History'!U26)),'Price History'!U26=0),"",'Price History'!U27/'Price History'!U26-1),"")</f>
        <v/>
      </c>
      <c r="W26" s="77" t="n">
        <f aca="false">'Price History'!B3+('Price History'!B158-'Price History'!B3)*0.149350649350649</f>
        <v>469.911558441559</v>
      </c>
      <c r="X26" s="77" t="n">
        <f aca="false">'Price History'!C3+('Price History'!C158-'Price History'!C3)*0.149350649350649</f>
        <v>64.1427922077922</v>
      </c>
      <c r="Y26" s="77" t="n">
        <f aca="false">'Price History'!D3+('Price History'!D158-'Price History'!D3)*0.149350649350649</f>
        <v>806.234935064935</v>
      </c>
      <c r="Z26" s="77" t="n">
        <f aca="false">'Price History'!E3+('Price History'!E158-'Price History'!E3)*0.149350649350649</f>
        <v>128.726103896104</v>
      </c>
      <c r="AA26" s="77" t="n">
        <f aca="false">'Price History'!F3+('Price History'!F158-'Price History'!F3)*0.149350649350649</f>
        <v>60.0301298701298</v>
      </c>
      <c r="AB26" s="77" t="n">
        <f aca="false">'Price History'!G3+('Price History'!G158-'Price History'!G3)*0.149350649350649</f>
        <v>68.0503896103896</v>
      </c>
      <c r="AC26" s="77" t="n">
        <f aca="false">'Price History'!H3+('Price History'!H158-'Price History'!H3)*0.149350649350649</f>
        <v>177.676363636363</v>
      </c>
      <c r="AD26" s="77" t="n">
        <f aca="false">'Price History'!I3+('Price History'!I158-'Price History'!I3)*0.149350649350649</f>
        <v>64.7311688311688</v>
      </c>
      <c r="AE26" s="77" t="n">
        <f aca="false">'Price History'!J3+('Price History'!J158-'Price History'!J3)*0.149350649350649</f>
        <v>126.661298701299</v>
      </c>
      <c r="AF26" s="77" t="n">
        <f aca="false">'Price History'!K3+('Price History'!K158-'Price History'!K3)*0.149350649350649</f>
        <v>31.4875974025974</v>
      </c>
      <c r="AG26" s="77" t="n">
        <f aca="false">'Price History'!L3+('Price History'!L158-'Price History'!L3)*0.149350649350649</f>
        <v>138.626233766234</v>
      </c>
      <c r="AH26" s="77" t="n">
        <f aca="false">'Price History'!M3+('Price History'!M158-'Price History'!M3)*0.149350649350649</f>
        <v>64.583896103896</v>
      </c>
      <c r="AI26" s="77" t="n">
        <f aca="false">'Price History'!N3+('Price History'!N158-'Price History'!N3)*0.149350649350649</f>
        <v>368.863376623377</v>
      </c>
      <c r="AJ26" s="77" t="n">
        <f aca="false">'Price History'!O3+('Price History'!O158-'Price History'!O3)*0.149350649350649</f>
        <v>89.186948051948</v>
      </c>
      <c r="AK26" s="77" t="n">
        <f aca="false">'Price History'!Q3+('Price History'!Q151-'Price History'!Q3)*0.149350649350649</f>
        <v>52.6194155844156</v>
      </c>
      <c r="AL26" s="77" t="n">
        <f aca="false">'Price History'!R3+('Price History'!R158-'Price History'!R3)*0.149350649350649</f>
        <v>49.3777272727273</v>
      </c>
      <c r="AM26" s="77" t="n">
        <f aca="false">'Price History'!S3+('Price History'!S158-'Price History'!S3)*0.149350649350649</f>
        <v>71.2781168831169</v>
      </c>
      <c r="AN26" s="77" t="n">
        <f aca="false">'Price History'!T3+('Price History'!T158-'Price History'!T3)*0.149350649350649</f>
        <v>30.3196753246753</v>
      </c>
    </row>
    <row r="27" customFormat="false" ht="15" hidden="false" customHeight="true" outlineLevel="0" collapsed="false">
      <c r="A27" s="49" t="n">
        <f aca="false">IF('Price History'!A28="","",'Price History'!A28)</f>
        <v>45324</v>
      </c>
      <c r="B27" s="76" t="n">
        <f aca="false">IFERROR(IF(OR(NOT(ISNUMBER('Price History'!B28)),NOT(ISNUMBER('Price History'!B27)),'Price History'!B27=0),"",'Price History'!B28/'Price History'!B27-1),"")</f>
        <v>0.0339289495545096</v>
      </c>
      <c r="C27" s="76" t="n">
        <f aca="false">IFERROR(IF(OR(NOT(ISNUMBER('Price History'!C28)),NOT(ISNUMBER('Price History'!C27)),'Price History'!C27=0),"",'Price History'!C28/'Price History'!C27-1),"")</f>
        <v>0.032980332829047</v>
      </c>
      <c r="D27" s="76" t="n">
        <f aca="false">IFERROR(IF(OR(NOT(ISNUMBER('Price History'!D28)),NOT(ISNUMBER('Price History'!D27)),'Price History'!D27=0),"",'Price History'!D28/'Price History'!D27-1),"")</f>
        <v>0.0264016133679055</v>
      </c>
      <c r="E27" s="76" t="n">
        <f aca="false">IFERROR(IF(OR(NOT(ISNUMBER('Price History'!E28)),NOT(ISNUMBER('Price History'!E27)),'Price History'!E27=0),"",'Price History'!E28/'Price History'!E27-1),"")</f>
        <v>0.0161009212382772</v>
      </c>
      <c r="F27" s="76" t="n">
        <f aca="false">IFERROR(IF(OR(NOT(ISNUMBER('Price History'!F28)),NOT(ISNUMBER('Price History'!F27)),'Price History'!F27=0),"",'Price History'!F28/'Price History'!F27-1),"")</f>
        <v>0.0456048498208874</v>
      </c>
      <c r="G27" s="76" t="n">
        <f aca="false">IFERROR(IF(OR(NOT(ISNUMBER('Price History'!G28)),NOT(ISNUMBER('Price History'!G27)),'Price History'!G27=0),"",'Price History'!G28/'Price History'!G27-1),"")</f>
        <v>0.00817484150817482</v>
      </c>
      <c r="H27" s="76" t="n">
        <f aca="false">IFERROR(IF(OR(NOT(ISNUMBER('Price History'!H28)),NOT(ISNUMBER('Price History'!H27)),'Price History'!H27=0),"",'Price History'!H28/'Price History'!H27-1),"")</f>
        <v>-0.0178307779670641</v>
      </c>
      <c r="I27" s="76" t="n">
        <f aca="false">IFERROR(IF(OR(NOT(ISNUMBER('Price History'!I28)),NOT(ISNUMBER('Price History'!I27)),'Price History'!I27=0),"",'Price History'!I28/'Price History'!I27-1),"")</f>
        <v>0.0840570211371456</v>
      </c>
      <c r="J27" s="76" t="n">
        <f aca="false">IFERROR(IF(OR(NOT(ISNUMBER('Price History'!J28)),NOT(ISNUMBER('Price History'!J27)),'Price History'!J27=0),"",'Price History'!J28/'Price History'!J27-1),"")</f>
        <v>0.0187593599747773</v>
      </c>
      <c r="K27" s="76" t="n">
        <f aca="false">IFERROR(IF(OR(NOT(ISNUMBER('Price History'!K28)),NOT(ISNUMBER('Price History'!K27)),'Price History'!K27=0),"",'Price History'!K28/'Price History'!K27-1),"")</f>
        <v>0.0409785932721711</v>
      </c>
      <c r="L27" s="76" t="n">
        <f aca="false">IFERROR(IF(OR(NOT(ISNUMBER('Price History'!L28)),NOT(ISNUMBER('Price History'!L27)),'Price History'!L27=0),"",'Price History'!L28/'Price History'!L27-1),"")</f>
        <v>-0.0128773665359032</v>
      </c>
      <c r="M27" s="76" t="n">
        <f aca="false">IFERROR(IF(OR(NOT(ISNUMBER('Price History'!M28)),NOT(ISNUMBER('Price History'!M27)),'Price History'!M27=0),"",'Price History'!M28/'Price History'!M27-1),"")</f>
        <v>0.14983164983165</v>
      </c>
      <c r="N27" s="76" t="n">
        <f aca="false">IFERROR(IF(OR(NOT(ISNUMBER('Price History'!N28)),NOT(ISNUMBER('Price History'!N27)),'Price History'!N27=0),"",'Price History'!N28/'Price History'!N27-1),"")</f>
        <v>-0.012762396261943</v>
      </c>
      <c r="O27" s="76" t="n">
        <f aca="false">IFERROR(IF(OR(NOT(ISNUMBER('Price History'!O28)),NOT(ISNUMBER('Price History'!O27)),'Price History'!O27=0),"",'Price History'!O28/'Price History'!O27-1),"")</f>
        <v>-0.0186979049335435</v>
      </c>
      <c r="P27" s="76" t="str">
        <f aca="false">IFERROR(IF(OR(NOT(ISNUMBER('Price History'!P28)),NOT(ISNUMBER('Price History'!P27)),'Price History'!P27=0),"",'Price History'!P28/'Price History'!P27-1),"")</f>
        <v/>
      </c>
      <c r="Q27" s="76" t="n">
        <f aca="false">IFERROR(IF(OR(NOT(ISNUMBER('Price History'!Q28)),NOT(ISNUMBER('Price History'!Q27)),'Price History'!Q27=0),"",'Price History'!Q28/'Price History'!Q27-1),"")</f>
        <v>0.0110267534345625</v>
      </c>
      <c r="R27" s="76" t="n">
        <f aca="false">IFERROR(IF(OR(NOT(ISNUMBER('Price History'!R28)),NOT(ISNUMBER('Price History'!R27)),'Price History'!R27=0),"",'Price History'!R28/'Price History'!R27-1),"")</f>
        <v>0.00289631202934926</v>
      </c>
      <c r="S27" s="76" t="n">
        <f aca="false">IFERROR(IF(OR(NOT(ISNUMBER('Price History'!S28)),NOT(ISNUMBER('Price History'!S27)),'Price History'!S27=0),"",'Price History'!S28/'Price History'!S27-1),"")</f>
        <v>0.0457101658255228</v>
      </c>
      <c r="T27" s="76" t="n">
        <f aca="false">IFERROR(IF(OR(NOT(ISNUMBER('Price History'!T28)),NOT(ISNUMBER('Price History'!T27)),'Price History'!T27=0),"",'Price History'!T28/'Price History'!T27-1),"")</f>
        <v>0.00955752212389371</v>
      </c>
      <c r="U27" s="76" t="str">
        <f aca="false">IFERROR(IF(OR(NOT(ISNUMBER('Price History'!U28)),NOT(ISNUMBER('Price History'!U27)),'Price History'!U27=0),"",'Price History'!U28/'Price History'!U27-1),"")</f>
        <v/>
      </c>
      <c r="W27" s="77" t="n">
        <f aca="false">'Price History'!B3+('Price History'!B158-'Price History'!B3)*0.155844155844156</f>
        <v>468.235974025974</v>
      </c>
      <c r="X27" s="77" t="n">
        <f aca="false">'Price History'!C3+('Price History'!C158-'Price History'!C3)*0.155844155844156</f>
        <v>65.0298701298702</v>
      </c>
      <c r="Y27" s="77" t="n">
        <f aca="false">'Price History'!D3+('Price History'!D158-'Price History'!D3)*0.155844155844156</f>
        <v>812.515584415585</v>
      </c>
      <c r="Z27" s="77" t="n">
        <f aca="false">'Price History'!E3+('Price History'!E158-'Price History'!E3)*0.155844155844156</f>
        <v>130.715064935065</v>
      </c>
      <c r="AA27" s="77" t="n">
        <f aca="false">'Price History'!F3+('Price History'!F158-'Price History'!F3)*0.155844155844156</f>
        <v>61.0288311688312</v>
      </c>
      <c r="AB27" s="77" t="n">
        <f aca="false">'Price History'!G3+('Price History'!G158-'Price History'!G3)*0.155844155844156</f>
        <v>68.9264935064935</v>
      </c>
      <c r="AC27" s="77" t="n">
        <f aca="false">'Price History'!H3+('Price History'!H158-'Price History'!H3)*0.155844155844156</f>
        <v>182.602727272727</v>
      </c>
      <c r="AD27" s="77" t="n">
        <f aca="false">'Price History'!I3+('Price History'!I158-'Price History'!I3)*0.155844155844156</f>
        <v>65.7694805194806</v>
      </c>
      <c r="AE27" s="77" t="n">
        <f aca="false">'Price History'!J3+('Price History'!J158-'Price History'!J3)*0.155844155844156</f>
        <v>126.798311688312</v>
      </c>
      <c r="AF27" s="77" t="n">
        <f aca="false">'Price History'!K3+('Price History'!K158-'Price History'!K3)*0.155844155844156</f>
        <v>32.1866233766234</v>
      </c>
      <c r="AG27" s="77" t="n">
        <f aca="false">'Price History'!L3+('Price History'!L158-'Price History'!L3)*0.155844155844156</f>
        <v>140.653896103896</v>
      </c>
      <c r="AH27" s="77" t="n">
        <f aca="false">'Price History'!M3+('Price History'!M158-'Price History'!M3)*0.155844155844156</f>
        <v>65.9349350649351</v>
      </c>
      <c r="AI27" s="77" t="n">
        <f aca="false">'Price History'!N3+('Price History'!N158-'Price History'!N3)*0.155844155844156</f>
        <v>369.68961038961</v>
      </c>
      <c r="AJ27" s="77" t="n">
        <f aca="false">'Price History'!O3+('Price History'!O158-'Price History'!O3)*0.155844155844156</f>
        <v>89.4624675324675</v>
      </c>
      <c r="AK27" s="77" t="n">
        <f aca="false">'Price History'!Q3+('Price History'!Q151-'Price History'!Q3)*0.155844155844156</f>
        <v>52.7402597402597</v>
      </c>
      <c r="AL27" s="77" t="n">
        <f aca="false">'Price History'!R3+('Price History'!R158-'Price History'!R3)*0.155844155844156</f>
        <v>49.4454545454545</v>
      </c>
      <c r="AM27" s="77" t="n">
        <f aca="false">'Price History'!S3+('Price History'!S158-'Price History'!S3)*0.155844155844156</f>
        <v>71.8319480519481</v>
      </c>
      <c r="AN27" s="77" t="n">
        <f aca="false">'Price History'!T3+('Price History'!T158-'Price History'!T3)*0.155844155844156</f>
        <v>30.4679220779221</v>
      </c>
    </row>
    <row r="28" customFormat="false" ht="15" hidden="false" customHeight="true" outlineLevel="0" collapsed="false">
      <c r="A28" s="49" t="n">
        <f aca="false">IF('Price History'!A29="","",'Price History'!A29)</f>
        <v>45331</v>
      </c>
      <c r="B28" s="76" t="n">
        <f aca="false">IFERROR(IF(OR(NOT(ISNUMBER('Price History'!B29)),NOT(ISNUMBER('Price History'!B28)),'Price History'!B28=0),"",'Price History'!B29/'Price History'!B28-1),"")</f>
        <v>-0.0118942592475896</v>
      </c>
      <c r="C28" s="76" t="n">
        <f aca="false">IFERROR(IF(OR(NOT(ISNUMBER('Price History'!C29)),NOT(ISNUMBER('Price History'!C28)),'Price History'!C28=0),"",'Price History'!C29/'Price History'!C28-1),"")</f>
        <v>0.0341241944932631</v>
      </c>
      <c r="D28" s="76" t="n">
        <f aca="false">IFERROR(IF(OR(NOT(ISNUMBER('Price History'!D29)),NOT(ISNUMBER('Price History'!D28)),'Price History'!D28=0),"",'Price History'!D29/'Price History'!D28-1),"")</f>
        <v>0.0661756450272832</v>
      </c>
      <c r="E28" s="76" t="n">
        <f aca="false">IFERROR(IF(OR(NOT(ISNUMBER('Price History'!E29)),NOT(ISNUMBER('Price History'!E28)),'Price History'!E28=0),"",'Price History'!E29/'Price History'!E28-1),"")</f>
        <v>0.0482724822347465</v>
      </c>
      <c r="F28" s="76" t="n">
        <f aca="false">IFERROR(IF(OR(NOT(ISNUMBER('Price History'!F29)),NOT(ISNUMBER('Price History'!F28)),'Price History'!F28=0),"",'Price History'!F29/'Price History'!F28-1),"")</f>
        <v>0.0849914349716696</v>
      </c>
      <c r="G28" s="76" t="n">
        <f aca="false">IFERROR(IF(OR(NOT(ISNUMBER('Price History'!G29)),NOT(ISNUMBER('Price History'!G28)),'Price History'!G28=0),"",'Price History'!G29/'Price History'!G28-1),"")</f>
        <v>0.0752937282806554</v>
      </c>
      <c r="H28" s="76" t="n">
        <f aca="false">IFERROR(IF(OR(NOT(ISNUMBER('Price History'!H29)),NOT(ISNUMBER('Price History'!H28)),'Price History'!H28=0),"",'Price History'!H29/'Price History'!H28-1),"")</f>
        <v>-0.0106382978723405</v>
      </c>
      <c r="I28" s="76" t="n">
        <f aca="false">IFERROR(IF(OR(NOT(ISNUMBER('Price History'!I29)),NOT(ISNUMBER('Price History'!I28)),'Price History'!I28=0),"",'Price History'!I29/'Price History'!I28-1),"")</f>
        <v>0.0902357920193471</v>
      </c>
      <c r="J28" s="76" t="n">
        <f aca="false">IFERROR(IF(OR(NOT(ISNUMBER('Price History'!J29)),NOT(ISNUMBER('Price History'!J28)),'Price History'!J28=0),"",'Price History'!J29/'Price History'!J28-1),"")</f>
        <v>0.0249903288201159</v>
      </c>
      <c r="K28" s="76" t="n">
        <f aca="false">IFERROR(IF(OR(NOT(ISNUMBER('Price History'!K29)),NOT(ISNUMBER('Price History'!K28)),'Price History'!K28=0),"",'Price History'!K29/'Price History'!K28-1),"")</f>
        <v>0.432432432432432</v>
      </c>
      <c r="L28" s="76" t="n">
        <f aca="false">IFERROR(IF(OR(NOT(ISNUMBER('Price History'!L29)),NOT(ISNUMBER('Price History'!L28)),'Price History'!L28=0),"",'Price History'!L29/'Price History'!L28-1),"")</f>
        <v>0.149978401727862</v>
      </c>
      <c r="M28" s="76" t="n">
        <f aca="false">IFERROR(IF(OR(NOT(ISNUMBER('Price History'!M29)),NOT(ISNUMBER('Price History'!M28)),'Price History'!M28=0),"",'Price History'!M29/'Price History'!M28-1),"")</f>
        <v>0.0333496014315928</v>
      </c>
      <c r="N28" s="76" t="n">
        <f aca="false">IFERROR(IF(OR(NOT(ISNUMBER('Price History'!N29)),NOT(ISNUMBER('Price History'!N28)),'Price History'!N28=0),"",'Price History'!N29/'Price History'!N28-1),"")</f>
        <v>-0.00416784402373549</v>
      </c>
      <c r="O28" s="76" t="n">
        <f aca="false">IFERROR(IF(OR(NOT(ISNUMBER('Price History'!O29)),NOT(ISNUMBER('Price History'!O28)),'Price History'!O28=0),"",'Price History'!O29/'Price History'!O28-1),"")</f>
        <v>0.00906795224977031</v>
      </c>
      <c r="P28" s="76" t="str">
        <f aca="false">IFERROR(IF(OR(NOT(ISNUMBER('Price History'!P29)),NOT(ISNUMBER('Price History'!P28)),'Price History'!P28=0),"",'Price History'!P29/'Price History'!P28-1),"")</f>
        <v/>
      </c>
      <c r="Q28" s="76" t="n">
        <f aca="false">IFERROR(IF(OR(NOT(ISNUMBER('Price History'!Q29)),NOT(ISNUMBER('Price History'!Q28)),'Price History'!Q28=0),"",'Price History'!Q29/'Price History'!Q28-1),"")</f>
        <v>0.000715179688896894</v>
      </c>
      <c r="R28" s="76" t="n">
        <f aca="false">IFERROR(IF(OR(NOT(ISNUMBER('Price History'!R29)),NOT(ISNUMBER('Price History'!R28)),'Price History'!R28=0),"",'Price History'!R29/'Price History'!R28-1),"")</f>
        <v>0.0105891413169041</v>
      </c>
      <c r="S28" s="76" t="n">
        <f aca="false">IFERROR(IF(OR(NOT(ISNUMBER('Price History'!S29)),NOT(ISNUMBER('Price History'!S28)),'Price History'!S28=0),"",'Price History'!S29/'Price History'!S28-1),"")</f>
        <v>0.0238554881412025</v>
      </c>
      <c r="T28" s="76" t="n">
        <f aca="false">IFERROR(IF(OR(NOT(ISNUMBER('Price History'!T29)),NOT(ISNUMBER('Price History'!T28)),'Price History'!T28=0),"",'Price History'!T29/'Price History'!T28-1),"")</f>
        <v>0.0038569424964936</v>
      </c>
      <c r="U28" s="76" t="str">
        <f aca="false">IFERROR(IF(OR(NOT(ISNUMBER('Price History'!U29)),NOT(ISNUMBER('Price History'!U28)),'Price History'!U28=0),"",'Price History'!U29/'Price History'!U28-1),"")</f>
        <v/>
      </c>
      <c r="W28" s="77" t="n">
        <f aca="false">'Price History'!B3+('Price History'!B158-'Price History'!B3)*0.162337662337662</f>
        <v>466.56038961039</v>
      </c>
      <c r="X28" s="77" t="n">
        <f aca="false">'Price History'!C3+('Price History'!C158-'Price History'!C3)*0.162337662337662</f>
        <v>65.916948051948</v>
      </c>
      <c r="Y28" s="77" t="n">
        <f aca="false">'Price History'!D3+('Price History'!D158-'Price History'!D3)*0.162337662337662</f>
        <v>818.796233766233</v>
      </c>
      <c r="Z28" s="77" t="n">
        <f aca="false">'Price History'!E3+('Price History'!E158-'Price History'!E3)*0.162337662337662</f>
        <v>132.704025974026</v>
      </c>
      <c r="AA28" s="77" t="n">
        <f aca="false">'Price History'!F3+('Price History'!F158-'Price History'!F3)*0.162337662337662</f>
        <v>62.0275324675324</v>
      </c>
      <c r="AB28" s="77" t="n">
        <f aca="false">'Price History'!G3+('Price History'!G158-'Price History'!G3)*0.162337662337662</f>
        <v>69.8025974025974</v>
      </c>
      <c r="AC28" s="77" t="n">
        <f aca="false">'Price History'!H3+('Price History'!H158-'Price History'!H3)*0.162337662337662</f>
        <v>187.529090909091</v>
      </c>
      <c r="AD28" s="77" t="n">
        <f aca="false">'Price History'!I3+('Price History'!I158-'Price History'!I3)*0.162337662337662</f>
        <v>66.8077922077922</v>
      </c>
      <c r="AE28" s="77" t="n">
        <f aca="false">'Price History'!J3+('Price History'!J158-'Price History'!J3)*0.162337662337662</f>
        <v>126.935324675325</v>
      </c>
      <c r="AF28" s="77" t="n">
        <f aca="false">'Price History'!K3+('Price History'!K158-'Price History'!K3)*0.162337662337662</f>
        <v>32.8856493506493</v>
      </c>
      <c r="AG28" s="77" t="n">
        <f aca="false">'Price History'!L3+('Price History'!L158-'Price History'!L3)*0.162337662337662</f>
        <v>142.681558441558</v>
      </c>
      <c r="AH28" s="77" t="n">
        <f aca="false">'Price History'!M3+('Price History'!M158-'Price History'!M3)*0.162337662337662</f>
        <v>67.285974025974</v>
      </c>
      <c r="AI28" s="77" t="n">
        <f aca="false">'Price History'!N3+('Price History'!N158-'Price History'!N3)*0.162337662337662</f>
        <v>370.515844155844</v>
      </c>
      <c r="AJ28" s="77" t="n">
        <f aca="false">'Price History'!O3+('Price History'!O158-'Price History'!O3)*0.162337662337662</f>
        <v>89.737987012987</v>
      </c>
      <c r="AK28" s="77" t="n">
        <f aca="false">'Price History'!Q3+('Price History'!Q151-'Price History'!Q3)*0.162337662337662</f>
        <v>52.8611038961039</v>
      </c>
      <c r="AL28" s="77" t="n">
        <f aca="false">'Price History'!R3+('Price History'!R158-'Price History'!R3)*0.162337662337662</f>
        <v>49.5131818181818</v>
      </c>
      <c r="AM28" s="77" t="n">
        <f aca="false">'Price History'!S3+('Price History'!S158-'Price History'!S3)*0.162337662337662</f>
        <v>72.3857792207792</v>
      </c>
      <c r="AN28" s="77" t="n">
        <f aca="false">'Price History'!T3+('Price History'!T158-'Price History'!T3)*0.162337662337662</f>
        <v>30.6161688311688</v>
      </c>
    </row>
    <row r="29" customFormat="false" ht="15" hidden="false" customHeight="true" outlineLevel="0" collapsed="false">
      <c r="A29" s="49" t="n">
        <f aca="false">IF('Price History'!A30="","",'Price History'!A30)</f>
        <v>45338</v>
      </c>
      <c r="B29" s="76" t="n">
        <f aca="false">IFERROR(IF(OR(NOT(ISNUMBER('Price History'!B30)),NOT(ISNUMBER('Price History'!B29)),'Price History'!B29=0),"",'Price History'!B30/'Price History'!B29-1),"")</f>
        <v>-0.128425886066868</v>
      </c>
      <c r="C29" s="76" t="n">
        <f aca="false">IFERROR(IF(OR(NOT(ISNUMBER('Price History'!C30)),NOT(ISNUMBER('Price History'!C29)),'Price History'!C29=0),"",'Price History'!C30/'Price History'!C29-1),"")</f>
        <v>-0.0732190907803427</v>
      </c>
      <c r="D29" s="76" t="n">
        <f aca="false">IFERROR(IF(OR(NOT(ISNUMBER('Price History'!D30)),NOT(ISNUMBER('Price History'!D29)),'Price History'!D29=0),"",'Price History'!D30/'Price History'!D29-1),"")</f>
        <v>-0.0217565290648694</v>
      </c>
      <c r="E29" s="76" t="n">
        <f aca="false">IFERROR(IF(OR(NOT(ISNUMBER('Price History'!E30)),NOT(ISNUMBER('Price History'!E29)),'Price History'!E29=0),"",'Price History'!E30/'Price History'!E29-1),"")</f>
        <v>-0.0295309334580023</v>
      </c>
      <c r="F29" s="76" t="n">
        <f aca="false">IFERROR(IF(OR(NOT(ISNUMBER('Price History'!F30)),NOT(ISNUMBER('Price History'!F29)),'Price History'!F29=0),"",'Price History'!F30/'Price History'!F29-1),"")</f>
        <v>-0.000364342968180775</v>
      </c>
      <c r="G29" s="76" t="n">
        <f aca="false">IFERROR(IF(OR(NOT(ISNUMBER('Price History'!G30)),NOT(ISNUMBER('Price History'!G29)),'Price History'!G29=0),"",'Price History'!G30/'Price History'!G29-1),"")</f>
        <v>0.017851646660511</v>
      </c>
      <c r="H29" s="76" t="n">
        <f aca="false">IFERROR(IF(OR(NOT(ISNUMBER('Price History'!H30)),NOT(ISNUMBER('Price History'!H29)),'Price History'!H29=0),"",'Price History'!H30/'Price History'!H29-1),"")</f>
        <v>-0.070827489481066</v>
      </c>
      <c r="I29" s="76" t="n">
        <f aca="false">IFERROR(IF(OR(NOT(ISNUMBER('Price History'!I30)),NOT(ISNUMBER('Price History'!I29)),'Price History'!I29=0),"",'Price History'!I30/'Price History'!I29-1),"")</f>
        <v>0.00665465132399845</v>
      </c>
      <c r="J29" s="76" t="n">
        <f aca="false">IFERROR(IF(OR(NOT(ISNUMBER('Price History'!J30)),NOT(ISNUMBER('Price History'!J29)),'Price History'!J29=0),"",'Price History'!J30/'Price History'!J29-1),"")</f>
        <v>0.00686896135265691</v>
      </c>
      <c r="K29" s="76" t="n">
        <f aca="false">IFERROR(IF(OR(NOT(ISNUMBER('Price History'!K30)),NOT(ISNUMBER('Price History'!K29)),'Price History'!K29=0),"",'Price History'!K30/'Price History'!K29-1),"")</f>
        <v>0.00246103363412642</v>
      </c>
      <c r="L29" s="76" t="n">
        <f aca="false">IFERROR(IF(OR(NOT(ISNUMBER('Price History'!L30)),NOT(ISNUMBER('Price History'!L29)),'Price History'!L29=0),"",'Price History'!L30/'Price History'!L29-1),"")</f>
        <v>-0.0482307865675007</v>
      </c>
      <c r="M29" s="76" t="n">
        <f aca="false">IFERROR(IF(OR(NOT(ISNUMBER('Price History'!M30)),NOT(ISNUMBER('Price History'!M29)),'Price History'!M29=0),"",'Price History'!M30/'Price History'!M29-1),"")</f>
        <v>-0.00865869017632248</v>
      </c>
      <c r="N29" s="76" t="n">
        <f aca="false">IFERROR(IF(OR(NOT(ISNUMBER('Price History'!N30)),NOT(ISNUMBER('Price History'!N29)),'Price History'!N29=0),"",'Price History'!N30/'Price History'!N29-1),"")</f>
        <v>-0.00167884419852937</v>
      </c>
      <c r="O29" s="76" t="n">
        <f aca="false">IFERROR(IF(OR(NOT(ISNUMBER('Price History'!O30)),NOT(ISNUMBER('Price History'!O29)),'Price History'!O29=0),"",'Price History'!O30/'Price History'!O29-1),"")</f>
        <v>0.00705266750085309</v>
      </c>
      <c r="P29" s="76" t="str">
        <f aca="false">IFERROR(IF(OR(NOT(ISNUMBER('Price History'!P30)),NOT(ISNUMBER('Price History'!P29)),'Price History'!P29=0),"",'Price History'!P30/'Price History'!P29-1),"")</f>
        <v/>
      </c>
      <c r="Q29" s="76" t="n">
        <f aca="false">IFERROR(IF(OR(NOT(ISNUMBER('Price History'!Q30)),NOT(ISNUMBER('Price History'!Q29)),'Price History'!Q29=0),"",'Price History'!Q30/'Price History'!Q29-1),"")</f>
        <v>-0.00375201000536007</v>
      </c>
      <c r="R29" s="76" t="n">
        <f aca="false">IFERROR(IF(OR(NOT(ISNUMBER('Price History'!R30)),NOT(ISNUMBER('Price History'!R29)),'Price History'!R29=0),"",'Price History'!R30/'Price History'!R29-1),"")</f>
        <v>-0.00323871213564497</v>
      </c>
      <c r="S29" s="76" t="n">
        <f aca="false">IFERROR(IF(OR(NOT(ISNUMBER('Price History'!S30)),NOT(ISNUMBER('Price History'!S29)),'Price History'!S29=0),"",'Price History'!S30/'Price History'!S29-1),"")</f>
        <v>0.00835016835016833</v>
      </c>
      <c r="T29" s="76" t="n">
        <f aca="false">IFERROR(IF(OR(NOT(ISNUMBER('Price History'!T30)),NOT(ISNUMBER('Price History'!T29)),'Price History'!T29=0),"",'Price History'!T30/'Price History'!T29-1),"")</f>
        <v>0.00838281522878104</v>
      </c>
      <c r="U29" s="76" t="str">
        <f aca="false">IFERROR(IF(OR(NOT(ISNUMBER('Price History'!U30)),NOT(ISNUMBER('Price History'!U29)),'Price History'!U29=0),"",'Price History'!U30/'Price History'!U29-1),"")</f>
        <v/>
      </c>
      <c r="W29" s="77" t="n">
        <f aca="false">'Price History'!B3+('Price History'!B158-'Price History'!B3)*0.168831168831169</f>
        <v>464.884805194805</v>
      </c>
      <c r="X29" s="77" t="n">
        <f aca="false">'Price History'!C3+('Price History'!C158-'Price History'!C3)*0.168831168831169</f>
        <v>66.804025974026</v>
      </c>
      <c r="Y29" s="77" t="n">
        <f aca="false">'Price History'!D3+('Price History'!D158-'Price History'!D3)*0.168831168831169</f>
        <v>825.076883116883</v>
      </c>
      <c r="Z29" s="77" t="n">
        <f aca="false">'Price History'!E3+('Price History'!E158-'Price History'!E3)*0.168831168831169</f>
        <v>134.692987012987</v>
      </c>
      <c r="AA29" s="77" t="n">
        <f aca="false">'Price History'!F3+('Price History'!F158-'Price History'!F3)*0.168831168831169</f>
        <v>63.0262337662338</v>
      </c>
      <c r="AB29" s="77" t="n">
        <f aca="false">'Price History'!G3+('Price History'!G158-'Price History'!G3)*0.168831168831169</f>
        <v>70.6787012987013</v>
      </c>
      <c r="AC29" s="77" t="n">
        <f aca="false">'Price History'!H3+('Price History'!H158-'Price History'!H3)*0.168831168831169</f>
        <v>192.455454545455</v>
      </c>
      <c r="AD29" s="77" t="n">
        <f aca="false">'Price History'!I3+('Price History'!I158-'Price History'!I3)*0.168831168831169</f>
        <v>67.8461038961039</v>
      </c>
      <c r="AE29" s="77" t="n">
        <f aca="false">'Price History'!J3+('Price History'!J158-'Price History'!J3)*0.168831168831169</f>
        <v>127.072337662338</v>
      </c>
      <c r="AF29" s="77" t="n">
        <f aca="false">'Price History'!K3+('Price History'!K158-'Price History'!K3)*0.168831168831169</f>
        <v>33.5846753246753</v>
      </c>
      <c r="AG29" s="77" t="n">
        <f aca="false">'Price History'!L3+('Price History'!L158-'Price History'!L3)*0.168831168831169</f>
        <v>144.709220779221</v>
      </c>
      <c r="AH29" s="77" t="n">
        <f aca="false">'Price History'!M3+('Price History'!M158-'Price History'!M3)*0.168831168831169</f>
        <v>68.637012987013</v>
      </c>
      <c r="AI29" s="77" t="n">
        <f aca="false">'Price History'!N3+('Price History'!N158-'Price History'!N3)*0.168831168831169</f>
        <v>371.342077922078</v>
      </c>
      <c r="AJ29" s="77" t="n">
        <f aca="false">'Price History'!O3+('Price History'!O158-'Price History'!O3)*0.168831168831169</f>
        <v>90.0135064935065</v>
      </c>
      <c r="AK29" s="77" t="n">
        <f aca="false">'Price History'!Q3+('Price History'!Q151-'Price History'!Q3)*0.168831168831169</f>
        <v>52.9819480519481</v>
      </c>
      <c r="AL29" s="77" t="n">
        <f aca="false">'Price History'!R3+('Price History'!R158-'Price History'!R3)*0.168831168831169</f>
        <v>49.5809090909091</v>
      </c>
      <c r="AM29" s="77" t="n">
        <f aca="false">'Price History'!S3+('Price History'!S158-'Price History'!S3)*0.168831168831169</f>
        <v>72.9396103896104</v>
      </c>
      <c r="AN29" s="77" t="n">
        <f aca="false">'Price History'!T3+('Price History'!T158-'Price History'!T3)*0.168831168831169</f>
        <v>30.7644155844156</v>
      </c>
    </row>
    <row r="30" customFormat="false" ht="15" hidden="false" customHeight="true" outlineLevel="0" collapsed="false">
      <c r="A30" s="49" t="n">
        <f aca="false">IF('Price History'!A31="","",'Price History'!A31)</f>
        <v>45345</v>
      </c>
      <c r="B30" s="76" t="n">
        <f aca="false">IFERROR(IF(OR(NOT(ISNUMBER('Price History'!B31)),NOT(ISNUMBER('Price History'!B30)),'Price History'!B30=0),"",'Price History'!B31/'Price History'!B30-1),"")</f>
        <v>0.0124025902754914</v>
      </c>
      <c r="C30" s="76" t="n">
        <f aca="false">IFERROR(IF(OR(NOT(ISNUMBER('Price History'!C31)),NOT(ISNUMBER('Price History'!C30)),'Price History'!C30=0),"",'Price History'!C31/'Price History'!C30-1),"")</f>
        <v>0.0226161369193154</v>
      </c>
      <c r="D30" s="76" t="n">
        <f aca="false">IFERROR(IF(OR(NOT(ISNUMBER('Price History'!D31)),NOT(ISNUMBER('Price History'!D30)),'Price History'!D30=0),"",'Price History'!D31/'Price History'!D30-1),"")</f>
        <v>0.00463969685878518</v>
      </c>
      <c r="E30" s="76" t="n">
        <f aca="false">IFERROR(IF(OR(NOT(ISNUMBER('Price History'!E31)),NOT(ISNUMBER('Price History'!E30)),'Price History'!E30=0),"",'Price History'!E31/'Price History'!E30-1),"")</f>
        <v>0.0408671216378964</v>
      </c>
      <c r="F30" s="76" t="n">
        <f aca="false">IFERROR(IF(OR(NOT(ISNUMBER('Price History'!F31)),NOT(ISNUMBER('Price History'!F30)),'Price History'!F30=0),"",'Price History'!F31/'Price History'!F30-1),"")</f>
        <v>-0.0539424128295468</v>
      </c>
      <c r="G30" s="76" t="n">
        <f aca="false">IFERROR(IF(OR(NOT(ISNUMBER('Price History'!G31)),NOT(ISNUMBER('Price History'!G30)),'Price History'!G30=0),"",'Price History'!G31/'Price History'!G30-1),"")</f>
        <v>0.0111883882673116</v>
      </c>
      <c r="H30" s="76" t="n">
        <f aca="false">IFERROR(IF(OR(NOT(ISNUMBER('Price History'!H31)),NOT(ISNUMBER('Price History'!H30)),'Price History'!H30=0),"",'Price History'!H31/'Price History'!H30-1),"")</f>
        <v>0.0817610062893082</v>
      </c>
      <c r="I30" s="76" t="n">
        <f aca="false">IFERROR(IF(OR(NOT(ISNUMBER('Price History'!I31)),NOT(ISNUMBER('Price History'!I30)),'Price History'!I30=0),"",'Price History'!I31/'Price History'!I30-1),"")</f>
        <v>0.0855254097231786</v>
      </c>
      <c r="J30" s="76" t="n">
        <f aca="false">IFERROR(IF(OR(NOT(ISNUMBER('Price History'!J31)),NOT(ISNUMBER('Price History'!J30)),'Price History'!J30=0),"",'Price History'!J31/'Price History'!J30-1),"")</f>
        <v>-0.00134942649374004</v>
      </c>
      <c r="K30" s="76" t="n">
        <f aca="false">IFERROR(IF(OR(NOT(ISNUMBER('Price History'!K31)),NOT(ISNUMBER('Price History'!K30)),'Price History'!K30=0),"",'Price History'!K31/'Price History'!K30-1),"")</f>
        <v>-0.0601472995090018</v>
      </c>
      <c r="L30" s="76" t="n">
        <f aca="false">IFERROR(IF(OR(NOT(ISNUMBER('Price History'!L31)),NOT(ISNUMBER('Price History'!L30)),'Price History'!L30=0),"",'Price History'!L31/'Price History'!L30-1),"")</f>
        <v>0.0224169231983582</v>
      </c>
      <c r="M30" s="76" t="n">
        <f aca="false">IFERROR(IF(OR(NOT(ISNUMBER('Price History'!M31)),NOT(ISNUMBER('Price History'!M30)),'Price History'!M30=0),"",'Price History'!M31/'Price History'!M30-1),"")</f>
        <v>-0.00428775607432108</v>
      </c>
      <c r="N30" s="76" t="n">
        <f aca="false">IFERROR(IF(OR(NOT(ISNUMBER('Price History'!N31)),NOT(ISNUMBER('Price History'!N30)),'Price History'!N30=0),"",'Price History'!N31/'Price History'!N30-1),"")</f>
        <v>0.0187351965892941</v>
      </c>
      <c r="O30" s="76" t="n">
        <f aca="false">IFERROR(IF(OR(NOT(ISNUMBER('Price History'!O31)),NOT(ISNUMBER('Price History'!O30)),'Price History'!O30=0),"",'Price History'!O31/'Price History'!O30-1),"")</f>
        <v>-0.0032757257426862</v>
      </c>
      <c r="P30" s="76" t="str">
        <f aca="false">IFERROR(IF(OR(NOT(ISNUMBER('Price History'!P31)),NOT(ISNUMBER('Price History'!P30)),'Price History'!P30=0),"",'Price History'!P31/'Price History'!P30-1),"")</f>
        <v/>
      </c>
      <c r="Q30" s="76" t="n">
        <f aca="false">IFERROR(IF(OR(NOT(ISNUMBER('Price History'!Q31)),NOT(ISNUMBER('Price History'!Q30)),'Price History'!Q30=0),"",'Price History'!Q31/'Price History'!Q30-1),"")</f>
        <v>-0.00627690100430423</v>
      </c>
      <c r="R30" s="76" t="n">
        <f aca="false">IFERROR(IF(OR(NOT(ISNUMBER('Price History'!R31)),NOT(ISNUMBER('Price History'!R30)),'Price History'!R30=0),"",'Price History'!R31/'Price History'!R30-1),"")</f>
        <v>0.0126146788990824</v>
      </c>
      <c r="S30" s="76" t="n">
        <f aca="false">IFERROR(IF(OR(NOT(ISNUMBER('Price History'!S31)),NOT(ISNUMBER('Price History'!S30)),'Price History'!S30=0),"",'Price History'!S31/'Price History'!S30-1),"")</f>
        <v>0.0224388940830773</v>
      </c>
      <c r="T30" s="76" t="n">
        <f aca="false">IFERROR(IF(OR(NOT(ISNUMBER('Price History'!T31)),NOT(ISNUMBER('Price History'!T30)),'Price History'!T30=0),"",'Price History'!T31/'Price History'!T30-1),"")</f>
        <v>0.0218219605126428</v>
      </c>
      <c r="U30" s="76" t="str">
        <f aca="false">IFERROR(IF(OR(NOT(ISNUMBER('Price History'!U31)),NOT(ISNUMBER('Price History'!U30)),'Price History'!U30=0),"",'Price History'!U31/'Price History'!U30-1),"")</f>
        <v/>
      </c>
      <c r="W30" s="77" t="n">
        <f aca="false">'Price History'!B3+('Price History'!B158-'Price History'!B3)*0.175324675324675</f>
        <v>463.209220779221</v>
      </c>
      <c r="X30" s="77" t="n">
        <f aca="false">'Price History'!C3+('Price History'!C158-'Price History'!C3)*0.175324675324675</f>
        <v>67.6911038961039</v>
      </c>
      <c r="Y30" s="77" t="n">
        <f aca="false">'Price History'!D3+('Price History'!D158-'Price History'!D3)*0.175324675324675</f>
        <v>831.357532467532</v>
      </c>
      <c r="Z30" s="77" t="n">
        <f aca="false">'Price History'!E3+('Price History'!E158-'Price History'!E3)*0.175324675324675</f>
        <v>136.681948051948</v>
      </c>
      <c r="AA30" s="77" t="n">
        <f aca="false">'Price History'!F3+('Price History'!F158-'Price History'!F3)*0.175324675324675</f>
        <v>64.024935064935</v>
      </c>
      <c r="AB30" s="77" t="n">
        <f aca="false">'Price History'!G3+('Price History'!G158-'Price History'!G3)*0.175324675324675</f>
        <v>71.5548051948051</v>
      </c>
      <c r="AC30" s="77" t="n">
        <f aca="false">'Price History'!H3+('Price History'!H158-'Price History'!H3)*0.175324675324675</f>
        <v>197.381818181818</v>
      </c>
      <c r="AD30" s="77" t="n">
        <f aca="false">'Price History'!I3+('Price History'!I158-'Price History'!I3)*0.175324675324675</f>
        <v>68.8844155844155</v>
      </c>
      <c r="AE30" s="77" t="n">
        <f aca="false">'Price History'!J3+('Price History'!J158-'Price History'!J3)*0.175324675324675</f>
        <v>127.209350649351</v>
      </c>
      <c r="AF30" s="77" t="n">
        <f aca="false">'Price History'!K3+('Price History'!K158-'Price History'!K3)*0.175324675324675</f>
        <v>34.2837012987013</v>
      </c>
      <c r="AG30" s="77" t="n">
        <f aca="false">'Price History'!L3+('Price History'!L158-'Price History'!L3)*0.175324675324675</f>
        <v>146.736883116883</v>
      </c>
      <c r="AH30" s="77" t="n">
        <f aca="false">'Price History'!M3+('Price History'!M158-'Price History'!M3)*0.175324675324675</f>
        <v>69.9880519480519</v>
      </c>
      <c r="AI30" s="77" t="n">
        <f aca="false">'Price History'!N3+('Price History'!N158-'Price History'!N3)*0.175324675324675</f>
        <v>372.168311688312</v>
      </c>
      <c r="AJ30" s="77" t="n">
        <f aca="false">'Price History'!O3+('Price History'!O158-'Price History'!O3)*0.175324675324675</f>
        <v>90.289025974026</v>
      </c>
      <c r="AK30" s="77" t="n">
        <f aca="false">'Price History'!Q3+('Price History'!Q151-'Price History'!Q3)*0.175324675324675</f>
        <v>53.1027922077922</v>
      </c>
      <c r="AL30" s="77" t="n">
        <f aca="false">'Price History'!R3+('Price History'!R158-'Price History'!R3)*0.175324675324675</f>
        <v>49.6486363636364</v>
      </c>
      <c r="AM30" s="77" t="n">
        <f aca="false">'Price History'!S3+('Price History'!S158-'Price History'!S3)*0.175324675324675</f>
        <v>73.4934415584415</v>
      </c>
      <c r="AN30" s="77" t="n">
        <f aca="false">'Price History'!T3+('Price History'!T158-'Price History'!T3)*0.175324675324675</f>
        <v>30.9126623376623</v>
      </c>
    </row>
    <row r="31" customFormat="false" ht="15" hidden="false" customHeight="true" outlineLevel="0" collapsed="false">
      <c r="A31" s="49" t="n">
        <f aca="false">IF('Price History'!A32="","",'Price History'!A32)</f>
        <v>45352</v>
      </c>
      <c r="B31" s="76" t="n">
        <f aca="false">IFERROR(IF(OR(NOT(ISNUMBER('Price History'!B32)),NOT(ISNUMBER('Price History'!B31)),'Price History'!B31=0),"",'Price History'!B32/'Price History'!B31-1),"")</f>
        <v>0.0316023417172591</v>
      </c>
      <c r="C31" s="76" t="n">
        <f aca="false">IFERROR(IF(OR(NOT(ISNUMBER('Price History'!C32)),NOT(ISNUMBER('Price History'!C31)),'Price History'!C31=0),"",'Price History'!C32/'Price History'!C31-1),"")</f>
        <v>0.0750149432157801</v>
      </c>
      <c r="D31" s="76" t="n">
        <f aca="false">IFERROR(IF(OR(NOT(ISNUMBER('Price History'!D32)),NOT(ISNUMBER('Price History'!D31)),'Price History'!D31=0),"",'Price History'!D32/'Price History'!D31-1),"")</f>
        <v>0.0618162335922852</v>
      </c>
      <c r="E31" s="76" t="n">
        <f aca="false">IFERROR(IF(OR(NOT(ISNUMBER('Price History'!E32)),NOT(ISNUMBER('Price History'!E31)),'Price History'!E31=0),"",'Price History'!E32/'Price History'!E31-1),"")</f>
        <v>0.0792965134217833</v>
      </c>
      <c r="F31" s="76" t="n">
        <f aca="false">IFERROR(IF(OR(NOT(ISNUMBER('Price History'!F32)),NOT(ISNUMBER('Price History'!F31)),'Price History'!F31=0),"",'Price History'!F32/'Price History'!F31-1),"")</f>
        <v>0.010016694490818</v>
      </c>
      <c r="G31" s="76" t="n">
        <f aca="false">IFERROR(IF(OR(NOT(ISNUMBER('Price History'!G32)),NOT(ISNUMBER('Price History'!G31)),'Price History'!G31=0),"",'Price History'!G32/'Price History'!G31-1),"")</f>
        <v>0.0729665071770336</v>
      </c>
      <c r="H31" s="76" t="n">
        <f aca="false">IFERROR(IF(OR(NOT(ISNUMBER('Price History'!H32)),NOT(ISNUMBER('Price History'!H31)),'Price History'!H31=0),"",'Price History'!H32/'Price History'!H31-1),"")</f>
        <v>0.106395348837209</v>
      </c>
      <c r="I31" s="76" t="n">
        <f aca="false">IFERROR(IF(OR(NOT(ISNUMBER('Price History'!I32)),NOT(ISNUMBER('Price History'!I31)),'Price History'!I31=0),"",'Price History'!I32/'Price History'!I31-1),"")</f>
        <v>0.0438974879472216</v>
      </c>
      <c r="J31" s="76" t="n">
        <f aca="false">IFERROR(IF(OR(NOT(ISNUMBER('Price History'!J32)),NOT(ISNUMBER('Price History'!J31)),'Price History'!J31=0),"",'Price History'!J32/'Price History'!J31-1),"")</f>
        <v>0.0104346520531491</v>
      </c>
      <c r="K31" s="76" t="n">
        <f aca="false">IFERROR(IF(OR(NOT(ISNUMBER('Price History'!K32)),NOT(ISNUMBER('Price History'!K31)),'Price History'!K31=0),"",'Price History'!K32/'Price History'!K31-1),"")</f>
        <v>0.0853286895951242</v>
      </c>
      <c r="L31" s="76" t="n">
        <f aca="false">IFERROR(IF(OR(NOT(ISNUMBER('Price History'!L32)),NOT(ISNUMBER('Price History'!L31)),'Price History'!L31=0),"",'Price History'!L32/'Price History'!L31-1),"")</f>
        <v>0.0337373581409712</v>
      </c>
      <c r="M31" s="76" t="n">
        <f aca="false">IFERROR(IF(OR(NOT(ISNUMBER('Price History'!M32)),NOT(ISNUMBER('Price History'!M31)),'Price History'!M31=0),"",'Price History'!M32/'Price History'!M31-1),"")</f>
        <v>0.125518341307815</v>
      </c>
      <c r="N31" s="76" t="n">
        <f aca="false">IFERROR(IF(OR(NOT(ISNUMBER('Price History'!N32)),NOT(ISNUMBER('Price History'!N31)),'Price History'!N31=0),"",'Price History'!N32/'Price History'!N31-1),"")</f>
        <v>0.00616121457301611</v>
      </c>
      <c r="O31" s="76" t="n">
        <f aca="false">IFERROR(IF(OR(NOT(ISNUMBER('Price History'!O32)),NOT(ISNUMBER('Price History'!O31)),'Price History'!O31=0),"",'Price History'!O32/'Price History'!O31-1),"")</f>
        <v>0.0157524932003628</v>
      </c>
      <c r="P31" s="76" t="str">
        <f aca="false">IFERROR(IF(OR(NOT(ISNUMBER('Price History'!P32)),NOT(ISNUMBER('Price History'!P31)),'Price History'!P31=0),"",'Price History'!P32/'Price History'!P31-1),"")</f>
        <v/>
      </c>
      <c r="Q31" s="76" t="n">
        <f aca="false">IFERROR(IF(OR(NOT(ISNUMBER('Price History'!Q32)),NOT(ISNUMBER('Price History'!Q31)),'Price History'!Q31=0),"",'Price History'!Q32/'Price History'!Q31-1),"")</f>
        <v>-0.0194910665944775</v>
      </c>
      <c r="R31" s="76" t="n">
        <f aca="false">IFERROR(IF(OR(NOT(ISNUMBER('Price History'!R32)),NOT(ISNUMBER('Price History'!R31)),'Price History'!R31=0),"",'Price History'!R32/'Price History'!R31-1),"")</f>
        <v>0.00528501321253305</v>
      </c>
      <c r="S31" s="76" t="n">
        <f aca="false">IFERROR(IF(OR(NOT(ISNUMBER('Price History'!S32)),NOT(ISNUMBER('Price History'!S31)),'Price History'!S31=0),"",'Price History'!S32/'Price History'!S31-1),"")</f>
        <v>0.0280862181580668</v>
      </c>
      <c r="T31" s="76" t="n">
        <f aca="false">IFERROR(IF(OR(NOT(ISNUMBER('Price History'!T32)),NOT(ISNUMBER('Price History'!T31)),'Price History'!T31=0),"",'Price History'!T32/'Price History'!T31-1),"")</f>
        <v>0.0220338983050847</v>
      </c>
      <c r="U31" s="76" t="str">
        <f aca="false">IFERROR(IF(OR(NOT(ISNUMBER('Price History'!U32)),NOT(ISNUMBER('Price History'!U31)),'Price History'!U31=0),"",'Price History'!U32/'Price History'!U31-1),"")</f>
        <v/>
      </c>
      <c r="W31" s="77" t="n">
        <f aca="false">'Price History'!B3+('Price History'!B158-'Price History'!B3)*0.181818181818182</f>
        <v>461.533636363636</v>
      </c>
      <c r="X31" s="77" t="n">
        <f aca="false">'Price History'!C3+('Price History'!C158-'Price History'!C3)*0.181818181818182</f>
        <v>68.5781818181818</v>
      </c>
      <c r="Y31" s="77" t="n">
        <f aca="false">'Price History'!D3+('Price History'!D158-'Price History'!D3)*0.181818181818182</f>
        <v>837.638181818182</v>
      </c>
      <c r="Z31" s="77" t="n">
        <f aca="false">'Price History'!E3+('Price History'!E158-'Price History'!E3)*0.181818181818182</f>
        <v>138.670909090909</v>
      </c>
      <c r="AA31" s="77" t="n">
        <f aca="false">'Price History'!F3+('Price History'!F158-'Price History'!F3)*0.181818181818182</f>
        <v>65.0236363636364</v>
      </c>
      <c r="AB31" s="77" t="n">
        <f aca="false">'Price History'!G3+('Price History'!G158-'Price History'!G3)*0.181818181818182</f>
        <v>72.4309090909091</v>
      </c>
      <c r="AC31" s="77" t="n">
        <f aca="false">'Price History'!H3+('Price History'!H158-'Price History'!H3)*0.181818181818182</f>
        <v>202.308181818182</v>
      </c>
      <c r="AD31" s="77" t="n">
        <f aca="false">'Price History'!I3+('Price History'!I158-'Price History'!I3)*0.181818181818182</f>
        <v>69.9227272727273</v>
      </c>
      <c r="AE31" s="77" t="n">
        <f aca="false">'Price History'!J3+('Price History'!J158-'Price History'!J3)*0.181818181818182</f>
        <v>127.346363636364</v>
      </c>
      <c r="AF31" s="77" t="n">
        <f aca="false">'Price History'!K3+('Price History'!K158-'Price History'!K3)*0.181818181818182</f>
        <v>34.9827272727273</v>
      </c>
      <c r="AG31" s="77" t="n">
        <f aca="false">'Price History'!L3+('Price History'!L158-'Price History'!L3)*0.181818181818182</f>
        <v>148.764545454546</v>
      </c>
      <c r="AH31" s="77" t="n">
        <f aca="false">'Price History'!M3+('Price History'!M158-'Price History'!M3)*0.181818181818182</f>
        <v>71.3390909090909</v>
      </c>
      <c r="AI31" s="77" t="n">
        <f aca="false">'Price History'!N3+('Price History'!N158-'Price History'!N3)*0.181818181818182</f>
        <v>372.994545454546</v>
      </c>
      <c r="AJ31" s="77" t="n">
        <f aca="false">'Price History'!O3+('Price History'!O158-'Price History'!O3)*0.181818181818182</f>
        <v>90.5645454545455</v>
      </c>
      <c r="AK31" s="77" t="n">
        <f aca="false">'Price History'!Q3+('Price History'!Q151-'Price History'!Q3)*0.181818181818182</f>
        <v>53.2236363636364</v>
      </c>
      <c r="AL31" s="77" t="n">
        <f aca="false">'Price History'!R3+('Price History'!R158-'Price History'!R3)*0.181818181818182</f>
        <v>49.7163636363636</v>
      </c>
      <c r="AM31" s="77" t="n">
        <f aca="false">'Price History'!S3+('Price History'!S158-'Price History'!S3)*0.181818181818182</f>
        <v>74.0472727272727</v>
      </c>
      <c r="AN31" s="77" t="n">
        <f aca="false">'Price History'!T3+('Price History'!T158-'Price History'!T3)*0.181818181818182</f>
        <v>31.0609090909091</v>
      </c>
    </row>
    <row r="32" customFormat="false" ht="15" hidden="false" customHeight="true" outlineLevel="0" collapsed="false">
      <c r="A32" s="49" t="n">
        <f aca="false">IF('Price History'!A33="","",'Price History'!A33)</f>
        <v>45359</v>
      </c>
      <c r="B32" s="76" t="n">
        <f aca="false">IFERROR(IF(OR(NOT(ISNUMBER('Price History'!B33)),NOT(ISNUMBER('Price History'!B32)),'Price History'!B32=0),"",'Price History'!B33/'Price History'!B32-1),"")</f>
        <v>-0.0336994027288807</v>
      </c>
      <c r="C32" s="76" t="n">
        <f aca="false">IFERROR(IF(OR(NOT(ISNUMBER('Price History'!C33)),NOT(ISNUMBER('Price History'!C32)),'Price History'!C32=0),"",'Price History'!C33/'Price History'!C32-1),"")</f>
        <v>-0.0508757297748123</v>
      </c>
      <c r="D32" s="76" t="n">
        <f aca="false">IFERROR(IF(OR(NOT(ISNUMBER('Price History'!D33)),NOT(ISNUMBER('Price History'!D32)),'Price History'!D32=0),"",'Price History'!D33/'Price History'!D32-1),"")</f>
        <v>0.00342099420752007</v>
      </c>
      <c r="E32" s="76" t="n">
        <f aca="false">IFERROR(IF(OR(NOT(ISNUMBER('Price History'!E33)),NOT(ISNUMBER('Price History'!E32)),'Price History'!E32=0),"",'Price History'!E33/'Price History'!E32-1),"")</f>
        <v>-0.0646798170383075</v>
      </c>
      <c r="F32" s="76" t="n">
        <f aca="false">IFERROR(IF(OR(NOT(ISNUMBER('Price History'!F33)),NOT(ISNUMBER('Price History'!F32)),'Price History'!F32=0),"",'Price History'!F33/'Price History'!F32-1),"")</f>
        <v>0.0261919898283534</v>
      </c>
      <c r="G32" s="76" t="n">
        <f aca="false">IFERROR(IF(OR(NOT(ISNUMBER('Price History'!G33)),NOT(ISNUMBER('Price History'!G32)),'Price History'!G32=0),"",'Price History'!G33/'Price History'!G32-1),"")</f>
        <v>-0.0256410256410257</v>
      </c>
      <c r="H32" s="76" t="n">
        <f aca="false">IFERROR(IF(OR(NOT(ISNUMBER('Price History'!H33)),NOT(ISNUMBER('Price History'!H32)),'Price History'!H32=0),"",'Price History'!H33/'Price History'!H32-1),"")</f>
        <v>0.0259590120861797</v>
      </c>
      <c r="I32" s="76" t="n">
        <f aca="false">IFERROR(IF(OR(NOT(ISNUMBER('Price History'!I33)),NOT(ISNUMBER('Price History'!I32)),'Price History'!I32=0),"",'Price History'!I33/'Price History'!I32-1),"")</f>
        <v>0.0638065143412736</v>
      </c>
      <c r="J32" s="76" t="n">
        <f aca="false">IFERROR(IF(OR(NOT(ISNUMBER('Price History'!J33)),NOT(ISNUMBER('Price History'!J32)),'Price History'!J32=0),"",'Price History'!J33/'Price History'!J32-1),"")</f>
        <v>0.00349182763744427</v>
      </c>
      <c r="K32" s="76" t="n">
        <f aca="false">IFERROR(IF(OR(NOT(ISNUMBER('Price History'!K33)),NOT(ISNUMBER('Price History'!K32)),'Price History'!K32=0),"",'Price History'!K33/'Price History'!K32-1),"")</f>
        <v>0.0445246690734056</v>
      </c>
      <c r="L32" s="76" t="n">
        <f aca="false">IFERROR(IF(OR(NOT(ISNUMBER('Price History'!L33)),NOT(ISNUMBER('Price History'!L32)),'Price History'!L32=0),"",'Price History'!L33/'Price History'!L32-1),"")</f>
        <v>0.0931292008961913</v>
      </c>
      <c r="M32" s="76" t="n">
        <f aca="false">IFERROR(IF(OR(NOT(ISNUMBER('Price History'!M33)),NOT(ISNUMBER('Price History'!M32)),'Price History'!M32=0),"",'Price History'!M33/'Price History'!M32-1),"")</f>
        <v>-0.0170043928014736</v>
      </c>
      <c r="N32" s="76" t="n">
        <f aca="false">IFERROR(IF(OR(NOT(ISNUMBER('Price History'!N33)),NOT(ISNUMBER('Price History'!N32)),'Price History'!N32=0),"",'Price History'!N33/'Price History'!N32-1),"")</f>
        <v>-0.0442970699694981</v>
      </c>
      <c r="O32" s="76" t="n">
        <f aca="false">IFERROR(IF(OR(NOT(ISNUMBER('Price History'!O33)),NOT(ISNUMBER('Price History'!O32)),'Price History'!O32=0),"",'Price History'!O33/'Price History'!O32-1),"")</f>
        <v>0.00111569786901722</v>
      </c>
      <c r="P32" s="76" t="str">
        <f aca="false">IFERROR(IF(OR(NOT(ISNUMBER('Price History'!P33)),NOT(ISNUMBER('Price History'!P32)),'Price History'!P32=0),"",'Price History'!P33/'Price History'!P32-1),"")</f>
        <v/>
      </c>
      <c r="Q32" s="76" t="n">
        <f aca="false">IFERROR(IF(OR(NOT(ISNUMBER('Price History'!Q33)),NOT(ISNUMBER('Price History'!Q32)),'Price History'!Q32=0),"",'Price History'!Q33/'Price History'!Q32-1),"")</f>
        <v>0.0206147616418186</v>
      </c>
      <c r="R32" s="76" t="n">
        <f aca="false">IFERROR(IF(OR(NOT(ISNUMBER('Price History'!R33)),NOT(ISNUMBER('Price History'!R32)),'Price History'!R32=0),"",'Price History'!R33/'Price History'!R32-1),"")</f>
        <v>-0.00131430717236203</v>
      </c>
      <c r="S32" s="76" t="n">
        <f aca="false">IFERROR(IF(OR(NOT(ISNUMBER('Price History'!S33)),NOT(ISNUMBER('Price History'!S32)),'Price History'!S32=0),"",'Price History'!S33/'Price History'!S32-1),"")</f>
        <v>0.00381194409148655</v>
      </c>
      <c r="T32" s="76" t="n">
        <f aca="false">IFERROR(IF(OR(NOT(ISNUMBER('Price History'!T33)),NOT(ISNUMBER('Price History'!T32)),'Price History'!T32=0),"",'Price History'!T33/'Price History'!T32-1),"")</f>
        <v>0.0195688225538972</v>
      </c>
      <c r="U32" s="76" t="str">
        <f aca="false">IFERROR(IF(OR(NOT(ISNUMBER('Price History'!U33)),NOT(ISNUMBER('Price History'!U32)),'Price History'!U32=0),"",'Price History'!U33/'Price History'!U32-1),"")</f>
        <v/>
      </c>
      <c r="W32" s="77" t="n">
        <f aca="false">'Price History'!B3+('Price History'!B158-'Price History'!B3)*0.188311688311688</f>
        <v>459.858051948052</v>
      </c>
      <c r="X32" s="77" t="n">
        <f aca="false">'Price History'!C3+('Price History'!C158-'Price History'!C3)*0.188311688311688</f>
        <v>69.4652597402597</v>
      </c>
      <c r="Y32" s="77" t="n">
        <f aca="false">'Price History'!D3+('Price History'!D158-'Price History'!D3)*0.188311688311688</f>
        <v>843.918831168831</v>
      </c>
      <c r="Z32" s="77" t="n">
        <f aca="false">'Price History'!E3+('Price History'!E158-'Price History'!E3)*0.188311688311688</f>
        <v>140.65987012987</v>
      </c>
      <c r="AA32" s="77" t="n">
        <f aca="false">'Price History'!F3+('Price History'!F158-'Price History'!F3)*0.188311688311688</f>
        <v>66.0223376623376</v>
      </c>
      <c r="AB32" s="77" t="n">
        <f aca="false">'Price History'!G3+('Price History'!G158-'Price History'!G3)*0.188311688311688</f>
        <v>73.3070129870129</v>
      </c>
      <c r="AC32" s="77" t="n">
        <f aca="false">'Price History'!H3+('Price History'!H158-'Price History'!H3)*0.188311688311688</f>
        <v>207.234545454545</v>
      </c>
      <c r="AD32" s="77" t="n">
        <f aca="false">'Price History'!I3+('Price History'!I158-'Price History'!I3)*0.188311688311688</f>
        <v>70.9610389610389</v>
      </c>
      <c r="AE32" s="77" t="n">
        <f aca="false">'Price History'!J3+('Price History'!J158-'Price History'!J3)*0.188311688311688</f>
        <v>127.483376623377</v>
      </c>
      <c r="AF32" s="77" t="n">
        <f aca="false">'Price History'!K3+('Price History'!K158-'Price History'!K3)*0.188311688311688</f>
        <v>35.6817532467532</v>
      </c>
      <c r="AG32" s="77" t="n">
        <f aca="false">'Price History'!L3+('Price History'!L158-'Price History'!L3)*0.188311688311688</f>
        <v>150.792207792208</v>
      </c>
      <c r="AH32" s="77" t="n">
        <f aca="false">'Price History'!M3+('Price History'!M158-'Price History'!M3)*0.188311688311688</f>
        <v>72.6901298701298</v>
      </c>
      <c r="AI32" s="77" t="n">
        <f aca="false">'Price History'!N3+('Price History'!N158-'Price History'!N3)*0.188311688311688</f>
        <v>373.820779220779</v>
      </c>
      <c r="AJ32" s="77" t="n">
        <f aca="false">'Price History'!O3+('Price History'!O158-'Price History'!O3)*0.188311688311688</f>
        <v>90.8400649350649</v>
      </c>
      <c r="AK32" s="77" t="n">
        <f aca="false">'Price History'!Q3+('Price History'!Q151-'Price History'!Q3)*0.188311688311688</f>
        <v>53.3444805194805</v>
      </c>
      <c r="AL32" s="77" t="n">
        <f aca="false">'Price History'!R3+('Price History'!R158-'Price History'!R3)*0.188311688311688</f>
        <v>49.7840909090909</v>
      </c>
      <c r="AM32" s="77" t="n">
        <f aca="false">'Price History'!S3+('Price History'!S158-'Price History'!S3)*0.188311688311688</f>
        <v>74.6011038961039</v>
      </c>
      <c r="AN32" s="77" t="n">
        <f aca="false">'Price History'!T3+('Price History'!T158-'Price History'!T3)*0.188311688311688</f>
        <v>31.2091558441558</v>
      </c>
    </row>
    <row r="33" customFormat="false" ht="15" hidden="false" customHeight="true" outlineLevel="0" collapsed="false">
      <c r="A33" s="49" t="n">
        <f aca="false">IF('Price History'!A34="","",'Price History'!A34)</f>
        <v>45366</v>
      </c>
      <c r="B33" s="76" t="n">
        <f aca="false">IFERROR(IF(OR(NOT(ISNUMBER('Price History'!B34)),NOT(ISNUMBER('Price History'!B33)),'Price History'!B33=0),"",'Price History'!B34/'Price History'!B33-1),"")</f>
        <v>-0.107361017962987</v>
      </c>
      <c r="C33" s="76" t="n">
        <f aca="false">IFERROR(IF(OR(NOT(ISNUMBER('Price History'!C34)),NOT(ISNUMBER('Price History'!C33)),'Price History'!C33=0),"",'Price History'!C34/'Price History'!C33-1),"")</f>
        <v>0.0168424135910956</v>
      </c>
      <c r="D33" s="76" t="n">
        <f aca="false">IFERROR(IF(OR(NOT(ISNUMBER('Price History'!D34)),NOT(ISNUMBER('Price History'!D33)),'Price History'!D33=0),"",'Price History'!D34/'Price History'!D33-1),"")</f>
        <v>-0.0544286102199471</v>
      </c>
      <c r="E33" s="76" t="n">
        <f aca="false">IFERROR(IF(OR(NOT(ISNUMBER('Price History'!E34)),NOT(ISNUMBER('Price History'!E33)),'Price History'!E33=0),"",'Price History'!E34/'Price History'!E33-1),"")</f>
        <v>-0.0559333689921296</v>
      </c>
      <c r="F33" s="76" t="n">
        <f aca="false">IFERROR(IF(OR(NOT(ISNUMBER('Price History'!F34)),NOT(ISNUMBER('Price History'!F33)),'Price History'!F33=0),"",'Price History'!F34/'Price History'!F33-1),"")</f>
        <v>-0.0223020691364143</v>
      </c>
      <c r="G33" s="76" t="n">
        <f aca="false">IFERROR(IF(OR(NOT(ISNUMBER('Price History'!G34)),NOT(ISNUMBER('Price History'!G33)),'Price History'!G33=0),"",'Price History'!G34/'Price History'!G33-1),"")</f>
        <v>-0.0218821510297483</v>
      </c>
      <c r="H33" s="76" t="n">
        <f aca="false">IFERROR(IF(OR(NOT(ISNUMBER('Price History'!H34)),NOT(ISNUMBER('Price History'!H33)),'Price History'!H33=0),"",'Price History'!H34/'Price History'!H33-1),"")</f>
        <v>-0.0447654169227618</v>
      </c>
      <c r="I33" s="76" t="n">
        <f aca="false">IFERROR(IF(OR(NOT(ISNUMBER('Price History'!I34)),NOT(ISNUMBER('Price History'!I33)),'Price History'!I33=0),"",'Price History'!I34/'Price History'!I33-1),"")</f>
        <v>0.00354164286530345</v>
      </c>
      <c r="J33" s="76" t="n">
        <f aca="false">IFERROR(IF(OR(NOT(ISNUMBER('Price History'!J34)),NOT(ISNUMBER('Price History'!J33)),'Price History'!J33=0),"",'Price History'!J34/'Price History'!J33-1),"")</f>
        <v>-0.0447915895461611</v>
      </c>
      <c r="K33" s="76" t="n">
        <f aca="false">IFERROR(IF(OR(NOT(ISNUMBER('Price History'!K34)),NOT(ISNUMBER('Price History'!K33)),'Price History'!K33=0),"",'Price History'!K34/'Price History'!K33-1),"")</f>
        <v>-0.097926267281106</v>
      </c>
      <c r="L33" s="76" t="n">
        <f aca="false">IFERROR(IF(OR(NOT(ISNUMBER('Price History'!L34)),NOT(ISNUMBER('Price History'!L33)),'Price History'!L33=0),"",'Price History'!L34/'Price History'!L33-1),"")</f>
        <v>-0.0641524902643985</v>
      </c>
      <c r="M33" s="76" t="n">
        <f aca="false">IFERROR(IF(OR(NOT(ISNUMBER('Price History'!M34)),NOT(ISNUMBER('Price History'!M33)),'Price History'!M33=0),"",'Price History'!M34/'Price History'!M33-1),"")</f>
        <v>0.06905002162318</v>
      </c>
      <c r="N33" s="76" t="n">
        <f aca="false">IFERROR(IF(OR(NOT(ISNUMBER('Price History'!N34)),NOT(ISNUMBER('Price History'!N33)),'Price History'!N33=0),"",'Price History'!N34/'Price History'!N33-1),"")</f>
        <v>-0.014265335235378</v>
      </c>
      <c r="O33" s="76" t="n">
        <f aca="false">IFERROR(IF(OR(NOT(ISNUMBER('Price History'!O34)),NOT(ISNUMBER('Price History'!O33)),'Price History'!O33=0),"",'Price History'!O34/'Price History'!O33-1),"")</f>
        <v>-0.00846985400646394</v>
      </c>
      <c r="P33" s="76" t="str">
        <f aca="false">IFERROR(IF(OR(NOT(ISNUMBER('Price History'!P34)),NOT(ISNUMBER('Price History'!P33)),'Price History'!P33=0),"",'Price History'!P34/'Price History'!P33-1),"")</f>
        <v/>
      </c>
      <c r="Q33" s="76" t="n">
        <f aca="false">IFERROR(IF(OR(NOT(ISNUMBER('Price History'!Q34)),NOT(ISNUMBER('Price History'!Q33)),'Price History'!Q33=0),"",'Price History'!Q34/'Price History'!Q33-1),"")</f>
        <v>0.00414788097385022</v>
      </c>
      <c r="R33" s="76" t="n">
        <f aca="false">IFERROR(IF(OR(NOT(ISNUMBER('Price History'!R34)),NOT(ISNUMBER('Price History'!R33)),'Price History'!R33=0),"",'Price History'!R34/'Price History'!R33-1),"")</f>
        <v>-0.00526414739612713</v>
      </c>
      <c r="S33" s="76" t="n">
        <f aca="false">IFERROR(IF(OR(NOT(ISNUMBER('Price History'!S34)),NOT(ISNUMBER('Price History'!S33)),'Price History'!S33=0),"",'Price History'!S34/'Price History'!S33-1),"")</f>
        <v>-0.00518987341772148</v>
      </c>
      <c r="T33" s="76" t="n">
        <f aca="false">IFERROR(IF(OR(NOT(ISNUMBER('Price History'!T34)),NOT(ISNUMBER('Price History'!T33)),'Price History'!T33=0),"",'Price History'!T34/'Price History'!T33-1),"")</f>
        <v>0.0136629798308394</v>
      </c>
      <c r="U33" s="76" t="str">
        <f aca="false">IFERROR(IF(OR(NOT(ISNUMBER('Price History'!U34)),NOT(ISNUMBER('Price History'!U33)),'Price History'!U33=0),"",'Price History'!U34/'Price History'!U33-1),"")</f>
        <v/>
      </c>
      <c r="W33" s="77" t="n">
        <f aca="false">'Price History'!B3+('Price History'!B158-'Price History'!B3)*0.194805194805195</f>
        <v>458.182467532467</v>
      </c>
      <c r="X33" s="77" t="n">
        <f aca="false">'Price History'!C3+('Price History'!C158-'Price History'!C3)*0.194805194805195</f>
        <v>70.3523376623377</v>
      </c>
      <c r="Y33" s="77" t="n">
        <f aca="false">'Price History'!D3+('Price History'!D158-'Price History'!D3)*0.194805194805195</f>
        <v>850.199480519481</v>
      </c>
      <c r="Z33" s="77" t="n">
        <f aca="false">'Price History'!E3+('Price History'!E158-'Price History'!E3)*0.194805194805195</f>
        <v>142.648831168831</v>
      </c>
      <c r="AA33" s="77" t="n">
        <f aca="false">'Price History'!F3+('Price History'!F158-'Price History'!F3)*0.194805194805195</f>
        <v>67.021038961039</v>
      </c>
      <c r="AB33" s="77" t="n">
        <f aca="false">'Price History'!G3+('Price History'!G158-'Price History'!G3)*0.194805194805195</f>
        <v>74.1831168831169</v>
      </c>
      <c r="AC33" s="77" t="n">
        <f aca="false">'Price History'!H3+('Price History'!H158-'Price History'!H3)*0.194805194805195</f>
        <v>212.160909090909</v>
      </c>
      <c r="AD33" s="77" t="n">
        <f aca="false">'Price History'!I3+('Price History'!I158-'Price History'!I3)*0.194805194805195</f>
        <v>71.9993506493507</v>
      </c>
      <c r="AE33" s="77" t="n">
        <f aca="false">'Price History'!J3+('Price History'!J158-'Price History'!J3)*0.194805194805195</f>
        <v>127.62038961039</v>
      </c>
      <c r="AF33" s="77" t="n">
        <f aca="false">'Price History'!K3+('Price History'!K158-'Price History'!K3)*0.194805194805195</f>
        <v>36.3807792207792</v>
      </c>
      <c r="AG33" s="77" t="n">
        <f aca="false">'Price History'!L3+('Price History'!L158-'Price History'!L3)*0.194805194805195</f>
        <v>152.81987012987</v>
      </c>
      <c r="AH33" s="77" t="n">
        <f aca="false">'Price History'!M3+('Price History'!M158-'Price History'!M3)*0.194805194805195</f>
        <v>74.0411688311689</v>
      </c>
      <c r="AI33" s="77" t="n">
        <f aca="false">'Price History'!N3+('Price History'!N158-'Price History'!N3)*0.194805194805195</f>
        <v>374.647012987013</v>
      </c>
      <c r="AJ33" s="77" t="n">
        <f aca="false">'Price History'!O3+('Price History'!O158-'Price History'!O3)*0.194805194805195</f>
        <v>91.1155844155844</v>
      </c>
      <c r="AK33" s="77" t="n">
        <f aca="false">'Price History'!Q3+('Price History'!Q151-'Price History'!Q3)*0.194805194805195</f>
        <v>53.4653246753247</v>
      </c>
      <c r="AL33" s="77" t="n">
        <f aca="false">'Price History'!R3+('Price History'!R158-'Price History'!R3)*0.194805194805195</f>
        <v>49.8518181818182</v>
      </c>
      <c r="AM33" s="77" t="n">
        <f aca="false">'Price History'!S3+('Price History'!S158-'Price History'!S3)*0.194805194805195</f>
        <v>75.1549350649351</v>
      </c>
      <c r="AN33" s="77" t="n">
        <f aca="false">'Price History'!T3+('Price History'!T158-'Price History'!T3)*0.194805194805195</f>
        <v>31.3574025974026</v>
      </c>
    </row>
    <row r="34" customFormat="false" ht="15" hidden="false" customHeight="true" outlineLevel="0" collapsed="false">
      <c r="A34" s="49" t="n">
        <f aca="false">IF('Price History'!A35="","",'Price History'!A35)</f>
        <v>45373</v>
      </c>
      <c r="B34" s="76" t="n">
        <f aca="false">IFERROR(IF(OR(NOT(ISNUMBER('Price History'!B35)),NOT(ISNUMBER('Price History'!B34)),'Price History'!B34=0),"",'Price History'!B35/'Price History'!B34-1),"")</f>
        <v>0.0143361897412988</v>
      </c>
      <c r="C34" s="76" t="n">
        <f aca="false">IFERROR(IF(OR(NOT(ISNUMBER('Price History'!C35)),NOT(ISNUMBER('Price History'!C34)),'Price History'!C34=0),"",'Price History'!C35/'Price History'!C34-1),"")</f>
        <v>0.103413510010082</v>
      </c>
      <c r="D34" s="76" t="n">
        <f aca="false">IFERROR(IF(OR(NOT(ISNUMBER('Price History'!D35)),NOT(ISNUMBER('Price History'!D34)),'Price History'!D34=0),"",'Price History'!D35/'Price History'!D34-1),"")</f>
        <v>0.042277789004584</v>
      </c>
      <c r="E34" s="76" t="n">
        <f aca="false">IFERROR(IF(OR(NOT(ISNUMBER('Price History'!E35)),NOT(ISNUMBER('Price History'!E34)),'Price History'!E34=0),"",'Price History'!E35/'Price History'!E34-1),"")</f>
        <v>0.0955078915418859</v>
      </c>
      <c r="F34" s="76" t="n">
        <f aca="false">IFERROR(IF(OR(NOT(ISNUMBER('Price History'!F35)),NOT(ISNUMBER('Price History'!F34)),'Price History'!F34=0),"",'Price History'!F35/'Price History'!F34-1),"")</f>
        <v>0.0378912685337727</v>
      </c>
      <c r="G34" s="76" t="n">
        <f aca="false">IFERROR(IF(OR(NOT(ISNUMBER('Price History'!G35)),NOT(ISNUMBER('Price History'!G34)),'Price History'!G34=0),"",'Price History'!G35/'Price History'!G34-1),"")</f>
        <v>0.0390407954379295</v>
      </c>
      <c r="H34" s="76" t="n">
        <f aca="false">IFERROR(IF(OR(NOT(ISNUMBER('Price History'!H35)),NOT(ISNUMBER('Price History'!H34)),'Price History'!H34=0),"",'Price History'!H35/'Price History'!H34-1),"")</f>
        <v>0.181876675603217</v>
      </c>
      <c r="I34" s="76" t="n">
        <f aca="false">IFERROR(IF(OR(NOT(ISNUMBER('Price History'!I35)),NOT(ISNUMBER('Price History'!I34)),'Price History'!I34=0),"",'Price History'!I35/'Price History'!I34-1),"")</f>
        <v>0.0734289617486339</v>
      </c>
      <c r="J34" s="76" t="n">
        <f aca="false">IFERROR(IF(OR(NOT(ISNUMBER('Price History'!J35)),NOT(ISNUMBER('Price History'!J34)),'Price History'!J34=0),"",'Price History'!J35/'Price History'!J34-1),"")</f>
        <v>-0.00310029452798022</v>
      </c>
      <c r="K34" s="76" t="n">
        <f aca="false">IFERROR(IF(OR(NOT(ISNUMBER('Price History'!K35)),NOT(ISNUMBER('Price History'!K34)),'Price History'!K34=0),"",'Price History'!K35/'Price History'!K34-1),"")</f>
        <v>0.029374201787995</v>
      </c>
      <c r="L34" s="76" t="n">
        <f aca="false">IFERROR(IF(OR(NOT(ISNUMBER('Price History'!L35)),NOT(ISNUMBER('Price History'!L34)),'Price History'!L34=0),"",'Price History'!L35/'Price History'!L34-1),"")</f>
        <v>0.0259891955029932</v>
      </c>
      <c r="M34" s="76" t="n">
        <f aca="false">IFERROR(IF(OR(NOT(ISNUMBER('Price History'!M35)),NOT(ISNUMBER('Price History'!M34)),'Price History'!M34=0),"",'Price History'!M35/'Price History'!M34-1),"")</f>
        <v>0.112459546925566</v>
      </c>
      <c r="N34" s="76" t="n">
        <f aca="false">IFERROR(IF(OR(NOT(ISNUMBER('Price History'!N35)),NOT(ISNUMBER('Price History'!N34)),'Price History'!N34=0),"",'Price History'!N35/'Price History'!N34-1),"")</f>
        <v>0.0195491672594375</v>
      </c>
      <c r="O34" s="76" t="n">
        <f aca="false">IFERROR(IF(OR(NOT(ISNUMBER('Price History'!O35)),NOT(ISNUMBER('Price History'!O34)),'Price History'!O34=0),"",'Price History'!O35/'Price History'!O34-1),"")</f>
        <v>0.0239406541530853</v>
      </c>
      <c r="P34" s="76" t="str">
        <f aca="false">IFERROR(IF(OR(NOT(ISNUMBER('Price History'!P35)),NOT(ISNUMBER('Price History'!P34)),'Price History'!P34=0),"",'Price History'!P35/'Price History'!P34-1),"")</f>
        <v/>
      </c>
      <c r="Q34" s="76" t="n">
        <f aca="false">IFERROR(IF(OR(NOT(ISNUMBER('Price History'!Q35)),NOT(ISNUMBER('Price History'!Q34)),'Price History'!Q34=0),"",'Price History'!Q35/'Price History'!Q34-1),"")</f>
        <v>0.0154454022988506</v>
      </c>
      <c r="R34" s="76" t="n">
        <f aca="false">IFERROR(IF(OR(NOT(ISNUMBER('Price History'!R35)),NOT(ISNUMBER('Price History'!R34)),'Price History'!R34=0),"",'Price History'!R35/'Price History'!R34-1),"")</f>
        <v>0.0255150255150256</v>
      </c>
      <c r="S34" s="76" t="n">
        <f aca="false">IFERROR(IF(OR(NOT(ISNUMBER('Price History'!S35)),NOT(ISNUMBER('Price History'!S34)),'Price History'!S34=0),"",'Price History'!S35/'Price History'!S34-1),"")</f>
        <v>0.028502353989057</v>
      </c>
      <c r="T34" s="76" t="n">
        <f aca="false">IFERROR(IF(OR(NOT(ISNUMBER('Price History'!T35)),NOT(ISNUMBER('Price History'!T34)),'Price History'!T34=0),"",'Price History'!T35/'Price History'!T34-1),"")</f>
        <v>0.0240693196405648</v>
      </c>
      <c r="U34" s="76" t="str">
        <f aca="false">IFERROR(IF(OR(NOT(ISNUMBER('Price History'!U35)),NOT(ISNUMBER('Price History'!U34)),'Price History'!U34=0),"",'Price History'!U35/'Price History'!U34-1),"")</f>
        <v/>
      </c>
      <c r="W34" s="77" t="n">
        <f aca="false">'Price History'!B3+('Price History'!B158-'Price History'!B3)*0.201298701298701</f>
        <v>456.506883116883</v>
      </c>
      <c r="X34" s="77" t="n">
        <f aca="false">'Price History'!C3+('Price History'!C158-'Price History'!C3)*0.201298701298701</f>
        <v>71.2394155844155</v>
      </c>
      <c r="Y34" s="77" t="n">
        <f aca="false">'Price History'!D3+('Price History'!D158-'Price History'!D3)*0.201298701298701</f>
        <v>856.48012987013</v>
      </c>
      <c r="Z34" s="77" t="n">
        <f aca="false">'Price History'!E3+('Price History'!E158-'Price History'!E3)*0.201298701298701</f>
        <v>144.637792207792</v>
      </c>
      <c r="AA34" s="77" t="n">
        <f aca="false">'Price History'!F3+('Price History'!F158-'Price History'!F3)*0.201298701298701</f>
        <v>68.0197402597402</v>
      </c>
      <c r="AB34" s="77" t="n">
        <f aca="false">'Price History'!G3+('Price History'!G158-'Price History'!G3)*0.201298701298701</f>
        <v>75.0592207792207</v>
      </c>
      <c r="AC34" s="77" t="n">
        <f aca="false">'Price History'!H3+('Price History'!H158-'Price History'!H3)*0.201298701298701</f>
        <v>217.087272727273</v>
      </c>
      <c r="AD34" s="77" t="n">
        <f aca="false">'Price History'!I3+('Price History'!I158-'Price History'!I3)*0.201298701298701</f>
        <v>73.0376623376623</v>
      </c>
      <c r="AE34" s="77" t="n">
        <f aca="false">'Price History'!J3+('Price History'!J158-'Price History'!J3)*0.201298701298701</f>
        <v>127.757402597403</v>
      </c>
      <c r="AF34" s="77" t="n">
        <f aca="false">'Price History'!K3+('Price History'!K158-'Price History'!K3)*0.201298701298701</f>
        <v>37.0798051948052</v>
      </c>
      <c r="AG34" s="77" t="n">
        <f aca="false">'Price History'!L3+('Price History'!L158-'Price History'!L3)*0.201298701298701</f>
        <v>154.847532467532</v>
      </c>
      <c r="AH34" s="77" t="n">
        <f aca="false">'Price History'!M3+('Price History'!M158-'Price History'!M3)*0.201298701298701</f>
        <v>75.3922077922077</v>
      </c>
      <c r="AI34" s="77" t="n">
        <f aca="false">'Price History'!N3+('Price History'!N158-'Price History'!N3)*0.201298701298701</f>
        <v>375.473246753247</v>
      </c>
      <c r="AJ34" s="77" t="n">
        <f aca="false">'Price History'!O3+('Price History'!O158-'Price History'!O3)*0.201298701298701</f>
        <v>91.3911038961039</v>
      </c>
      <c r="AK34" s="77" t="n">
        <f aca="false">'Price History'!Q3+('Price History'!Q151-'Price History'!Q3)*0.201298701298701</f>
        <v>53.5861688311688</v>
      </c>
      <c r="AL34" s="77" t="n">
        <f aca="false">'Price History'!R3+('Price History'!R158-'Price History'!R3)*0.201298701298701</f>
        <v>49.9195454545455</v>
      </c>
      <c r="AM34" s="77" t="n">
        <f aca="false">'Price History'!S3+('Price History'!S158-'Price History'!S3)*0.201298701298701</f>
        <v>75.7087662337662</v>
      </c>
      <c r="AN34" s="77" t="n">
        <f aca="false">'Price History'!T3+('Price History'!T158-'Price History'!T3)*0.201298701298701</f>
        <v>31.5056493506493</v>
      </c>
    </row>
    <row r="35" customFormat="false" ht="15" hidden="false" customHeight="true" outlineLevel="0" collapsed="false">
      <c r="A35" s="49" t="n">
        <f aca="false">IF('Price History'!A36="","",'Price History'!A36)</f>
        <v>45379</v>
      </c>
      <c r="B35" s="76" t="n">
        <f aca="false">IFERROR(IF(OR(NOT(ISNUMBER('Price History'!B36)),NOT(ISNUMBER('Price History'!B35)),'Price History'!B35=0),"",'Price History'!B36/'Price History'!B35-1),"")</f>
        <v>0.0101697629724535</v>
      </c>
      <c r="C35" s="76" t="n">
        <f aca="false">IFERROR(IF(OR(NOT(ISNUMBER('Price History'!C36)),NOT(ISNUMBER('Price History'!C35)),'Price History'!C35=0),"",'Price History'!C36/'Price History'!C35-1),"")</f>
        <v>-0.0536483487795327</v>
      </c>
      <c r="D35" s="76" t="n">
        <f aca="false">IFERROR(IF(OR(NOT(ISNUMBER('Price History'!D36)),NOT(ISNUMBER('Price History'!D35)),'Price History'!D35=0),"",'Price History'!D36/'Price History'!D35-1),"")</f>
        <v>-0.0096840687374995</v>
      </c>
      <c r="E35" s="76" t="n">
        <f aca="false">IFERROR(IF(OR(NOT(ISNUMBER('Price History'!E36)),NOT(ISNUMBER('Price History'!E35)),'Price History'!E35=0),"",'Price History'!E36/'Price History'!E35-1),"")</f>
        <v>-0.0207609900258589</v>
      </c>
      <c r="F35" s="76" t="n">
        <f aca="false">IFERROR(IF(OR(NOT(ISNUMBER('Price History'!F36)),NOT(ISNUMBER('Price History'!F35)),'Price History'!F35=0),"",'Price History'!F36/'Price History'!F35-1),"")</f>
        <v>-0.0213675213675214</v>
      </c>
      <c r="G35" s="76" t="n">
        <f aca="false">IFERROR(IF(OR(NOT(ISNUMBER('Price History'!G36)),NOT(ISNUMBER('Price History'!G35)),'Price History'!G35=0),"",'Price History'!G36/'Price History'!G35-1),"")</f>
        <v>-0.0168871376301717</v>
      </c>
      <c r="H35" s="76" t="n">
        <f aca="false">IFERROR(IF(OR(NOT(ISNUMBER('Price History'!H36)),NOT(ISNUMBER('Price History'!H35)),'Price History'!H35=0),"",'Price History'!H36/'Price History'!H35-1),"")</f>
        <v>0.0696851465384267</v>
      </c>
      <c r="I35" s="76" t="n">
        <f aca="false">IFERROR(IF(OR(NOT(ISNUMBER('Price History'!I36)),NOT(ISNUMBER('Price History'!I35)),'Price History'!I35=0),"",'Price History'!I36/'Price History'!I35-1),"")</f>
        <v>-0.0416799236398346</v>
      </c>
      <c r="J35" s="76" t="n">
        <f aca="false">IFERROR(IF(OR(NOT(ISNUMBER('Price History'!J36)),NOT(ISNUMBER('Price History'!J35)),'Price History'!J35=0),"",'Price History'!J36/'Price History'!J35-1),"")</f>
        <v>0.0124397449852278</v>
      </c>
      <c r="K35" s="76" t="n">
        <f aca="false">IFERROR(IF(OR(NOT(ISNUMBER('Price History'!K36)),NOT(ISNUMBER('Price History'!K35)),'Price History'!K35=0),"",'Price History'!K36/'Price History'!K35-1),"")</f>
        <v>-0.0483870967741935</v>
      </c>
      <c r="L35" s="76" t="n">
        <f aca="false">IFERROR(IF(OR(NOT(ISNUMBER('Price History'!L36)),NOT(ISNUMBER('Price History'!L35)),'Price History'!L35=0),"",'Price History'!L36/'Price History'!L35-1),"")</f>
        <v>-0.0319481998007684</v>
      </c>
      <c r="M35" s="76" t="n">
        <f aca="false">IFERROR(IF(OR(NOT(ISNUMBER('Price History'!M36)),NOT(ISNUMBER('Price History'!M35)),'Price History'!M35=0),"",'Price History'!M36/'Price History'!M35-1),"")</f>
        <v>-0.010060606060606</v>
      </c>
      <c r="N35" s="76" t="n">
        <f aca="false">IFERROR(IF(OR(NOT(ISNUMBER('Price History'!N36)),NOT(ISNUMBER('Price History'!N35)),'Price History'!N35=0),"",'Price History'!N36/'Price History'!N35-1),"")</f>
        <v>0.00565365924072547</v>
      </c>
      <c r="O35" s="76" t="n">
        <f aca="false">IFERROR(IF(OR(NOT(ISNUMBER('Price History'!O36)),NOT(ISNUMBER('Price History'!O35)),'Price History'!O35=0),"",'Price History'!O36/'Price History'!O35-1),"")</f>
        <v>0.0286498353457738</v>
      </c>
      <c r="P35" s="76" t="str">
        <f aca="false">IFERROR(IF(OR(NOT(ISNUMBER('Price History'!P36)),NOT(ISNUMBER('Price History'!P35)),'Price History'!P35=0),"",'Price History'!P36/'Price History'!P35-1),"")</f>
        <v/>
      </c>
      <c r="Q35" s="76" t="n">
        <f aca="false">IFERROR(IF(OR(NOT(ISNUMBER('Price History'!Q36)),NOT(ISNUMBER('Price History'!Q35)),'Price History'!Q35=0),"",'Price History'!Q36/'Price History'!Q35-1),"")</f>
        <v>0.0107888220728687</v>
      </c>
      <c r="R35" s="76" t="n">
        <f aca="false">IFERROR(IF(OR(NOT(ISNUMBER('Price History'!R36)),NOT(ISNUMBER('Price History'!R35)),'Price History'!R35=0),"",'Price History'!R36/'Price History'!R35-1),"")</f>
        <v>-0.000368595650571235</v>
      </c>
      <c r="S35" s="76" t="n">
        <f aca="false">IFERROR(IF(OR(NOT(ISNUMBER('Price History'!S36)),NOT(ISNUMBER('Price History'!S35)),'Price History'!S35=0),"",'Price History'!S36/'Price History'!S35-1),"")</f>
        <v>-0.00754670295682292</v>
      </c>
      <c r="T35" s="76" t="n">
        <f aca="false">IFERROR(IF(OR(NOT(ISNUMBER('Price History'!T36)),NOT(ISNUMBER('Price History'!T35)),'Price History'!T35=0),"",'Price History'!T36/'Price History'!T35-1),"")</f>
        <v>0.0156690692572861</v>
      </c>
      <c r="U35" s="76" t="str">
        <f aca="false">IFERROR(IF(OR(NOT(ISNUMBER('Price History'!U36)),NOT(ISNUMBER('Price History'!U35)),'Price History'!U35=0),"",'Price History'!U36/'Price History'!U35-1),"")</f>
        <v/>
      </c>
      <c r="W35" s="77" t="n">
        <f aca="false">'Price History'!B3+('Price History'!B158-'Price History'!B3)*0.207792207792208</f>
        <v>454.831298701299</v>
      </c>
      <c r="X35" s="77" t="n">
        <f aca="false">'Price History'!C3+('Price History'!C158-'Price History'!C3)*0.207792207792208</f>
        <v>72.1264935064935</v>
      </c>
      <c r="Y35" s="77" t="n">
        <f aca="false">'Price History'!D3+('Price History'!D158-'Price History'!D3)*0.207792207792208</f>
        <v>862.760779220779</v>
      </c>
      <c r="Z35" s="77" t="n">
        <f aca="false">'Price History'!E3+('Price History'!E158-'Price History'!E3)*0.207792207792208</f>
        <v>146.626753246753</v>
      </c>
      <c r="AA35" s="77" t="n">
        <f aca="false">'Price History'!F3+('Price History'!F158-'Price History'!F3)*0.207792207792208</f>
        <v>69.0184415584416</v>
      </c>
      <c r="AB35" s="77" t="n">
        <f aca="false">'Price History'!G3+('Price History'!G158-'Price History'!G3)*0.207792207792208</f>
        <v>75.9353246753247</v>
      </c>
      <c r="AC35" s="77" t="n">
        <f aca="false">'Price History'!H3+('Price History'!H158-'Price History'!H3)*0.207792207792208</f>
        <v>222.013636363637</v>
      </c>
      <c r="AD35" s="77" t="n">
        <f aca="false">'Price History'!I3+('Price History'!I158-'Price History'!I3)*0.207792207792208</f>
        <v>74.0759740259741</v>
      </c>
      <c r="AE35" s="77" t="n">
        <f aca="false">'Price History'!J3+('Price History'!J158-'Price History'!J3)*0.207792207792208</f>
        <v>127.894415584416</v>
      </c>
      <c r="AF35" s="77" t="n">
        <f aca="false">'Price History'!K3+('Price History'!K158-'Price History'!K3)*0.207792207792208</f>
        <v>37.7788311688312</v>
      </c>
      <c r="AG35" s="77" t="n">
        <f aca="false">'Price History'!L3+('Price History'!L158-'Price History'!L3)*0.207792207792208</f>
        <v>156.875194805195</v>
      </c>
      <c r="AH35" s="77" t="n">
        <f aca="false">'Price History'!M3+('Price History'!M158-'Price History'!M3)*0.207792207792208</f>
        <v>76.7432467532468</v>
      </c>
      <c r="AI35" s="77" t="n">
        <f aca="false">'Price History'!N3+('Price History'!N158-'Price History'!N3)*0.207792207792208</f>
        <v>376.299480519481</v>
      </c>
      <c r="AJ35" s="77" t="n">
        <f aca="false">'Price History'!O3+('Price History'!O158-'Price History'!O3)*0.207792207792208</f>
        <v>91.6666233766234</v>
      </c>
      <c r="AK35" s="77" t="n">
        <f aca="false">'Price History'!Q3+('Price History'!Q151-'Price History'!Q3)*0.207792207792208</f>
        <v>53.707012987013</v>
      </c>
      <c r="AL35" s="77" t="n">
        <f aca="false">'Price History'!R3+('Price History'!R158-'Price History'!R3)*0.207792207792208</f>
        <v>49.9872727272727</v>
      </c>
      <c r="AM35" s="77" t="n">
        <f aca="false">'Price History'!S3+('Price History'!S158-'Price History'!S3)*0.207792207792208</f>
        <v>76.2625974025974</v>
      </c>
      <c r="AN35" s="77" t="n">
        <f aca="false">'Price History'!T3+('Price History'!T158-'Price History'!T3)*0.207792207792208</f>
        <v>31.6538961038961</v>
      </c>
    </row>
    <row r="36" customFormat="false" ht="15" hidden="false" customHeight="true" outlineLevel="0" collapsed="false">
      <c r="A36" s="49" t="n">
        <f aca="false">IF('Price History'!A37="","",'Price History'!A37)</f>
        <v>45387</v>
      </c>
      <c r="B36" s="76" t="n">
        <f aca="false">IFERROR(IF(OR(NOT(ISNUMBER('Price History'!B37)),NOT(ISNUMBER('Price History'!B36)),'Price History'!B36=0),"",'Price History'!B37/'Price History'!B36-1),"")</f>
        <v>-0.0386048355132779</v>
      </c>
      <c r="C36" s="76" t="n">
        <f aca="false">IFERROR(IF(OR(NOT(ISNUMBER('Price History'!C37)),NOT(ISNUMBER('Price History'!C36)),'Price History'!C36=0),"",'Price History'!C37/'Price History'!C36-1),"")</f>
        <v>0.0262068965517241</v>
      </c>
      <c r="D36" s="76" t="n">
        <f aca="false">IFERROR(IF(OR(NOT(ISNUMBER('Price History'!D37)),NOT(ISNUMBER('Price History'!D36)),'Price History'!D36=0),"",'Price History'!D37/'Price History'!D36-1),"")</f>
        <v>0.00935629128154392</v>
      </c>
      <c r="E36" s="76" t="n">
        <f aca="false">IFERROR(IF(OR(NOT(ISNUMBER('Price History'!E37)),NOT(ISNUMBER('Price History'!E36)),'Price History'!E36=0),"",'Price History'!E37/'Price History'!E36-1),"")</f>
        <v>0.0105628489512601</v>
      </c>
      <c r="F36" s="76" t="n">
        <f aca="false">IFERROR(IF(OR(NOT(ISNUMBER('Price History'!F37)),NOT(ISNUMBER('Price History'!F36)),'Price History'!F36=0),"",'Price History'!F37/'Price History'!F36-1),"")</f>
        <v>-0.015845290081098</v>
      </c>
      <c r="G36" s="76" t="n">
        <f aca="false">IFERROR(IF(OR(NOT(ISNUMBER('Price History'!G37)),NOT(ISNUMBER('Price History'!G36)),'Price History'!G36=0),"",'Price History'!G37/'Price History'!G36-1),"")</f>
        <v>-0.0226166618952189</v>
      </c>
      <c r="H36" s="76" t="n">
        <f aca="false">IFERROR(IF(OR(NOT(ISNUMBER('Price History'!H37)),NOT(ISNUMBER('Price History'!H36)),'Price History'!H36=0),"",'Price History'!H37/'Price History'!H36-1),"")</f>
        <v>0.0482653320892357</v>
      </c>
      <c r="I36" s="76" t="n">
        <f aca="false">IFERROR(IF(OR(NOT(ISNUMBER('Price History'!I37)),NOT(ISNUMBER('Price History'!I36)),'Price History'!I36=0),"",'Price History'!I37/'Price History'!I36-1),"")</f>
        <v>-0.0260070827799911</v>
      </c>
      <c r="J36" s="76" t="n">
        <f aca="false">IFERROR(IF(OR(NOT(ISNUMBER('Price History'!J37)),NOT(ISNUMBER('Price History'!J36)),'Price History'!J36=0),"",'Price History'!J37/'Price History'!J36-1),"")</f>
        <v>-0.0420826293964062</v>
      </c>
      <c r="K36" s="76" t="n">
        <f aca="false">IFERROR(IF(OR(NOT(ISNUMBER('Price History'!K37)),NOT(ISNUMBER('Price History'!K36)),'Price History'!K36=0),"",'Price History'!K37/'Price History'!K36-1),"")</f>
        <v>-0.00217296827466318</v>
      </c>
      <c r="L36" s="76" t="n">
        <f aca="false">IFERROR(IF(OR(NOT(ISNUMBER('Price History'!L37)),NOT(ISNUMBER('Price History'!L36)),'Price History'!L36=0),"",'Price History'!L37/'Price History'!L36-1),"")</f>
        <v>0.0390297684674752</v>
      </c>
      <c r="M36" s="76" t="n">
        <f aca="false">IFERROR(IF(OR(NOT(ISNUMBER('Price History'!M37)),NOT(ISNUMBER('Price History'!M36)),'Price History'!M36=0),"",'Price History'!M37/'Price History'!M36-1),"")</f>
        <v>0.0449369413493328</v>
      </c>
      <c r="N36" s="76" t="n">
        <f aca="false">IFERROR(IF(OR(NOT(ISNUMBER('Price History'!N37)),NOT(ISNUMBER('Price History'!N36)),'Price History'!N36=0),"",'Price History'!N37/'Price History'!N36-1),"")</f>
        <v>-0.0271285375947943</v>
      </c>
      <c r="O36" s="76" t="n">
        <f aca="false">IFERROR(IF(OR(NOT(ISNUMBER('Price History'!O37)),NOT(ISNUMBER('Price History'!O36)),'Price History'!O36=0),"",'Price History'!O37/'Price History'!O36-1),"")</f>
        <v>-0.0215558638352363</v>
      </c>
      <c r="P36" s="76" t="str">
        <f aca="false">IFERROR(IF(OR(NOT(ISNUMBER('Price History'!P37)),NOT(ISNUMBER('Price History'!P36)),'Price History'!P36=0),"",'Price History'!P37/'Price History'!P36-1),"")</f>
        <v/>
      </c>
      <c r="Q36" s="76" t="n">
        <f aca="false">IFERROR(IF(OR(NOT(ISNUMBER('Price History'!Q37)),NOT(ISNUMBER('Price History'!Q36)),'Price History'!Q36=0),"",'Price History'!Q37/'Price History'!Q36-1),"")</f>
        <v>0.00104986876640423</v>
      </c>
      <c r="R36" s="76" t="n">
        <f aca="false">IFERROR(IF(OR(NOT(ISNUMBER('Price History'!R37)),NOT(ISNUMBER('Price History'!R36)),'Price History'!R36=0),"",'Price History'!R37/'Price History'!R36-1),"")</f>
        <v>-0.0119837758112095</v>
      </c>
      <c r="S36" s="76" t="n">
        <f aca="false">IFERROR(IF(OR(NOT(ISNUMBER('Price History'!S37)),NOT(ISNUMBER('Price History'!S36)),'Price History'!S36=0),"",'Price History'!S37/'Price History'!S36-1),"")</f>
        <v>0.00286711543256057</v>
      </c>
      <c r="T36" s="76" t="n">
        <f aca="false">IFERROR(IF(OR(NOT(ISNUMBER('Price History'!T37)),NOT(ISNUMBER('Price History'!T36)),'Price History'!T36=0),"",'Price History'!T37/'Price History'!T36-1),"")</f>
        <v>-0.00246837395865474</v>
      </c>
      <c r="U36" s="76" t="str">
        <f aca="false">IFERROR(IF(OR(NOT(ISNUMBER('Price History'!U37)),NOT(ISNUMBER('Price History'!U36)),'Price History'!U36=0),"",'Price History'!U37/'Price History'!U36-1),"")</f>
        <v/>
      </c>
      <c r="W36" s="77" t="n">
        <f aca="false">'Price History'!B3+('Price History'!B158-'Price History'!B3)*0.214285714285714</f>
        <v>453.155714285714</v>
      </c>
      <c r="X36" s="77" t="n">
        <f aca="false">'Price History'!C3+('Price History'!C158-'Price History'!C3)*0.214285714285714</f>
        <v>73.0135714285714</v>
      </c>
      <c r="Y36" s="77" t="n">
        <f aca="false">'Price History'!D3+('Price History'!D158-'Price History'!D3)*0.214285714285714</f>
        <v>869.041428571428</v>
      </c>
      <c r="Z36" s="77" t="n">
        <f aca="false">'Price History'!E3+('Price History'!E158-'Price History'!E3)*0.214285714285714</f>
        <v>148.615714285714</v>
      </c>
      <c r="AA36" s="77" t="n">
        <f aca="false">'Price History'!F3+('Price History'!F158-'Price History'!F3)*0.214285714285714</f>
        <v>70.0171428571428</v>
      </c>
      <c r="AB36" s="77" t="n">
        <f aca="false">'Price History'!G3+('Price History'!G158-'Price History'!G3)*0.214285714285714</f>
        <v>76.8114285714285</v>
      </c>
      <c r="AC36" s="77" t="n">
        <f aca="false">'Price History'!H3+('Price History'!H158-'Price History'!H3)*0.214285714285714</f>
        <v>226.94</v>
      </c>
      <c r="AD36" s="77" t="n">
        <f aca="false">'Price History'!I3+('Price History'!I158-'Price History'!I3)*0.214285714285714</f>
        <v>75.1142857142857</v>
      </c>
      <c r="AE36" s="77" t="n">
        <f aca="false">'Price History'!J3+('Price History'!J158-'Price History'!J3)*0.214285714285714</f>
        <v>128.031428571429</v>
      </c>
      <c r="AF36" s="77" t="n">
        <f aca="false">'Price History'!K3+('Price History'!K158-'Price History'!K3)*0.214285714285714</f>
        <v>38.4778571428571</v>
      </c>
      <c r="AG36" s="77" t="n">
        <f aca="false">'Price History'!L3+('Price History'!L158-'Price History'!L3)*0.214285714285714</f>
        <v>158.902857142857</v>
      </c>
      <c r="AH36" s="77" t="n">
        <f aca="false">'Price History'!M3+('Price History'!M158-'Price History'!M3)*0.214285714285714</f>
        <v>78.0942857142857</v>
      </c>
      <c r="AI36" s="77" t="n">
        <f aca="false">'Price History'!N3+('Price History'!N158-'Price History'!N3)*0.214285714285714</f>
        <v>377.125714285714</v>
      </c>
      <c r="AJ36" s="77" t="n">
        <f aca="false">'Price History'!O3+('Price History'!O158-'Price History'!O3)*0.214285714285714</f>
        <v>91.9421428571428</v>
      </c>
      <c r="AK36" s="77" t="n">
        <f aca="false">'Price History'!Q3+('Price History'!Q151-'Price History'!Q3)*0.214285714285714</f>
        <v>53.8278571428571</v>
      </c>
      <c r="AL36" s="77" t="n">
        <f aca="false">'Price History'!R3+('Price History'!R158-'Price History'!R3)*0.214285714285714</f>
        <v>50.055</v>
      </c>
      <c r="AM36" s="77" t="n">
        <f aca="false">'Price History'!S3+('Price History'!S158-'Price History'!S3)*0.214285714285714</f>
        <v>76.8164285714286</v>
      </c>
      <c r="AN36" s="77" t="n">
        <f aca="false">'Price History'!T3+('Price History'!T158-'Price History'!T3)*0.214285714285714</f>
        <v>31.8021428571429</v>
      </c>
    </row>
    <row r="37" customFormat="false" ht="15" hidden="false" customHeight="true" outlineLevel="0" collapsed="false">
      <c r="A37" s="49" t="n">
        <f aca="false">IF('Price History'!A38="","",'Price History'!A38)</f>
        <v>45394</v>
      </c>
      <c r="B37" s="76" t="n">
        <f aca="false">IFERROR(IF(OR(NOT(ISNUMBER('Price History'!B38)),NOT(ISNUMBER('Price History'!B37)),'Price History'!B37=0),"",'Price History'!B38/'Price History'!B37-1),"")</f>
        <v>-0.0227366424802111</v>
      </c>
      <c r="C37" s="76" t="n">
        <f aca="false">IFERROR(IF(OR(NOT(ISNUMBER('Price History'!C38)),NOT(ISNUMBER('Price History'!C37)),'Price History'!C37=0),"",'Price History'!C38/'Price History'!C37-1),"")</f>
        <v>-0.0885752688172043</v>
      </c>
      <c r="D37" s="76" t="n">
        <f aca="false">IFERROR(IF(OR(NOT(ISNUMBER('Price History'!D38)),NOT(ISNUMBER('Price History'!D37)),'Price History'!D37=0),"",'Price History'!D38/'Price History'!D37-1),"")</f>
        <v>-0.0180797304884895</v>
      </c>
      <c r="E37" s="76" t="n">
        <f aca="false">IFERROR(IF(OR(NOT(ISNUMBER('Price History'!E38)),NOT(ISNUMBER('Price History'!E37)),'Price History'!E37=0),"",'Price History'!E38/'Price History'!E37-1),"")</f>
        <v>0.00350903389577417</v>
      </c>
      <c r="F37" s="76" t="n">
        <f aca="false">IFERROR(IF(OR(NOT(ISNUMBER('Price History'!F38)),NOT(ISNUMBER('Price History'!F37)),'Price History'!F37=0),"",'Price History'!F38/'Price History'!F37-1),"")</f>
        <v>-0.0205375253549694</v>
      </c>
      <c r="G37" s="76" t="n">
        <f aca="false">IFERROR(IF(OR(NOT(ISNUMBER('Price History'!G38)),NOT(ISNUMBER('Price History'!G37)),'Price History'!G37=0),"",'Price History'!G38/'Price History'!G37-1),"")</f>
        <v>-0.00292911540714713</v>
      </c>
      <c r="H37" s="76" t="n">
        <f aca="false">IFERROR(IF(OR(NOT(ISNUMBER('Price History'!H38)),NOT(ISNUMBER('Price History'!H37)),'Price History'!H37=0),"",'Price History'!H38/'Price History'!H37-1),"")</f>
        <v>-0.00857743971516434</v>
      </c>
      <c r="I37" s="76" t="n">
        <f aca="false">IFERROR(IF(OR(NOT(ISNUMBER('Price History'!I38)),NOT(ISNUMBER('Price History'!I37)),'Price History'!I37=0),"",'Price History'!I38/'Price History'!I37-1),"")</f>
        <v>0.00204522213384828</v>
      </c>
      <c r="J37" s="76" t="n">
        <f aca="false">IFERROR(IF(OR(NOT(ISNUMBER('Price History'!J38)),NOT(ISNUMBER('Price History'!J37)),'Price History'!J37=0),"",'Price History'!J38/'Price History'!J37-1),"")</f>
        <v>-0.0460157126823794</v>
      </c>
      <c r="K37" s="76" t="n">
        <f aca="false">IFERROR(IF(OR(NOT(ISNUMBER('Price History'!K38)),NOT(ISNUMBER('Price History'!K37)),'Price History'!K37=0),"",'Price History'!K38/'Price History'!K37-1),"")</f>
        <v>-0.0126306620209059</v>
      </c>
      <c r="L37" s="76" t="n">
        <f aca="false">IFERROR(IF(OR(NOT(ISNUMBER('Price History'!L38)),NOT(ISNUMBER('Price History'!L37)),'Price History'!L37=0),"",'Price History'!L38/'Price History'!L37-1),"")</f>
        <v>0.008205998868138</v>
      </c>
      <c r="M37" s="76" t="n">
        <f aca="false">IFERROR(IF(OR(NOT(ISNUMBER('Price History'!M38)),NOT(ISNUMBER('Price History'!M37)),'Price History'!M37=0),"",'Price History'!M38/'Price History'!M37-1),"")</f>
        <v>-0.0169908600890556</v>
      </c>
      <c r="N37" s="76" t="n">
        <f aca="false">IFERROR(IF(OR(NOT(ISNUMBER('Price History'!N38)),NOT(ISNUMBER('Price History'!N37)),'Price History'!N37=0),"",'Price History'!N38/'Price History'!N37-1),"")</f>
        <v>-0.0248850419258858</v>
      </c>
      <c r="O37" s="76" t="n">
        <f aca="false">IFERROR(IF(OR(NOT(ISNUMBER('Price History'!O38)),NOT(ISNUMBER('Price History'!O37)),'Price History'!O37=0),"",'Price History'!O38/'Price History'!O37-1),"")</f>
        <v>-0.0308648707601701</v>
      </c>
      <c r="P37" s="76" t="str">
        <f aca="false">IFERROR(IF(OR(NOT(ISNUMBER('Price History'!P38)),NOT(ISNUMBER('Price History'!P37)),'Price History'!P37=0),"",'Price History'!P38/'Price History'!P37-1),"")</f>
        <v/>
      </c>
      <c r="Q37" s="76" t="n">
        <f aca="false">IFERROR(IF(OR(NOT(ISNUMBER('Price History'!Q38)),NOT(ISNUMBER('Price History'!Q37)),'Price History'!Q37=0),"",'Price History'!Q38/'Price History'!Q37-1),"")</f>
        <v>-0.00262191924488719</v>
      </c>
      <c r="R37" s="76" t="n">
        <f aca="false">IFERROR(IF(OR(NOT(ISNUMBER('Price History'!R38)),NOT(ISNUMBER('Price History'!R37)),'Price History'!R37=0),"",'Price History'!R38/'Price History'!R37-1),"")</f>
        <v>-0.0035454375816385</v>
      </c>
      <c r="S37" s="76" t="n">
        <f aca="false">IFERROR(IF(OR(NOT(ISNUMBER('Price History'!S38)),NOT(ISNUMBER('Price History'!S37)),'Price History'!S37=0),"",'Price History'!S38/'Price History'!S37-1),"")</f>
        <v>-0.0140459912989436</v>
      </c>
      <c r="T37" s="76" t="n">
        <f aca="false">IFERROR(IF(OR(NOT(ISNUMBER('Price History'!T38)),NOT(ISNUMBER('Price History'!T37)),'Price History'!T37=0),"",'Price History'!T38/'Price History'!T37-1),"")</f>
        <v>-0.0259820600061862</v>
      </c>
      <c r="U37" s="76" t="str">
        <f aca="false">IFERROR(IF(OR(NOT(ISNUMBER('Price History'!U38)),NOT(ISNUMBER('Price History'!U37)),'Price History'!U37=0),"",'Price History'!U38/'Price History'!U37-1),"")</f>
        <v/>
      </c>
      <c r="W37" s="77" t="n">
        <f aca="false">'Price History'!B3+('Price History'!B158-'Price History'!B3)*0.220779220779221</f>
        <v>451.48012987013</v>
      </c>
      <c r="X37" s="77" t="n">
        <f aca="false">'Price History'!C3+('Price History'!C158-'Price History'!C3)*0.220779220779221</f>
        <v>73.9006493506494</v>
      </c>
      <c r="Y37" s="77" t="n">
        <f aca="false">'Price History'!D3+('Price History'!D158-'Price History'!D3)*0.220779220779221</f>
        <v>875.322077922078</v>
      </c>
      <c r="Z37" s="77" t="n">
        <f aca="false">'Price History'!E3+('Price History'!E158-'Price History'!E3)*0.220779220779221</f>
        <v>150.604675324675</v>
      </c>
      <c r="AA37" s="77" t="n">
        <f aca="false">'Price History'!F3+('Price History'!F158-'Price History'!F3)*0.220779220779221</f>
        <v>71.0158441558442</v>
      </c>
      <c r="AB37" s="77" t="n">
        <f aca="false">'Price History'!G3+('Price History'!G158-'Price History'!G3)*0.220779220779221</f>
        <v>77.6875324675325</v>
      </c>
      <c r="AC37" s="77" t="n">
        <f aca="false">'Price History'!H3+('Price History'!H158-'Price History'!H3)*0.220779220779221</f>
        <v>231.866363636364</v>
      </c>
      <c r="AD37" s="77" t="n">
        <f aca="false">'Price History'!I3+('Price History'!I158-'Price History'!I3)*0.220779220779221</f>
        <v>76.1525974025974</v>
      </c>
      <c r="AE37" s="77" t="n">
        <f aca="false">'Price History'!J3+('Price History'!J158-'Price History'!J3)*0.220779220779221</f>
        <v>128.168441558442</v>
      </c>
      <c r="AF37" s="77" t="n">
        <f aca="false">'Price History'!K3+('Price History'!K158-'Price History'!K3)*0.220779220779221</f>
        <v>39.1768831168831</v>
      </c>
      <c r="AG37" s="77" t="n">
        <f aca="false">'Price History'!L3+('Price History'!L158-'Price History'!L3)*0.220779220779221</f>
        <v>160.93051948052</v>
      </c>
      <c r="AH37" s="77" t="n">
        <f aca="false">'Price History'!M3+('Price History'!M158-'Price History'!M3)*0.220779220779221</f>
        <v>79.4453246753247</v>
      </c>
      <c r="AI37" s="77" t="n">
        <f aca="false">'Price History'!N3+('Price History'!N158-'Price History'!N3)*0.220779220779221</f>
        <v>377.951948051948</v>
      </c>
      <c r="AJ37" s="77" t="n">
        <f aca="false">'Price History'!O3+('Price History'!O158-'Price History'!O3)*0.220779220779221</f>
        <v>92.2176623376624</v>
      </c>
      <c r="AK37" s="77" t="n">
        <f aca="false">'Price History'!Q3+('Price History'!Q151-'Price History'!Q3)*0.220779220779221</f>
        <v>53.9487012987013</v>
      </c>
      <c r="AL37" s="77" t="n">
        <f aca="false">'Price History'!R3+('Price History'!R158-'Price History'!R3)*0.220779220779221</f>
        <v>50.1227272727273</v>
      </c>
      <c r="AM37" s="77" t="n">
        <f aca="false">'Price History'!S3+('Price History'!S158-'Price History'!S3)*0.220779220779221</f>
        <v>77.3702597402598</v>
      </c>
      <c r="AN37" s="77" t="n">
        <f aca="false">'Price History'!T3+('Price History'!T158-'Price History'!T3)*0.220779220779221</f>
        <v>31.9503896103896</v>
      </c>
    </row>
    <row r="38" customFormat="false" ht="15" hidden="false" customHeight="true" outlineLevel="0" collapsed="false">
      <c r="A38" s="49" t="n">
        <f aca="false">IF('Price History'!A39="","",'Price History'!A39)</f>
        <v>45401</v>
      </c>
      <c r="B38" s="76" t="n">
        <f aca="false">IFERROR(IF(OR(NOT(ISNUMBER('Price History'!B39)),NOT(ISNUMBER('Price History'!B38)),'Price History'!B38=0),"",'Price History'!B39/'Price History'!B38-1),"")</f>
        <v>-0.0191313885549157</v>
      </c>
      <c r="C38" s="76" t="n">
        <f aca="false">IFERROR(IF(OR(NOT(ISNUMBER('Price History'!C39)),NOT(ISNUMBER('Price History'!C38)),'Price History'!C38=0),"",'Price History'!C39/'Price History'!C38-1),"")</f>
        <v>-0.0927591800619377</v>
      </c>
      <c r="D38" s="76" t="n">
        <f aca="false">IFERROR(IF(OR(NOT(ISNUMBER('Price History'!D39)),NOT(ISNUMBER('Price History'!D38)),'Price History'!D38=0),"",'Price History'!D39/'Price History'!D38-1),"")</f>
        <v>-0.106358645928637</v>
      </c>
      <c r="E38" s="76" t="n">
        <f aca="false">IFERROR(IF(OR(NOT(ISNUMBER('Price History'!E39)),NOT(ISNUMBER('Price History'!E38)),'Price History'!E38=0),"",'Price History'!E39/'Price History'!E38-1),"")</f>
        <v>-0.103712521389777</v>
      </c>
      <c r="F38" s="76" t="n">
        <f aca="false">IFERROR(IF(OR(NOT(ISNUMBER('Price History'!F39)),NOT(ISNUMBER('Price History'!F38)),'Price History'!F38=0),"",'Price History'!F39/'Price History'!F38-1),"")</f>
        <v>-0.0854258348433861</v>
      </c>
      <c r="G38" s="76" t="n">
        <f aca="false">IFERROR(IF(OR(NOT(ISNUMBER('Price History'!G39)),NOT(ISNUMBER('Price History'!G38)),'Price History'!G38=0),"",'Price History'!G39/'Price History'!G38-1),"")</f>
        <v>-0.077262044653349</v>
      </c>
      <c r="H38" s="76" t="n">
        <f aca="false">IFERROR(IF(OR(NOT(ISNUMBER('Price History'!H39)),NOT(ISNUMBER('Price History'!H38)),'Price History'!H38=0),"",'Price History'!H39/'Price History'!H38-1),"")</f>
        <v>-0.128550440744368</v>
      </c>
      <c r="I38" s="76" t="n">
        <f aca="false">IFERROR(IF(OR(NOT(ISNUMBER('Price History'!I39)),NOT(ISNUMBER('Price History'!I38)),'Price History'!I38=0),"",'Price History'!I39/'Price History'!I38-1),"")</f>
        <v>-0.135956457648259</v>
      </c>
      <c r="J38" s="76" t="n">
        <f aca="false">IFERROR(IF(OR(NOT(ISNUMBER('Price History'!J39)),NOT(ISNUMBER('Price History'!J38)),'Price History'!J38=0),"",'Price History'!J39/'Price History'!J38-1),"")</f>
        <v>-0.130336134453782</v>
      </c>
      <c r="K38" s="76" t="n">
        <f aca="false">IFERROR(IF(OR(NOT(ISNUMBER('Price History'!K39)),NOT(ISNUMBER('Price History'!K38)),'Price History'!K38=0),"",'Price History'!K39/'Price History'!K38-1),"")</f>
        <v>-0.0970445522717248</v>
      </c>
      <c r="L38" s="76" t="n">
        <f aca="false">IFERROR(IF(OR(NOT(ISNUMBER('Price History'!L39)),NOT(ISNUMBER('Price History'!L38)),'Price History'!L38=0),"",'Price History'!L39/'Price History'!L38-1),"")</f>
        <v>-0.103985405557115</v>
      </c>
      <c r="M38" s="76" t="n">
        <f aca="false">IFERROR(IF(OR(NOT(ISNUMBER('Price History'!M39)),NOT(ISNUMBER('Price History'!M38)),'Price History'!M38=0),"",'Price History'!M39/'Price History'!M38-1),"")</f>
        <v>-0.105852902610561</v>
      </c>
      <c r="N38" s="76" t="n">
        <f aca="false">IFERROR(IF(OR(NOT(ISNUMBER('Price History'!N39)),NOT(ISNUMBER('Price History'!N38)),'Price History'!N38=0),"",'Price History'!N39/'Price History'!N38-1),"")</f>
        <v>-0.00572437271466408</v>
      </c>
      <c r="O38" s="76" t="n">
        <f aca="false">IFERROR(IF(OR(NOT(ISNUMBER('Price History'!O39)),NOT(ISNUMBER('Price History'!O38)),'Price History'!O38=0),"",'Price History'!O39/'Price History'!O38-1),"")</f>
        <v>-0.00900292595093399</v>
      </c>
      <c r="P38" s="76" t="str">
        <f aca="false">IFERROR(IF(OR(NOT(ISNUMBER('Price History'!P39)),NOT(ISNUMBER('Price History'!P38)),'Price History'!P38=0),"",'Price History'!P39/'Price History'!P38-1),"")</f>
        <v/>
      </c>
      <c r="Q38" s="76" t="n">
        <f aca="false">IFERROR(IF(OR(NOT(ISNUMBER('Price History'!Q39)),NOT(ISNUMBER('Price History'!Q38)),'Price History'!Q38=0),"",'Price History'!Q39/'Price History'!Q38-1),"")</f>
        <v>0.0110410094637223</v>
      </c>
      <c r="R38" s="76" t="n">
        <f aca="false">IFERROR(IF(OR(NOT(ISNUMBER('Price History'!R39)),NOT(ISNUMBER('Price History'!R38)),'Price History'!R38=0),"",'Price History'!R39/'Price History'!R38-1),"")</f>
        <v>-0.047940074906367</v>
      </c>
      <c r="S38" s="76" t="n">
        <f aca="false">IFERROR(IF(OR(NOT(ISNUMBER('Price History'!S39)),NOT(ISNUMBER('Price History'!S38)),'Price History'!S38=0),"",'Price History'!S39/'Price History'!S38-1),"")</f>
        <v>-0.0568582955118506</v>
      </c>
      <c r="T38" s="76" t="n">
        <f aca="false">IFERROR(IF(OR(NOT(ISNUMBER('Price History'!T39)),NOT(ISNUMBER('Price History'!T38)),'Price History'!T38=0),"",'Price History'!T39/'Price History'!T38-1),"")</f>
        <v>-0.017783423308987</v>
      </c>
      <c r="U38" s="76" t="str">
        <f aca="false">IFERROR(IF(OR(NOT(ISNUMBER('Price History'!U39)),NOT(ISNUMBER('Price History'!U38)),'Price History'!U38=0),"",'Price History'!U39/'Price History'!U38-1),"")</f>
        <v/>
      </c>
      <c r="W38" s="77" t="n">
        <f aca="false">'Price History'!B3+('Price History'!B158-'Price History'!B3)*0.227272727272727</f>
        <v>449.804545454546</v>
      </c>
      <c r="X38" s="77" t="n">
        <f aca="false">'Price History'!C3+('Price History'!C158-'Price History'!C3)*0.227272727272727</f>
        <v>74.7877272727272</v>
      </c>
      <c r="Y38" s="77" t="n">
        <f aca="false">'Price History'!D3+('Price History'!D158-'Price History'!D3)*0.227272727272727</f>
        <v>881.602727272727</v>
      </c>
      <c r="Z38" s="77" t="n">
        <f aca="false">'Price History'!E3+('Price History'!E158-'Price History'!E3)*0.227272727272727</f>
        <v>152.593636363636</v>
      </c>
      <c r="AA38" s="77" t="n">
        <f aca="false">'Price History'!F3+('Price History'!F158-'Price History'!F3)*0.227272727272727</f>
        <v>72.0145454545454</v>
      </c>
      <c r="AB38" s="77" t="n">
        <f aca="false">'Price History'!G3+('Price History'!G158-'Price History'!G3)*0.227272727272727</f>
        <v>78.5636363636363</v>
      </c>
      <c r="AC38" s="77" t="n">
        <f aca="false">'Price History'!H3+('Price History'!H158-'Price History'!H3)*0.227272727272727</f>
        <v>236.792727272727</v>
      </c>
      <c r="AD38" s="77" t="n">
        <f aca="false">'Price History'!I3+('Price History'!I158-'Price History'!I3)*0.227272727272727</f>
        <v>77.1909090909091</v>
      </c>
      <c r="AE38" s="77" t="n">
        <f aca="false">'Price History'!J3+('Price History'!J158-'Price History'!J3)*0.227272727272727</f>
        <v>128.305454545455</v>
      </c>
      <c r="AF38" s="77" t="n">
        <f aca="false">'Price History'!K3+('Price History'!K158-'Price History'!K3)*0.227272727272727</f>
        <v>39.8759090909091</v>
      </c>
      <c r="AG38" s="77" t="n">
        <f aca="false">'Price History'!L3+('Price History'!L158-'Price History'!L3)*0.227272727272727</f>
        <v>162.958181818182</v>
      </c>
      <c r="AH38" s="77" t="n">
        <f aca="false">'Price History'!M3+('Price History'!M158-'Price History'!M3)*0.227272727272727</f>
        <v>80.7963636363636</v>
      </c>
      <c r="AI38" s="77" t="n">
        <f aca="false">'Price History'!N3+('Price History'!N158-'Price History'!N3)*0.227272727272727</f>
        <v>378.778181818182</v>
      </c>
      <c r="AJ38" s="77" t="n">
        <f aca="false">'Price History'!O3+('Price History'!O158-'Price History'!O3)*0.227272727272727</f>
        <v>92.4931818181818</v>
      </c>
      <c r="AK38" s="77" t="n">
        <f aca="false">'Price History'!Q3+('Price History'!Q151-'Price History'!Q3)*0.227272727272727</f>
        <v>54.0695454545455</v>
      </c>
      <c r="AL38" s="77" t="n">
        <f aca="false">'Price History'!R3+('Price History'!R158-'Price History'!R3)*0.227272727272727</f>
        <v>50.1904545454545</v>
      </c>
      <c r="AM38" s="77" t="n">
        <f aca="false">'Price History'!S3+('Price History'!S158-'Price History'!S3)*0.227272727272727</f>
        <v>77.9240909090909</v>
      </c>
      <c r="AN38" s="77" t="n">
        <f aca="false">'Price History'!T3+('Price History'!T158-'Price History'!T3)*0.227272727272727</f>
        <v>32.0986363636364</v>
      </c>
    </row>
    <row r="39" customFormat="false" ht="15" hidden="false" customHeight="true" outlineLevel="0" collapsed="false">
      <c r="A39" s="49" t="n">
        <f aca="false">IF('Price History'!A40="","",'Price History'!A40)</f>
        <v>45408</v>
      </c>
      <c r="B39" s="76" t="n">
        <f aca="false">IFERROR(IF(OR(NOT(ISNUMBER('Price History'!B40)),NOT(ISNUMBER('Price History'!B39)),'Price History'!B39=0),"",'Price History'!B40/'Price History'!B39-1),"")</f>
        <v>0.0269665820824911</v>
      </c>
      <c r="C39" s="76" t="n">
        <f aca="false">IFERROR(IF(OR(NOT(ISNUMBER('Price History'!C40)),NOT(ISNUMBER('Price History'!C39)),'Price History'!C39=0),"",'Price History'!C40/'Price History'!C39-1),"")</f>
        <v>0.0757477243172953</v>
      </c>
      <c r="D39" s="76" t="n">
        <f aca="false">IFERROR(IF(OR(NOT(ISNUMBER('Price History'!D40)),NOT(ISNUMBER('Price History'!D39)),'Price History'!D39=0),"",'Price History'!D40/'Price History'!D39-1),"")</f>
        <v>0.0691416338972009</v>
      </c>
      <c r="E39" s="76" t="n">
        <f aca="false">IFERROR(IF(OR(NOT(ISNUMBER('Price History'!E40)),NOT(ISNUMBER('Price History'!E39)),'Price History'!E39=0),"",'Price History'!E40/'Price History'!E39-1),"")</f>
        <v>0.115713455632108</v>
      </c>
      <c r="F39" s="76" t="n">
        <f aca="false">IFERROR(IF(OR(NOT(ISNUMBER('Price History'!F40)),NOT(ISNUMBER('Price History'!F39)),'Price History'!F39=0),"",'Price History'!F40/'Price History'!F39-1),"")</f>
        <v>0.0758562128502689</v>
      </c>
      <c r="G39" s="76" t="n">
        <f aca="false">IFERROR(IF(OR(NOT(ISNUMBER('Price History'!G40)),NOT(ISNUMBER('Price History'!G39)),'Price History'!G39=0),"",'Price History'!G40/'Price History'!G39-1),"")</f>
        <v>0.124323463865011</v>
      </c>
      <c r="H39" s="76" t="n">
        <f aca="false">IFERROR(IF(OR(NOT(ISNUMBER('Price History'!H40)),NOT(ISNUMBER('Price History'!H39)),'Price History'!H39=0),"",'Price History'!H40/'Price History'!H39-1),"")</f>
        <v>0.0755830289407138</v>
      </c>
      <c r="I39" s="76" t="n">
        <f aca="false">IFERROR(IF(OR(NOT(ISNUMBER('Price History'!I40)),NOT(ISNUMBER('Price History'!I39)),'Price History'!I39=0),"",'Price History'!I40/'Price History'!I39-1),"")</f>
        <v>0.151443569553806</v>
      </c>
      <c r="J39" s="76" t="n">
        <f aca="false">IFERROR(IF(OR(NOT(ISNUMBER('Price History'!J40)),NOT(ISNUMBER('Price History'!J39)),'Price History'!J39=0),"",'Price History'!J40/'Price History'!J39-1),"")</f>
        <v>0.00550777852932649</v>
      </c>
      <c r="K39" s="76" t="n">
        <f aca="false">IFERROR(IF(OR(NOT(ISNUMBER('Price History'!K40)),NOT(ISNUMBER('Price History'!K39)),'Price History'!K39=0),"",'Price History'!K40/'Price History'!K39-1),"")</f>
        <v>0.100146555935515</v>
      </c>
      <c r="L39" s="76" t="n">
        <f aca="false">IFERROR(IF(OR(NOT(ISNUMBER('Price History'!L40)),NOT(ISNUMBER('Price History'!L39)),'Price History'!L39=0),"",'Price History'!L40/'Price History'!L39-1),"")</f>
        <v>0.0830070477682068</v>
      </c>
      <c r="M39" s="76" t="n">
        <f aca="false">IFERROR(IF(OR(NOT(ISNUMBER('Price History'!M40)),NOT(ISNUMBER('Price History'!M39)),'Price History'!M39=0),"",'Price History'!M40/'Price History'!M39-1),"")</f>
        <v>0.246367151046527</v>
      </c>
      <c r="N39" s="76" t="n">
        <f aca="false">IFERROR(IF(OR(NOT(ISNUMBER('Price History'!N40)),NOT(ISNUMBER('Price History'!N39)),'Price History'!N39=0),"",'Price History'!N40/'Price History'!N39-1),"")</f>
        <v>0.00811605965303852</v>
      </c>
      <c r="O39" s="76" t="n">
        <f aca="false">IFERROR(IF(OR(NOT(ISNUMBER('Price History'!O40)),NOT(ISNUMBER('Price History'!O39)),'Price History'!O39=0),"",'Price History'!O40/'Price History'!O39-1),"")</f>
        <v>0.0247558482852599</v>
      </c>
      <c r="P39" s="76" t="str">
        <f aca="false">IFERROR(IF(OR(NOT(ISNUMBER('Price History'!P40)),NOT(ISNUMBER('Price History'!P39)),'Price History'!P39=0),"",'Price History'!P40/'Price History'!P39-1),"")</f>
        <v/>
      </c>
      <c r="Q39" s="76" t="n">
        <f aca="false">IFERROR(IF(OR(NOT(ISNUMBER('Price History'!Q40)),NOT(ISNUMBER('Price History'!Q39)),'Price History'!Q39=0),"",'Price History'!Q40/'Price History'!Q39-1),"")</f>
        <v>0.00901369388108853</v>
      </c>
      <c r="R39" s="76" t="n">
        <f aca="false">IFERROR(IF(OR(NOT(ISNUMBER('Price History'!R40)),NOT(ISNUMBER('Price History'!R39)),'Price History'!R39=0),"",'Price History'!R40/'Price History'!R39-1),"")</f>
        <v>0.0357985837922894</v>
      </c>
      <c r="S39" s="76" t="n">
        <f aca="false">IFERROR(IF(OR(NOT(ISNUMBER('Price History'!S40)),NOT(ISNUMBER('Price History'!S39)),'Price History'!S39=0),"",'Price History'!S40/'Price History'!S39-1),"")</f>
        <v>0.0300761930223232</v>
      </c>
      <c r="T39" s="76" t="n">
        <f aca="false">IFERROR(IF(OR(NOT(ISNUMBER('Price History'!T40)),NOT(ISNUMBER('Price History'!T39)),'Price History'!T39=0),"",'Price History'!T40/'Price History'!T39-1),"")</f>
        <v>0.0126091173617846</v>
      </c>
      <c r="U39" s="76" t="str">
        <f aca="false">IFERROR(IF(OR(NOT(ISNUMBER('Price History'!U40)),NOT(ISNUMBER('Price History'!U39)),'Price History'!U39=0),"",'Price History'!U40/'Price History'!U39-1),"")</f>
        <v/>
      </c>
      <c r="W39" s="77" t="n">
        <f aca="false">'Price History'!B3+('Price History'!B158-'Price History'!B3)*0.233766233766234</f>
        <v>448.128961038961</v>
      </c>
      <c r="X39" s="77" t="n">
        <f aca="false">'Price History'!C3+('Price History'!C158-'Price History'!C3)*0.233766233766234</f>
        <v>75.6748051948052</v>
      </c>
      <c r="Y39" s="77" t="n">
        <f aca="false">'Price History'!D3+('Price History'!D158-'Price History'!D3)*0.233766233766234</f>
        <v>887.883376623377</v>
      </c>
      <c r="Z39" s="77" t="n">
        <f aca="false">'Price History'!E3+('Price History'!E158-'Price History'!E3)*0.233766233766234</f>
        <v>154.582597402597</v>
      </c>
      <c r="AA39" s="77" t="n">
        <f aca="false">'Price History'!F3+('Price History'!F158-'Price History'!F3)*0.233766233766234</f>
        <v>73.0132467532468</v>
      </c>
      <c r="AB39" s="77" t="n">
        <f aca="false">'Price History'!G3+('Price History'!G158-'Price History'!G3)*0.233766233766234</f>
        <v>79.4397402597403</v>
      </c>
      <c r="AC39" s="77" t="n">
        <f aca="false">'Price History'!H3+('Price History'!H158-'Price History'!H3)*0.233766233766234</f>
        <v>241.719090909091</v>
      </c>
      <c r="AD39" s="77" t="n">
        <f aca="false">'Price History'!I3+('Price History'!I158-'Price History'!I3)*0.233766233766234</f>
        <v>78.2292207792208</v>
      </c>
      <c r="AE39" s="77" t="n">
        <f aca="false">'Price History'!J3+('Price History'!J158-'Price History'!J3)*0.233766233766234</f>
        <v>128.442467532468</v>
      </c>
      <c r="AF39" s="77" t="n">
        <f aca="false">'Price History'!K3+('Price History'!K158-'Price History'!K3)*0.233766233766234</f>
        <v>40.5749350649351</v>
      </c>
      <c r="AG39" s="77" t="n">
        <f aca="false">'Price History'!L3+('Price History'!L158-'Price History'!L3)*0.233766233766234</f>
        <v>164.985844155844</v>
      </c>
      <c r="AH39" s="77" t="n">
        <f aca="false">'Price History'!M3+('Price History'!M158-'Price History'!M3)*0.233766233766234</f>
        <v>82.1474025974027</v>
      </c>
      <c r="AI39" s="77" t="n">
        <f aca="false">'Price History'!N3+('Price History'!N158-'Price History'!N3)*0.233766233766234</f>
        <v>379.604415584416</v>
      </c>
      <c r="AJ39" s="77" t="n">
        <f aca="false">'Price History'!O3+('Price History'!O158-'Price History'!O3)*0.233766233766234</f>
        <v>92.7687012987013</v>
      </c>
      <c r="AK39" s="77" t="n">
        <f aca="false">'Price History'!Q3+('Price History'!Q151-'Price History'!Q3)*0.233766233766234</f>
        <v>54.1903896103896</v>
      </c>
      <c r="AL39" s="77" t="n">
        <f aca="false">'Price History'!R3+('Price History'!R158-'Price History'!R3)*0.233766233766234</f>
        <v>50.2581818181818</v>
      </c>
      <c r="AM39" s="77" t="n">
        <f aca="false">'Price History'!S3+('Price History'!S158-'Price History'!S3)*0.233766233766234</f>
        <v>78.4779220779221</v>
      </c>
      <c r="AN39" s="77" t="n">
        <f aca="false">'Price History'!T3+('Price History'!T158-'Price History'!T3)*0.233766233766234</f>
        <v>32.2468831168831</v>
      </c>
    </row>
    <row r="40" customFormat="false" ht="15" hidden="false" customHeight="true" outlineLevel="0" collapsed="false">
      <c r="A40" s="49" t="n">
        <f aca="false">IF('Price History'!A41="","",'Price History'!A41)</f>
        <v>45415</v>
      </c>
      <c r="B40" s="76" t="n">
        <f aca="false">IFERROR(IF(OR(NOT(ISNUMBER('Price History'!B41)),NOT(ISNUMBER('Price History'!B40)),'Price History'!B40=0),"",'Price History'!B41/'Price History'!B40-1),"")</f>
        <v>0.0180500879470642</v>
      </c>
      <c r="C40" s="76" t="n">
        <f aca="false">IFERROR(IF(OR(NOT(ISNUMBER('Price History'!C41)),NOT(ISNUMBER('Price History'!C40)),'Price History'!C40=0),"",'Price History'!C41/'Price History'!C40-1),"")</f>
        <v>0.0365669386521605</v>
      </c>
      <c r="D40" s="76" t="n">
        <f aca="false">IFERROR(IF(OR(NOT(ISNUMBER('Price History'!D41)),NOT(ISNUMBER('Price History'!D40)),'Price History'!D40=0),"",'Price History'!D41/'Price History'!D40-1),"")</f>
        <v>-0.0188689511083061</v>
      </c>
      <c r="E40" s="76" t="n">
        <f aca="false">IFERROR(IF(OR(NOT(ISNUMBER('Price History'!E41)),NOT(ISNUMBER('Price History'!E40)),'Price History'!E40=0),"",'Price History'!E41/'Price History'!E40-1),"")</f>
        <v>-0.049103489323711</v>
      </c>
      <c r="F40" s="76" t="n">
        <f aca="false">IFERROR(IF(OR(NOT(ISNUMBER('Price History'!F41)),NOT(ISNUMBER('Price History'!F40)),'Price History'!F40=0),"",'Price History'!F41/'Price History'!F40-1),"")</f>
        <v>0.0201262825572217</v>
      </c>
      <c r="G40" s="76" t="n">
        <f aca="false">IFERROR(IF(OR(NOT(ISNUMBER('Price History'!G41)),NOT(ISNUMBER('Price History'!G40)),'Price History'!G40=0),"",'Price History'!G41/'Price History'!G40-1),"")</f>
        <v>-0.0137335409882486</v>
      </c>
      <c r="H40" s="76" t="n">
        <f aca="false">IFERROR(IF(OR(NOT(ISNUMBER('Price History'!H41)),NOT(ISNUMBER('Price History'!H40)),'Price History'!H40=0),"",'Price History'!H41/'Price History'!H40-1),"")</f>
        <v>-0.00121908742598398</v>
      </c>
      <c r="I40" s="76" t="n">
        <f aca="false">IFERROR(IF(OR(NOT(ISNUMBER('Price History'!I41)),NOT(ISNUMBER('Price History'!I40)),'Price History'!I40=0),"",'Price History'!I41/'Price History'!I40-1),"")</f>
        <v>0.0119671757465241</v>
      </c>
      <c r="J40" s="76" t="n">
        <f aca="false">IFERROR(IF(OR(NOT(ISNUMBER('Price History'!J41)),NOT(ISNUMBER('Price History'!J40)),'Price History'!J40=0),"",'Price History'!J41/'Price History'!J40-1),"")</f>
        <v>0.0175860080722661</v>
      </c>
      <c r="K40" s="76" t="n">
        <f aca="false">IFERROR(IF(OR(NOT(ISNUMBER('Price History'!K41)),NOT(ISNUMBER('Price History'!K40)),'Price History'!K40=0),"",'Price History'!K41/'Price History'!K40-1),"")</f>
        <v>0.0359680284191828</v>
      </c>
      <c r="L40" s="76" t="n">
        <f aca="false">IFERROR(IF(OR(NOT(ISNUMBER('Price History'!L41)),NOT(ISNUMBER('Price History'!L40)),'Price History'!L40=0),"",'Price History'!L41/'Price History'!L40-1),"")</f>
        <v>0.0235719450469991</v>
      </c>
      <c r="M40" s="76" t="n">
        <f aca="false">IFERROR(IF(OR(NOT(ISNUMBER('Price History'!M41)),NOT(ISNUMBER('Price History'!M40)),'Price History'!M40=0),"",'Price History'!M41/'Price History'!M40-1),"")</f>
        <v>-0.00513423895603793</v>
      </c>
      <c r="N40" s="76" t="n">
        <f aca="false">IFERROR(IF(OR(NOT(ISNUMBER('Price History'!N41)),NOT(ISNUMBER('Price History'!N40)),'Price History'!N40=0),"",'Price History'!N41/'Price History'!N40-1),"")</f>
        <v>0.00905705947469038</v>
      </c>
      <c r="O40" s="76" t="n">
        <f aca="false">IFERROR(IF(OR(NOT(ISNUMBER('Price History'!O41)),NOT(ISNUMBER('Price History'!O40)),'Price History'!O40=0),"",'Price History'!O41/'Price History'!O40-1),"")</f>
        <v>0.00687056737588665</v>
      </c>
      <c r="P40" s="76" t="str">
        <f aca="false">IFERROR(IF(OR(NOT(ISNUMBER('Price History'!P41)),NOT(ISNUMBER('Price History'!P40)),'Price History'!P40=0),"",'Price History'!P41/'Price History'!P40-1),"")</f>
        <v/>
      </c>
      <c r="Q40" s="76" t="n">
        <f aca="false">IFERROR(IF(OR(NOT(ISNUMBER('Price History'!Q41)),NOT(ISNUMBER('Price History'!Q40)),'Price History'!Q40=0),"",'Price History'!Q41/'Price History'!Q40-1),"")</f>
        <v>0.00326404397869773</v>
      </c>
      <c r="R40" s="76" t="n">
        <f aca="false">IFERROR(IF(OR(NOT(ISNUMBER('Price History'!R41)),NOT(ISNUMBER('Price History'!R40)),'Price History'!R40=0),"",'Price History'!R41/'Price History'!R40-1),"")</f>
        <v>0.00170907709836698</v>
      </c>
      <c r="S40" s="76" t="n">
        <f aca="false">IFERROR(IF(OR(NOT(ISNUMBER('Price History'!S41)),NOT(ISNUMBER('Price History'!S40)),'Price History'!S40=0),"",'Price History'!S41/'Price History'!S40-1),"")</f>
        <v>0.00986244484817012</v>
      </c>
      <c r="T40" s="76" t="n">
        <f aca="false">IFERROR(IF(OR(NOT(ISNUMBER('Price History'!T41)),NOT(ISNUMBER('Price History'!T40)),'Price History'!T40=0),"",'Price History'!T41/'Price History'!T40-1),"")</f>
        <v>-0.0156449553001278</v>
      </c>
      <c r="U40" s="76" t="str">
        <f aca="false">IFERROR(IF(OR(NOT(ISNUMBER('Price History'!U41)),NOT(ISNUMBER('Price History'!U40)),'Price History'!U40=0),"",'Price History'!U41/'Price History'!U40-1),"")</f>
        <v/>
      </c>
      <c r="W40" s="77" t="n">
        <f aca="false">'Price History'!B3+('Price History'!B158-'Price History'!B3)*0.24025974025974</f>
        <v>446.453376623377</v>
      </c>
      <c r="X40" s="77" t="n">
        <f aca="false">'Price History'!C3+('Price History'!C158-'Price History'!C3)*0.24025974025974</f>
        <v>76.5618831168831</v>
      </c>
      <c r="Y40" s="77" t="n">
        <f aca="false">'Price History'!D3+('Price History'!D158-'Price History'!D3)*0.24025974025974</f>
        <v>894.164025974026</v>
      </c>
      <c r="Z40" s="77" t="n">
        <f aca="false">'Price History'!E3+('Price History'!E158-'Price History'!E3)*0.24025974025974</f>
        <v>156.571558441558</v>
      </c>
      <c r="AA40" s="77" t="n">
        <f aca="false">'Price History'!F3+('Price History'!F158-'Price History'!F3)*0.24025974025974</f>
        <v>74.011948051948</v>
      </c>
      <c r="AB40" s="77" t="n">
        <f aca="false">'Price History'!G3+('Price History'!G158-'Price History'!G3)*0.24025974025974</f>
        <v>80.3158441558441</v>
      </c>
      <c r="AC40" s="77" t="n">
        <f aca="false">'Price History'!H3+('Price History'!H158-'Price History'!H3)*0.24025974025974</f>
        <v>246.645454545454</v>
      </c>
      <c r="AD40" s="77" t="n">
        <f aca="false">'Price History'!I3+('Price History'!I158-'Price History'!I3)*0.24025974025974</f>
        <v>79.2675324675324</v>
      </c>
      <c r="AE40" s="77" t="n">
        <f aca="false">'Price History'!J3+('Price History'!J158-'Price History'!J3)*0.24025974025974</f>
        <v>128.579480519481</v>
      </c>
      <c r="AF40" s="77" t="n">
        <f aca="false">'Price History'!K3+('Price History'!K158-'Price History'!K3)*0.24025974025974</f>
        <v>41.273961038961</v>
      </c>
      <c r="AG40" s="77" t="n">
        <f aca="false">'Price History'!L3+('Price History'!L158-'Price History'!L3)*0.24025974025974</f>
        <v>167.013506493506</v>
      </c>
      <c r="AH40" s="77" t="n">
        <f aca="false">'Price History'!M3+('Price History'!M158-'Price History'!M3)*0.24025974025974</f>
        <v>83.4984415584415</v>
      </c>
      <c r="AI40" s="77" t="n">
        <f aca="false">'Price History'!N3+('Price History'!N158-'Price History'!N3)*0.24025974025974</f>
        <v>380.430649350649</v>
      </c>
      <c r="AJ40" s="77" t="n">
        <f aca="false">'Price History'!O3+('Price History'!O158-'Price History'!O3)*0.24025974025974</f>
        <v>93.0442207792208</v>
      </c>
      <c r="AK40" s="77" t="n">
        <f aca="false">'Price History'!Q3+('Price History'!Q151-'Price History'!Q3)*0.24025974025974</f>
        <v>54.3112337662338</v>
      </c>
      <c r="AL40" s="77" t="n">
        <f aca="false">'Price History'!R3+('Price History'!R158-'Price History'!R3)*0.24025974025974</f>
        <v>50.3259090909091</v>
      </c>
      <c r="AM40" s="77" t="n">
        <f aca="false">'Price History'!S3+('Price History'!S158-'Price History'!S3)*0.24025974025974</f>
        <v>79.0317532467532</v>
      </c>
      <c r="AN40" s="77" t="n">
        <f aca="false">'Price History'!T3+('Price History'!T158-'Price History'!T3)*0.24025974025974</f>
        <v>32.3951298701299</v>
      </c>
    </row>
    <row r="41" customFormat="false" ht="15" hidden="false" customHeight="true" outlineLevel="0" collapsed="false">
      <c r="A41" s="49" t="n">
        <f aca="false">IF('Price History'!A42="","",'Price History'!A42)</f>
        <v>45422</v>
      </c>
      <c r="B41" s="76" t="n">
        <f aca="false">IFERROR(IF(OR(NOT(ISNUMBER('Price History'!B42)),NOT(ISNUMBER('Price History'!B41)),'Price History'!B41=0),"",'Price History'!B42/'Price History'!B41-1),"")</f>
        <v>-0.00800115183676819</v>
      </c>
      <c r="C41" s="76" t="n">
        <f aca="false">IFERROR(IF(OR(NOT(ISNUMBER('Price History'!C42)),NOT(ISNUMBER('Price History'!C41)),'Price History'!C41=0),"",'Price History'!C42/'Price History'!C41-1),"")</f>
        <v>0.144460641399417</v>
      </c>
      <c r="D41" s="76" t="n">
        <f aca="false">IFERROR(IF(OR(NOT(ISNUMBER('Price History'!D42)),NOT(ISNUMBER('Price History'!D41)),'Price History'!D41=0),"",'Price History'!D42/'Price History'!D41-1),"")</f>
        <v>0.0317868748821579</v>
      </c>
      <c r="E41" s="76" t="n">
        <f aca="false">IFERROR(IF(OR(NOT(ISNUMBER('Price History'!E42)),NOT(ISNUMBER('Price History'!E41)),'Price History'!E41=0),"",'Price History'!E42/'Price History'!E41-1),"")</f>
        <v>0.0427979031374697</v>
      </c>
      <c r="F41" s="76" t="n">
        <f aca="false">IFERROR(IF(OR(NOT(ISNUMBER('Price History'!F42)),NOT(ISNUMBER('Price History'!F41)),'Price History'!F41=0),"",'Price History'!F42/'Price History'!F41-1),"")</f>
        <v>0.0340425531914894</v>
      </c>
      <c r="G41" s="76" t="n">
        <f aca="false">IFERROR(IF(OR(NOT(ISNUMBER('Price History'!G42)),NOT(ISNUMBER('Price History'!G41)),'Price History'!G41=0),"",'Price History'!G42/'Price History'!G41-1),"")</f>
        <v>0.0311513063451048</v>
      </c>
      <c r="H41" s="76" t="n">
        <f aca="false">IFERROR(IF(OR(NOT(ISNUMBER('Price History'!H42)),NOT(ISNUMBER('Price History'!H41)),'Price History'!H41=0),"",'Price History'!H42/'Price History'!H41-1),"")</f>
        <v>0.0570183086312117</v>
      </c>
      <c r="I41" s="76" t="n">
        <f aca="false">IFERROR(IF(OR(NOT(ISNUMBER('Price History'!I42)),NOT(ISNUMBER('Price History'!I41)),'Price History'!I41=0),"",'Price History'!I42/'Price History'!I41-1),"")</f>
        <v>0.0122761572249126</v>
      </c>
      <c r="J41" s="76" t="n">
        <f aca="false">IFERROR(IF(OR(NOT(ISNUMBER('Price History'!J42)),NOT(ISNUMBER('Price History'!J41)),'Price History'!J41=0),"",'Price History'!J42/'Price History'!J41-1),"")</f>
        <v>0.015110019831901</v>
      </c>
      <c r="K41" s="76" t="n">
        <f aca="false">IFERROR(IF(OR(NOT(ISNUMBER('Price History'!K42)),NOT(ISNUMBER('Price History'!K41)),'Price History'!K41=0),"",'Price History'!K42/'Price History'!K41-1),"")</f>
        <v>-0.11701671667381</v>
      </c>
      <c r="L41" s="76" t="n">
        <f aca="false">IFERROR(IF(OR(NOT(ISNUMBER('Price History'!L42)),NOT(ISNUMBER('Price History'!L41)),'Price History'!L41=0),"",'Price History'!L42/'Price History'!L41-1),"")</f>
        <v>0.054393896580955</v>
      </c>
      <c r="M41" s="76" t="n">
        <f aca="false">IFERROR(IF(OR(NOT(ISNUMBER('Price History'!M42)),NOT(ISNUMBER('Price History'!M41)),'Price History'!M41=0),"",'Price History'!M42/'Price History'!M41-1),"")</f>
        <v>0.0256961617030427</v>
      </c>
      <c r="N41" s="76" t="n">
        <f aca="false">IFERROR(IF(OR(NOT(ISNUMBER('Price History'!N42)),NOT(ISNUMBER('Price History'!N41)),'Price History'!N41=0),"",'Price History'!N42/'Price History'!N41-1),"")</f>
        <v>0.0541039194175725</v>
      </c>
      <c r="O41" s="76" t="n">
        <f aca="false">IFERROR(IF(OR(NOT(ISNUMBER('Price History'!O42)),NOT(ISNUMBER('Price History'!O41)),'Price History'!O41=0),"",'Price History'!O42/'Price History'!O41-1),"")</f>
        <v>0.017279330838653</v>
      </c>
      <c r="P41" s="76" t="str">
        <f aca="false">IFERROR(IF(OR(NOT(ISNUMBER('Price History'!P42)),NOT(ISNUMBER('Price History'!P41)),'Price History'!P41=0),"",'Price History'!P42/'Price History'!P41-1),"")</f>
        <v/>
      </c>
      <c r="Q41" s="76" t="n">
        <f aca="false">IFERROR(IF(OR(NOT(ISNUMBER('Price History'!Q42)),NOT(ISNUMBER('Price History'!Q41)),'Price History'!Q41=0),"",'Price History'!Q42/'Price History'!Q41-1),"")</f>
        <v>0.00273972602739736</v>
      </c>
      <c r="R41" s="76" t="n">
        <f aca="false">IFERROR(IF(OR(NOT(ISNUMBER('Price History'!R42)),NOT(ISNUMBER('Price History'!R41)),'Price History'!R41=0),"",'Price History'!R42/'Price History'!R41-1),"")</f>
        <v>0.0138388625592416</v>
      </c>
      <c r="S41" s="76" t="n">
        <f aca="false">IFERROR(IF(OR(NOT(ISNUMBER('Price History'!S42)),NOT(ISNUMBER('Price History'!S41)),'Price History'!S41=0),"",'Price History'!S42/'Price History'!S41-1),"")</f>
        <v>0.0222307890002571</v>
      </c>
      <c r="T41" s="76" t="n">
        <f aca="false">IFERROR(IF(OR(NOT(ISNUMBER('Price History'!T42)),NOT(ISNUMBER('Price History'!T41)),'Price History'!T41=0),"",'Price History'!T42/'Price History'!T41-1),"")</f>
        <v>0.0220564385338957</v>
      </c>
      <c r="U41" s="76" t="str">
        <f aca="false">IFERROR(IF(OR(NOT(ISNUMBER('Price History'!U42)),NOT(ISNUMBER('Price History'!U41)),'Price History'!U41=0),"",'Price History'!U42/'Price History'!U41-1),"")</f>
        <v/>
      </c>
      <c r="W41" s="77" t="n">
        <f aca="false">'Price History'!B3+('Price History'!B158-'Price History'!B3)*0.246753246753247</f>
        <v>444.777792207792</v>
      </c>
      <c r="X41" s="77" t="n">
        <f aca="false">'Price History'!C3+('Price History'!C158-'Price History'!C3)*0.246753246753247</f>
        <v>77.4489610389611</v>
      </c>
      <c r="Y41" s="77" t="n">
        <f aca="false">'Price History'!D3+('Price History'!D158-'Price History'!D3)*0.246753246753247</f>
        <v>900.444675324676</v>
      </c>
      <c r="Z41" s="77" t="n">
        <f aca="false">'Price History'!E3+('Price History'!E158-'Price History'!E3)*0.246753246753247</f>
        <v>158.56051948052</v>
      </c>
      <c r="AA41" s="77" t="n">
        <f aca="false">'Price History'!F3+('Price History'!F158-'Price History'!F3)*0.246753246753247</f>
        <v>75.0106493506494</v>
      </c>
      <c r="AB41" s="77" t="n">
        <f aca="false">'Price History'!G3+('Price History'!G158-'Price History'!G3)*0.246753246753247</f>
        <v>81.1919480519481</v>
      </c>
      <c r="AC41" s="77" t="n">
        <f aca="false">'Price History'!H3+('Price History'!H158-'Price History'!H3)*0.246753246753247</f>
        <v>251.571818181818</v>
      </c>
      <c r="AD41" s="77" t="n">
        <f aca="false">'Price History'!I3+('Price History'!I158-'Price History'!I3)*0.246753246753247</f>
        <v>80.3058441558442</v>
      </c>
      <c r="AE41" s="77" t="n">
        <f aca="false">'Price History'!J3+('Price History'!J158-'Price History'!J3)*0.246753246753247</f>
        <v>128.716493506494</v>
      </c>
      <c r="AF41" s="77" t="n">
        <f aca="false">'Price History'!K3+('Price History'!K158-'Price History'!K3)*0.246753246753247</f>
        <v>41.972987012987</v>
      </c>
      <c r="AG41" s="77" t="n">
        <f aca="false">'Price History'!L3+('Price History'!L158-'Price History'!L3)*0.246753246753247</f>
        <v>169.041168831169</v>
      </c>
      <c r="AH41" s="77" t="n">
        <f aca="false">'Price History'!M3+('Price History'!M158-'Price History'!M3)*0.246753246753247</f>
        <v>84.8494805194806</v>
      </c>
      <c r="AI41" s="77" t="n">
        <f aca="false">'Price History'!N3+('Price History'!N158-'Price History'!N3)*0.246753246753247</f>
        <v>381.256883116883</v>
      </c>
      <c r="AJ41" s="77" t="n">
        <f aca="false">'Price History'!O3+('Price History'!O158-'Price History'!O3)*0.246753246753247</f>
        <v>93.3197402597403</v>
      </c>
      <c r="AK41" s="77" t="n">
        <f aca="false">'Price History'!Q3+('Price History'!Q151-'Price History'!Q3)*0.246753246753247</f>
        <v>54.4320779220779</v>
      </c>
      <c r="AL41" s="77" t="n">
        <f aca="false">'Price History'!R3+('Price History'!R158-'Price History'!R3)*0.246753246753247</f>
        <v>50.3936363636364</v>
      </c>
      <c r="AM41" s="77" t="n">
        <f aca="false">'Price History'!S3+('Price History'!S158-'Price History'!S3)*0.246753246753247</f>
        <v>79.5855844155844</v>
      </c>
      <c r="AN41" s="77" t="n">
        <f aca="false">'Price History'!T3+('Price History'!T158-'Price History'!T3)*0.246753246753247</f>
        <v>32.5433766233766</v>
      </c>
    </row>
    <row r="42" customFormat="false" ht="15" hidden="false" customHeight="true" outlineLevel="0" collapsed="false">
      <c r="A42" s="49" t="n">
        <f aca="false">IF('Price History'!A43="","",'Price History'!A43)</f>
        <v>45429</v>
      </c>
      <c r="B42" s="76" t="n">
        <f aca="false">IFERROR(IF(OR(NOT(ISNUMBER('Price History'!B43)),NOT(ISNUMBER('Price History'!B42)),'Price History'!B42=0),"",'Price History'!B43/'Price History'!B42-1),"")</f>
        <v>0.00236372307118127</v>
      </c>
      <c r="C42" s="76" t="n">
        <f aca="false">IFERROR(IF(OR(NOT(ISNUMBER('Price History'!C43)),NOT(ISNUMBER('Price History'!C42)),'Price History'!C42=0),"",'Price History'!C43/'Price History'!C42-1),"")</f>
        <v>0.0185963571519552</v>
      </c>
      <c r="D42" s="76" t="n">
        <f aca="false">IFERROR(IF(OR(NOT(ISNUMBER('Price History'!D43)),NOT(ISNUMBER('Price History'!D42)),'Price History'!D42=0),"",'Price History'!D43/'Price History'!D42-1),"")</f>
        <v>-0.0057186468735555</v>
      </c>
      <c r="E42" s="76" t="n">
        <f aca="false">IFERROR(IF(OR(NOT(ISNUMBER('Price History'!E43)),NOT(ISNUMBER('Price History'!E42)),'Price History'!E42=0),"",'Price History'!E43/'Price History'!E42-1),"")</f>
        <v>0.0468937575030013</v>
      </c>
      <c r="F42" s="76" t="n">
        <f aca="false">IFERROR(IF(OR(NOT(ISNUMBER('Price History'!F43)),NOT(ISNUMBER('Price History'!F42)),'Price History'!F42=0),"",'Price History'!F43/'Price History'!F42-1),"")</f>
        <v>0.0784387080683378</v>
      </c>
      <c r="G42" s="76" t="n">
        <f aca="false">IFERROR(IF(OR(NOT(ISNUMBER('Price History'!G43)),NOT(ISNUMBER('Price History'!G42)),'Price History'!G42=0),"",'Price History'!G43/'Price History'!G42-1),"")</f>
        <v>0.0409299735486566</v>
      </c>
      <c r="H42" s="76" t="n">
        <f aca="false">IFERROR(IF(OR(NOT(ISNUMBER('Price History'!H43)),NOT(ISNUMBER('Price History'!H42)),'Price History'!H42=0),"",'Price History'!H43/'Price History'!H42-1),"")</f>
        <v>0.0334048168921148</v>
      </c>
      <c r="I42" s="76" t="n">
        <f aca="false">IFERROR(IF(OR(NOT(ISNUMBER('Price History'!I43)),NOT(ISNUMBER('Price History'!I42)),'Price History'!I42=0),"",'Price History'!I43/'Price History'!I42-1),"")</f>
        <v>0.0289274588340009</v>
      </c>
      <c r="J42" s="76" t="n">
        <f aca="false">IFERROR(IF(OR(NOT(ISNUMBER('Price History'!J43)),NOT(ISNUMBER('Price History'!J42)),'Price History'!J42=0),"",'Price History'!J43/'Price History'!J42-1),"")</f>
        <v>0.0373057958879897</v>
      </c>
      <c r="K42" s="76" t="n">
        <f aca="false">IFERROR(IF(OR(NOT(ISNUMBER('Price History'!K43)),NOT(ISNUMBER('Price History'!K42)),'Price History'!K42=0),"",'Price History'!K43/'Price History'!K42-1),"")</f>
        <v>0.0563106796116506</v>
      </c>
      <c r="L42" s="76" t="n">
        <f aca="false">IFERROR(IF(OR(NOT(ISNUMBER('Price History'!L43)),NOT(ISNUMBER('Price History'!L42)),'Price History'!L42=0),"",'Price History'!L43/'Price History'!L42-1),"")</f>
        <v>0.0162133190406004</v>
      </c>
      <c r="M42" s="76" t="n">
        <f aca="false">IFERROR(IF(OR(NOT(ISNUMBER('Price History'!M43)),NOT(ISNUMBER('Price History'!M42)),'Price History'!M42=0),"",'Price History'!M43/'Price History'!M42-1),"")</f>
        <v>0.0147798742138365</v>
      </c>
      <c r="N42" s="76" t="n">
        <f aca="false">IFERROR(IF(OR(NOT(ISNUMBER('Price History'!N43)),NOT(ISNUMBER('Price History'!N42)),'Price History'!N42=0),"",'Price History'!N43/'Price History'!N42-1),"")</f>
        <v>0.0530535976157813</v>
      </c>
      <c r="O42" s="76" t="n">
        <f aca="false">IFERROR(IF(OR(NOT(ISNUMBER('Price History'!O43)),NOT(ISNUMBER('Price History'!O42)),'Price History'!O42=0),"",'Price History'!O43/'Price History'!O42-1),"")</f>
        <v>0.0110353781239856</v>
      </c>
      <c r="P42" s="76" t="str">
        <f aca="false">IFERROR(IF(OR(NOT(ISNUMBER('Price History'!P43)),NOT(ISNUMBER('Price History'!P42)),'Price History'!P42=0),"",'Price History'!P43/'Price History'!P42-1),"")</f>
        <v/>
      </c>
      <c r="Q42" s="76" t="n">
        <f aca="false">IFERROR(IF(OR(NOT(ISNUMBER('Price History'!Q43)),NOT(ISNUMBER('Price History'!Q42)),'Price History'!Q42=0),"",'Price History'!Q43/'Price History'!Q42-1),"")</f>
        <v>0.00717213114754078</v>
      </c>
      <c r="R42" s="76" t="n">
        <f aca="false">IFERROR(IF(OR(NOT(ISNUMBER('Price History'!R43)),NOT(ISNUMBER('Price History'!R42)),'Price History'!R42=0),"",'Price History'!R43/'Price History'!R42-1),"")</f>
        <v>0.011967090501122</v>
      </c>
      <c r="S42" s="76" t="n">
        <f aca="false">IFERROR(IF(OR(NOT(ISNUMBER('Price History'!S43)),NOT(ISNUMBER('Price History'!S42)),'Price History'!S42=0),"",'Price History'!S43/'Price History'!S42-1),"")</f>
        <v>0.0150848522941547</v>
      </c>
      <c r="T42" s="76" t="n">
        <f aca="false">IFERROR(IF(OR(NOT(ISNUMBER('Price History'!T43)),NOT(ISNUMBER('Price History'!T42)),'Price History'!T42=0),"",'Price History'!T43/'Price History'!T42-1),"")</f>
        <v>0.00920342748333858</v>
      </c>
      <c r="U42" s="76" t="str">
        <f aca="false">IFERROR(IF(OR(NOT(ISNUMBER('Price History'!U43)),NOT(ISNUMBER('Price History'!U42)),'Price History'!U42=0),"",'Price History'!U43/'Price History'!U42-1),"")</f>
        <v/>
      </c>
      <c r="W42" s="77" t="n">
        <f aca="false">'Price History'!B3+('Price History'!B158-'Price History'!B3)*0.253246753246753</f>
        <v>443.102207792208</v>
      </c>
      <c r="X42" s="77" t="n">
        <f aca="false">'Price History'!C3+('Price History'!C158-'Price History'!C3)*0.253246753246753</f>
        <v>78.3360389610389</v>
      </c>
      <c r="Y42" s="77" t="n">
        <f aca="false">'Price History'!D3+('Price History'!D158-'Price History'!D3)*0.253246753246753</f>
        <v>906.725324675324</v>
      </c>
      <c r="Z42" s="77" t="n">
        <f aca="false">'Price History'!E3+('Price History'!E158-'Price History'!E3)*0.253246753246753</f>
        <v>160.54948051948</v>
      </c>
      <c r="AA42" s="77" t="n">
        <f aca="false">'Price History'!F3+('Price History'!F158-'Price History'!F3)*0.253246753246753</f>
        <v>76.0093506493506</v>
      </c>
      <c r="AB42" s="77" t="n">
        <f aca="false">'Price History'!G3+('Price History'!G158-'Price History'!G3)*0.253246753246753</f>
        <v>82.0680519480519</v>
      </c>
      <c r="AC42" s="77" t="n">
        <f aca="false">'Price History'!H3+('Price History'!H158-'Price History'!H3)*0.253246753246753</f>
        <v>256.498181818182</v>
      </c>
      <c r="AD42" s="77" t="n">
        <f aca="false">'Price History'!I3+('Price History'!I158-'Price History'!I3)*0.253246753246753</f>
        <v>81.3441558441558</v>
      </c>
      <c r="AE42" s="77" t="n">
        <f aca="false">'Price History'!J3+('Price History'!J158-'Price History'!J3)*0.253246753246753</f>
        <v>128.853506493507</v>
      </c>
      <c r="AF42" s="77" t="n">
        <f aca="false">'Price History'!K3+('Price History'!K158-'Price History'!K3)*0.253246753246753</f>
        <v>42.672012987013</v>
      </c>
      <c r="AG42" s="77" t="n">
        <f aca="false">'Price History'!L3+('Price History'!L158-'Price History'!L3)*0.253246753246753</f>
        <v>171.068831168831</v>
      </c>
      <c r="AH42" s="77" t="n">
        <f aca="false">'Price History'!M3+('Price History'!M158-'Price History'!M3)*0.253246753246753</f>
        <v>86.2005194805194</v>
      </c>
      <c r="AI42" s="77" t="n">
        <f aca="false">'Price History'!N3+('Price History'!N158-'Price History'!N3)*0.253246753246753</f>
        <v>382.083116883117</v>
      </c>
      <c r="AJ42" s="77" t="n">
        <f aca="false">'Price History'!O3+('Price History'!O158-'Price History'!O3)*0.253246753246753</f>
        <v>93.5952597402597</v>
      </c>
      <c r="AK42" s="77" t="n">
        <f aca="false">'Price History'!Q3+('Price History'!Q151-'Price History'!Q3)*0.253246753246753</f>
        <v>54.5529220779221</v>
      </c>
      <c r="AL42" s="77" t="n">
        <f aca="false">'Price History'!R3+('Price History'!R158-'Price History'!R3)*0.253246753246753</f>
        <v>50.4613636363636</v>
      </c>
      <c r="AM42" s="77" t="n">
        <f aca="false">'Price History'!S3+('Price History'!S158-'Price History'!S3)*0.253246753246753</f>
        <v>80.1394155844156</v>
      </c>
      <c r="AN42" s="77" t="n">
        <f aca="false">'Price History'!T3+('Price History'!T158-'Price History'!T3)*0.253246753246753</f>
        <v>32.6916233766234</v>
      </c>
    </row>
    <row r="43" customFormat="false" ht="15" hidden="false" customHeight="true" outlineLevel="0" collapsed="false">
      <c r="A43" s="49" t="n">
        <f aca="false">IF('Price History'!A44="","",'Price History'!A44)</f>
        <v>45436</v>
      </c>
      <c r="B43" s="76" t="n">
        <f aca="false">IFERROR(IF(OR(NOT(ISNUMBER('Price History'!B44)),NOT(ISNUMBER('Price History'!B43)),'Price History'!B43=0),"",'Price History'!B44/'Price History'!B43-1),"")</f>
        <v>-0.0165484144550401</v>
      </c>
      <c r="C43" s="76" t="n">
        <f aca="false">IFERROR(IF(OR(NOT(ISNUMBER('Price History'!C44)),NOT(ISNUMBER('Price History'!C43)),'Price History'!C43=0),"",'Price History'!C44/'Price History'!C43-1),"")</f>
        <v>-0.0416406152307115</v>
      </c>
      <c r="D43" s="76" t="n">
        <f aca="false">IFERROR(IF(OR(NOT(ISNUMBER('Price History'!D44)),NOT(ISNUMBER('Price History'!D43)),'Price History'!D43=0),"",'Price History'!D44/'Price History'!D43-1),"")</f>
        <v>0.0337848795096056</v>
      </c>
      <c r="E43" s="76" t="n">
        <f aca="false">IFERROR(IF(OR(NOT(ISNUMBER('Price History'!E44)),NOT(ISNUMBER('Price History'!E43)),'Price History'!E43=0),"",'Price History'!E44/'Price History'!E43-1),"")</f>
        <v>0.00895864688597436</v>
      </c>
      <c r="F43" s="76" t="n">
        <f aca="false">IFERROR(IF(OR(NOT(ISNUMBER('Price History'!F44)),NOT(ISNUMBER('Price History'!F43)),'Price History'!F43=0),"",'Price History'!F44/'Price History'!F43-1),"")</f>
        <v>0.0160730804810361</v>
      </c>
      <c r="G43" s="76" t="n">
        <f aca="false">IFERROR(IF(OR(NOT(ISNUMBER('Price History'!G44)),NOT(ISNUMBER('Price History'!G43)),'Price History'!G43=0),"",'Price History'!G44/'Price History'!G43-1),"")</f>
        <v>0.0419954527216799</v>
      </c>
      <c r="H43" s="76" t="n">
        <f aca="false">IFERROR(IF(OR(NOT(ISNUMBER('Price History'!H44)),NOT(ISNUMBER('Price History'!H43)),'Price History'!H43=0),"",'Price History'!H44/'Price History'!H43-1),"")</f>
        <v>0.0335222284300423</v>
      </c>
      <c r="I43" s="76" t="n">
        <f aca="false">IFERROR(IF(OR(NOT(ISNUMBER('Price History'!I44)),NOT(ISNUMBER('Price History'!I43)),'Price History'!I43=0),"",'Price History'!I44/'Price History'!I43-1),"")</f>
        <v>0.151275951557093</v>
      </c>
      <c r="J43" s="76" t="n">
        <f aca="false">IFERROR(IF(OR(NOT(ISNUMBER('Price History'!J44)),NOT(ISNUMBER('Price History'!J43)),'Price History'!J43=0),"",'Price History'!J44/'Price History'!J43-1),"")</f>
        <v>-0.0605381165919282</v>
      </c>
      <c r="K43" s="76" t="n">
        <f aca="false">IFERROR(IF(OR(NOT(ISNUMBER('Price History'!K44)),NOT(ISNUMBER('Price History'!K43)),'Price History'!K43=0),"",'Price History'!K44/'Price History'!K43-1),"")</f>
        <v>-0.0344669117647058</v>
      </c>
      <c r="L43" s="76" t="n">
        <f aca="false">IFERROR(IF(OR(NOT(ISNUMBER('Price History'!L44)),NOT(ISNUMBER('Price History'!L43)),'Price History'!L43=0),"",'Price History'!L44/'Price History'!L43-1),"")</f>
        <v>0.0548523206751055</v>
      </c>
      <c r="M43" s="76" t="n">
        <f aca="false">IFERROR(IF(OR(NOT(ISNUMBER('Price History'!M44)),NOT(ISNUMBER('Price History'!M43)),'Price History'!M43=0),"",'Price History'!M44/'Price History'!M43-1),"")</f>
        <v>0.0966842268360706</v>
      </c>
      <c r="N43" s="76" t="n">
        <f aca="false">IFERROR(IF(OR(NOT(ISNUMBER('Price History'!N44)),NOT(ISNUMBER('Price History'!N43)),'Price History'!N43=0),"",'Price History'!N44/'Price History'!N43-1),"")</f>
        <v>0.0263695784012039</v>
      </c>
      <c r="O43" s="76" t="n">
        <f aca="false">IFERROR(IF(OR(NOT(ISNUMBER('Price History'!O44)),NOT(ISNUMBER('Price History'!O43)),'Price History'!O43=0),"",'Price History'!O44/'Price History'!O43-1),"")</f>
        <v>-0.0148742643124665</v>
      </c>
      <c r="P43" s="76" t="str">
        <f aca="false">IFERROR(IF(OR(NOT(ISNUMBER('Price History'!P44)),NOT(ISNUMBER('Price History'!P43)),'Price History'!P43=0),"",'Price History'!P44/'Price History'!P43-1),"")</f>
        <v/>
      </c>
      <c r="Q43" s="76" t="n">
        <f aca="false">IFERROR(IF(OR(NOT(ISNUMBER('Price History'!Q44)),NOT(ISNUMBER('Price History'!Q43)),'Price History'!Q43=0),"",'Price History'!Q44/'Price History'!Q43-1),"")</f>
        <v>0.00339097999321814</v>
      </c>
      <c r="R43" s="76" t="n">
        <f aca="false">IFERROR(IF(OR(NOT(ISNUMBER('Price History'!R44)),NOT(ISNUMBER('Price History'!R43)),'Price History'!R43=0),"",'Price History'!R44/'Price History'!R43-1),"")</f>
        <v>0.00480413895048049</v>
      </c>
      <c r="S43" s="76" t="n">
        <f aca="false">IFERROR(IF(OR(NOT(ISNUMBER('Price History'!S44)),NOT(ISNUMBER('Price History'!S43)),'Price History'!S43=0),"",'Price History'!S44/'Price History'!S43-1),"")</f>
        <v>0.0194427244582043</v>
      </c>
      <c r="T43" s="76" t="n">
        <f aca="false">IFERROR(IF(OR(NOT(ISNUMBER('Price History'!T44)),NOT(ISNUMBER('Price History'!T43)),'Price History'!T43=0),"",'Price History'!T44/'Price History'!T43-1),"")</f>
        <v>-0.0169811320754717</v>
      </c>
      <c r="U43" s="76" t="str">
        <f aca="false">IFERROR(IF(OR(NOT(ISNUMBER('Price History'!U44)),NOT(ISNUMBER('Price History'!U43)),'Price History'!U43=0),"",'Price History'!U44/'Price History'!U43-1),"")</f>
        <v/>
      </c>
      <c r="W43" s="77" t="n">
        <f aca="false">'Price History'!B3+('Price History'!B158-'Price History'!B3)*0.25974025974026</f>
        <v>441.426623376623</v>
      </c>
      <c r="X43" s="77" t="n">
        <f aca="false">'Price History'!C3+('Price History'!C158-'Price History'!C3)*0.25974025974026</f>
        <v>79.2231168831169</v>
      </c>
      <c r="Y43" s="77" t="n">
        <f aca="false">'Price History'!D3+('Price History'!D158-'Price History'!D3)*0.25974025974026</f>
        <v>913.005974025974</v>
      </c>
      <c r="Z43" s="77" t="n">
        <f aca="false">'Price History'!E3+('Price History'!E158-'Price History'!E3)*0.25974025974026</f>
        <v>162.538441558442</v>
      </c>
      <c r="AA43" s="77" t="n">
        <f aca="false">'Price History'!F3+('Price History'!F158-'Price History'!F3)*0.25974025974026</f>
        <v>77.008051948052</v>
      </c>
      <c r="AB43" s="77" t="n">
        <f aca="false">'Price History'!G3+('Price History'!G158-'Price History'!G3)*0.25974025974026</f>
        <v>82.9441558441559</v>
      </c>
      <c r="AC43" s="77" t="n">
        <f aca="false">'Price History'!H3+('Price History'!H158-'Price History'!H3)*0.25974025974026</f>
        <v>261.424545454546</v>
      </c>
      <c r="AD43" s="77" t="n">
        <f aca="false">'Price History'!I3+('Price History'!I158-'Price History'!I3)*0.25974025974026</f>
        <v>82.3824675324676</v>
      </c>
      <c r="AE43" s="77" t="n">
        <f aca="false">'Price History'!J3+('Price History'!J158-'Price History'!J3)*0.25974025974026</f>
        <v>128.990519480519</v>
      </c>
      <c r="AF43" s="77" t="n">
        <f aca="false">'Price History'!K3+('Price History'!K158-'Price History'!K3)*0.25974025974026</f>
        <v>43.371038961039</v>
      </c>
      <c r="AG43" s="77" t="n">
        <f aca="false">'Price History'!L3+('Price History'!L158-'Price History'!L3)*0.25974025974026</f>
        <v>173.096493506494</v>
      </c>
      <c r="AH43" s="77" t="n">
        <f aca="false">'Price History'!M3+('Price History'!M158-'Price History'!M3)*0.25974025974026</f>
        <v>87.5515584415585</v>
      </c>
      <c r="AI43" s="77" t="n">
        <f aca="false">'Price History'!N3+('Price History'!N158-'Price History'!N3)*0.25974025974026</f>
        <v>382.909350649351</v>
      </c>
      <c r="AJ43" s="77" t="n">
        <f aca="false">'Price History'!O3+('Price History'!O158-'Price History'!O3)*0.25974025974026</f>
        <v>93.8707792207792</v>
      </c>
      <c r="AK43" s="77" t="n">
        <f aca="false">'Price History'!Q3+('Price History'!Q151-'Price History'!Q3)*0.25974025974026</f>
        <v>54.6737662337662</v>
      </c>
      <c r="AL43" s="77" t="n">
        <f aca="false">'Price History'!R3+('Price History'!R158-'Price History'!R3)*0.25974025974026</f>
        <v>50.5290909090909</v>
      </c>
      <c r="AM43" s="77" t="n">
        <f aca="false">'Price History'!S3+('Price History'!S158-'Price History'!S3)*0.25974025974026</f>
        <v>80.6932467532468</v>
      </c>
      <c r="AN43" s="77" t="n">
        <f aca="false">'Price History'!T3+('Price History'!T158-'Price History'!T3)*0.25974025974026</f>
        <v>32.8398701298701</v>
      </c>
    </row>
    <row r="44" customFormat="false" ht="15" hidden="false" customHeight="true" outlineLevel="0" collapsed="false">
      <c r="A44" s="49" t="n">
        <f aca="false">IF('Price History'!A45="","",'Price History'!A45)</f>
        <v>45443</v>
      </c>
      <c r="B44" s="76" t="n">
        <f aca="false">IFERROR(IF(OR(NOT(ISNUMBER('Price History'!B45)),NOT(ISNUMBER('Price History'!B44)),'Price History'!B44=0),"",'Price History'!B45/'Price History'!B44-1),"")</f>
        <v>-0.0645100225059421</v>
      </c>
      <c r="C44" s="76" t="n">
        <f aca="false">IFERROR(IF(OR(NOT(ISNUMBER('Price History'!C45)),NOT(ISNUMBER('Price History'!C44)),'Price History'!C44=0),"",'Price History'!C45/'Price History'!C44-1),"")</f>
        <v>-0.0290970772442589</v>
      </c>
      <c r="D44" s="76" t="n">
        <f aca="false">IFERROR(IF(OR(NOT(ISNUMBER('Price History'!D45)),NOT(ISNUMBER('Price History'!D44)),'Price History'!D44=0),"",'Price History'!D45/'Price History'!D44-1),"")</f>
        <v>0.00431908974922091</v>
      </c>
      <c r="E44" s="76" t="n">
        <f aca="false">IFERROR(IF(OR(NOT(ISNUMBER('Price History'!E45)),NOT(ISNUMBER('Price History'!E44)),'Price History'!E44=0),"",'Price History'!E45/'Price History'!E44-1),"")</f>
        <v>-0.0563290240090922</v>
      </c>
      <c r="F44" s="76" t="n">
        <f aca="false">IFERROR(IF(OR(NOT(ISNUMBER('Price History'!F45)),NOT(ISNUMBER('Price History'!F44)),'Price History'!F44=0),"",'Price History'!F45/'Price History'!F44-1),"")</f>
        <v>-0.107545237282349</v>
      </c>
      <c r="G44" s="76" t="n">
        <f aca="false">IFERROR(IF(OR(NOT(ISNUMBER('Price History'!G45)),NOT(ISNUMBER('Price History'!G44)),'Price History'!G44=0),"",'Price History'!G45/'Price History'!G44-1),"")</f>
        <v>-0.0251572327044024</v>
      </c>
      <c r="H44" s="76" t="n">
        <f aca="false">IFERROR(IF(OR(NOT(ISNUMBER('Price History'!H45)),NOT(ISNUMBER('Price History'!H44)),'Price History'!H44=0),"",'Price History'!H45/'Price History'!H44-1),"")</f>
        <v>-0.0346744922387829</v>
      </c>
      <c r="I44" s="76" t="n">
        <f aca="false">IFERROR(IF(OR(NOT(ISNUMBER('Price History'!I45)),NOT(ISNUMBER('Price History'!I44)),'Price History'!I44=0),"",'Price History'!I45/'Price History'!I44-1),"")</f>
        <v>0.0296797219874143</v>
      </c>
      <c r="J44" s="76" t="n">
        <f aca="false">IFERROR(IF(OR(NOT(ISNUMBER('Price History'!J45)),NOT(ISNUMBER('Price History'!J44)),'Price History'!J44=0),"",'Price History'!J45/'Price History'!J44-1),"")</f>
        <v>0.054797136038186</v>
      </c>
      <c r="K44" s="76" t="n">
        <f aca="false">IFERROR(IF(OR(NOT(ISNUMBER('Price History'!K45)),NOT(ISNUMBER('Price History'!K44)),'Price History'!K44=0),"",'Price History'!K45/'Price History'!K44-1),"")</f>
        <v>0.031889576392194</v>
      </c>
      <c r="L44" s="76" t="n">
        <f aca="false">IFERROR(IF(OR(NOT(ISNUMBER('Price History'!L45)),NOT(ISNUMBER('Price History'!L44)),'Price History'!L44=0),"",'Price History'!L45/'Price History'!L44-1),"")</f>
        <v>-0.0560000000000001</v>
      </c>
      <c r="M44" s="76" t="n">
        <f aca="false">IFERROR(IF(OR(NOT(ISNUMBER('Price History'!M45)),NOT(ISNUMBER('Price History'!M44)),'Price History'!M44=0),"",'Price History'!M45/'Price History'!M44-1),"")</f>
        <v>-0.0762927380615994</v>
      </c>
      <c r="N44" s="76" t="n">
        <f aca="false">IFERROR(IF(OR(NOT(ISNUMBER('Price History'!N45)),NOT(ISNUMBER('Price History'!N44)),'Price History'!N44=0),"",'Price History'!N45/'Price History'!N44-1),"")</f>
        <v>-0.00352336141809828</v>
      </c>
      <c r="O44" s="76" t="n">
        <f aca="false">IFERROR(IF(OR(NOT(ISNUMBER('Price History'!O45)),NOT(ISNUMBER('Price History'!O44)),'Price History'!O44=0),"",'Price History'!O45/'Price History'!O44-1),"")</f>
        <v>0.0107538561807516</v>
      </c>
      <c r="P44" s="76" t="str">
        <f aca="false">IFERROR(IF(OR(NOT(ISNUMBER('Price History'!P45)),NOT(ISNUMBER('Price History'!P44)),'Price History'!P44=0),"",'Price History'!P45/'Price History'!P44-1),"")</f>
        <v/>
      </c>
      <c r="Q44" s="76" t="n">
        <f aca="false">IFERROR(IF(OR(NOT(ISNUMBER('Price History'!Q45)),NOT(ISNUMBER('Price History'!Q44)),'Price History'!Q44=0),"",'Price History'!Q45/'Price History'!Q44-1),"")</f>
        <v>-0.00659006421088204</v>
      </c>
      <c r="R44" s="76" t="n">
        <f aca="false">IFERROR(IF(OR(NOT(ISNUMBER('Price History'!R45)),NOT(ISNUMBER('Price History'!R44)),'Price History'!R44=0),"",'Price History'!R45/'Price History'!R44-1),"")</f>
        <v>-0.00349393159249733</v>
      </c>
      <c r="S44" s="76" t="n">
        <f aca="false">IFERROR(IF(OR(NOT(ISNUMBER('Price History'!S45)),NOT(ISNUMBER('Price History'!S44)),'Price History'!S44=0),"",'Price History'!S45/'Price History'!S44-1),"")</f>
        <v>-0.0109329446064139</v>
      </c>
      <c r="T44" s="76" t="n">
        <f aca="false">IFERROR(IF(OR(NOT(ISNUMBER('Price History'!T45)),NOT(ISNUMBER('Price History'!T44)),'Price History'!T44=0),"",'Price History'!T45/'Price History'!T44-1),"")</f>
        <v>0.0115163147792705</v>
      </c>
      <c r="U44" s="76" t="str">
        <f aca="false">IFERROR(IF(OR(NOT(ISNUMBER('Price History'!U45)),NOT(ISNUMBER('Price History'!U44)),'Price History'!U44=0),"",'Price History'!U45/'Price History'!U44-1),"")</f>
        <v/>
      </c>
      <c r="W44" s="77" t="n">
        <f aca="false">'Price History'!B3+('Price History'!B158-'Price History'!B3)*0.266233766233766</f>
        <v>439.751038961039</v>
      </c>
      <c r="X44" s="77" t="n">
        <f aca="false">'Price History'!C3+('Price History'!C158-'Price History'!C3)*0.266233766233766</f>
        <v>80.1101948051948</v>
      </c>
      <c r="Y44" s="77" t="n">
        <f aca="false">'Price History'!D3+('Price History'!D158-'Price History'!D3)*0.266233766233766</f>
        <v>919.286623376623</v>
      </c>
      <c r="Z44" s="77" t="n">
        <f aca="false">'Price History'!E3+('Price History'!E158-'Price History'!E3)*0.266233766233766</f>
        <v>164.527402597403</v>
      </c>
      <c r="AA44" s="77" t="n">
        <f aca="false">'Price History'!F3+('Price History'!F158-'Price History'!F3)*0.266233766233766</f>
        <v>78.0067532467532</v>
      </c>
      <c r="AB44" s="77" t="n">
        <f aca="false">'Price History'!G3+('Price History'!G158-'Price History'!G3)*0.266233766233766</f>
        <v>83.8202597402597</v>
      </c>
      <c r="AC44" s="77" t="n">
        <f aca="false">'Price History'!H3+('Price History'!H158-'Price History'!H3)*0.266233766233766</f>
        <v>266.350909090909</v>
      </c>
      <c r="AD44" s="77" t="n">
        <f aca="false">'Price History'!I3+('Price History'!I158-'Price History'!I3)*0.266233766233766</f>
        <v>83.4207792207792</v>
      </c>
      <c r="AE44" s="77" t="n">
        <f aca="false">'Price History'!J3+('Price History'!J158-'Price History'!J3)*0.266233766233766</f>
        <v>129.127532467532</v>
      </c>
      <c r="AF44" s="77" t="n">
        <f aca="false">'Price History'!K3+('Price History'!K158-'Price History'!K3)*0.266233766233766</f>
        <v>44.0700649350649</v>
      </c>
      <c r="AG44" s="77" t="n">
        <f aca="false">'Price History'!L3+('Price History'!L158-'Price History'!L3)*0.266233766233766</f>
        <v>175.124155844156</v>
      </c>
      <c r="AH44" s="77" t="n">
        <f aca="false">'Price History'!M3+('Price History'!M158-'Price History'!M3)*0.266233766233766</f>
        <v>88.9025974025974</v>
      </c>
      <c r="AI44" s="77" t="n">
        <f aca="false">'Price History'!N3+('Price History'!N158-'Price History'!N3)*0.266233766233766</f>
        <v>383.735584415584</v>
      </c>
      <c r="AJ44" s="77" t="n">
        <f aca="false">'Price History'!O3+('Price History'!O158-'Price History'!O3)*0.266233766233766</f>
        <v>94.1462987012987</v>
      </c>
      <c r="AK44" s="77" t="n">
        <f aca="false">'Price History'!Q3+('Price History'!Q151-'Price History'!Q3)*0.266233766233766</f>
        <v>54.7946103896104</v>
      </c>
      <c r="AL44" s="77" t="n">
        <f aca="false">'Price History'!R3+('Price History'!R158-'Price History'!R3)*0.266233766233766</f>
        <v>50.5968181818182</v>
      </c>
      <c r="AM44" s="77" t="n">
        <f aca="false">'Price History'!S3+('Price History'!S158-'Price History'!S3)*0.266233766233766</f>
        <v>81.2470779220779</v>
      </c>
      <c r="AN44" s="77" t="n">
        <f aca="false">'Price History'!T3+('Price History'!T158-'Price History'!T3)*0.266233766233766</f>
        <v>32.9881168831169</v>
      </c>
    </row>
    <row r="45" customFormat="false" ht="15" hidden="false" customHeight="true" outlineLevel="0" collapsed="false">
      <c r="A45" s="49" t="n">
        <f aca="false">IF('Price History'!A46="","",'Price History'!A46)</f>
        <v>45450</v>
      </c>
      <c r="B45" s="76" t="n">
        <f aca="false">IFERROR(IF(OR(NOT(ISNUMBER('Price History'!B46)),NOT(ISNUMBER('Price History'!B45)),'Price History'!B45=0),"",'Price History'!B46/'Price History'!B45-1),"")</f>
        <v>0.0464745031027971</v>
      </c>
      <c r="C45" s="76" t="n">
        <f aca="false">IFERROR(IF(OR(NOT(ISNUMBER('Price History'!C46)),NOT(ISNUMBER('Price History'!C45)),'Price History'!C45=0),"",'Price History'!C46/'Price History'!C45-1),"")</f>
        <v>-0.00282220131702715</v>
      </c>
      <c r="D45" s="76" t="n">
        <f aca="false">IFERROR(IF(OR(NOT(ISNUMBER('Price History'!D46)),NOT(ISNUMBER('Price History'!D45)),'Price History'!D45=0),"",'Price History'!D46/'Price History'!D45-1),"")</f>
        <v>0.070880408184516</v>
      </c>
      <c r="E45" s="76" t="n">
        <f aca="false">IFERROR(IF(OR(NOT(ISNUMBER('Price History'!E46)),NOT(ISNUMBER('Price History'!E45)),'Price History'!E45=0),"",'Price History'!E46/'Price History'!E45-1),"")</f>
        <v>0.0587881068874672</v>
      </c>
      <c r="F45" s="76" t="n">
        <f aca="false">IFERROR(IF(OR(NOT(ISNUMBER('Price History'!F46)),NOT(ISNUMBER('Price History'!F45)),'Price History'!F45=0),"",'Price History'!F46/'Price History'!F45-1),"")</f>
        <v>0.112981382300434</v>
      </c>
      <c r="G45" s="76" t="n">
        <f aca="false">IFERROR(IF(OR(NOT(ISNUMBER('Price History'!G46)),NOT(ISNUMBER('Price History'!G45)),'Price History'!G45=0),"",'Price History'!G46/'Price History'!G45-1),"")</f>
        <v>0.0125082290980909</v>
      </c>
      <c r="H45" s="76" t="n">
        <f aca="false">IFERROR(IF(OR(NOT(ISNUMBER('Price History'!H46)),NOT(ISNUMBER('Price History'!H45)),'Price History'!H45=0),"",'Price History'!H46/'Price History'!H45-1),"")</f>
        <v>0.04752</v>
      </c>
      <c r="I45" s="76" t="n">
        <f aca="false">IFERROR(IF(OR(NOT(ISNUMBER('Price History'!I46)),NOT(ISNUMBER('Price History'!I45)),'Price History'!I45=0),"",'Price History'!I46/'Price History'!I45-1),"")</f>
        <v>0.102709112469215</v>
      </c>
      <c r="J45" s="76" t="n">
        <f aca="false">IFERROR(IF(OR(NOT(ISNUMBER('Price History'!J46)),NOT(ISNUMBER('Price History'!J45)),'Price History'!J45=0),"",'Price History'!J46/'Price History'!J45-1),"")</f>
        <v>-0.00262467191601046</v>
      </c>
      <c r="K45" s="76" t="n">
        <f aca="false">IFERROR(IF(OR(NOT(ISNUMBER('Price History'!K46)),NOT(ISNUMBER('Price History'!K45)),'Price History'!K45=0),"",'Price History'!K46/'Price History'!K45-1),"")</f>
        <v>0.0751845018450184</v>
      </c>
      <c r="L45" s="76" t="n">
        <f aca="false">IFERROR(IF(OR(NOT(ISNUMBER('Price History'!L46)),NOT(ISNUMBER('Price History'!L45)),'Price History'!L45=0),"",'Price History'!L46/'Price History'!L45-1),"")</f>
        <v>0.0883871822033897</v>
      </c>
      <c r="M45" s="76" t="n">
        <f aca="false">IFERROR(IF(OR(NOT(ISNUMBER('Price History'!M46)),NOT(ISNUMBER('Price History'!M45)),'Price History'!M45=0),"",'Price History'!M46/'Price History'!M45-1),"")</f>
        <v>-0.105944733353727</v>
      </c>
      <c r="N45" s="76" t="n">
        <f aca="false">IFERROR(IF(OR(NOT(ISNUMBER('Price History'!N46)),NOT(ISNUMBER('Price History'!N45)),'Price History'!N45=0),"",'Price History'!N46/'Price History'!N45-1),"")</f>
        <v>0.0608336627574999</v>
      </c>
      <c r="O45" s="76" t="n">
        <f aca="false">IFERROR(IF(OR(NOT(ISNUMBER('Price History'!O46)),NOT(ISNUMBER('Price History'!O45)),'Price History'!O45=0),"",'Price History'!O46/'Price History'!O45-1),"")</f>
        <v>-0.0340677055346588</v>
      </c>
      <c r="P45" s="76" t="str">
        <f aca="false">IFERROR(IF(OR(NOT(ISNUMBER('Price History'!P46)),NOT(ISNUMBER('Price History'!P45)),'Price History'!P45=0),"",'Price History'!P46/'Price History'!P45-1),"")</f>
        <v/>
      </c>
      <c r="Q45" s="76" t="n">
        <f aca="false">IFERROR(IF(OR(NOT(ISNUMBER('Price History'!Q46)),NOT(ISNUMBER('Price History'!Q45)),'Price History'!Q45=0),"",'Price History'!Q46/'Price History'!Q45-1),"")</f>
        <v>-0.00425242388161251</v>
      </c>
      <c r="R45" s="76" t="n">
        <f aca="false">IFERROR(IF(OR(NOT(ISNUMBER('Price History'!R46)),NOT(ISNUMBER('Price History'!R45)),'Price History'!R45=0),"",'Price History'!R46/'Price History'!R45-1),"")</f>
        <v>0.00553607676693124</v>
      </c>
      <c r="S45" s="76" t="n">
        <f aca="false">IFERROR(IF(OR(NOT(ISNUMBER('Price History'!S46)),NOT(ISNUMBER('Price History'!S45)),'Price History'!S45=0),"",'Price History'!S46/'Price History'!S45-1),"")</f>
        <v>0.0303365266519282</v>
      </c>
      <c r="T45" s="76" t="n">
        <f aca="false">IFERROR(IF(OR(NOT(ISNUMBER('Price History'!T46)),NOT(ISNUMBER('Price History'!T45)),'Price History'!T45=0),"",'Price History'!T46/'Price History'!T45-1),"")</f>
        <v>-0.0211891208096142</v>
      </c>
      <c r="U45" s="76" t="str">
        <f aca="false">IFERROR(IF(OR(NOT(ISNUMBER('Price History'!U46)),NOT(ISNUMBER('Price History'!U45)),'Price History'!U45=0),"",'Price History'!U46/'Price History'!U45-1),"")</f>
        <v/>
      </c>
      <c r="W45" s="77" t="n">
        <f aca="false">'Price History'!B3+('Price History'!B158-'Price History'!B3)*0.272727272727273</f>
        <v>438.075454545455</v>
      </c>
      <c r="X45" s="77" t="n">
        <f aca="false">'Price History'!C3+('Price History'!C158-'Price History'!C3)*0.272727272727273</f>
        <v>80.9972727272728</v>
      </c>
      <c r="Y45" s="77" t="n">
        <f aca="false">'Price History'!D3+('Price History'!D158-'Price History'!D3)*0.272727272727273</f>
        <v>925.567272727273</v>
      </c>
      <c r="Z45" s="77" t="n">
        <f aca="false">'Price History'!E3+('Price History'!E158-'Price History'!E3)*0.272727272727273</f>
        <v>166.516363636364</v>
      </c>
      <c r="AA45" s="77" t="n">
        <f aca="false">'Price History'!F3+('Price History'!F158-'Price History'!F3)*0.272727272727273</f>
        <v>79.0054545454546</v>
      </c>
      <c r="AB45" s="77" t="n">
        <f aca="false">'Price History'!G3+('Price History'!G158-'Price History'!G3)*0.272727272727273</f>
        <v>84.6963636363637</v>
      </c>
      <c r="AC45" s="77" t="n">
        <f aca="false">'Price History'!H3+('Price History'!H158-'Price History'!H3)*0.272727272727273</f>
        <v>271.277272727273</v>
      </c>
      <c r="AD45" s="77" t="n">
        <f aca="false">'Price History'!I3+('Price History'!I158-'Price History'!I3)*0.272727272727273</f>
        <v>84.459090909091</v>
      </c>
      <c r="AE45" s="77" t="n">
        <f aca="false">'Price History'!J3+('Price History'!J158-'Price History'!J3)*0.272727272727273</f>
        <v>129.264545454545</v>
      </c>
      <c r="AF45" s="77" t="n">
        <f aca="false">'Price History'!K3+('Price History'!K158-'Price History'!K3)*0.272727272727273</f>
        <v>44.7690909090909</v>
      </c>
      <c r="AG45" s="77" t="n">
        <f aca="false">'Price History'!L3+('Price History'!L158-'Price History'!L3)*0.272727272727273</f>
        <v>177.151818181818</v>
      </c>
      <c r="AH45" s="77" t="n">
        <f aca="false">'Price History'!M3+('Price History'!M158-'Price History'!M3)*0.272727272727273</f>
        <v>90.2536363636364</v>
      </c>
      <c r="AI45" s="77" t="n">
        <f aca="false">'Price History'!N3+('Price History'!N158-'Price History'!N3)*0.272727272727273</f>
        <v>384.561818181818</v>
      </c>
      <c r="AJ45" s="77" t="n">
        <f aca="false">'Price History'!O3+('Price History'!O158-'Price History'!O3)*0.272727272727273</f>
        <v>94.4218181818182</v>
      </c>
      <c r="AK45" s="77" t="n">
        <f aca="false">'Price History'!Q3+('Price History'!Q151-'Price History'!Q3)*0.272727272727273</f>
        <v>54.9154545454546</v>
      </c>
      <c r="AL45" s="77" t="n">
        <f aca="false">'Price History'!R3+('Price History'!R158-'Price History'!R3)*0.272727272727273</f>
        <v>50.6645454545455</v>
      </c>
      <c r="AM45" s="77" t="n">
        <f aca="false">'Price History'!S3+('Price History'!S158-'Price History'!S3)*0.272727272727273</f>
        <v>81.8009090909091</v>
      </c>
      <c r="AN45" s="77" t="n">
        <f aca="false">'Price History'!T3+('Price History'!T158-'Price History'!T3)*0.272727272727273</f>
        <v>33.1363636363636</v>
      </c>
    </row>
    <row r="46" customFormat="false" ht="15" hidden="false" customHeight="true" outlineLevel="0" collapsed="false">
      <c r="A46" s="49" t="n">
        <f aca="false">IF('Price History'!A47="","",'Price History'!A47)</f>
        <v>45457</v>
      </c>
      <c r="B46" s="76" t="n">
        <f aca="false">IFERROR(IF(OR(NOT(ISNUMBER('Price History'!B47)),NOT(ISNUMBER('Price History'!B46)),'Price History'!B46=0),"",'Price History'!B47/'Price History'!B46-1),"")</f>
        <v>0.128655222052725</v>
      </c>
      <c r="C46" s="76" t="n">
        <f aca="false">IFERROR(IF(OR(NOT(ISNUMBER('Price History'!C47)),NOT(ISNUMBER('Price History'!C46)),'Price History'!C46=0),"",'Price History'!C47/'Price History'!C46-1),"")</f>
        <v>0.106873315363881</v>
      </c>
      <c r="D46" s="76" t="n">
        <f aca="false">IFERROR(IF(OR(NOT(ISNUMBER('Price History'!D47)),NOT(ISNUMBER('Price History'!D46)),'Price History'!D46=0),"",'Price History'!D47/'Price History'!D46-1),"")</f>
        <v>-0.000505629995527057</v>
      </c>
      <c r="E46" s="76" t="n">
        <f aca="false">IFERROR(IF(OR(NOT(ISNUMBER('Price History'!E47)),NOT(ISNUMBER('Price History'!E46)),'Price History'!E46=0),"",'Price History'!E47/'Price History'!E46-1),"")</f>
        <v>0.233470780605716</v>
      </c>
      <c r="F46" s="76" t="n">
        <f aca="false">IFERROR(IF(OR(NOT(ISNUMBER('Price History'!F47)),NOT(ISNUMBER('Price History'!F46)),'Price History'!F46=0),"",'Price History'!F47/'Price History'!F46-1),"")</f>
        <v>0.104032997250229</v>
      </c>
      <c r="G46" s="76" t="n">
        <f aca="false">IFERROR(IF(OR(NOT(ISNUMBER('Price History'!G47)),NOT(ISNUMBER('Price History'!G46)),'Price History'!G46=0),"",'Price History'!G47/'Price History'!G46-1),"")</f>
        <v>0.0725617685305591</v>
      </c>
      <c r="H46" s="76" t="n">
        <f aca="false">IFERROR(IF(OR(NOT(ISNUMBER('Price History'!H47)),NOT(ISNUMBER('Price History'!H46)),'Price History'!H46=0),"",'Price History'!H47/'Price History'!H46-1),"")</f>
        <v>0.0795784328700169</v>
      </c>
      <c r="I46" s="76" t="n">
        <f aca="false">IFERROR(IF(OR(NOT(ISNUMBER('Price History'!I47)),NOT(ISNUMBER('Price History'!I46)),'Price History'!I46=0),"",'Price History'!I47/'Price History'!I46-1),"")</f>
        <v>0.0909090909090908</v>
      </c>
      <c r="J46" s="76" t="n">
        <f aca="false">IFERROR(IF(OR(NOT(ISNUMBER('Price History'!J47)),NOT(ISNUMBER('Price History'!J46)),'Price History'!J46=0),"",'Price History'!J47/'Price History'!J46-1),"")</f>
        <v>0.0189655172413794</v>
      </c>
      <c r="K46" s="76" t="n">
        <f aca="false">IFERROR(IF(OR(NOT(ISNUMBER('Price History'!K47)),NOT(ISNUMBER('Price History'!K46)),'Price History'!K46=0),"",'Price History'!K47/'Price History'!K46-1),"")</f>
        <v>0.0111540111540112</v>
      </c>
      <c r="L46" s="76" t="n">
        <f aca="false">IFERROR(IF(OR(NOT(ISNUMBER('Price History'!L47)),NOT(ISNUMBER('Price History'!L46)),'Price History'!L46=0),"",'Price History'!L47/'Price History'!L46-1),"")</f>
        <v>0.0493947320396617</v>
      </c>
      <c r="M46" s="76" t="n">
        <f aca="false">IFERROR(IF(OR(NOT(ISNUMBER('Price History'!M47)),NOT(ISNUMBER('Price History'!M46)),'Price History'!M46=0),"",'Price History'!M47/'Price History'!M46-1),"")</f>
        <v>0.0433394160583942</v>
      </c>
      <c r="N46" s="76" t="n">
        <f aca="false">IFERROR(IF(OR(NOT(ISNUMBER('Price History'!N47)),NOT(ISNUMBER('Price History'!N46)),'Price History'!N46=0),"",'Price History'!N47/'Price History'!N46-1),"")</f>
        <v>-0.00478221265319645</v>
      </c>
      <c r="O46" s="76" t="n">
        <f aca="false">IFERROR(IF(OR(NOT(ISNUMBER('Price History'!O47)),NOT(ISNUMBER('Price History'!O46)),'Price History'!O46=0),"",'Price History'!O47/'Price History'!O46-1),"")</f>
        <v>-0.0239207832665775</v>
      </c>
      <c r="P46" s="76" t="str">
        <f aca="false">IFERROR(IF(OR(NOT(ISNUMBER('Price History'!P47)),NOT(ISNUMBER('Price History'!P46)),'Price History'!P46=0),"",'Price History'!P47/'Price History'!P46-1),"")</f>
        <v/>
      </c>
      <c r="Q46" s="76" t="n">
        <f aca="false">IFERROR(IF(OR(NOT(ISNUMBER('Price History'!Q47)),NOT(ISNUMBER('Price History'!Q46)),'Price History'!Q46=0),"",'Price History'!Q47/'Price History'!Q46-1),"")</f>
        <v>-0.0107618722241203</v>
      </c>
      <c r="R46" s="76" t="n">
        <f aca="false">IFERROR(IF(OR(NOT(ISNUMBER('Price History'!R47)),NOT(ISNUMBER('Price History'!R46)),'Price History'!R46=0),"",'Price History'!R47/'Price History'!R46-1),"")</f>
        <v>0.0126628739218204</v>
      </c>
      <c r="S46" s="76" t="n">
        <f aca="false">IFERROR(IF(OR(NOT(ISNUMBER('Price History'!S47)),NOT(ISNUMBER('Price History'!S46)),'Price History'!S46=0),"",'Price History'!S47/'Price History'!S46-1),"")</f>
        <v>0.0421981165812375</v>
      </c>
      <c r="T46" s="76" t="n">
        <f aca="false">IFERROR(IF(OR(NOT(ISNUMBER('Price History'!T47)),NOT(ISNUMBER('Price History'!T46)),'Price History'!T46=0),"",'Price History'!T47/'Price History'!T46-1),"")</f>
        <v>-0.00420032310177698</v>
      </c>
      <c r="U46" s="76" t="str">
        <f aca="false">IFERROR(IF(OR(NOT(ISNUMBER('Price History'!U47)),NOT(ISNUMBER('Price History'!U46)),'Price History'!U46=0),"",'Price History'!U47/'Price History'!U46-1),"")</f>
        <v/>
      </c>
      <c r="W46" s="77" t="n">
        <f aca="false">'Price History'!B3+('Price History'!B158-'Price History'!B3)*0.279220779220779</f>
        <v>436.39987012987</v>
      </c>
      <c r="X46" s="77" t="n">
        <f aca="false">'Price History'!C3+('Price History'!C158-'Price History'!C3)*0.279220779220779</f>
        <v>81.8843506493506</v>
      </c>
      <c r="Y46" s="77" t="n">
        <f aca="false">'Price History'!D3+('Price History'!D158-'Price History'!D3)*0.279220779220779</f>
        <v>931.847922077922</v>
      </c>
      <c r="Z46" s="77" t="n">
        <f aca="false">'Price History'!E3+('Price History'!E158-'Price History'!E3)*0.279220779220779</f>
        <v>168.505324675325</v>
      </c>
      <c r="AA46" s="77" t="n">
        <f aca="false">'Price History'!F3+('Price History'!F158-'Price History'!F3)*0.279220779220779</f>
        <v>80.0041558441558</v>
      </c>
      <c r="AB46" s="77" t="n">
        <f aca="false">'Price History'!G3+('Price History'!G158-'Price History'!G3)*0.279220779220779</f>
        <v>85.5724675324675</v>
      </c>
      <c r="AC46" s="77" t="n">
        <f aca="false">'Price History'!H3+('Price History'!H158-'Price History'!H3)*0.279220779220779</f>
        <v>276.203636363636</v>
      </c>
      <c r="AD46" s="77" t="n">
        <f aca="false">'Price History'!I3+('Price History'!I158-'Price History'!I3)*0.279220779220779</f>
        <v>85.4974025974026</v>
      </c>
      <c r="AE46" s="77" t="n">
        <f aca="false">'Price History'!J3+('Price History'!J158-'Price History'!J3)*0.279220779220779</f>
        <v>129.401558441558</v>
      </c>
      <c r="AF46" s="77" t="n">
        <f aca="false">'Price History'!K3+('Price History'!K158-'Price History'!K3)*0.279220779220779</f>
        <v>45.4681168831169</v>
      </c>
      <c r="AG46" s="77" t="n">
        <f aca="false">'Price History'!L3+('Price History'!L158-'Price History'!L3)*0.279220779220779</f>
        <v>179.17948051948</v>
      </c>
      <c r="AH46" s="77" t="n">
        <f aca="false">'Price History'!M3+('Price History'!M158-'Price History'!M3)*0.279220779220779</f>
        <v>91.6046753246753</v>
      </c>
      <c r="AI46" s="77" t="n">
        <f aca="false">'Price History'!N3+('Price History'!N158-'Price History'!N3)*0.279220779220779</f>
        <v>385.388051948052</v>
      </c>
      <c r="AJ46" s="77" t="n">
        <f aca="false">'Price History'!O3+('Price History'!O158-'Price History'!O3)*0.279220779220779</f>
        <v>94.6973376623377</v>
      </c>
      <c r="AK46" s="77" t="n">
        <f aca="false">'Price History'!Q3+('Price History'!Q151-'Price History'!Q3)*0.279220779220779</f>
        <v>55.0362987012987</v>
      </c>
      <c r="AL46" s="77" t="n">
        <f aca="false">'Price History'!R3+('Price History'!R158-'Price History'!R3)*0.279220779220779</f>
        <v>50.7322727272727</v>
      </c>
      <c r="AM46" s="77" t="n">
        <f aca="false">'Price History'!S3+('Price History'!S158-'Price History'!S3)*0.279220779220779</f>
        <v>82.3547402597402</v>
      </c>
      <c r="AN46" s="77" t="n">
        <f aca="false">'Price History'!T3+('Price History'!T158-'Price History'!T3)*0.279220779220779</f>
        <v>33.2846103896104</v>
      </c>
    </row>
    <row r="47" customFormat="false" ht="15" hidden="false" customHeight="true" outlineLevel="0" collapsed="false">
      <c r="A47" s="49" t="n">
        <f aca="false">IF('Price History'!A48="","",'Price History'!A48)</f>
        <v>45464</v>
      </c>
      <c r="B47" s="76" t="n">
        <f aca="false">IFERROR(IF(OR(NOT(ISNUMBER('Price History'!B48)),NOT(ISNUMBER('Price History'!B47)),'Price History'!B47=0),"",'Price History'!B48/'Price History'!B47-1),"")</f>
        <v>0.0154765757362321</v>
      </c>
      <c r="C47" s="76" t="n">
        <f aca="false">IFERROR(IF(OR(NOT(ISNUMBER('Price History'!C48)),NOT(ISNUMBER('Price History'!C47)),'Price History'!C47=0),"",'Price History'!C48/'Price History'!C47-1),"")</f>
        <v>0.0269085596006333</v>
      </c>
      <c r="D47" s="76" t="n">
        <f aca="false">IFERROR(IF(OR(NOT(ISNUMBER('Price History'!D48)),NOT(ISNUMBER('Price History'!D47)),'Price History'!D47=0),"",'Price History'!D48/'Price History'!D47-1),"")</f>
        <v>0.0084638583519796</v>
      </c>
      <c r="E47" s="76" t="n">
        <f aca="false">IFERROR(IF(OR(NOT(ISNUMBER('Price History'!E48)),NOT(ISNUMBER('Price History'!E47)),'Price History'!E47=0),"",'Price History'!E48/'Price History'!E47-1),"")</f>
        <v>-0.0440345821325647</v>
      </c>
      <c r="F47" s="76" t="n">
        <f aca="false">IFERROR(IF(OR(NOT(ISNUMBER('Price History'!F48)),NOT(ISNUMBER('Price History'!F47)),'Price History'!F47=0),"",'Price History'!F48/'Price History'!F47-1),"")</f>
        <v>-0.0124533001245331</v>
      </c>
      <c r="G47" s="76" t="n">
        <f aca="false">IFERROR(IF(OR(NOT(ISNUMBER('Price History'!G48)),NOT(ISNUMBER('Price History'!G47)),'Price History'!G47=0),"",'Price History'!G48/'Price History'!G47-1),"")</f>
        <v>-0.00994180407371492</v>
      </c>
      <c r="H47" s="76" t="n">
        <f aca="false">IFERROR(IF(OR(NOT(ISNUMBER('Price History'!H48)),NOT(ISNUMBER('Price History'!H47)),'Price History'!H47=0),"",'Price History'!H48/'Price History'!H47-1),"")</f>
        <v>-0.0128749292586307</v>
      </c>
      <c r="I47" s="76" t="n">
        <f aca="false">IFERROR(IF(OR(NOT(ISNUMBER('Price History'!I48)),NOT(ISNUMBER('Price History'!I47)),'Price History'!I47=0),"",'Price History'!I48/'Price History'!I47-1),"")</f>
        <v>-0.0402638762511374</v>
      </c>
      <c r="J47" s="76" t="n">
        <f aca="false">IFERROR(IF(OR(NOT(ISNUMBER('Price History'!J48)),NOT(ISNUMBER('Price History'!J47)),'Price History'!J47=0),"",'Price History'!J48/'Price History'!J47-1),"")</f>
        <v>-0.0257369311603883</v>
      </c>
      <c r="K47" s="76" t="n">
        <f aca="false">IFERROR(IF(OR(NOT(ISNUMBER('Price History'!K48)),NOT(ISNUMBER('Price History'!K47)),'Price History'!K47=0),"",'Price History'!K48/'Price History'!K47-1),"")</f>
        <v>0.0114552397114978</v>
      </c>
      <c r="L47" s="76" t="n">
        <f aca="false">IFERROR(IF(OR(NOT(ISNUMBER('Price History'!L48)),NOT(ISNUMBER('Price History'!L47)),'Price History'!L47=0),"",'Price History'!L48/'Price History'!L47-1),"")</f>
        <v>0.00840530983711108</v>
      </c>
      <c r="M47" s="76" t="n">
        <f aca="false">IFERROR(IF(OR(NOT(ISNUMBER('Price History'!M48)),NOT(ISNUMBER('Price History'!M47)),'Price History'!M47=0),"",'Price History'!M48/'Price History'!M47-1),"")</f>
        <v>-0.00940096195889817</v>
      </c>
      <c r="N47" s="76" t="n">
        <f aca="false">IFERROR(IF(OR(NOT(ISNUMBER('Price History'!N48)),NOT(ISNUMBER('Price History'!N47)),'Price History'!N47=0),"",'Price History'!N48/'Price History'!N47-1),"")</f>
        <v>-0.0250036402970483</v>
      </c>
      <c r="O47" s="76" t="n">
        <f aca="false">IFERROR(IF(OR(NOT(ISNUMBER('Price History'!O48)),NOT(ISNUMBER('Price History'!O47)),'Price History'!O47=0),"",'Price History'!O48/'Price History'!O47-1),"")</f>
        <v>0.010828678901174</v>
      </c>
      <c r="P47" s="76" t="str">
        <f aca="false">IFERROR(IF(OR(NOT(ISNUMBER('Price History'!P48)),NOT(ISNUMBER('Price History'!P47)),'Price History'!P47=0),"",'Price History'!P48/'Price History'!P47-1),"")</f>
        <v/>
      </c>
      <c r="Q47" s="76" t="n">
        <f aca="false">IFERROR(IF(OR(NOT(ISNUMBER('Price History'!Q48)),NOT(ISNUMBER('Price History'!Q47)),'Price History'!Q47=0),"",'Price History'!Q48/'Price History'!Q47-1),"")</f>
        <v>0.000690726990157264</v>
      </c>
      <c r="R47" s="76" t="n">
        <f aca="false">IFERROR(IF(OR(NOT(ISNUMBER('Price History'!R48)),NOT(ISNUMBER('Price History'!R47)),'Price History'!R47=0),"",'Price History'!R48/'Price History'!R47-1),"")</f>
        <v>0.00108735048930786</v>
      </c>
      <c r="S47" s="76" t="n">
        <f aca="false">IFERROR(IF(OR(NOT(ISNUMBER('Price History'!S48)),NOT(ISNUMBER('Price History'!S47)),'Price History'!S47=0),"",'Price History'!S48/'Price History'!S47-1),"")</f>
        <v>-0.000800640512410022</v>
      </c>
      <c r="T47" s="76" t="n">
        <f aca="false">IFERROR(IF(OR(NOT(ISNUMBER('Price History'!T48)),NOT(ISNUMBER('Price History'!T47)),'Price History'!T47=0),"",'Price History'!T48/'Price History'!T47-1),"")</f>
        <v>0.00973393900064901</v>
      </c>
      <c r="U47" s="76" t="str">
        <f aca="false">IFERROR(IF(OR(NOT(ISNUMBER('Price History'!U48)),NOT(ISNUMBER('Price History'!U47)),'Price History'!U47=0),"",'Price History'!U48/'Price History'!U47-1),"")</f>
        <v/>
      </c>
      <c r="W47" s="77" t="n">
        <f aca="false">'Price History'!B3+('Price History'!B158-'Price History'!B3)*0.285714285714286</f>
        <v>434.724285714286</v>
      </c>
      <c r="X47" s="77" t="n">
        <f aca="false">'Price History'!C3+('Price History'!C158-'Price History'!C3)*0.285714285714286</f>
        <v>82.7714285714286</v>
      </c>
      <c r="Y47" s="77" t="n">
        <f aca="false">'Price History'!D3+('Price History'!D158-'Price History'!D3)*0.285714285714286</f>
        <v>938.128571428572</v>
      </c>
      <c r="Z47" s="77" t="n">
        <f aca="false">'Price History'!E3+('Price History'!E158-'Price History'!E3)*0.285714285714286</f>
        <v>170.494285714286</v>
      </c>
      <c r="AA47" s="77" t="n">
        <f aca="false">'Price History'!F3+('Price History'!F158-'Price History'!F3)*0.285714285714286</f>
        <v>81.0028571428572</v>
      </c>
      <c r="AB47" s="77" t="n">
        <f aca="false">'Price History'!G3+('Price History'!G158-'Price History'!G3)*0.285714285714286</f>
        <v>86.4485714285715</v>
      </c>
      <c r="AC47" s="77" t="n">
        <f aca="false">'Price History'!H3+('Price History'!H158-'Price History'!H3)*0.285714285714286</f>
        <v>281.13</v>
      </c>
      <c r="AD47" s="77" t="n">
        <f aca="false">'Price History'!I3+('Price History'!I158-'Price History'!I3)*0.285714285714286</f>
        <v>86.5357142857143</v>
      </c>
      <c r="AE47" s="77" t="n">
        <f aca="false">'Price History'!J3+('Price History'!J158-'Price History'!J3)*0.285714285714286</f>
        <v>129.538571428571</v>
      </c>
      <c r="AF47" s="77" t="n">
        <f aca="false">'Price History'!K3+('Price History'!K158-'Price History'!K3)*0.285714285714286</f>
        <v>46.1671428571429</v>
      </c>
      <c r="AG47" s="77" t="n">
        <f aca="false">'Price History'!L3+('Price History'!L158-'Price History'!L3)*0.285714285714286</f>
        <v>181.207142857143</v>
      </c>
      <c r="AH47" s="77" t="n">
        <f aca="false">'Price History'!M3+('Price History'!M158-'Price History'!M3)*0.285714285714286</f>
        <v>92.9557142857143</v>
      </c>
      <c r="AI47" s="77" t="n">
        <f aca="false">'Price History'!N3+('Price History'!N158-'Price History'!N3)*0.285714285714286</f>
        <v>386.214285714286</v>
      </c>
      <c r="AJ47" s="77" t="n">
        <f aca="false">'Price History'!O3+('Price History'!O158-'Price History'!O3)*0.285714285714286</f>
        <v>94.9728571428572</v>
      </c>
      <c r="AK47" s="77" t="n">
        <f aca="false">'Price History'!Q3+('Price History'!Q151-'Price History'!Q3)*0.285714285714286</f>
        <v>55.1571428571429</v>
      </c>
      <c r="AL47" s="77" t="n">
        <f aca="false">'Price History'!R3+('Price History'!R158-'Price History'!R3)*0.285714285714286</f>
        <v>50.8</v>
      </c>
      <c r="AM47" s="77" t="n">
        <f aca="false">'Price History'!S3+('Price History'!S158-'Price History'!S3)*0.285714285714286</f>
        <v>82.9085714285715</v>
      </c>
      <c r="AN47" s="77" t="n">
        <f aca="false">'Price History'!T3+('Price History'!T158-'Price History'!T3)*0.285714285714286</f>
        <v>33.4328571428572</v>
      </c>
    </row>
    <row r="48" customFormat="false" ht="15" hidden="false" customHeight="true" outlineLevel="0" collapsed="false">
      <c r="A48" s="49" t="n">
        <f aca="false">IF('Price History'!A49="","",'Price History'!A49)</f>
        <v>45471</v>
      </c>
      <c r="B48" s="76" t="n">
        <f aca="false">IFERROR(IF(OR(NOT(ISNUMBER('Price History'!B49)),NOT(ISNUMBER('Price History'!B48)),'Price History'!B48=0),"",'Price History'!B49/'Price History'!B48-1),"")</f>
        <v>0.0414292141571684</v>
      </c>
      <c r="C48" s="76" t="n">
        <f aca="false">IFERROR(IF(OR(NOT(ISNUMBER('Price History'!C49)),NOT(ISNUMBER('Price History'!C48)),'Price History'!C48=0),"",'Price History'!C49/'Price History'!C48-1),"")</f>
        <v>0.0388902063078018</v>
      </c>
      <c r="D48" s="76" t="n">
        <f aca="false">IFERROR(IF(OR(NOT(ISNUMBER('Price History'!D49)),NOT(ISNUMBER('Price History'!D48)),'Price History'!D48=0),"",'Price History'!D49/'Price History'!D48-1),"")</f>
        <v>-0.0133802816901407</v>
      </c>
      <c r="E48" s="76" t="n">
        <f aca="false">IFERROR(IF(OR(NOT(ISNUMBER('Price History'!E49)),NOT(ISNUMBER('Price History'!E48)),'Price History'!E48=0),"",'Price History'!E49/'Price History'!E48-1),"")</f>
        <v>-0.0320149523694683</v>
      </c>
      <c r="F48" s="76" t="n">
        <f aca="false">IFERROR(IF(OR(NOT(ISNUMBER('Price History'!F49)),NOT(ISNUMBER('Price History'!F48)),'Price History'!F48=0),"",'Price History'!F49/'Price History'!F48-1),"")</f>
        <v>0.00672551492223628</v>
      </c>
      <c r="G48" s="76" t="n">
        <f aca="false">IFERROR(IF(OR(NOT(ISNUMBER('Price History'!G49)),NOT(ISNUMBER('Price History'!G48)),'Price History'!G48=0),"",'Price History'!G49/'Price History'!G48-1),"")</f>
        <v>0.00967425912319375</v>
      </c>
      <c r="H48" s="76" t="n">
        <f aca="false">IFERROR(IF(OR(NOT(ISNUMBER('Price History'!H49)),NOT(ISNUMBER('Price History'!H48)),'Price History'!H48=0),"",'Price History'!H49/'Price History'!H48-1),"")</f>
        <v>-0.0574028952271749</v>
      </c>
      <c r="I48" s="76" t="n">
        <f aca="false">IFERROR(IF(OR(NOT(ISNUMBER('Price History'!I49)),NOT(ISNUMBER('Price History'!I48)),'Price History'!I48=0),"",'Price History'!I49/'Price History'!I48-1),"")</f>
        <v>-0.023939322114245</v>
      </c>
      <c r="J48" s="76" t="n">
        <f aca="false">IFERROR(IF(OR(NOT(ISNUMBER('Price History'!J49)),NOT(ISNUMBER('Price History'!J48)),'Price History'!J48=0),"",'Price History'!J49/'Price History'!J48-1),"")</f>
        <v>0.0265996343692869</v>
      </c>
      <c r="K48" s="76" t="n">
        <f aca="false">IFERROR(IF(OR(NOT(ISNUMBER('Price History'!K49)),NOT(ISNUMBER('Price History'!K48)),'Price History'!K48=0),"",'Price History'!K49/'Price History'!K48-1),"")</f>
        <v>0.0625</v>
      </c>
      <c r="L48" s="76" t="n">
        <f aca="false">IFERROR(IF(OR(NOT(ISNUMBER('Price History'!L49)),NOT(ISNUMBER('Price History'!L48)),'Price History'!L48=0),"",'Price History'!L49/'Price History'!L48-1),"")</f>
        <v>-0.000862267187859311</v>
      </c>
      <c r="M48" s="76" t="n">
        <f aca="false">IFERROR(IF(OR(NOT(ISNUMBER('Price History'!M49)),NOT(ISNUMBER('Price History'!M48)),'Price History'!M48=0),"",'Price History'!M49/'Price History'!M48-1),"")</f>
        <v>-0.044692120944604</v>
      </c>
      <c r="N48" s="76" t="n">
        <f aca="false">IFERROR(IF(OR(NOT(ISNUMBER('Price History'!N49)),NOT(ISNUMBER('Price History'!N48)),'Price History'!N48=0),"",'Price History'!N49/'Price History'!N48-1),"")</f>
        <v>2.13351539333218E-005</v>
      </c>
      <c r="O48" s="76" t="n">
        <f aca="false">IFERROR(IF(OR(NOT(ISNUMBER('Price History'!O49)),NOT(ISNUMBER('Price History'!O48)),'Price History'!O48=0),"",'Price History'!O49/'Price History'!O48-1),"")</f>
        <v>0.0117275597654487</v>
      </c>
      <c r="P48" s="76" t="str">
        <f aca="false">IFERROR(IF(OR(NOT(ISNUMBER('Price History'!P49)),NOT(ISNUMBER('Price History'!P48)),'Price History'!P48=0),"",'Price History'!P49/'Price History'!P48-1),"")</f>
        <v/>
      </c>
      <c r="Q48" s="76" t="n">
        <f aca="false">IFERROR(IF(OR(NOT(ISNUMBER('Price History'!Q49)),NOT(ISNUMBER('Price History'!Q48)),'Price History'!Q48=0),"",'Price History'!Q49/'Price History'!Q48-1),"")</f>
        <v>0.0262295081967212</v>
      </c>
      <c r="R48" s="76" t="n">
        <f aca="false">IFERROR(IF(OR(NOT(ISNUMBER('Price History'!R49)),NOT(ISNUMBER('Price History'!R48)),'Price History'!R48=0),"",'Price History'!R49/'Price History'!R48-1),"")</f>
        <v>0.00470673425054313</v>
      </c>
      <c r="S48" s="76" t="n">
        <f aca="false">IFERROR(IF(OR(NOT(ISNUMBER('Price History'!S49)),NOT(ISNUMBER('Price History'!S48)),'Price History'!S48=0),"",'Price History'!S49/'Price History'!S48-1),"")</f>
        <v>0.00114468864468864</v>
      </c>
      <c r="T48" s="76" t="n">
        <f aca="false">IFERROR(IF(OR(NOT(ISNUMBER('Price History'!T49)),NOT(ISNUMBER('Price History'!T48)),'Price History'!T48=0),"",'Price History'!T49/'Price History'!T48-1),"")</f>
        <v>-0.00642673521850901</v>
      </c>
      <c r="U48" s="76" t="str">
        <f aca="false">IFERROR(IF(OR(NOT(ISNUMBER('Price History'!U49)),NOT(ISNUMBER('Price History'!U48)),'Price History'!U48=0),"",'Price History'!U49/'Price History'!U48-1),"")</f>
        <v/>
      </c>
      <c r="W48" s="77" t="n">
        <f aca="false">'Price History'!B3+('Price History'!B158-'Price History'!B3)*0.292207792207792</f>
        <v>433.048701298701</v>
      </c>
      <c r="X48" s="77" t="n">
        <f aca="false">'Price History'!C3+('Price History'!C158-'Price History'!C3)*0.292207792207792</f>
        <v>83.6585064935065</v>
      </c>
      <c r="Y48" s="77" t="n">
        <f aca="false">'Price History'!D3+('Price History'!D158-'Price History'!D3)*0.292207792207792</f>
        <v>944.409220779221</v>
      </c>
      <c r="Z48" s="77" t="n">
        <f aca="false">'Price History'!E3+('Price History'!E158-'Price History'!E3)*0.292207792207792</f>
        <v>172.483246753247</v>
      </c>
      <c r="AA48" s="77" t="n">
        <f aca="false">'Price History'!F3+('Price History'!F158-'Price History'!F3)*0.292207792207792</f>
        <v>82.0015584415584</v>
      </c>
      <c r="AB48" s="77" t="n">
        <f aca="false">'Price History'!G3+('Price History'!G158-'Price History'!G3)*0.292207792207792</f>
        <v>87.3246753246753</v>
      </c>
      <c r="AC48" s="77" t="n">
        <f aca="false">'Price History'!H3+('Price History'!H158-'Price History'!H3)*0.292207792207792</f>
        <v>286.056363636363</v>
      </c>
      <c r="AD48" s="77" t="n">
        <f aca="false">'Price History'!I3+('Price History'!I158-'Price History'!I3)*0.292207792207792</f>
        <v>87.5740259740259</v>
      </c>
      <c r="AE48" s="77" t="n">
        <f aca="false">'Price History'!J3+('Price History'!J158-'Price History'!J3)*0.292207792207792</f>
        <v>129.675584415584</v>
      </c>
      <c r="AF48" s="77" t="n">
        <f aca="false">'Price History'!K3+('Price History'!K158-'Price History'!K3)*0.292207792207792</f>
        <v>46.8661688311688</v>
      </c>
      <c r="AG48" s="77" t="n">
        <f aca="false">'Price History'!L3+('Price History'!L158-'Price History'!L3)*0.292207792207792</f>
        <v>183.234805194805</v>
      </c>
      <c r="AH48" s="77" t="n">
        <f aca="false">'Price History'!M3+('Price History'!M158-'Price History'!M3)*0.292207792207792</f>
        <v>94.3067532467532</v>
      </c>
      <c r="AI48" s="77" t="n">
        <f aca="false">'Price History'!N3+('Price History'!N158-'Price History'!N3)*0.292207792207792</f>
        <v>387.04051948052</v>
      </c>
      <c r="AJ48" s="77" t="n">
        <f aca="false">'Price History'!O3+('Price History'!O158-'Price History'!O3)*0.292207792207792</f>
        <v>95.2483766233766</v>
      </c>
      <c r="AK48" s="77" t="n">
        <f aca="false">'Price History'!Q3+('Price History'!Q151-'Price History'!Q3)*0.292207792207792</f>
        <v>55.277987012987</v>
      </c>
      <c r="AL48" s="77" t="n">
        <f aca="false">'Price History'!R3+('Price History'!R158-'Price History'!R3)*0.292207792207792</f>
        <v>50.8677272727273</v>
      </c>
      <c r="AM48" s="77" t="n">
        <f aca="false">'Price History'!S3+('Price History'!S158-'Price History'!S3)*0.292207792207792</f>
        <v>83.4624025974026</v>
      </c>
      <c r="AN48" s="77" t="n">
        <f aca="false">'Price History'!T3+('Price History'!T158-'Price History'!T3)*0.292207792207792</f>
        <v>33.5811038961039</v>
      </c>
    </row>
    <row r="49" customFormat="false" ht="15" hidden="false" customHeight="true" outlineLevel="0" collapsed="false">
      <c r="A49" s="49" t="n">
        <f aca="false">IF('Price History'!A50="","",'Price History'!A50)</f>
        <v>45478</v>
      </c>
      <c r="B49" s="76" t="n">
        <f aca="false">IFERROR(IF(OR(NOT(ISNUMBER('Price History'!B50)),NOT(ISNUMBER('Price History'!B49)),'Price History'!B49=0),"",'Price History'!B50/'Price History'!B49-1),"")</f>
        <v>0.0410411491521765</v>
      </c>
      <c r="C49" s="76" t="n">
        <f aca="false">IFERROR(IF(OR(NOT(ISNUMBER('Price History'!C50)),NOT(ISNUMBER('Price History'!C49)),'Price History'!C49=0),"",'Price History'!C50/'Price History'!C49-1),"")</f>
        <v>0.0447386441451723</v>
      </c>
      <c r="D49" s="76" t="n">
        <f aca="false">IFERROR(IF(OR(NOT(ISNUMBER('Price History'!D50)),NOT(ISNUMBER('Price History'!D49)),'Price History'!D49=0),"",'Price History'!D50/'Price History'!D49-1),"")</f>
        <v>0.0505998650670265</v>
      </c>
      <c r="E49" s="76" t="n">
        <f aca="false">IFERROR(IF(OR(NOT(ISNUMBER('Price History'!E50)),NOT(ISNUMBER('Price History'!E49)),'Price History'!E49=0),"",'Price History'!E50/'Price History'!E49-1),"")</f>
        <v>0.0609156026160074</v>
      </c>
      <c r="F49" s="76" t="n">
        <f aca="false">IFERROR(IF(OR(NOT(ISNUMBER('Price History'!F50)),NOT(ISNUMBER('Price History'!F49)),'Price History'!F49=0),"",'Price History'!F50/'Price History'!F49-1),"")</f>
        <v>0.016910229645094</v>
      </c>
      <c r="G49" s="76" t="n">
        <f aca="false">IFERROR(IF(OR(NOT(ISNUMBER('Price History'!G50)),NOT(ISNUMBER('Price History'!G49)),'Price History'!G49=0),"",'Price History'!G50/'Price History'!G49-1),"")</f>
        <v>0.0372346876895087</v>
      </c>
      <c r="H49" s="76" t="n">
        <f aca="false">IFERROR(IF(OR(NOT(ISNUMBER('Price History'!H50)),NOT(ISNUMBER('Price History'!H49)),'Price History'!H49=0),"",'Price History'!H50/'Price History'!H49-1),"")</f>
        <v>0.000532197977647586</v>
      </c>
      <c r="I49" s="76" t="n">
        <f aca="false">IFERROR(IF(OR(NOT(ISNUMBER('Price History'!I50)),NOT(ISNUMBER('Price History'!I49)),'Price History'!I49=0),"",'Price History'!I50/'Price History'!I49-1),"")</f>
        <v>0.0185365063946898</v>
      </c>
      <c r="J49" s="76" t="n">
        <f aca="false">IFERROR(IF(OR(NOT(ISNUMBER('Price History'!J50)),NOT(ISNUMBER('Price History'!J49)),'Price History'!J49=0),"",'Price History'!J50/'Price History'!J49-1),"")</f>
        <v>0.0191434422580357</v>
      </c>
      <c r="K49" s="76" t="n">
        <f aca="false">IFERROR(IF(OR(NOT(ISNUMBER('Price History'!K50)),NOT(ISNUMBER('Price History'!K49)),'Price History'!K49=0),"",'Price History'!K50/'Price History'!K49-1),"")</f>
        <v>0.0750098697197001</v>
      </c>
      <c r="L49" s="76" t="n">
        <f aca="false">IFERROR(IF(OR(NOT(ISNUMBER('Price History'!L50)),NOT(ISNUMBER('Price History'!L49)),'Price History'!L49=0),"",'Price History'!L50/'Price History'!L49-1),"")</f>
        <v>0.0585697025487602</v>
      </c>
      <c r="M49" s="76" t="n">
        <f aca="false">IFERROR(IF(OR(NOT(ISNUMBER('Price History'!M50)),NOT(ISNUMBER('Price History'!M49)),'Price History'!M49=0),"",'Price History'!M50/'Price History'!M49-1),"")</f>
        <v>0.0601825112625622</v>
      </c>
      <c r="N49" s="76" t="n">
        <f aca="false">IFERROR(IF(OR(NOT(ISNUMBER('Price History'!N50)),NOT(ISNUMBER('Price History'!N49)),'Price History'!N49=0),"",'Price History'!N50/'Price History'!N49-1),"")</f>
        <v>0.0124807987711213</v>
      </c>
      <c r="O49" s="76" t="n">
        <f aca="false">IFERROR(IF(OR(NOT(ISNUMBER('Price History'!O50)),NOT(ISNUMBER('Price History'!O49)),'Price History'!O49=0),"",'Price History'!O50/'Price History'!O49-1),"")</f>
        <v>-0.0164957646009809</v>
      </c>
      <c r="P49" s="76" t="str">
        <f aca="false">IFERROR(IF(OR(NOT(ISNUMBER('Price History'!P50)),NOT(ISNUMBER('Price History'!P49)),'Price History'!P49=0),"",'Price History'!P50/'Price History'!P49-1),"")</f>
        <v/>
      </c>
      <c r="Q49" s="76" t="n">
        <f aca="false">IFERROR(IF(OR(NOT(ISNUMBER('Price History'!Q50)),NOT(ISNUMBER('Price History'!Q49)),'Price History'!Q49=0),"",'Price History'!Q50/'Price History'!Q49-1),"")</f>
        <v>0.00874390448965867</v>
      </c>
      <c r="R49" s="76" t="n">
        <f aca="false">IFERROR(IF(OR(NOT(ISNUMBER('Price History'!R50)),NOT(ISNUMBER('Price History'!R49)),'Price History'!R49=0),"",'Price History'!R50/'Price History'!R49-1),"")</f>
        <v>0.006846846846847</v>
      </c>
      <c r="S49" s="76" t="n">
        <f aca="false">IFERROR(IF(OR(NOT(ISNUMBER('Price History'!S50)),NOT(ISNUMBER('Price History'!S49)),'Price History'!S49=0),"",'Price History'!S50/'Price History'!S49-1),"")</f>
        <v>0.0309855934141323</v>
      </c>
      <c r="T49" s="76" t="n">
        <f aca="false">IFERROR(IF(OR(NOT(ISNUMBER('Price History'!T50)),NOT(ISNUMBER('Price History'!T49)),'Price History'!T49=0),"",'Price History'!T50/'Price History'!T49-1),"")</f>
        <v>-0.0200517464424321</v>
      </c>
      <c r="U49" s="76" t="str">
        <f aca="false">IFERROR(IF(OR(NOT(ISNUMBER('Price History'!U50)),NOT(ISNUMBER('Price History'!U49)),'Price History'!U49=0),"",'Price History'!U50/'Price History'!U49-1),"")</f>
        <v/>
      </c>
      <c r="W49" s="77" t="n">
        <f aca="false">'Price History'!B3+('Price History'!B158-'Price History'!B3)*0.298701298701299</f>
        <v>431.373116883117</v>
      </c>
      <c r="X49" s="77" t="n">
        <f aca="false">'Price History'!C3+('Price History'!C158-'Price History'!C3)*0.298701298701299</f>
        <v>84.5455844155845</v>
      </c>
      <c r="Y49" s="77" t="n">
        <f aca="false">'Price History'!D3+('Price History'!D158-'Price History'!D3)*0.298701298701299</f>
        <v>950.68987012987</v>
      </c>
      <c r="Z49" s="77" t="n">
        <f aca="false">'Price History'!E3+('Price History'!E158-'Price History'!E3)*0.298701298701299</f>
        <v>174.472207792208</v>
      </c>
      <c r="AA49" s="77" t="n">
        <f aca="false">'Price History'!F3+('Price History'!F158-'Price History'!F3)*0.298701298701299</f>
        <v>83.0002597402598</v>
      </c>
      <c r="AB49" s="77" t="n">
        <f aca="false">'Price History'!G3+('Price History'!G158-'Price History'!G3)*0.298701298701299</f>
        <v>88.2007792207793</v>
      </c>
      <c r="AC49" s="77" t="n">
        <f aca="false">'Price History'!H3+('Price History'!H158-'Price History'!H3)*0.298701298701299</f>
        <v>290.982727272728</v>
      </c>
      <c r="AD49" s="77" t="n">
        <f aca="false">'Price History'!I3+('Price History'!I158-'Price History'!I3)*0.298701298701299</f>
        <v>88.6123376623377</v>
      </c>
      <c r="AE49" s="77" t="n">
        <f aca="false">'Price History'!J3+('Price History'!J158-'Price History'!J3)*0.298701298701299</f>
        <v>129.812597402597</v>
      </c>
      <c r="AF49" s="77" t="n">
        <f aca="false">'Price History'!K3+('Price History'!K158-'Price History'!K3)*0.298701298701299</f>
        <v>47.5651948051948</v>
      </c>
      <c r="AG49" s="77" t="n">
        <f aca="false">'Price History'!L3+('Price History'!L158-'Price History'!L3)*0.298701298701299</f>
        <v>185.262467532468</v>
      </c>
      <c r="AH49" s="77" t="n">
        <f aca="false">'Price History'!M3+('Price History'!M158-'Price History'!M3)*0.298701298701299</f>
        <v>95.6577922077923</v>
      </c>
      <c r="AI49" s="77" t="n">
        <f aca="false">'Price History'!N3+('Price History'!N158-'Price History'!N3)*0.298701298701299</f>
        <v>387.866753246753</v>
      </c>
      <c r="AJ49" s="77" t="n">
        <f aca="false">'Price History'!O3+('Price History'!O158-'Price History'!O3)*0.298701298701299</f>
        <v>95.5238961038961</v>
      </c>
      <c r="AK49" s="77" t="n">
        <f aca="false">'Price History'!Q3+('Price History'!Q151-'Price History'!Q3)*0.298701298701299</f>
        <v>55.3988311688312</v>
      </c>
      <c r="AL49" s="77" t="n">
        <f aca="false">'Price History'!R3+('Price History'!R158-'Price History'!R3)*0.298701298701299</f>
        <v>50.9354545454546</v>
      </c>
      <c r="AM49" s="77" t="n">
        <f aca="false">'Price History'!S3+('Price History'!S158-'Price History'!S3)*0.298701298701299</f>
        <v>84.0162337662338</v>
      </c>
      <c r="AN49" s="77" t="n">
        <f aca="false">'Price History'!T3+('Price History'!T158-'Price History'!T3)*0.298701298701299</f>
        <v>33.7293506493507</v>
      </c>
    </row>
    <row r="50" customFormat="false" ht="15" hidden="false" customHeight="true" outlineLevel="0" collapsed="false">
      <c r="A50" s="49" t="n">
        <f aca="false">IF('Price History'!A51="","",'Price History'!A51)</f>
        <v>45485</v>
      </c>
      <c r="B50" s="76" t="n">
        <f aca="false">IFERROR(IF(OR(NOT(ISNUMBER('Price History'!B51)),NOT(ISNUMBER('Price History'!B50)),'Price History'!B50=0),"",'Price History'!B51/'Price History'!B50-1),"")</f>
        <v>-0.0333540823736903</v>
      </c>
      <c r="C50" s="76" t="n">
        <f aca="false">IFERROR(IF(OR(NOT(ISNUMBER('Price History'!C51)),NOT(ISNUMBER('Price History'!C50)),'Price History'!C50=0),"",'Price History'!C51/'Price History'!C50-1),"")</f>
        <v>-0.0115796373170199</v>
      </c>
      <c r="D50" s="76" t="n">
        <f aca="false">IFERROR(IF(OR(NOT(ISNUMBER('Price History'!D51)),NOT(ISNUMBER('Price History'!D50)),'Price History'!D50=0),"",'Price History'!D51/'Price History'!D50-1),"")</f>
        <v>0.0100327600327601</v>
      </c>
      <c r="E50" s="76" t="n">
        <f aca="false">IFERROR(IF(OR(NOT(ISNUMBER('Price History'!E51)),NOT(ISNUMBER('Price History'!E50)),'Price History'!E50=0),"",'Price History'!E51/'Price History'!E50-1),"")</f>
        <v>-0.00152644865848661</v>
      </c>
      <c r="F50" s="76" t="n">
        <f aca="false">IFERROR(IF(OR(NOT(ISNUMBER('Price History'!F51)),NOT(ISNUMBER('Price History'!F50)),'Price History'!F50=0),"",'Price History'!F51/'Price History'!F50-1),"")</f>
        <v>-0.0471155820160132</v>
      </c>
      <c r="G50" s="76" t="n">
        <f aca="false">IFERROR(IF(OR(NOT(ISNUMBER('Price History'!G51)),NOT(ISNUMBER('Price History'!G50)),'Price History'!G50=0),"",'Price History'!G51/'Price History'!G50-1),"")</f>
        <v>0.00292329279700665</v>
      </c>
      <c r="H50" s="76" t="n">
        <f aca="false">IFERROR(IF(OR(NOT(ISNUMBER('Price History'!H51)),NOT(ISNUMBER('Price History'!H50)),'Price History'!H50=0),"",'Price History'!H51/'Price History'!H50-1),"")</f>
        <v>0.0148176291793314</v>
      </c>
      <c r="I50" s="76" t="n">
        <f aca="false">IFERROR(IF(OR(NOT(ISNUMBER('Price History'!I51)),NOT(ISNUMBER('Price History'!I50)),'Price History'!I50=0),"",'Price History'!I51/'Price History'!I50-1),"")</f>
        <v>0.0271000556306129</v>
      </c>
      <c r="J50" s="76" t="n">
        <f aca="false">IFERROR(IF(OR(NOT(ISNUMBER('Price History'!J51)),NOT(ISNUMBER('Price History'!J50)),'Price History'!J50=0),"",'Price History'!J51/'Price History'!J50-1),"")</f>
        <v>0.0497116896732484</v>
      </c>
      <c r="K50" s="76" t="n">
        <f aca="false">IFERROR(IF(OR(NOT(ISNUMBER('Price History'!K51)),NOT(ISNUMBER('Price History'!K50)),'Price History'!K50=0),"",'Price History'!K51/'Price History'!K50-1),"")</f>
        <v>0.0308483290488433</v>
      </c>
      <c r="L50" s="76" t="n">
        <f aca="false">IFERROR(IF(OR(NOT(ISNUMBER('Price History'!L51)),NOT(ISNUMBER('Price History'!L50)),'Price History'!L50=0),"",'Price History'!L51/'Price History'!L50-1),"")</f>
        <v>0.0182618620577204</v>
      </c>
      <c r="M50" s="76" t="n">
        <f aca="false">IFERROR(IF(OR(NOT(ISNUMBER('Price History'!M51)),NOT(ISNUMBER('Price History'!M50)),'Price History'!M50=0),"",'Price History'!M51/'Price History'!M50-1),"")</f>
        <v>-0.0229897581172369</v>
      </c>
      <c r="N50" s="76" t="n">
        <f aca="false">IFERROR(IF(OR(NOT(ISNUMBER('Price History'!N51)),NOT(ISNUMBER('Price History'!N50)),'Price History'!N50=0),"",'Price History'!N51/'Price History'!N50-1),"")</f>
        <v>0.0298586088459027</v>
      </c>
      <c r="O50" s="76" t="n">
        <f aca="false">IFERROR(IF(OR(NOT(ISNUMBER('Price History'!O51)),NOT(ISNUMBER('Price History'!O50)),'Price History'!O50=0),"",'Price History'!O51/'Price History'!O50-1),"")</f>
        <v>0.0557570262919311</v>
      </c>
      <c r="P50" s="76" t="str">
        <f aca="false">IFERROR(IF(OR(NOT(ISNUMBER('Price History'!P51)),NOT(ISNUMBER('Price History'!P50)),'Price History'!P50=0),"",'Price History'!P51/'Price History'!P50-1),"")</f>
        <v/>
      </c>
      <c r="Q50" s="76" t="n">
        <f aca="false">IFERROR(IF(OR(NOT(ISNUMBER('Price History'!Q51)),NOT(ISNUMBER('Price History'!Q50)),'Price History'!Q50=0),"",'Price History'!Q51/'Price History'!Q50-1),"")</f>
        <v>0.00366727787964649</v>
      </c>
      <c r="R50" s="76" t="n">
        <f aca="false">IFERROR(IF(OR(NOT(ISNUMBER('Price History'!R51)),NOT(ISNUMBER('Price History'!R50)),'Price History'!R50=0),"",'Price History'!R51/'Price History'!R50-1),"")</f>
        <v>-0.000715819613457347</v>
      </c>
      <c r="S50" s="76" t="n">
        <f aca="false">IFERROR(IF(OR(NOT(ISNUMBER('Price History'!S51)),NOT(ISNUMBER('Price History'!S50)),'Price History'!S50=0),"",'Price History'!S51/'Price History'!S50-1),"")</f>
        <v>-0.00199622934457144</v>
      </c>
      <c r="T50" s="76" t="n">
        <f aca="false">IFERROR(IF(OR(NOT(ISNUMBER('Price History'!T51)),NOT(ISNUMBER('Price History'!T50)),'Price History'!T50=0),"",'Price History'!T51/'Price History'!T50-1),"")</f>
        <v>0.0382838283828384</v>
      </c>
      <c r="U50" s="76" t="str">
        <f aca="false">IFERROR(IF(OR(NOT(ISNUMBER('Price History'!U51)),NOT(ISNUMBER('Price History'!U50)),'Price History'!U50=0),"",'Price History'!U51/'Price History'!U50-1),"")</f>
        <v/>
      </c>
      <c r="W50" s="77" t="n">
        <f aca="false">'Price History'!B3+('Price History'!B158-'Price History'!B3)*0.305194805194805</f>
        <v>429.697532467533</v>
      </c>
      <c r="X50" s="77" t="n">
        <f aca="false">'Price History'!C3+('Price History'!C158-'Price History'!C3)*0.305194805194805</f>
        <v>85.4326623376623</v>
      </c>
      <c r="Y50" s="77" t="n">
        <f aca="false">'Price History'!D3+('Price History'!D158-'Price History'!D3)*0.305194805194805</f>
        <v>956.970519480519</v>
      </c>
      <c r="Z50" s="77" t="n">
        <f aca="false">'Price History'!E3+('Price History'!E158-'Price History'!E3)*0.305194805194805</f>
        <v>176.461168831169</v>
      </c>
      <c r="AA50" s="77" t="n">
        <f aca="false">'Price History'!F3+('Price History'!F158-'Price History'!F3)*0.305194805194805</f>
        <v>83.998961038961</v>
      </c>
      <c r="AB50" s="77" t="n">
        <f aca="false">'Price History'!G3+('Price History'!G158-'Price History'!G3)*0.305194805194805</f>
        <v>89.0768831168831</v>
      </c>
      <c r="AC50" s="77" t="n">
        <f aca="false">'Price History'!H3+('Price History'!H158-'Price History'!H3)*0.305194805194805</f>
        <v>295.909090909091</v>
      </c>
      <c r="AD50" s="77" t="n">
        <f aca="false">'Price History'!I3+('Price History'!I158-'Price History'!I3)*0.305194805194805</f>
        <v>89.6506493506493</v>
      </c>
      <c r="AE50" s="77" t="n">
        <f aca="false">'Price History'!J3+('Price History'!J158-'Price History'!J3)*0.305194805194805</f>
        <v>129.94961038961</v>
      </c>
      <c r="AF50" s="77" t="n">
        <f aca="false">'Price History'!K3+('Price History'!K158-'Price History'!K3)*0.305194805194805</f>
        <v>48.2642207792208</v>
      </c>
      <c r="AG50" s="77" t="n">
        <f aca="false">'Price History'!L3+('Price History'!L158-'Price History'!L3)*0.305194805194805</f>
        <v>187.29012987013</v>
      </c>
      <c r="AH50" s="77" t="n">
        <f aca="false">'Price History'!M3+('Price History'!M158-'Price History'!M3)*0.305194805194805</f>
        <v>97.0088311688311</v>
      </c>
      <c r="AI50" s="77" t="n">
        <f aca="false">'Price History'!N3+('Price History'!N158-'Price History'!N3)*0.305194805194805</f>
        <v>388.692987012987</v>
      </c>
      <c r="AJ50" s="77" t="n">
        <f aca="false">'Price History'!O3+('Price History'!O158-'Price History'!O3)*0.305194805194805</f>
        <v>95.7994155844156</v>
      </c>
      <c r="AK50" s="77" t="n">
        <f aca="false">'Price History'!Q3+('Price History'!Q151-'Price History'!Q3)*0.305194805194805</f>
        <v>55.5196753246753</v>
      </c>
      <c r="AL50" s="77" t="n">
        <f aca="false">'Price History'!R3+('Price History'!R158-'Price History'!R3)*0.305194805194805</f>
        <v>51.0031818181818</v>
      </c>
      <c r="AM50" s="77" t="n">
        <f aca="false">'Price History'!S3+('Price History'!S158-'Price History'!S3)*0.305194805194805</f>
        <v>84.5700649350649</v>
      </c>
      <c r="AN50" s="77" t="n">
        <f aca="false">'Price History'!T3+('Price History'!T158-'Price History'!T3)*0.305194805194805</f>
        <v>33.8775974025974</v>
      </c>
    </row>
    <row r="51" customFormat="false" ht="15" hidden="false" customHeight="true" outlineLevel="0" collapsed="false">
      <c r="A51" s="49" t="n">
        <f aca="false">IF('Price History'!A52="","",'Price History'!A52)</f>
        <v>45492</v>
      </c>
      <c r="B51" s="76" t="n">
        <f aca="false">IFERROR(IF(OR(NOT(ISNUMBER('Price History'!B52)),NOT(ISNUMBER('Price History'!B51)),'Price History'!B51=0),"",'Price History'!B52/'Price History'!B51-1),"")</f>
        <v>-0.0143994276003935</v>
      </c>
      <c r="C51" s="76" t="n">
        <f aca="false">IFERROR(IF(OR(NOT(ISNUMBER('Price History'!C52)),NOT(ISNUMBER('Price History'!C51)),'Price History'!C51=0),"",'Price History'!C52/'Price History'!C51-1),"")</f>
        <v>-0.0866489832007074</v>
      </c>
      <c r="D51" s="76" t="n">
        <f aca="false">IFERROR(IF(OR(NOT(ISNUMBER('Price History'!D52)),NOT(ISNUMBER('Price History'!D51)),'Price History'!D51=0),"",'Price History'!D52/'Price History'!D51-1),"")</f>
        <v>-0.174971896135488</v>
      </c>
      <c r="E51" s="76" t="n">
        <f aca="false">IFERROR(IF(OR(NOT(ISNUMBER('Price History'!E52)),NOT(ISNUMBER('Price History'!E51)),'Price History'!E51=0),"",'Price History'!E52/'Price History'!E51-1),"")</f>
        <v>-0.0747927324043041</v>
      </c>
      <c r="F51" s="76" t="n">
        <f aca="false">IFERROR(IF(OR(NOT(ISNUMBER('Price History'!F52)),NOT(ISNUMBER('Price History'!F51)),'Price History'!F51=0),"",'Price History'!F52/'Price History'!F51-1),"")</f>
        <v>-0.178713777873532</v>
      </c>
      <c r="G51" s="76" t="n">
        <f aca="false">IFERROR(IF(OR(NOT(ISNUMBER('Price History'!G52)),NOT(ISNUMBER('Price History'!G51)),'Price History'!G51=0),"",'Price History'!G52/'Price History'!G51-1),"")</f>
        <v>-0.110877929345925</v>
      </c>
      <c r="H51" s="76" t="n">
        <f aca="false">IFERROR(IF(OR(NOT(ISNUMBER('Price History'!H52)),NOT(ISNUMBER('Price History'!H51)),'Price History'!H51=0),"",'Price History'!H52/'Price History'!H51-1),"")</f>
        <v>-0.144440284537626</v>
      </c>
      <c r="I51" s="76" t="n">
        <f aca="false">IFERROR(IF(OR(NOT(ISNUMBER('Price History'!I52)),NOT(ISNUMBER('Price History'!I51)),'Price History'!I51=0),"",'Price History'!I52/'Price History'!I51-1),"")</f>
        <v>-0.0875116063138347</v>
      </c>
      <c r="J51" s="76" t="n">
        <f aca="false">IFERROR(IF(OR(NOT(ISNUMBER('Price History'!J52)),NOT(ISNUMBER('Price History'!J51)),'Price History'!J51=0),"",'Price History'!J52/'Price History'!J51-1),"")</f>
        <v>0.0299625468164793</v>
      </c>
      <c r="K51" s="76" t="n">
        <f aca="false">IFERROR(IF(OR(NOT(ISNUMBER('Price History'!K52)),NOT(ISNUMBER('Price History'!K51)),'Price History'!K51=0),"",'Price History'!K52/'Price History'!K51-1),"")</f>
        <v>0.0181688635553972</v>
      </c>
      <c r="L51" s="76" t="n">
        <f aca="false">IFERROR(IF(OR(NOT(ISNUMBER('Price History'!L52)),NOT(ISNUMBER('Price History'!L51)),'Price History'!L51=0),"",'Price History'!L52/'Price History'!L51-1),"")</f>
        <v>-0.115185481718708</v>
      </c>
      <c r="M51" s="76" t="n">
        <f aca="false">IFERROR(IF(OR(NOT(ISNUMBER('Price History'!M52)),NOT(ISNUMBER('Price History'!M51)),'Price History'!M51=0),"",'Price History'!M52/'Price History'!M51-1),"")</f>
        <v>-0.0486227277796364</v>
      </c>
      <c r="N51" s="76" t="n">
        <f aca="false">IFERROR(IF(OR(NOT(ISNUMBER('Price History'!N52)),NOT(ISNUMBER('Price History'!N51)),'Price History'!N51=0),"",'Price History'!N52/'Price History'!N51-1),"")</f>
        <v>0.00579039980357643</v>
      </c>
      <c r="O51" s="76" t="n">
        <f aca="false">IFERROR(IF(OR(NOT(ISNUMBER('Price History'!O52)),NOT(ISNUMBER('Price History'!O51)),'Price History'!O51=0),"",'Price History'!O52/'Price History'!O51-1),"")</f>
        <v>0.0264061829111208</v>
      </c>
      <c r="P51" s="76" t="str">
        <f aca="false">IFERROR(IF(OR(NOT(ISNUMBER('Price History'!P52)),NOT(ISNUMBER('Price History'!P51)),'Price History'!P51=0),"",'Price History'!P52/'Price History'!P51-1),"")</f>
        <v/>
      </c>
      <c r="Q51" s="76" t="n">
        <f aca="false">IFERROR(IF(OR(NOT(ISNUMBER('Price History'!Q52)),NOT(ISNUMBER('Price History'!Q51)),'Price History'!Q51=0),"",'Price History'!Q52/'Price History'!Q51-1),"")</f>
        <v>-0.0270719149642917</v>
      </c>
      <c r="R51" s="76" t="n">
        <f aca="false">IFERROR(IF(OR(NOT(ISNUMBER('Price History'!R52)),NOT(ISNUMBER('Price History'!R51)),'Price History'!R51=0),"",'Price History'!R52/'Price History'!R51-1),"")</f>
        <v>-0.0295487106017193</v>
      </c>
      <c r="S51" s="76" t="n">
        <f aca="false">IFERROR(IF(OR(NOT(ISNUMBER('Price History'!S52)),NOT(ISNUMBER('Price History'!S51)),'Price History'!S51=0),"",'Price History'!S52/'Price History'!S51-1),"")</f>
        <v>-0.0404489387709746</v>
      </c>
      <c r="T51" s="76" t="n">
        <f aca="false">IFERROR(IF(OR(NOT(ISNUMBER('Price History'!T52)),NOT(ISNUMBER('Price History'!T51)),'Price History'!T51=0),"",'Price History'!T52/'Price History'!T51-1),"")</f>
        <v>0.0152574698029244</v>
      </c>
      <c r="U51" s="76" t="str">
        <f aca="false">IFERROR(IF(OR(NOT(ISNUMBER('Price History'!U52)),NOT(ISNUMBER('Price History'!U51)),'Price History'!U51=0),"",'Price History'!U52/'Price History'!U51-1),"")</f>
        <v/>
      </c>
      <c r="W51" s="77" t="n">
        <f aca="false">'Price History'!B3+('Price History'!B158-'Price History'!B3)*0.311688311688312</f>
        <v>428.021948051948</v>
      </c>
      <c r="X51" s="77" t="n">
        <f aca="false">'Price History'!C3+('Price History'!C158-'Price History'!C3)*0.311688311688312</f>
        <v>86.3197402597403</v>
      </c>
      <c r="Y51" s="77" t="n">
        <f aca="false">'Price History'!D3+('Price History'!D158-'Price History'!D3)*0.311688311688312</f>
        <v>963.251168831169</v>
      </c>
      <c r="Z51" s="77" t="n">
        <f aca="false">'Price History'!E3+('Price History'!E158-'Price History'!E3)*0.311688311688312</f>
        <v>178.45012987013</v>
      </c>
      <c r="AA51" s="77" t="n">
        <f aca="false">'Price History'!F3+('Price History'!F158-'Price History'!F3)*0.311688311688312</f>
        <v>84.9976623376624</v>
      </c>
      <c r="AB51" s="77" t="n">
        <f aca="false">'Price History'!G3+('Price History'!G158-'Price History'!G3)*0.311688311688312</f>
        <v>89.9529870129871</v>
      </c>
      <c r="AC51" s="77" t="n">
        <f aca="false">'Price History'!H3+('Price History'!H158-'Price History'!H3)*0.311688311688312</f>
        <v>300.835454545455</v>
      </c>
      <c r="AD51" s="77" t="n">
        <f aca="false">'Price History'!I3+('Price History'!I158-'Price History'!I3)*0.311688311688312</f>
        <v>90.6889610389611</v>
      </c>
      <c r="AE51" s="77" t="n">
        <f aca="false">'Price History'!J3+('Price History'!J158-'Price History'!J3)*0.311688311688312</f>
        <v>130.086623376623</v>
      </c>
      <c r="AF51" s="77" t="n">
        <f aca="false">'Price History'!K3+('Price History'!K158-'Price History'!K3)*0.311688311688312</f>
        <v>48.9632467532468</v>
      </c>
      <c r="AG51" s="77" t="n">
        <f aca="false">'Price History'!L3+('Price History'!L158-'Price History'!L3)*0.311688311688312</f>
        <v>189.317792207792</v>
      </c>
      <c r="AH51" s="77" t="n">
        <f aca="false">'Price History'!M3+('Price History'!M158-'Price History'!M3)*0.311688311688312</f>
        <v>98.3598701298702</v>
      </c>
      <c r="AI51" s="77" t="n">
        <f aca="false">'Price History'!N3+('Price History'!N158-'Price History'!N3)*0.311688311688312</f>
        <v>389.519220779221</v>
      </c>
      <c r="AJ51" s="77" t="n">
        <f aca="false">'Price History'!O3+('Price History'!O158-'Price History'!O3)*0.311688311688312</f>
        <v>96.0749350649351</v>
      </c>
      <c r="AK51" s="77" t="n">
        <f aca="false">'Price History'!Q3+('Price History'!Q151-'Price History'!Q3)*0.311688311688312</f>
        <v>55.6405194805195</v>
      </c>
      <c r="AL51" s="77" t="n">
        <f aca="false">'Price History'!R3+('Price History'!R158-'Price History'!R3)*0.311688311688312</f>
        <v>51.0709090909091</v>
      </c>
      <c r="AM51" s="77" t="n">
        <f aca="false">'Price History'!S3+('Price History'!S158-'Price History'!S3)*0.311688311688312</f>
        <v>85.1238961038961</v>
      </c>
      <c r="AN51" s="77" t="n">
        <f aca="false">'Price History'!T3+('Price History'!T158-'Price History'!T3)*0.311688311688312</f>
        <v>34.0258441558442</v>
      </c>
    </row>
    <row r="52" customFormat="false" ht="15" hidden="false" customHeight="true" outlineLevel="0" collapsed="false">
      <c r="A52" s="49" t="n">
        <f aca="false">IF('Price History'!A53="","",'Price History'!A53)</f>
        <v>45499</v>
      </c>
      <c r="B52" s="76" t="n">
        <f aca="false">IFERROR(IF(OR(NOT(ISNUMBER('Price History'!B53)),NOT(ISNUMBER('Price History'!B52)),'Price History'!B52=0),"",'Price History'!B53/'Price History'!B52-1),"")</f>
        <v>-0.0155353901996369</v>
      </c>
      <c r="C52" s="76" t="n">
        <f aca="false">IFERROR(IF(OR(NOT(ISNUMBER('Price History'!C53)),NOT(ISNUMBER('Price History'!C52)),'Price History'!C52=0),"",'Price History'!C53/'Price History'!C52-1),"")</f>
        <v>-0.0343659244917716</v>
      </c>
      <c r="D52" s="76" t="n">
        <f aca="false">IFERROR(IF(OR(NOT(ISNUMBER('Price History'!D53)),NOT(ISNUMBER('Price History'!D52)),'Price History'!D52=0),"",'Price History'!D53/'Price History'!D52-1),"")</f>
        <v>-0.00779565989479214</v>
      </c>
      <c r="E52" s="76" t="n">
        <f aca="false">IFERROR(IF(OR(NOT(ISNUMBER('Price History'!E53)),NOT(ISNUMBER('Price History'!E52)),'Price History'!E52=0),"",'Price History'!E53/'Price History'!E52-1),"")</f>
        <v>-0.0363520813473149</v>
      </c>
      <c r="F52" s="76" t="n">
        <f aca="false">IFERROR(IF(OR(NOT(ISNUMBER('Price History'!F53)),NOT(ISNUMBER('Price History'!F52)),'Price History'!F52=0),"",'Price History'!F53/'Price History'!F52-1),"")</f>
        <v>-0.160020986358867</v>
      </c>
      <c r="G52" s="76" t="n">
        <f aca="false">IFERROR(IF(OR(NOT(ISNUMBER('Price History'!G53)),NOT(ISNUMBER('Price History'!G52)),'Price History'!G52=0),"",'Price History'!G53/'Price History'!G52-1),"")</f>
        <v>0.032520325203252</v>
      </c>
      <c r="H52" s="76" t="n">
        <f aca="false">IFERROR(IF(OR(NOT(ISNUMBER('Price History'!H53)),NOT(ISNUMBER('Price History'!H52)),'Price History'!H52=0),"",'Price History'!H53/'Price History'!H52-1),"")</f>
        <v>-0.042447050586382</v>
      </c>
      <c r="I52" s="76" t="n">
        <f aca="false">IFERROR(IF(OR(NOT(ISNUMBER('Price History'!I53)),NOT(ISNUMBER('Price History'!I52)),'Price History'!I52=0),"",'Price History'!I53/'Price History'!I52-1),"")</f>
        <v>-0.0412956838802679</v>
      </c>
      <c r="J52" s="76" t="n">
        <f aca="false">IFERROR(IF(OR(NOT(ISNUMBER('Price History'!J53)),NOT(ISNUMBER('Price History'!J52)),'Price History'!J52=0),"",'Price History'!J53/'Price History'!J52-1),"")</f>
        <v>-0.00864646464646457</v>
      </c>
      <c r="K52" s="76" t="n">
        <f aca="false">IFERROR(IF(OR(NOT(ISNUMBER('Price History'!K53)),NOT(ISNUMBER('Price History'!K52)),'Price History'!K52=0),"",'Price History'!K53/'Price History'!K52-1),"")</f>
        <v>-0.0489853044086773</v>
      </c>
      <c r="L52" s="76" t="n">
        <f aca="false">IFERROR(IF(OR(NOT(ISNUMBER('Price History'!L53)),NOT(ISNUMBER('Price History'!L52)),'Price History'!L52=0),"",'Price History'!L53/'Price History'!L52-1),"")</f>
        <v>-0.023104301140134</v>
      </c>
      <c r="M52" s="76" t="n">
        <f aca="false">IFERROR(IF(OR(NOT(ISNUMBER('Price History'!M53)),NOT(ISNUMBER('Price History'!M52)),'Price History'!M52=0),"",'Price History'!M53/'Price History'!M52-1),"")</f>
        <v>-0.0960028132692533</v>
      </c>
      <c r="N52" s="76" t="n">
        <f aca="false">IFERROR(IF(OR(NOT(ISNUMBER('Price History'!N53)),NOT(ISNUMBER('Price History'!N52)),'Price History'!N52=0),"",'Price History'!N53/'Price History'!N52-1),"")</f>
        <v>0.0075065606119169</v>
      </c>
      <c r="O52" s="76" t="n">
        <f aca="false">IFERROR(IF(OR(NOT(ISNUMBER('Price History'!O53)),NOT(ISNUMBER('Price History'!O52)),'Price History'!O52=0),"",'Price History'!O53/'Price History'!O52-1),"")</f>
        <v>0.0362894791884543</v>
      </c>
      <c r="P52" s="76" t="str">
        <f aca="false">IFERROR(IF(OR(NOT(ISNUMBER('Price History'!P53)),NOT(ISNUMBER('Price History'!P52)),'Price History'!P52=0),"",'Price History'!P53/'Price History'!P52-1),"")</f>
        <v/>
      </c>
      <c r="Q52" s="76" t="n">
        <f aca="false">IFERROR(IF(OR(NOT(ISNUMBER('Price History'!Q53)),NOT(ISNUMBER('Price History'!Q52)),'Price History'!Q52=0),"",'Price History'!Q53/'Price History'!Q52-1),"")</f>
        <v>0.0259474223284397</v>
      </c>
      <c r="R52" s="76" t="n">
        <f aca="false">IFERROR(IF(OR(NOT(ISNUMBER('Price History'!R53)),NOT(ISNUMBER('Price History'!R52)),'Price History'!R52=0),"",'Price History'!R53/'Price History'!R52-1),"")</f>
        <v>-0.0226979147444177</v>
      </c>
      <c r="S52" s="76" t="n">
        <f aca="false">IFERROR(IF(OR(NOT(ISNUMBER('Price History'!S53)),NOT(ISNUMBER('Price History'!S52)),'Price History'!S52=0),"",'Price History'!S53/'Price History'!S52-1),"")</f>
        <v>-0.0188766647365373</v>
      </c>
      <c r="T52" s="76" t="n">
        <f aca="false">IFERROR(IF(OR(NOT(ISNUMBER('Price History'!T53)),NOT(ISNUMBER('Price History'!T52)),'Price History'!T52=0),"",'Price History'!T53/'Price History'!T52-1),"")</f>
        <v>0.0178459611772073</v>
      </c>
      <c r="U52" s="76" t="str">
        <f aca="false">IFERROR(IF(OR(NOT(ISNUMBER('Price History'!U53)),NOT(ISNUMBER('Price History'!U52)),'Price History'!U52=0),"",'Price History'!U53/'Price History'!U52-1),"")</f>
        <v/>
      </c>
      <c r="W52" s="77" t="n">
        <f aca="false">'Price History'!B3+('Price History'!B158-'Price History'!B3)*0.318181818181818</f>
        <v>426.346363636364</v>
      </c>
      <c r="X52" s="77" t="n">
        <f aca="false">'Price History'!C3+('Price History'!C158-'Price History'!C3)*0.318181818181818</f>
        <v>87.2068181818182</v>
      </c>
      <c r="Y52" s="77" t="n">
        <f aca="false">'Price History'!D3+('Price History'!D158-'Price History'!D3)*0.318181818181818</f>
        <v>969.531818181818</v>
      </c>
      <c r="Z52" s="77" t="n">
        <f aca="false">'Price History'!E3+('Price History'!E158-'Price History'!E3)*0.318181818181818</f>
        <v>180.439090909091</v>
      </c>
      <c r="AA52" s="77" t="n">
        <f aca="false">'Price History'!F3+('Price History'!F158-'Price History'!F3)*0.318181818181818</f>
        <v>85.9963636363636</v>
      </c>
      <c r="AB52" s="77" t="n">
        <f aca="false">'Price History'!G3+('Price History'!G158-'Price History'!G3)*0.318181818181818</f>
        <v>90.8290909090909</v>
      </c>
      <c r="AC52" s="77" t="n">
        <f aca="false">'Price History'!H3+('Price History'!H158-'Price History'!H3)*0.318181818181818</f>
        <v>305.761818181818</v>
      </c>
      <c r="AD52" s="77" t="n">
        <f aca="false">'Price History'!I3+('Price History'!I158-'Price History'!I3)*0.318181818181818</f>
        <v>91.7272727272727</v>
      </c>
      <c r="AE52" s="77" t="n">
        <f aca="false">'Price History'!J3+('Price History'!J158-'Price History'!J3)*0.318181818181818</f>
        <v>130.223636363636</v>
      </c>
      <c r="AF52" s="77" t="n">
        <f aca="false">'Price History'!K3+('Price History'!K158-'Price History'!K3)*0.318181818181818</f>
        <v>49.6622727272727</v>
      </c>
      <c r="AG52" s="77" t="n">
        <f aca="false">'Price History'!L3+('Price History'!L158-'Price History'!L3)*0.318181818181818</f>
        <v>191.345454545455</v>
      </c>
      <c r="AH52" s="77" t="n">
        <f aca="false">'Price History'!M3+('Price History'!M158-'Price History'!M3)*0.318181818181818</f>
        <v>99.710909090909</v>
      </c>
      <c r="AI52" s="77" t="n">
        <f aca="false">'Price History'!N3+('Price History'!N158-'Price History'!N3)*0.318181818181818</f>
        <v>390.345454545455</v>
      </c>
      <c r="AJ52" s="77" t="n">
        <f aca="false">'Price History'!O3+('Price History'!O158-'Price History'!O3)*0.318181818181818</f>
        <v>96.3504545454545</v>
      </c>
      <c r="AK52" s="77" t="n">
        <f aca="false">'Price History'!Q3+('Price History'!Q151-'Price History'!Q3)*0.318181818181818</f>
        <v>55.7613636363636</v>
      </c>
      <c r="AL52" s="77" t="n">
        <f aca="false">'Price History'!R3+('Price History'!R158-'Price History'!R3)*0.318181818181818</f>
        <v>51.1386363636364</v>
      </c>
      <c r="AM52" s="77" t="n">
        <f aca="false">'Price History'!S3+('Price History'!S158-'Price History'!S3)*0.318181818181818</f>
        <v>85.6777272727273</v>
      </c>
      <c r="AN52" s="77" t="n">
        <f aca="false">'Price History'!T3+('Price History'!T158-'Price History'!T3)*0.318181818181818</f>
        <v>34.1740909090909</v>
      </c>
    </row>
    <row r="53" customFormat="false" ht="15" hidden="false" customHeight="true" outlineLevel="0" collapsed="false">
      <c r="A53" s="49" t="n">
        <f aca="false">IF('Price History'!A54="","",'Price History'!A54)</f>
        <v>45506</v>
      </c>
      <c r="B53" s="76" t="n">
        <f aca="false">IFERROR(IF(OR(NOT(ISNUMBER('Price History'!B54)),NOT(ISNUMBER('Price History'!B53)),'Price History'!B53=0),"",'Price History'!B54/'Price History'!B53-1),"")</f>
        <v>-0.0299941007300348</v>
      </c>
      <c r="C53" s="76" t="n">
        <f aca="false">IFERROR(IF(OR(NOT(ISNUMBER('Price History'!C54)),NOT(ISNUMBER('Price History'!C53)),'Price History'!C53=0),"",'Price History'!C54/'Price History'!C53-1),"")</f>
        <v>0.000375939849624141</v>
      </c>
      <c r="D53" s="76" t="n">
        <f aca="false">IFERROR(IF(OR(NOT(ISNUMBER('Price History'!D54)),NOT(ISNUMBER('Price History'!D53)),'Price History'!D53=0),"",'Price History'!D54/'Price History'!D53-1),"")</f>
        <v>-0.0889699343756684</v>
      </c>
      <c r="E53" s="76" t="n">
        <f aca="false">IFERROR(IF(OR(NOT(ISNUMBER('Price History'!E54)),NOT(ISNUMBER('Price History'!E53)),'Price History'!E53=0),"",'Price History'!E54/'Price History'!E53-1),"")</f>
        <v>-0.0515069577260436</v>
      </c>
      <c r="F53" s="76" t="n">
        <f aca="false">IFERROR(IF(OR(NOT(ISNUMBER('Price History'!F54)),NOT(ISNUMBER('Price History'!F53)),'Price History'!F53=0),"",'Price History'!F54/'Price History'!F53-1),"")</f>
        <v>-0.149437851342911</v>
      </c>
      <c r="G53" s="76" t="n">
        <f aca="false">IFERROR(IF(OR(NOT(ISNUMBER('Price History'!G54)),NOT(ISNUMBER('Price History'!G53)),'Price History'!G53=0),"",'Price History'!G54/'Price History'!G53-1),"")</f>
        <v>-0.115824231648463</v>
      </c>
      <c r="H53" s="76" t="n">
        <f aca="false">IFERROR(IF(OR(NOT(ISNUMBER('Price History'!H54)),NOT(ISNUMBER('Price History'!H53)),'Price History'!H53=0),"",'Price History'!H54/'Price History'!H53-1),"")</f>
        <v>-0.152728269810803</v>
      </c>
      <c r="I53" s="76" t="n">
        <f aca="false">IFERROR(IF(OR(NOT(ISNUMBER('Price History'!I54)),NOT(ISNUMBER('Price History'!I53)),'Price History'!I53=0),"",'Price History'!I54/'Price History'!I53-1),"")</f>
        <v>-0.0512117459755882</v>
      </c>
      <c r="J53" s="76" t="n">
        <f aca="false">IFERROR(IF(OR(NOT(ISNUMBER('Price History'!J54)),NOT(ISNUMBER('Price History'!J53)),'Price History'!J53=0),"",'Price History'!J54/'Price History'!J53-1),"")</f>
        <v>0.0105966742745354</v>
      </c>
      <c r="K53" s="76" t="n">
        <f aca="false">IFERROR(IF(OR(NOT(ISNUMBER('Price History'!K54)),NOT(ISNUMBER('Price History'!K53)),'Price History'!K53=0),"",'Price History'!K54/'Price History'!K53-1),"")</f>
        <v>-0.0897718910963945</v>
      </c>
      <c r="L53" s="76" t="n">
        <f aca="false">IFERROR(IF(OR(NOT(ISNUMBER('Price History'!L54)),NOT(ISNUMBER('Price History'!L53)),'Price History'!L53=0),"",'Price History'!L54/'Price History'!L53-1),"")</f>
        <v>-0.0745955292083487</v>
      </c>
      <c r="M53" s="76" t="n">
        <f aca="false">IFERROR(IF(OR(NOT(ISNUMBER('Price History'!M54)),NOT(ISNUMBER('Price History'!M53)),'Price History'!M53=0),"",'Price History'!M54/'Price History'!M53-1),"")</f>
        <v>-0.0993257261410789</v>
      </c>
      <c r="N53" s="76" t="n">
        <f aca="false">IFERROR(IF(OR(NOT(ISNUMBER('Price History'!N54)),NOT(ISNUMBER('Price History'!N53)),'Price History'!N53=0),"",'Price History'!N54/'Price History'!N53-1),"")</f>
        <v>-0.00161531316884067</v>
      </c>
      <c r="O53" s="76" t="n">
        <f aca="false">IFERROR(IF(OR(NOT(ISNUMBER('Price History'!O54)),NOT(ISNUMBER('Price History'!O53)),'Price History'!O53=0),"",'Price History'!O54/'Price History'!O53-1),"")</f>
        <v>-0.0714501967907962</v>
      </c>
      <c r="P53" s="76" t="str">
        <f aca="false">IFERROR(IF(OR(NOT(ISNUMBER('Price History'!P54)),NOT(ISNUMBER('Price History'!P53)),'Price History'!P53=0),"",'Price History'!P54/'Price History'!P53-1),"")</f>
        <v/>
      </c>
      <c r="Q53" s="76" t="n">
        <f aca="false">IFERROR(IF(OR(NOT(ISNUMBER('Price History'!Q54)),NOT(ISNUMBER('Price History'!Q53)),'Price History'!Q53=0),"",'Price History'!Q54/'Price History'!Q53-1),"")</f>
        <v>0.00831946755407653</v>
      </c>
      <c r="R53" s="76" t="n">
        <f aca="false">IFERROR(IF(OR(NOT(ISNUMBER('Price History'!R54)),NOT(ISNUMBER('Price History'!R53)),'Price History'!R53=0),"",'Price History'!R54/'Price History'!R53-1),"")</f>
        <v>-0.0343655589123867</v>
      </c>
      <c r="S53" s="76" t="n">
        <f aca="false">IFERROR(IF(OR(NOT(ISNUMBER('Price History'!S54)),NOT(ISNUMBER('Price History'!S53)),'Price History'!S53=0),"",'Price History'!S54/'Price History'!S53-1),"")</f>
        <v>-0.0297450424929178</v>
      </c>
      <c r="T53" s="76" t="n">
        <f aca="false">IFERROR(IF(OR(NOT(ISNUMBER('Price History'!T54)),NOT(ISNUMBER('Price History'!T53)),'Price History'!T53=0),"",'Price History'!T54/'Price History'!T53-1),"")</f>
        <v>-0.0286065825899723</v>
      </c>
      <c r="U53" s="76" t="str">
        <f aca="false">IFERROR(IF(OR(NOT(ISNUMBER('Price History'!U54)),NOT(ISNUMBER('Price History'!U53)),'Price History'!U53=0),"",'Price History'!U54/'Price History'!U53-1),"")</f>
        <v/>
      </c>
      <c r="W53" s="77" t="n">
        <f aca="false">'Price History'!B3+('Price History'!B158-'Price History'!B3)*0.324675324675325</f>
        <v>424.670779220779</v>
      </c>
      <c r="X53" s="77" t="n">
        <f aca="false">'Price History'!C3+('Price History'!C158-'Price History'!C3)*0.324675324675325</f>
        <v>88.0938961038962</v>
      </c>
      <c r="Y53" s="77" t="n">
        <f aca="false">'Price History'!D3+('Price History'!D158-'Price History'!D3)*0.324675324675325</f>
        <v>975.812467532468</v>
      </c>
      <c r="Z53" s="77" t="n">
        <f aca="false">'Price History'!E3+('Price History'!E158-'Price History'!E3)*0.324675324675325</f>
        <v>182.428051948052</v>
      </c>
      <c r="AA53" s="77" t="n">
        <f aca="false">'Price History'!F3+('Price History'!F158-'Price History'!F3)*0.324675324675325</f>
        <v>86.995064935065</v>
      </c>
      <c r="AB53" s="77" t="n">
        <f aca="false">'Price History'!G3+('Price History'!G158-'Price History'!G3)*0.324675324675325</f>
        <v>91.7051948051949</v>
      </c>
      <c r="AC53" s="77" t="n">
        <f aca="false">'Price History'!H3+('Price History'!H158-'Price History'!H3)*0.324675324675325</f>
        <v>310.688181818182</v>
      </c>
      <c r="AD53" s="77" t="n">
        <f aca="false">'Price History'!I3+('Price History'!I158-'Price History'!I3)*0.324675324675325</f>
        <v>92.7655844155845</v>
      </c>
      <c r="AE53" s="77" t="n">
        <f aca="false">'Price History'!J3+('Price History'!J158-'Price History'!J3)*0.324675324675325</f>
        <v>130.360649350649</v>
      </c>
      <c r="AF53" s="77" t="n">
        <f aca="false">'Price History'!K3+('Price History'!K158-'Price History'!K3)*0.324675324675325</f>
        <v>50.3612987012987</v>
      </c>
      <c r="AG53" s="77" t="n">
        <f aca="false">'Price History'!L3+('Price History'!L158-'Price History'!L3)*0.324675324675325</f>
        <v>193.373116883117</v>
      </c>
      <c r="AH53" s="77" t="n">
        <f aca="false">'Price History'!M3+('Price History'!M158-'Price History'!M3)*0.324675324675325</f>
        <v>101.061948051948</v>
      </c>
      <c r="AI53" s="77" t="n">
        <f aca="false">'Price History'!N3+('Price History'!N158-'Price History'!N3)*0.324675324675325</f>
        <v>391.171688311688</v>
      </c>
      <c r="AJ53" s="77" t="n">
        <f aca="false">'Price History'!O3+('Price History'!O158-'Price History'!O3)*0.324675324675325</f>
        <v>96.625974025974</v>
      </c>
      <c r="AK53" s="77" t="n">
        <f aca="false">'Price History'!Q3+('Price History'!Q151-'Price History'!Q3)*0.324675324675325</f>
        <v>55.8822077922078</v>
      </c>
      <c r="AL53" s="77" t="n">
        <f aca="false">'Price History'!R3+('Price History'!R158-'Price History'!R3)*0.324675324675325</f>
        <v>51.2063636363636</v>
      </c>
      <c r="AM53" s="77" t="n">
        <f aca="false">'Price History'!S3+('Price History'!S158-'Price History'!S3)*0.324675324675325</f>
        <v>86.2315584415585</v>
      </c>
      <c r="AN53" s="77" t="n">
        <f aca="false">'Price History'!T3+('Price History'!T158-'Price History'!T3)*0.324675324675325</f>
        <v>34.3223376623377</v>
      </c>
    </row>
    <row r="54" customFormat="false" ht="15" hidden="false" customHeight="true" outlineLevel="0" collapsed="false">
      <c r="A54" s="49" t="n">
        <f aca="false">IF('Price History'!A55="","",'Price History'!A55)</f>
        <v>45513</v>
      </c>
      <c r="B54" s="76" t="n">
        <f aca="false">IFERROR(IF(OR(NOT(ISNUMBER('Price History'!B55)),NOT(ISNUMBER('Price History'!B54)),'Price History'!B54=0),"",'Price History'!B55/'Price History'!B54-1),"")</f>
        <v>0.0192523328962122</v>
      </c>
      <c r="C54" s="76" t="n">
        <f aca="false">IFERROR(IF(OR(NOT(ISNUMBER('Price History'!C55)),NOT(ISNUMBER('Price History'!C54)),'Price History'!C54=0),"",'Price History'!C55/'Price History'!C54-1),"")</f>
        <v>0.0516096705499187</v>
      </c>
      <c r="D54" s="76" t="n">
        <f aca="false">IFERROR(IF(OR(NOT(ISNUMBER('Price History'!D55)),NOT(ISNUMBER('Price History'!D54)),'Price History'!D54=0),"",'Price History'!D55/'Price History'!D54-1),"")</f>
        <v>0.0632606412553283</v>
      </c>
      <c r="E54" s="76" t="n">
        <f aca="false">IFERROR(IF(OR(NOT(ISNUMBER('Price History'!E55)),NOT(ISNUMBER('Price History'!E54)),'Price History'!E54=0),"",'Price History'!E55/'Price History'!E54-1),"")</f>
        <v>0.03087192323738</v>
      </c>
      <c r="F54" s="76" t="n">
        <f aca="false">IFERROR(IF(OR(NOT(ISNUMBER('Price History'!F55)),NOT(ISNUMBER('Price History'!F54)),'Price History'!F54=0),"",'Price History'!F55/'Price History'!F54-1),"")</f>
        <v>0.105746282357261</v>
      </c>
      <c r="G54" s="76" t="n">
        <f aca="false">IFERROR(IF(OR(NOT(ISNUMBER('Price History'!G55)),NOT(ISNUMBER('Price History'!G54)),'Price History'!G54=0),"",'Price History'!G55/'Price History'!G54-1),"")</f>
        <v>0.0726802642918702</v>
      </c>
      <c r="H54" s="76" t="n">
        <f aca="false">IFERROR(IF(OR(NOT(ISNUMBER('Price History'!H55)),NOT(ISNUMBER('Price History'!H54)),'Price History'!H54=0),"",'Price History'!H55/'Price History'!H54-1),"")</f>
        <v>0.00409924487594382</v>
      </c>
      <c r="I54" s="76" t="n">
        <f aca="false">IFERROR(IF(OR(NOT(ISNUMBER('Price History'!I55)),NOT(ISNUMBER('Price History'!I54)),'Price History'!I54=0),"",'Price History'!I55/'Price History'!I54-1),"")</f>
        <v>-0.023492122681085</v>
      </c>
      <c r="J54" s="76" t="n">
        <f aca="false">IFERROR(IF(OR(NOT(ISNUMBER('Price History'!J55)),NOT(ISNUMBER('Price History'!J54)),'Price History'!J54=0),"",'Price History'!J55/'Price History'!J54-1),"")</f>
        <v>-0.0167768994999193</v>
      </c>
      <c r="K54" s="76" t="n">
        <f aca="false">IFERROR(IF(OR(NOT(ISNUMBER('Price History'!K55)),NOT(ISNUMBER('Price History'!K54)),'Price History'!K54=0),"",'Price History'!K55/'Price History'!K54-1),"")</f>
        <v>0.21301535974131</v>
      </c>
      <c r="L54" s="76" t="n">
        <f aca="false">IFERROR(IF(OR(NOT(ISNUMBER('Price History'!L55)),NOT(ISNUMBER('Price History'!L54)),'Price History'!L54=0),"",'Price History'!L55/'Price History'!L54-1),"")</f>
        <v>0.115174162551715</v>
      </c>
      <c r="M54" s="76" t="n">
        <f aca="false">IFERROR(IF(OR(NOT(ISNUMBER('Price History'!M55)),NOT(ISNUMBER('Price History'!M54)),'Price History'!M54=0),"",'Price History'!M55/'Price History'!M54-1),"")</f>
        <v>0.0287935502447452</v>
      </c>
      <c r="N54" s="76" t="n">
        <f aca="false">IFERROR(IF(OR(NOT(ISNUMBER('Price History'!N55)),NOT(ISNUMBER('Price History'!N54)),'Price History'!N54=0),"",'Price History'!N55/'Price History'!N54-1),"")</f>
        <v>-0.0526028394612305</v>
      </c>
      <c r="O54" s="76" t="n">
        <f aca="false">IFERROR(IF(OR(NOT(ISNUMBER('Price History'!O55)),NOT(ISNUMBER('Price History'!O54)),'Price History'!O54=0),"",'Price History'!O55/'Price History'!O54-1),"")</f>
        <v>-0.0176067818715357</v>
      </c>
      <c r="P54" s="76" t="str">
        <f aca="false">IFERROR(IF(OR(NOT(ISNUMBER('Price History'!P55)),NOT(ISNUMBER('Price History'!P54)),'Price History'!P54=0),"",'Price History'!P55/'Price History'!P54-1),"")</f>
        <v/>
      </c>
      <c r="Q54" s="76" t="n">
        <f aca="false">IFERROR(IF(OR(NOT(ISNUMBER('Price History'!Q55)),NOT(ISNUMBER('Price History'!Q54)),'Price History'!Q54=0),"",'Price History'!Q55/'Price History'!Q54-1),"")</f>
        <v>0.00561056105610547</v>
      </c>
      <c r="R54" s="76" t="n">
        <f aca="false">IFERROR(IF(OR(NOT(ISNUMBER('Price History'!R55)),NOT(ISNUMBER('Price History'!R54)),'Price History'!R54=0),"",'Price History'!R55/'Price History'!R54-1),"")</f>
        <v>0.00293312475557284</v>
      </c>
      <c r="S54" s="76" t="n">
        <f aca="false">IFERROR(IF(OR(NOT(ISNUMBER('Price History'!S55)),NOT(ISNUMBER('Price History'!S54)),'Price History'!S54=0),"",'Price History'!S55/'Price History'!S54-1),"")</f>
        <v>0.0172749391727494</v>
      </c>
      <c r="T54" s="76" t="n">
        <f aca="false">IFERROR(IF(OR(NOT(ISNUMBER('Price History'!T55)),NOT(ISNUMBER('Price History'!T54)),'Price History'!T54=0),"",'Price History'!T55/'Price History'!T54-1),"")</f>
        <v>-0.00158328055731471</v>
      </c>
      <c r="U54" s="76" t="str">
        <f aca="false">IFERROR(IF(OR(NOT(ISNUMBER('Price History'!U55)),NOT(ISNUMBER('Price History'!U54)),'Price History'!U54=0),"",'Price History'!U55/'Price History'!U54-1),"")</f>
        <v/>
      </c>
      <c r="W54" s="77" t="n">
        <f aca="false">'Price History'!B3+('Price History'!B158-'Price History'!B3)*0.331168831168831</f>
        <v>422.995194805195</v>
      </c>
      <c r="X54" s="77" t="n">
        <f aca="false">'Price History'!C3+('Price History'!C158-'Price History'!C3)*0.331168831168831</f>
        <v>88.980974025974</v>
      </c>
      <c r="Y54" s="77" t="n">
        <f aca="false">'Price History'!D3+('Price History'!D158-'Price History'!D3)*0.331168831168831</f>
        <v>982.093116883117</v>
      </c>
      <c r="Z54" s="77" t="n">
        <f aca="false">'Price History'!E3+('Price History'!E158-'Price History'!E3)*0.331168831168831</f>
        <v>184.417012987013</v>
      </c>
      <c r="AA54" s="77" t="n">
        <f aca="false">'Price History'!F3+('Price History'!F158-'Price History'!F3)*0.331168831168831</f>
        <v>87.9937662337662</v>
      </c>
      <c r="AB54" s="77" t="n">
        <f aca="false">'Price History'!G3+('Price History'!G158-'Price History'!G3)*0.331168831168831</f>
        <v>92.5812987012987</v>
      </c>
      <c r="AC54" s="77" t="n">
        <f aca="false">'Price History'!H3+('Price History'!H158-'Price History'!H3)*0.331168831168831</f>
        <v>315.614545454545</v>
      </c>
      <c r="AD54" s="77" t="n">
        <f aca="false">'Price History'!I3+('Price History'!I158-'Price History'!I3)*0.331168831168831</f>
        <v>93.8038961038961</v>
      </c>
      <c r="AE54" s="77" t="n">
        <f aca="false">'Price History'!J3+('Price History'!J158-'Price History'!J3)*0.331168831168831</f>
        <v>130.497662337662</v>
      </c>
      <c r="AF54" s="77" t="n">
        <f aca="false">'Price History'!K3+('Price History'!K158-'Price History'!K3)*0.331168831168831</f>
        <v>51.0603246753247</v>
      </c>
      <c r="AG54" s="77" t="n">
        <f aca="false">'Price History'!L3+('Price History'!L158-'Price History'!L3)*0.331168831168831</f>
        <v>195.400779220779</v>
      </c>
      <c r="AH54" s="77" t="n">
        <f aca="false">'Price History'!M3+('Price History'!M158-'Price History'!M3)*0.331168831168831</f>
        <v>102.412987012987</v>
      </c>
      <c r="AI54" s="77" t="n">
        <f aca="false">'Price History'!N3+('Price History'!N158-'Price History'!N3)*0.331168831168831</f>
        <v>391.997922077922</v>
      </c>
      <c r="AJ54" s="77" t="n">
        <f aca="false">'Price History'!O3+('Price History'!O158-'Price History'!O3)*0.331168831168831</f>
        <v>96.9014935064935</v>
      </c>
      <c r="AK54" s="77" t="n">
        <f aca="false">'Price History'!Q3+('Price History'!Q151-'Price History'!Q3)*0.331168831168831</f>
        <v>56.003051948052</v>
      </c>
      <c r="AL54" s="77" t="n">
        <f aca="false">'Price History'!R3+('Price History'!R158-'Price History'!R3)*0.331168831168831</f>
        <v>51.2740909090909</v>
      </c>
      <c r="AM54" s="77" t="n">
        <f aca="false">'Price History'!S3+('Price History'!S158-'Price History'!S3)*0.331168831168831</f>
        <v>86.7853896103896</v>
      </c>
      <c r="AN54" s="77" t="n">
        <f aca="false">'Price History'!T3+('Price History'!T158-'Price History'!T3)*0.331168831168831</f>
        <v>34.4705844155844</v>
      </c>
    </row>
    <row r="55" customFormat="false" ht="15" hidden="false" customHeight="true" outlineLevel="0" collapsed="false">
      <c r="A55" s="49" t="n">
        <f aca="false">IF('Price History'!A56="","",'Price History'!A56)</f>
        <v>45520</v>
      </c>
      <c r="B55" s="76" t="n">
        <f aca="false">IFERROR(IF(OR(NOT(ISNUMBER('Price History'!B56)),NOT(ISNUMBER('Price History'!B55)),'Price History'!B55=0),"",'Price History'!B56/'Price History'!B55-1),"")</f>
        <v>0.0319970165951895</v>
      </c>
      <c r="C55" s="76" t="n">
        <f aca="false">IFERROR(IF(OR(NOT(ISNUMBER('Price History'!C56)),NOT(ISNUMBER('Price History'!C55)),'Price History'!C55=0),"",'Price History'!C56/'Price History'!C55-1),"")</f>
        <v>0.0538415723645027</v>
      </c>
      <c r="D55" s="76" t="n">
        <f aca="false">IFERROR(IF(OR(NOT(ISNUMBER('Price History'!D56)),NOT(ISNUMBER('Price History'!D55)),'Price History'!D55=0),"",'Price History'!D56/'Price History'!D55-1),"")</f>
        <v>0.0675265818371971</v>
      </c>
      <c r="E55" s="76" t="n">
        <f aca="false">IFERROR(IF(OR(NOT(ISNUMBER('Price History'!E56)),NOT(ISNUMBER('Price History'!E55)),'Price History'!E55=0),"",'Price History'!E56/'Price History'!E55-1),"")</f>
        <v>0.117766086604614</v>
      </c>
      <c r="F55" s="76" t="n">
        <f aca="false">IFERROR(IF(OR(NOT(ISNUMBER('Price History'!F56)),NOT(ISNUMBER('Price History'!F55)),'Price History'!F55=0),"",'Price History'!F56/'Price History'!F55-1),"")</f>
        <v>0.0898223476672755</v>
      </c>
      <c r="G55" s="76" t="n">
        <f aca="false">IFERROR(IF(OR(NOT(ISNUMBER('Price History'!G56)),NOT(ISNUMBER('Price History'!G55)),'Price History'!G55=0),"",'Price History'!G56/'Price History'!G55-1),"")</f>
        <v>0.0974825923942151</v>
      </c>
      <c r="H55" s="76" t="n">
        <f aca="false">IFERROR(IF(OR(NOT(ISNUMBER('Price History'!H56)),NOT(ISNUMBER('Price History'!H55)),'Price History'!H55=0),"",'Price History'!H56/'Price History'!H55-1),"")</f>
        <v>0.160184787279759</v>
      </c>
      <c r="I55" s="76" t="n">
        <f aca="false">IFERROR(IF(OR(NOT(ISNUMBER('Price History'!I56)),NOT(ISNUMBER('Price History'!I55)),'Price History'!I55=0),"",'Price History'!I56/'Price History'!I55-1),"")</f>
        <v>0.189307875894988</v>
      </c>
      <c r="J55" s="76" t="n">
        <f aca="false">IFERROR(IF(OR(NOT(ISNUMBER('Price History'!J56)),NOT(ISNUMBER('Price History'!J55)),'Price History'!J55=0),"",'Price History'!J56/'Price History'!J55-1),"")</f>
        <v>0.00779327317473322</v>
      </c>
      <c r="K55" s="76" t="n">
        <f aca="false">IFERROR(IF(OR(NOT(ISNUMBER('Price History'!K56)),NOT(ISNUMBER('Price History'!K55)),'Price History'!K55=0),"",'Price History'!K56/'Price History'!K55-1),"")</f>
        <v>0.0689770076641119</v>
      </c>
      <c r="L55" s="76" t="n">
        <f aca="false">IFERROR(IF(OR(NOT(ISNUMBER('Price History'!L56)),NOT(ISNUMBER('Price History'!L55)),'Price History'!L55=0),"",'Price History'!L56/'Price History'!L55-1),"")</f>
        <v>0.0443992340832933</v>
      </c>
      <c r="M55" s="76" t="n">
        <f aca="false">IFERROR(IF(OR(NOT(ISNUMBER('Price History'!M56)),NOT(ISNUMBER('Price History'!M55)),'Price History'!M55=0),"",'Price History'!M56/'Price History'!M55-1),"")</f>
        <v>0.111390987965295</v>
      </c>
      <c r="N55" s="76" t="n">
        <f aca="false">IFERROR(IF(OR(NOT(ISNUMBER('Price History'!N56)),NOT(ISNUMBER('Price History'!N55)),'Price History'!N55=0),"",'Price History'!N56/'Price History'!N55-1),"")</f>
        <v>0.0190415199060732</v>
      </c>
      <c r="O55" s="76" t="n">
        <f aca="false">IFERROR(IF(OR(NOT(ISNUMBER('Price History'!O56)),NOT(ISNUMBER('Price History'!O55)),'Price History'!O55=0),"",'Price History'!O56/'Price History'!O55-1),"")</f>
        <v>0.0285429804181878</v>
      </c>
      <c r="P55" s="76" t="str">
        <f aca="false">IFERROR(IF(OR(NOT(ISNUMBER('Price History'!P56)),NOT(ISNUMBER('Price History'!P55)),'Price History'!P55=0),"",'Price History'!P56/'Price History'!P55-1),"")</f>
        <v/>
      </c>
      <c r="Q55" s="76" t="n">
        <f aca="false">IFERROR(IF(OR(NOT(ISNUMBER('Price History'!Q56)),NOT(ISNUMBER('Price History'!Q55)),'Price History'!Q55=0),"",'Price History'!Q56/'Price History'!Q55-1),"")</f>
        <v>0.0013127666557271</v>
      </c>
      <c r="R55" s="76" t="n">
        <f aca="false">IFERROR(IF(OR(NOT(ISNUMBER('Price History'!R56)),NOT(ISNUMBER('Price History'!R55)),'Price History'!R55=0),"",'Price History'!R56/'Price History'!R55-1),"")</f>
        <v>0.0421134724117762</v>
      </c>
      <c r="S55" s="76" t="n">
        <f aca="false">IFERROR(IF(OR(NOT(ISNUMBER('Price History'!S56)),NOT(ISNUMBER('Price History'!S55)),'Price History'!S55=0),"",'Price History'!S56/'Price History'!S55-1),"")</f>
        <v>0.0570437694331498</v>
      </c>
      <c r="T55" s="76" t="n">
        <f aca="false">IFERROR(IF(OR(NOT(ISNUMBER('Price History'!T56)),NOT(ISNUMBER('Price History'!T55)),'Price History'!T55=0),"",'Price History'!T56/'Price History'!T55-1),"")</f>
        <v>0.0161750713606088</v>
      </c>
      <c r="U55" s="76" t="str">
        <f aca="false">IFERROR(IF(OR(NOT(ISNUMBER('Price History'!U56)),NOT(ISNUMBER('Price History'!U55)),'Price History'!U55=0),"",'Price History'!U56/'Price History'!U55-1),"")</f>
        <v/>
      </c>
      <c r="W55" s="77" t="n">
        <f aca="false">'Price History'!B3+('Price History'!B158-'Price History'!B3)*0.337662337662338</f>
        <v>421.31961038961</v>
      </c>
      <c r="X55" s="77" t="n">
        <f aca="false">'Price History'!C3+('Price History'!C158-'Price History'!C3)*0.337662337662338</f>
        <v>89.868051948052</v>
      </c>
      <c r="Y55" s="77" t="n">
        <f aca="false">'Price History'!D3+('Price History'!D158-'Price History'!D3)*0.337662337662338</f>
        <v>988.373766233767</v>
      </c>
      <c r="Z55" s="77" t="n">
        <f aca="false">'Price History'!E3+('Price History'!E158-'Price History'!E3)*0.337662337662338</f>
        <v>186.405974025974</v>
      </c>
      <c r="AA55" s="77" t="n">
        <f aca="false">'Price History'!F3+('Price History'!F158-'Price History'!F3)*0.337662337662338</f>
        <v>88.9924675324676</v>
      </c>
      <c r="AB55" s="77" t="n">
        <f aca="false">'Price History'!G3+('Price History'!G158-'Price History'!G3)*0.337662337662338</f>
        <v>93.4574025974026</v>
      </c>
      <c r="AC55" s="77" t="n">
        <f aca="false">'Price History'!H3+('Price History'!H158-'Price History'!H3)*0.337662337662338</f>
        <v>320.540909090909</v>
      </c>
      <c r="AD55" s="77" t="n">
        <f aca="false">'Price History'!I3+('Price History'!I158-'Price History'!I3)*0.337662337662338</f>
        <v>94.8422077922079</v>
      </c>
      <c r="AE55" s="77" t="n">
        <f aca="false">'Price History'!J3+('Price History'!J158-'Price History'!J3)*0.337662337662338</f>
        <v>130.634675324675</v>
      </c>
      <c r="AF55" s="77" t="n">
        <f aca="false">'Price History'!K3+('Price History'!K158-'Price History'!K3)*0.337662337662338</f>
        <v>51.7593506493507</v>
      </c>
      <c r="AG55" s="77" t="n">
        <f aca="false">'Price History'!L3+('Price History'!L158-'Price History'!L3)*0.337662337662338</f>
        <v>197.428441558442</v>
      </c>
      <c r="AH55" s="77" t="n">
        <f aca="false">'Price History'!M3+('Price History'!M158-'Price History'!M3)*0.337662337662338</f>
        <v>103.764025974026</v>
      </c>
      <c r="AI55" s="77" t="n">
        <f aca="false">'Price History'!N3+('Price History'!N158-'Price History'!N3)*0.337662337662338</f>
        <v>392.824155844156</v>
      </c>
      <c r="AJ55" s="77" t="n">
        <f aca="false">'Price History'!O3+('Price History'!O158-'Price History'!O3)*0.337662337662338</f>
        <v>97.177012987013</v>
      </c>
      <c r="AK55" s="77" t="n">
        <f aca="false">'Price History'!Q3+('Price History'!Q151-'Price History'!Q3)*0.337662337662338</f>
        <v>56.1238961038961</v>
      </c>
      <c r="AL55" s="77" t="n">
        <f aca="false">'Price History'!R3+('Price History'!R158-'Price History'!R3)*0.337662337662338</f>
        <v>51.3418181818182</v>
      </c>
      <c r="AM55" s="77" t="n">
        <f aca="false">'Price History'!S3+('Price History'!S158-'Price History'!S3)*0.337662337662338</f>
        <v>87.3392207792208</v>
      </c>
      <c r="AN55" s="77" t="n">
        <f aca="false">'Price History'!T3+('Price History'!T158-'Price History'!T3)*0.337662337662338</f>
        <v>34.6188311688312</v>
      </c>
    </row>
    <row r="56" customFormat="false" ht="15" hidden="false" customHeight="true" outlineLevel="0" collapsed="false">
      <c r="A56" s="49" t="n">
        <f aca="false">IF('Price History'!A57="","",'Price History'!A57)</f>
        <v>45527</v>
      </c>
      <c r="B56" s="76" t="n">
        <f aca="false">IFERROR(IF(OR(NOT(ISNUMBER('Price History'!B57)),NOT(ISNUMBER('Price History'!B56)),'Price History'!B56=0),"",'Price History'!B57/'Price History'!B56-1),"")</f>
        <v>0.00874498608752194</v>
      </c>
      <c r="C56" s="76" t="n">
        <f aca="false">IFERROR(IF(OR(NOT(ISNUMBER('Price History'!C57)),NOT(ISNUMBER('Price History'!C56)),'Price History'!C56=0),"",'Price History'!C57/'Price History'!C56-1),"")</f>
        <v>0.00350401265965861</v>
      </c>
      <c r="D56" s="76" t="n">
        <f aca="false">IFERROR(IF(OR(NOT(ISNUMBER('Price History'!D57)),NOT(ISNUMBER('Price History'!D56)),'Price History'!D56=0),"",'Price History'!D57/'Price History'!D56-1),"")</f>
        <v>-0.0124093788779309</v>
      </c>
      <c r="E56" s="76" t="n">
        <f aca="false">IFERROR(IF(OR(NOT(ISNUMBER('Price History'!E57)),NOT(ISNUMBER('Price History'!E56)),'Price History'!E56=0),"",'Price History'!E57/'Price History'!E56-1),"")</f>
        <v>0.00386193579531757</v>
      </c>
      <c r="F56" s="76" t="n">
        <f aca="false">IFERROR(IF(OR(NOT(ISNUMBER('Price History'!F57)),NOT(ISNUMBER('Price History'!F56)),'Price History'!F56=0),"",'Price History'!F57/'Price History'!F56-1),"")</f>
        <v>0.0342778793418648</v>
      </c>
      <c r="G56" s="76" t="n">
        <f aca="false">IFERROR(IF(OR(NOT(ISNUMBER('Price History'!G57)),NOT(ISNUMBER('Price History'!G56)),'Price History'!G56=0),"",'Price History'!G57/'Price History'!G56-1),"")</f>
        <v>-0.0021961932650072</v>
      </c>
      <c r="H56" s="76" t="n">
        <f aca="false">IFERROR(IF(OR(NOT(ISNUMBER('Price History'!H57)),NOT(ISNUMBER('Price History'!H56)),'Price History'!H56=0),"",'Price History'!H57/'Price History'!H56-1),"")</f>
        <v>-0.0475969997221966</v>
      </c>
      <c r="I56" s="76" t="n">
        <f aca="false">IFERROR(IF(OR(NOT(ISNUMBER('Price History'!I57)),NOT(ISNUMBER('Price History'!I56)),'Price History'!I56=0),"",'Price History'!I57/'Price History'!I56-1),"")</f>
        <v>0.0384491892759673</v>
      </c>
      <c r="J56" s="76" t="n">
        <f aca="false">IFERROR(IF(OR(NOT(ISNUMBER('Price History'!J57)),NOT(ISNUMBER('Price History'!J56)),'Price History'!J56=0),"",'Price History'!J57/'Price History'!J56-1),"")</f>
        <v>0.0489214489214491</v>
      </c>
      <c r="K56" s="76" t="n">
        <f aca="false">IFERROR(IF(OR(NOT(ISNUMBER('Price History'!K57)),NOT(ISNUMBER('Price History'!K56)),'Price History'!K56=0),"",'Price History'!K57/'Price History'!K56-1),"")</f>
        <v>-0.00935162094763087</v>
      </c>
      <c r="L56" s="76" t="n">
        <f aca="false">IFERROR(IF(OR(NOT(ISNUMBER('Price History'!L57)),NOT(ISNUMBER('Price History'!L56)),'Price History'!L56=0),"",'Price History'!L57/'Price History'!L56-1),"")</f>
        <v>-0.0186776670104274</v>
      </c>
      <c r="M56" s="76" t="n">
        <f aca="false">IFERROR(IF(OR(NOT(ISNUMBER('Price History'!M57)),NOT(ISNUMBER('Price History'!M56)),'Price History'!M56=0),"",'Price History'!M57/'Price History'!M56-1),"")</f>
        <v>-0.0109544195416772</v>
      </c>
      <c r="N56" s="76" t="n">
        <f aca="false">IFERROR(IF(OR(NOT(ISNUMBER('Price History'!N57)),NOT(ISNUMBER('Price History'!N56)),'Price History'!N56=0),"",'Price History'!N57/'Price History'!N56-1),"")</f>
        <v>0.00810691916123751</v>
      </c>
      <c r="O56" s="76" t="n">
        <f aca="false">IFERROR(IF(OR(NOT(ISNUMBER('Price History'!O57)),NOT(ISNUMBER('Price History'!O56)),'Price History'!O56=0),"",'Price History'!O57/'Price History'!O56-1),"")</f>
        <v>0.0310852963321502</v>
      </c>
      <c r="P56" s="76" t="str">
        <f aca="false">IFERROR(IF(OR(NOT(ISNUMBER('Price History'!P57)),NOT(ISNUMBER('Price History'!P56)),'Price History'!P56=0),"",'Price History'!P57/'Price History'!P56-1),"")</f>
        <v/>
      </c>
      <c r="Q56" s="76" t="n">
        <f aca="false">IFERROR(IF(OR(NOT(ISNUMBER('Price History'!Q57)),NOT(ISNUMBER('Price History'!Q56)),'Price History'!Q56=0),"",'Price History'!Q57/'Price History'!Q56-1),"")</f>
        <v>0.00803015404785312</v>
      </c>
      <c r="R56" s="76" t="n">
        <f aca="false">IFERROR(IF(OR(NOT(ISNUMBER('Price History'!R57)),NOT(ISNUMBER('Price History'!R56)),'Price History'!R56=0),"",'Price History'!R57/'Price History'!R56-1),"")</f>
        <v>0.00841908325537877</v>
      </c>
      <c r="S56" s="76" t="n">
        <f aca="false">IFERROR(IF(OR(NOT(ISNUMBER('Price History'!S57)),NOT(ISNUMBER('Price History'!S56)),'Price History'!S56=0),"",'Price History'!S57/'Price History'!S56-1),"")</f>
        <v>0.0138024663423464</v>
      </c>
      <c r="T56" s="76" t="n">
        <f aca="false">IFERROR(IF(OR(NOT(ISNUMBER('Price History'!T57)),NOT(ISNUMBER('Price History'!T56)),'Price History'!T56=0),"",'Price History'!T57/'Price History'!T56-1),"")</f>
        <v>0.0327715355805245</v>
      </c>
      <c r="U56" s="76" t="str">
        <f aca="false">IFERROR(IF(OR(NOT(ISNUMBER('Price History'!U57)),NOT(ISNUMBER('Price History'!U56)),'Price History'!U56=0),"",'Price History'!U57/'Price History'!U56-1),"")</f>
        <v/>
      </c>
      <c r="W56" s="77" t="n">
        <f aca="false">'Price History'!B3+('Price History'!B158-'Price History'!B3)*0.344155844155844</f>
        <v>419.644025974026</v>
      </c>
      <c r="X56" s="77" t="n">
        <f aca="false">'Price History'!C3+('Price History'!C158-'Price History'!C3)*0.344155844155844</f>
        <v>90.7551298701299</v>
      </c>
      <c r="Y56" s="77" t="n">
        <f aca="false">'Price History'!D3+('Price History'!D158-'Price History'!D3)*0.344155844155844</f>
        <v>994.654415584415</v>
      </c>
      <c r="Z56" s="77" t="n">
        <f aca="false">'Price History'!E3+('Price History'!E158-'Price History'!E3)*0.344155844155844</f>
        <v>188.394935064935</v>
      </c>
      <c r="AA56" s="77" t="n">
        <f aca="false">'Price History'!F3+('Price History'!F158-'Price History'!F3)*0.344155844155844</f>
        <v>89.9911688311688</v>
      </c>
      <c r="AB56" s="77" t="n">
        <f aca="false">'Price History'!G3+('Price History'!G158-'Price History'!G3)*0.344155844155844</f>
        <v>94.3335064935065</v>
      </c>
      <c r="AC56" s="77" t="n">
        <f aca="false">'Price History'!H3+('Price History'!H158-'Price History'!H3)*0.344155844155844</f>
        <v>325.467272727273</v>
      </c>
      <c r="AD56" s="77" t="n">
        <f aca="false">'Price History'!I3+('Price History'!I158-'Price History'!I3)*0.344155844155844</f>
        <v>95.8805194805195</v>
      </c>
      <c r="AE56" s="77" t="n">
        <f aca="false">'Price History'!J3+('Price History'!J158-'Price History'!J3)*0.344155844155844</f>
        <v>130.771688311688</v>
      </c>
      <c r="AF56" s="77" t="n">
        <f aca="false">'Price History'!K3+('Price History'!K158-'Price History'!K3)*0.344155844155844</f>
        <v>52.4583766233766</v>
      </c>
      <c r="AG56" s="77" t="n">
        <f aca="false">'Price History'!L3+('Price History'!L158-'Price History'!L3)*0.344155844155844</f>
        <v>199.456103896104</v>
      </c>
      <c r="AH56" s="77" t="n">
        <f aca="false">'Price History'!M3+('Price History'!M158-'Price History'!M3)*0.344155844155844</f>
        <v>105.115064935065</v>
      </c>
      <c r="AI56" s="77" t="n">
        <f aca="false">'Price History'!N3+('Price History'!N158-'Price History'!N3)*0.344155844155844</f>
        <v>393.65038961039</v>
      </c>
      <c r="AJ56" s="77" t="n">
        <f aca="false">'Price History'!O3+('Price History'!O158-'Price History'!O3)*0.344155844155844</f>
        <v>97.4525324675325</v>
      </c>
      <c r="AK56" s="77" t="n">
        <f aca="false">'Price History'!Q3+('Price History'!Q151-'Price History'!Q3)*0.344155844155844</f>
        <v>56.2447402597403</v>
      </c>
      <c r="AL56" s="77" t="n">
        <f aca="false">'Price History'!R3+('Price History'!R158-'Price History'!R3)*0.344155844155844</f>
        <v>51.4095454545455</v>
      </c>
      <c r="AM56" s="77" t="n">
        <f aca="false">'Price History'!S3+('Price History'!S158-'Price History'!S3)*0.344155844155844</f>
        <v>87.893051948052</v>
      </c>
      <c r="AN56" s="77" t="n">
        <f aca="false">'Price History'!T3+('Price History'!T158-'Price History'!T3)*0.344155844155844</f>
        <v>34.7670779220779</v>
      </c>
    </row>
    <row r="57" customFormat="false" ht="15" hidden="false" customHeight="true" outlineLevel="0" collapsed="false">
      <c r="A57" s="49" t="n">
        <f aca="false">IF('Price History'!A58="","",'Price History'!A58)</f>
        <v>45534</v>
      </c>
      <c r="B57" s="76" t="n">
        <f aca="false">IFERROR(IF(OR(NOT(ISNUMBER('Price History'!B58)),NOT(ISNUMBER('Price History'!B57)),'Price History'!B57=0),"",'Price History'!B58/'Price History'!B57-1),"")</f>
        <v>0.0288554540569586</v>
      </c>
      <c r="C57" s="76" t="n">
        <f aca="false">IFERROR(IF(OR(NOT(ISNUMBER('Price History'!C58)),NOT(ISNUMBER('Price History'!C57)),'Price History'!C57=0),"",'Price History'!C58/'Price History'!C57-1),"")</f>
        <v>-0.00484343320567704</v>
      </c>
      <c r="D57" s="76" t="n">
        <f aca="false">IFERROR(IF(OR(NOT(ISNUMBER('Price History'!D58)),NOT(ISNUMBER('Price History'!D57)),'Price History'!D57=0),"",'Price History'!D58/'Price History'!D57-1),"")</f>
        <v>-0.00373652536207925</v>
      </c>
      <c r="E57" s="76" t="n">
        <f aca="false">IFERROR(IF(OR(NOT(ISNUMBER('Price History'!E58)),NOT(ISNUMBER('Price History'!E57)),'Price History'!E57=0),"",'Price History'!E58/'Price History'!E57-1),"")</f>
        <v>-0.0212791536427027</v>
      </c>
      <c r="F57" s="76" t="n">
        <f aca="false">IFERROR(IF(OR(NOT(ISNUMBER('Price History'!F58)),NOT(ISNUMBER('Price History'!F57)),'Price History'!F57=0),"",'Price History'!F58/'Price History'!F57-1),"")</f>
        <v>0.0210634850493445</v>
      </c>
      <c r="G57" s="76" t="n">
        <f aca="false">IFERROR(IF(OR(NOT(ISNUMBER('Price History'!G58)),NOT(ISNUMBER('Price History'!G57)),'Price History'!G57=0),"",'Price History'!G58/'Price History'!G57-1),"")</f>
        <v>0.00195646857422349</v>
      </c>
      <c r="H57" s="76" t="n">
        <f aca="false">IFERROR(IF(OR(NOT(ISNUMBER('Price History'!H58)),NOT(ISNUMBER('Price History'!H57)),'Price History'!H57=0),"",'Price History'!H58/'Price History'!H57-1),"")</f>
        <v>-0.0642683519688867</v>
      </c>
      <c r="I57" s="76" t="n">
        <f aca="false">IFERROR(IF(OR(NOT(ISNUMBER('Price History'!I58)),NOT(ISNUMBER('Price History'!I57)),'Price History'!I57=0),"",'Price History'!I58/'Price History'!I57-1),"")</f>
        <v>-0.0772976733400325</v>
      </c>
      <c r="J57" s="76" t="n">
        <f aca="false">IFERROR(IF(OR(NOT(ISNUMBER('Price History'!J58)),NOT(ISNUMBER('Price History'!J57)),'Price History'!J57=0),"",'Price History'!J58/'Price History'!J57-1),"")</f>
        <v>-0.00807077448393623</v>
      </c>
      <c r="K57" s="76" t="n">
        <f aca="false">IFERROR(IF(OR(NOT(ISNUMBER('Price History'!K58)),NOT(ISNUMBER('Price History'!K57)),'Price History'!K57=0),"",'Price History'!K58/'Price History'!K57-1),"")</f>
        <v>-0.0094398993077407</v>
      </c>
      <c r="L57" s="76" t="n">
        <f aca="false">IFERROR(IF(OR(NOT(ISNUMBER('Price History'!L58)),NOT(ISNUMBER('Price History'!L57)),'Price History'!L57=0),"",'Price History'!L58/'Price History'!L57-1),"")</f>
        <v>0.0024521251751517</v>
      </c>
      <c r="M57" s="76" t="n">
        <f aca="false">IFERROR(IF(OR(NOT(ISNUMBER('Price History'!M58)),NOT(ISNUMBER('Price History'!M57)),'Price History'!M57=0),"",'Price History'!M58/'Price History'!M57-1),"")</f>
        <v>0.0570337364735838</v>
      </c>
      <c r="N57" s="76" t="n">
        <f aca="false">IFERROR(IF(OR(NOT(ISNUMBER('Price History'!N58)),NOT(ISNUMBER('Price History'!N57)),'Price History'!N57=0),"",'Price History'!N58/'Price History'!N57-1),"")</f>
        <v>0.0304421910065664</v>
      </c>
      <c r="O57" s="76" t="n">
        <f aca="false">IFERROR(IF(OR(NOT(ISNUMBER('Price History'!O58)),NOT(ISNUMBER('Price History'!O57)),'Price History'!O57=0),"",'Price History'!O58/'Price History'!O57-1),"")</f>
        <v>0.000521593991237301</v>
      </c>
      <c r="P57" s="76" t="str">
        <f aca="false">IFERROR(IF(OR(NOT(ISNUMBER('Price History'!P58)),NOT(ISNUMBER('Price History'!P57)),'Price History'!P57=0),"",'Price History'!P58/'Price History'!P57-1),"")</f>
        <v/>
      </c>
      <c r="Q57" s="76" t="n">
        <f aca="false">IFERROR(IF(OR(NOT(ISNUMBER('Price History'!Q58)),NOT(ISNUMBER('Price History'!Q57)),'Price History'!Q57=0),"",'Price History'!Q58/'Price History'!Q57-1),"")</f>
        <v>0.00829133474231836</v>
      </c>
      <c r="R57" s="76" t="n">
        <f aca="false">IFERROR(IF(OR(NOT(ISNUMBER('Price History'!R58)),NOT(ISNUMBER('Price History'!R57)),'Price History'!R57=0),"",'Price History'!R58/'Price History'!R57-1),"")</f>
        <v>0.00333951762523199</v>
      </c>
      <c r="S57" s="76" t="n">
        <f aca="false">IFERROR(IF(OR(NOT(ISNUMBER('Price History'!S58)),NOT(ISNUMBER('Price History'!S57)),'Price History'!S57=0),"",'Price History'!S58/'Price History'!S57-1),"")</f>
        <v>-0.00401740877134249</v>
      </c>
      <c r="T57" s="76" t="n">
        <f aca="false">IFERROR(IF(OR(NOT(ISNUMBER('Price History'!T58)),NOT(ISNUMBER('Price History'!T57)),'Price History'!T57=0),"",'Price History'!T58/'Price History'!T57-1),"")</f>
        <v>0.00332426715019651</v>
      </c>
      <c r="U57" s="76" t="str">
        <f aca="false">IFERROR(IF(OR(NOT(ISNUMBER('Price History'!U58)),NOT(ISNUMBER('Price History'!U57)),'Price History'!U57=0),"",'Price History'!U58/'Price History'!U57-1),"")</f>
        <v/>
      </c>
      <c r="W57" s="77" t="n">
        <f aca="false">'Price History'!B3+('Price History'!B158-'Price History'!B3)*0.350649350649351</f>
        <v>417.968441558441</v>
      </c>
      <c r="X57" s="77" t="n">
        <f aca="false">'Price History'!C3+('Price History'!C158-'Price History'!C3)*0.350649350649351</f>
        <v>91.6422077922078</v>
      </c>
      <c r="Y57" s="77" t="n">
        <f aca="false">'Price History'!D3+('Price History'!D158-'Price History'!D3)*0.350649350649351</f>
        <v>1000.93506493507</v>
      </c>
      <c r="Z57" s="77" t="n">
        <f aca="false">'Price History'!E3+('Price History'!E158-'Price History'!E3)*0.350649350649351</f>
        <v>190.383896103896</v>
      </c>
      <c r="AA57" s="77" t="n">
        <f aca="false">'Price History'!F3+('Price History'!F158-'Price History'!F3)*0.350649350649351</f>
        <v>90.9898701298702</v>
      </c>
      <c r="AB57" s="77" t="n">
        <f aca="false">'Price History'!G3+('Price History'!G158-'Price History'!G3)*0.350649350649351</f>
        <v>95.2096103896104</v>
      </c>
      <c r="AC57" s="77" t="n">
        <f aca="false">'Price History'!H3+('Price History'!H158-'Price History'!H3)*0.350649350649351</f>
        <v>330.393636363637</v>
      </c>
      <c r="AD57" s="77" t="n">
        <f aca="false">'Price History'!I3+('Price History'!I158-'Price History'!I3)*0.350649350649351</f>
        <v>96.9188311688312</v>
      </c>
      <c r="AE57" s="77" t="n">
        <f aca="false">'Price History'!J3+('Price History'!J158-'Price History'!J3)*0.350649350649351</f>
        <v>130.908701298701</v>
      </c>
      <c r="AF57" s="77" t="n">
        <f aca="false">'Price History'!K3+('Price History'!K158-'Price History'!K3)*0.350649350649351</f>
        <v>53.1574025974026</v>
      </c>
      <c r="AG57" s="77" t="n">
        <f aca="false">'Price History'!L3+('Price History'!L158-'Price History'!L3)*0.350649350649351</f>
        <v>201.483766233766</v>
      </c>
      <c r="AH57" s="77" t="n">
        <f aca="false">'Price History'!M3+('Price History'!M158-'Price History'!M3)*0.350649350649351</f>
        <v>106.466103896104</v>
      </c>
      <c r="AI57" s="77" t="n">
        <f aca="false">'Price History'!N3+('Price History'!N158-'Price History'!N3)*0.350649350649351</f>
        <v>394.476623376623</v>
      </c>
      <c r="AJ57" s="77" t="n">
        <f aca="false">'Price History'!O3+('Price History'!O158-'Price History'!O3)*0.350649350649351</f>
        <v>97.728051948052</v>
      </c>
      <c r="AK57" s="77" t="n">
        <f aca="false">'Price History'!Q3+('Price History'!Q151-'Price History'!Q3)*0.350649350649351</f>
        <v>56.3655844155844</v>
      </c>
      <c r="AL57" s="77" t="n">
        <f aca="false">'Price History'!R3+('Price History'!R158-'Price History'!R3)*0.350649350649351</f>
        <v>51.4772727272727</v>
      </c>
      <c r="AM57" s="77" t="n">
        <f aca="false">'Price History'!S3+('Price History'!S158-'Price History'!S3)*0.350649350649351</f>
        <v>88.4468831168832</v>
      </c>
      <c r="AN57" s="77" t="n">
        <f aca="false">'Price History'!T3+('Price History'!T158-'Price History'!T3)*0.350649350649351</f>
        <v>34.9153246753247</v>
      </c>
    </row>
    <row r="58" customFormat="false" ht="15" hidden="false" customHeight="true" outlineLevel="0" collapsed="false">
      <c r="A58" s="49" t="n">
        <f aca="false">IF('Price History'!A59="","",'Price History'!A59)</f>
        <v>45541</v>
      </c>
      <c r="B58" s="76" t="n">
        <f aca="false">IFERROR(IF(OR(NOT(ISNUMBER('Price History'!B59)),NOT(ISNUMBER('Price History'!B58)),'Price History'!B58=0),"",'Price History'!B59/'Price History'!B58-1),"")</f>
        <v>-0.0191500844344632</v>
      </c>
      <c r="C58" s="76" t="n">
        <f aca="false">IFERROR(IF(OR(NOT(ISNUMBER('Price History'!C59)),NOT(ISNUMBER('Price History'!C58)),'Price History'!C58=0),"",'Price History'!C59/'Price History'!C58-1),"")</f>
        <v>-0.110582908885116</v>
      </c>
      <c r="D58" s="76" t="n">
        <f aca="false">IFERROR(IF(OR(NOT(ISNUMBER('Price History'!D59)),NOT(ISNUMBER('Price History'!D58)),'Price History'!D58=0),"",'Price History'!D59/'Price History'!D58-1),"")</f>
        <v>-0.167147930565236</v>
      </c>
      <c r="E58" s="76" t="n">
        <f aca="false">IFERROR(IF(OR(NOT(ISNUMBER('Price History'!E59)),NOT(ISNUMBER('Price History'!E58)),'Price History'!E58=0),"",'Price History'!E59/'Price History'!E58-1),"")</f>
        <v>-0.158580027023707</v>
      </c>
      <c r="F58" s="76" t="n">
        <f aca="false">IFERROR(IF(OR(NOT(ISNUMBER('Price History'!F59)),NOT(ISNUMBER('Price History'!F58)),'Price History'!F58=0),"",'Price History'!F59/'Price History'!F58-1),"")</f>
        <v>-0.11136757068667</v>
      </c>
      <c r="G58" s="76" t="n">
        <f aca="false">IFERROR(IF(OR(NOT(ISNUMBER('Price History'!G59)),NOT(ISNUMBER('Price History'!G58)),'Price History'!G58=0),"",'Price History'!G59/'Price History'!G58-1),"")</f>
        <v>-0.142299243348792</v>
      </c>
      <c r="H58" s="76" t="n">
        <f aca="false">IFERROR(IF(OR(NOT(ISNUMBER('Price History'!H59)),NOT(ISNUMBER('Price History'!H58)),'Price History'!H58=0),"",'Price History'!H59/'Price History'!H58-1),"")</f>
        <v>-0.102452202826268</v>
      </c>
      <c r="I58" s="76" t="n">
        <f aca="false">IFERROR(IF(OR(NOT(ISNUMBER('Price History'!I59)),NOT(ISNUMBER('Price History'!I58)),'Price History'!I58=0),"",'Price History'!I59/'Price History'!I58-1),"")</f>
        <v>-0.138560777414761</v>
      </c>
      <c r="J58" s="76" t="n">
        <f aca="false">IFERROR(IF(OR(NOT(ISNUMBER('Price History'!J59)),NOT(ISNUMBER('Price History'!J58)),'Price History'!J58=0),"",'Price History'!J59/'Price History'!J58-1),"")</f>
        <v>-0.0046158660616491</v>
      </c>
      <c r="K58" s="76" t="n">
        <f aca="false">IFERROR(IF(OR(NOT(ISNUMBER('Price History'!K59)),NOT(ISNUMBER('Price History'!K58)),'Price History'!K58=0),"",'Price History'!K59/'Price History'!K58-1),"")</f>
        <v>-0.0365311308767472</v>
      </c>
      <c r="L58" s="76" t="n">
        <f aca="false">IFERROR(IF(OR(NOT(ISNUMBER('Price History'!L59)),NOT(ISNUMBER('Price History'!L58)),'Price History'!L58=0),"",'Price History'!L59/'Price History'!L58-1),"")</f>
        <v>-0.0866627839254514</v>
      </c>
      <c r="M58" s="76" t="n">
        <f aca="false">IFERROR(IF(OR(NOT(ISNUMBER('Price History'!M59)),NOT(ISNUMBER('Price History'!M58)),'Price History'!M58=0),"",'Price History'!M59/'Price History'!M58-1),"")</f>
        <v>-0.1356136336264</v>
      </c>
      <c r="N58" s="76" t="n">
        <f aca="false">IFERROR(IF(OR(NOT(ISNUMBER('Price History'!N59)),NOT(ISNUMBER('Price History'!N58)),'Price History'!N58=0),"",'Price History'!N59/'Price History'!N58-1),"")</f>
        <v>-0.0562423118030208</v>
      </c>
      <c r="O58" s="76" t="n">
        <f aca="false">IFERROR(IF(OR(NOT(ISNUMBER('Price History'!O59)),NOT(ISNUMBER('Price History'!O58)),'Price History'!O58=0),"",'Price History'!O59/'Price History'!O58-1),"")</f>
        <v>-0.0566155771035345</v>
      </c>
      <c r="P58" s="76" t="str">
        <f aca="false">IFERROR(IF(OR(NOT(ISNUMBER('Price History'!P59)),NOT(ISNUMBER('Price History'!P58)),'Price History'!P58=0),"",'Price History'!P59/'Price History'!P58-1),"")</f>
        <v/>
      </c>
      <c r="Q58" s="76" t="n">
        <f aca="false">IFERROR(IF(OR(NOT(ISNUMBER('Price History'!Q59)),NOT(ISNUMBER('Price History'!Q58)),'Price History'!Q58=0),"",'Price History'!Q59/'Price History'!Q58-1),"")</f>
        <v>-0.00274105127378266</v>
      </c>
      <c r="R58" s="76" t="n">
        <f aca="false">IFERROR(IF(OR(NOT(ISNUMBER('Price History'!R59)),NOT(ISNUMBER('Price History'!R58)),'Price History'!R58=0),"",'Price History'!R59/'Price History'!R58-1),"")</f>
        <v>-0.0502958579881657</v>
      </c>
      <c r="S58" s="76" t="n">
        <f aca="false">IFERROR(IF(OR(NOT(ISNUMBER('Price History'!S59)),NOT(ISNUMBER('Price History'!S58)),'Price History'!S58=0),"",'Price History'!S59/'Price History'!S58-1),"")</f>
        <v>-0.059719887955182</v>
      </c>
      <c r="T58" s="76" t="n">
        <f aca="false">IFERROR(IF(OR(NOT(ISNUMBER('Price History'!T59)),NOT(ISNUMBER('Price History'!T58)),'Price History'!T58=0),"",'Price History'!T59/'Price History'!T58-1),"")</f>
        <v>-0.041265060240964</v>
      </c>
      <c r="U58" s="76" t="str">
        <f aca="false">IFERROR(IF(OR(NOT(ISNUMBER('Price History'!U59)),NOT(ISNUMBER('Price History'!U58)),'Price History'!U58=0),"",'Price History'!U59/'Price History'!U58-1),"")</f>
        <v/>
      </c>
      <c r="W58" s="77" t="n">
        <f aca="false">'Price History'!B3+('Price History'!B158-'Price History'!B3)*0.357142857142857</f>
        <v>416.292857142857</v>
      </c>
      <c r="X58" s="77" t="n">
        <f aca="false">'Price History'!C3+('Price History'!C158-'Price History'!C3)*0.357142857142857</f>
        <v>92.5292857142857</v>
      </c>
      <c r="Y58" s="77" t="n">
        <f aca="false">'Price History'!D3+('Price History'!D158-'Price History'!D3)*0.357142857142857</f>
        <v>1007.21571428571</v>
      </c>
      <c r="Z58" s="77" t="n">
        <f aca="false">'Price History'!E3+('Price History'!E158-'Price History'!E3)*0.357142857142857</f>
        <v>192.372857142857</v>
      </c>
      <c r="AA58" s="77" t="n">
        <f aca="false">'Price History'!F3+('Price History'!F158-'Price History'!F3)*0.357142857142857</f>
        <v>91.9885714285714</v>
      </c>
      <c r="AB58" s="77" t="n">
        <f aca="false">'Price History'!G3+('Price History'!G158-'Price History'!G3)*0.357142857142857</f>
        <v>96.0857142857143</v>
      </c>
      <c r="AC58" s="77" t="n">
        <f aca="false">'Price History'!H3+('Price History'!H158-'Price History'!H3)*0.357142857142857</f>
        <v>335.32</v>
      </c>
      <c r="AD58" s="77" t="n">
        <f aca="false">'Price History'!I3+('Price History'!I158-'Price History'!I3)*0.357142857142857</f>
        <v>97.9571428571428</v>
      </c>
      <c r="AE58" s="77" t="n">
        <f aca="false">'Price History'!J3+('Price History'!J158-'Price History'!J3)*0.357142857142857</f>
        <v>131.045714285714</v>
      </c>
      <c r="AF58" s="77" t="n">
        <f aca="false">'Price History'!K3+('Price History'!K158-'Price History'!K3)*0.357142857142857</f>
        <v>53.8564285714286</v>
      </c>
      <c r="AG58" s="77" t="n">
        <f aca="false">'Price History'!L3+('Price History'!L158-'Price History'!L3)*0.357142857142857</f>
        <v>203.511428571429</v>
      </c>
      <c r="AH58" s="77" t="n">
        <f aca="false">'Price History'!M3+('Price History'!M158-'Price History'!M3)*0.357142857142857</f>
        <v>107.817142857143</v>
      </c>
      <c r="AI58" s="77" t="n">
        <f aca="false">'Price History'!N3+('Price History'!N158-'Price History'!N3)*0.357142857142857</f>
        <v>395.302857142857</v>
      </c>
      <c r="AJ58" s="77" t="n">
        <f aca="false">'Price History'!O3+('Price History'!O158-'Price History'!O3)*0.357142857142857</f>
        <v>98.0035714285714</v>
      </c>
      <c r="AK58" s="77" t="n">
        <f aca="false">'Price History'!Q3+('Price History'!Q151-'Price History'!Q3)*0.357142857142857</f>
        <v>56.4864285714286</v>
      </c>
      <c r="AL58" s="77" t="n">
        <f aca="false">'Price History'!R3+('Price History'!R158-'Price History'!R3)*0.357142857142857</f>
        <v>51.545</v>
      </c>
      <c r="AM58" s="77" t="n">
        <f aca="false">'Price History'!S3+('Price History'!S158-'Price History'!S3)*0.357142857142857</f>
        <v>89.0007142857143</v>
      </c>
      <c r="AN58" s="77" t="n">
        <f aca="false">'Price History'!T3+('Price History'!T158-'Price History'!T3)*0.357142857142857</f>
        <v>35.0635714285714</v>
      </c>
    </row>
    <row r="59" customFormat="false" ht="15" hidden="false" customHeight="true" outlineLevel="0" collapsed="false">
      <c r="A59" s="49" t="n">
        <f aca="false">IF('Price History'!A60="","",'Price History'!A60)</f>
        <v>45548</v>
      </c>
      <c r="B59" s="76" t="n">
        <f aca="false">IFERROR(IF(OR(NOT(ISNUMBER('Price History'!B60)),NOT(ISNUMBER('Price History'!B59)),'Price History'!B59=0),"",'Price History'!B60/'Price History'!B59-1),"")</f>
        <v>-0.0471060151577004</v>
      </c>
      <c r="C59" s="76" t="n">
        <f aca="false">IFERROR(IF(OR(NOT(ISNUMBER('Price History'!C60)),NOT(ISNUMBER('Price History'!C59)),'Price History'!C59=0),"",'Price History'!C60/'Price History'!C59-1),"")</f>
        <v>0.14456604734029</v>
      </c>
      <c r="D59" s="76" t="n">
        <f aca="false">IFERROR(IF(OR(NOT(ISNUMBER('Price History'!D60)),NOT(ISNUMBER('Price History'!D59)),'Price History'!D59=0),"",'Price History'!D60/'Price History'!D59-1),"")</f>
        <v>0.0844458613956085</v>
      </c>
      <c r="E59" s="76" t="n">
        <f aca="false">IFERROR(IF(OR(NOT(ISNUMBER('Price History'!E60)),NOT(ISNUMBER('Price History'!E59)),'Price History'!E59=0),"",'Price History'!E60/'Price History'!E59-1),"")</f>
        <v>0.224014598540146</v>
      </c>
      <c r="F59" s="76" t="n">
        <f aca="false">IFERROR(IF(OR(NOT(ISNUMBER('Price History'!F60)),NOT(ISNUMBER('Price History'!F59)),'Price History'!F59=0),"",'Price History'!F60/'Price History'!F59-1),"")</f>
        <v>0.0516233766233767</v>
      </c>
      <c r="G59" s="76" t="n">
        <f aca="false">IFERROR(IF(OR(NOT(ISNUMBER('Price History'!G60)),NOT(ISNUMBER('Price History'!G59)),'Price History'!G59=0),"",'Price History'!G60/'Price History'!G59-1),"")</f>
        <v>0.069294251565168</v>
      </c>
      <c r="H59" s="76" t="n">
        <f aca="false">IFERROR(IF(OR(NOT(ISNUMBER('Price History'!H60)),NOT(ISNUMBER('Price History'!H59)),'Price History'!H59=0),"",'Price History'!H60/'Price History'!H59-1),"")</f>
        <v>0.0560314887705489</v>
      </c>
      <c r="I59" s="76" t="n">
        <f aca="false">IFERROR(IF(OR(NOT(ISNUMBER('Price History'!I60)),NOT(ISNUMBER('Price History'!I59)),'Price History'!I59=0),"",'Price History'!I60/'Price History'!I59-1),"")</f>
        <v>0.158222308664786</v>
      </c>
      <c r="J59" s="76" t="n">
        <f aca="false">IFERROR(IF(OR(NOT(ISNUMBER('Price History'!J60)),NOT(ISNUMBER('Price History'!J59)),'Price History'!J59=0),"",'Price History'!J60/'Price History'!J59-1),"")</f>
        <v>0.0216143991197044</v>
      </c>
      <c r="K59" s="76" t="n">
        <f aca="false">IFERROR(IF(OR(NOT(ISNUMBER('Price History'!K60)),NOT(ISNUMBER('Price History'!K59)),'Price History'!K59=0),"",'Price History'!K60/'Price History'!K59-1),"")</f>
        <v>0.173425651170458</v>
      </c>
      <c r="L59" s="76" t="n">
        <f aca="false">IFERROR(IF(OR(NOT(ISNUMBER('Price History'!L60)),NOT(ISNUMBER('Price History'!L59)),'Price History'!L59=0),"",'Price History'!L60/'Price History'!L59-1),"")</f>
        <v>0.0999872465246781</v>
      </c>
      <c r="M59" s="76" t="n">
        <f aca="false">IFERROR(IF(OR(NOT(ISNUMBER('Price History'!M60)),NOT(ISNUMBER('Price History'!M59)),'Price History'!M59=0),"",'Price History'!M60/'Price History'!M59-1),"")</f>
        <v>0.194928242998468</v>
      </c>
      <c r="N59" s="76" t="n">
        <f aca="false">IFERROR(IF(OR(NOT(ISNUMBER('Price History'!N60)),NOT(ISNUMBER('Price History'!N59)),'Price History'!N59=0),"",'Price History'!N60/'Price History'!N59-1),"")</f>
        <v>0.0371153846153847</v>
      </c>
      <c r="O59" s="76" t="n">
        <f aca="false">IFERROR(IF(OR(NOT(ISNUMBER('Price History'!O60)),NOT(ISNUMBER('Price History'!O59)),'Price History'!O59=0),"",'Price History'!O60/'Price History'!O59-1),"")</f>
        <v>0.0288461538461537</v>
      </c>
      <c r="P59" s="76" t="str">
        <f aca="false">IFERROR(IF(OR(NOT(ISNUMBER('Price History'!P60)),NOT(ISNUMBER('Price History'!P59)),'Price History'!P59=0),"",'Price History'!P60/'Price History'!P59-1),"")</f>
        <v/>
      </c>
      <c r="Q59" s="76" t="n">
        <f aca="false">IFERROR(IF(OR(NOT(ISNUMBER('Price History'!Q60)),NOT(ISNUMBER('Price History'!Q59)),'Price History'!Q59=0),"",'Price History'!Q60/'Price History'!Q59-1),"")</f>
        <v>-0.00889248181083269</v>
      </c>
      <c r="R59" s="76" t="n">
        <f aca="false">IFERROR(IF(OR(NOT(ISNUMBER('Price History'!R60)),NOT(ISNUMBER('Price History'!R59)),'Price History'!R59=0),"",'Price History'!R60/'Price History'!R59-1),"")</f>
        <v>0.0465342679127725</v>
      </c>
      <c r="S59" s="76" t="n">
        <f aca="false">IFERROR(IF(OR(NOT(ISNUMBER('Price History'!S60)),NOT(ISNUMBER('Price History'!S59)),'Price History'!S59=0),"",'Price History'!S60/'Price History'!S59-1),"")</f>
        <v>0.061487130600572</v>
      </c>
      <c r="T59" s="76" t="n">
        <f aca="false">IFERROR(IF(OR(NOT(ISNUMBER('Price History'!T60)),NOT(ISNUMBER('Price History'!T59)),'Price History'!T59=0),"",'Price History'!T60/'Price History'!T59-1),"")</f>
        <v>0.0235626767200754</v>
      </c>
      <c r="U59" s="76" t="str">
        <f aca="false">IFERROR(IF(OR(NOT(ISNUMBER('Price History'!U60)),NOT(ISNUMBER('Price History'!U59)),'Price History'!U59=0),"",'Price History'!U60/'Price History'!U59-1),"")</f>
        <v/>
      </c>
      <c r="W59" s="77" t="n">
        <f aca="false">'Price History'!B3+('Price History'!B158-'Price History'!B3)*0.363636363636364</f>
        <v>414.617272727273</v>
      </c>
      <c r="X59" s="77" t="n">
        <f aca="false">'Price History'!C3+('Price History'!C158-'Price History'!C3)*0.363636363636364</f>
        <v>93.4163636363637</v>
      </c>
      <c r="Y59" s="77" t="n">
        <f aca="false">'Price History'!D3+('Price History'!D158-'Price History'!D3)*0.363636363636364</f>
        <v>1013.49636363636</v>
      </c>
      <c r="Z59" s="77" t="n">
        <f aca="false">'Price History'!E3+('Price History'!E158-'Price History'!E3)*0.363636363636364</f>
        <v>194.361818181818</v>
      </c>
      <c r="AA59" s="77" t="n">
        <f aca="false">'Price History'!F3+('Price History'!F158-'Price History'!F3)*0.363636363636364</f>
        <v>92.9872727272728</v>
      </c>
      <c r="AB59" s="77" t="n">
        <f aca="false">'Price History'!G3+('Price History'!G158-'Price History'!G3)*0.363636363636364</f>
        <v>96.9618181818182</v>
      </c>
      <c r="AC59" s="77" t="n">
        <f aca="false">'Price History'!H3+('Price History'!H158-'Price History'!H3)*0.363636363636364</f>
        <v>340.246363636364</v>
      </c>
      <c r="AD59" s="77" t="n">
        <f aca="false">'Price History'!I3+('Price History'!I158-'Price History'!I3)*0.363636363636364</f>
        <v>98.9954545454546</v>
      </c>
      <c r="AE59" s="77" t="n">
        <f aca="false">'Price History'!J3+('Price History'!J158-'Price History'!J3)*0.363636363636364</f>
        <v>131.182727272727</v>
      </c>
      <c r="AF59" s="77" t="n">
        <f aca="false">'Price History'!K3+('Price History'!K158-'Price History'!K3)*0.363636363636364</f>
        <v>54.5554545454546</v>
      </c>
      <c r="AG59" s="77" t="n">
        <f aca="false">'Price History'!L3+('Price History'!L158-'Price History'!L3)*0.363636363636364</f>
        <v>205.539090909091</v>
      </c>
      <c r="AH59" s="77" t="n">
        <f aca="false">'Price History'!M3+('Price History'!M158-'Price History'!M3)*0.363636363636364</f>
        <v>109.168181818182</v>
      </c>
      <c r="AI59" s="77" t="n">
        <f aca="false">'Price History'!N3+('Price History'!N158-'Price History'!N3)*0.363636363636364</f>
        <v>396.129090909091</v>
      </c>
      <c r="AJ59" s="77" t="n">
        <f aca="false">'Price History'!O3+('Price History'!O158-'Price History'!O3)*0.363636363636364</f>
        <v>98.2790909090909</v>
      </c>
      <c r="AK59" s="77" t="n">
        <f aca="false">'Price History'!Q3+('Price History'!Q151-'Price History'!Q3)*0.363636363636364</f>
        <v>56.6072727272727</v>
      </c>
      <c r="AL59" s="77" t="n">
        <f aca="false">'Price History'!R3+('Price History'!R158-'Price History'!R3)*0.363636363636364</f>
        <v>51.6127272727273</v>
      </c>
      <c r="AM59" s="77" t="n">
        <f aca="false">'Price History'!S3+('Price History'!S158-'Price History'!S3)*0.363636363636364</f>
        <v>89.5545454545455</v>
      </c>
      <c r="AN59" s="77" t="n">
        <f aca="false">'Price History'!T3+('Price History'!T158-'Price History'!T3)*0.363636363636364</f>
        <v>35.2118181818182</v>
      </c>
    </row>
    <row r="60" customFormat="false" ht="15" hidden="false" customHeight="true" outlineLevel="0" collapsed="false">
      <c r="A60" s="49" t="n">
        <f aca="false">IF('Price History'!A61="","",'Price History'!A61)</f>
        <v>45555</v>
      </c>
      <c r="B60" s="76" t="n">
        <f aca="false">IFERROR(IF(OR(NOT(ISNUMBER('Price History'!B61)),NOT(ISNUMBER('Price History'!B60)),'Price History'!B60=0),"",'Price History'!B61/'Price History'!B60-1),"")</f>
        <v>-0.0271387859258294</v>
      </c>
      <c r="C60" s="76" t="n">
        <f aca="false">IFERROR(IF(OR(NOT(ISNUMBER('Price History'!C61)),NOT(ISNUMBER('Price History'!C60)),'Price History'!C60=0),"",'Price History'!C61/'Price History'!C60-1),"")</f>
        <v>0.0687124749833223</v>
      </c>
      <c r="D60" s="76" t="n">
        <f aca="false">IFERROR(IF(OR(NOT(ISNUMBER('Price History'!D61)),NOT(ISNUMBER('Price History'!D60)),'Price History'!D60=0),"",'Price History'!D61/'Price History'!D60-1),"")</f>
        <v>-0.0258219413004067</v>
      </c>
      <c r="E60" s="76" t="n">
        <f aca="false">IFERROR(IF(OR(NOT(ISNUMBER('Price History'!E61)),NOT(ISNUMBER('Price History'!E60)),'Price History'!E60=0),"",'Price History'!E61/'Price History'!E60-1),"")</f>
        <v>0.0203351422267279</v>
      </c>
      <c r="F60" s="76" t="n">
        <f aca="false">IFERROR(IF(OR(NOT(ISNUMBER('Price History'!F61)),NOT(ISNUMBER('Price History'!F60)),'Price History'!F60=0),"",'Price History'!F61/'Price History'!F60-1),"")</f>
        <v>0.157147267675208</v>
      </c>
      <c r="G60" s="76" t="n">
        <f aca="false">IFERROR(IF(OR(NOT(ISNUMBER('Price History'!G61)),NOT(ISNUMBER('Price History'!G60)),'Price History'!G60=0),"",'Price History'!G61/'Price History'!G60-1),"")</f>
        <v>0.00984697272122426</v>
      </c>
      <c r="H60" s="76" t="n">
        <f aca="false">IFERROR(IF(OR(NOT(ISNUMBER('Price History'!H61)),NOT(ISNUMBER('Price History'!H60)),'Price History'!H60=0),"",'Price History'!H61/'Price History'!H60-1),"")</f>
        <v>-0.00350800263100193</v>
      </c>
      <c r="I60" s="76" t="n">
        <f aca="false">IFERROR(IF(OR(NOT(ISNUMBER('Price History'!I61)),NOT(ISNUMBER('Price History'!I60)),'Price History'!I60=0),"",'Price History'!I61/'Price History'!I60-1),"")</f>
        <v>-0.0260285474391267</v>
      </c>
      <c r="J60" s="76" t="n">
        <f aca="false">IFERROR(IF(OR(NOT(ISNUMBER('Price History'!J61)),NOT(ISNUMBER('Price History'!J60)),'Price History'!J60=0),"",'Price History'!J61/'Price History'!J60-1),"")</f>
        <v>-0.0346976457916602</v>
      </c>
      <c r="K60" s="76" t="n">
        <f aca="false">IFERROR(IF(OR(NOT(ISNUMBER('Price History'!K61)),NOT(ISNUMBER('Price History'!K60)),'Price History'!K60=0),"",'Price History'!K61/'Price History'!K60-1),"")</f>
        <v>0.0452374262433268</v>
      </c>
      <c r="L60" s="76" t="n">
        <f aca="false">IFERROR(IF(OR(NOT(ISNUMBER('Price History'!L61)),NOT(ISNUMBER('Price History'!L60)),'Price History'!L60=0),"",'Price History'!L61/'Price History'!L60-1),"")</f>
        <v>0.00915942028985506</v>
      </c>
      <c r="M60" s="76" t="n">
        <f aca="false">IFERROR(IF(OR(NOT(ISNUMBER('Price History'!M61)),NOT(ISNUMBER('Price History'!M60)),'Price History'!M60=0),"",'Price History'!M61/'Price History'!M60-1),"")</f>
        <v>0.102378731343284</v>
      </c>
      <c r="N60" s="76" t="n">
        <f aca="false">IFERROR(IF(OR(NOT(ISNUMBER('Price History'!N61)),NOT(ISNUMBER('Price History'!N60)),'Price History'!N60=0),"",'Price History'!N61/'Price History'!N60-1),"")</f>
        <v>-0.0421328059006531</v>
      </c>
      <c r="O60" s="76" t="n">
        <f aca="false">IFERROR(IF(OR(NOT(ISNUMBER('Price History'!O61)),NOT(ISNUMBER('Price History'!O60)),'Price History'!O60=0),"",'Price History'!O61/'Price History'!O60-1),"")</f>
        <v>0.03018584165861</v>
      </c>
      <c r="P60" s="76" t="str">
        <f aca="false">IFERROR(IF(OR(NOT(ISNUMBER('Price History'!P61)),NOT(ISNUMBER('Price History'!P60)),'Price History'!P60=0),"",'Price History'!P61/'Price History'!P60-1),"")</f>
        <v/>
      </c>
      <c r="Q60" s="76" t="n">
        <f aca="false">IFERROR(IF(OR(NOT(ISNUMBER('Price History'!Q61)),NOT(ISNUMBER('Price History'!Q60)),'Price History'!Q60=0),"",'Price History'!Q61/'Price History'!Q60-1),"")</f>
        <v>0.0243066884176184</v>
      </c>
      <c r="R60" s="76" t="n">
        <f aca="false">IFERROR(IF(OR(NOT(ISNUMBER('Price History'!R61)),NOT(ISNUMBER('Price History'!R60)),'Price History'!R60=0),"",'Price History'!R61/'Price History'!R60-1),"")</f>
        <v>0.0122790697674418</v>
      </c>
      <c r="S60" s="76" t="n">
        <f aca="false">IFERROR(IF(OR(NOT(ISNUMBER('Price History'!S61)),NOT(ISNUMBER('Price History'!S60)),'Price History'!S60=0),"",'Price History'!S61/'Price History'!S60-1),"")</f>
        <v>0.0162775033677594</v>
      </c>
      <c r="T60" s="76" t="n">
        <f aca="false">IFERROR(IF(OR(NOT(ISNUMBER('Price History'!T61)),NOT(ISNUMBER('Price History'!T60)),'Price History'!T60=0),"",'Price History'!T61/'Price History'!T60-1),"")</f>
        <v>0.0171884591774096</v>
      </c>
      <c r="U60" s="76" t="str">
        <f aca="false">IFERROR(IF(OR(NOT(ISNUMBER('Price History'!U61)),NOT(ISNUMBER('Price History'!U60)),'Price History'!U60=0),"",'Price History'!U61/'Price History'!U60-1),"")</f>
        <v/>
      </c>
      <c r="W60" s="77" t="n">
        <f aca="false">'Price History'!B3+('Price History'!B158-'Price History'!B3)*0.37012987012987</f>
        <v>412.941688311688</v>
      </c>
      <c r="X60" s="77" t="n">
        <f aca="false">'Price History'!C3+('Price History'!C158-'Price History'!C3)*0.37012987012987</f>
        <v>94.3034415584415</v>
      </c>
      <c r="Y60" s="77" t="n">
        <f aca="false">'Price History'!D3+('Price History'!D158-'Price History'!D3)*0.37012987012987</f>
        <v>1019.77701298701</v>
      </c>
      <c r="Z60" s="77" t="n">
        <f aca="false">'Price History'!E3+('Price History'!E158-'Price History'!E3)*0.37012987012987</f>
        <v>196.350779220779</v>
      </c>
      <c r="AA60" s="77" t="n">
        <f aca="false">'Price History'!F3+('Price History'!F158-'Price History'!F3)*0.37012987012987</f>
        <v>93.985974025974</v>
      </c>
      <c r="AB60" s="77" t="n">
        <f aca="false">'Price History'!G3+('Price History'!G158-'Price History'!G3)*0.37012987012987</f>
        <v>97.8379220779221</v>
      </c>
      <c r="AC60" s="77" t="n">
        <f aca="false">'Price History'!H3+('Price History'!H158-'Price History'!H3)*0.37012987012987</f>
        <v>345.172727272727</v>
      </c>
      <c r="AD60" s="77" t="n">
        <f aca="false">'Price History'!I3+('Price History'!I158-'Price History'!I3)*0.37012987012987</f>
        <v>100.033766233766</v>
      </c>
      <c r="AE60" s="77" t="n">
        <f aca="false">'Price History'!J3+('Price History'!J158-'Price History'!J3)*0.37012987012987</f>
        <v>131.31974025974</v>
      </c>
      <c r="AF60" s="77" t="n">
        <f aca="false">'Price History'!K3+('Price History'!K158-'Price History'!K3)*0.37012987012987</f>
        <v>55.2544805194805</v>
      </c>
      <c r="AG60" s="77" t="n">
        <f aca="false">'Price History'!L3+('Price History'!L158-'Price History'!L3)*0.37012987012987</f>
        <v>207.566753246753</v>
      </c>
      <c r="AH60" s="77" t="n">
        <f aca="false">'Price History'!M3+('Price History'!M158-'Price History'!M3)*0.37012987012987</f>
        <v>110.519220779221</v>
      </c>
      <c r="AI60" s="77" t="n">
        <f aca="false">'Price History'!N3+('Price History'!N158-'Price History'!N3)*0.37012987012987</f>
        <v>396.955324675325</v>
      </c>
      <c r="AJ60" s="77" t="n">
        <f aca="false">'Price History'!O3+('Price History'!O158-'Price History'!O3)*0.37012987012987</f>
        <v>98.5546103896104</v>
      </c>
      <c r="AK60" s="77" t="n">
        <f aca="false">'Price History'!Q3+('Price History'!Q151-'Price History'!Q3)*0.37012987012987</f>
        <v>56.7281168831169</v>
      </c>
      <c r="AL60" s="77" t="n">
        <f aca="false">'Price History'!R3+('Price History'!R158-'Price History'!R3)*0.37012987012987</f>
        <v>51.6804545454545</v>
      </c>
      <c r="AM60" s="77" t="n">
        <f aca="false">'Price History'!S3+('Price History'!S158-'Price History'!S3)*0.37012987012987</f>
        <v>90.1083766233766</v>
      </c>
      <c r="AN60" s="77" t="n">
        <f aca="false">'Price History'!T3+('Price History'!T158-'Price History'!T3)*0.37012987012987</f>
        <v>35.3600649350649</v>
      </c>
    </row>
    <row r="61" customFormat="false" ht="15" hidden="false" customHeight="true" outlineLevel="0" collapsed="false">
      <c r="A61" s="49" t="n">
        <f aca="false">IF('Price History'!A62="","",'Price History'!A62)</f>
        <v>45562</v>
      </c>
      <c r="B61" s="76" t="n">
        <f aca="false">IFERROR(IF(OR(NOT(ISNUMBER('Price History'!B62)),NOT(ISNUMBER('Price History'!B61)),'Price History'!B61=0),"",'Price History'!B62/'Price History'!B61-1),"")</f>
        <v>-0.0130576297147232</v>
      </c>
      <c r="C61" s="76" t="n">
        <f aca="false">IFERROR(IF(OR(NOT(ISNUMBER('Price History'!C62)),NOT(ISNUMBER('Price History'!C61)),'Price History'!C61=0),"",'Price History'!C62/'Price History'!C61-1),"")</f>
        <v>-0.0109238451935082</v>
      </c>
      <c r="D61" s="76" t="n">
        <f aca="false">IFERROR(IF(OR(NOT(ISNUMBER('Price History'!D62)),NOT(ISNUMBER('Price History'!D61)),'Price History'!D61=0),"",'Price History'!D62/'Price History'!D61-1),"")</f>
        <v>0.0581681923347752</v>
      </c>
      <c r="E61" s="76" t="n">
        <f aca="false">IFERROR(IF(OR(NOT(ISNUMBER('Price History'!E62)),NOT(ISNUMBER('Price History'!E61)),'Price History'!E61=0),"",'Price History'!E62/'Price History'!E61-1),"")</f>
        <v>0.00929281122150782</v>
      </c>
      <c r="F61" s="76" t="n">
        <f aca="false">IFERROR(IF(OR(NOT(ISNUMBER('Price History'!F62)),NOT(ISNUMBER('Price History'!F61)),'Price History'!F61=0),"",'Price History'!F62/'Price History'!F61-1),"")</f>
        <v>-0.0465581643543223</v>
      </c>
      <c r="G61" s="76" t="n">
        <f aca="false">IFERROR(IF(OR(NOT(ISNUMBER('Price History'!G62)),NOT(ISNUMBER('Price History'!G61)),'Price History'!G61=0),"",'Price History'!G62/'Price History'!G61-1),"")</f>
        <v>0.0309658716563446</v>
      </c>
      <c r="H61" s="76" t="n">
        <f aca="false">IFERROR(IF(OR(NOT(ISNUMBER('Price History'!H62)),NOT(ISNUMBER('Price History'!H61)),'Price History'!H61=0),"",'Price History'!H62/'Price History'!H61-1),"")</f>
        <v>0.182618261826182</v>
      </c>
      <c r="I61" s="76" t="n">
        <f aca="false">IFERROR(IF(OR(NOT(ISNUMBER('Price History'!I62)),NOT(ISNUMBER('Price History'!I61)),'Price History'!I61=0),"",'Price History'!I62/'Price History'!I61-1),"")</f>
        <v>0.0465517241379312</v>
      </c>
      <c r="J61" s="76" t="n">
        <f aca="false">IFERROR(IF(OR(NOT(ISNUMBER('Price History'!J62)),NOT(ISNUMBER('Price History'!J61)),'Price History'!J61=0),"",'Price History'!J62/'Price History'!J61-1),"")</f>
        <v>0.000956403921256177</v>
      </c>
      <c r="K61" s="76" t="n">
        <f aca="false">IFERROR(IF(OR(NOT(ISNUMBER('Price History'!K62)),NOT(ISNUMBER('Price History'!K61)),'Price History'!K61=0),"",'Price History'!K62/'Price History'!K61-1),"")</f>
        <v>-0.00967741935483868</v>
      </c>
      <c r="L61" s="76" t="n">
        <f aca="false">IFERROR(IF(OR(NOT(ISNUMBER('Price History'!L62)),NOT(ISNUMBER('Price History'!L61)),'Price History'!L61=0),"",'Price History'!L62/'Price History'!L61-1),"")</f>
        <v>0.0223460477941175</v>
      </c>
      <c r="M61" s="76" t="n">
        <f aca="false">IFERROR(IF(OR(NOT(ISNUMBER('Price History'!M62)),NOT(ISNUMBER('Price History'!M61)),'Price History'!M61=0),"",'Price History'!M62/'Price History'!M61-1),"")</f>
        <v>0.0409350539454199</v>
      </c>
      <c r="N61" s="76" t="n">
        <f aca="false">IFERROR(IF(OR(NOT(ISNUMBER('Price History'!N62)),NOT(ISNUMBER('Price History'!N61)),'Price History'!N61=0),"",'Price History'!N62/'Price History'!N61-1),"")</f>
        <v>-0.00438785167340627</v>
      </c>
      <c r="O61" s="76" t="n">
        <f aca="false">IFERROR(IF(OR(NOT(ISNUMBER('Price History'!O62)),NOT(ISNUMBER('Price History'!O61)),'Price History'!O61=0),"",'Price History'!O62/'Price History'!O61-1),"")</f>
        <v>-0.00354535974973935</v>
      </c>
      <c r="P61" s="76" t="str">
        <f aca="false">IFERROR(IF(OR(NOT(ISNUMBER('Price History'!P62)),NOT(ISNUMBER('Price History'!P61)),'Price History'!P61=0),"",'Price History'!P62/'Price History'!P61-1),"")</f>
        <v/>
      </c>
      <c r="Q61" s="76" t="n">
        <f aca="false">IFERROR(IF(OR(NOT(ISNUMBER('Price History'!Q62)),NOT(ISNUMBER('Price History'!Q61)),'Price History'!Q61=0),"",'Price History'!Q62/'Price History'!Q61-1),"")</f>
        <v>-0.00955566172957478</v>
      </c>
      <c r="R61" s="76" t="n">
        <f aca="false">IFERROR(IF(OR(NOT(ISNUMBER('Price History'!R62)),NOT(ISNUMBER('Price History'!R61)),'Price History'!R61=0),"",'Price History'!R62/'Price History'!R61-1),"")</f>
        <v>0.00716780003675788</v>
      </c>
      <c r="S61" s="76" t="n">
        <f aca="false">IFERROR(IF(OR(NOT(ISNUMBER('Price History'!S62)),NOT(ISNUMBER('Price History'!S61)),'Price History'!S61=0),"",'Price History'!S62/'Price History'!S61-1),"")</f>
        <v>-0.00209875179498509</v>
      </c>
      <c r="T61" s="76" t="n">
        <f aca="false">IFERROR(IF(OR(NOT(ISNUMBER('Price History'!T62)),NOT(ISNUMBER('Price History'!T61)),'Price History'!T61=0),"",'Price History'!T62/'Price History'!T61-1),"")</f>
        <v>0.00211225105612556</v>
      </c>
      <c r="U61" s="76" t="str">
        <f aca="false">IFERROR(IF(OR(NOT(ISNUMBER('Price History'!U62)),NOT(ISNUMBER('Price History'!U61)),'Price History'!U61=0),"",'Price History'!U62/'Price History'!U61-1),"")</f>
        <v/>
      </c>
      <c r="W61" s="77" t="n">
        <f aca="false">'Price History'!B3+('Price History'!B158-'Price History'!B3)*0.376623376623377</f>
        <v>411.266103896104</v>
      </c>
      <c r="X61" s="77" t="n">
        <f aca="false">'Price History'!C3+('Price History'!C158-'Price History'!C3)*0.376623376623377</f>
        <v>95.1905194805195</v>
      </c>
      <c r="Y61" s="77" t="n">
        <f aca="false">'Price History'!D3+('Price History'!D158-'Price History'!D3)*0.376623376623377</f>
        <v>1026.05766233766</v>
      </c>
      <c r="Z61" s="77" t="n">
        <f aca="false">'Price History'!E3+('Price History'!E158-'Price History'!E3)*0.376623376623377</f>
        <v>198.33974025974</v>
      </c>
      <c r="AA61" s="77" t="n">
        <f aca="false">'Price History'!F3+('Price History'!F158-'Price History'!F3)*0.376623376623377</f>
        <v>94.9846753246754</v>
      </c>
      <c r="AB61" s="77" t="n">
        <f aca="false">'Price History'!G3+('Price History'!G158-'Price History'!G3)*0.376623376623377</f>
        <v>98.714025974026</v>
      </c>
      <c r="AC61" s="77" t="n">
        <f aca="false">'Price History'!H3+('Price History'!H158-'Price History'!H3)*0.376623376623377</f>
        <v>350.099090909091</v>
      </c>
      <c r="AD61" s="77" t="n">
        <f aca="false">'Price History'!I3+('Price History'!I158-'Price History'!I3)*0.376623376623377</f>
        <v>101.072077922078</v>
      </c>
      <c r="AE61" s="77" t="n">
        <f aca="false">'Price History'!J3+('Price History'!J158-'Price History'!J3)*0.376623376623377</f>
        <v>131.456753246753</v>
      </c>
      <c r="AF61" s="77" t="n">
        <f aca="false">'Price History'!K3+('Price History'!K158-'Price History'!K3)*0.376623376623377</f>
        <v>55.9535064935065</v>
      </c>
      <c r="AG61" s="77" t="n">
        <f aca="false">'Price History'!L3+('Price History'!L158-'Price History'!L3)*0.376623376623377</f>
        <v>209.594415584416</v>
      </c>
      <c r="AH61" s="77" t="n">
        <f aca="false">'Price History'!M3+('Price History'!M158-'Price History'!M3)*0.376623376623377</f>
        <v>111.87025974026</v>
      </c>
      <c r="AI61" s="77" t="n">
        <f aca="false">'Price History'!N3+('Price History'!N158-'Price History'!N3)*0.376623376623377</f>
        <v>397.781558441559</v>
      </c>
      <c r="AJ61" s="77" t="n">
        <f aca="false">'Price History'!O3+('Price History'!O158-'Price History'!O3)*0.376623376623377</f>
        <v>98.8301298701299</v>
      </c>
      <c r="AK61" s="77" t="n">
        <f aca="false">'Price History'!Q3+('Price History'!Q151-'Price History'!Q3)*0.376623376623377</f>
        <v>56.8489610389611</v>
      </c>
      <c r="AL61" s="77" t="n">
        <f aca="false">'Price History'!R3+('Price History'!R158-'Price History'!R3)*0.376623376623377</f>
        <v>51.7481818181818</v>
      </c>
      <c r="AM61" s="77" t="n">
        <f aca="false">'Price History'!S3+('Price History'!S158-'Price History'!S3)*0.376623376623377</f>
        <v>90.6622077922078</v>
      </c>
      <c r="AN61" s="77" t="n">
        <f aca="false">'Price History'!T3+('Price History'!T158-'Price History'!T3)*0.376623376623377</f>
        <v>35.5083116883117</v>
      </c>
    </row>
    <row r="62" customFormat="false" ht="15" hidden="false" customHeight="true" outlineLevel="0" collapsed="false">
      <c r="A62" s="49" t="n">
        <f aca="false">IF('Price History'!A63="","",'Price History'!A63)</f>
        <v>45569</v>
      </c>
      <c r="B62" s="76" t="n">
        <f aca="false">IFERROR(IF(OR(NOT(ISNUMBER('Price History'!B63)),NOT(ISNUMBER('Price History'!B62)),'Price History'!B62=0),"",'Price History'!B63/'Price History'!B62-1),"")</f>
        <v>-0.0160239000543183</v>
      </c>
      <c r="C62" s="76" t="n">
        <f aca="false">IFERROR(IF(OR(NOT(ISNUMBER('Price History'!C63)),NOT(ISNUMBER('Price History'!C62)),'Price History'!C62=0),"",'Price History'!C63/'Price History'!C62-1),"")</f>
        <v>0.0412327758493742</v>
      </c>
      <c r="D62" s="76" t="n">
        <f aca="false">IFERROR(IF(OR(NOT(ISNUMBER('Price History'!D63)),NOT(ISNUMBER('Price History'!D62)),'Price History'!D62=0),"",'Price History'!D63/'Price History'!D62-1),"")</f>
        <v>-0.0101480618865413</v>
      </c>
      <c r="E62" s="76" t="n">
        <f aca="false">IFERROR(IF(OR(NOT(ISNUMBER('Price History'!E63)),NOT(ISNUMBER('Price History'!E62)),'Price History'!E62=0),"",'Price History'!E63/'Price History'!E62-1),"")</f>
        <v>0.0228733568822745</v>
      </c>
      <c r="F62" s="76" t="n">
        <f aca="false">IFERROR(IF(OR(NOT(ISNUMBER('Price History'!F63)),NOT(ISNUMBER('Price History'!F62)),'Price History'!F62=0),"",'Price History'!F63/'Price History'!F62-1),"")</f>
        <v>0.0222470966839234</v>
      </c>
      <c r="G62" s="76" t="n">
        <f aca="false">IFERROR(IF(OR(NOT(ISNUMBER('Price History'!G63)),NOT(ISNUMBER('Price History'!G62)),'Price History'!G62=0),"",'Price History'!G63/'Price History'!G62-1),"")</f>
        <v>0.00639059304703471</v>
      </c>
      <c r="H62" s="76" t="n">
        <f aca="false">IFERROR(IF(OR(NOT(ISNUMBER('Price History'!H63)),NOT(ISNUMBER('Price History'!H62)),'Price History'!H62=0),"",'Price History'!H63/'Price History'!H62-1),"")</f>
        <v>-0.0488372093023256</v>
      </c>
      <c r="I62" s="76" t="n">
        <f aca="false">IFERROR(IF(OR(NOT(ISNUMBER('Price History'!I63)),NOT(ISNUMBER('Price History'!I62)),'Price History'!I62=0),"",'Price History'!I63/'Price History'!I62-1),"")</f>
        <v>0.0289950576606259</v>
      </c>
      <c r="J62" s="76" t="n">
        <f aca="false">IFERROR(IF(OR(NOT(ISNUMBER('Price History'!J63)),NOT(ISNUMBER('Price History'!J62)),'Price History'!J62=0),"",'Price History'!J63/'Price History'!J62-1),"")</f>
        <v>-0.0252408631260451</v>
      </c>
      <c r="K62" s="76" t="n">
        <f aca="false">IFERROR(IF(OR(NOT(ISNUMBER('Price History'!K63)),NOT(ISNUMBER('Price History'!K62)),'Price History'!K62=0),"",'Price History'!K63/'Price History'!K62-1),"")</f>
        <v>0.0860477741585233</v>
      </c>
      <c r="L62" s="76" t="n">
        <f aca="false">IFERROR(IF(OR(NOT(ISNUMBER('Price History'!L63)),NOT(ISNUMBER('Price History'!L62)),'Price History'!L62=0),"",'Price History'!L63/'Price History'!L62-1),"")</f>
        <v>0.0179243692757207</v>
      </c>
      <c r="M62" s="76" t="n">
        <f aca="false">IFERROR(IF(OR(NOT(ISNUMBER('Price History'!M63)),NOT(ISNUMBER('Price History'!M62)),'Price History'!M62=0),"",'Price History'!M63/'Price History'!M62-1),"")</f>
        <v>0.0689970531450057</v>
      </c>
      <c r="N62" s="76" t="n">
        <f aca="false">IFERROR(IF(OR(NOT(ISNUMBER('Price History'!N63)),NOT(ISNUMBER('Price History'!N62)),'Price History'!N62=0),"",'Price History'!N63/'Price History'!N62-1),"")</f>
        <v>-0.0163541306602143</v>
      </c>
      <c r="O62" s="76" t="n">
        <f aca="false">IFERROR(IF(OR(NOT(ISNUMBER('Price History'!O63)),NOT(ISNUMBER('Price History'!O62)),'Price History'!O62=0),"",'Price History'!O63/'Price History'!O62-1),"")</f>
        <v>0.00282544997907075</v>
      </c>
      <c r="P62" s="76" t="str">
        <f aca="false">IFERROR(IF(OR(NOT(ISNUMBER('Price History'!P63)),NOT(ISNUMBER('Price History'!P62)),'Price History'!P62=0),"",'Price History'!P63/'Price History'!P62-1),"")</f>
        <v/>
      </c>
      <c r="Q62" s="76" t="n">
        <f aca="false">IFERROR(IF(OR(NOT(ISNUMBER('Price History'!Q63)),NOT(ISNUMBER('Price History'!Q62)),'Price History'!Q62=0),"",'Price History'!Q63/'Price History'!Q62-1),"")</f>
        <v>0.00755748512622612</v>
      </c>
      <c r="R62" s="76" t="n">
        <f aca="false">IFERROR(IF(OR(NOT(ISNUMBER('Price History'!R63)),NOT(ISNUMBER('Price History'!R62)),'Price History'!R62=0),"",'Price History'!R63/'Price History'!R62-1),"")</f>
        <v>-0.00784671532846715</v>
      </c>
      <c r="S62" s="76" t="n">
        <f aca="false">IFERROR(IF(OR(NOT(ISNUMBER('Price History'!S63)),NOT(ISNUMBER('Price History'!S62)),'Price History'!S62=0),"",'Price History'!S63/'Price History'!S62-1),"")</f>
        <v>0.0149435466017267</v>
      </c>
      <c r="T62" s="76" t="n">
        <f aca="false">IFERROR(IF(OR(NOT(ISNUMBER('Price History'!T63)),NOT(ISNUMBER('Price History'!T62)),'Price History'!T62=0),"",'Price History'!T63/'Price History'!T62-1),"")</f>
        <v>0.0186690755796446</v>
      </c>
      <c r="U62" s="76" t="str">
        <f aca="false">IFERROR(IF(OR(NOT(ISNUMBER('Price History'!U63)),NOT(ISNUMBER('Price History'!U62)),'Price History'!U62=0),"",'Price History'!U63/'Price History'!U62-1),"")</f>
        <v/>
      </c>
      <c r="W62" s="77" t="n">
        <f aca="false">'Price History'!B3+('Price History'!B158-'Price History'!B3)*0.383116883116883</f>
        <v>409.59051948052</v>
      </c>
      <c r="X62" s="77" t="n">
        <f aca="false">'Price History'!C3+('Price History'!C158-'Price History'!C3)*0.383116883116883</f>
        <v>96.0775974025974</v>
      </c>
      <c r="Y62" s="77" t="n">
        <f aca="false">'Price History'!D3+('Price History'!D158-'Price History'!D3)*0.383116883116883</f>
        <v>1032.33831168831</v>
      </c>
      <c r="Z62" s="77" t="n">
        <f aca="false">'Price History'!E3+('Price History'!E158-'Price History'!E3)*0.383116883116883</f>
        <v>200.328701298701</v>
      </c>
      <c r="AA62" s="77" t="n">
        <f aca="false">'Price History'!F3+('Price History'!F158-'Price History'!F3)*0.383116883116883</f>
        <v>95.9833766233766</v>
      </c>
      <c r="AB62" s="77" t="n">
        <f aca="false">'Price History'!G3+('Price History'!G158-'Price History'!G3)*0.383116883116883</f>
        <v>99.5901298701299</v>
      </c>
      <c r="AC62" s="77" t="n">
        <f aca="false">'Price History'!H3+('Price History'!H158-'Price History'!H3)*0.383116883116883</f>
        <v>355.025454545454</v>
      </c>
      <c r="AD62" s="77" t="n">
        <f aca="false">'Price History'!I3+('Price History'!I158-'Price History'!I3)*0.383116883116883</f>
        <v>102.11038961039</v>
      </c>
      <c r="AE62" s="77" t="n">
        <f aca="false">'Price History'!J3+('Price History'!J158-'Price History'!J3)*0.383116883116883</f>
        <v>131.593766233766</v>
      </c>
      <c r="AF62" s="77" t="n">
        <f aca="false">'Price History'!K3+('Price History'!K158-'Price History'!K3)*0.383116883116883</f>
        <v>56.6525324675325</v>
      </c>
      <c r="AG62" s="77" t="n">
        <f aca="false">'Price History'!L3+('Price History'!L158-'Price History'!L3)*0.383116883116883</f>
        <v>211.622077922078</v>
      </c>
      <c r="AH62" s="77" t="n">
        <f aca="false">'Price History'!M3+('Price History'!M158-'Price History'!M3)*0.383116883116883</f>
        <v>113.221298701299</v>
      </c>
      <c r="AI62" s="77" t="n">
        <f aca="false">'Price History'!N3+('Price History'!N158-'Price History'!N3)*0.383116883116883</f>
        <v>398.607792207792</v>
      </c>
      <c r="AJ62" s="77" t="n">
        <f aca="false">'Price History'!O3+('Price History'!O158-'Price History'!O3)*0.383116883116883</f>
        <v>99.1056493506493</v>
      </c>
      <c r="AK62" s="77" t="n">
        <f aca="false">'Price History'!Q3+('Price History'!Q151-'Price History'!Q3)*0.383116883116883</f>
        <v>56.9698051948052</v>
      </c>
      <c r="AL62" s="77" t="n">
        <f aca="false">'Price History'!R3+('Price History'!R158-'Price History'!R3)*0.383116883116883</f>
        <v>51.8159090909091</v>
      </c>
      <c r="AM62" s="77" t="n">
        <f aca="false">'Price History'!S3+('Price History'!S158-'Price History'!S3)*0.383116883116883</f>
        <v>91.216038961039</v>
      </c>
      <c r="AN62" s="77" t="n">
        <f aca="false">'Price History'!T3+('Price History'!T158-'Price History'!T3)*0.383116883116883</f>
        <v>35.6565584415584</v>
      </c>
    </row>
    <row r="63" customFormat="false" ht="15" hidden="false" customHeight="true" outlineLevel="0" collapsed="false">
      <c r="A63" s="49" t="n">
        <f aca="false">IF('Price History'!A64="","",'Price History'!A64)</f>
        <v>45576</v>
      </c>
      <c r="B63" s="76" t="n">
        <f aca="false">IFERROR(IF(OR(NOT(ISNUMBER('Price History'!B64)),NOT(ISNUMBER('Price History'!B63)),'Price History'!B63=0),"",'Price History'!B64/'Price History'!B63-1),"")</f>
        <v>-0.0232640668743346</v>
      </c>
      <c r="C63" s="76" t="n">
        <f aca="false">IFERROR(IF(OR(NOT(ISNUMBER('Price History'!C64)),NOT(ISNUMBER('Price History'!C63)),'Price History'!C63=0),"",'Price History'!C64/'Price History'!C63-1),"")</f>
        <v>0.0529346398626125</v>
      </c>
      <c r="D63" s="76" t="n">
        <f aca="false">IFERROR(IF(OR(NOT(ISNUMBER('Price History'!D64)),NOT(ISNUMBER('Price History'!D63)),'Price History'!D63=0),"",'Price History'!D64/'Price History'!D63-1),"")</f>
        <v>0.0092316926770708</v>
      </c>
      <c r="E63" s="76" t="n">
        <f aca="false">IFERROR(IF(OR(NOT(ISNUMBER('Price History'!E64)),NOT(ISNUMBER('Price History'!E63)),'Price History'!E63=0),"",'Price History'!E64/'Price History'!E63-1),"")</f>
        <v>0.0274003623188406</v>
      </c>
      <c r="F63" s="76" t="n">
        <f aca="false">IFERROR(IF(OR(NOT(ISNUMBER('Price History'!F64)),NOT(ISNUMBER('Price History'!F63)),'Price History'!F63=0),"",'Price History'!F64/'Price History'!F63-1),"")</f>
        <v>0.0956747878456064</v>
      </c>
      <c r="G63" s="76" t="n">
        <f aca="false">IFERROR(IF(OR(NOT(ISNUMBER('Price History'!G64)),NOT(ISNUMBER('Price History'!G63)),'Price History'!G63=0),"",'Price History'!G64/'Price History'!G63-1),"")</f>
        <v>0.020701041402083</v>
      </c>
      <c r="H63" s="76" t="n">
        <f aca="false">IFERROR(IF(OR(NOT(ISNUMBER('Price History'!H64)),NOT(ISNUMBER('Price History'!H63)),'Price History'!H63=0),"",'Price History'!H64/'Price History'!H63-1),"")</f>
        <v>0.0456723716381418</v>
      </c>
      <c r="I63" s="76" t="n">
        <f aca="false">IFERROR(IF(OR(NOT(ISNUMBER('Price History'!I64)),NOT(ISNUMBER('Price History'!I63)),'Price History'!I63=0),"",'Price History'!I64/'Price History'!I63-1),"")</f>
        <v>0.0790906179955173</v>
      </c>
      <c r="J63" s="76" t="n">
        <f aca="false">IFERROR(IF(OR(NOT(ISNUMBER('Price History'!J64)),NOT(ISNUMBER('Price History'!J63)),'Price History'!J63=0),"",'Price History'!J64/'Price History'!J63-1),"")</f>
        <v>-0.0178075477863094</v>
      </c>
      <c r="K63" s="76" t="n">
        <f aca="false">IFERROR(IF(OR(NOT(ISNUMBER('Price History'!K64)),NOT(ISNUMBER('Price History'!K63)),'Price History'!K63=0),"",'Price History'!K64/'Price History'!K63-1),"")</f>
        <v>0.0874781304673831</v>
      </c>
      <c r="L63" s="76" t="n">
        <f aca="false">IFERROR(IF(OR(NOT(ISNUMBER('Price History'!L64)),NOT(ISNUMBER('Price History'!L63)),'Price History'!L63=0),"",'Price History'!L64/'Price History'!L63-1),"")</f>
        <v>0.0532678295429454</v>
      </c>
      <c r="M63" s="76" t="n">
        <f aca="false">IFERROR(IF(OR(NOT(ISNUMBER('Price History'!M64)),NOT(ISNUMBER('Price History'!M63)),'Price History'!M63=0),"",'Price History'!M64/'Price History'!M63-1),"")</f>
        <v>0.0631178707224334</v>
      </c>
      <c r="N63" s="76" t="n">
        <f aca="false">IFERROR(IF(OR(NOT(ISNUMBER('Price History'!N64)),NOT(ISNUMBER('Price History'!N63)),'Price History'!N63=0),"",'Price History'!N64/'Price History'!N63-1),"")</f>
        <v>0.0579824734796073</v>
      </c>
      <c r="O63" s="76" t="n">
        <f aca="false">IFERROR(IF(OR(NOT(ISNUMBER('Price History'!O64)),NOT(ISNUMBER('Price History'!O63)),'Price History'!O63=0),"",'Price History'!O64/'Price History'!O63-1),"")</f>
        <v>0.0118960659501199</v>
      </c>
      <c r="P63" s="76" t="str">
        <f aca="false">IFERROR(IF(OR(NOT(ISNUMBER('Price History'!P64)),NOT(ISNUMBER('Price History'!P63)),'Price History'!P63=0),"",'Price History'!P64/'Price History'!P63-1),"")</f>
        <v/>
      </c>
      <c r="Q63" s="76" t="n">
        <f aca="false">IFERROR(IF(OR(NOT(ISNUMBER('Price History'!Q64)),NOT(ISNUMBER('Price History'!Q63)),'Price History'!Q63=0),"",'Price History'!Q64/'Price History'!Q63-1),"")</f>
        <v>0.00606447494414297</v>
      </c>
      <c r="R63" s="76" t="n">
        <f aca="false">IFERROR(IF(OR(NOT(ISNUMBER('Price History'!R64)),NOT(ISNUMBER('Price History'!R63)),'Price History'!R63=0),"",'Price History'!R64/'Price History'!R63-1),"")</f>
        <v>0.00901232297222743</v>
      </c>
      <c r="S63" s="76" t="n">
        <f aca="false">IFERROR(IF(OR(NOT(ISNUMBER('Price History'!S64)),NOT(ISNUMBER('Price History'!S63)),'Price History'!S63=0),"",'Price History'!S64/'Price History'!S63-1),"")</f>
        <v>0.021594503217363</v>
      </c>
      <c r="T63" s="76" t="n">
        <f aca="false">IFERROR(IF(OR(NOT(ISNUMBER('Price History'!T64)),NOT(ISNUMBER('Price History'!T63)),'Price History'!T63=0),"",'Price History'!T64/'Price History'!T63-1),"")</f>
        <v>0.00354714750221707</v>
      </c>
      <c r="U63" s="76" t="str">
        <f aca="false">IFERROR(IF(OR(NOT(ISNUMBER('Price History'!U64)),NOT(ISNUMBER('Price History'!U63)),'Price History'!U63=0),"",'Price History'!U64/'Price History'!U63-1),"")</f>
        <v/>
      </c>
      <c r="W63" s="77" t="n">
        <f aca="false">'Price History'!B3+('Price History'!B158-'Price History'!B3)*0.38961038961039</f>
        <v>407.914935064935</v>
      </c>
      <c r="X63" s="77" t="n">
        <f aca="false">'Price History'!C3+('Price History'!C158-'Price History'!C3)*0.38961038961039</f>
        <v>96.9646753246754</v>
      </c>
      <c r="Y63" s="77" t="n">
        <f aca="false">'Price History'!D3+('Price History'!D158-'Price History'!D3)*0.38961038961039</f>
        <v>1038.61896103896</v>
      </c>
      <c r="Z63" s="77" t="n">
        <f aca="false">'Price History'!E3+('Price History'!E158-'Price History'!E3)*0.38961038961039</f>
        <v>202.317662337662</v>
      </c>
      <c r="AA63" s="77" t="n">
        <f aca="false">'Price History'!F3+('Price History'!F158-'Price History'!F3)*0.38961038961039</f>
        <v>96.982077922078</v>
      </c>
      <c r="AB63" s="77" t="n">
        <f aca="false">'Price History'!G3+('Price History'!G158-'Price History'!G3)*0.38961038961039</f>
        <v>100.466233766234</v>
      </c>
      <c r="AC63" s="77" t="n">
        <f aca="false">'Price History'!H3+('Price History'!H158-'Price History'!H3)*0.38961038961039</f>
        <v>359.951818181819</v>
      </c>
      <c r="AD63" s="77" t="n">
        <f aca="false">'Price History'!I3+('Price History'!I158-'Price History'!I3)*0.38961038961039</f>
        <v>103.148701298701</v>
      </c>
      <c r="AE63" s="77" t="n">
        <f aca="false">'Price History'!J3+('Price History'!J158-'Price History'!J3)*0.38961038961039</f>
        <v>131.730779220779</v>
      </c>
      <c r="AF63" s="77" t="n">
        <f aca="false">'Price History'!K3+('Price History'!K158-'Price History'!K3)*0.38961038961039</f>
        <v>57.3515584415585</v>
      </c>
      <c r="AG63" s="77" t="n">
        <f aca="false">'Price History'!L3+('Price History'!L158-'Price History'!L3)*0.38961038961039</f>
        <v>213.64974025974</v>
      </c>
      <c r="AH63" s="77" t="n">
        <f aca="false">'Price History'!M3+('Price History'!M158-'Price History'!M3)*0.38961038961039</f>
        <v>114.572337662338</v>
      </c>
      <c r="AI63" s="77" t="n">
        <f aca="false">'Price History'!N3+('Price History'!N158-'Price History'!N3)*0.38961038961039</f>
        <v>399.434025974026</v>
      </c>
      <c r="AJ63" s="77" t="n">
        <f aca="false">'Price History'!O3+('Price History'!O158-'Price History'!O3)*0.38961038961039</f>
        <v>99.3811688311689</v>
      </c>
      <c r="AK63" s="77" t="n">
        <f aca="false">'Price History'!Q3+('Price History'!Q151-'Price History'!Q3)*0.38961038961039</f>
        <v>57.0906493506494</v>
      </c>
      <c r="AL63" s="77" t="n">
        <f aca="false">'Price History'!R3+('Price History'!R158-'Price History'!R3)*0.38961038961039</f>
        <v>51.8836363636364</v>
      </c>
      <c r="AM63" s="77" t="n">
        <f aca="false">'Price History'!S3+('Price History'!S158-'Price History'!S3)*0.38961038961039</f>
        <v>91.7698701298702</v>
      </c>
      <c r="AN63" s="77" t="n">
        <f aca="false">'Price History'!T3+('Price History'!T158-'Price History'!T3)*0.38961038961039</f>
        <v>35.8048051948052</v>
      </c>
    </row>
    <row r="64" customFormat="false" ht="15" hidden="false" customHeight="true" outlineLevel="0" collapsed="false">
      <c r="A64" s="49" t="n">
        <f aca="false">IF('Price History'!A65="","",'Price History'!A65)</f>
        <v>45583</v>
      </c>
      <c r="B64" s="76" t="n">
        <f aca="false">IFERROR(IF(OR(NOT(ISNUMBER('Price History'!B65)),NOT(ISNUMBER('Price History'!B64)),'Price History'!B64=0),"",'Price History'!B65/'Price History'!B64-1),"")</f>
        <v>-0.0010496144685318</v>
      </c>
      <c r="C64" s="76" t="n">
        <f aca="false">IFERROR(IF(OR(NOT(ISNUMBER('Price History'!C65)),NOT(ISNUMBER('Price History'!C64)),'Price History'!C64=0),"",'Price History'!C65/'Price History'!C64-1),"")</f>
        <v>-0.0357862419648853</v>
      </c>
      <c r="D64" s="76" t="n">
        <f aca="false">IFERROR(IF(OR(NOT(ISNUMBER('Price History'!D65)),NOT(ISNUMBER('Price History'!D64)),'Price History'!D64=0),"",'Price History'!D65/'Price History'!D64-1),"")</f>
        <v>-0.139682879539426</v>
      </c>
      <c r="E64" s="76" t="n">
        <f aca="false">IFERROR(IF(OR(NOT(ISNUMBER('Price History'!E65)),NOT(ISNUMBER('Price History'!E64)),'Price History'!E64=0),"",'Price History'!E65/'Price History'!E64-1),"")</f>
        <v>-0.00876129601057973</v>
      </c>
      <c r="F64" s="76" t="n">
        <f aca="false">IFERROR(IF(OR(NOT(ISNUMBER('Price History'!F65)),NOT(ISNUMBER('Price History'!F64)),'Price History'!F64=0),"",'Price History'!F65/'Price History'!F64-1),"")</f>
        <v>-0.0313554028732042</v>
      </c>
      <c r="G64" s="76" t="n">
        <f aca="false">IFERROR(IF(OR(NOT(ISNUMBER('Price History'!G65)),NOT(ISNUMBER('Price History'!G64)),'Price History'!G64=0),"",'Price History'!G65/'Price History'!G64-1),"")</f>
        <v>-0.155779519721289</v>
      </c>
      <c r="H64" s="76" t="n">
        <f aca="false">IFERROR(IF(OR(NOT(ISNUMBER('Price History'!H65)),NOT(ISNUMBER('Price History'!H64)),'Price History'!H64=0),"",'Price History'!H65/'Price History'!H64-1),"")</f>
        <v>0.0395622895622896</v>
      </c>
      <c r="I64" s="76" t="n">
        <f aca="false">IFERROR(IF(OR(NOT(ISNUMBER('Price History'!I65)),NOT(ISNUMBER('Price History'!I64)),'Price History'!I64=0),"",'Price History'!I65/'Price History'!I64-1),"")</f>
        <v>0.0237388724035608</v>
      </c>
      <c r="J64" s="76" t="n">
        <f aca="false">IFERROR(IF(OR(NOT(ISNUMBER('Price History'!J65)),NOT(ISNUMBER('Price History'!J64)),'Price History'!J64=0),"",'Price History'!J65/'Price History'!J64-1),"")</f>
        <v>0.0187957418496341</v>
      </c>
      <c r="K64" s="76" t="n">
        <f aca="false">IFERROR(IF(OR(NOT(ISNUMBER('Price History'!K65)),NOT(ISNUMBER('Price History'!K64)),'Price History'!K64=0),"",'Price History'!K65/'Price History'!K64-1),"")</f>
        <v>-0.01241094001379</v>
      </c>
      <c r="L64" s="76" t="n">
        <f aca="false">IFERROR(IF(OR(NOT(ISNUMBER('Price History'!L65)),NOT(ISNUMBER('Price History'!L64)),'Price History'!L64=0),"",'Price History'!L65/'Price History'!L64-1),"")</f>
        <v>0.052250930244746</v>
      </c>
      <c r="M64" s="76" t="n">
        <f aca="false">IFERROR(IF(OR(NOT(ISNUMBER('Price History'!M65)),NOT(ISNUMBER('Price History'!M64)),'Price History'!M64=0),"",'Price History'!M65/'Price History'!M64-1),"")</f>
        <v>0.00366595135908443</v>
      </c>
      <c r="N64" s="76" t="n">
        <f aca="false">IFERROR(IF(OR(NOT(ISNUMBER('Price History'!N65)),NOT(ISNUMBER('Price History'!N64)),'Price History'!N64=0),"",'Price History'!N65/'Price History'!N64-1),"")</f>
        <v>0.0026779597683253</v>
      </c>
      <c r="O64" s="76" t="n">
        <f aca="false">IFERROR(IF(OR(NOT(ISNUMBER('Price History'!O65)),NOT(ISNUMBER('Price History'!O64)),'Price History'!O64=0),"",'Price History'!O65/'Price History'!O64-1),"")</f>
        <v>0.0125812106837166</v>
      </c>
      <c r="P64" s="76" t="str">
        <f aca="false">IFERROR(IF(OR(NOT(ISNUMBER('Price History'!P65)),NOT(ISNUMBER('Price History'!P64)),'Price History'!P64=0),"",'Price History'!P65/'Price History'!P64-1),"")</f>
        <v/>
      </c>
      <c r="Q64" s="76" t="n">
        <f aca="false">IFERROR(IF(OR(NOT(ISNUMBER('Price History'!Q65)),NOT(ISNUMBER('Price History'!Q64)),'Price History'!Q64=0),"",'Price History'!Q65/'Price History'!Q64-1),"")</f>
        <v>0.00380710659898487</v>
      </c>
      <c r="R64" s="76" t="n">
        <f aca="false">IFERROR(IF(OR(NOT(ISNUMBER('Price History'!R65)),NOT(ISNUMBER('Price History'!R64)),'Price History'!R64=0),"",'Price History'!R65/'Price History'!R64-1),"")</f>
        <v>0.00747356908494345</v>
      </c>
      <c r="S64" s="76" t="n">
        <f aca="false">IFERROR(IF(OR(NOT(ISNUMBER('Price History'!S65)),NOT(ISNUMBER('Price History'!S64)),'Price History'!S64=0),"",'Price History'!S65/'Price History'!S64-1),"")</f>
        <v>0.00427031066510075</v>
      </c>
      <c r="T64" s="76" t="n">
        <f aca="false">IFERROR(IF(OR(NOT(ISNUMBER('Price History'!T65)),NOT(ISNUMBER('Price History'!T64)),'Price History'!T64=0),"",'Price History'!T65/'Price History'!T64-1),"")</f>
        <v>-0.00471281296023574</v>
      </c>
      <c r="U64" s="76" t="str">
        <f aca="false">IFERROR(IF(OR(NOT(ISNUMBER('Price History'!U65)),NOT(ISNUMBER('Price History'!U64)),'Price History'!U64=0),"",'Price History'!U65/'Price History'!U64-1),"")</f>
        <v/>
      </c>
      <c r="W64" s="77" t="n">
        <f aca="false">'Price History'!B3+('Price History'!B158-'Price History'!B3)*0.396103896103896</f>
        <v>406.239350649351</v>
      </c>
      <c r="X64" s="77" t="n">
        <f aca="false">'Price History'!C3+('Price History'!C158-'Price History'!C3)*0.396103896103896</f>
        <v>97.8517532467532</v>
      </c>
      <c r="Y64" s="77" t="n">
        <f aca="false">'Price History'!D3+('Price History'!D158-'Price History'!D3)*0.396103896103896</f>
        <v>1044.89961038961</v>
      </c>
      <c r="Z64" s="77" t="n">
        <f aca="false">'Price History'!E3+('Price History'!E158-'Price History'!E3)*0.396103896103896</f>
        <v>204.306623376623</v>
      </c>
      <c r="AA64" s="77" t="n">
        <f aca="false">'Price History'!F3+('Price History'!F158-'Price History'!F3)*0.396103896103896</f>
        <v>97.9807792207792</v>
      </c>
      <c r="AB64" s="77" t="n">
        <f aca="false">'Price History'!G3+('Price History'!G158-'Price History'!G3)*0.396103896103896</f>
        <v>101.342337662338</v>
      </c>
      <c r="AC64" s="77" t="n">
        <f aca="false">'Price History'!H3+('Price History'!H158-'Price History'!H3)*0.396103896103896</f>
        <v>364.878181818182</v>
      </c>
      <c r="AD64" s="77" t="n">
        <f aca="false">'Price History'!I3+('Price History'!I158-'Price History'!I3)*0.396103896103896</f>
        <v>104.187012987013</v>
      </c>
      <c r="AE64" s="77" t="n">
        <f aca="false">'Price History'!J3+('Price History'!J158-'Price History'!J3)*0.396103896103896</f>
        <v>131.867792207792</v>
      </c>
      <c r="AF64" s="77" t="n">
        <f aca="false">'Price History'!K3+('Price History'!K158-'Price History'!K3)*0.396103896103896</f>
        <v>58.0505844155844</v>
      </c>
      <c r="AG64" s="77" t="n">
        <f aca="false">'Price History'!L3+('Price History'!L158-'Price History'!L3)*0.396103896103896</f>
        <v>215.677402597403</v>
      </c>
      <c r="AH64" s="77" t="n">
        <f aca="false">'Price History'!M3+('Price History'!M158-'Price History'!M3)*0.396103896103896</f>
        <v>115.923376623377</v>
      </c>
      <c r="AI64" s="77" t="n">
        <f aca="false">'Price History'!N3+('Price History'!N158-'Price History'!N3)*0.396103896103896</f>
        <v>400.26025974026</v>
      </c>
      <c r="AJ64" s="77" t="n">
        <f aca="false">'Price History'!O3+('Price History'!O158-'Price History'!O3)*0.396103896103896</f>
        <v>99.6566883116883</v>
      </c>
      <c r="AK64" s="77" t="n">
        <f aca="false">'Price History'!Q3+('Price History'!Q151-'Price History'!Q3)*0.396103896103896</f>
        <v>57.2114935064935</v>
      </c>
      <c r="AL64" s="77" t="n">
        <f aca="false">'Price History'!R3+('Price History'!R158-'Price History'!R3)*0.396103896103896</f>
        <v>51.9513636363636</v>
      </c>
      <c r="AM64" s="77" t="n">
        <f aca="false">'Price History'!S3+('Price History'!S158-'Price History'!S3)*0.396103896103896</f>
        <v>92.3237012987013</v>
      </c>
      <c r="AN64" s="77" t="n">
        <f aca="false">'Price History'!T3+('Price History'!T158-'Price History'!T3)*0.396103896103896</f>
        <v>35.953051948052</v>
      </c>
    </row>
    <row r="65" customFormat="false" ht="15" hidden="false" customHeight="true" outlineLevel="0" collapsed="false">
      <c r="A65" s="49" t="n">
        <f aca="false">IF('Price History'!A66="","",'Price History'!A66)</f>
        <v>45590</v>
      </c>
      <c r="B65" s="76" t="n">
        <f aca="false">IFERROR(IF(OR(NOT(ISNUMBER('Price History'!B66)),NOT(ISNUMBER('Price History'!B65)),'Price History'!B65=0),"",'Price History'!B66/'Price History'!B65-1),"")</f>
        <v>-0.0225904223075368</v>
      </c>
      <c r="C65" s="76" t="n">
        <f aca="false">IFERROR(IF(OR(NOT(ISNUMBER('Price History'!C66)),NOT(ISNUMBER('Price History'!C65)),'Price History'!C65=0),"",'Price History'!C66/'Price History'!C65-1),"")</f>
        <v>-0.0197014925373135</v>
      </c>
      <c r="D65" s="76" t="n">
        <f aca="false">IFERROR(IF(OR(NOT(ISNUMBER('Price History'!D66)),NOT(ISNUMBER('Price History'!D65)),'Price History'!D65=0),"",'Price History'!D66/'Price History'!D65-1),"")</f>
        <v>-0.0159831872355722</v>
      </c>
      <c r="E65" s="76" t="n">
        <f aca="false">IFERROR(IF(OR(NOT(ISNUMBER('Price History'!E66)),NOT(ISNUMBER('Price History'!E65)),'Price History'!E65=0),"",'Price History'!E66/'Price History'!E65-1),"")</f>
        <v>-0.0383011840569236</v>
      </c>
      <c r="F65" s="76" t="n">
        <f aca="false">IFERROR(IF(OR(NOT(ISNUMBER('Price History'!F66)),NOT(ISNUMBER('Price History'!F65)),'Price History'!F65=0),"",'Price History'!F66/'Price History'!F65-1),"")</f>
        <v>-0.0306938354397731</v>
      </c>
      <c r="G65" s="76" t="n">
        <f aca="false">IFERROR(IF(OR(NOT(ISNUMBER('Price History'!G66)),NOT(ISNUMBER('Price History'!G65)),'Price History'!G65=0),"",'Price History'!G66/'Price History'!G65-1),"")</f>
        <v>-0.0079587324981576</v>
      </c>
      <c r="H65" s="76" t="n">
        <f aca="false">IFERROR(IF(OR(NOT(ISNUMBER('Price History'!H66)),NOT(ISNUMBER('Price History'!H65)),'Price History'!H65=0),"",'Price History'!H66/'Price History'!H65-1),"")</f>
        <v>-0.0291497975708502</v>
      </c>
      <c r="I65" s="76" t="n">
        <f aca="false">IFERROR(IF(OR(NOT(ISNUMBER('Price History'!I66)),NOT(ISNUMBER('Price History'!I65)),'Price History'!I65=0),"",'Price History'!I66/'Price History'!I65-1),"")</f>
        <v>0.0256521739130435</v>
      </c>
      <c r="J65" s="76" t="n">
        <f aca="false">IFERROR(IF(OR(NOT(ISNUMBER('Price History'!J66)),NOT(ISNUMBER('Price History'!J65)),'Price History'!J65=0),"",'Price History'!J66/'Price History'!J65-1),"")</f>
        <v>-0.0404897959183673</v>
      </c>
      <c r="K65" s="76" t="n">
        <f aca="false">IFERROR(IF(OR(NOT(ISNUMBER('Price History'!K66)),NOT(ISNUMBER('Price History'!K65)),'Price History'!K65=0),"",'Price History'!K66/'Price History'!K65-1),"")</f>
        <v>0.0439841750058181</v>
      </c>
      <c r="L65" s="76" t="n">
        <f aca="false">IFERROR(IF(OR(NOT(ISNUMBER('Price History'!L66)),NOT(ISNUMBER('Price History'!L65)),'Price History'!L65=0),"",'Price History'!L66/'Price History'!L65-1),"")</f>
        <v>0.0132483315071221</v>
      </c>
      <c r="M65" s="76" t="n">
        <f aca="false">IFERROR(IF(OR(NOT(ISNUMBER('Price History'!M66)),NOT(ISNUMBER('Price History'!M65)),'Price History'!M65=0),"",'Price History'!M66/'Price History'!M65-1),"")</f>
        <v>-0.000712694877505582</v>
      </c>
      <c r="N65" s="76" t="n">
        <f aca="false">IFERROR(IF(OR(NOT(ISNUMBER('Price History'!N66)),NOT(ISNUMBER('Price History'!N65)),'Price History'!N65=0),"",'Price History'!N66/'Price History'!N65-1),"")</f>
        <v>-0.0109730848861284</v>
      </c>
      <c r="O65" s="76" t="n">
        <f aca="false">IFERROR(IF(OR(NOT(ISNUMBER('Price History'!O66)),NOT(ISNUMBER('Price History'!O65)),'Price History'!O65=0),"",'Price History'!O66/'Price History'!O65-1),"")</f>
        <v>-0.0333027803238619</v>
      </c>
      <c r="P65" s="76" t="str">
        <f aca="false">IFERROR(IF(OR(NOT(ISNUMBER('Price History'!P66)),NOT(ISNUMBER('Price History'!P65)),'Price History'!P65=0),"",'Price History'!P66/'Price History'!P65-1),"")</f>
        <v/>
      </c>
      <c r="Q65" s="76" t="n">
        <f aca="false">IFERROR(IF(OR(NOT(ISNUMBER('Price History'!Q66)),NOT(ISNUMBER('Price History'!Q65)),'Price History'!Q65=0),"",'Price History'!Q66/'Price History'!Q65-1),"")</f>
        <v>-0.00173830594184576</v>
      </c>
      <c r="R65" s="76" t="n">
        <f aca="false">IFERROR(IF(OR(NOT(ISNUMBER('Price History'!R66)),NOT(ISNUMBER('Price History'!R65)),'Price History'!R65=0),"",'Price History'!R66/'Price History'!R65-1),"")</f>
        <v>0.0023520897412701</v>
      </c>
      <c r="S65" s="76" t="n">
        <f aca="false">IFERROR(IF(OR(NOT(ISNUMBER('Price History'!S66)),NOT(ISNUMBER('Price History'!S65)),'Price History'!S65=0),"",'Price History'!S66/'Price History'!S65-1),"")</f>
        <v>-0.0146699266503667</v>
      </c>
      <c r="T65" s="76" t="n">
        <f aca="false">IFERROR(IF(OR(NOT(ISNUMBER('Price History'!T66)),NOT(ISNUMBER('Price History'!T65)),'Price History'!T65=0),"",'Price History'!T66/'Price History'!T65-1),"")</f>
        <v>-0.0192364604912696</v>
      </c>
      <c r="U65" s="76" t="str">
        <f aca="false">IFERROR(IF(OR(NOT(ISNUMBER('Price History'!U66)),NOT(ISNUMBER('Price History'!U65)),'Price History'!U65=0),"",'Price History'!U66/'Price History'!U65-1),"")</f>
        <v/>
      </c>
      <c r="W65" s="77" t="n">
        <f aca="false">'Price History'!B3+('Price History'!B158-'Price History'!B3)*0.402597402597403</f>
        <v>404.563766233766</v>
      </c>
      <c r="X65" s="77" t="n">
        <f aca="false">'Price History'!C3+('Price History'!C158-'Price History'!C3)*0.402597402597403</f>
        <v>98.7388311688312</v>
      </c>
      <c r="Y65" s="77" t="n">
        <f aca="false">'Price History'!D3+('Price History'!D158-'Price History'!D3)*0.402597402597403</f>
        <v>1051.18025974026</v>
      </c>
      <c r="Z65" s="77" t="n">
        <f aca="false">'Price History'!E3+('Price History'!E158-'Price History'!E3)*0.402597402597403</f>
        <v>206.295584415585</v>
      </c>
      <c r="AA65" s="77" t="n">
        <f aca="false">'Price History'!F3+('Price History'!F158-'Price History'!F3)*0.402597402597403</f>
        <v>98.9794805194806</v>
      </c>
      <c r="AB65" s="77" t="n">
        <f aca="false">'Price History'!G3+('Price History'!G158-'Price History'!G3)*0.402597402597403</f>
        <v>102.218441558442</v>
      </c>
      <c r="AC65" s="77" t="n">
        <f aca="false">'Price History'!H3+('Price History'!H158-'Price History'!H3)*0.402597402597403</f>
        <v>369.804545454546</v>
      </c>
      <c r="AD65" s="77" t="n">
        <f aca="false">'Price History'!I3+('Price History'!I158-'Price History'!I3)*0.402597402597403</f>
        <v>105.225324675325</v>
      </c>
      <c r="AE65" s="77" t="n">
        <f aca="false">'Price History'!J3+('Price History'!J158-'Price History'!J3)*0.402597402597403</f>
        <v>132.004805194805</v>
      </c>
      <c r="AF65" s="77" t="n">
        <f aca="false">'Price History'!K3+('Price History'!K158-'Price History'!K3)*0.402597402597403</f>
        <v>58.7496103896104</v>
      </c>
      <c r="AG65" s="77" t="n">
        <f aca="false">'Price History'!L3+('Price History'!L158-'Price History'!L3)*0.402597402597403</f>
        <v>217.705064935065</v>
      </c>
      <c r="AH65" s="77" t="n">
        <f aca="false">'Price History'!M3+('Price History'!M158-'Price History'!M3)*0.402597402597403</f>
        <v>117.274415584416</v>
      </c>
      <c r="AI65" s="77" t="n">
        <f aca="false">'Price History'!N3+('Price History'!N158-'Price History'!N3)*0.402597402597403</f>
        <v>401.086493506494</v>
      </c>
      <c r="AJ65" s="77" t="n">
        <f aca="false">'Price History'!O3+('Price History'!O158-'Price History'!O3)*0.402597402597403</f>
        <v>99.9322077922078</v>
      </c>
      <c r="AK65" s="77" t="n">
        <f aca="false">'Price History'!Q3+('Price History'!Q151-'Price History'!Q3)*0.402597402597403</f>
        <v>57.3323376623377</v>
      </c>
      <c r="AL65" s="77" t="n">
        <f aca="false">'Price History'!R3+('Price History'!R158-'Price History'!R3)*0.402597402597403</f>
        <v>52.0190909090909</v>
      </c>
      <c r="AM65" s="77" t="n">
        <f aca="false">'Price History'!S3+('Price History'!S158-'Price History'!S3)*0.402597402597403</f>
        <v>92.8775324675325</v>
      </c>
      <c r="AN65" s="77" t="n">
        <f aca="false">'Price History'!T3+('Price History'!T158-'Price History'!T3)*0.402597402597403</f>
        <v>36.1012987012987</v>
      </c>
    </row>
    <row r="66" customFormat="false" ht="15" hidden="false" customHeight="true" outlineLevel="0" collapsed="false">
      <c r="A66" s="49" t="n">
        <f aca="false">IF('Price History'!A67="","",'Price History'!A67)</f>
        <v>45597</v>
      </c>
      <c r="B66" s="76" t="n">
        <f aca="false">IFERROR(IF(OR(NOT(ISNUMBER('Price History'!B67)),NOT(ISNUMBER('Price History'!B66)),'Price History'!B66=0),"",'Price History'!B67/'Price History'!B66-1),"")</f>
        <v>-0.00190192673447454</v>
      </c>
      <c r="C66" s="76" t="n">
        <f aca="false">IFERROR(IF(OR(NOT(ISNUMBER('Price History'!C67)),NOT(ISNUMBER('Price History'!C66)),'Price History'!C66=0),"",'Price History'!C67/'Price History'!C66-1),"")</f>
        <v>0.000203004466098333</v>
      </c>
      <c r="D66" s="76" t="n">
        <f aca="false">IFERROR(IF(OR(NOT(ISNUMBER('Price History'!D67)),NOT(ISNUMBER('Price History'!D66)),'Price History'!D66=0),"",'Price History'!D67/'Price History'!D66-1),"")</f>
        <v>-0.051946044681748</v>
      </c>
      <c r="E66" s="76" t="n">
        <f aca="false">IFERROR(IF(OR(NOT(ISNUMBER('Price History'!E67)),NOT(ISNUMBER('Price History'!E66)),'Price History'!E66=0),"",'Price History'!E67/'Price History'!E66-1),"")</f>
        <v>-0.0235838150289018</v>
      </c>
      <c r="F66" s="76" t="n">
        <f aca="false">IFERROR(IF(OR(NOT(ISNUMBER('Price History'!F67)),NOT(ISNUMBER('Price History'!F66)),'Price History'!F66=0),"",'Price History'!F67/'Price History'!F66-1),"")</f>
        <v>0.00824906865353925</v>
      </c>
      <c r="G66" s="76" t="n">
        <f aca="false">IFERROR(IF(OR(NOT(ISNUMBER('Price History'!G67)),NOT(ISNUMBER('Price History'!G66)),'Price History'!G66=0),"",'Price History'!G67/'Price History'!G66-1),"")</f>
        <v>-0.00549695439013531</v>
      </c>
      <c r="H66" s="76" t="n">
        <f aca="false">IFERROR(IF(OR(NOT(ISNUMBER('Price History'!H67)),NOT(ISNUMBER('Price History'!H66)),'Price History'!H66=0),"",'Price History'!H67/'Price History'!H66-1),"")</f>
        <v>-0.0758039106662959</v>
      </c>
      <c r="I66" s="76" t="n">
        <f aca="false">IFERROR(IF(OR(NOT(ISNUMBER('Price History'!I67)),NOT(ISNUMBER('Price History'!I66)),'Price History'!I66=0),"",'Price History'!I67/'Price History'!I66-1),"")</f>
        <v>-0.0433799632612688</v>
      </c>
      <c r="J66" s="76" t="n">
        <f aca="false">IFERROR(IF(OR(NOT(ISNUMBER('Price History'!J67)),NOT(ISNUMBER('Price History'!J66)),'Price History'!J66=0),"",'Price History'!J67/'Price History'!J66-1),"")</f>
        <v>-0.0352220520673813</v>
      </c>
      <c r="K66" s="76" t="n">
        <f aca="false">IFERROR(IF(OR(NOT(ISNUMBER('Price History'!K67)),NOT(ISNUMBER('Price History'!K66)),'Price History'!K66=0),"",'Price History'!K67/'Price History'!K66-1),"")</f>
        <v>-0.0655372269282211</v>
      </c>
      <c r="L66" s="76" t="n">
        <f aca="false">IFERROR(IF(OR(NOT(ISNUMBER('Price History'!L67)),NOT(ISNUMBER('Price History'!L66)),'Price History'!L66=0),"",'Price History'!L67/'Price History'!L66-1),"")</f>
        <v>-0.0515631144317735</v>
      </c>
      <c r="M66" s="76" t="n">
        <f aca="false">IFERROR(IF(OR(NOT(ISNUMBER('Price History'!M67)),NOT(ISNUMBER('Price History'!M66)),'Price History'!M66=0),"",'Price History'!M67/'Price History'!M66-1),"")</f>
        <v>-0.0469822590710528</v>
      </c>
      <c r="N66" s="76" t="n">
        <f aca="false">IFERROR(IF(OR(NOT(ISNUMBER('Price History'!N67)),NOT(ISNUMBER('Price History'!N66)),'Price History'!N66=0),"",'Price History'!N67/'Price History'!N66-1),"")</f>
        <v>-0.0137743353569185</v>
      </c>
      <c r="O66" s="76" t="n">
        <f aca="false">IFERROR(IF(OR(NOT(ISNUMBER('Price History'!O67)),NOT(ISNUMBER('Price History'!O66)),'Price History'!O66=0),"",'Price History'!O67/'Price History'!O66-1),"")</f>
        <v>-0.00242309313105782</v>
      </c>
      <c r="P66" s="76" t="str">
        <f aca="false">IFERROR(IF(OR(NOT(ISNUMBER('Price History'!P67)),NOT(ISNUMBER('Price History'!P66)),'Price History'!P66=0),"",'Price History'!P67/'Price History'!P66-1),"")</f>
        <v/>
      </c>
      <c r="Q66" s="76" t="n">
        <f aca="false">IFERROR(IF(OR(NOT(ISNUMBER('Price History'!Q67)),NOT(ISNUMBER('Price History'!Q66)),'Price History'!Q66=0),"",'Price History'!Q67/'Price History'!Q66-1),"")</f>
        <v>-0.0123476333702707</v>
      </c>
      <c r="R66" s="76" t="n">
        <f aca="false">IFERROR(IF(OR(NOT(ISNUMBER('Price History'!R67)),NOT(ISNUMBER('Price History'!R66)),'Price History'!R66=0),"",'Price History'!R67/'Price History'!R66-1),"")</f>
        <v>-0.0173285198555957</v>
      </c>
      <c r="S66" s="76" t="n">
        <f aca="false">IFERROR(IF(OR(NOT(ISNUMBER('Price History'!S67)),NOT(ISNUMBER('Price History'!S66)),'Price History'!S66=0),"",'Price History'!S67/'Price History'!S66-1),"")</f>
        <v>-0.0137015859315999</v>
      </c>
      <c r="T66" s="76" t="n">
        <f aca="false">IFERROR(IF(OR(NOT(ISNUMBER('Price History'!T67)),NOT(ISNUMBER('Price History'!T66)),'Price History'!T66=0),"",'Price History'!T67/'Price History'!T66-1),"")</f>
        <v>0.000603500301749937</v>
      </c>
      <c r="U66" s="76" t="str">
        <f aca="false">IFERROR(IF(OR(NOT(ISNUMBER('Price History'!U67)),NOT(ISNUMBER('Price History'!U66)),'Price History'!U66=0),"",'Price History'!U67/'Price History'!U66-1),"")</f>
        <v/>
      </c>
      <c r="W66" s="77" t="n">
        <f aca="false">'Price History'!B3+('Price History'!B158-'Price History'!B3)*0.409090909090909</f>
        <v>402.888181818182</v>
      </c>
      <c r="X66" s="77" t="n">
        <f aca="false">'Price History'!C3+('Price History'!C158-'Price History'!C3)*0.409090909090909</f>
        <v>99.6259090909091</v>
      </c>
      <c r="Y66" s="77" t="n">
        <f aca="false">'Price History'!D3+('Price History'!D158-'Price History'!D3)*0.409090909090909</f>
        <v>1057.46090909091</v>
      </c>
      <c r="Z66" s="77" t="n">
        <f aca="false">'Price History'!E3+('Price History'!E158-'Price History'!E3)*0.409090909090909</f>
        <v>208.284545454545</v>
      </c>
      <c r="AA66" s="77" t="n">
        <f aca="false">'Price History'!F3+('Price History'!F158-'Price History'!F3)*0.409090909090909</f>
        <v>99.9781818181818</v>
      </c>
      <c r="AB66" s="77" t="n">
        <f aca="false">'Price History'!G3+('Price History'!G158-'Price History'!G3)*0.409090909090909</f>
        <v>103.094545454545</v>
      </c>
      <c r="AC66" s="77" t="n">
        <f aca="false">'Price History'!H3+('Price History'!H158-'Price History'!H3)*0.409090909090909</f>
        <v>374.730909090909</v>
      </c>
      <c r="AD66" s="77" t="n">
        <f aca="false">'Price History'!I3+('Price History'!I158-'Price History'!I3)*0.409090909090909</f>
        <v>106.263636363636</v>
      </c>
      <c r="AE66" s="77" t="n">
        <f aca="false">'Price History'!J3+('Price History'!J158-'Price History'!J3)*0.409090909090909</f>
        <v>132.141818181818</v>
      </c>
      <c r="AF66" s="77" t="n">
        <f aca="false">'Price History'!K3+('Price History'!K158-'Price History'!K3)*0.409090909090909</f>
        <v>59.4486363636364</v>
      </c>
      <c r="AG66" s="77" t="n">
        <f aca="false">'Price History'!L3+('Price History'!L158-'Price History'!L3)*0.409090909090909</f>
        <v>219.732727272727</v>
      </c>
      <c r="AH66" s="77" t="n">
        <f aca="false">'Price History'!M3+('Price History'!M158-'Price History'!M3)*0.409090909090909</f>
        <v>118.625454545455</v>
      </c>
      <c r="AI66" s="77" t="n">
        <f aca="false">'Price History'!N3+('Price History'!N158-'Price History'!N3)*0.409090909090909</f>
        <v>401.912727272727</v>
      </c>
      <c r="AJ66" s="77" t="n">
        <f aca="false">'Price History'!O3+('Price History'!O158-'Price History'!O3)*0.409090909090909</f>
        <v>100.207727272727</v>
      </c>
      <c r="AK66" s="77" t="n">
        <f aca="false">'Price History'!Q3+('Price History'!Q151-'Price History'!Q3)*0.409090909090909</f>
        <v>57.4531818181818</v>
      </c>
      <c r="AL66" s="77" t="n">
        <f aca="false">'Price History'!R3+('Price History'!R158-'Price History'!R3)*0.409090909090909</f>
        <v>52.0868181818182</v>
      </c>
      <c r="AM66" s="77" t="n">
        <f aca="false">'Price History'!S3+('Price History'!S158-'Price History'!S3)*0.409090909090909</f>
        <v>93.4313636363636</v>
      </c>
      <c r="AN66" s="77" t="n">
        <f aca="false">'Price History'!T3+('Price History'!T158-'Price History'!T3)*0.409090909090909</f>
        <v>36.2495454545455</v>
      </c>
    </row>
    <row r="67" customFormat="false" ht="15" hidden="false" customHeight="true" outlineLevel="0" collapsed="false">
      <c r="A67" s="49" t="n">
        <f aca="false">IF('Price History'!A68="","",'Price History'!A68)</f>
        <v>45604</v>
      </c>
      <c r="B67" s="76" t="n">
        <f aca="false">IFERROR(IF(OR(NOT(ISNUMBER('Price History'!B68)),NOT(ISNUMBER('Price History'!B67)),'Price History'!B67=0),"",'Price History'!B68/'Price History'!B67-1),"")</f>
        <v>0.0246064623032312</v>
      </c>
      <c r="C67" s="76" t="n">
        <f aca="false">IFERROR(IF(OR(NOT(ISNUMBER('Price History'!C68)),NOT(ISNUMBER('Price History'!C67)),'Price History'!C67=0),"",'Price History'!C68/'Price History'!C67-1),"")</f>
        <v>0.0159326161964684</v>
      </c>
      <c r="D67" s="76" t="n">
        <f aca="false">IFERROR(IF(OR(NOT(ISNUMBER('Price History'!D68)),NOT(ISNUMBER('Price History'!D67)),'Price History'!D67=0),"",'Price History'!D68/'Price History'!D67-1),"")</f>
        <v>-0.00779571087694331</v>
      </c>
      <c r="E67" s="76" t="n">
        <f aca="false">IFERROR(IF(OR(NOT(ISNUMBER('Price History'!E68)),NOT(ISNUMBER('Price History'!E67)),'Price History'!E67=0),"",'Price History'!E68/'Price History'!E67-1),"")</f>
        <v>0.0871418422922092</v>
      </c>
      <c r="F67" s="76" t="n">
        <f aca="false">IFERROR(IF(OR(NOT(ISNUMBER('Price History'!F68)),NOT(ISNUMBER('Price History'!F67)),'Price History'!F67=0),"",'Price History'!F68/'Price History'!F67-1),"")</f>
        <v>0.0888097123251519</v>
      </c>
      <c r="G67" s="76" t="n">
        <f aca="false">IFERROR(IF(OR(NOT(ISNUMBER('Price History'!G68)),NOT(ISNUMBER('Price History'!G67)),'Price History'!G67=0),"",'Price History'!G68/'Price History'!G67-1),"")</f>
        <v>0.0268897520167313</v>
      </c>
      <c r="H67" s="76" t="n">
        <f aca="false">IFERROR(IF(OR(NOT(ISNUMBER('Price History'!H68)),NOT(ISNUMBER('Price History'!H67)),'Price History'!H67=0),"",'Price History'!H68/'Price History'!H67-1),"")</f>
        <v>0.122029479594906</v>
      </c>
      <c r="I67" s="76" t="n">
        <f aca="false">IFERROR(IF(OR(NOT(ISNUMBER('Price History'!I68)),NOT(ISNUMBER('Price History'!I67)),'Price History'!I67=0),"",'Price History'!I68/'Price History'!I67-1),"")</f>
        <v>0.0903249630723781</v>
      </c>
      <c r="J67" s="76" t="n">
        <f aca="false">IFERROR(IF(OR(NOT(ISNUMBER('Price History'!J68)),NOT(ISNUMBER('Price History'!J67)),'Price History'!J67=0),"",'Price History'!J68/'Price History'!J67-1),"")</f>
        <v>0.0214285714285714</v>
      </c>
      <c r="K67" s="76" t="n">
        <f aca="false">IFERROR(IF(OR(NOT(ISNUMBER('Price History'!K68)),NOT(ISNUMBER('Price History'!K67)),'Price History'!K67=0),"",'Price History'!K68/'Price History'!K67-1),"")</f>
        <v>0.392891221374046</v>
      </c>
      <c r="L67" s="76" t="n">
        <f aca="false">IFERROR(IF(OR(NOT(ISNUMBER('Price History'!L68)),NOT(ISNUMBER('Price History'!L67)),'Price History'!L67=0),"",'Price History'!L68/'Price History'!L67-1),"")</f>
        <v>0.0427571909821198</v>
      </c>
      <c r="M67" s="76" t="n">
        <f aca="false">IFERROR(IF(OR(NOT(ISNUMBER('Price History'!M68)),NOT(ISNUMBER('Price History'!M67)),'Price History'!M67=0),"",'Price History'!M68/'Price History'!M67-1),"")</f>
        <v>0.176333021515435</v>
      </c>
      <c r="N67" s="76" t="n">
        <f aca="false">IFERROR(IF(OR(NOT(ISNUMBER('Price History'!N68)),NOT(ISNUMBER('Price History'!N67)),'Price History'!N67=0),"",'Price History'!N68/'Price History'!N67-1),"")</f>
        <v>0.0968330786211582</v>
      </c>
      <c r="O67" s="76" t="n">
        <f aca="false">IFERROR(IF(OR(NOT(ISNUMBER('Price History'!O68)),NOT(ISNUMBER('Price History'!O67)),'Price History'!O67=0),"",'Price History'!O68/'Price History'!O67-1),"")</f>
        <v>0.0886049213222093</v>
      </c>
      <c r="P67" s="76" t="str">
        <f aca="false">IFERROR(IF(OR(NOT(ISNUMBER('Price History'!P68)),NOT(ISNUMBER('Price History'!P67)),'Price History'!P67=0),"",'Price History'!P68/'Price History'!P67-1),"")</f>
        <v/>
      </c>
      <c r="Q67" s="76" t="n">
        <f aca="false">IFERROR(IF(OR(NOT(ISNUMBER('Price History'!Q68)),NOT(ISNUMBER('Price History'!Q67)),'Price History'!Q67=0),"",'Price History'!Q68/'Price History'!Q67-1),"")</f>
        <v>0.00416733450873541</v>
      </c>
      <c r="R67" s="76" t="n">
        <f aca="false">IFERROR(IF(OR(NOT(ISNUMBER('Price History'!R68)),NOT(ISNUMBER('Price History'!R67)),'Price History'!R67=0),"",'Price History'!R68/'Price History'!R67-1),"")</f>
        <v>0.038574577516532</v>
      </c>
      <c r="S67" s="76" t="n">
        <f aca="false">IFERROR(IF(OR(NOT(ISNUMBER('Price History'!S68)),NOT(ISNUMBER('Price History'!S67)),'Price History'!S67=0),"",'Price History'!S68/'Price History'!S67-1),"")</f>
        <v>0.0598337344126012</v>
      </c>
      <c r="T67" s="76" t="n">
        <f aca="false">IFERROR(IF(OR(NOT(ISNUMBER('Price History'!T68)),NOT(ISNUMBER('Price History'!T67)),'Price History'!T67=0),"",'Price History'!T68/'Price History'!T67-1),"")</f>
        <v>0.0775030156815439</v>
      </c>
      <c r="U67" s="76" t="str">
        <f aca="false">IFERROR(IF(OR(NOT(ISNUMBER('Price History'!U68)),NOT(ISNUMBER('Price History'!U67)),'Price History'!U67=0),"",'Price History'!U68/'Price History'!U67-1),"")</f>
        <v/>
      </c>
      <c r="W67" s="77" t="n">
        <f aca="false">'Price History'!B3+('Price History'!B158-'Price History'!B3)*0.415584415584416</f>
        <v>401.212597402597</v>
      </c>
      <c r="X67" s="77" t="n">
        <f aca="false">'Price History'!C3+('Price History'!C158-'Price History'!C3)*0.415584415584416</f>
        <v>100.512987012987</v>
      </c>
      <c r="Y67" s="77" t="n">
        <f aca="false">'Price History'!D3+('Price History'!D158-'Price History'!D3)*0.415584415584416</f>
        <v>1063.74155844156</v>
      </c>
      <c r="Z67" s="77" t="n">
        <f aca="false">'Price History'!E3+('Price History'!E158-'Price History'!E3)*0.415584415584416</f>
        <v>210.273506493507</v>
      </c>
      <c r="AA67" s="77" t="n">
        <f aca="false">'Price History'!F3+('Price History'!F158-'Price History'!F3)*0.415584415584416</f>
        <v>100.976883116883</v>
      </c>
      <c r="AB67" s="77" t="n">
        <f aca="false">'Price History'!G3+('Price History'!G158-'Price History'!G3)*0.415584415584416</f>
        <v>103.970649350649</v>
      </c>
      <c r="AC67" s="77" t="n">
        <f aca="false">'Price History'!H3+('Price History'!H158-'Price History'!H3)*0.415584415584416</f>
        <v>379.657272727273</v>
      </c>
      <c r="AD67" s="77" t="n">
        <f aca="false">'Price History'!I3+('Price History'!I158-'Price History'!I3)*0.415584415584416</f>
        <v>107.301948051948</v>
      </c>
      <c r="AE67" s="77" t="n">
        <f aca="false">'Price History'!J3+('Price History'!J158-'Price History'!J3)*0.415584415584416</f>
        <v>132.278831168831</v>
      </c>
      <c r="AF67" s="77" t="n">
        <f aca="false">'Price History'!K3+('Price History'!K158-'Price History'!K3)*0.415584415584416</f>
        <v>60.1476623376624</v>
      </c>
      <c r="AG67" s="77" t="n">
        <f aca="false">'Price History'!L3+('Price History'!L158-'Price History'!L3)*0.415584415584416</f>
        <v>221.76038961039</v>
      </c>
      <c r="AH67" s="77" t="n">
        <f aca="false">'Price History'!M3+('Price History'!M158-'Price History'!M3)*0.415584415584416</f>
        <v>119.976493506494</v>
      </c>
      <c r="AI67" s="77" t="n">
        <f aca="false">'Price History'!N3+('Price History'!N158-'Price History'!N3)*0.415584415584416</f>
        <v>402.738961038961</v>
      </c>
      <c r="AJ67" s="77" t="n">
        <f aca="false">'Price History'!O3+('Price History'!O158-'Price History'!O3)*0.415584415584416</f>
        <v>100.483246753247</v>
      </c>
      <c r="AK67" s="77" t="n">
        <f aca="false">'Price History'!Q3+('Price History'!Q151-'Price History'!Q3)*0.415584415584416</f>
        <v>57.574025974026</v>
      </c>
      <c r="AL67" s="77" t="n">
        <f aca="false">'Price History'!R3+('Price History'!R158-'Price History'!R3)*0.415584415584416</f>
        <v>52.1545454545455</v>
      </c>
      <c r="AM67" s="77" t="n">
        <f aca="false">'Price History'!S3+('Price History'!S158-'Price History'!S3)*0.415584415584416</f>
        <v>93.9851948051949</v>
      </c>
      <c r="AN67" s="77" t="n">
        <f aca="false">'Price History'!T3+('Price History'!T158-'Price History'!T3)*0.415584415584416</f>
        <v>36.3977922077922</v>
      </c>
    </row>
    <row r="68" customFormat="false" ht="15" hidden="false" customHeight="true" outlineLevel="0" collapsed="false">
      <c r="A68" s="49" t="n">
        <f aca="false">IF('Price History'!A69="","",'Price History'!A69)</f>
        <v>45611</v>
      </c>
      <c r="B68" s="76" t="n">
        <f aca="false">IFERROR(IF(OR(NOT(ISNUMBER('Price History'!B69)),NOT(ISNUMBER('Price History'!B68)),'Price History'!B68=0),"",'Price History'!B69/'Price History'!B68-1),"")</f>
        <v>0.0175669119430744</v>
      </c>
      <c r="C68" s="76" t="n">
        <f aca="false">IFERROR(IF(OR(NOT(ISNUMBER('Price History'!C69)),NOT(ISNUMBER('Price History'!C68)),'Price History'!C68=0),"",'Price History'!C69/'Price History'!C68-1),"")</f>
        <v>-0.0650284686844471</v>
      </c>
      <c r="D68" s="76" t="n">
        <f aca="false">IFERROR(IF(OR(NOT(ISNUMBER('Price History'!D69)),NOT(ISNUMBER('Price History'!D68)),'Price History'!D68=0),"",'Price History'!D69/'Price History'!D68-1),"")</f>
        <v>-0.0161919130058106</v>
      </c>
      <c r="E68" s="76" t="n">
        <f aca="false">IFERROR(IF(OR(NOT(ISNUMBER('Price History'!E69)),NOT(ISNUMBER('Price History'!E68)),'Price History'!E68=0),"",'Price History'!E69/'Price History'!E68-1),"")</f>
        <v>-0.102374210411675</v>
      </c>
      <c r="F68" s="76" t="n">
        <f aca="false">IFERROR(IF(OR(NOT(ISNUMBER('Price History'!F69)),NOT(ISNUMBER('Price History'!F68)),'Price History'!F68=0),"",'Price History'!F69/'Price History'!F68-1),"")</f>
        <v>0.020361168343231</v>
      </c>
      <c r="G68" s="76" t="n">
        <f aca="false">IFERROR(IF(OR(NOT(ISNUMBER('Price History'!G69)),NOT(ISNUMBER('Price History'!G68)),'Price History'!G68=0),"",'Price History'!G69/'Price History'!G68-1),"")</f>
        <v>-0.106051789351178</v>
      </c>
      <c r="H68" s="76" t="n">
        <f aca="false">IFERROR(IF(OR(NOT(ISNUMBER('Price History'!H69)),NOT(ISNUMBER('Price History'!H68)),'Price History'!H68=0),"",'Price History'!H69/'Price History'!H68-1),"")</f>
        <v>-0.1390527256479</v>
      </c>
      <c r="I68" s="76" t="n">
        <f aca="false">IFERROR(IF(OR(NOT(ISNUMBER('Price History'!I69)),NOT(ISNUMBER('Price History'!I68)),'Price History'!I68=0),"",'Price History'!I69/'Price History'!I68-1),"")</f>
        <v>-0.0382713540608278</v>
      </c>
      <c r="J68" s="76" t="n">
        <f aca="false">IFERROR(IF(OR(NOT(ISNUMBER('Price History'!J69)),NOT(ISNUMBER('Price History'!J68)),'Price History'!J68=0),"",'Price History'!J69/'Price History'!J68-1),"")</f>
        <v>-0.0208063541396875</v>
      </c>
      <c r="K68" s="76" t="n">
        <f aca="false">IFERROR(IF(OR(NOT(ISNUMBER('Price History'!K69)),NOT(ISNUMBER('Price History'!K68)),'Price History'!K68=0),"",'Price History'!K69/'Price History'!K68-1),"")</f>
        <v>0.126391505394759</v>
      </c>
      <c r="L68" s="76" t="n">
        <f aca="false">IFERROR(IF(OR(NOT(ISNUMBER('Price History'!L69)),NOT(ISNUMBER('Price History'!L68)),'Price History'!L68=0),"",'Price History'!L69/'Price History'!L68-1),"")</f>
        <v>-0.0754970178926442</v>
      </c>
      <c r="M68" s="76" t="n">
        <f aca="false">IFERROR(IF(OR(NOT(ISNUMBER('Price History'!M69)),NOT(ISNUMBER('Price History'!M68)),'Price History'!M68=0),"",'Price History'!M69/'Price History'!M68-1),"")</f>
        <v>-0.038807157057654</v>
      </c>
      <c r="N68" s="76" t="n">
        <f aca="false">IFERROR(IF(OR(NOT(ISNUMBER('Price History'!N69)),NOT(ISNUMBER('Price History'!N68)),'Price History'!N68=0),"",'Price History'!N69/'Price History'!N68-1),"")</f>
        <v>-0.0987730773696637</v>
      </c>
      <c r="O68" s="76" t="n">
        <f aca="false">IFERROR(IF(OR(NOT(ISNUMBER('Price History'!O69)),NOT(ISNUMBER('Price History'!O68)),'Price History'!O68=0),"",'Price History'!O69/'Price History'!O68-1),"")</f>
        <v>-0.0194024058983314</v>
      </c>
      <c r="P68" s="76" t="str">
        <f aca="false">IFERROR(IF(OR(NOT(ISNUMBER('Price History'!P69)),NOT(ISNUMBER('Price History'!P68)),'Price History'!P68=0),"",'Price History'!P69/'Price History'!P68-1),"")</f>
        <v/>
      </c>
      <c r="Q68" s="76" t="n">
        <f aca="false">IFERROR(IF(OR(NOT(ISNUMBER('Price History'!Q69)),NOT(ISNUMBER('Price History'!Q68)),'Price History'!Q68=0),"",'Price History'!Q69/'Price History'!Q68-1),"")</f>
        <v>-0.00399042298483643</v>
      </c>
      <c r="R68" s="76" t="n">
        <f aca="false">IFERROR(IF(OR(NOT(ISNUMBER('Price History'!R69)),NOT(ISNUMBER('Price History'!R68)),'Price History'!R68=0),"",'Price History'!R69/'Price History'!R68-1),"")</f>
        <v>-0.0164485320127343</v>
      </c>
      <c r="S68" s="76" t="n">
        <f aca="false">IFERROR(IF(OR(NOT(ISNUMBER('Price History'!S69)),NOT(ISNUMBER('Price History'!S68)),'Price History'!S68=0),"",'Price History'!S69/'Price History'!S68-1),"")</f>
        <v>-0.030859737847043</v>
      </c>
      <c r="T68" s="76" t="n">
        <f aca="false">IFERROR(IF(OR(NOT(ISNUMBER('Price History'!T69)),NOT(ISNUMBER('Price History'!T68)),'Price History'!T68=0),"",'Price History'!T69/'Price History'!T68-1),"")</f>
        <v>-0.0153932269801287</v>
      </c>
      <c r="U68" s="76" t="str">
        <f aca="false">IFERROR(IF(OR(NOT(ISNUMBER('Price History'!U69)),NOT(ISNUMBER('Price History'!U68)),'Price History'!U68=0),"",'Price History'!U69/'Price History'!U68-1),"")</f>
        <v/>
      </c>
      <c r="W68" s="77" t="n">
        <f aca="false">'Price History'!B3+('Price History'!B158-'Price History'!B3)*0.422077922077922</f>
        <v>399.537012987013</v>
      </c>
      <c r="X68" s="77" t="n">
        <f aca="false">'Price History'!C3+('Price History'!C158-'Price History'!C3)*0.422077922077922</f>
        <v>101.400064935065</v>
      </c>
      <c r="Y68" s="77" t="n">
        <f aca="false">'Price History'!D3+('Price History'!D158-'Price History'!D3)*0.422077922077922</f>
        <v>1070.02220779221</v>
      </c>
      <c r="Z68" s="77" t="n">
        <f aca="false">'Price History'!E3+('Price History'!E158-'Price History'!E3)*0.422077922077922</f>
        <v>212.262467532468</v>
      </c>
      <c r="AA68" s="77" t="n">
        <f aca="false">'Price History'!F3+('Price History'!F158-'Price History'!F3)*0.422077922077922</f>
        <v>101.975584415584</v>
      </c>
      <c r="AB68" s="77" t="n">
        <f aca="false">'Price History'!G3+('Price History'!G158-'Price History'!G3)*0.422077922077922</f>
        <v>104.846753246753</v>
      </c>
      <c r="AC68" s="77" t="n">
        <f aca="false">'Price History'!H3+('Price History'!H158-'Price History'!H3)*0.422077922077922</f>
        <v>384.583636363636</v>
      </c>
      <c r="AD68" s="77" t="n">
        <f aca="false">'Price History'!I3+('Price History'!I158-'Price History'!I3)*0.422077922077922</f>
        <v>108.34025974026</v>
      </c>
      <c r="AE68" s="77" t="n">
        <f aca="false">'Price History'!J3+('Price History'!J158-'Price History'!J3)*0.422077922077922</f>
        <v>132.415844155844</v>
      </c>
      <c r="AF68" s="77" t="n">
        <f aca="false">'Price History'!K3+('Price History'!K158-'Price History'!K3)*0.422077922077922</f>
        <v>60.8466883116883</v>
      </c>
      <c r="AG68" s="77" t="n">
        <f aca="false">'Price History'!L3+('Price History'!L158-'Price History'!L3)*0.422077922077922</f>
        <v>223.788051948052</v>
      </c>
      <c r="AH68" s="77" t="n">
        <f aca="false">'Price History'!M3+('Price History'!M158-'Price History'!M3)*0.422077922077922</f>
        <v>121.327532467532</v>
      </c>
      <c r="AI68" s="77" t="n">
        <f aca="false">'Price History'!N3+('Price History'!N158-'Price History'!N3)*0.422077922077922</f>
        <v>403.565194805195</v>
      </c>
      <c r="AJ68" s="77" t="n">
        <f aca="false">'Price History'!O3+('Price History'!O158-'Price History'!O3)*0.422077922077922</f>
        <v>100.758766233766</v>
      </c>
      <c r="AK68" s="77" t="n">
        <f aca="false">'Price History'!Q3+('Price History'!Q151-'Price History'!Q3)*0.422077922077922</f>
        <v>57.6948701298701</v>
      </c>
      <c r="AL68" s="77" t="n">
        <f aca="false">'Price History'!R3+('Price History'!R158-'Price History'!R3)*0.422077922077922</f>
        <v>52.2222727272727</v>
      </c>
      <c r="AM68" s="77" t="n">
        <f aca="false">'Price History'!S3+('Price History'!S158-'Price History'!S3)*0.422077922077922</f>
        <v>94.539025974026</v>
      </c>
      <c r="AN68" s="77" t="n">
        <f aca="false">'Price History'!T3+('Price History'!T158-'Price History'!T3)*0.422077922077922</f>
        <v>36.546038961039</v>
      </c>
    </row>
    <row r="69" customFormat="false" ht="15" hidden="false" customHeight="true" outlineLevel="0" collapsed="false">
      <c r="A69" s="49" t="n">
        <f aca="false">IF('Price History'!A70="","",'Price History'!A70)</f>
        <v>45618</v>
      </c>
      <c r="B69" s="76" t="n">
        <f aca="false">IFERROR(IF(OR(NOT(ISNUMBER('Price History'!B70)),NOT(ISNUMBER('Price History'!B69)),'Price History'!B69=0),"",'Price History'!B70/'Price History'!B69-1),"")</f>
        <v>0.0174424379680951</v>
      </c>
      <c r="C69" s="76" t="n">
        <f aca="false">IFERROR(IF(OR(NOT(ISNUMBER('Price History'!C70)),NOT(ISNUMBER('Price History'!C69)),'Price History'!C69=0),"",'Price History'!C70/'Price History'!C69-1),"")</f>
        <v>0.0856837606837608</v>
      </c>
      <c r="D69" s="76" t="n">
        <f aca="false">IFERROR(IF(OR(NOT(ISNUMBER('Price History'!D70)),NOT(ISNUMBER('Price History'!D69)),'Price History'!D69=0),"",'Price History'!D70/'Price History'!D69-1),"")</f>
        <v>0.0216358198077828</v>
      </c>
      <c r="E69" s="76" t="n">
        <f aca="false">IFERROR(IF(OR(NOT(ISNUMBER('Price History'!E70)),NOT(ISNUMBER('Price History'!E69)),'Price History'!E69=0),"",'Price History'!E70/'Price History'!E69-1),"")</f>
        <v>-0.00370055811696202</v>
      </c>
      <c r="F69" s="76" t="n">
        <f aca="false">IFERROR(IF(OR(NOT(ISNUMBER('Price History'!F70)),NOT(ISNUMBER('Price History'!F69)),'Price History'!F69=0),"",'Price History'!F70/'Price History'!F69-1),"")</f>
        <v>0.10547570970424</v>
      </c>
      <c r="G69" s="76" t="n">
        <f aca="false">IFERROR(IF(OR(NOT(ISNUMBER('Price History'!G70)),NOT(ISNUMBER('Price History'!G69)),'Price History'!G69=0),"",'Price History'!G70/'Price History'!G69-1),"")</f>
        <v>0.040846216436127</v>
      </c>
      <c r="H69" s="76" t="n">
        <f aca="false">IFERROR(IF(OR(NOT(ISNUMBER('Price History'!H70)),NOT(ISNUMBER('Price History'!H69)),'Price History'!H69=0),"",'Price History'!H70/'Price History'!H69-1),"")</f>
        <v>0.0653933983807349</v>
      </c>
      <c r="I69" s="76" t="n">
        <f aca="false">IFERROR(IF(OR(NOT(ISNUMBER('Price History'!I70)),NOT(ISNUMBER('Price History'!I69)),'Price History'!I69=0),"",'Price History'!I70/'Price History'!I69-1),"")</f>
        <v>-0.000211297365826146</v>
      </c>
      <c r="J69" s="76" t="n">
        <f aca="false">IFERROR(IF(OR(NOT(ISNUMBER('Price History'!J70)),NOT(ISNUMBER('Price History'!J69)),'Price History'!J69=0),"",'Price History'!J70/'Price History'!J69-1),"")</f>
        <v>0.0209839534473637</v>
      </c>
      <c r="K69" s="76" t="n">
        <f aca="false">IFERROR(IF(OR(NOT(ISNUMBER('Price History'!K70)),NOT(ISNUMBER('Price History'!K69)),'Price History'!K69=0),"",'Price History'!K70/'Price History'!K69-1),"")</f>
        <v>-0.0215903907556637</v>
      </c>
      <c r="L69" s="76" t="n">
        <f aca="false">IFERROR(IF(OR(NOT(ISNUMBER('Price History'!L70)),NOT(ISNUMBER('Price History'!L69)),'Price History'!L69=0),"",'Price History'!L70/'Price History'!L69-1),"")</f>
        <v>0.0218805440567713</v>
      </c>
      <c r="M69" s="76" t="n">
        <f aca="false">IFERROR(IF(OR(NOT(ISNUMBER('Price History'!M70)),NOT(ISNUMBER('Price History'!M69)),'Price History'!M69=0),"",'Price History'!M70/'Price History'!M69-1),"")</f>
        <v>0.159510217589145</v>
      </c>
      <c r="N69" s="76" t="n">
        <f aca="false">IFERROR(IF(OR(NOT(ISNUMBER('Price History'!N70)),NOT(ISNUMBER('Price History'!N69)),'Price History'!N69=0),"",'Price History'!N70/'Price History'!N69-1),"")</f>
        <v>-0.0316298045952329</v>
      </c>
      <c r="O69" s="76" t="n">
        <f aca="false">IFERROR(IF(OR(NOT(ISNUMBER('Price History'!O70)),NOT(ISNUMBER('Price History'!O69)),'Price History'!O69=0),"",'Price History'!O70/'Price History'!O69-1),"")</f>
        <v>0.0366046695686586</v>
      </c>
      <c r="P69" s="76" t="str">
        <f aca="false">IFERROR(IF(OR(NOT(ISNUMBER('Price History'!P70)),NOT(ISNUMBER('Price History'!P69)),'Price History'!P69=0),"",'Price History'!P70/'Price History'!P69-1),"")</f>
        <v/>
      </c>
      <c r="Q69" s="76" t="n">
        <f aca="false">IFERROR(IF(OR(NOT(ISNUMBER('Price History'!Q70)),NOT(ISNUMBER('Price History'!Q69)),'Price History'!Q69=0),"",'Price History'!Q70/'Price History'!Q69-1),"")</f>
        <v>-0.0121794871794871</v>
      </c>
      <c r="R69" s="76" t="n">
        <f aca="false">IFERROR(IF(OR(NOT(ISNUMBER('Price History'!R70)),NOT(ISNUMBER('Price History'!R69)),'Price History'!R69=0),"",'Price History'!R70/'Price History'!R69-1),"")</f>
        <v>0.0172630821794642</v>
      </c>
      <c r="S69" s="76" t="n">
        <f aca="false">IFERROR(IF(OR(NOT(ISNUMBER('Price History'!S70)),NOT(ISNUMBER('Price History'!S69)),'Price History'!S69=0),"",'Price History'!S70/'Price History'!S69-1),"")</f>
        <v>0.0178913738019169</v>
      </c>
      <c r="T69" s="76" t="n">
        <f aca="false">IFERROR(IF(OR(NOT(ISNUMBER('Price History'!T70)),NOT(ISNUMBER('Price History'!T69)),'Price History'!T69=0),"",'Price History'!T70/'Price History'!T69-1),"")</f>
        <v>0.0386583285957931</v>
      </c>
      <c r="U69" s="76" t="str">
        <f aca="false">IFERROR(IF(OR(NOT(ISNUMBER('Price History'!U70)),NOT(ISNUMBER('Price History'!U69)),'Price History'!U69=0),"",'Price History'!U70/'Price History'!U69-1),"")</f>
        <v/>
      </c>
      <c r="W69" s="77" t="n">
        <f aca="false">'Price History'!B3+('Price History'!B158-'Price History'!B3)*0.428571428571429</f>
        <v>397.861428571428</v>
      </c>
      <c r="X69" s="77" t="n">
        <f aca="false">'Price History'!C3+('Price History'!C158-'Price History'!C3)*0.428571428571429</f>
        <v>102.287142857143</v>
      </c>
      <c r="Y69" s="77" t="n">
        <f aca="false">'Price History'!D3+('Price History'!D158-'Price History'!D3)*0.428571428571429</f>
        <v>1076.30285714286</v>
      </c>
      <c r="Z69" s="77" t="n">
        <f aca="false">'Price History'!E3+('Price History'!E158-'Price History'!E3)*0.428571428571429</f>
        <v>214.251428571429</v>
      </c>
      <c r="AA69" s="77" t="n">
        <f aca="false">'Price History'!F3+('Price History'!F158-'Price History'!F3)*0.428571428571429</f>
        <v>102.974285714286</v>
      </c>
      <c r="AB69" s="77" t="n">
        <f aca="false">'Price History'!G3+('Price History'!G158-'Price History'!G3)*0.428571428571429</f>
        <v>105.722857142857</v>
      </c>
      <c r="AC69" s="77" t="n">
        <f aca="false">'Price History'!H3+('Price History'!H158-'Price History'!H3)*0.428571428571429</f>
        <v>389.51</v>
      </c>
      <c r="AD69" s="77" t="n">
        <f aca="false">'Price History'!I3+('Price History'!I158-'Price History'!I3)*0.428571428571429</f>
        <v>109.378571428571</v>
      </c>
      <c r="AE69" s="77" t="n">
        <f aca="false">'Price History'!J3+('Price History'!J158-'Price History'!J3)*0.428571428571429</f>
        <v>132.552857142857</v>
      </c>
      <c r="AF69" s="77" t="n">
        <f aca="false">'Price History'!K3+('Price History'!K158-'Price History'!K3)*0.428571428571429</f>
        <v>61.5457142857143</v>
      </c>
      <c r="AG69" s="77" t="n">
        <f aca="false">'Price History'!L3+('Price History'!L158-'Price History'!L3)*0.428571428571429</f>
        <v>225.815714285714</v>
      </c>
      <c r="AH69" s="77" t="n">
        <f aca="false">'Price History'!M3+('Price History'!M158-'Price History'!M3)*0.428571428571429</f>
        <v>122.678571428572</v>
      </c>
      <c r="AI69" s="77" t="n">
        <f aca="false">'Price History'!N3+('Price History'!N158-'Price History'!N3)*0.428571428571429</f>
        <v>404.391428571429</v>
      </c>
      <c r="AJ69" s="77" t="n">
        <f aca="false">'Price History'!O3+('Price History'!O158-'Price History'!O3)*0.428571428571429</f>
        <v>101.034285714286</v>
      </c>
      <c r="AK69" s="77" t="n">
        <f aca="false">'Price History'!Q3+('Price History'!Q151-'Price History'!Q3)*0.428571428571429</f>
        <v>57.8157142857143</v>
      </c>
      <c r="AL69" s="77" t="n">
        <f aca="false">'Price History'!R3+('Price History'!R158-'Price History'!R3)*0.428571428571429</f>
        <v>52.29</v>
      </c>
      <c r="AM69" s="77" t="n">
        <f aca="false">'Price History'!S3+('Price History'!S158-'Price History'!S3)*0.428571428571429</f>
        <v>95.0928571428572</v>
      </c>
      <c r="AN69" s="77" t="n">
        <f aca="false">'Price History'!T3+('Price History'!T158-'Price History'!T3)*0.428571428571429</f>
        <v>36.6942857142857</v>
      </c>
    </row>
    <row r="70" customFormat="false" ht="15" hidden="false" customHeight="true" outlineLevel="0" collapsed="false">
      <c r="A70" s="49" t="n">
        <f aca="false">IF('Price History'!A71="","",'Price History'!A71)</f>
        <v>45625</v>
      </c>
      <c r="B70" s="76" t="n">
        <f aca="false">IFERROR(IF(OR(NOT(ISNUMBER('Price History'!B71)),NOT(ISNUMBER('Price History'!B70)),'Price History'!B70=0),"",'Price History'!B71/'Price History'!B70-1),"")</f>
        <v>0.00738065020013656</v>
      </c>
      <c r="C70" s="76" t="n">
        <f aca="false">IFERROR(IF(OR(NOT(ISNUMBER('Price History'!C71)),NOT(ISNUMBER('Price History'!C70)),'Price History'!C70=0),"",'Price History'!C71/'Price History'!C70-1),"")</f>
        <v>-0.00157449320999814</v>
      </c>
      <c r="D70" s="76" t="n">
        <f aca="false">IFERROR(IF(OR(NOT(ISNUMBER('Price History'!D71)),NOT(ISNUMBER('Price History'!D70)),'Price History'!D70=0),"",'Price History'!D71/'Price History'!D70-1),"")</f>
        <v>0.0204048270122459</v>
      </c>
      <c r="E70" s="76" t="n">
        <f aca="false">IFERROR(IF(OR(NOT(ISNUMBER('Price History'!E71)),NOT(ISNUMBER('Price History'!E70)),'Price History'!E70=0),"",'Price History'!E71/'Price History'!E70-1),"")</f>
        <v>-0.0130913962126284</v>
      </c>
      <c r="F70" s="76" t="n">
        <f aca="false">IFERROR(IF(OR(NOT(ISNUMBER('Price History'!F71)),NOT(ISNUMBER('Price History'!F70)),'Price History'!F70=0),"",'Price History'!F71/'Price History'!F70-1),"")</f>
        <v>-0.070699473514559</v>
      </c>
      <c r="G70" s="76" t="n">
        <f aca="false">IFERROR(IF(OR(NOT(ISNUMBER('Price History'!G71)),NOT(ISNUMBER('Price History'!G70)),'Price History'!G70=0),"",'Price History'!G71/'Price History'!G70-1),"")</f>
        <v>0.0115697310819263</v>
      </c>
      <c r="H70" s="76" t="n">
        <f aca="false">IFERROR(IF(OR(NOT(ISNUMBER('Price History'!H71)),NOT(ISNUMBER('Price History'!H70)),'Price History'!H70=0),"",'Price History'!H71/'Price History'!H70-1),"")</f>
        <v>-0.0456936866718628</v>
      </c>
      <c r="I70" s="76" t="n">
        <f aca="false">IFERROR(IF(OR(NOT(ISNUMBER('Price History'!I71)),NOT(ISNUMBER('Price History'!I70)),'Price History'!I70=0),"",'Price History'!I71/'Price History'!I70-1),"")</f>
        <v>-0.0260655160267699</v>
      </c>
      <c r="J70" s="76" t="n">
        <f aca="false">IFERROR(IF(OR(NOT(ISNUMBER('Price History'!J71)),NOT(ISNUMBER('Price History'!J70)),'Price History'!J70=0),"",'Price History'!J71/'Price History'!J70-1),"")</f>
        <v>0.00846286701208987</v>
      </c>
      <c r="K70" s="76" t="n">
        <f aca="false">IFERROR(IF(OR(NOT(ISNUMBER('Price History'!K71)),NOT(ISNUMBER('Price History'!K70)),'Price History'!K70=0),"",'Price History'!K71/'Price History'!K70-1),"")</f>
        <v>0.0424242424242425</v>
      </c>
      <c r="L70" s="76" t="n">
        <f aca="false">IFERROR(IF(OR(NOT(ISNUMBER('Price History'!L71)),NOT(ISNUMBER('Price History'!L70)),'Price History'!L70=0),"",'Price History'!L71/'Price History'!L70-1),"")</f>
        <v>-0.0285143097643098</v>
      </c>
      <c r="M70" s="76" t="n">
        <f aca="false">IFERROR(IF(OR(NOT(ISNUMBER('Price History'!M71)),NOT(ISNUMBER('Price History'!M70)),'Price History'!M70=0),"",'Price History'!M71/'Price History'!M70-1),"")</f>
        <v>-0.0895469140206922</v>
      </c>
      <c r="N70" s="76" t="n">
        <f aca="false">IFERROR(IF(OR(NOT(ISNUMBER('Price History'!N71)),NOT(ISNUMBER('Price History'!N70)),'Price History'!N70=0),"",'Price History'!N71/'Price History'!N70-1),"")</f>
        <v>0.0380513116171806</v>
      </c>
      <c r="O70" s="76" t="n">
        <f aca="false">IFERROR(IF(OR(NOT(ISNUMBER('Price History'!O71)),NOT(ISNUMBER('Price History'!O70)),'Price History'!O70=0),"",'Price History'!O71/'Price History'!O70-1),"")</f>
        <v>0.00677610230960091</v>
      </c>
      <c r="P70" s="76" t="str">
        <f aca="false">IFERROR(IF(OR(NOT(ISNUMBER('Price History'!P71)),NOT(ISNUMBER('Price History'!P70)),'Price History'!P70=0),"",'Price History'!P71/'Price History'!P70-1),"")</f>
        <v/>
      </c>
      <c r="Q70" s="76" t="n">
        <f aca="false">IFERROR(IF(OR(NOT(ISNUMBER('Price History'!Q71)),NOT(ISNUMBER('Price History'!Q70)),'Price History'!Q70=0),"",'Price History'!Q71/'Price History'!Q70-1),"")</f>
        <v>0.0171966255678131</v>
      </c>
      <c r="R70" s="76" t="n">
        <f aca="false">IFERROR(IF(OR(NOT(ISNUMBER('Price History'!R71)),NOT(ISNUMBER('Price History'!R70)),'Price History'!R70=0),"",'Price History'!R71/'Price History'!R70-1),"")</f>
        <v>0.00919215131695261</v>
      </c>
      <c r="S70" s="76" t="n">
        <f aca="false">IFERROR(IF(OR(NOT(ISNUMBER('Price History'!S71)),NOT(ISNUMBER('Price History'!S70)),'Price History'!S70=0),"",'Price History'!S71/'Price History'!S70-1),"")</f>
        <v>0.0130780498012137</v>
      </c>
      <c r="T70" s="76" t="n">
        <f aca="false">IFERROR(IF(OR(NOT(ISNUMBER('Price History'!T71)),NOT(ISNUMBER('Price History'!T70)),'Price History'!T70=0),"",'Price History'!T71/'Price History'!T70-1),"")</f>
        <v>0.00191570881226055</v>
      </c>
      <c r="U70" s="76" t="str">
        <f aca="false">IFERROR(IF(OR(NOT(ISNUMBER('Price History'!U71)),NOT(ISNUMBER('Price History'!U70)),'Price History'!U70=0),"",'Price History'!U71/'Price History'!U70-1),"")</f>
        <v/>
      </c>
      <c r="W70" s="77" t="n">
        <f aca="false">'Price History'!B3+('Price History'!B158-'Price History'!B3)*0.435064935064935</f>
        <v>396.185844155844</v>
      </c>
      <c r="X70" s="77" t="n">
        <f aca="false">'Price History'!C3+('Price History'!C158-'Price History'!C3)*0.435064935064935</f>
        <v>103.174220779221</v>
      </c>
      <c r="Y70" s="77" t="n">
        <f aca="false">'Price History'!D3+('Price History'!D158-'Price History'!D3)*0.435064935064935</f>
        <v>1082.58350649351</v>
      </c>
      <c r="Z70" s="77" t="n">
        <f aca="false">'Price History'!E3+('Price History'!E158-'Price History'!E3)*0.435064935064935</f>
        <v>216.24038961039</v>
      </c>
      <c r="AA70" s="77" t="n">
        <f aca="false">'Price History'!F3+('Price History'!F158-'Price History'!F3)*0.435064935064935</f>
        <v>103.972987012987</v>
      </c>
      <c r="AB70" s="77" t="n">
        <f aca="false">'Price History'!G3+('Price History'!G158-'Price History'!G3)*0.435064935064935</f>
        <v>106.598961038961</v>
      </c>
      <c r="AC70" s="77" t="n">
        <f aca="false">'Price History'!H3+('Price History'!H158-'Price History'!H3)*0.435064935064935</f>
        <v>394.436363636364</v>
      </c>
      <c r="AD70" s="77" t="n">
        <f aca="false">'Price History'!I3+('Price History'!I158-'Price History'!I3)*0.435064935064935</f>
        <v>110.416883116883</v>
      </c>
      <c r="AE70" s="77" t="n">
        <f aca="false">'Price History'!J3+('Price History'!J158-'Price History'!J3)*0.435064935064935</f>
        <v>132.68987012987</v>
      </c>
      <c r="AF70" s="77" t="n">
        <f aca="false">'Price History'!K3+('Price History'!K158-'Price History'!K3)*0.435064935064935</f>
        <v>62.2447402597403</v>
      </c>
      <c r="AG70" s="77" t="n">
        <f aca="false">'Price History'!L3+('Price History'!L158-'Price History'!L3)*0.435064935064935</f>
        <v>227.843376623377</v>
      </c>
      <c r="AH70" s="77" t="n">
        <f aca="false">'Price History'!M3+('Price History'!M158-'Price History'!M3)*0.435064935064935</f>
        <v>124.02961038961</v>
      </c>
      <c r="AI70" s="77" t="n">
        <f aca="false">'Price History'!N3+('Price History'!N158-'Price History'!N3)*0.435064935064935</f>
        <v>405.217662337662</v>
      </c>
      <c r="AJ70" s="77" t="n">
        <f aca="false">'Price History'!O3+('Price History'!O158-'Price History'!O3)*0.435064935064935</f>
        <v>101.309805194805</v>
      </c>
      <c r="AK70" s="77" t="n">
        <f aca="false">'Price History'!Q3+('Price History'!Q151-'Price History'!Q3)*0.435064935064935</f>
        <v>57.9365584415585</v>
      </c>
      <c r="AL70" s="77" t="n">
        <f aca="false">'Price History'!R3+('Price History'!R158-'Price History'!R3)*0.435064935064935</f>
        <v>52.3577272727273</v>
      </c>
      <c r="AM70" s="77" t="n">
        <f aca="false">'Price History'!S3+('Price History'!S158-'Price History'!S3)*0.435064935064935</f>
        <v>95.6466883116883</v>
      </c>
      <c r="AN70" s="77" t="n">
        <f aca="false">'Price History'!T3+('Price History'!T158-'Price History'!T3)*0.435064935064935</f>
        <v>36.8425324675325</v>
      </c>
    </row>
    <row r="71" customFormat="false" ht="15" hidden="false" customHeight="true" outlineLevel="0" collapsed="false">
      <c r="A71" s="49" t="n">
        <f aca="false">IF('Price History'!A72="","",'Price History'!A72)</f>
        <v>45632</v>
      </c>
      <c r="B71" s="76" t="n">
        <f aca="false">IFERROR(IF(OR(NOT(ISNUMBER('Price History'!B72)),NOT(ISNUMBER('Price History'!B71)),'Price History'!B71=0),"",'Price History'!B72/'Price History'!B71-1),"")</f>
        <v>0.0717733025798075</v>
      </c>
      <c r="C71" s="76" t="n">
        <f aca="false">IFERROR(IF(OR(NOT(ISNUMBER('Price History'!C72)),NOT(ISNUMBER('Price History'!C71)),'Price History'!C71=0),"",'Price History'!C72/'Price History'!C71-1),"")</f>
        <v>0.0669229252907551</v>
      </c>
      <c r="D71" s="76" t="n">
        <f aca="false">IFERROR(IF(OR(NOT(ISNUMBER('Price History'!D72)),NOT(ISNUMBER('Price History'!D71)),'Price History'!D71=0),"",'Price History'!D72/'Price History'!D71-1),"")</f>
        <v>0.0325803585732802</v>
      </c>
      <c r="E71" s="76" t="n">
        <f aca="false">IFERROR(IF(OR(NOT(ISNUMBER('Price History'!E72)),NOT(ISNUMBER('Price History'!E71)),'Price History'!E71=0),"",'Price History'!E72/'Price History'!E71-1),"")</f>
        <v>0.107662882527147</v>
      </c>
      <c r="F71" s="76" t="n">
        <f aca="false">IFERROR(IF(OR(NOT(ISNUMBER('Price History'!F72)),NOT(ISNUMBER('Price History'!F71)),'Price History'!F71=0),"",'Price History'!F72/'Price History'!F71-1),"")</f>
        <v>0.0568851890391953</v>
      </c>
      <c r="G71" s="76" t="n">
        <f aca="false">IFERROR(IF(OR(NOT(ISNUMBER('Price History'!G72)),NOT(ISNUMBER('Price History'!G71)),'Price History'!G71=0),"",'Price History'!G72/'Price History'!G71-1),"")</f>
        <v>0.00200927357032454</v>
      </c>
      <c r="H71" s="76" t="n">
        <f aca="false">IFERROR(IF(OR(NOT(ISNUMBER('Price History'!H72)),NOT(ISNUMBER('Price History'!H71)),'Price History'!H71=0),"",'Price History'!H72/'Price History'!H71-1),"")</f>
        <v>0.0328739152628892</v>
      </c>
      <c r="I71" s="76" t="n">
        <f aca="false">IFERROR(IF(OR(NOT(ISNUMBER('Price History'!I72)),NOT(ISNUMBER('Price History'!I71)),'Price History'!I71=0),"",'Price History'!I72/'Price History'!I71-1),"")</f>
        <v>0.0303074141048825</v>
      </c>
      <c r="J71" s="76" t="n">
        <f aca="false">IFERROR(IF(OR(NOT(ISNUMBER('Price History'!J72)),NOT(ISNUMBER('Price History'!J71)),'Price History'!J71=0),"",'Price History'!J72/'Price History'!J71-1),"")</f>
        <v>-0.0409316663812297</v>
      </c>
      <c r="K71" s="76" t="n">
        <f aca="false">IFERROR(IF(OR(NOT(ISNUMBER('Price History'!K72)),NOT(ISNUMBER('Price History'!K71)),'Price History'!K71=0),"",'Price History'!K72/'Price History'!K71-1),"")</f>
        <v>0.13804412641622</v>
      </c>
      <c r="L71" s="76" t="n">
        <f aca="false">IFERROR(IF(OR(NOT(ISNUMBER('Price History'!L72)),NOT(ISNUMBER('Price History'!L71)),'Price History'!L71=0),"",'Price History'!L72/'Price History'!L71-1),"")</f>
        <v>0.099425972056753</v>
      </c>
      <c r="M71" s="76" t="n">
        <f aca="false">IFERROR(IF(OR(NOT(ISNUMBER('Price History'!M72)),NOT(ISNUMBER('Price History'!M71)),'Price History'!M71=0),"",'Price History'!M72/'Price History'!M71-1),"")</f>
        <v>0.0489811912225706</v>
      </c>
      <c r="N71" s="76" t="n">
        <f aca="false">IFERROR(IF(OR(NOT(ISNUMBER('Price History'!N72)),NOT(ISNUMBER('Price History'!N71)),'Price History'!N71=0),"",'Price History'!N72/'Price History'!N71-1),"")</f>
        <v>-0.0128810373186935</v>
      </c>
      <c r="O71" s="76" t="n">
        <f aca="false">IFERROR(IF(OR(NOT(ISNUMBER('Price History'!O72)),NOT(ISNUMBER('Price History'!O71)),'Price History'!O71=0),"",'Price History'!O72/'Price History'!O71-1),"")</f>
        <v>-0.0208550573514076</v>
      </c>
      <c r="P71" s="76" t="str">
        <f aca="false">IFERROR(IF(OR(NOT(ISNUMBER('Price History'!P72)),NOT(ISNUMBER('Price History'!P71)),'Price History'!P71=0),"",'Price History'!P72/'Price History'!P71-1),"")</f>
        <v/>
      </c>
      <c r="Q71" s="76" t="n">
        <f aca="false">IFERROR(IF(OR(NOT(ISNUMBER('Price History'!Q72)),NOT(ISNUMBER('Price History'!Q71)),'Price History'!Q71=0),"",'Price History'!Q72/'Price History'!Q71-1),"")</f>
        <v>0.0103668261562999</v>
      </c>
      <c r="R71" s="76" t="n">
        <f aca="false">IFERROR(IF(OR(NOT(ISNUMBER('Price History'!R72)),NOT(ISNUMBER('Price History'!R71)),'Price History'!R71=0),"",'Price History'!R72/'Price History'!R71-1),"")</f>
        <v>0.00928358731826928</v>
      </c>
      <c r="S71" s="76" t="n">
        <f aca="false">IFERROR(IF(OR(NOT(ISNUMBER('Price History'!S72)),NOT(ISNUMBER('Price History'!S71)),'Price History'!S71=0),"",'Price History'!S72/'Price History'!S71-1),"")</f>
        <v>0.0193121966332748</v>
      </c>
      <c r="T71" s="76" t="n">
        <f aca="false">IFERROR(IF(OR(NOT(ISNUMBER('Price History'!T72)),NOT(ISNUMBER('Price History'!T71)),'Price History'!T71=0),"",'Price History'!T72/'Price History'!T71-1),"")</f>
        <v>-0.00081944823818636</v>
      </c>
      <c r="U71" s="76" t="str">
        <f aca="false">IFERROR(IF(OR(NOT(ISNUMBER('Price History'!U72)),NOT(ISNUMBER('Price History'!U71)),'Price History'!U71=0),"",'Price History'!U72/'Price History'!U71-1),"")</f>
        <v/>
      </c>
      <c r="W71" s="77" t="n">
        <f aca="false">'Price History'!B3+('Price History'!B158-'Price History'!B3)*0.441558441558442</f>
        <v>394.51025974026</v>
      </c>
      <c r="X71" s="77" t="n">
        <f aca="false">'Price History'!C3+('Price History'!C158-'Price History'!C3)*0.441558441558442</f>
        <v>104.061298701299</v>
      </c>
      <c r="Y71" s="77" t="n">
        <f aca="false">'Price History'!D3+('Price History'!D158-'Price History'!D3)*0.441558441558442</f>
        <v>1088.86415584416</v>
      </c>
      <c r="Z71" s="77" t="n">
        <f aca="false">'Price History'!E3+('Price History'!E158-'Price History'!E3)*0.441558441558442</f>
        <v>218.229350649351</v>
      </c>
      <c r="AA71" s="77" t="n">
        <f aca="false">'Price History'!F3+('Price History'!F158-'Price History'!F3)*0.441558441558442</f>
        <v>104.971688311688</v>
      </c>
      <c r="AB71" s="77" t="n">
        <f aca="false">'Price History'!G3+('Price History'!G158-'Price History'!G3)*0.441558441558442</f>
        <v>107.475064935065</v>
      </c>
      <c r="AC71" s="77" t="n">
        <f aca="false">'Price History'!H3+('Price History'!H158-'Price History'!H3)*0.441558441558442</f>
        <v>399.362727272728</v>
      </c>
      <c r="AD71" s="77" t="n">
        <f aca="false">'Price History'!I3+('Price History'!I158-'Price History'!I3)*0.441558441558442</f>
        <v>111.455194805195</v>
      </c>
      <c r="AE71" s="77" t="n">
        <f aca="false">'Price History'!J3+('Price History'!J158-'Price History'!J3)*0.441558441558442</f>
        <v>132.826883116883</v>
      </c>
      <c r="AF71" s="77" t="n">
        <f aca="false">'Price History'!K3+('Price History'!K158-'Price History'!K3)*0.441558441558442</f>
        <v>62.9437662337663</v>
      </c>
      <c r="AG71" s="77" t="n">
        <f aca="false">'Price History'!L3+('Price History'!L158-'Price History'!L3)*0.441558441558442</f>
        <v>229.871038961039</v>
      </c>
      <c r="AH71" s="77" t="n">
        <f aca="false">'Price History'!M3+('Price History'!M158-'Price History'!M3)*0.441558441558442</f>
        <v>125.380649350649</v>
      </c>
      <c r="AI71" s="77" t="n">
        <f aca="false">'Price History'!N3+('Price History'!N158-'Price History'!N3)*0.441558441558442</f>
        <v>406.043896103896</v>
      </c>
      <c r="AJ71" s="77" t="n">
        <f aca="false">'Price History'!O3+('Price History'!O158-'Price History'!O3)*0.441558441558442</f>
        <v>101.585324675325</v>
      </c>
      <c r="AK71" s="77" t="n">
        <f aca="false">'Price History'!Q3+('Price History'!Q151-'Price History'!Q3)*0.441558441558442</f>
        <v>58.0574025974026</v>
      </c>
      <c r="AL71" s="77" t="n">
        <f aca="false">'Price History'!R3+('Price History'!R158-'Price History'!R3)*0.441558441558442</f>
        <v>52.4254545454546</v>
      </c>
      <c r="AM71" s="77" t="n">
        <f aca="false">'Price History'!S3+('Price History'!S158-'Price History'!S3)*0.441558441558442</f>
        <v>96.2005194805195</v>
      </c>
      <c r="AN71" s="77" t="n">
        <f aca="false">'Price History'!T3+('Price History'!T158-'Price History'!T3)*0.441558441558442</f>
        <v>36.9907792207792</v>
      </c>
    </row>
    <row r="72" customFormat="false" ht="15" hidden="false" customHeight="true" outlineLevel="0" collapsed="false">
      <c r="A72" s="49" t="n">
        <f aca="false">IF('Price History'!A73="","",'Price History'!A73)</f>
        <v>45639</v>
      </c>
      <c r="B72" s="76" t="n">
        <f aca="false">IFERROR(IF(OR(NOT(ISNUMBER('Price History'!B73)),NOT(ISNUMBER('Price History'!B72)),'Price History'!B72=0),"",'Price History'!B73/'Price History'!B72-1),"")</f>
        <v>-0.157823350694445</v>
      </c>
      <c r="C72" s="76" t="n">
        <f aca="false">IFERROR(IF(OR(NOT(ISNUMBER('Price History'!C73)),NOT(ISNUMBER('Price History'!C72)),'Price History'!C72=0),"",'Price History'!C73/'Price History'!C72-1),"")</f>
        <v>0.0380600461893765</v>
      </c>
      <c r="D72" s="76" t="n">
        <f aca="false">IFERROR(IF(OR(NOT(ISNUMBER('Price History'!D73)),NOT(ISNUMBER('Price History'!D72)),'Price History'!D72=0),"",'Price History'!D73/'Price History'!D72-1),"")</f>
        <v>0.0135405794239611</v>
      </c>
      <c r="E72" s="76" t="n">
        <f aca="false">IFERROR(IF(OR(NOT(ISNUMBER('Price History'!E73)),NOT(ISNUMBER('Price History'!E72)),'Price History'!E72=0),"",'Price History'!E73/'Price History'!E72-1),"")</f>
        <v>0.252158413635604</v>
      </c>
      <c r="F72" s="76" t="n">
        <f aca="false">IFERROR(IF(OR(NOT(ISNUMBER('Price History'!F73)),NOT(ISNUMBER('Price History'!F72)),'Price History'!F72=0),"",'Price History'!F73/'Price History'!F72-1),"")</f>
        <v>0.00656383327863486</v>
      </c>
      <c r="G72" s="76" t="n">
        <f aca="false">IFERROR(IF(OR(NOT(ISNUMBER('Price History'!G73)),NOT(ISNUMBER('Price History'!G72)),'Price History'!G72=0),"",'Price History'!G73/'Price History'!G72-1),"")</f>
        <v>0.00848372666975172</v>
      </c>
      <c r="H72" s="76" t="n">
        <f aca="false">IFERROR(IF(OR(NOT(ISNUMBER('Price History'!H73)),NOT(ISNUMBER('Price History'!H72)),'Price History'!H72=0),"",'Price History'!H73/'Price History'!H72-1),"")</f>
        <v>0.0131461895818918</v>
      </c>
      <c r="I72" s="76" t="n">
        <f aca="false">IFERROR(IF(OR(NOT(ISNUMBER('Price History'!I73)),NOT(ISNUMBER('Price History'!I72)),'Price History'!I72=0),"",'Price History'!I73/'Price History'!I72-1),"")</f>
        <v>-0.0574978938500421</v>
      </c>
      <c r="J72" s="76" t="n">
        <f aca="false">IFERROR(IF(OR(NOT(ISNUMBER('Price History'!J73)),NOT(ISNUMBER('Price History'!J72)),'Price History'!J72=0),"",'Price History'!J73/'Price History'!J72-1),"")</f>
        <v>-0.00776785714285722</v>
      </c>
      <c r="K72" s="76" t="n">
        <f aca="false">IFERROR(IF(OR(NOT(ISNUMBER('Price History'!K73)),NOT(ISNUMBER('Price History'!K72)),'Price History'!K72=0),"",'Price History'!K73/'Price History'!K72-1),"")</f>
        <v>-0.00353680901231346</v>
      </c>
      <c r="L72" s="76" t="n">
        <f aca="false">IFERROR(IF(OR(NOT(ISNUMBER('Price History'!L73)),NOT(ISNUMBER('Price History'!L72)),'Price History'!L72=0),"",'Price History'!L73/'Price History'!L72-1),"")</f>
        <v>-0.0099990148753818</v>
      </c>
      <c r="M72" s="76" t="n">
        <f aca="false">IFERROR(IF(OR(NOT(ISNUMBER('Price History'!M73)),NOT(ISNUMBER('Price History'!M72)),'Price History'!M72=0),"",'Price History'!M73/'Price History'!M72-1),"")</f>
        <v>-0.0602913709376167</v>
      </c>
      <c r="N72" s="76" t="n">
        <f aca="false">IFERROR(IF(OR(NOT(ISNUMBER('Price History'!N73)),NOT(ISNUMBER('Price History'!N72)),'Price History'!N72=0),"",'Price History'!N73/'Price History'!N72-1),"")</f>
        <v>0.00352737502705036</v>
      </c>
      <c r="O72" s="76" t="n">
        <f aca="false">IFERROR(IF(OR(NOT(ISNUMBER('Price History'!O73)),NOT(ISNUMBER('Price History'!O72)),'Price History'!O72=0),"",'Price History'!O73/'Price History'!O72-1),"")</f>
        <v>-0.0123922935424533</v>
      </c>
      <c r="P72" s="76" t="str">
        <f aca="false">IFERROR(IF(OR(NOT(ISNUMBER('Price History'!P73)),NOT(ISNUMBER('Price History'!P72)),'Price History'!P72=0),"",'Price History'!P73/'Price History'!P72-1),"")</f>
        <v/>
      </c>
      <c r="Q72" s="76" t="n">
        <f aca="false">IFERROR(IF(OR(NOT(ISNUMBER('Price History'!Q73)),NOT(ISNUMBER('Price History'!Q72)),'Price History'!Q72=0),"",'Price History'!Q73/'Price History'!Q72-1),"")</f>
        <v>-0.00868192580899774</v>
      </c>
      <c r="R72" s="76" t="n">
        <f aca="false">IFERROR(IF(OR(NOT(ISNUMBER('Price History'!R73)),NOT(ISNUMBER('Price History'!R72)),'Price History'!R72=0),"",'Price History'!R73/'Price History'!R72-1),"")</f>
        <v>0.00399166955918084</v>
      </c>
      <c r="S72" s="76" t="n">
        <f aca="false">IFERROR(IF(OR(NOT(ISNUMBER('Price History'!S73)),NOT(ISNUMBER('Price History'!S72)),'Price History'!S72=0),"",'Price History'!S73/'Price History'!S72-1),"")</f>
        <v>-0.00942249240121584</v>
      </c>
      <c r="T72" s="76" t="n">
        <f aca="false">IFERROR(IF(OR(NOT(ISNUMBER('Price History'!T73)),NOT(ISNUMBER('Price History'!T72)),'Price History'!T72=0),"",'Price History'!T73/'Price History'!T72-1),"")</f>
        <v>-0.0440131219245489</v>
      </c>
      <c r="U72" s="76" t="str">
        <f aca="false">IFERROR(IF(OR(NOT(ISNUMBER('Price History'!U73)),NOT(ISNUMBER('Price History'!U72)),'Price History'!U72=0),"",'Price History'!U73/'Price History'!U72-1),"")</f>
        <v/>
      </c>
      <c r="W72" s="77" t="n">
        <f aca="false">'Price History'!B3+('Price History'!B158-'Price History'!B3)*0.448051948051948</f>
        <v>392.834675324675</v>
      </c>
      <c r="X72" s="77" t="n">
        <f aca="false">'Price History'!C3+('Price History'!C158-'Price History'!C3)*0.448051948051948</f>
        <v>104.948376623377</v>
      </c>
      <c r="Y72" s="77" t="n">
        <f aca="false">'Price History'!D3+('Price History'!D158-'Price History'!D3)*0.448051948051948</f>
        <v>1095.14480519481</v>
      </c>
      <c r="Z72" s="77" t="n">
        <f aca="false">'Price History'!E3+('Price History'!E158-'Price History'!E3)*0.448051948051948</f>
        <v>220.218311688312</v>
      </c>
      <c r="AA72" s="77" t="n">
        <f aca="false">'Price History'!F3+('Price History'!F158-'Price History'!F3)*0.448051948051948</f>
        <v>105.97038961039</v>
      </c>
      <c r="AB72" s="77" t="n">
        <f aca="false">'Price History'!G3+('Price History'!G158-'Price History'!G3)*0.448051948051948</f>
        <v>108.351168831169</v>
      </c>
      <c r="AC72" s="77" t="n">
        <f aca="false">'Price History'!H3+('Price History'!H158-'Price History'!H3)*0.448051948051948</f>
        <v>404.289090909091</v>
      </c>
      <c r="AD72" s="77" t="n">
        <f aca="false">'Price History'!I3+('Price History'!I158-'Price History'!I3)*0.448051948051948</f>
        <v>112.493506493506</v>
      </c>
      <c r="AE72" s="77" t="n">
        <f aca="false">'Price History'!J3+('Price History'!J158-'Price History'!J3)*0.448051948051948</f>
        <v>132.963896103896</v>
      </c>
      <c r="AF72" s="77" t="n">
        <f aca="false">'Price History'!K3+('Price History'!K158-'Price History'!K3)*0.448051948051948</f>
        <v>63.6427922077922</v>
      </c>
      <c r="AG72" s="77" t="n">
        <f aca="false">'Price History'!L3+('Price History'!L158-'Price History'!L3)*0.448051948051948</f>
        <v>231.898701298701</v>
      </c>
      <c r="AH72" s="77" t="n">
        <f aca="false">'Price History'!M3+('Price History'!M158-'Price History'!M3)*0.448051948051948</f>
        <v>126.731688311688</v>
      </c>
      <c r="AI72" s="77" t="n">
        <f aca="false">'Price History'!N3+('Price History'!N158-'Price History'!N3)*0.448051948051948</f>
        <v>406.87012987013</v>
      </c>
      <c r="AJ72" s="77" t="n">
        <f aca="false">'Price History'!O3+('Price History'!O158-'Price History'!O3)*0.448051948051948</f>
        <v>101.860844155844</v>
      </c>
      <c r="AK72" s="77" t="n">
        <f aca="false">'Price History'!Q3+('Price History'!Q151-'Price History'!Q3)*0.448051948051948</f>
        <v>58.1782467532468</v>
      </c>
      <c r="AL72" s="77" t="n">
        <f aca="false">'Price History'!R3+('Price History'!R158-'Price History'!R3)*0.448051948051948</f>
        <v>52.4931818181818</v>
      </c>
      <c r="AM72" s="77" t="n">
        <f aca="false">'Price History'!S3+('Price History'!S158-'Price History'!S3)*0.448051948051948</f>
        <v>96.7543506493506</v>
      </c>
      <c r="AN72" s="77" t="n">
        <f aca="false">'Price History'!T3+('Price History'!T158-'Price History'!T3)*0.448051948051948</f>
        <v>37.139025974026</v>
      </c>
    </row>
    <row r="73" customFormat="false" ht="15" hidden="false" customHeight="true" outlineLevel="0" collapsed="false">
      <c r="A73" s="49" t="n">
        <f aca="false">IF('Price History'!A74="","",'Price History'!A74)</f>
        <v>45646</v>
      </c>
      <c r="B73" s="76" t="n">
        <f aca="false">IFERROR(IF(OR(NOT(ISNUMBER('Price History'!B74)),NOT(ISNUMBER('Price History'!B73)),'Price History'!B73=0),"",'Price History'!B74/'Price History'!B73-1),"")</f>
        <v>-0.0397689450063347</v>
      </c>
      <c r="C73" s="76" t="n">
        <f aca="false">IFERROR(IF(OR(NOT(ISNUMBER('Price History'!C74)),NOT(ISNUMBER('Price History'!C73)),'Price History'!C73=0),"",'Price History'!C74/'Price History'!C73-1),"")</f>
        <v>0.00391563584586629</v>
      </c>
      <c r="D73" s="76" t="n">
        <f aca="false">IFERROR(IF(OR(NOT(ISNUMBER('Price History'!D74)),NOT(ISNUMBER('Price History'!D73)),'Price History'!D73=0),"",'Price History'!D74/'Price History'!D73-1),"")</f>
        <v>-0.0179520721422808</v>
      </c>
      <c r="E73" s="76" t="n">
        <f aca="false">IFERROR(IF(OR(NOT(ISNUMBER('Price History'!E74)),NOT(ISNUMBER('Price History'!E73)),'Price History'!E73=0),"",'Price History'!E74/'Price History'!E73-1),"")</f>
        <v>-0.0178380782918151</v>
      </c>
      <c r="F73" s="76" t="n">
        <f aca="false">IFERROR(IF(OR(NOT(ISNUMBER('Price History'!F74)),NOT(ISNUMBER('Price History'!F73)),'Price History'!F73=0),"",'Price History'!F74/'Price History'!F73-1),"")</f>
        <v>-0.0156504727746986</v>
      </c>
      <c r="G73" s="76" t="n">
        <f aca="false">IFERROR(IF(OR(NOT(ISNUMBER('Price History'!G74)),NOT(ISNUMBER('Price History'!G73)),'Price History'!G73=0),"",'Price History'!G74/'Price History'!G73-1),"")</f>
        <v>-0.0373202814316305</v>
      </c>
      <c r="H73" s="76" t="n">
        <f aca="false">IFERROR(IF(OR(NOT(ISNUMBER('Price History'!H74)),NOT(ISNUMBER('Price History'!H73)),'Price History'!H73=0),"",'Price History'!H74/'Price History'!H73-1),"")</f>
        <v>-0.120780487804878</v>
      </c>
      <c r="I73" s="76" t="n">
        <f aca="false">IFERROR(IF(OR(NOT(ISNUMBER('Price History'!I74)),NOT(ISNUMBER('Price History'!I73)),'Price History'!I73=0),"",'Price History'!I74/'Price History'!I73-1),"")</f>
        <v>0.00335195530726251</v>
      </c>
      <c r="J73" s="76" t="n">
        <f aca="false">IFERROR(IF(OR(NOT(ISNUMBER('Price History'!J74)),NOT(ISNUMBER('Price History'!J73)),'Price History'!J73=0),"",'Price History'!J74/'Price History'!J73-1),"")</f>
        <v>-0.0702780527310357</v>
      </c>
      <c r="K73" s="76" t="n">
        <f aca="false">IFERROR(IF(OR(NOT(ISNUMBER('Price History'!K74)),NOT(ISNUMBER('Price History'!K73)),'Price History'!K73=0),"",'Price History'!K74/'Price History'!K73-1),"")</f>
        <v>0.0588931247535165</v>
      </c>
      <c r="L73" s="76" t="n">
        <f aca="false">IFERROR(IF(OR(NOT(ISNUMBER('Price History'!L74)),NOT(ISNUMBER('Price History'!L73)),'Price History'!L73=0),"",'Price History'!L74/'Price History'!L73-1),"")</f>
        <v>-0.0188069058162098</v>
      </c>
      <c r="M73" s="76" t="n">
        <f aca="false">IFERROR(IF(OR(NOT(ISNUMBER('Price History'!M74)),NOT(ISNUMBER('Price History'!M73)),'Price History'!M73=0),"",'Price History'!M74/'Price History'!M73-1),"")</f>
        <v>-0.0456352361265702</v>
      </c>
      <c r="N73" s="76" t="n">
        <f aca="false">IFERROR(IF(OR(NOT(ISNUMBER('Price History'!N74)),NOT(ISNUMBER('Price History'!N73)),'Price History'!N73=0),"",'Price History'!N74/'Price History'!N73-1),"")</f>
        <v>-0.14331615379639</v>
      </c>
      <c r="O73" s="76" t="n">
        <f aca="false">IFERROR(IF(OR(NOT(ISNUMBER('Price History'!O74)),NOT(ISNUMBER('Price History'!O73)),'Price History'!O73=0),"",'Price History'!O74/'Price History'!O73-1),"")</f>
        <v>-0.0578374669150084</v>
      </c>
      <c r="P73" s="76" t="str">
        <f aca="false">IFERROR(IF(OR(NOT(ISNUMBER('Price History'!P74)),NOT(ISNUMBER('Price History'!P73)),'Price History'!P73=0),"",'Price History'!P74/'Price History'!P73-1),"")</f>
        <v/>
      </c>
      <c r="Q73" s="76" t="n">
        <f aca="false">IFERROR(IF(OR(NOT(ISNUMBER('Price History'!Q74)),NOT(ISNUMBER('Price History'!Q73)),'Price History'!Q73=0),"",'Price History'!Q74/'Price History'!Q73-1),"")</f>
        <v>-0.000636942675159236</v>
      </c>
      <c r="R73" s="76" t="n">
        <f aca="false">IFERROR(IF(OR(NOT(ISNUMBER('Price History'!R74)),NOT(ISNUMBER('Price History'!R73)),'Price History'!R73=0),"",'Price History'!R74/'Price History'!R73-1),"")</f>
        <v>-0.0112359550561798</v>
      </c>
      <c r="S73" s="76" t="n">
        <f aca="false">IFERROR(IF(OR(NOT(ISNUMBER('Price History'!S74)),NOT(ISNUMBER('Price History'!S73)),'Price History'!S73=0),"",'Price History'!S74/'Price History'!S73-1),"")</f>
        <v>-0.0223995090518564</v>
      </c>
      <c r="T73" s="76" t="n">
        <f aca="false">IFERROR(IF(OR(NOT(ISNUMBER('Price History'!T74)),NOT(ISNUMBER('Price History'!T73)),'Price History'!T73=0),"",'Price History'!T74/'Price History'!T73-1),"")</f>
        <v>-0.0305976551329711</v>
      </c>
      <c r="U73" s="76" t="str">
        <f aca="false">IFERROR(IF(OR(NOT(ISNUMBER('Price History'!U74)),NOT(ISNUMBER('Price History'!U73)),'Price History'!U73=0),"",'Price History'!U74/'Price History'!U73-1),"")</f>
        <v/>
      </c>
      <c r="W73" s="77" t="n">
        <f aca="false">'Price History'!B3+('Price History'!B158-'Price History'!B3)*0.454545454545455</f>
        <v>391.159090909091</v>
      </c>
      <c r="X73" s="77" t="n">
        <f aca="false">'Price History'!C3+('Price History'!C158-'Price History'!C3)*0.454545454545455</f>
        <v>105.835454545455</v>
      </c>
      <c r="Y73" s="77" t="n">
        <f aca="false">'Price History'!D3+('Price History'!D158-'Price History'!D3)*0.454545454545455</f>
        <v>1101.42545454546</v>
      </c>
      <c r="Z73" s="77" t="n">
        <f aca="false">'Price History'!E3+('Price History'!E158-'Price History'!E3)*0.454545454545455</f>
        <v>222.207272727273</v>
      </c>
      <c r="AA73" s="77" t="n">
        <f aca="false">'Price History'!F3+('Price History'!F158-'Price History'!F3)*0.454545454545455</f>
        <v>106.969090909091</v>
      </c>
      <c r="AB73" s="77" t="n">
        <f aca="false">'Price History'!G3+('Price History'!G158-'Price History'!G3)*0.454545454545455</f>
        <v>109.227272727273</v>
      </c>
      <c r="AC73" s="77" t="n">
        <f aca="false">'Price History'!H3+('Price History'!H158-'Price History'!H3)*0.454545454545455</f>
        <v>409.215454545455</v>
      </c>
      <c r="AD73" s="77" t="n">
        <f aca="false">'Price History'!I3+('Price History'!I158-'Price History'!I3)*0.454545454545455</f>
        <v>113.531818181818</v>
      </c>
      <c r="AE73" s="77" t="n">
        <f aca="false">'Price History'!J3+('Price History'!J158-'Price History'!J3)*0.454545454545455</f>
        <v>133.100909090909</v>
      </c>
      <c r="AF73" s="77" t="n">
        <f aca="false">'Price History'!K3+('Price History'!K158-'Price History'!K3)*0.454545454545455</f>
        <v>64.3418181818182</v>
      </c>
      <c r="AG73" s="77" t="n">
        <f aca="false">'Price History'!L3+('Price History'!L158-'Price History'!L3)*0.454545454545455</f>
        <v>233.926363636364</v>
      </c>
      <c r="AH73" s="77" t="n">
        <f aca="false">'Price History'!M3+('Price History'!M158-'Price History'!M3)*0.454545454545455</f>
        <v>128.082727272727</v>
      </c>
      <c r="AI73" s="77" t="n">
        <f aca="false">'Price History'!N3+('Price History'!N158-'Price History'!N3)*0.454545454545455</f>
        <v>407.696363636364</v>
      </c>
      <c r="AJ73" s="77" t="n">
        <f aca="false">'Price History'!O3+('Price History'!O158-'Price History'!O3)*0.454545454545455</f>
        <v>102.136363636364</v>
      </c>
      <c r="AK73" s="77" t="n">
        <f aca="false">'Price History'!Q3+('Price History'!Q151-'Price History'!Q3)*0.454545454545455</f>
        <v>58.2990909090909</v>
      </c>
      <c r="AL73" s="77" t="n">
        <f aca="false">'Price History'!R3+('Price History'!R158-'Price History'!R3)*0.454545454545455</f>
        <v>52.5609090909091</v>
      </c>
      <c r="AM73" s="77" t="n">
        <f aca="false">'Price History'!S3+('Price History'!S158-'Price History'!S3)*0.454545454545455</f>
        <v>97.3081818181819</v>
      </c>
      <c r="AN73" s="77" t="n">
        <f aca="false">'Price History'!T3+('Price History'!T158-'Price History'!T3)*0.454545454545455</f>
        <v>37.2872727272727</v>
      </c>
    </row>
    <row r="74" customFormat="false" ht="15" hidden="false" customHeight="true" outlineLevel="0" collapsed="false">
      <c r="A74" s="49" t="n">
        <f aca="false">IF('Price History'!A75="","",'Price History'!A75)</f>
        <v>45653</v>
      </c>
      <c r="B74" s="76" t="n">
        <f aca="false">IFERROR(IF(OR(NOT(ISNUMBER('Price History'!B75)),NOT(ISNUMBER('Price History'!B74)),'Price History'!B74=0),"",'Price History'!B75/'Price History'!B74-1),"")</f>
        <v>-0.00154303732361294</v>
      </c>
      <c r="C74" s="76" t="n">
        <f aca="false">IFERROR(IF(OR(NOT(ISNUMBER('Price History'!C75)),NOT(ISNUMBER('Price History'!C74)),'Price History'!C74=0),"",'Price History'!C75/'Price History'!C74-1),"")</f>
        <v>0.00195018172147865</v>
      </c>
      <c r="D74" s="76" t="n">
        <f aca="false">IFERROR(IF(OR(NOT(ISNUMBER('Price History'!D75)),NOT(ISNUMBER('Price History'!D74)),'Price History'!D74=0),"",'Price History'!D75/'Price History'!D74-1),"")</f>
        <v>0.011209046593357</v>
      </c>
      <c r="E74" s="76" t="n">
        <f aca="false">IFERROR(IF(OR(NOT(ISNUMBER('Price History'!E75)),NOT(ISNUMBER('Price History'!E74)),'Price History'!E74=0),"",'Price History'!E75/'Price History'!E74-1),"")</f>
        <v>0.0949318356809639</v>
      </c>
      <c r="F74" s="76" t="n">
        <f aca="false">IFERROR(IF(OR(NOT(ISNUMBER('Price History'!F75)),NOT(ISNUMBER('Price History'!F74)),'Price History'!F74=0),"",'Price History'!F75/'Price History'!F74-1),"")</f>
        <v>-0.0200949541790879</v>
      </c>
      <c r="G74" s="76" t="n">
        <f aca="false">IFERROR(IF(OR(NOT(ISNUMBER('Price History'!G75)),NOT(ISNUMBER('Price History'!G74)),'Price History'!G74=0),"",'Price History'!G75/'Price History'!G74-1),"")</f>
        <v>0.0244677470606929</v>
      </c>
      <c r="H74" s="76" t="n">
        <f aca="false">IFERROR(IF(OR(NOT(ISNUMBER('Price History'!H75)),NOT(ISNUMBER('Price History'!H74)),'Price History'!H74=0),"",'Price History'!H75/'Price History'!H74-1),"")</f>
        <v>-0.0165335108743898</v>
      </c>
      <c r="I74" s="76" t="n">
        <f aca="false">IFERROR(IF(OR(NOT(ISNUMBER('Price History'!I75)),NOT(ISNUMBER('Price History'!I74)),'Price History'!I74=0),"",'Price History'!I75/'Price History'!I74-1),"")</f>
        <v>0.0171492204899777</v>
      </c>
      <c r="J74" s="76" t="n">
        <f aca="false">IFERROR(IF(OR(NOT(ISNUMBER('Price History'!J75)),NOT(ISNUMBER('Price History'!J74)),'Price History'!J74=0),"",'Price History'!J75/'Price History'!J74-1),"")</f>
        <v>0.0185830429732869</v>
      </c>
      <c r="K74" s="76" t="n">
        <f aca="false">IFERROR(IF(OR(NOT(ISNUMBER('Price History'!K75)),NOT(ISNUMBER('Price History'!K74)),'Price History'!K74=0),"",'Price History'!K75/'Price History'!K74-1),"")</f>
        <v>-0.0182495344506518</v>
      </c>
      <c r="L74" s="76" t="n">
        <f aca="false">IFERROR(IF(OR(NOT(ISNUMBER('Price History'!L75)),NOT(ISNUMBER('Price History'!L74)),'Price History'!L74=0),"",'Price History'!L75/'Price History'!L74-1),"")</f>
        <v>0.0224126565589979</v>
      </c>
      <c r="M74" s="76" t="n">
        <f aca="false">IFERROR(IF(OR(NOT(ISNUMBER('Price History'!M75)),NOT(ISNUMBER('Price History'!M74)),'Price History'!M74=0),"",'Price History'!M75/'Price History'!M74-1),"")</f>
        <v>-0.0410696434521827</v>
      </c>
      <c r="N74" s="76" t="n">
        <f aca="false">IFERROR(IF(OR(NOT(ISNUMBER('Price History'!N75)),NOT(ISNUMBER('Price History'!N74)),'Price History'!N74=0),"",'Price History'!N75/'Price History'!N74-1),"")</f>
        <v>0.0289223953482518</v>
      </c>
      <c r="O74" s="76" t="n">
        <f aca="false">IFERROR(IF(OR(NOT(ISNUMBER('Price History'!O75)),NOT(ISNUMBER('Price History'!O74)),'Price History'!O74=0),"",'Price History'!O75/'Price History'!O74-1),"")</f>
        <v>0.00395380293413794</v>
      </c>
      <c r="P74" s="76" t="str">
        <f aca="false">IFERROR(IF(OR(NOT(ISNUMBER('Price History'!P75)),NOT(ISNUMBER('Price History'!P74)),'Price History'!P74=0),"",'Price History'!P75/'Price History'!P74-1),"")</f>
        <v/>
      </c>
      <c r="Q74" s="76" t="n">
        <f aca="false">IFERROR(IF(OR(NOT(ISNUMBER('Price History'!Q75)),NOT(ISNUMBER('Price History'!Q74)),'Price History'!Q74=0),"",'Price History'!Q75/'Price History'!Q74-1),"")</f>
        <v>0.0105162523900575</v>
      </c>
      <c r="R74" s="76" t="n">
        <f aca="false">IFERROR(IF(OR(NOT(ISNUMBER('Price History'!R75)),NOT(ISNUMBER('Price History'!R74)),'Price History'!R74=0),"",'Price History'!R75/'Price History'!R74-1),"")</f>
        <v>0.00944055944055933</v>
      </c>
      <c r="S74" s="76" t="n">
        <f aca="false">IFERROR(IF(OR(NOT(ISNUMBER('Price History'!S75)),NOT(ISNUMBER('Price History'!S74)),'Price History'!S74=0),"",'Price History'!S75/'Price History'!S74-1),"")</f>
        <v>0.0105670642393807</v>
      </c>
      <c r="T74" s="76" t="n">
        <f aca="false">IFERROR(IF(OR(NOT(ISNUMBER('Price History'!T75)),NOT(ISNUMBER('Price History'!T74)),'Price History'!T74=0),"",'Price History'!T75/'Price History'!T74-1),"")</f>
        <v>0.00914454277286136</v>
      </c>
      <c r="U74" s="76" t="str">
        <f aca="false">IFERROR(IF(OR(NOT(ISNUMBER('Price History'!U75)),NOT(ISNUMBER('Price History'!U74)),'Price History'!U74=0),"",'Price History'!U75/'Price History'!U74-1),"")</f>
        <v/>
      </c>
      <c r="W74" s="77" t="n">
        <f aca="false">'Price History'!B3+('Price History'!B158-'Price History'!B3)*0.461038961038961</f>
        <v>389.483506493507</v>
      </c>
      <c r="X74" s="77" t="n">
        <f aca="false">'Price History'!C3+('Price History'!C158-'Price History'!C3)*0.461038961038961</f>
        <v>106.722532467532</v>
      </c>
      <c r="Y74" s="77" t="n">
        <f aca="false">'Price History'!D3+('Price History'!D158-'Price History'!D3)*0.461038961038961</f>
        <v>1107.7061038961</v>
      </c>
      <c r="Z74" s="77" t="n">
        <f aca="false">'Price History'!E3+('Price History'!E158-'Price History'!E3)*0.461038961038961</f>
        <v>224.196233766234</v>
      </c>
      <c r="AA74" s="77" t="n">
        <f aca="false">'Price History'!F3+('Price History'!F158-'Price History'!F3)*0.461038961038961</f>
        <v>107.967792207792</v>
      </c>
      <c r="AB74" s="77" t="n">
        <f aca="false">'Price History'!G3+('Price History'!G158-'Price History'!G3)*0.461038961038961</f>
        <v>110.103376623377</v>
      </c>
      <c r="AC74" s="77" t="n">
        <f aca="false">'Price History'!H3+('Price History'!H158-'Price History'!H3)*0.461038961038961</f>
        <v>414.141818181818</v>
      </c>
      <c r="AD74" s="77" t="n">
        <f aca="false">'Price History'!I3+('Price History'!I158-'Price History'!I3)*0.461038961038961</f>
        <v>114.57012987013</v>
      </c>
      <c r="AE74" s="77" t="n">
        <f aca="false">'Price History'!J3+('Price History'!J158-'Price History'!J3)*0.461038961038961</f>
        <v>133.237922077922</v>
      </c>
      <c r="AF74" s="77" t="n">
        <f aca="false">'Price History'!K3+('Price History'!K158-'Price History'!K3)*0.461038961038961</f>
        <v>65.0408441558442</v>
      </c>
      <c r="AG74" s="77" t="n">
        <f aca="false">'Price History'!L3+('Price History'!L158-'Price History'!L3)*0.461038961038961</f>
        <v>235.954025974026</v>
      </c>
      <c r="AH74" s="77" t="n">
        <f aca="false">'Price History'!M3+('Price History'!M158-'Price History'!M3)*0.461038961038961</f>
        <v>129.433766233766</v>
      </c>
      <c r="AI74" s="77" t="n">
        <f aca="false">'Price History'!N3+('Price History'!N158-'Price History'!N3)*0.461038961038961</f>
        <v>408.522597402597</v>
      </c>
      <c r="AJ74" s="77" t="n">
        <f aca="false">'Price History'!O3+('Price History'!O158-'Price History'!O3)*0.461038961038961</f>
        <v>102.411883116883</v>
      </c>
      <c r="AK74" s="77" t="n">
        <f aca="false">'Price History'!Q3+('Price History'!Q151-'Price History'!Q3)*0.461038961038961</f>
        <v>58.4199350649351</v>
      </c>
      <c r="AL74" s="77" t="n">
        <f aca="false">'Price History'!R3+('Price History'!R158-'Price History'!R3)*0.461038961038961</f>
        <v>52.6286363636364</v>
      </c>
      <c r="AM74" s="77" t="n">
        <f aca="false">'Price History'!S3+('Price History'!S158-'Price History'!S3)*0.461038961038961</f>
        <v>97.862012987013</v>
      </c>
      <c r="AN74" s="77" t="n">
        <f aca="false">'Price History'!T3+('Price History'!T158-'Price History'!T3)*0.461038961038961</f>
        <v>37.4355194805195</v>
      </c>
    </row>
    <row r="75" customFormat="false" ht="15" hidden="false" customHeight="true" outlineLevel="0" collapsed="false">
      <c r="A75" s="49" t="n">
        <f aca="false">IF('Price History'!A76="","",'Price History'!A76)</f>
        <v>45660</v>
      </c>
      <c r="B75" s="76" t="n">
        <f aca="false">IFERROR(IF(OR(NOT(ISNUMBER('Price History'!B76)),NOT(ISNUMBER('Price History'!B75)),'Price History'!B75=0),"",'Price History'!B76/'Price History'!B75-1),"")</f>
        <v>-0.0356342949292242</v>
      </c>
      <c r="C75" s="76" t="n">
        <f aca="false">IFERROR(IF(OR(NOT(ISNUMBER('Price History'!C76)),NOT(ISNUMBER('Price History'!C75)),'Price History'!C75=0),"",'Price History'!C76/'Price History'!C75-1),"")</f>
        <v>0.0191984428912679</v>
      </c>
      <c r="D75" s="76" t="n">
        <f aca="false">IFERROR(IF(OR(NOT(ISNUMBER('Price History'!D76)),NOT(ISNUMBER('Price History'!D75)),'Price History'!D75=0),"",'Price History'!D76/'Price History'!D75-1),"")</f>
        <v>0.00107905099566974</v>
      </c>
      <c r="E75" s="76" t="n">
        <f aca="false">IFERROR(IF(OR(NOT(ISNUMBER('Price History'!E76)),NOT(ISNUMBER('Price History'!E75)),'Price History'!E75=0),"",'Price History'!E76/'Price History'!E75-1),"")</f>
        <v>-0.0380558428128232</v>
      </c>
      <c r="F75" s="76" t="n">
        <f aca="false">IFERROR(IF(OR(NOT(ISNUMBER('Price History'!F76)),NOT(ISNUMBER('Price History'!F75)),'Price History'!F75=0),"",'Price History'!F76/'Price History'!F75-1),"")</f>
        <v>0.0113802816901409</v>
      </c>
      <c r="G75" s="76" t="n">
        <f aca="false">IFERROR(IF(OR(NOT(ISNUMBER('Price History'!G76)),NOT(ISNUMBER('Price History'!G75)),'Price History'!G75=0),"",'Price History'!G76/'Price History'!G75-1),"")</f>
        <v>0.0189205955334988</v>
      </c>
      <c r="H75" s="76" t="n">
        <f aca="false">IFERROR(IF(OR(NOT(ISNUMBER('Price History'!H76)),NOT(ISNUMBER('Price History'!H75)),'Price History'!H75=0),"",'Price History'!H76/'Price History'!H75-1),"")</f>
        <v>0.0139907480537065</v>
      </c>
      <c r="I75" s="76" t="n">
        <f aca="false">IFERROR(IF(OR(NOT(ISNUMBER('Price History'!I76)),NOT(ISNUMBER('Price History'!I75)),'Price History'!I75=0),"",'Price History'!I76/'Price History'!I75-1),"")</f>
        <v>0.0544485803955916</v>
      </c>
      <c r="J75" s="76" t="n">
        <f aca="false">IFERROR(IF(OR(NOT(ISNUMBER('Price History'!J76)),NOT(ISNUMBER('Price History'!J75)),'Price History'!J75=0),"",'Price History'!J76/'Price History'!J75-1),"")</f>
        <v>0.00370581527936142</v>
      </c>
      <c r="K75" s="76" t="n">
        <f aca="false">IFERROR(IF(OR(NOT(ISNUMBER('Price History'!K76)),NOT(ISNUMBER('Price History'!K75)),'Price History'!K75=0),"",'Price History'!K76/'Price History'!K75-1),"")</f>
        <v>0.0102427921092565</v>
      </c>
      <c r="L75" s="76" t="n">
        <f aca="false">IFERROR(IF(OR(NOT(ISNUMBER('Price History'!L76)),NOT(ISNUMBER('Price History'!L75)),'Price History'!L75=0),"",'Price History'!L76/'Price History'!L75-1),"")</f>
        <v>0.0346178644050985</v>
      </c>
      <c r="M75" s="76" t="n">
        <f aca="false">IFERROR(IF(OR(NOT(ISNUMBER('Price History'!M76)),NOT(ISNUMBER('Price History'!M75)),'Price History'!M75=0),"",'Price History'!M76/'Price History'!M75-1),"")</f>
        <v>0.0917383372426375</v>
      </c>
      <c r="N75" s="76" t="n">
        <f aca="false">IFERROR(IF(OR(NOT(ISNUMBER('Price History'!N76)),NOT(ISNUMBER('Price History'!N75)),'Price History'!N75=0),"",'Price History'!N76/'Price History'!N75-1),"")</f>
        <v>-0.0040365984930032</v>
      </c>
      <c r="O75" s="76" t="n">
        <f aca="false">IFERROR(IF(OR(NOT(ISNUMBER('Price History'!O76)),NOT(ISNUMBER('Price History'!O75)),'Price History'!O75=0),"",'Price History'!O76/'Price History'!O75-1),"")</f>
        <v>0.00777282619960618</v>
      </c>
      <c r="P75" s="76" t="str">
        <f aca="false">IFERROR(IF(OR(NOT(ISNUMBER('Price History'!P76)),NOT(ISNUMBER('Price History'!P75)),'Price History'!P75=0),"",'Price History'!P76/'Price History'!P75-1),"")</f>
        <v/>
      </c>
      <c r="Q75" s="76" t="n">
        <f aca="false">IFERROR(IF(OR(NOT(ISNUMBER('Price History'!Q76)),NOT(ISNUMBER('Price History'!Q75)),'Price History'!Q75=0),"",'Price History'!Q76/'Price History'!Q75-1),"")</f>
        <v>-0.00898770104068114</v>
      </c>
      <c r="R75" s="76" t="n">
        <f aca="false">IFERROR(IF(OR(NOT(ISNUMBER('Price History'!R76)),NOT(ISNUMBER('Price History'!R75)),'Price History'!R75=0),"",'Price History'!R76/'Price History'!R75-1),"")</f>
        <v>-0.0114305507447178</v>
      </c>
      <c r="S75" s="76" t="n">
        <f aca="false">IFERROR(IF(OR(NOT(ISNUMBER('Price History'!S76)),NOT(ISNUMBER('Price History'!S75)),'Price History'!S75=0),"",'Price History'!S76/'Price History'!S75-1),"")</f>
        <v>0.00310591158505025</v>
      </c>
      <c r="T75" s="76" t="n">
        <f aca="false">IFERROR(IF(OR(NOT(ISNUMBER('Price History'!T76)),NOT(ISNUMBER('Price History'!T75)),'Price History'!T75=0),"",'Price History'!T76/'Price History'!T75-1),"")</f>
        <v>0.00760011692487561</v>
      </c>
      <c r="U75" s="76" t="str">
        <f aca="false">IFERROR(IF(OR(NOT(ISNUMBER('Price History'!U76)),NOT(ISNUMBER('Price History'!U75)),'Price History'!U75=0),"",'Price History'!U76/'Price History'!U75-1),"")</f>
        <v/>
      </c>
      <c r="W75" s="77" t="n">
        <f aca="false">'Price History'!B3+('Price History'!B158-'Price History'!B3)*0.467532467532468</f>
        <v>387.807922077922</v>
      </c>
      <c r="X75" s="77" t="n">
        <f aca="false">'Price History'!C3+('Price History'!C158-'Price History'!C3)*0.467532467532468</f>
        <v>107.60961038961</v>
      </c>
      <c r="Y75" s="77" t="n">
        <f aca="false">'Price History'!D3+('Price History'!D158-'Price History'!D3)*0.467532467532468</f>
        <v>1113.98675324675</v>
      </c>
      <c r="Z75" s="77" t="n">
        <f aca="false">'Price History'!E3+('Price History'!E158-'Price History'!E3)*0.467532467532468</f>
        <v>226.185194805195</v>
      </c>
      <c r="AA75" s="77" t="n">
        <f aca="false">'Price History'!F3+('Price History'!F158-'Price History'!F3)*0.467532467532468</f>
        <v>108.966493506494</v>
      </c>
      <c r="AB75" s="77" t="n">
        <f aca="false">'Price History'!G3+('Price History'!G158-'Price History'!G3)*0.467532467532468</f>
        <v>110.979480519481</v>
      </c>
      <c r="AC75" s="77" t="n">
        <f aca="false">'Price History'!H3+('Price History'!H158-'Price History'!H3)*0.467532467532468</f>
        <v>419.068181818182</v>
      </c>
      <c r="AD75" s="77" t="n">
        <f aca="false">'Price History'!I3+('Price History'!I158-'Price History'!I3)*0.467532467532468</f>
        <v>115.608441558442</v>
      </c>
      <c r="AE75" s="77" t="n">
        <f aca="false">'Price History'!J3+('Price History'!J158-'Price History'!J3)*0.467532467532468</f>
        <v>133.374935064935</v>
      </c>
      <c r="AF75" s="77" t="n">
        <f aca="false">'Price History'!K3+('Price History'!K158-'Price History'!K3)*0.467532467532468</f>
        <v>65.7398701298702</v>
      </c>
      <c r="AG75" s="77" t="n">
        <f aca="false">'Price History'!L3+('Price History'!L158-'Price History'!L3)*0.467532467532468</f>
        <v>237.981688311688</v>
      </c>
      <c r="AH75" s="77" t="n">
        <f aca="false">'Price History'!M3+('Price History'!M158-'Price History'!M3)*0.467532467532468</f>
        <v>130.784805194805</v>
      </c>
      <c r="AI75" s="77" t="n">
        <f aca="false">'Price History'!N3+('Price History'!N158-'Price History'!N3)*0.467532467532468</f>
        <v>409.348831168831</v>
      </c>
      <c r="AJ75" s="77" t="n">
        <f aca="false">'Price History'!O3+('Price History'!O158-'Price History'!O3)*0.467532467532468</f>
        <v>102.687402597403</v>
      </c>
      <c r="AK75" s="77" t="n">
        <f aca="false">'Price History'!Q3+('Price History'!Q151-'Price History'!Q3)*0.467532467532468</f>
        <v>58.5407792207792</v>
      </c>
      <c r="AL75" s="77" t="n">
        <f aca="false">'Price History'!R3+('Price History'!R158-'Price History'!R3)*0.467532467532468</f>
        <v>52.6963636363636</v>
      </c>
      <c r="AM75" s="77" t="n">
        <f aca="false">'Price History'!S3+('Price History'!S158-'Price History'!S3)*0.467532467532468</f>
        <v>98.4158441558442</v>
      </c>
      <c r="AN75" s="77" t="n">
        <f aca="false">'Price History'!T3+('Price History'!T158-'Price History'!T3)*0.467532467532468</f>
        <v>37.5837662337663</v>
      </c>
    </row>
    <row r="76" customFormat="false" ht="15" hidden="false" customHeight="true" outlineLevel="0" collapsed="false">
      <c r="A76" s="49" t="n">
        <f aca="false">IF('Price History'!A77="","",'Price History'!A77)</f>
        <v>45667</v>
      </c>
      <c r="B76" s="76" t="n">
        <f aca="false">IFERROR(IF(OR(NOT(ISNUMBER('Price History'!B77)),NOT(ISNUMBER('Price History'!B76)),'Price History'!B76=0),"",'Price History'!B77/'Price History'!B76-1),"")</f>
        <v>-0.0572496922683884</v>
      </c>
      <c r="C76" s="76" t="n">
        <f aca="false">IFERROR(IF(OR(NOT(ISNUMBER('Price History'!C77)),NOT(ISNUMBER('Price History'!C76)),'Price History'!C76=0),"",'Price History'!C77/'Price History'!C76-1),"")</f>
        <v>-0.00746527777777772</v>
      </c>
      <c r="D76" s="76" t="n">
        <f aca="false">IFERROR(IF(OR(NOT(ISNUMBER('Price History'!D77)),NOT(ISNUMBER('Price History'!D76)),'Price History'!D76=0),"",'Price History'!D77/'Price History'!D76-1),"")</f>
        <v>0.0345064113332214</v>
      </c>
      <c r="E76" s="76" t="n">
        <f aca="false">IFERROR(IF(OR(NOT(ISNUMBER('Price History'!E77)),NOT(ISNUMBER('Price History'!E76)),'Price History'!E76=0),"",'Price History'!E77/'Price History'!E76-1),"")</f>
        <v>-0.0354332401634058</v>
      </c>
      <c r="F76" s="76" t="n">
        <f aca="false">IFERROR(IF(OR(NOT(ISNUMBER('Price History'!F77)),NOT(ISNUMBER('Price History'!F76)),'Price History'!F76=0),"",'Price History'!F77/'Price History'!F76-1),"")</f>
        <v>-0.0284090909090911</v>
      </c>
      <c r="G76" s="76" t="n">
        <f aca="false">IFERROR(IF(OR(NOT(ISNUMBER('Price History'!G77)),NOT(ISNUMBER('Price History'!G76)),'Price History'!G76=0),"",'Price History'!G77/'Price History'!G76-1),"")</f>
        <v>0.0397260273972602</v>
      </c>
      <c r="H76" s="76" t="n">
        <f aca="false">IFERROR(IF(OR(NOT(ISNUMBER('Price History'!H77)),NOT(ISNUMBER('Price History'!H76)),'Price History'!H76=0),"",'Price History'!H77/'Price History'!H76-1),"")</f>
        <v>0.105374429731835</v>
      </c>
      <c r="I76" s="76" t="n">
        <f aca="false">IFERROR(IF(OR(NOT(ISNUMBER('Price History'!I77)),NOT(ISNUMBER('Price History'!I76)),'Price History'!I76=0),"",'Price History'!I77/'Price History'!I76-1),"")</f>
        <v>-0.0592510555824739</v>
      </c>
      <c r="J76" s="76" t="n">
        <f aca="false">IFERROR(IF(OR(NOT(ISNUMBER('Price History'!J77)),NOT(ISNUMBER('Price History'!J76)),'Price History'!J76=0),"",'Price History'!J77/'Price History'!J76-1),"")</f>
        <v>-0.0193126952570292</v>
      </c>
      <c r="K76" s="76" t="n">
        <f aca="false">IFERROR(IF(OR(NOT(ISNUMBER('Price History'!K77)),NOT(ISNUMBER('Price History'!K76)),'Price History'!K76=0),"",'Price History'!K77/'Price History'!K76-1),"")</f>
        <v>-0.1580923770184</v>
      </c>
      <c r="L76" s="76" t="n">
        <f aca="false">IFERROR(IF(OR(NOT(ISNUMBER('Price History'!L77)),NOT(ISNUMBER('Price History'!L76)),'Price History'!L76=0),"",'Price History'!L77/'Price History'!L76-1),"")</f>
        <v>-0.00115047217295439</v>
      </c>
      <c r="M76" s="76" t="n">
        <f aca="false">IFERROR(IF(OR(NOT(ISNUMBER('Price History'!M77)),NOT(ISNUMBER('Price History'!M76)),'Price History'!M76=0),"",'Price History'!M77/'Price History'!M76-1),"")</f>
        <v>0.0259409564733031</v>
      </c>
      <c r="N76" s="76" t="n">
        <f aca="false">IFERROR(IF(OR(NOT(ISNUMBER('Price History'!N77)),NOT(ISNUMBER('Price History'!N76)),'Price History'!N76=0),"",'Price History'!N77/'Price History'!N76-1),"")</f>
        <v>0.00601802952518971</v>
      </c>
      <c r="O76" s="76" t="n">
        <f aca="false">IFERROR(IF(OR(NOT(ISNUMBER('Price History'!O77)),NOT(ISNUMBER('Price History'!O76)),'Price History'!O76=0),"",'Price History'!O77/'Price History'!O76-1),"")</f>
        <v>-0.0262237762237761</v>
      </c>
      <c r="P76" s="76" t="str">
        <f aca="false">IFERROR(IF(OR(NOT(ISNUMBER('Price History'!P77)),NOT(ISNUMBER('Price History'!P76)),'Price History'!P76=0),"",'Price History'!P77/'Price History'!P76-1),"")</f>
        <v/>
      </c>
      <c r="Q76" s="76" t="n">
        <f aca="false">IFERROR(IF(OR(NOT(ISNUMBER('Price History'!Q77)),NOT(ISNUMBER('Price History'!Q76)),'Price History'!Q76=0),"",'Price History'!Q77/'Price History'!Q76-1),"")</f>
        <v>-0.00636435958631665</v>
      </c>
      <c r="R76" s="76" t="n">
        <f aca="false">IFERROR(IF(OR(NOT(ISNUMBER('Price History'!R77)),NOT(ISNUMBER('Price History'!R76)),'Price History'!R76=0),"",'Price History'!R77/'Price History'!R76-1),"")</f>
        <v>-0.0192711983181499</v>
      </c>
      <c r="S76" s="76" t="n">
        <f aca="false">IFERROR(IF(OR(NOT(ISNUMBER('Price History'!S77)),NOT(ISNUMBER('Price History'!S76)),'Price History'!S76=0),"",'Price History'!S77/'Price History'!S76-1),"")</f>
        <v>-0.0135204871503768</v>
      </c>
      <c r="T76" s="76" t="n">
        <f aca="false">IFERROR(IF(OR(NOT(ISNUMBER('Price History'!T77)),NOT(ISNUMBER('Price History'!T76)),'Price History'!T76=0),"",'Price History'!T77/'Price History'!T76-1),"")</f>
        <v>-0.000290107339715684</v>
      </c>
      <c r="U76" s="76" t="str">
        <f aca="false">IFERROR(IF(OR(NOT(ISNUMBER('Price History'!U77)),NOT(ISNUMBER('Price History'!U76)),'Price History'!U76=0),"",'Price History'!U77/'Price History'!U76-1),"")</f>
        <v/>
      </c>
      <c r="W76" s="77" t="n">
        <f aca="false">'Price History'!B3+('Price History'!B158-'Price History'!B3)*0.474025974025974</f>
        <v>386.132337662338</v>
      </c>
      <c r="X76" s="77" t="n">
        <f aca="false">'Price History'!C3+('Price History'!C158-'Price History'!C3)*0.474025974025974</f>
        <v>108.496688311688</v>
      </c>
      <c r="Y76" s="77" t="n">
        <f aca="false">'Price History'!D3+('Price History'!D158-'Price History'!D3)*0.474025974025974</f>
        <v>1120.2674025974</v>
      </c>
      <c r="Z76" s="77" t="n">
        <f aca="false">'Price History'!E3+('Price History'!E158-'Price History'!E3)*0.474025974025974</f>
        <v>228.174155844156</v>
      </c>
      <c r="AA76" s="77" t="n">
        <f aca="false">'Price History'!F3+('Price History'!F158-'Price History'!F3)*0.474025974025974</f>
        <v>109.965194805195</v>
      </c>
      <c r="AB76" s="77" t="n">
        <f aca="false">'Price History'!G3+('Price History'!G158-'Price History'!G3)*0.474025974025974</f>
        <v>111.855584415584</v>
      </c>
      <c r="AC76" s="77" t="n">
        <f aca="false">'Price History'!H3+('Price History'!H158-'Price History'!H3)*0.474025974025974</f>
        <v>423.994545454545</v>
      </c>
      <c r="AD76" s="77" t="n">
        <f aca="false">'Price History'!I3+('Price History'!I158-'Price History'!I3)*0.474025974025974</f>
        <v>116.646753246753</v>
      </c>
      <c r="AE76" s="77" t="n">
        <f aca="false">'Price History'!J3+('Price History'!J158-'Price History'!J3)*0.474025974025974</f>
        <v>133.511948051948</v>
      </c>
      <c r="AF76" s="77" t="n">
        <f aca="false">'Price History'!K3+('Price History'!K158-'Price History'!K3)*0.474025974025974</f>
        <v>66.4388961038961</v>
      </c>
      <c r="AG76" s="77" t="n">
        <f aca="false">'Price History'!L3+('Price History'!L158-'Price History'!L3)*0.474025974025974</f>
        <v>240.009350649351</v>
      </c>
      <c r="AH76" s="77" t="n">
        <f aca="false">'Price History'!M3+('Price History'!M158-'Price History'!M3)*0.474025974025974</f>
        <v>132.135844155844</v>
      </c>
      <c r="AI76" s="77" t="n">
        <f aca="false">'Price History'!N3+('Price History'!N158-'Price History'!N3)*0.474025974025974</f>
        <v>410.175064935065</v>
      </c>
      <c r="AJ76" s="77" t="n">
        <f aca="false">'Price History'!O3+('Price History'!O158-'Price History'!O3)*0.474025974025974</f>
        <v>102.962922077922</v>
      </c>
      <c r="AK76" s="77" t="n">
        <f aca="false">'Price History'!Q3+('Price History'!Q151-'Price History'!Q3)*0.474025974025974</f>
        <v>58.6616233766234</v>
      </c>
      <c r="AL76" s="77" t="n">
        <f aca="false">'Price History'!R3+('Price History'!R158-'Price History'!R3)*0.474025974025974</f>
        <v>52.7640909090909</v>
      </c>
      <c r="AM76" s="77" t="n">
        <f aca="false">'Price History'!S3+('Price History'!S158-'Price History'!S3)*0.474025974025974</f>
        <v>98.9696753246753</v>
      </c>
      <c r="AN76" s="77" t="n">
        <f aca="false">'Price History'!T3+('Price History'!T158-'Price History'!T3)*0.474025974025974</f>
        <v>37.732012987013</v>
      </c>
    </row>
    <row r="77" customFormat="false" ht="15" hidden="false" customHeight="true" outlineLevel="0" collapsed="false">
      <c r="A77" s="49" t="n">
        <f aca="false">IF('Price History'!A78="","",'Price History'!A78)</f>
        <v>45674</v>
      </c>
      <c r="B77" s="76" t="n">
        <f aca="false">IFERROR(IF(OR(NOT(ISNUMBER('Price History'!B78)),NOT(ISNUMBER('Price History'!B77)),'Price History'!B77=0),"",'Price History'!B78/'Price History'!B77-1),"")</f>
        <v>0.0592973985021679</v>
      </c>
      <c r="C77" s="76" t="n">
        <f aca="false">IFERROR(IF(OR(NOT(ISNUMBER('Price History'!C78)),NOT(ISNUMBER('Price History'!C77)),'Price History'!C77=0),"",'Price History'!C78/'Price History'!C77-1),"")</f>
        <v>0.0490641945076089</v>
      </c>
      <c r="D77" s="76" t="n">
        <f aca="false">IFERROR(IF(OR(NOT(ISNUMBER('Price History'!D78)),NOT(ISNUMBER('Price History'!D77)),'Price History'!D77=0),"",'Price History'!D78/'Price History'!D77-1),"")</f>
        <v>0.0234367599897161</v>
      </c>
      <c r="E77" s="76" t="n">
        <f aca="false">IFERROR(IF(OR(NOT(ISNUMBER('Price History'!E78)),NOT(ISNUMBER('Price History'!E77)),'Price History'!E77=0),"",'Price History'!E78/'Price History'!E77-1),"")</f>
        <v>0.0585350630823414</v>
      </c>
      <c r="F77" s="76" t="n">
        <f aca="false">IFERROR(IF(OR(NOT(ISNUMBER('Price History'!F78)),NOT(ISNUMBER('Price History'!F77)),'Price History'!F77=0),"",'Price History'!F78/'Price History'!F77-1),"")</f>
        <v>0.0233918128654971</v>
      </c>
      <c r="G77" s="76" t="n">
        <f aca="false">IFERROR(IF(OR(NOT(ISNUMBER('Price History'!G78)),NOT(ISNUMBER('Price History'!G77)),'Price History'!G77=0),"",'Price History'!G78/'Price History'!G77-1),"")</f>
        <v>0.108915239350022</v>
      </c>
      <c r="H77" s="76" t="n">
        <f aca="false">IFERROR(IF(OR(NOT(ISNUMBER('Price History'!H78)),NOT(ISNUMBER('Price History'!H77)),'Price History'!H77=0),"",'Price History'!H78/'Price History'!H77-1),"")</f>
        <v>0.0645258707469296</v>
      </c>
      <c r="I77" s="76" t="n">
        <f aca="false">IFERROR(IF(OR(NOT(ISNUMBER('Price History'!I78)),NOT(ISNUMBER('Price History'!I77)),'Price History'!I77=0),"",'Price History'!I78/'Price History'!I77-1),"")</f>
        <v>0.0132440585681701</v>
      </c>
      <c r="J77" s="76" t="n">
        <f aca="false">IFERROR(IF(OR(NOT(ISNUMBER('Price History'!J78)),NOT(ISNUMBER('Price History'!J77)),'Price History'!J77=0),"",'Price History'!J78/'Price History'!J77-1),"")</f>
        <v>0.056858770151559</v>
      </c>
      <c r="K77" s="76" t="n">
        <f aca="false">IFERROR(IF(OR(NOT(ISNUMBER('Price History'!K78)),NOT(ISNUMBER('Price History'!K77)),'Price History'!K77=0),"",'Price History'!K78/'Price History'!K77-1),"")</f>
        <v>0.0670532262860539</v>
      </c>
      <c r="L77" s="76" t="n">
        <f aca="false">IFERROR(IF(OR(NOT(ISNUMBER('Price History'!L78)),NOT(ISNUMBER('Price History'!L77)),'Price History'!L77=0),"",'Price History'!L78/'Price History'!L77-1),"")</f>
        <v>0.0150213562413015</v>
      </c>
      <c r="M77" s="76" t="n">
        <f aca="false">IFERROR(IF(OR(NOT(ISNUMBER('Price History'!M78)),NOT(ISNUMBER('Price History'!M77)),'Price History'!M77=0),"",'Price History'!M78/'Price History'!M77-1),"")</f>
        <v>0.0539052198867602</v>
      </c>
      <c r="N77" s="76" t="n">
        <f aca="false">IFERROR(IF(OR(NOT(ISNUMBER('Price History'!N78)),NOT(ISNUMBER('Price History'!N77)),'Price History'!N77=0),"",'Price History'!N78/'Price History'!N77-1),"")</f>
        <v>0.0303740599667937</v>
      </c>
      <c r="O77" s="76" t="n">
        <f aca="false">IFERROR(IF(OR(NOT(ISNUMBER('Price History'!O78)),NOT(ISNUMBER('Price History'!O77)),'Price History'!O77=0),"",'Price History'!O78/'Price History'!O77-1),"")</f>
        <v>0.0488963987749498</v>
      </c>
      <c r="P77" s="76" t="str">
        <f aca="false">IFERROR(IF(OR(NOT(ISNUMBER('Price History'!P78)),NOT(ISNUMBER('Price History'!P77)),'Price History'!P77=0),"",'Price History'!P78/'Price History'!P77-1),"")</f>
        <v/>
      </c>
      <c r="Q77" s="76" t="n">
        <f aca="false">IFERROR(IF(OR(NOT(ISNUMBER('Price History'!Q78)),NOT(ISNUMBER('Price History'!Q77)),'Price History'!Q77=0),"",'Price History'!Q78/'Price History'!Q77-1),"")</f>
        <v>-0.0174539631705365</v>
      </c>
      <c r="R77" s="76" t="n">
        <f aca="false">IFERROR(IF(OR(NOT(ISNUMBER('Price History'!R78)),NOT(ISNUMBER('Price History'!R77)),'Price History'!R77=0),"",'Price History'!R78/'Price History'!R77-1),"")</f>
        <v>0.0230439442658092</v>
      </c>
      <c r="S77" s="76" t="n">
        <f aca="false">IFERROR(IF(OR(NOT(ISNUMBER('Price History'!S78)),NOT(ISNUMBER('Price History'!S77)),'Price History'!S77=0),"",'Price History'!S78/'Price History'!S77-1),"")</f>
        <v>0.0321196903117809</v>
      </c>
      <c r="T77" s="76" t="n">
        <f aca="false">IFERROR(IF(OR(NOT(ISNUMBER('Price History'!T78)),NOT(ISNUMBER('Price History'!T77)),'Price History'!T77=0),"",'Price History'!T78/'Price History'!T77-1),"")</f>
        <v>0.038595473012188</v>
      </c>
      <c r="U77" s="76" t="str">
        <f aca="false">IFERROR(IF(OR(NOT(ISNUMBER('Price History'!U78)),NOT(ISNUMBER('Price History'!U77)),'Price History'!U77=0),"",'Price History'!U78/'Price History'!U77-1),"")</f>
        <v/>
      </c>
      <c r="W77" s="77" t="n">
        <f aca="false">'Price History'!B3+('Price History'!B158-'Price History'!B3)*0.480519480519481</f>
        <v>384.456753246753</v>
      </c>
      <c r="X77" s="77" t="n">
        <f aca="false">'Price History'!C3+('Price History'!C158-'Price History'!C3)*0.480519480519481</f>
        <v>109.383766233766</v>
      </c>
      <c r="Y77" s="77" t="n">
        <f aca="false">'Price History'!D3+('Price History'!D158-'Price History'!D3)*0.480519480519481</f>
        <v>1126.54805194805</v>
      </c>
      <c r="Z77" s="77" t="n">
        <f aca="false">'Price History'!E3+('Price History'!E158-'Price History'!E3)*0.480519480519481</f>
        <v>230.163116883117</v>
      </c>
      <c r="AA77" s="77" t="n">
        <f aca="false">'Price History'!F3+('Price History'!F158-'Price History'!F3)*0.480519480519481</f>
        <v>110.963896103896</v>
      </c>
      <c r="AB77" s="77" t="n">
        <f aca="false">'Price History'!G3+('Price History'!G158-'Price History'!G3)*0.480519480519481</f>
        <v>112.731688311688</v>
      </c>
      <c r="AC77" s="77" t="n">
        <f aca="false">'Price History'!H3+('Price History'!H158-'Price History'!H3)*0.480519480519481</f>
        <v>428.920909090909</v>
      </c>
      <c r="AD77" s="77" t="n">
        <f aca="false">'Price History'!I3+('Price History'!I158-'Price History'!I3)*0.480519480519481</f>
        <v>117.685064935065</v>
      </c>
      <c r="AE77" s="77" t="n">
        <f aca="false">'Price History'!J3+('Price History'!J158-'Price History'!J3)*0.480519480519481</f>
        <v>133.648961038961</v>
      </c>
      <c r="AF77" s="77" t="n">
        <f aca="false">'Price History'!K3+('Price History'!K158-'Price History'!K3)*0.480519480519481</f>
        <v>67.1379220779221</v>
      </c>
      <c r="AG77" s="77" t="n">
        <f aca="false">'Price History'!L3+('Price History'!L158-'Price History'!L3)*0.480519480519481</f>
        <v>242.037012987013</v>
      </c>
      <c r="AH77" s="77" t="n">
        <f aca="false">'Price History'!M3+('Price History'!M158-'Price History'!M3)*0.480519480519481</f>
        <v>133.486883116883</v>
      </c>
      <c r="AI77" s="77" t="n">
        <f aca="false">'Price History'!N3+('Price History'!N158-'Price History'!N3)*0.480519480519481</f>
        <v>411.001298701299</v>
      </c>
      <c r="AJ77" s="77" t="n">
        <f aca="false">'Price History'!O3+('Price History'!O158-'Price History'!O3)*0.480519480519481</f>
        <v>103.238441558442</v>
      </c>
      <c r="AK77" s="77" t="n">
        <f aca="false">'Price History'!Q3+('Price History'!Q151-'Price History'!Q3)*0.480519480519481</f>
        <v>58.7824675324675</v>
      </c>
      <c r="AL77" s="77" t="n">
        <f aca="false">'Price History'!R3+('Price History'!R158-'Price History'!R3)*0.480519480519481</f>
        <v>52.8318181818182</v>
      </c>
      <c r="AM77" s="77" t="n">
        <f aca="false">'Price History'!S3+('Price History'!S158-'Price History'!S3)*0.480519480519481</f>
        <v>99.5235064935066</v>
      </c>
      <c r="AN77" s="77" t="n">
        <f aca="false">'Price History'!T3+('Price History'!T158-'Price History'!T3)*0.480519480519481</f>
        <v>37.8802597402598</v>
      </c>
    </row>
    <row r="78" customFormat="false" ht="15" hidden="false" customHeight="true" outlineLevel="0" collapsed="false">
      <c r="A78" s="49" t="n">
        <f aca="false">IF('Price History'!A79="","",'Price History'!A79)</f>
        <v>45681</v>
      </c>
      <c r="B78" s="76" t="n">
        <f aca="false">IFERROR(IF(OR(NOT(ISNUMBER('Price History'!B79)),NOT(ISNUMBER('Price History'!B78)),'Price History'!B78=0),"",'Price History'!B79/'Price History'!B78-1),"")</f>
        <v>0.0125351752366334</v>
      </c>
      <c r="C78" s="76" t="n">
        <f aca="false">IFERROR(IF(OR(NOT(ISNUMBER('Price History'!C79)),NOT(ISNUMBER('Price History'!C78)),'Price History'!C78=0),"",'Price History'!C79/'Price History'!C78-1),"")</f>
        <v>0.0768653605669027</v>
      </c>
      <c r="D78" s="76" t="n">
        <f aca="false">IFERROR(IF(OR(NOT(ISNUMBER('Price History'!D79)),NOT(ISNUMBER('Price History'!D78)),'Price History'!D78=0),"",'Price History'!D79/'Price History'!D78-1),"")</f>
        <v>-0.0318379543321038</v>
      </c>
      <c r="E78" s="76" t="n">
        <f aca="false">IFERROR(IF(OR(NOT(ISNUMBER('Price History'!E79)),NOT(ISNUMBER('Price History'!E78)),'Price History'!E78=0),"",'Price History'!E79/'Price History'!E78-1),"")</f>
        <v>0.0305761455525606</v>
      </c>
      <c r="F78" s="76" t="n">
        <f aca="false">IFERROR(IF(OR(NOT(ISNUMBER('Price History'!F79)),NOT(ISNUMBER('Price History'!F78)),'Price History'!F78=0),"",'Price History'!F79/'Price History'!F78-1),"")</f>
        <v>0.0501960784313726</v>
      </c>
      <c r="G78" s="76" t="n">
        <f aca="false">IFERROR(IF(OR(NOT(ISNUMBER('Price History'!G79)),NOT(ISNUMBER('Price History'!G78)),'Price History'!G78=0),"",'Price History'!G79/'Price History'!G78-1),"")</f>
        <v>-0.0101650165016501</v>
      </c>
      <c r="H78" s="76" t="n">
        <f aca="false">IFERROR(IF(OR(NOT(ISNUMBER('Price History'!H79)),NOT(ISNUMBER('Price History'!H78)),'Price History'!H78=0),"",'Price History'!H79/'Price History'!H78-1),"")</f>
        <v>-0.0242080378250591</v>
      </c>
      <c r="I78" s="76" t="n">
        <f aca="false">IFERROR(IF(OR(NOT(ISNUMBER('Price History'!I79)),NOT(ISNUMBER('Price History'!I78)),'Price History'!I78=0),"",'Price History'!I79/'Price History'!I78-1),"")</f>
        <v>0.0356546365550794</v>
      </c>
      <c r="J78" s="76" t="n">
        <f aca="false">IFERROR(IF(OR(NOT(ISNUMBER('Price History'!J79)),NOT(ISNUMBER('Price History'!J78)),'Price History'!J78=0),"",'Price History'!J79/'Price History'!J78-1),"")</f>
        <v>0.0863171355498722</v>
      </c>
      <c r="K78" s="76" t="n">
        <f aca="false">IFERROR(IF(OR(NOT(ISNUMBER('Price History'!K79)),NOT(ISNUMBER('Price History'!K78)),'Price History'!K78=0),"",'Price History'!K79/'Price History'!K78-1),"")</f>
        <v>0.100459802145743</v>
      </c>
      <c r="L78" s="76" t="n">
        <f aca="false">IFERROR(IF(OR(NOT(ISNUMBER('Price History'!L79)),NOT(ISNUMBER('Price History'!L78)),'Price History'!L78=0),"",'Price History'!L79/'Price History'!L78-1),"")</f>
        <v>0.0490780141843972</v>
      </c>
      <c r="M78" s="76" t="n">
        <f aca="false">IFERROR(IF(OR(NOT(ISNUMBER('Price History'!M79)),NOT(ISNUMBER('Price History'!M78)),'Price History'!M78=0),"",'Price History'!M79/'Price History'!M78-1),"")</f>
        <v>0.0768324992640566</v>
      </c>
      <c r="N78" s="76" t="n">
        <f aca="false">IFERROR(IF(OR(NOT(ISNUMBER('Price History'!N79)),NOT(ISNUMBER('Price History'!N78)),'Price History'!N78=0),"",'Price History'!N79/'Price History'!N78-1),"")</f>
        <v>0.0417535545023697</v>
      </c>
      <c r="O78" s="76" t="n">
        <f aca="false">IFERROR(IF(OR(NOT(ISNUMBER('Price History'!O79)),NOT(ISNUMBER('Price History'!O78)),'Price History'!O78=0),"",'Price History'!O79/'Price History'!O78-1),"")</f>
        <v>0.00503423278292381</v>
      </c>
      <c r="P78" s="76" t="str">
        <f aca="false">IFERROR(IF(OR(NOT(ISNUMBER('Price History'!P79)),NOT(ISNUMBER('Price History'!P78)),'Price History'!P78=0),"",'Price History'!P79/'Price History'!P78-1),"")</f>
        <v/>
      </c>
      <c r="Q78" s="76" t="n">
        <f aca="false">IFERROR(IF(OR(NOT(ISNUMBER('Price History'!Q79)),NOT(ISNUMBER('Price History'!Q78)),'Price History'!Q78=0),"",'Price History'!Q79/'Price History'!Q78-1),"")</f>
        <v>-0.0141786179921772</v>
      </c>
      <c r="R78" s="76" t="n">
        <f aca="false">IFERROR(IF(OR(NOT(ISNUMBER('Price History'!R79)),NOT(ISNUMBER('Price History'!R78)),'Price History'!R78=0),"",'Price History'!R79/'Price History'!R78-1),"")</f>
        <v>0.0139689191548804</v>
      </c>
      <c r="S78" s="76" t="n">
        <f aca="false">IFERROR(IF(OR(NOT(ISNUMBER('Price History'!S79)),NOT(ISNUMBER('Price History'!S78)),'Price History'!S78=0),"",'Price History'!S79/'Price History'!S78-1),"")</f>
        <v>0.0271667511403952</v>
      </c>
      <c r="T78" s="76" t="n">
        <f aca="false">IFERROR(IF(OR(NOT(ISNUMBER('Price History'!T79)),NOT(ISNUMBER('Price History'!T78)),'Price History'!T78=0),"",'Price History'!T79/'Price History'!T78-1),"")</f>
        <v>0.00251466890192797</v>
      </c>
      <c r="U78" s="76" t="str">
        <f aca="false">IFERROR(IF(OR(NOT(ISNUMBER('Price History'!U79)),NOT(ISNUMBER('Price History'!U78)),'Price History'!U78=0),"",'Price History'!U79/'Price History'!U78-1),"")</f>
        <v/>
      </c>
      <c r="W78" s="77" t="n">
        <f aca="false">'Price History'!B3+('Price History'!B158-'Price History'!B3)*0.487012987012987</f>
        <v>382.781168831169</v>
      </c>
      <c r="X78" s="77" t="n">
        <f aca="false">'Price History'!C3+('Price History'!C158-'Price History'!C3)*0.487012987012987</f>
        <v>110.270844155844</v>
      </c>
      <c r="Y78" s="77" t="n">
        <f aca="false">'Price History'!D3+('Price History'!D158-'Price History'!D3)*0.487012987012987</f>
        <v>1132.8287012987</v>
      </c>
      <c r="Z78" s="77" t="n">
        <f aca="false">'Price History'!E3+('Price History'!E158-'Price History'!E3)*0.487012987012987</f>
        <v>232.152077922078</v>
      </c>
      <c r="AA78" s="77" t="n">
        <f aca="false">'Price History'!F3+('Price History'!F158-'Price History'!F3)*0.487012987012987</f>
        <v>111.962597402597</v>
      </c>
      <c r="AB78" s="77" t="n">
        <f aca="false">'Price History'!G3+('Price History'!G158-'Price History'!G3)*0.487012987012987</f>
        <v>113.607792207792</v>
      </c>
      <c r="AC78" s="77" t="n">
        <f aca="false">'Price History'!H3+('Price History'!H158-'Price History'!H3)*0.487012987012987</f>
        <v>433.847272727273</v>
      </c>
      <c r="AD78" s="77" t="n">
        <f aca="false">'Price History'!I3+('Price History'!I158-'Price History'!I3)*0.487012987012987</f>
        <v>118.723376623377</v>
      </c>
      <c r="AE78" s="77" t="n">
        <f aca="false">'Price History'!J3+('Price History'!J158-'Price History'!J3)*0.487012987012987</f>
        <v>133.785974025974</v>
      </c>
      <c r="AF78" s="77" t="n">
        <f aca="false">'Price History'!K3+('Price History'!K158-'Price History'!K3)*0.487012987012987</f>
        <v>67.8369480519481</v>
      </c>
      <c r="AG78" s="77" t="n">
        <f aca="false">'Price History'!L3+('Price History'!L158-'Price History'!L3)*0.487012987012987</f>
        <v>244.064675324675</v>
      </c>
      <c r="AH78" s="77" t="n">
        <f aca="false">'Price History'!M3+('Price History'!M158-'Price History'!M3)*0.487012987012987</f>
        <v>134.837922077922</v>
      </c>
      <c r="AI78" s="77" t="n">
        <f aca="false">'Price History'!N3+('Price History'!N158-'Price History'!N3)*0.487012987012987</f>
        <v>411.827532467533</v>
      </c>
      <c r="AJ78" s="77" t="n">
        <f aca="false">'Price History'!O3+('Price History'!O158-'Price History'!O3)*0.487012987012987</f>
        <v>103.513961038961</v>
      </c>
      <c r="AK78" s="77" t="n">
        <f aca="false">'Price History'!Q3+('Price History'!Q151-'Price History'!Q3)*0.487012987012987</f>
        <v>58.9033116883117</v>
      </c>
      <c r="AL78" s="77" t="n">
        <f aca="false">'Price History'!R3+('Price History'!R158-'Price History'!R3)*0.487012987012987</f>
        <v>52.8995454545455</v>
      </c>
      <c r="AM78" s="77" t="n">
        <f aca="false">'Price History'!S3+('Price History'!S158-'Price History'!S3)*0.487012987012987</f>
        <v>100.077337662338</v>
      </c>
      <c r="AN78" s="77" t="n">
        <f aca="false">'Price History'!T3+('Price History'!T158-'Price History'!T3)*0.487012987012987</f>
        <v>38.0285064935065</v>
      </c>
    </row>
    <row r="79" customFormat="false" ht="15" hidden="false" customHeight="true" outlineLevel="0" collapsed="false">
      <c r="A79" s="49" t="n">
        <f aca="false">IF('Price History'!A80="","",'Price History'!A80)</f>
        <v>45688</v>
      </c>
      <c r="B79" s="76" t="n">
        <f aca="false">IFERROR(IF(OR(NOT(ISNUMBER('Price History'!B80)),NOT(ISNUMBER('Price History'!B79)),'Price History'!B79=0),"",'Price History'!B80/'Price History'!B79-1),"")</f>
        <v>0.00475446736184471</v>
      </c>
      <c r="C79" s="76" t="n">
        <f aca="false">IFERROR(IF(OR(NOT(ISNUMBER('Price History'!C80)),NOT(ISNUMBER('Price History'!C79)),'Price History'!C79=0),"",'Price History'!C80/'Price History'!C79-1),"")</f>
        <v>-0.107919795618177</v>
      </c>
      <c r="D79" s="76" t="n">
        <f aca="false">IFERROR(IF(OR(NOT(ISNUMBER('Price History'!D80)),NOT(ISNUMBER('Price History'!D79)),'Price History'!D79=0),"",'Price History'!D80/'Price History'!D79-1),"")</f>
        <v>0.00964151587572548</v>
      </c>
      <c r="E79" s="76" t="n">
        <f aca="false">IFERROR(IF(OR(NOT(ISNUMBER('Price History'!E80)),NOT(ISNUMBER('Price History'!E79)),'Price History'!E79=0),"",'Price History'!E80/'Price History'!E79-1),"")</f>
        <v>-0.0957498978340825</v>
      </c>
      <c r="F79" s="76" t="n">
        <f aca="false">IFERROR(IF(OR(NOT(ISNUMBER('Price History'!F80)),NOT(ISNUMBER('Price History'!F79)),'Price History'!F79=0),"",'Price History'!F80/'Price History'!F79-1),"")</f>
        <v>0.0617731782780326</v>
      </c>
      <c r="G79" s="76" t="n">
        <f aca="false">IFERROR(IF(OR(NOT(ISNUMBER('Price History'!G80)),NOT(ISNUMBER('Price History'!G79)),'Price History'!G79=0),"",'Price History'!G80/'Price History'!G79-1),"")</f>
        <v>-0.0154707922112565</v>
      </c>
      <c r="H79" s="76" t="n">
        <f aca="false">IFERROR(IF(OR(NOT(ISNUMBER('Price History'!H80)),NOT(ISNUMBER('Price History'!H79)),'Price History'!H79=0),"",'Price History'!H80/'Price History'!H79-1),"")</f>
        <v>-0.115805795135188</v>
      </c>
      <c r="I79" s="76" t="n">
        <f aca="false">IFERROR(IF(OR(NOT(ISNUMBER('Price History'!I80)),NOT(ISNUMBER('Price History'!I79)),'Price History'!I79=0),"",'Price History'!I80/'Price History'!I79-1),"")</f>
        <v>-0.158112466694713</v>
      </c>
      <c r="J79" s="76" t="n">
        <f aca="false">IFERROR(IF(OR(NOT(ISNUMBER('Price History'!J80)),NOT(ISNUMBER('Price History'!J79)),'Price History'!J79=0),"",'Price History'!J80/'Price History'!J79-1),"")</f>
        <v>0.00269065837047</v>
      </c>
      <c r="K79" s="76" t="n">
        <f aca="false">IFERROR(IF(OR(NOT(ISNUMBER('Price History'!K80)),NOT(ISNUMBER('Price History'!K79)),'Price History'!K79=0),"",'Price History'!K80/'Price History'!K79-1),"")</f>
        <v>0.0444416307926057</v>
      </c>
      <c r="L79" s="76" t="n">
        <f aca="false">IFERROR(IF(OR(NOT(ISNUMBER('Price History'!L80)),NOT(ISNUMBER('Price History'!L79)),'Price History'!L79=0),"",'Price History'!L80/'Price History'!L79-1),"")</f>
        <v>-0.0566071750495764</v>
      </c>
      <c r="M79" s="76" t="n">
        <f aca="false">IFERROR(IF(OR(NOT(ISNUMBER('Price History'!M80)),NOT(ISNUMBER('Price History'!M79)),'Price History'!M79=0),"",'Price History'!M80/'Price History'!M79-1),"")</f>
        <v>-0.200246036085292</v>
      </c>
      <c r="N79" s="76" t="n">
        <f aca="false">IFERROR(IF(OR(NOT(ISNUMBER('Price History'!N80)),NOT(ISNUMBER('Price History'!N79)),'Price History'!N79=0),"",'Price History'!N80/'Price History'!N79-1),"")</f>
        <v>0.0501797006505618</v>
      </c>
      <c r="O79" s="76" t="n">
        <f aca="false">IFERROR(IF(OR(NOT(ISNUMBER('Price History'!O80)),NOT(ISNUMBER('Price History'!O79)),'Price History'!O79=0),"",'Price History'!O80/'Price History'!O79-1),"")</f>
        <v>-0.0151272290122219</v>
      </c>
      <c r="P79" s="76" t="str">
        <f aca="false">IFERROR(IF(OR(NOT(ISNUMBER('Price History'!P80)),NOT(ISNUMBER('Price History'!P79)),'Price History'!P79=0),"",'Price History'!P80/'Price History'!P79-1),"")</f>
        <v/>
      </c>
      <c r="Q79" s="76" t="n">
        <f aca="false">IFERROR(IF(OR(NOT(ISNUMBER('Price History'!Q80)),NOT(ISNUMBER('Price History'!Q79)),'Price History'!Q79=0),"",'Price History'!Q80/'Price History'!Q79-1),"")</f>
        <v>-0.00214911555629038</v>
      </c>
      <c r="R79" s="76" t="n">
        <f aca="false">IFERROR(IF(OR(NOT(ISNUMBER('Price History'!R80)),NOT(ISNUMBER('Price History'!R79)),'Price History'!R79=0),"",'Price History'!R80/'Price History'!R79-1),"")</f>
        <v>-0.0103323574995695</v>
      </c>
      <c r="S79" s="76" t="n">
        <f aca="false">IFERROR(IF(OR(NOT(ISNUMBER('Price History'!S80)),NOT(ISNUMBER('Price History'!S79)),'Price History'!S79=0),"",'Price History'!S80/'Price History'!S79-1),"")</f>
        <v>-0.0127306819303266</v>
      </c>
      <c r="T79" s="76" t="n">
        <f aca="false">IFERROR(IF(OR(NOT(ISNUMBER('Price History'!T80)),NOT(ISNUMBER('Price History'!T79)),'Price History'!T79=0),"",'Price History'!T80/'Price History'!T79-1),"")</f>
        <v>-0.0103121516164996</v>
      </c>
      <c r="U79" s="76" t="str">
        <f aca="false">IFERROR(IF(OR(NOT(ISNUMBER('Price History'!U80)),NOT(ISNUMBER('Price History'!U79)),'Price History'!U79=0),"",'Price History'!U80/'Price History'!U79-1),"")</f>
        <v/>
      </c>
      <c r="W79" s="77" t="n">
        <f aca="false">'Price History'!B3+('Price History'!B158-'Price History'!B3)*0.493506493506494</f>
        <v>381.105584415584</v>
      </c>
      <c r="X79" s="77" t="n">
        <f aca="false">'Price History'!C3+('Price History'!C158-'Price History'!C3)*0.493506493506494</f>
        <v>111.157922077922</v>
      </c>
      <c r="Y79" s="77" t="n">
        <f aca="false">'Price History'!D3+('Price History'!D158-'Price History'!D3)*0.493506493506494</f>
        <v>1139.10935064935</v>
      </c>
      <c r="Z79" s="77" t="n">
        <f aca="false">'Price History'!E3+('Price History'!E158-'Price History'!E3)*0.493506493506494</f>
        <v>234.141038961039</v>
      </c>
      <c r="AA79" s="77" t="n">
        <f aca="false">'Price History'!F3+('Price History'!F158-'Price History'!F3)*0.493506493506494</f>
        <v>112.961298701299</v>
      </c>
      <c r="AB79" s="77" t="n">
        <f aca="false">'Price History'!G3+('Price History'!G158-'Price History'!G3)*0.493506493506494</f>
        <v>114.483896103896</v>
      </c>
      <c r="AC79" s="77" t="n">
        <f aca="false">'Price History'!H3+('Price History'!H158-'Price History'!H3)*0.493506493506494</f>
        <v>438.773636363637</v>
      </c>
      <c r="AD79" s="77" t="n">
        <f aca="false">'Price History'!I3+('Price History'!I158-'Price History'!I3)*0.493506493506494</f>
        <v>119.761688311688</v>
      </c>
      <c r="AE79" s="77" t="n">
        <f aca="false">'Price History'!J3+('Price History'!J158-'Price History'!J3)*0.493506493506494</f>
        <v>133.922987012987</v>
      </c>
      <c r="AF79" s="77" t="n">
        <f aca="false">'Price History'!K3+('Price History'!K158-'Price History'!K3)*0.493506493506494</f>
        <v>68.5359740259741</v>
      </c>
      <c r="AG79" s="77" t="n">
        <f aca="false">'Price History'!L3+('Price History'!L158-'Price History'!L3)*0.493506493506494</f>
        <v>246.092337662338</v>
      </c>
      <c r="AH79" s="77" t="n">
        <f aca="false">'Price History'!M3+('Price History'!M158-'Price History'!M3)*0.493506493506494</f>
        <v>136.188961038961</v>
      </c>
      <c r="AI79" s="77" t="n">
        <f aca="false">'Price History'!N3+('Price History'!N158-'Price History'!N3)*0.493506493506494</f>
        <v>412.653766233766</v>
      </c>
      <c r="AJ79" s="77" t="n">
        <f aca="false">'Price History'!O3+('Price History'!O158-'Price History'!O3)*0.493506493506494</f>
        <v>103.789480519481</v>
      </c>
      <c r="AK79" s="77" t="n">
        <f aca="false">'Price History'!Q3+('Price History'!Q151-'Price History'!Q3)*0.493506493506494</f>
        <v>59.0241558441559</v>
      </c>
      <c r="AL79" s="77" t="n">
        <f aca="false">'Price History'!R3+('Price History'!R158-'Price History'!R3)*0.493506493506494</f>
        <v>52.9672727272727</v>
      </c>
      <c r="AM79" s="77" t="n">
        <f aca="false">'Price History'!S3+('Price History'!S158-'Price History'!S3)*0.493506493506494</f>
        <v>100.631168831169</v>
      </c>
      <c r="AN79" s="77" t="n">
        <f aca="false">'Price History'!T3+('Price History'!T158-'Price History'!T3)*0.493506493506494</f>
        <v>38.1767532467533</v>
      </c>
    </row>
    <row r="80" customFormat="false" ht="15" hidden="false" customHeight="true" outlineLevel="0" collapsed="false">
      <c r="A80" s="49" t="n">
        <f aca="false">IF('Price History'!A81="","",'Price History'!A81)</f>
        <v>45695</v>
      </c>
      <c r="B80" s="76" t="n">
        <f aca="false">IFERROR(IF(OR(NOT(ISNUMBER('Price History'!B81)),NOT(ISNUMBER('Price History'!B80)),'Price History'!B80=0),"",'Price History'!B81/'Price History'!B80-1),"")</f>
        <v>-0.0100125728654703</v>
      </c>
      <c r="C80" s="76" t="n">
        <f aca="false">IFERROR(IF(OR(NOT(ISNUMBER('Price History'!C81)),NOT(ISNUMBER('Price History'!C80)),'Price History'!C80=0),"",'Price History'!C81/'Price History'!C80-1),"")</f>
        <v>0.028117677688102</v>
      </c>
      <c r="D80" s="76" t="n">
        <f aca="false">IFERROR(IF(OR(NOT(ISNUMBER('Price History'!D81)),NOT(ISNUMBER('Price History'!D80)),'Price History'!D80=0),"",'Price History'!D81/'Price History'!D80-1),"")</f>
        <v>-0.015703831951414</v>
      </c>
      <c r="E80" s="76" t="n">
        <f aca="false">IFERROR(IF(OR(NOT(ISNUMBER('Price History'!E81)),NOT(ISNUMBER('Price History'!E80)),'Price History'!E80=0),"",'Price History'!E81/'Price History'!E80-1),"")</f>
        <v>0.0162697157319112</v>
      </c>
      <c r="F80" s="76" t="n">
        <f aca="false">IFERROR(IF(OR(NOT(ISNUMBER('Price History'!F81)),NOT(ISNUMBER('Price History'!F80)),'Price History'!F80=0),"",'Price History'!F81/'Price History'!F80-1),"")</f>
        <v>0.0590836012861737</v>
      </c>
      <c r="G80" s="76" t="n">
        <f aca="false">IFERROR(IF(OR(NOT(ISNUMBER('Price History'!G81)),NOT(ISNUMBER('Price History'!G80)),'Price History'!G80=0),"",'Price History'!G81/'Price History'!G80-1),"")</f>
        <v>0.0128691411541588</v>
      </c>
      <c r="H80" s="76" t="n">
        <f aca="false">IFERROR(IF(OR(NOT(ISNUMBER('Price History'!H81)),NOT(ISNUMBER('Price History'!H80)),'Price History'!H80=0),"",'Price History'!H81/'Price History'!H80-1),"")</f>
        <v>0.0116177115300307</v>
      </c>
      <c r="I80" s="76" t="n">
        <f aca="false">IFERROR(IF(OR(NOT(ISNUMBER('Price History'!I81)),NOT(ISNUMBER('Price History'!I80)),'Price History'!I80=0),"",'Price History'!I81/'Price History'!I80-1),"")</f>
        <v>0.0813692012992422</v>
      </c>
      <c r="J80" s="76" t="n">
        <f aca="false">IFERROR(IF(OR(NOT(ISNUMBER('Price History'!J81)),NOT(ISNUMBER('Price History'!J80)),'Price History'!J80=0),"",'Price History'!J81/'Price History'!J80-1),"")</f>
        <v>-0.0159329140461216</v>
      </c>
      <c r="K80" s="76" t="n">
        <f aca="false">IFERROR(IF(OR(NOT(ISNUMBER('Price History'!K81)),NOT(ISNUMBER('Price History'!K80)),'Price History'!K80=0),"",'Price History'!K81/'Price History'!K80-1),"")</f>
        <v>0.343799248393745</v>
      </c>
      <c r="L80" s="76" t="n">
        <f aca="false">IFERROR(IF(OR(NOT(ISNUMBER('Price History'!L81)),NOT(ISNUMBER('Price History'!L80)),'Price History'!L80=0),"",'Price History'!L81/'Price History'!L80-1),"")</f>
        <v>-0.0152875979361742</v>
      </c>
      <c r="M80" s="76" t="n">
        <f aca="false">IFERROR(IF(OR(NOT(ISNUMBER('Price History'!M81)),NOT(ISNUMBER('Price History'!M80)),'Price History'!M80=0),"",'Price History'!M81/'Price History'!M80-1),"")</f>
        <v>0.0372585882755085</v>
      </c>
      <c r="N80" s="76" t="n">
        <f aca="false">IFERROR(IF(OR(NOT(ISNUMBER('Price History'!N81)),NOT(ISNUMBER('Price History'!N80)),'Price History'!N80=0),"",'Price History'!N81/'Price History'!N80-1),"")</f>
        <v>0.0165482585340495</v>
      </c>
      <c r="O80" s="76" t="n">
        <f aca="false">IFERROR(IF(OR(NOT(ISNUMBER('Price History'!O81)),NOT(ISNUMBER('Price History'!O80)),'Price History'!O80=0),"",'Price History'!O81/'Price History'!O80-1),"")</f>
        <v>-0.0115959719255416</v>
      </c>
      <c r="P80" s="76" t="str">
        <f aca="false">IFERROR(IF(OR(NOT(ISNUMBER('Price History'!P81)),NOT(ISNUMBER('Price History'!P80)),'Price History'!P80=0),"",'Price History'!P81/'Price History'!P80-1),"")</f>
        <v/>
      </c>
      <c r="Q80" s="76" t="n">
        <f aca="false">IFERROR(IF(OR(NOT(ISNUMBER('Price History'!Q81)),NOT(ISNUMBER('Price History'!Q80)),'Price History'!Q80=0),"",'Price History'!Q81/'Price History'!Q80-1),"")</f>
        <v>-0.0129224652087475</v>
      </c>
      <c r="R80" s="76" t="n">
        <f aca="false">IFERROR(IF(OR(NOT(ISNUMBER('Price History'!R81)),NOT(ISNUMBER('Price History'!R80)),'Price History'!R80=0),"",'Price History'!R81/'Price History'!R80-1),"")</f>
        <v>-0.00522011484252649</v>
      </c>
      <c r="S80" s="76" t="n">
        <f aca="false">IFERROR(IF(OR(NOT(ISNUMBER('Price History'!S81)),NOT(ISNUMBER('Price History'!S80)),'Price History'!S80=0),"",'Price History'!S81/'Price History'!S80-1),"")</f>
        <v>0.0198920431827268</v>
      </c>
      <c r="T80" s="76" t="n">
        <f aca="false">IFERROR(IF(OR(NOT(ISNUMBER('Price History'!T81)),NOT(ISNUMBER('Price History'!T80)),'Price History'!T80=0),"",'Price History'!T81/'Price History'!T80-1),"")</f>
        <v>-0.00872993522951271</v>
      </c>
      <c r="U80" s="76" t="str">
        <f aca="false">IFERROR(IF(OR(NOT(ISNUMBER('Price History'!U81)),NOT(ISNUMBER('Price History'!U80)),'Price History'!U80=0),"",'Price History'!U81/'Price History'!U80-1),"")</f>
        <v/>
      </c>
      <c r="W80" s="77" t="n">
        <f aca="false">'Price History'!B3+('Price History'!B158-'Price History'!B3)*0.5</f>
        <v>379.43</v>
      </c>
      <c r="X80" s="77" t="n">
        <f aca="false">'Price History'!C3+('Price History'!C158-'Price History'!C3)*0.5</f>
        <v>112.045</v>
      </c>
      <c r="Y80" s="77" t="n">
        <f aca="false">'Price History'!D3+('Price History'!D158-'Price History'!D3)*0.5</f>
        <v>1145.39</v>
      </c>
      <c r="Z80" s="77" t="n">
        <f aca="false">'Price History'!E3+('Price History'!E158-'Price History'!E3)*0.5</f>
        <v>236.13</v>
      </c>
      <c r="AA80" s="77" t="n">
        <f aca="false">'Price History'!F3+('Price History'!F158-'Price History'!F3)*0.5</f>
        <v>113.96</v>
      </c>
      <c r="AB80" s="77" t="n">
        <f aca="false">'Price History'!G3+('Price History'!G158-'Price History'!G3)*0.5</f>
        <v>115.36</v>
      </c>
      <c r="AC80" s="77" t="n">
        <f aca="false">'Price History'!H3+('Price History'!H158-'Price History'!H3)*0.5</f>
        <v>443.7</v>
      </c>
      <c r="AD80" s="77" t="n">
        <f aca="false">'Price History'!I3+('Price History'!I158-'Price History'!I3)*0.5</f>
        <v>120.8</v>
      </c>
      <c r="AE80" s="77" t="n">
        <f aca="false">'Price History'!J3+('Price History'!J158-'Price History'!J3)*0.5</f>
        <v>134.06</v>
      </c>
      <c r="AF80" s="77" t="n">
        <f aca="false">'Price History'!K3+('Price History'!K158-'Price History'!K3)*0.5</f>
        <v>69.235</v>
      </c>
      <c r="AG80" s="77" t="n">
        <f aca="false">'Price History'!L3+('Price History'!L158-'Price History'!L3)*0.5</f>
        <v>248.12</v>
      </c>
      <c r="AH80" s="77" t="n">
        <f aca="false">'Price History'!M3+('Price History'!M158-'Price History'!M3)*0.5</f>
        <v>137.54</v>
      </c>
      <c r="AI80" s="77" t="n">
        <f aca="false">'Price History'!N3+('Price History'!N158-'Price History'!N3)*0.5</f>
        <v>413.48</v>
      </c>
      <c r="AJ80" s="77" t="n">
        <f aca="false">'Price History'!O3+('Price History'!O158-'Price History'!O3)*0.5</f>
        <v>104.065</v>
      </c>
      <c r="AK80" s="77" t="n">
        <f aca="false">'Price History'!Q3+('Price History'!Q151-'Price History'!Q3)*0.5</f>
        <v>59.145</v>
      </c>
      <c r="AL80" s="77" t="n">
        <f aca="false">'Price History'!R3+('Price History'!R158-'Price History'!R3)*0.5</f>
        <v>53.035</v>
      </c>
      <c r="AM80" s="77" t="n">
        <f aca="false">'Price History'!S3+('Price History'!S158-'Price History'!S3)*0.5</f>
        <v>101.185</v>
      </c>
      <c r="AN80" s="77" t="n">
        <f aca="false">'Price History'!T3+('Price History'!T158-'Price History'!T3)*0.5</f>
        <v>38.325</v>
      </c>
    </row>
    <row r="81" customFormat="false" ht="15" hidden="false" customHeight="true" outlineLevel="0" collapsed="false">
      <c r="A81" s="49" t="n">
        <f aca="false">IF('Price History'!A82="","",'Price History'!A82)</f>
        <v>45702</v>
      </c>
      <c r="B81" s="76" t="n">
        <f aca="false">IFERROR(IF(OR(NOT(ISNUMBER('Price History'!B82)),NOT(ISNUMBER('Price History'!B81)),'Price History'!B81=0),"",'Price History'!B82/'Price History'!B81-1),"")</f>
        <v>0.0625533978340684</v>
      </c>
      <c r="C81" s="76" t="n">
        <f aca="false">IFERROR(IF(OR(NOT(ISNUMBER('Price History'!C82)),NOT(ISNUMBER('Price History'!C81)),'Price History'!C81=0),"",'Price History'!C82/'Price History'!C81-1),"")</f>
        <v>-0.0979150839875074</v>
      </c>
      <c r="D81" s="76" t="n">
        <f aca="false">IFERROR(IF(OR(NOT(ISNUMBER('Price History'!D82)),NOT(ISNUMBER('Price History'!D81)),'Price History'!D81=0),"",'Price History'!D82/'Price History'!D81-1),"")</f>
        <v>0.0327744949841966</v>
      </c>
      <c r="E81" s="76" t="n">
        <f aca="false">IFERROR(IF(OR(NOT(ISNUMBER('Price History'!E82)),NOT(ISNUMBER('Price History'!E81)),'Price History'!E81=0),"",'Price History'!E82/'Price History'!E81-1),"")</f>
        <v>0.0363321029928403</v>
      </c>
      <c r="F81" s="76" t="n">
        <f aca="false">IFERROR(IF(OR(NOT(ISNUMBER('Price History'!F82)),NOT(ISNUMBER('Price History'!F81)),'Price History'!F81=0),"",'Price History'!F82/'Price History'!F81-1),"")</f>
        <v>0.0715370018975332</v>
      </c>
      <c r="G81" s="76" t="n">
        <f aca="false">IFERROR(IF(OR(NOT(ISNUMBER('Price History'!G82)),NOT(ISNUMBER('Price History'!G81)),'Price History'!G81=0),"",'Price History'!G82/'Price History'!G81-1),"")</f>
        <v>0.00401230440016054</v>
      </c>
      <c r="H81" s="76" t="n">
        <f aca="false">IFERROR(IF(OR(NOT(ISNUMBER('Price History'!H82)),NOT(ISNUMBER('Price History'!H81)),'Price History'!H81=0),"",'Price History'!H82/'Price History'!H81-1),"")</f>
        <v>0.0782231852654387</v>
      </c>
      <c r="I81" s="76" t="n">
        <f aca="false">IFERROR(IF(OR(NOT(ISNUMBER('Price History'!I82)),NOT(ISNUMBER('Price History'!I81)),'Price History'!I81=0),"",'Price History'!I82/'Price History'!I81-1),"")</f>
        <v>0.0693930991990142</v>
      </c>
      <c r="J81" s="76" t="n">
        <f aca="false">IFERROR(IF(OR(NOT(ISNUMBER('Price History'!J82)),NOT(ISNUMBER('Price History'!J81)),'Price History'!J81=0),"",'Price History'!J82/'Price History'!J81-1),"")</f>
        <v>0.0298253089049851</v>
      </c>
      <c r="K81" s="76" t="n">
        <f aca="false">IFERROR(IF(OR(NOT(ISNUMBER('Price History'!K82)),NOT(ISNUMBER('Price History'!K81)),'Price History'!K81=0),"",'Price History'!K82/'Price History'!K81-1),"")</f>
        <v>0.0749661705006766</v>
      </c>
      <c r="L81" s="76" t="n">
        <f aca="false">IFERROR(IF(OR(NOT(ISNUMBER('Price History'!L82)),NOT(ISNUMBER('Price History'!L81)),'Price History'!L81=0),"",'Price History'!L82/'Price History'!L81-1),"")</f>
        <v>-0.0107704249951485</v>
      </c>
      <c r="M81" s="76" t="n">
        <f aca="false">IFERROR(IF(OR(NOT(ISNUMBER('Price History'!M82)),NOT(ISNUMBER('Price History'!M81)),'Price History'!M81=0),"",'Price History'!M82/'Price History'!M81-1),"")</f>
        <v>-0.109820398747734</v>
      </c>
      <c r="N81" s="76" t="n">
        <f aca="false">IFERROR(IF(OR(NOT(ISNUMBER('Price History'!N82)),NOT(ISNUMBER('Price History'!N81)),'Price History'!N81=0),"",'Price History'!N82/'Price History'!N81-1),"")</f>
        <v>-0.0219892610585528</v>
      </c>
      <c r="O81" s="76" t="n">
        <f aca="false">IFERROR(IF(OR(NOT(ISNUMBER('Price History'!O82)),NOT(ISNUMBER('Price History'!O81)),'Price History'!O81=0),"",'Price History'!O82/'Price History'!O81-1),"")</f>
        <v>0.00308737264587844</v>
      </c>
      <c r="P81" s="76" t="str">
        <f aca="false">IFERROR(IF(OR(NOT(ISNUMBER('Price History'!P82)),NOT(ISNUMBER('Price History'!P81)),'Price History'!P81=0),"",'Price History'!P82/'Price History'!P81-1),"")</f>
        <v/>
      </c>
      <c r="Q81" s="76" t="n">
        <f aca="false">IFERROR(IF(OR(NOT(ISNUMBER('Price History'!Q82)),NOT(ISNUMBER('Price History'!Q81)),'Price History'!Q81=0),"",'Price History'!Q82/'Price History'!Q81-1),"")</f>
        <v>-0.03877139979859</v>
      </c>
      <c r="R81" s="76" t="n">
        <f aca="false">IFERROR(IF(OR(NOT(ISNUMBER('Price History'!R82)),NOT(ISNUMBER('Price History'!R81)),'Price History'!R81=0),"",'Price History'!R82/'Price History'!R81-1),"")</f>
        <v>0.0192408605912191</v>
      </c>
      <c r="S81" s="76" t="n">
        <f aca="false">IFERROR(IF(OR(NOT(ISNUMBER('Price History'!S82)),NOT(ISNUMBER('Price History'!S81)),'Price History'!S81=0),"",'Price History'!S82/'Price History'!S81-1),"")</f>
        <v>0.0100950700774283</v>
      </c>
      <c r="T81" s="76" t="n">
        <f aca="false">IFERROR(IF(OR(NOT(ISNUMBER('Price History'!T82)),NOT(ISNUMBER('Price History'!T81)),'Price History'!T81=0),"",'Price History'!T82/'Price History'!T81-1),"")</f>
        <v>0.0116477272727271</v>
      </c>
      <c r="U81" s="76" t="str">
        <f aca="false">IFERROR(IF(OR(NOT(ISNUMBER('Price History'!U82)),NOT(ISNUMBER('Price History'!U81)),'Price History'!U81=0),"",'Price History'!U82/'Price History'!U81-1),"")</f>
        <v/>
      </c>
      <c r="W81" s="77" t="n">
        <f aca="false">'Price History'!B3+('Price History'!B158-'Price History'!B3)*0.506493506493506</f>
        <v>377.754415584416</v>
      </c>
      <c r="X81" s="77" t="n">
        <f aca="false">'Price History'!C3+('Price History'!C158-'Price History'!C3)*0.506493506493506</f>
        <v>112.932077922078</v>
      </c>
      <c r="Y81" s="77" t="n">
        <f aca="false">'Price History'!D3+('Price History'!D158-'Price History'!D3)*0.506493506493506</f>
        <v>1151.67064935065</v>
      </c>
      <c r="Z81" s="77" t="n">
        <f aca="false">'Price History'!E3+('Price History'!E158-'Price History'!E3)*0.506493506493506</f>
        <v>238.118961038961</v>
      </c>
      <c r="AA81" s="77" t="n">
        <f aca="false">'Price History'!F3+('Price History'!F158-'Price History'!F3)*0.506493506493506</f>
        <v>114.958701298701</v>
      </c>
      <c r="AB81" s="77" t="n">
        <f aca="false">'Price History'!G3+('Price History'!G158-'Price History'!G3)*0.506493506493506</f>
        <v>116.236103896104</v>
      </c>
      <c r="AC81" s="77" t="n">
        <f aca="false">'Price History'!H3+('Price History'!H158-'Price History'!H3)*0.506493506493506</f>
        <v>448.626363636363</v>
      </c>
      <c r="AD81" s="77" t="n">
        <f aca="false">'Price History'!I3+('Price History'!I158-'Price History'!I3)*0.506493506493506</f>
        <v>121.838311688312</v>
      </c>
      <c r="AE81" s="77" t="n">
        <f aca="false">'Price History'!J3+('Price History'!J158-'Price History'!J3)*0.506493506493506</f>
        <v>134.197012987013</v>
      </c>
      <c r="AF81" s="77" t="n">
        <f aca="false">'Price History'!K3+('Price History'!K158-'Price History'!K3)*0.506493506493506</f>
        <v>69.9340259740259</v>
      </c>
      <c r="AG81" s="77" t="n">
        <f aca="false">'Price History'!L3+('Price History'!L158-'Price History'!L3)*0.506493506493506</f>
        <v>250.147662337662</v>
      </c>
      <c r="AH81" s="77" t="n">
        <f aca="false">'Price History'!M3+('Price History'!M158-'Price History'!M3)*0.506493506493506</f>
        <v>138.891038961039</v>
      </c>
      <c r="AI81" s="77" t="n">
        <f aca="false">'Price History'!N3+('Price History'!N158-'Price History'!N3)*0.506493506493506</f>
        <v>414.306233766234</v>
      </c>
      <c r="AJ81" s="77" t="n">
        <f aca="false">'Price History'!O3+('Price History'!O158-'Price History'!O3)*0.506493506493506</f>
        <v>104.340519480519</v>
      </c>
      <c r="AK81" s="77" t="n">
        <f aca="false">'Price History'!Q3+('Price History'!Q151-'Price History'!Q3)*0.506493506493506</f>
        <v>59.2658441558442</v>
      </c>
      <c r="AL81" s="77" t="n">
        <f aca="false">'Price History'!R3+('Price History'!R158-'Price History'!R3)*0.506493506493506</f>
        <v>53.1027272727273</v>
      </c>
      <c r="AM81" s="77" t="n">
        <f aca="false">'Price History'!S3+('Price History'!S158-'Price History'!S3)*0.506493506493506</f>
        <v>101.738831168831</v>
      </c>
      <c r="AN81" s="77" t="n">
        <f aca="false">'Price History'!T3+('Price History'!T158-'Price History'!T3)*0.506493506493506</f>
        <v>38.4732467532467</v>
      </c>
    </row>
    <row r="82" customFormat="false" ht="15" hidden="false" customHeight="true" outlineLevel="0" collapsed="false">
      <c r="A82" s="49" t="n">
        <f aca="false">IF('Price History'!A83="","",'Price History'!A83)</f>
        <v>45709</v>
      </c>
      <c r="B82" s="76" t="n">
        <f aca="false">IFERROR(IF(OR(NOT(ISNUMBER('Price History'!B83)),NOT(ISNUMBER('Price History'!B82)),'Price History'!B82=0),"",'Price History'!B83/'Price History'!B82-1),"")</f>
        <v>-0.03442280945758</v>
      </c>
      <c r="C82" s="76" t="n">
        <f aca="false">IFERROR(IF(OR(NOT(ISNUMBER('Price History'!C83)),NOT(ISNUMBER('Price History'!C82)),'Price History'!C82=0),"",'Price History'!C83/'Price History'!C82-1),"")</f>
        <v>-0.0801908861233275</v>
      </c>
      <c r="D82" s="76" t="n">
        <f aca="false">IFERROR(IF(OR(NOT(ISNUMBER('Price History'!D83)),NOT(ISNUMBER('Price History'!D82)),'Price History'!D82=0),"",'Price History'!D83/'Price History'!D82-1),"")</f>
        <v>-0.0190805668285542</v>
      </c>
      <c r="E82" s="76" t="n">
        <f aca="false">IFERROR(IF(OR(NOT(ISNUMBER('Price History'!E83)),NOT(ISNUMBER('Price History'!E82)),'Price History'!E82=0),"",'Price History'!E83/'Price History'!E82-1),"")</f>
        <v>-0.0617061448678339</v>
      </c>
      <c r="F82" s="76" t="n">
        <f aca="false">IFERROR(IF(OR(NOT(ISNUMBER('Price History'!F83)),NOT(ISNUMBER('Price History'!F82)),'Price History'!F82=0),"",'Price History'!F83/'Price History'!F82-1),"")</f>
        <v>-0.0997874977864353</v>
      </c>
      <c r="G82" s="76" t="n">
        <f aca="false">IFERROR(IF(OR(NOT(ISNUMBER('Price History'!G83)),NOT(ISNUMBER('Price History'!G82)),'Price History'!G82=0),"",'Price History'!G83/'Price History'!G82-1),"")</f>
        <v>0.00479552417743467</v>
      </c>
      <c r="H82" s="76" t="n">
        <f aca="false">IFERROR(IF(OR(NOT(ISNUMBER('Price History'!H83)),NOT(ISNUMBER('Price History'!H82)),'Price History'!H82=0),"",'Price History'!H83/'Price History'!H82-1),"")</f>
        <v>-0.00683279742765264</v>
      </c>
      <c r="I82" s="76" t="n">
        <f aca="false">IFERROR(IF(OR(NOT(ISNUMBER('Price History'!I83)),NOT(ISNUMBER('Price History'!I82)),'Price History'!I82=0),"",'Price History'!I83/'Price History'!I82-1),"")</f>
        <v>-0.0318329132157003</v>
      </c>
      <c r="J82" s="76" t="n">
        <f aca="false">IFERROR(IF(OR(NOT(ISNUMBER('Price History'!J83)),NOT(ISNUMBER('Price History'!J82)),'Price History'!J82=0),"",'Price History'!J83/'Price History'!J82-1),"")</f>
        <v>0.00099296648738112</v>
      </c>
      <c r="K82" s="76" t="n">
        <f aca="false">IFERROR(IF(OR(NOT(ISNUMBER('Price History'!K83)),NOT(ISNUMBER('Price History'!K82)),'Price History'!K82=0),"",'Price History'!K83/'Price History'!K82-1),"")</f>
        <v>-0.149462907015777</v>
      </c>
      <c r="L82" s="76" t="n">
        <f aca="false">IFERROR(IF(OR(NOT(ISNUMBER('Price History'!L83)),NOT(ISNUMBER('Price History'!L82)),'Price History'!L82=0),"",'Price History'!L83/'Price History'!L82-1),"")</f>
        <v>-0.0277587052476704</v>
      </c>
      <c r="M82" s="76" t="n">
        <f aca="false">IFERROR(IF(OR(NOT(ISNUMBER('Price History'!M83)),NOT(ISNUMBER('Price History'!M82)),'Price History'!M82=0),"",'Price History'!M83/'Price History'!M82-1),"")</f>
        <v>-0.111614993058769</v>
      </c>
      <c r="N82" s="76" t="n">
        <f aca="false">IFERROR(IF(OR(NOT(ISNUMBER('Price History'!N83)),NOT(ISNUMBER('Price History'!N82)),'Price History'!N82=0),"",'Price History'!N83/'Price History'!N82-1),"")</f>
        <v>0.0549891067538126</v>
      </c>
      <c r="O82" s="76" t="n">
        <f aca="false">IFERROR(IF(OR(NOT(ISNUMBER('Price History'!O83)),NOT(ISNUMBER('Price History'!O82)),'Price History'!O82=0),"",'Price History'!O83/'Price History'!O82-1),"")</f>
        <v>-0.0365240586847235</v>
      </c>
      <c r="P82" s="76" t="str">
        <f aca="false">IFERROR(IF(OR(NOT(ISNUMBER('Price History'!P83)),NOT(ISNUMBER('Price History'!P82)),'Price History'!P82=0),"",'Price History'!P83/'Price History'!P82-1),"")</f>
        <v/>
      </c>
      <c r="Q82" s="76" t="n">
        <f aca="false">IFERROR(IF(OR(NOT(ISNUMBER('Price History'!Q83)),NOT(ISNUMBER('Price History'!Q82)),'Price History'!Q82=0),"",'Price History'!Q83/'Price History'!Q82-1),"")</f>
        <v>0.0188580408590886</v>
      </c>
      <c r="R82" s="76" t="n">
        <f aca="false">IFERROR(IF(OR(NOT(ISNUMBER('Price History'!R83)),NOT(ISNUMBER('Price History'!R82)),'Price History'!R82=0),"",'Price History'!R83/'Price History'!R82-1),"")</f>
        <v>-0.0120130427321092</v>
      </c>
      <c r="S82" s="76" t="n">
        <f aca="false">IFERROR(IF(OR(NOT(ISNUMBER('Price History'!S83)),NOT(ISNUMBER('Price History'!S82)),'Price History'!S82=0),"",'Price History'!S83/'Price History'!S82-1),"")</f>
        <v>-0.0305647195808267</v>
      </c>
      <c r="T82" s="76" t="n">
        <f aca="false">IFERROR(IF(OR(NOT(ISNUMBER('Price History'!T83)),NOT(ISNUMBER('Price History'!T82)),'Price History'!T82=0),"",'Price History'!T83/'Price History'!T82-1),"")</f>
        <v>-0.00336983993260309</v>
      </c>
      <c r="U82" s="76" t="str">
        <f aca="false">IFERROR(IF(OR(NOT(ISNUMBER('Price History'!U83)),NOT(ISNUMBER('Price History'!U82)),'Price History'!U82=0),"",'Price History'!U83/'Price History'!U82-1),"")</f>
        <v/>
      </c>
      <c r="W82" s="77" t="n">
        <f aca="false">'Price History'!B3+('Price History'!B158-'Price History'!B3)*0.512987012987013</f>
        <v>376.078831168831</v>
      </c>
      <c r="X82" s="77" t="n">
        <f aca="false">'Price History'!C3+('Price History'!C158-'Price History'!C3)*0.512987012987013</f>
        <v>113.819155844156</v>
      </c>
      <c r="Y82" s="77" t="n">
        <f aca="false">'Price History'!D3+('Price History'!D158-'Price History'!D3)*0.512987012987013</f>
        <v>1157.9512987013</v>
      </c>
      <c r="Z82" s="77" t="n">
        <f aca="false">'Price History'!E3+('Price History'!E158-'Price History'!E3)*0.512987012987013</f>
        <v>240.107922077922</v>
      </c>
      <c r="AA82" s="77" t="n">
        <f aca="false">'Price History'!F3+('Price History'!F158-'Price History'!F3)*0.512987012987013</f>
        <v>115.957402597403</v>
      </c>
      <c r="AB82" s="77" t="n">
        <f aca="false">'Price History'!G3+('Price History'!G158-'Price History'!G3)*0.512987012987013</f>
        <v>117.112207792208</v>
      </c>
      <c r="AC82" s="77" t="n">
        <f aca="false">'Price History'!H3+('Price History'!H158-'Price History'!H3)*0.512987012987013</f>
        <v>453.552727272727</v>
      </c>
      <c r="AD82" s="77" t="n">
        <f aca="false">'Price History'!I3+('Price History'!I158-'Price History'!I3)*0.512987012987013</f>
        <v>122.876623376623</v>
      </c>
      <c r="AE82" s="77" t="n">
        <f aca="false">'Price History'!J3+('Price History'!J158-'Price History'!J3)*0.512987012987013</f>
        <v>134.334025974026</v>
      </c>
      <c r="AF82" s="77" t="n">
        <f aca="false">'Price History'!K3+('Price History'!K158-'Price History'!K3)*0.512987012987013</f>
        <v>70.633051948052</v>
      </c>
      <c r="AG82" s="77" t="n">
        <f aca="false">'Price History'!L3+('Price History'!L158-'Price History'!L3)*0.512987012987013</f>
        <v>252.175324675325</v>
      </c>
      <c r="AH82" s="77" t="n">
        <f aca="false">'Price History'!M3+('Price History'!M158-'Price History'!M3)*0.512987012987013</f>
        <v>140.242077922078</v>
      </c>
      <c r="AI82" s="77" t="n">
        <f aca="false">'Price History'!N3+('Price History'!N158-'Price History'!N3)*0.512987012987013</f>
        <v>415.132467532468</v>
      </c>
      <c r="AJ82" s="77" t="n">
        <f aca="false">'Price History'!O3+('Price History'!O158-'Price History'!O3)*0.512987012987013</f>
        <v>104.616038961039</v>
      </c>
      <c r="AK82" s="77" t="n">
        <f aca="false">'Price History'!Q3+('Price History'!Q151-'Price History'!Q3)*0.512987012987013</f>
        <v>59.3866883116883</v>
      </c>
      <c r="AL82" s="77" t="n">
        <f aca="false">'Price History'!R3+('Price History'!R158-'Price History'!R3)*0.512987012987013</f>
        <v>53.1704545454546</v>
      </c>
      <c r="AM82" s="77" t="n">
        <f aca="false">'Price History'!S3+('Price History'!S158-'Price History'!S3)*0.512987012987013</f>
        <v>102.292662337662</v>
      </c>
      <c r="AN82" s="77" t="n">
        <f aca="false">'Price History'!T3+('Price History'!T158-'Price History'!T3)*0.512987012987013</f>
        <v>38.6214935064935</v>
      </c>
    </row>
    <row r="83" customFormat="false" ht="15" hidden="false" customHeight="true" outlineLevel="0" collapsed="false">
      <c r="A83" s="49" t="n">
        <f aca="false">IF('Price History'!A84="","",'Price History'!A84)</f>
        <v>45716</v>
      </c>
      <c r="B83" s="76" t="n">
        <f aca="false">IFERROR(IF(OR(NOT(ISNUMBER('Price History'!B84)),NOT(ISNUMBER('Price History'!B83)),'Price History'!B83=0),"",'Price History'!B84/'Price History'!B83-1),"")</f>
        <v>-0.0129636298163486</v>
      </c>
      <c r="C83" s="76" t="n">
        <f aca="false">IFERROR(IF(OR(NOT(ISNUMBER('Price History'!C84)),NOT(ISNUMBER('Price History'!C83)),'Price History'!C83=0),"",'Price History'!C84/'Price History'!C83-1),"")</f>
        <v>-0.0534079348931842</v>
      </c>
      <c r="D83" s="76" t="n">
        <f aca="false">IFERROR(IF(OR(NOT(ISNUMBER('Price History'!D84)),NOT(ISNUMBER('Price History'!D83)),'Price History'!D83=0),"",'Price History'!D84/'Price History'!D83-1),"")</f>
        <v>-0.0381573771381288</v>
      </c>
      <c r="E83" s="76" t="n">
        <f aca="false">IFERROR(IF(OR(NOT(ISNUMBER('Price History'!E84)),NOT(ISNUMBER('Price History'!E83)),'Price History'!E83=0),"",'Price History'!E84/'Price History'!E83-1),"")</f>
        <v>-0.0879447544132442</v>
      </c>
      <c r="F83" s="76" t="n">
        <f aca="false">IFERROR(IF(OR(NOT(ISNUMBER('Price History'!F84)),NOT(ISNUMBER('Price History'!F83)),'Price History'!F83=0),"",'Price History'!F84/'Price History'!F83-1),"")</f>
        <v>-0.0418019081341595</v>
      </c>
      <c r="G83" s="76" t="n">
        <f aca="false">IFERROR(IF(OR(NOT(ISNUMBER('Price History'!G84)),NOT(ISNUMBER('Price History'!G83)),'Price History'!G83=0),"",'Price History'!G84/'Price History'!G83-1),"")</f>
        <v>-0.0603208272570597</v>
      </c>
      <c r="H83" s="76" t="n">
        <f aca="false">IFERROR(IF(OR(NOT(ISNUMBER('Price History'!H84)),NOT(ISNUMBER('Price History'!H83)),'Price History'!H83=0),"",'Price History'!H84/'Price History'!H83-1),"")</f>
        <v>-0.052711452853096</v>
      </c>
      <c r="I83" s="76" t="n">
        <f aca="false">IFERROR(IF(OR(NOT(ISNUMBER('Price History'!I84)),NOT(ISNUMBER('Price History'!I83)),'Price History'!I83=0),"",'Price History'!I84/'Price History'!I83-1),"")</f>
        <v>-0.0707431376924794</v>
      </c>
      <c r="J83" s="76" t="n">
        <f aca="false">IFERROR(IF(OR(NOT(ISNUMBER('Price History'!J84)),NOT(ISNUMBER('Price History'!J83)),'Price History'!J83=0),"",'Price History'!J84/'Price History'!J83-1),"")</f>
        <v>0.0243862114573861</v>
      </c>
      <c r="K83" s="76" t="n">
        <f aca="false">IFERROR(IF(OR(NOT(ISNUMBER('Price History'!K84)),NOT(ISNUMBER('Price History'!K83)),'Price History'!K83=0),"",'Price History'!K84/'Price History'!K83-1),"")</f>
        <v>-0.162111494819931</v>
      </c>
      <c r="L83" s="76" t="n">
        <f aca="false">IFERROR(IF(OR(NOT(ISNUMBER('Price History'!L84)),NOT(ISNUMBER('Price History'!L83)),'Price History'!L83=0),"",'Price History'!L84/'Price History'!L83-1),"")</f>
        <v>-0.0893361581920904</v>
      </c>
      <c r="M83" s="76" t="n">
        <f aca="false">IFERROR(IF(OR(NOT(ISNUMBER('Price History'!M84)),NOT(ISNUMBER('Price History'!M83)),'Price History'!M83=0),"",'Price History'!M84/'Price History'!M83-1),"")</f>
        <v>-0.00854255651630376</v>
      </c>
      <c r="N83" s="76" t="n">
        <f aca="false">IFERROR(IF(OR(NOT(ISNUMBER('Price History'!N84)),NOT(ISNUMBER('Price History'!N83)),'Price History'!N83=0),"",'Price History'!N84/'Price History'!N83-1),"")</f>
        <v>-0.00918965802081606</v>
      </c>
      <c r="O83" s="76" t="n">
        <f aca="false">IFERROR(IF(OR(NOT(ISNUMBER('Price History'!O84)),NOT(ISNUMBER('Price History'!O83)),'Price History'!O83=0),"",'Price History'!O84/'Price History'!O83-1),"")</f>
        <v>-0.0112874028324992</v>
      </c>
      <c r="P83" s="76" t="str">
        <f aca="false">IFERROR(IF(OR(NOT(ISNUMBER('Price History'!P84)),NOT(ISNUMBER('Price History'!P83)),'Price History'!P83=0),"",'Price History'!P84/'Price History'!P83-1),"")</f>
        <v/>
      </c>
      <c r="Q83" s="76" t="n">
        <f aca="false">IFERROR(IF(OR(NOT(ISNUMBER('Price History'!Q84)),NOT(ISNUMBER('Price History'!Q83)),'Price History'!Q83=0),"",'Price History'!Q84/'Price History'!Q83-1),"")</f>
        <v>-0.00599828620394172</v>
      </c>
      <c r="R83" s="76" t="n">
        <f aca="false">IFERROR(IF(OR(NOT(ISNUMBER('Price History'!R84)),NOT(ISNUMBER('Price History'!R83)),'Price History'!R83=0),"",'Price History'!R84/'Price History'!R83-1),"")</f>
        <v>-0.0276185513288172</v>
      </c>
      <c r="S83" s="76" t="n">
        <f aca="false">IFERROR(IF(OR(NOT(ISNUMBER('Price History'!S84)),NOT(ISNUMBER('Price History'!S83)),'Price History'!S83=0),"",'Price History'!S84/'Price History'!S83-1),"")</f>
        <v>-0.0011009908918026</v>
      </c>
      <c r="T83" s="76" t="n">
        <f aca="false">IFERROR(IF(OR(NOT(ISNUMBER('Price History'!T84)),NOT(ISNUMBER('Price History'!T83)),'Price History'!T83=0),"",'Price History'!T84/'Price History'!T83-1),"")</f>
        <v>-0.00479008171315865</v>
      </c>
      <c r="U83" s="76" t="str">
        <f aca="false">IFERROR(IF(OR(NOT(ISNUMBER('Price History'!U84)),NOT(ISNUMBER('Price History'!U83)),'Price History'!U83=0),"",'Price History'!U84/'Price History'!U83-1),"")</f>
        <v/>
      </c>
      <c r="W83" s="77" t="n">
        <f aca="false">'Price History'!B3+('Price History'!B158-'Price History'!B3)*0.519480519480519</f>
        <v>374.403246753247</v>
      </c>
      <c r="X83" s="77" t="n">
        <f aca="false">'Price History'!C3+('Price History'!C158-'Price History'!C3)*0.519480519480519</f>
        <v>114.706233766234</v>
      </c>
      <c r="Y83" s="77" t="n">
        <f aca="false">'Price History'!D3+('Price History'!D158-'Price History'!D3)*0.519480519480519</f>
        <v>1164.23194805195</v>
      </c>
      <c r="Z83" s="77" t="n">
        <f aca="false">'Price History'!E3+('Price History'!E158-'Price History'!E3)*0.519480519480519</f>
        <v>242.096883116883</v>
      </c>
      <c r="AA83" s="77" t="n">
        <f aca="false">'Price History'!F3+('Price History'!F158-'Price History'!F3)*0.519480519480519</f>
        <v>116.956103896104</v>
      </c>
      <c r="AB83" s="77" t="n">
        <f aca="false">'Price History'!G3+('Price History'!G158-'Price History'!G3)*0.519480519480519</f>
        <v>117.988311688312</v>
      </c>
      <c r="AC83" s="77" t="n">
        <f aca="false">'Price History'!H3+('Price History'!H158-'Price History'!H3)*0.519480519480519</f>
        <v>458.479090909091</v>
      </c>
      <c r="AD83" s="77" t="n">
        <f aca="false">'Price History'!I3+('Price History'!I158-'Price History'!I3)*0.519480519480519</f>
        <v>123.914935064935</v>
      </c>
      <c r="AE83" s="77" t="n">
        <f aca="false">'Price History'!J3+('Price History'!J158-'Price History'!J3)*0.519480519480519</f>
        <v>134.471038961039</v>
      </c>
      <c r="AF83" s="77" t="n">
        <f aca="false">'Price History'!K3+('Price History'!K158-'Price History'!K3)*0.519480519480519</f>
        <v>71.3320779220779</v>
      </c>
      <c r="AG83" s="77" t="n">
        <f aca="false">'Price History'!L3+('Price History'!L158-'Price History'!L3)*0.519480519480519</f>
        <v>254.202987012987</v>
      </c>
      <c r="AH83" s="77" t="n">
        <f aca="false">'Price History'!M3+('Price History'!M158-'Price History'!M3)*0.519480519480519</f>
        <v>141.593116883117</v>
      </c>
      <c r="AI83" s="77" t="n">
        <f aca="false">'Price History'!N3+('Price History'!N158-'Price History'!N3)*0.519480519480519</f>
        <v>415.958701298701</v>
      </c>
      <c r="AJ83" s="77" t="n">
        <f aca="false">'Price History'!O3+('Price History'!O158-'Price History'!O3)*0.519480519480519</f>
        <v>104.891558441558</v>
      </c>
      <c r="AK83" s="77" t="n">
        <f aca="false">'Price History'!Q3+('Price History'!Q151-'Price History'!Q3)*0.519480519480519</f>
        <v>59.5075324675325</v>
      </c>
      <c r="AL83" s="77" t="n">
        <f aca="false">'Price History'!R3+('Price History'!R158-'Price History'!R3)*0.519480519480519</f>
        <v>53.2381818181818</v>
      </c>
      <c r="AM83" s="77" t="n">
        <f aca="false">'Price History'!S3+('Price History'!S158-'Price History'!S3)*0.519480519480519</f>
        <v>102.846493506493</v>
      </c>
      <c r="AN83" s="77" t="n">
        <f aca="false">'Price History'!T3+('Price History'!T158-'Price History'!T3)*0.519480519480519</f>
        <v>38.7697402597402</v>
      </c>
    </row>
    <row r="84" customFormat="false" ht="15" hidden="false" customHeight="true" outlineLevel="0" collapsed="false">
      <c r="A84" s="49" t="n">
        <f aca="false">IF('Price History'!A85="","",'Price History'!A85)</f>
        <v>45723</v>
      </c>
      <c r="B84" s="76" t="n">
        <f aca="false">IFERROR(IF(OR(NOT(ISNUMBER('Price History'!B85)),NOT(ISNUMBER('Price History'!B84)),'Price History'!B84=0),"",'Price History'!B85/'Price History'!B84-1),"")</f>
        <v>0.0247172564757387</v>
      </c>
      <c r="C84" s="76" t="n">
        <f aca="false">IFERROR(IF(OR(NOT(ISNUMBER('Price History'!C85)),NOT(ISNUMBER('Price History'!C84)),'Price History'!C84=0),"",'Price History'!C85/'Price History'!C84-1),"")</f>
        <v>-0.10413756045137</v>
      </c>
      <c r="D84" s="76" t="n">
        <f aca="false">IFERROR(IF(OR(NOT(ISNUMBER('Price History'!D85)),NOT(ISNUMBER('Price History'!D84)),'Price History'!D84=0),"",'Price History'!D85/'Price History'!D84-1),"")</f>
        <v>0.0326338353923394</v>
      </c>
      <c r="E84" s="76" t="n">
        <f aca="false">IFERROR(IF(OR(NOT(ISNUMBER('Price History'!E85)),NOT(ISNUMBER('Price History'!E84)),'Price History'!E84=0),"",'Price History'!E85/'Price History'!E84-1),"")</f>
        <v>-0.0224138795567367</v>
      </c>
      <c r="F84" s="76" t="n">
        <f aca="false">IFERROR(IF(OR(NOT(ISNUMBER('Price History'!F85)),NOT(ISNUMBER('Price History'!F84)),'Price History'!F84=0),"",'Price History'!F85/'Price History'!F84-1),"")</f>
        <v>-0.144118250872511</v>
      </c>
      <c r="G84" s="76" t="n">
        <f aca="false">IFERROR(IF(OR(NOT(ISNUMBER('Price History'!G85)),NOT(ISNUMBER('Price History'!G84)),'Price History'!G84=0),"",'Price History'!G85/'Price History'!G84-1),"")</f>
        <v>0.00352708803611734</v>
      </c>
      <c r="H84" s="76" t="n">
        <f aca="false">IFERROR(IF(OR(NOT(ISNUMBER('Price History'!H85)),NOT(ISNUMBER('Price History'!H84)),'Price History'!H84=0),"",'Price History'!H85/'Price History'!H84-1),"")</f>
        <v>-0.00715582612410559</v>
      </c>
      <c r="I84" s="76" t="n">
        <f aca="false">IFERROR(IF(OR(NOT(ISNUMBER('Price History'!I85)),NOT(ISNUMBER('Price History'!I84)),'Price History'!I84=0),"",'Price History'!I85/'Price History'!I84-1),"")</f>
        <v>-0.0979026577009287</v>
      </c>
      <c r="J84" s="76" t="n">
        <f aca="false">IFERROR(IF(OR(NOT(ISNUMBER('Price History'!J85)),NOT(ISNUMBER('Price History'!J84)),'Price History'!J84=0),"",'Price History'!J85/'Price History'!J84-1),"")</f>
        <v>-0.0323595868302131</v>
      </c>
      <c r="K84" s="76" t="n">
        <f aca="false">IFERROR(IF(OR(NOT(ISNUMBER('Price History'!K85)),NOT(ISNUMBER('Price History'!K84)),'Price History'!K84=0),"",'Price History'!K85/'Price History'!K84-1),"")</f>
        <v>-0.000117757889778636</v>
      </c>
      <c r="L84" s="76" t="n">
        <f aca="false">IFERROR(IF(OR(NOT(ISNUMBER('Price History'!L85)),NOT(ISNUMBER('Price History'!L84)),'Price History'!L84=0),"",'Price History'!L85/'Price History'!L84-1),"")</f>
        <v>-0.0189996122528112</v>
      </c>
      <c r="M84" s="76" t="n">
        <f aca="false">IFERROR(IF(OR(NOT(ISNUMBER('Price History'!M85)),NOT(ISNUMBER('Price History'!M84)),'Price History'!M84=0),"",'Price History'!M85/'Price History'!M84-1),"")</f>
        <v>-0.106441105390354</v>
      </c>
      <c r="N84" s="76" t="n">
        <f aca="false">IFERROR(IF(OR(NOT(ISNUMBER('Price History'!N85)),NOT(ISNUMBER('Price History'!N84)),'Price History'!N84=0),"",'Price History'!N85/'Price History'!N84-1),"")</f>
        <v>0.0177160841201358</v>
      </c>
      <c r="O84" s="76" t="n">
        <f aca="false">IFERROR(IF(OR(NOT(ISNUMBER('Price History'!O85)),NOT(ISNUMBER('Price History'!O84)),'Price History'!O84=0),"",'Price History'!O85/'Price History'!O84-1),"")</f>
        <v>-0.0449111470113084</v>
      </c>
      <c r="P84" s="76" t="str">
        <f aca="false">IFERROR(IF(OR(NOT(ISNUMBER('Price History'!P85)),NOT(ISNUMBER('Price History'!P84)),'Price History'!P84=0),"",'Price History'!P85/'Price History'!P84-1),"")</f>
        <v/>
      </c>
      <c r="Q84" s="76" t="n">
        <f aca="false">IFERROR(IF(OR(NOT(ISNUMBER('Price History'!Q85)),NOT(ISNUMBER('Price History'!Q84)),'Price History'!Q84=0),"",'Price History'!Q85/'Price History'!Q84-1),"")</f>
        <v>0.0177586206896552</v>
      </c>
      <c r="R84" s="76" t="n">
        <f aca="false">IFERROR(IF(OR(NOT(ISNUMBER('Price History'!R85)),NOT(ISNUMBER('Price History'!R84)),'Price History'!R84=0),"",'Price History'!R85/'Price History'!R84-1),"")</f>
        <v>-0.0396570203644159</v>
      </c>
      <c r="S84" s="76" t="n">
        <f aca="false">IFERROR(IF(OR(NOT(ISNUMBER('Price History'!S85)),NOT(ISNUMBER('Price History'!S84)),'Price History'!S84=0),"",'Price History'!S85/'Price History'!S84-1),"")</f>
        <v>-0.0527054108216432</v>
      </c>
      <c r="T84" s="76" t="n">
        <f aca="false">IFERROR(IF(OR(NOT(ISNUMBER('Price History'!T85)),NOT(ISNUMBER('Price History'!T84)),'Price History'!T84=0),"",'Price History'!T85/'Price History'!T84-1),"")</f>
        <v>-0.0144394110985276</v>
      </c>
      <c r="U84" s="76" t="str">
        <f aca="false">IFERROR(IF(OR(NOT(ISNUMBER('Price History'!U85)),NOT(ISNUMBER('Price History'!U84)),'Price History'!U84=0),"",'Price History'!U85/'Price History'!U84-1),"")</f>
        <v/>
      </c>
      <c r="W84" s="77" t="n">
        <f aca="false">'Price History'!B3+('Price History'!B158-'Price History'!B3)*0.525974025974026</f>
        <v>372.727662337662</v>
      </c>
      <c r="X84" s="77" t="n">
        <f aca="false">'Price History'!C3+('Price History'!C158-'Price History'!C3)*0.525974025974026</f>
        <v>115.593311688312</v>
      </c>
      <c r="Y84" s="77" t="n">
        <f aca="false">'Price History'!D3+('Price History'!D158-'Price History'!D3)*0.525974025974026</f>
        <v>1170.5125974026</v>
      </c>
      <c r="Z84" s="77" t="n">
        <f aca="false">'Price History'!E3+('Price History'!E158-'Price History'!E3)*0.525974025974026</f>
        <v>244.085844155844</v>
      </c>
      <c r="AA84" s="77" t="n">
        <f aca="false">'Price History'!F3+('Price History'!F158-'Price History'!F3)*0.525974025974026</f>
        <v>117.954805194805</v>
      </c>
      <c r="AB84" s="77" t="n">
        <f aca="false">'Price History'!G3+('Price History'!G158-'Price History'!G3)*0.525974025974026</f>
        <v>118.864415584416</v>
      </c>
      <c r="AC84" s="77" t="n">
        <f aca="false">'Price History'!H3+('Price History'!H158-'Price History'!H3)*0.525974025974026</f>
        <v>463.405454545455</v>
      </c>
      <c r="AD84" s="77" t="n">
        <f aca="false">'Price History'!I3+('Price History'!I158-'Price History'!I3)*0.525974025974026</f>
        <v>124.953246753247</v>
      </c>
      <c r="AE84" s="77" t="n">
        <f aca="false">'Price History'!J3+('Price History'!J158-'Price History'!J3)*0.525974025974026</f>
        <v>134.608051948052</v>
      </c>
      <c r="AF84" s="77" t="n">
        <f aca="false">'Price History'!K3+('Price History'!K158-'Price History'!K3)*0.525974025974026</f>
        <v>72.0311038961039</v>
      </c>
      <c r="AG84" s="77" t="n">
        <f aca="false">'Price History'!L3+('Price History'!L158-'Price History'!L3)*0.525974025974026</f>
        <v>256.230649350649</v>
      </c>
      <c r="AH84" s="77" t="n">
        <f aca="false">'Price History'!M3+('Price History'!M158-'Price History'!M3)*0.525974025974026</f>
        <v>142.944155844156</v>
      </c>
      <c r="AI84" s="77" t="n">
        <f aca="false">'Price History'!N3+('Price History'!N158-'Price History'!N3)*0.525974025974026</f>
        <v>416.784935064935</v>
      </c>
      <c r="AJ84" s="77" t="n">
        <f aca="false">'Price History'!O3+('Price History'!O158-'Price History'!O3)*0.525974025974026</f>
        <v>105.167077922078</v>
      </c>
      <c r="AK84" s="77" t="n">
        <f aca="false">'Price History'!Q3+('Price History'!Q151-'Price History'!Q3)*0.525974025974026</f>
        <v>59.6283766233766</v>
      </c>
      <c r="AL84" s="77" t="n">
        <f aca="false">'Price History'!R3+('Price History'!R158-'Price History'!R3)*0.525974025974026</f>
        <v>53.3059090909091</v>
      </c>
      <c r="AM84" s="77" t="n">
        <f aca="false">'Price History'!S3+('Price History'!S158-'Price History'!S3)*0.525974025974026</f>
        <v>103.400324675325</v>
      </c>
      <c r="AN84" s="77" t="n">
        <f aca="false">'Price History'!T3+('Price History'!T158-'Price History'!T3)*0.525974025974026</f>
        <v>38.917987012987</v>
      </c>
    </row>
    <row r="85" customFormat="false" ht="15" hidden="false" customHeight="true" outlineLevel="0" collapsed="false">
      <c r="A85" s="49" t="n">
        <f aca="false">IF('Price History'!A86="","",'Price History'!A86)</f>
        <v>45730</v>
      </c>
      <c r="B85" s="76" t="n">
        <f aca="false">IFERROR(IF(OR(NOT(ISNUMBER('Price History'!B86)),NOT(ISNUMBER('Price History'!B85)),'Price History'!B85=0),"",'Price History'!B86/'Price History'!B85-1),"")</f>
        <v>-0.121628838451268</v>
      </c>
      <c r="C85" s="76" t="n">
        <f aca="false">IFERROR(IF(OR(NOT(ISNUMBER('Price History'!C86)),NOT(ISNUMBER('Price History'!C85)),'Price History'!C85=0),"",'Price History'!C86/'Price History'!C85-1),"")</f>
        <v>0.00179942418426116</v>
      </c>
      <c r="D85" s="76" t="n">
        <f aca="false">IFERROR(IF(OR(NOT(ISNUMBER('Price History'!D86)),NOT(ISNUMBER('Price History'!D85)),'Price History'!D85=0),"",'Price History'!D86/'Price History'!D85-1),"")</f>
        <v>-0.0248832318155746</v>
      </c>
      <c r="E85" s="76" t="n">
        <f aca="false">IFERROR(IF(OR(NOT(ISNUMBER('Price History'!E86)),NOT(ISNUMBER('Price History'!E85)),'Price History'!E85=0),"",'Price History'!E86/'Price History'!E85-1),"")</f>
        <v>0.00297496922445628</v>
      </c>
      <c r="F85" s="76" t="n">
        <f aca="false">IFERROR(IF(OR(NOT(ISNUMBER('Price History'!F86)),NOT(ISNUMBER('Price History'!F85)),'Price History'!F85=0),"",'Price History'!F86/'Price History'!F85-1),"")</f>
        <v>0.0605660829935237</v>
      </c>
      <c r="G85" s="76" t="n">
        <f aca="false">IFERROR(IF(OR(NOT(ISNUMBER('Price History'!G86)),NOT(ISNUMBER('Price History'!G85)),'Price History'!G85=0),"",'Price History'!G86/'Price History'!G85-1),"")</f>
        <v>0.00238999015886399</v>
      </c>
      <c r="H85" s="76" t="n">
        <f aca="false">IFERROR(IF(OR(NOT(ISNUMBER('Price History'!H86)),NOT(ISNUMBER('Price History'!H85)),'Price History'!H85=0),"",'Price History'!H86/'Price History'!H85-1),"")</f>
        <v>0.0842297762478488</v>
      </c>
      <c r="I85" s="76" t="n">
        <f aca="false">IFERROR(IF(OR(NOT(ISNUMBER('Price History'!I86)),NOT(ISNUMBER('Price History'!I85)),'Price History'!I85=0),"",'Price History'!I86/'Price History'!I85-1),"")</f>
        <v>0.0796876386547165</v>
      </c>
      <c r="J85" s="76" t="n">
        <f aca="false">IFERROR(IF(OR(NOT(ISNUMBER('Price History'!J86)),NOT(ISNUMBER('Price History'!J85)),'Price History'!J85=0),"",'Price History'!J86/'Price History'!J85-1),"")</f>
        <v>-0.0668834959552997</v>
      </c>
      <c r="K85" s="76" t="n">
        <f aca="false">IFERROR(IF(OR(NOT(ISNUMBER('Price History'!K86)),NOT(ISNUMBER('Price History'!K85)),'Price History'!K85=0),"",'Price History'!K86/'Price History'!K85-1),"")</f>
        <v>0.0156636438582027</v>
      </c>
      <c r="L85" s="76" t="n">
        <f aca="false">IFERROR(IF(OR(NOT(ISNUMBER('Price History'!L86)),NOT(ISNUMBER('Price History'!L85)),'Price History'!L85=0),"",'Price History'!L86/'Price History'!L85-1),"")</f>
        <v>-0.0169960474308299</v>
      </c>
      <c r="M85" s="76" t="n">
        <f aca="false">IFERROR(IF(OR(NOT(ISNUMBER('Price History'!M86)),NOT(ISNUMBER('Price History'!M85)),'Price History'!M85=0),"",'Price History'!M86/'Price History'!M85-1),"")</f>
        <v>0.0283396048918156</v>
      </c>
      <c r="N85" s="76" t="n">
        <f aca="false">IFERROR(IF(OR(NOT(ISNUMBER('Price History'!N86)),NOT(ISNUMBER('Price History'!N85)),'Price History'!N85=0),"",'Price History'!N86/'Price History'!N85-1),"")</f>
        <v>0.0337504351922013</v>
      </c>
      <c r="O85" s="76" t="n">
        <f aca="false">IFERROR(IF(OR(NOT(ISNUMBER('Price History'!O86)),NOT(ISNUMBER('Price History'!O85)),'Price History'!O85=0),"",'Price History'!O86/'Price History'!O85-1),"")</f>
        <v>-0.0187189896256204</v>
      </c>
      <c r="P85" s="76" t="str">
        <f aca="false">IFERROR(IF(OR(NOT(ISNUMBER('Price History'!P86)),NOT(ISNUMBER('Price History'!P85)),'Price History'!P85=0),"",'Price History'!P86/'Price History'!P85-1),"")</f>
        <v/>
      </c>
      <c r="Q85" s="76" t="n">
        <f aca="false">IFERROR(IF(OR(NOT(ISNUMBER('Price History'!Q86)),NOT(ISNUMBER('Price History'!Q85)),'Price History'!Q85=0),"",'Price History'!Q86/'Price History'!Q85-1),"")</f>
        <v>0.0162629171607658</v>
      </c>
      <c r="R85" s="76" t="n">
        <f aca="false">IFERROR(IF(OR(NOT(ISNUMBER('Price History'!R86)),NOT(ISNUMBER('Price History'!R85)),'Price History'!R85=0),"",'Price History'!R86/'Price History'!R85-1),"")</f>
        <v>-0.0213913690476191</v>
      </c>
      <c r="S85" s="76" t="n">
        <f aca="false">IFERROR(IF(OR(NOT(ISNUMBER('Price History'!S86)),NOT(ISNUMBER('Price History'!S85)),'Price History'!S85=0),"",'Price History'!S86/'Price History'!S85-1),"")</f>
        <v>-0.00719272265707649</v>
      </c>
      <c r="T85" s="76" t="n">
        <f aca="false">IFERROR(IF(OR(NOT(ISNUMBER('Price History'!T86)),NOT(ISNUMBER('Price History'!T85)),'Price History'!T85=0),"",'Price History'!T86/'Price History'!T85-1),"")</f>
        <v>-0.020683711577133</v>
      </c>
      <c r="U85" s="76" t="str">
        <f aca="false">IFERROR(IF(OR(NOT(ISNUMBER('Price History'!U86)),NOT(ISNUMBER('Price History'!U85)),'Price History'!U85=0),"",'Price History'!U86/'Price History'!U85-1),"")</f>
        <v/>
      </c>
      <c r="W85" s="77" t="n">
        <f aca="false">'Price History'!B3+('Price History'!B158-'Price History'!B3)*0.532467532467532</f>
        <v>371.052077922078</v>
      </c>
      <c r="X85" s="77" t="n">
        <f aca="false">'Price History'!C3+('Price History'!C158-'Price History'!C3)*0.532467532467532</f>
        <v>116.48038961039</v>
      </c>
      <c r="Y85" s="77" t="n">
        <f aca="false">'Price History'!D3+('Price History'!D158-'Price History'!D3)*0.532467532467532</f>
        <v>1176.79324675325</v>
      </c>
      <c r="Z85" s="77" t="n">
        <f aca="false">'Price History'!E3+('Price History'!E158-'Price History'!E3)*0.532467532467532</f>
        <v>246.074805194805</v>
      </c>
      <c r="AA85" s="77" t="n">
        <f aca="false">'Price History'!F3+('Price History'!F158-'Price History'!F3)*0.532467532467532</f>
        <v>118.953506493506</v>
      </c>
      <c r="AB85" s="77" t="n">
        <f aca="false">'Price History'!G3+('Price History'!G158-'Price History'!G3)*0.532467532467532</f>
        <v>119.740519480519</v>
      </c>
      <c r="AC85" s="77" t="n">
        <f aca="false">'Price History'!H3+('Price History'!H158-'Price History'!H3)*0.532467532467532</f>
        <v>468.331818181818</v>
      </c>
      <c r="AD85" s="77" t="n">
        <f aca="false">'Price History'!I3+('Price History'!I158-'Price History'!I3)*0.532467532467532</f>
        <v>125.991558441558</v>
      </c>
      <c r="AE85" s="77" t="n">
        <f aca="false">'Price History'!J3+('Price History'!J158-'Price History'!J3)*0.532467532467532</f>
        <v>134.745064935065</v>
      </c>
      <c r="AF85" s="77" t="n">
        <f aca="false">'Price History'!K3+('Price History'!K158-'Price History'!K3)*0.532467532467532</f>
        <v>72.7301298701298</v>
      </c>
      <c r="AG85" s="77" t="n">
        <f aca="false">'Price History'!L3+('Price History'!L158-'Price History'!L3)*0.532467532467532</f>
        <v>258.258311688312</v>
      </c>
      <c r="AH85" s="77" t="n">
        <f aca="false">'Price History'!M3+('Price History'!M158-'Price History'!M3)*0.532467532467532</f>
        <v>144.295194805195</v>
      </c>
      <c r="AI85" s="77" t="n">
        <f aca="false">'Price History'!N3+('Price History'!N158-'Price History'!N3)*0.532467532467532</f>
        <v>417.611168831169</v>
      </c>
      <c r="AJ85" s="77" t="n">
        <f aca="false">'Price History'!O3+('Price History'!O158-'Price History'!O3)*0.532467532467532</f>
        <v>105.442597402597</v>
      </c>
      <c r="AK85" s="77" t="n">
        <f aca="false">'Price History'!Q3+('Price History'!Q151-'Price History'!Q3)*0.532467532467532</f>
        <v>59.7492207792208</v>
      </c>
      <c r="AL85" s="77" t="n">
        <f aca="false">'Price History'!R3+('Price History'!R158-'Price History'!R3)*0.532467532467532</f>
        <v>53.3736363636364</v>
      </c>
      <c r="AM85" s="77" t="n">
        <f aca="false">'Price History'!S3+('Price History'!S158-'Price History'!S3)*0.532467532467532</f>
        <v>103.954155844156</v>
      </c>
      <c r="AN85" s="77" t="n">
        <f aca="false">'Price History'!T3+('Price History'!T158-'Price History'!T3)*0.532467532467532</f>
        <v>39.0662337662338</v>
      </c>
    </row>
    <row r="86" customFormat="false" ht="15" hidden="false" customHeight="true" outlineLevel="0" collapsed="false">
      <c r="A86" s="49" t="n">
        <f aca="false">IF('Price History'!A87="","",'Price History'!A87)</f>
        <v>45737</v>
      </c>
      <c r="B86" s="76" t="n">
        <f aca="false">IFERROR(IF(OR(NOT(ISNUMBER('Price History'!B87)),NOT(ISNUMBER('Price History'!B86)),'Price History'!B86=0),"",'Price History'!B87/'Price History'!B86-1),"")</f>
        <v>-0.0189491817398795</v>
      </c>
      <c r="C86" s="76" t="n">
        <f aca="false">IFERROR(IF(OR(NOT(ISNUMBER('Price History'!C87)),NOT(ISNUMBER('Price History'!C86)),'Price History'!C86=0),"",'Price History'!C87/'Price History'!C86-1),"")</f>
        <v>-0.00455035325110775</v>
      </c>
      <c r="D86" s="76" t="n">
        <f aca="false">IFERROR(IF(OR(NOT(ISNUMBER('Price History'!D87)),NOT(ISNUMBER('Price History'!D86)),'Price History'!D86=0),"",'Price History'!D87/'Price History'!D86-1),"")</f>
        <v>0.00310924369747911</v>
      </c>
      <c r="E86" s="76" t="n">
        <f aca="false">IFERROR(IF(OR(NOT(ISNUMBER('Price History'!E87)),NOT(ISNUMBER('Price History'!E86)),'Price History'!E86=0),"",'Price History'!E87/'Price History'!E86-1),"")</f>
        <v>-0.0198424874705943</v>
      </c>
      <c r="F86" s="76" t="n">
        <f aca="false">IFERROR(IF(OR(NOT(ISNUMBER('Price History'!F87)),NOT(ISNUMBER('Price History'!F86)),'Price History'!F86=0),"",'Price History'!F87/'Price History'!F86-1),"")</f>
        <v>0.0240868483546308</v>
      </c>
      <c r="G86" s="76" t="n">
        <f aca="false">IFERROR(IF(OR(NOT(ISNUMBER('Price History'!G87)),NOT(ISNUMBER('Price History'!G86)),'Price History'!G86=0),"",'Price History'!G87/'Price History'!G86-1),"")</f>
        <v>-0.00911640953716675</v>
      </c>
      <c r="H86" s="76" t="n">
        <f aca="false">IFERROR(IF(OR(NOT(ISNUMBER('Price History'!H87)),NOT(ISNUMBER('Price History'!H86)),'Price History'!H86=0),"",'Price History'!H87/'Price History'!H86-1),"")</f>
        <v>-0.0602242285941066</v>
      </c>
      <c r="I86" s="76" t="n">
        <f aca="false">IFERROR(IF(OR(NOT(ISNUMBER('Price History'!I87)),NOT(ISNUMBER('Price History'!I86)),'Price History'!I86=0),"",'Price History'!I87/'Price History'!I86-1),"")</f>
        <v>-0.0326292430344374</v>
      </c>
      <c r="J86" s="76" t="n">
        <f aca="false">IFERROR(IF(OR(NOT(ISNUMBER('Price History'!J87)),NOT(ISNUMBER('Price History'!J86)),'Price History'!J86=0),"",'Price History'!J87/'Price History'!J86-1),"")</f>
        <v>-0.031012601662347</v>
      </c>
      <c r="K86" s="76" t="n">
        <f aca="false">IFERROR(IF(OR(NOT(ISNUMBER('Price History'!K87)),NOT(ISNUMBER('Price History'!K86)),'Price History'!K86=0),"",'Price History'!K87/'Price History'!K86-1),"")</f>
        <v>0.0547309833024119</v>
      </c>
      <c r="L86" s="76" t="n">
        <f aca="false">IFERROR(IF(OR(NOT(ISNUMBER('Price History'!L87)),NOT(ISNUMBER('Price History'!L86)),'Price History'!L86=0),"",'Price History'!L87/'Price History'!L86-1),"")</f>
        <v>0.0151645700499741</v>
      </c>
      <c r="M86" s="76" t="n">
        <f aca="false">IFERROR(IF(OR(NOT(ISNUMBER('Price History'!M87)),NOT(ISNUMBER('Price History'!M86)),'Price History'!M86=0),"",'Price History'!M87/'Price History'!M86-1),"")</f>
        <v>0.0134934248141794</v>
      </c>
      <c r="N86" s="76" t="n">
        <f aca="false">IFERROR(IF(OR(NOT(ISNUMBER('Price History'!N87)),NOT(ISNUMBER('Price History'!N86)),'Price History'!N86=0),"",'Price History'!N87/'Price History'!N86-1),"")</f>
        <v>-0.00311032747588014</v>
      </c>
      <c r="O86" s="76" t="n">
        <f aca="false">IFERROR(IF(OR(NOT(ISNUMBER('Price History'!O87)),NOT(ISNUMBER('Price History'!O86)),'Price History'!O86=0),"",'Price History'!O87/'Price History'!O86-1),"")</f>
        <v>0.0096529533440588</v>
      </c>
      <c r="P86" s="76" t="str">
        <f aca="false">IFERROR(IF(OR(NOT(ISNUMBER('Price History'!P87)),NOT(ISNUMBER('Price History'!P86)),'Price History'!P86=0),"",'Price History'!P87/'Price History'!P86-1),"")</f>
        <v/>
      </c>
      <c r="Q86" s="76" t="n">
        <f aca="false">IFERROR(IF(OR(NOT(ISNUMBER('Price History'!Q87)),NOT(ISNUMBER('Price History'!Q86)),'Price History'!Q86=0),"",'Price History'!Q87/'Price History'!Q86-1),"")</f>
        <v>-0.00250041673612267</v>
      </c>
      <c r="R86" s="76" t="n">
        <f aca="false">IFERROR(IF(OR(NOT(ISNUMBER('Price History'!R87)),NOT(ISNUMBER('Price History'!R86)),'Price History'!R86=0),"",'Price History'!R87/'Price History'!R86-1),"")</f>
        <v>0.00361148070708994</v>
      </c>
      <c r="S86" s="76" t="n">
        <f aca="false">IFERROR(IF(OR(NOT(ISNUMBER('Price History'!S87)),NOT(ISNUMBER('Price History'!S86)),'Price History'!S86=0),"",'Price History'!S87/'Price History'!S86-1),"")</f>
        <v>0.00383549968037511</v>
      </c>
      <c r="T86" s="76" t="n">
        <f aca="false">IFERROR(IF(OR(NOT(ISNUMBER('Price History'!T87)),NOT(ISNUMBER('Price History'!T86)),'Price History'!T86=0),"",'Price History'!T87/'Price History'!T86-1),"")</f>
        <v>0.0170137870343208</v>
      </c>
      <c r="U86" s="76" t="str">
        <f aca="false">IFERROR(IF(OR(NOT(ISNUMBER('Price History'!U87)),NOT(ISNUMBER('Price History'!U86)),'Price History'!U86=0),"",'Price History'!U87/'Price History'!U86-1),"")</f>
        <v/>
      </c>
      <c r="W86" s="77" t="n">
        <f aca="false">'Price History'!B3+('Price History'!B158-'Price History'!B3)*0.538961038961039</f>
        <v>369.376493506494</v>
      </c>
      <c r="X86" s="77" t="n">
        <f aca="false">'Price History'!C3+('Price History'!C158-'Price History'!C3)*0.538961038961039</f>
        <v>117.367467532468</v>
      </c>
      <c r="Y86" s="77" t="n">
        <f aca="false">'Price History'!D3+('Price History'!D158-'Price History'!D3)*0.538961038961039</f>
        <v>1183.0738961039</v>
      </c>
      <c r="Z86" s="77" t="n">
        <f aca="false">'Price History'!E3+('Price History'!E158-'Price History'!E3)*0.538961038961039</f>
        <v>248.063766233766</v>
      </c>
      <c r="AA86" s="77" t="n">
        <f aca="false">'Price History'!F3+('Price History'!F158-'Price History'!F3)*0.538961038961039</f>
        <v>119.952207792208</v>
      </c>
      <c r="AB86" s="77" t="n">
        <f aca="false">'Price History'!G3+('Price History'!G158-'Price History'!G3)*0.538961038961039</f>
        <v>120.616623376623</v>
      </c>
      <c r="AC86" s="77" t="n">
        <f aca="false">'Price History'!H3+('Price History'!H158-'Price History'!H3)*0.538961038961039</f>
        <v>473.258181818182</v>
      </c>
      <c r="AD86" s="77" t="n">
        <f aca="false">'Price History'!I3+('Price History'!I158-'Price History'!I3)*0.538961038961039</f>
        <v>127.02987012987</v>
      </c>
      <c r="AE86" s="77" t="n">
        <f aca="false">'Price History'!J3+('Price History'!J158-'Price History'!J3)*0.538961038961039</f>
        <v>134.882077922078</v>
      </c>
      <c r="AF86" s="77" t="n">
        <f aca="false">'Price History'!K3+('Price History'!K158-'Price History'!K3)*0.538961038961039</f>
        <v>73.4291558441558</v>
      </c>
      <c r="AG86" s="77" t="n">
        <f aca="false">'Price History'!L3+('Price History'!L158-'Price History'!L3)*0.538961038961039</f>
        <v>260.285974025974</v>
      </c>
      <c r="AH86" s="77" t="n">
        <f aca="false">'Price History'!M3+('Price History'!M158-'Price History'!M3)*0.538961038961039</f>
        <v>145.646233766234</v>
      </c>
      <c r="AI86" s="77" t="n">
        <f aca="false">'Price History'!N3+('Price History'!N158-'Price History'!N3)*0.538961038961039</f>
        <v>418.437402597403</v>
      </c>
      <c r="AJ86" s="77" t="n">
        <f aca="false">'Price History'!O3+('Price History'!O158-'Price History'!O3)*0.538961038961039</f>
        <v>105.718116883117</v>
      </c>
      <c r="AK86" s="77" t="n">
        <f aca="false">'Price History'!Q3+('Price History'!Q151-'Price History'!Q3)*0.538961038961039</f>
        <v>59.8700649350649</v>
      </c>
      <c r="AL86" s="77" t="n">
        <f aca="false">'Price History'!R3+('Price History'!R158-'Price History'!R3)*0.538961038961039</f>
        <v>53.4413636363636</v>
      </c>
      <c r="AM86" s="77" t="n">
        <f aca="false">'Price History'!S3+('Price History'!S158-'Price History'!S3)*0.538961038961039</f>
        <v>104.507987012987</v>
      </c>
      <c r="AN86" s="77" t="n">
        <f aca="false">'Price History'!T3+('Price History'!T158-'Price History'!T3)*0.538961038961039</f>
        <v>39.2144805194805</v>
      </c>
    </row>
    <row r="87" customFormat="false" ht="15" hidden="false" customHeight="true" outlineLevel="0" collapsed="false">
      <c r="A87" s="49" t="n">
        <f aca="false">IF('Price History'!A88="","",'Price History'!A88)</f>
        <v>45744</v>
      </c>
      <c r="B87" s="76" t="n">
        <f aca="false">IFERROR(IF(OR(NOT(ISNUMBER('Price History'!B88)),NOT(ISNUMBER('Price History'!B87)),'Price History'!B87=0),"",'Price History'!B88/'Price History'!B87-1),"")</f>
        <v>-0.00400247895470751</v>
      </c>
      <c r="C87" s="76" t="n">
        <f aca="false">IFERROR(IF(OR(NOT(ISNUMBER('Price History'!C88)),NOT(ISNUMBER('Price History'!C87)),'Price History'!C87=0),"",'Price History'!C88/'Price History'!C87-1),"")</f>
        <v>-0.0624323348971491</v>
      </c>
      <c r="D87" s="76" t="n">
        <f aca="false">IFERROR(IF(OR(NOT(ISNUMBER('Price History'!D88)),NOT(ISNUMBER('Price History'!D87)),'Price History'!D87=0),"",'Price History'!D88/'Price History'!D87-1),"")</f>
        <v>-0.0581385607774148</v>
      </c>
      <c r="E87" s="76" t="n">
        <f aca="false">IFERROR(IF(OR(NOT(ISNUMBER('Price History'!E88)),NOT(ISNUMBER('Price History'!E87)),'Price History'!E87=0),"",'Price History'!E88/'Price History'!E87-1),"")</f>
        <v>-0.117604090577064</v>
      </c>
      <c r="F87" s="76" t="n">
        <f aca="false">IFERROR(IF(OR(NOT(ISNUMBER('Price History'!F88)),NOT(ISNUMBER('Price History'!F87)),'Price History'!F87=0),"",'Price History'!F88/'Price History'!F87-1),"")</f>
        <v>-0.0141342756183745</v>
      </c>
      <c r="G87" s="76" t="n">
        <f aca="false">IFERROR(IF(OR(NOT(ISNUMBER('Price History'!G88)),NOT(ISNUMBER('Price History'!G87)),'Price History'!G87=0),"",'Price History'!G88/'Price History'!G87-1),"")</f>
        <v>-0.0465675866949753</v>
      </c>
      <c r="H87" s="76" t="n">
        <f aca="false">IFERROR(IF(OR(NOT(ISNUMBER('Price History'!H88)),NOT(ISNUMBER('Price History'!H87)),'Price History'!H87=0),"",'Price History'!H88/'Price History'!H87-1),"")</f>
        <v>-0.0663006756756757</v>
      </c>
      <c r="I87" s="76" t="n">
        <f aca="false">IFERROR(IF(OR(NOT(ISNUMBER('Price History'!I88)),NOT(ISNUMBER('Price History'!I87)),'Price History'!I87=0),"",'Price History'!I88/'Price History'!I87-1),"")</f>
        <v>-0.0682242990654206</v>
      </c>
      <c r="J87" s="76" t="n">
        <f aca="false">IFERROR(IF(OR(NOT(ISNUMBER('Price History'!J88)),NOT(ISNUMBER('Price History'!J87)),'Price History'!J87=0),"",'Price History'!J88/'Price History'!J87-1),"")</f>
        <v>0.0187234827522598</v>
      </c>
      <c r="K87" s="76" t="n">
        <f aca="false">IFERROR(IF(OR(NOT(ISNUMBER('Price History'!K88)),NOT(ISNUMBER('Price History'!K87)),'Price History'!K87=0),"",'Price History'!K88/'Price History'!K87-1),"")</f>
        <v>-0.0561785400175902</v>
      </c>
      <c r="L87" s="76" t="n">
        <f aca="false">IFERROR(IF(OR(NOT(ISNUMBER('Price History'!L88)),NOT(ISNUMBER('Price History'!L87)),'Price History'!L87=0),"",'Price History'!L88/'Price History'!L87-1),"")</f>
        <v>-0.0649578453007412</v>
      </c>
      <c r="M87" s="76" t="n">
        <f aca="false">IFERROR(IF(OR(NOT(ISNUMBER('Price History'!M88)),NOT(ISNUMBER('Price History'!M87)),'Price History'!M87=0),"",'Price History'!M88/'Price History'!M87-1),"")</f>
        <v>-0.16224754597766</v>
      </c>
      <c r="N87" s="76" t="n">
        <f aca="false">IFERROR(IF(OR(NOT(ISNUMBER('Price History'!N88)),NOT(ISNUMBER('Price History'!N87)),'Price History'!N87=0),"",'Price History'!N88/'Price History'!N87-1),"")</f>
        <v>-0.0208863275039746</v>
      </c>
      <c r="O87" s="76" t="n">
        <f aca="false">IFERROR(IF(OR(NOT(ISNUMBER('Price History'!O88)),NOT(ISNUMBER('Price History'!O87)),'Price History'!O87=0),"",'Price History'!O88/'Price History'!O87-1),"")</f>
        <v>-0.00842249032551778</v>
      </c>
      <c r="P87" s="76" t="str">
        <f aca="false">IFERROR(IF(OR(NOT(ISNUMBER('Price History'!P88)),NOT(ISNUMBER('Price History'!P87)),'Price History'!P87=0),"",'Price History'!P88/'Price History'!P87-1),"")</f>
        <v/>
      </c>
      <c r="Q87" s="76" t="n">
        <f aca="false">IFERROR(IF(OR(NOT(ISNUMBER('Price History'!Q88)),NOT(ISNUMBER('Price History'!Q87)),'Price History'!Q87=0),"",'Price History'!Q88/'Price History'!Q87-1),"")</f>
        <v>0.0294117647058823</v>
      </c>
      <c r="R87" s="76" t="n">
        <f aca="false">IFERROR(IF(OR(NOT(ISNUMBER('Price History'!R88)),NOT(ISNUMBER('Price History'!R87)),'Price History'!R87=0),"",'Price History'!R88/'Price History'!R87-1),"")</f>
        <v>-0.0187499999999999</v>
      </c>
      <c r="S87" s="76" t="n">
        <f aca="false">IFERROR(IF(OR(NOT(ISNUMBER('Price History'!S88)),NOT(ISNUMBER('Price History'!S87)),'Price History'!S87=0),"",'Price History'!S88/'Price History'!S87-1),"")</f>
        <v>-0.0215453194650818</v>
      </c>
      <c r="T87" s="76" t="n">
        <f aca="false">IFERROR(IF(OR(NOT(ISNUMBER('Price History'!T88)),NOT(ISNUMBER('Price History'!T87)),'Price History'!T87=0),"",'Price History'!T88/'Price History'!T87-1),"")</f>
        <v>-0.0164407268531872</v>
      </c>
      <c r="U87" s="76" t="str">
        <f aca="false">IFERROR(IF(OR(NOT(ISNUMBER('Price History'!U88)),NOT(ISNUMBER('Price History'!U87)),'Price History'!U87=0),"",'Price History'!U88/'Price History'!U87-1),"")</f>
        <v/>
      </c>
      <c r="W87" s="77" t="n">
        <f aca="false">'Price History'!B3+('Price History'!B158-'Price History'!B3)*0.545454545454545</f>
        <v>367.700909090909</v>
      </c>
      <c r="X87" s="77" t="n">
        <f aca="false">'Price History'!C3+('Price History'!C158-'Price History'!C3)*0.545454545454545</f>
        <v>118.254545454545</v>
      </c>
      <c r="Y87" s="77" t="n">
        <f aca="false">'Price History'!D3+('Price History'!D158-'Price History'!D3)*0.545454545454545</f>
        <v>1189.35454545455</v>
      </c>
      <c r="Z87" s="77" t="n">
        <f aca="false">'Price History'!E3+('Price History'!E158-'Price History'!E3)*0.545454545454545</f>
        <v>250.052727272727</v>
      </c>
      <c r="AA87" s="77" t="n">
        <f aca="false">'Price History'!F3+('Price History'!F158-'Price History'!F3)*0.545454545454545</f>
        <v>120.950909090909</v>
      </c>
      <c r="AB87" s="77" t="n">
        <f aca="false">'Price History'!G3+('Price History'!G158-'Price History'!G3)*0.545454545454545</f>
        <v>121.492727272727</v>
      </c>
      <c r="AC87" s="77" t="n">
        <f aca="false">'Price History'!H3+('Price History'!H158-'Price History'!H3)*0.545454545454545</f>
        <v>478.184545454545</v>
      </c>
      <c r="AD87" s="77" t="n">
        <f aca="false">'Price History'!I3+('Price History'!I158-'Price History'!I3)*0.545454545454545</f>
        <v>128.068181818182</v>
      </c>
      <c r="AE87" s="77" t="n">
        <f aca="false">'Price History'!J3+('Price History'!J158-'Price History'!J3)*0.545454545454545</f>
        <v>135.019090909091</v>
      </c>
      <c r="AF87" s="77" t="n">
        <f aca="false">'Price History'!K3+('Price History'!K158-'Price History'!K3)*0.545454545454545</f>
        <v>74.1281818181818</v>
      </c>
      <c r="AG87" s="77" t="n">
        <f aca="false">'Price History'!L3+('Price History'!L158-'Price History'!L3)*0.545454545454545</f>
        <v>262.313636363636</v>
      </c>
      <c r="AH87" s="77" t="n">
        <f aca="false">'Price History'!M3+('Price History'!M158-'Price History'!M3)*0.545454545454545</f>
        <v>146.997272727273</v>
      </c>
      <c r="AI87" s="77" t="n">
        <f aca="false">'Price History'!N3+('Price History'!N158-'Price History'!N3)*0.545454545454545</f>
        <v>419.263636363636</v>
      </c>
      <c r="AJ87" s="77" t="n">
        <f aca="false">'Price History'!O3+('Price History'!O158-'Price History'!O3)*0.545454545454545</f>
        <v>105.993636363636</v>
      </c>
      <c r="AK87" s="77" t="n">
        <f aca="false">'Price History'!Q3+('Price History'!Q151-'Price History'!Q3)*0.545454545454545</f>
        <v>59.9909090909091</v>
      </c>
      <c r="AL87" s="77" t="n">
        <f aca="false">'Price History'!R3+('Price History'!R158-'Price History'!R3)*0.545454545454545</f>
        <v>53.5090909090909</v>
      </c>
      <c r="AM87" s="77" t="n">
        <f aca="false">'Price History'!S3+('Price History'!S158-'Price History'!S3)*0.545454545454545</f>
        <v>105.061818181818</v>
      </c>
      <c r="AN87" s="77" t="n">
        <f aca="false">'Price History'!T3+('Price History'!T158-'Price History'!T3)*0.545454545454545</f>
        <v>39.3627272727273</v>
      </c>
    </row>
    <row r="88" customFormat="false" ht="15" hidden="false" customHeight="true" outlineLevel="0" collapsed="false">
      <c r="A88" s="49" t="n">
        <f aca="false">IF('Price History'!A89="","",'Price History'!A89)</f>
        <v>45751</v>
      </c>
      <c r="B88" s="76" t="n">
        <f aca="false">IFERROR(IF(OR(NOT(ISNUMBER('Price History'!B89)),NOT(ISNUMBER('Price History'!B88)),'Price History'!B88=0),"",'Price History'!B89/'Price History'!B88-1),"")</f>
        <v>-0.0949936480775712</v>
      </c>
      <c r="C88" s="76" t="n">
        <f aca="false">IFERROR(IF(OR(NOT(ISNUMBER('Price History'!C89)),NOT(ISNUMBER('Price History'!C88)),'Price History'!C88=0),"",'Price History'!C89/'Price History'!C88-1),"")</f>
        <v>-0.174108288426995</v>
      </c>
      <c r="D88" s="76" t="n">
        <f aca="false">IFERROR(IF(OR(NOT(ISNUMBER('Price History'!D89)),NOT(ISNUMBER('Price History'!D88)),'Price History'!D88=0),"",'Price History'!D89/'Price History'!D88-1),"")</f>
        <v>-0.102330338877524</v>
      </c>
      <c r="E88" s="76" t="n">
        <f aca="false">IFERROR(IF(OR(NOT(ISNUMBER('Price History'!E89)),NOT(ISNUMBER('Price History'!E88)),'Price History'!E88=0),"",'Price History'!E89/'Price History'!E88-1),"")</f>
        <v>-0.134992904446547</v>
      </c>
      <c r="F88" s="76" t="n">
        <f aca="false">IFERROR(IF(OR(NOT(ISNUMBER('Price History'!F89)),NOT(ISNUMBER('Price History'!F88)),'Price History'!F88=0),"",'Price History'!F89/'Price History'!F88-1),"")</f>
        <v>-0.0993503584229392</v>
      </c>
      <c r="G88" s="76" t="n">
        <f aca="false">IFERROR(IF(OR(NOT(ISNUMBER('Price History'!G89)),NOT(ISNUMBER('Price History'!G88)),'Price History'!G88=0),"",'Price History'!G89/'Price History'!G88-1),"")</f>
        <v>-0.144150831353919</v>
      </c>
      <c r="H88" s="76" t="n">
        <f aca="false">IFERROR(IF(OR(NOT(ISNUMBER('Price History'!H89)),NOT(ISNUMBER('Price History'!H88)),'Price History'!H88=0),"",'Price History'!H89/'Price History'!H88-1),"")</f>
        <v>-0.268204432383537</v>
      </c>
      <c r="I88" s="76" t="n">
        <f aca="false">IFERROR(IF(OR(NOT(ISNUMBER('Price History'!I89)),NOT(ISNUMBER('Price History'!I88)),'Price History'!I88=0),"",'Price History'!I89/'Price History'!I88-1),"")</f>
        <v>-0.140056533236072</v>
      </c>
      <c r="J88" s="76" t="n">
        <f aca="false">IFERROR(IF(OR(NOT(ISNUMBER('Price History'!J89)),NOT(ISNUMBER('Price History'!J88)),'Price History'!J88=0),"",'Price History'!J89/'Price History'!J88-1),"")</f>
        <v>-0.11063829787234</v>
      </c>
      <c r="K88" s="76" t="n">
        <f aca="false">IFERROR(IF(OR(NOT(ISNUMBER('Price History'!K89)),NOT(ISNUMBER('Price History'!K88)),'Price History'!K88=0),"",'Price History'!K89/'Price History'!K88-1),"")</f>
        <v>-0.137914967967385</v>
      </c>
      <c r="L88" s="76" t="n">
        <f aca="false">IFERROR(IF(OR(NOT(ISNUMBER('Price History'!L89)),NOT(ISNUMBER('Price History'!L88)),'Price History'!L88=0),"",'Price History'!L89/'Price History'!L88-1),"")</f>
        <v>-0.111649016641452</v>
      </c>
      <c r="M88" s="76" t="n">
        <f aca="false">IFERROR(IF(OR(NOT(ISNUMBER('Price History'!M89)),NOT(ISNUMBER('Price History'!M88)),'Price History'!M88=0),"",'Price History'!M89/'Price History'!M88-1),"")</f>
        <v>-0.19986531986532</v>
      </c>
      <c r="N88" s="76" t="n">
        <f aca="false">IFERROR(IF(OR(NOT(ISNUMBER('Price History'!N89)),NOT(ISNUMBER('Price History'!N88)),'Price History'!N88=0),"",'Price History'!N89/'Price History'!N88-1),"")</f>
        <v>-0.0366762061336743</v>
      </c>
      <c r="O88" s="76" t="n">
        <f aca="false">IFERROR(IF(OR(NOT(ISNUMBER('Price History'!O89)),NOT(ISNUMBER('Price History'!O88)),'Price History'!O88=0),"",'Price History'!O89/'Price History'!O88-1),"")</f>
        <v>-0.104683195592287</v>
      </c>
      <c r="P88" s="76" t="str">
        <f aca="false">IFERROR(IF(OR(NOT(ISNUMBER('Price History'!P89)),NOT(ISNUMBER('Price History'!P88)),'Price History'!P88=0),"",'Price History'!P89/'Price History'!P88-1),"")</f>
        <v/>
      </c>
      <c r="Q88" s="76" t="n">
        <f aca="false">IFERROR(IF(OR(NOT(ISNUMBER('Price History'!Q89)),NOT(ISNUMBER('Price History'!Q88)),'Price History'!Q88=0),"",'Price History'!Q89/'Price History'!Q88-1),"")</f>
        <v>-0.0165584415584417</v>
      </c>
      <c r="R88" s="76" t="n">
        <f aca="false">IFERROR(IF(OR(NOT(ISNUMBER('Price History'!R89)),NOT(ISNUMBER('Price History'!R88)),'Price History'!R88=0),"",'Price History'!R89/'Price History'!R88-1),"")</f>
        <v>-0.100559737502413</v>
      </c>
      <c r="S88" s="76" t="n">
        <f aca="false">IFERROR(IF(OR(NOT(ISNUMBER('Price History'!S89)),NOT(ISNUMBER('Price History'!S88)),'Price History'!S88=0),"",'Price History'!S89/'Price History'!S88-1),"")</f>
        <v>-0.107061503416857</v>
      </c>
      <c r="T88" s="76" t="n">
        <f aca="false">IFERROR(IF(OR(NOT(ISNUMBER('Price History'!T89)),NOT(ISNUMBER('Price History'!T88)),'Price History'!T88=0),"",'Price History'!T89/'Price History'!T88-1),"")</f>
        <v>-0.092375366568915</v>
      </c>
      <c r="U88" s="76" t="str">
        <f aca="false">IFERROR(IF(OR(NOT(ISNUMBER('Price History'!U89)),NOT(ISNUMBER('Price History'!U88)),'Price History'!U88=0),"",'Price History'!U89/'Price History'!U88-1),"")</f>
        <v/>
      </c>
      <c r="W88" s="77" t="n">
        <f aca="false">'Price History'!B3+('Price History'!B158-'Price History'!B3)*0.551948051948052</f>
        <v>366.025324675325</v>
      </c>
      <c r="X88" s="77" t="n">
        <f aca="false">'Price History'!C3+('Price History'!C158-'Price History'!C3)*0.551948051948052</f>
        <v>119.141623376623</v>
      </c>
      <c r="Y88" s="77" t="n">
        <f aca="false">'Price History'!D3+('Price History'!D158-'Price History'!D3)*0.551948051948052</f>
        <v>1195.63519480519</v>
      </c>
      <c r="Z88" s="77" t="n">
        <f aca="false">'Price History'!E3+('Price History'!E158-'Price History'!E3)*0.551948051948052</f>
        <v>252.041688311688</v>
      </c>
      <c r="AA88" s="77" t="n">
        <f aca="false">'Price History'!F3+('Price History'!F158-'Price History'!F3)*0.551948051948052</f>
        <v>121.94961038961</v>
      </c>
      <c r="AB88" s="77" t="n">
        <f aca="false">'Price History'!G3+('Price History'!G158-'Price History'!G3)*0.551948051948052</f>
        <v>122.368831168831</v>
      </c>
      <c r="AC88" s="77" t="n">
        <f aca="false">'Price History'!H3+('Price History'!H158-'Price History'!H3)*0.551948051948052</f>
        <v>483.110909090909</v>
      </c>
      <c r="AD88" s="77" t="n">
        <f aca="false">'Price History'!I3+('Price History'!I158-'Price History'!I3)*0.551948051948052</f>
        <v>129.106493506494</v>
      </c>
      <c r="AE88" s="77" t="n">
        <f aca="false">'Price History'!J3+('Price History'!J158-'Price History'!J3)*0.551948051948052</f>
        <v>135.156103896104</v>
      </c>
      <c r="AF88" s="77" t="n">
        <f aca="false">'Price History'!K3+('Price History'!K158-'Price History'!K3)*0.551948051948052</f>
        <v>74.8272077922078</v>
      </c>
      <c r="AG88" s="77" t="n">
        <f aca="false">'Price History'!L3+('Price History'!L158-'Price History'!L3)*0.551948051948052</f>
        <v>264.341298701299</v>
      </c>
      <c r="AH88" s="77" t="n">
        <f aca="false">'Price History'!M3+('Price History'!M158-'Price History'!M3)*0.551948051948052</f>
        <v>148.348311688312</v>
      </c>
      <c r="AI88" s="77" t="n">
        <f aca="false">'Price History'!N3+('Price History'!N158-'Price History'!N3)*0.551948051948052</f>
        <v>420.08987012987</v>
      </c>
      <c r="AJ88" s="77" t="n">
        <f aca="false">'Price History'!O3+('Price History'!O158-'Price History'!O3)*0.551948051948052</f>
        <v>106.269155844156</v>
      </c>
      <c r="AK88" s="77" t="n">
        <f aca="false">'Price History'!Q3+('Price History'!Q151-'Price History'!Q3)*0.551948051948052</f>
        <v>60.1117532467533</v>
      </c>
      <c r="AL88" s="77" t="n">
        <f aca="false">'Price History'!R3+('Price History'!R158-'Price History'!R3)*0.551948051948052</f>
        <v>53.5768181818182</v>
      </c>
      <c r="AM88" s="77" t="n">
        <f aca="false">'Price History'!S3+('Price History'!S158-'Price History'!S3)*0.551948051948052</f>
        <v>105.615649350649</v>
      </c>
      <c r="AN88" s="77" t="n">
        <f aca="false">'Price History'!T3+('Price History'!T158-'Price History'!T3)*0.551948051948052</f>
        <v>39.510974025974</v>
      </c>
    </row>
    <row r="89" customFormat="false" ht="15" hidden="false" customHeight="true" outlineLevel="0" collapsed="false">
      <c r="A89" s="49" t="n">
        <f aca="false">IF('Price History'!A90="","",'Price History'!A90)</f>
        <v>45758</v>
      </c>
      <c r="B89" s="76" t="n">
        <f aca="false">IFERROR(IF(OR(NOT(ISNUMBER('Price History'!B90)),NOT(ISNUMBER('Price History'!B89)),'Price History'!B89=0),"",'Price History'!B90/'Price History'!B89-1),"")</f>
        <v>0.00974016672873646</v>
      </c>
      <c r="C89" s="76" t="n">
        <f aca="false">IFERROR(IF(OR(NOT(ISNUMBER('Price History'!C90)),NOT(ISNUMBER('Price History'!C89)),'Price History'!C89=0),"",'Price History'!C90/'Price History'!C89-1),"")</f>
        <v>0.128942053751748</v>
      </c>
      <c r="D89" s="76" t="n">
        <f aca="false">IFERROR(IF(OR(NOT(ISNUMBER('Price History'!D90)),NOT(ISNUMBER('Price History'!D89)),'Price History'!D89=0),"",'Price History'!D90/'Price History'!D89-1),"")</f>
        <v>0.104467013458839</v>
      </c>
      <c r="E89" s="76" t="n">
        <f aca="false">IFERROR(IF(OR(NOT(ISNUMBER('Price History'!E90)),NOT(ISNUMBER('Price History'!E89)),'Price History'!E89=0),"",'Price History'!E90/'Price History'!E89-1),"")</f>
        <v>0.243694032401395</v>
      </c>
      <c r="F89" s="76" t="n">
        <f aca="false">IFERROR(IF(OR(NOT(ISNUMBER('Price History'!F90)),NOT(ISNUMBER('Price History'!F89)),'Price History'!F89=0),"",'Price History'!F90/'Price History'!F89-1),"")</f>
        <v>0.174978236537744</v>
      </c>
      <c r="G89" s="76" t="n">
        <f aca="false">IFERROR(IF(OR(NOT(ISNUMBER('Price History'!G90)),NOT(ISNUMBER('Price History'!G89)),'Price History'!G89=0),"",'Price History'!G90/'Price History'!G89-1),"")</f>
        <v>0.162532523850824</v>
      </c>
      <c r="H89" s="76" t="n">
        <f aca="false">IFERROR(IF(OR(NOT(ISNUMBER('Price History'!H90)),NOT(ISNUMBER('Price History'!H89)),'Price History'!H89=0),"",'Price History'!H90/'Price History'!H89-1),"")</f>
        <v>0.074629171817058</v>
      </c>
      <c r="I89" s="76" t="n">
        <f aca="false">IFERROR(IF(OR(NOT(ISNUMBER('Price History'!I90)),NOT(ISNUMBER('Price History'!I89)),'Price History'!I89=0),"",'Price History'!I90/'Price History'!I89-1),"")</f>
        <v>0.17622733538331</v>
      </c>
      <c r="J89" s="76" t="n">
        <f aca="false">IFERROR(IF(OR(NOT(ISNUMBER('Price History'!J90)),NOT(ISNUMBER('Price History'!J89)),'Price History'!J89=0),"",'Price History'!J90/'Price History'!J89-1),"")</f>
        <v>-0.0203603787030439</v>
      </c>
      <c r="K89" s="76" t="n">
        <f aca="false">IFERROR(IF(OR(NOT(ISNUMBER('Price History'!K90)),NOT(ISNUMBER('Price History'!K89)),'Price History'!K89=0),"",'Price History'!K90/'Price History'!K89-1),"")</f>
        <v>0.196459937846237</v>
      </c>
      <c r="L89" s="76" t="n">
        <f aca="false">IFERROR(IF(OR(NOT(ISNUMBER('Price History'!L90)),NOT(ISNUMBER('Price History'!L89)),'Price History'!L89=0),"",'Price History'!L90/'Price History'!L89-1),"")</f>
        <v>0.0700272479564033</v>
      </c>
      <c r="M89" s="76" t="n">
        <f aca="false">IFERROR(IF(OR(NOT(ISNUMBER('Price History'!M90)),NOT(ISNUMBER('Price History'!M89)),'Price History'!M89=0),"",'Price History'!M90/'Price History'!M89-1),"")</f>
        <v>0.171688267968356</v>
      </c>
      <c r="N89" s="76" t="n">
        <f aca="false">IFERROR(IF(OR(NOT(ISNUMBER('Price History'!N90)),NOT(ISNUMBER('Price History'!N89)),'Price History'!N89=0),"",'Price History'!N90/'Price History'!N89-1),"")</f>
        <v>0.0202267076819351</v>
      </c>
      <c r="O89" s="76" t="n">
        <f aca="false">IFERROR(IF(OR(NOT(ISNUMBER('Price History'!O90)),NOT(ISNUMBER('Price History'!O89)),'Price History'!O89=0),"",'Price History'!O90/'Price History'!O89-1),"")</f>
        <v>0.0125641025641026</v>
      </c>
      <c r="P89" s="76" t="str">
        <f aca="false">IFERROR(IF(OR(NOT(ISNUMBER('Price History'!P90)),NOT(ISNUMBER('Price History'!P89)),'Price History'!P89=0),"",'Price History'!P90/'Price History'!P89-1),"")</f>
        <v/>
      </c>
      <c r="Q89" s="76" t="n">
        <f aca="false">IFERROR(IF(OR(NOT(ISNUMBER('Price History'!Q90)),NOT(ISNUMBER('Price History'!Q89)),'Price History'!Q89=0),"",'Price History'!Q90/'Price History'!Q89-1),"")</f>
        <v>0.0108946847144273</v>
      </c>
      <c r="R89" s="76" t="n">
        <f aca="false">IFERROR(IF(OR(NOT(ISNUMBER('Price History'!R90)),NOT(ISNUMBER('Price History'!R89)),'Price History'!R89=0),"",'Price History'!R90/'Price History'!R89-1),"")</f>
        <v>0.0630901287553647</v>
      </c>
      <c r="S89" s="76" t="n">
        <f aca="false">IFERROR(IF(OR(NOT(ISNUMBER('Price History'!S90)),NOT(ISNUMBER('Price History'!S89)),'Price History'!S89=0),"",'Price History'!S90/'Price History'!S89-1),"")</f>
        <v>0.0911078717201166</v>
      </c>
      <c r="T89" s="76" t="n">
        <f aca="false">IFERROR(IF(OR(NOT(ISNUMBER('Price History'!T90)),NOT(ISNUMBER('Price History'!T89)),'Price History'!T89=0),"",'Price History'!T90/'Price History'!T89-1),"")</f>
        <v>0.0197092084006463</v>
      </c>
      <c r="U89" s="76" t="str">
        <f aca="false">IFERROR(IF(OR(NOT(ISNUMBER('Price History'!U90)),NOT(ISNUMBER('Price History'!U89)),'Price History'!U89=0),"",'Price History'!U90/'Price History'!U89-1),"")</f>
        <v/>
      </c>
      <c r="W89" s="77" t="n">
        <f aca="false">'Price History'!B3+('Price History'!B158-'Price History'!B3)*0.558441558441558</f>
        <v>364.34974025974</v>
      </c>
      <c r="X89" s="77" t="n">
        <f aca="false">'Price History'!C3+('Price History'!C158-'Price History'!C3)*0.558441558441558</f>
        <v>120.028701298701</v>
      </c>
      <c r="Y89" s="77" t="n">
        <f aca="false">'Price History'!D3+('Price History'!D158-'Price History'!D3)*0.558441558441558</f>
        <v>1201.91584415584</v>
      </c>
      <c r="Z89" s="77" t="n">
        <f aca="false">'Price History'!E3+('Price History'!E158-'Price History'!E3)*0.558441558441558</f>
        <v>254.030649350649</v>
      </c>
      <c r="AA89" s="77" t="n">
        <f aca="false">'Price History'!F3+('Price History'!F158-'Price History'!F3)*0.558441558441558</f>
        <v>122.948311688312</v>
      </c>
      <c r="AB89" s="77" t="n">
        <f aca="false">'Price History'!G3+('Price History'!G158-'Price History'!G3)*0.558441558441558</f>
        <v>123.244935064935</v>
      </c>
      <c r="AC89" s="77" t="n">
        <f aca="false">'Price History'!H3+('Price History'!H158-'Price History'!H3)*0.558441558441558</f>
        <v>488.037272727272</v>
      </c>
      <c r="AD89" s="77" t="n">
        <f aca="false">'Price History'!I3+('Price History'!I158-'Price History'!I3)*0.558441558441558</f>
        <v>130.144805194805</v>
      </c>
      <c r="AE89" s="77" t="n">
        <f aca="false">'Price History'!J3+('Price History'!J158-'Price History'!J3)*0.558441558441558</f>
        <v>135.293116883117</v>
      </c>
      <c r="AF89" s="77" t="n">
        <f aca="false">'Price History'!K3+('Price History'!K158-'Price History'!K3)*0.558441558441558</f>
        <v>75.5262337662337</v>
      </c>
      <c r="AG89" s="77" t="n">
        <f aca="false">'Price History'!L3+('Price History'!L158-'Price History'!L3)*0.558441558441558</f>
        <v>266.368961038961</v>
      </c>
      <c r="AH89" s="77" t="n">
        <f aca="false">'Price History'!M3+('Price History'!M158-'Price History'!M3)*0.558441558441558</f>
        <v>149.699350649351</v>
      </c>
      <c r="AI89" s="77" t="n">
        <f aca="false">'Price History'!N3+('Price History'!N158-'Price History'!N3)*0.558441558441558</f>
        <v>420.916103896104</v>
      </c>
      <c r="AJ89" s="77" t="n">
        <f aca="false">'Price History'!O3+('Price History'!O158-'Price History'!O3)*0.558441558441558</f>
        <v>106.544675324675</v>
      </c>
      <c r="AK89" s="77" t="n">
        <f aca="false">'Price History'!Q3+('Price History'!Q151-'Price History'!Q3)*0.558441558441558</f>
        <v>60.2325974025974</v>
      </c>
      <c r="AL89" s="77" t="n">
        <f aca="false">'Price History'!R3+('Price History'!R158-'Price History'!R3)*0.558441558441558</f>
        <v>53.6445454545455</v>
      </c>
      <c r="AM89" s="77" t="n">
        <f aca="false">'Price History'!S3+('Price History'!S158-'Price History'!S3)*0.558441558441558</f>
        <v>106.16948051948</v>
      </c>
      <c r="AN89" s="77" t="n">
        <f aca="false">'Price History'!T3+('Price History'!T158-'Price History'!T3)*0.558441558441558</f>
        <v>39.6592207792208</v>
      </c>
    </row>
    <row r="90" customFormat="false" ht="15" hidden="false" customHeight="true" outlineLevel="0" collapsed="false">
      <c r="A90" s="49" t="n">
        <f aca="false">IF('Price History'!A91="","",'Price History'!A91)</f>
        <v>45764</v>
      </c>
      <c r="B90" s="76" t="n">
        <f aca="false">IFERROR(IF(OR(NOT(ISNUMBER('Price History'!B91)),NOT(ISNUMBER('Price History'!B90)),'Price History'!B90=0),"",'Price History'!B91/'Price History'!B90-1),"")</f>
        <v>-0.0104122336652765</v>
      </c>
      <c r="C90" s="76" t="n">
        <f aca="false">IFERROR(IF(OR(NOT(ISNUMBER('Price History'!C91)),NOT(ISNUMBER('Price History'!C90)),'Price History'!C90=0),"",'Price History'!C91/'Price History'!C90-1),"")</f>
        <v>-0.0202284298885372</v>
      </c>
      <c r="D90" s="76" t="n">
        <f aca="false">IFERROR(IF(OR(NOT(ISNUMBER('Price History'!D91)),NOT(ISNUMBER('Price History'!D90)),'Price History'!D90=0),"",'Price History'!D91/'Price History'!D90-1),"")</f>
        <v>-0.0428372781507453</v>
      </c>
      <c r="E90" s="76" t="n">
        <f aca="false">IFERROR(IF(OR(NOT(ISNUMBER('Price History'!E91)),NOT(ISNUMBER('Price History'!E90)),'Price History'!E90=0),"",'Price History'!E91/'Price History'!E90-1),"")</f>
        <v>-0.0601846762669012</v>
      </c>
      <c r="F90" s="76" t="n">
        <f aca="false">IFERROR(IF(OR(NOT(ISNUMBER('Price History'!F91)),NOT(ISNUMBER('Price History'!F90)),'Price History'!F90=0),"",'Price History'!F91/'Price History'!F90-1),"")</f>
        <v>-0.00603302286198149</v>
      </c>
      <c r="G90" s="76" t="n">
        <f aca="false">IFERROR(IF(OR(NOT(ISNUMBER('Price History'!G91)),NOT(ISNUMBER('Price History'!G90)),'Price History'!G90=0),"",'Price History'!G91/'Price History'!G90-1),"")</f>
        <v>-0.0534168904804536</v>
      </c>
      <c r="H90" s="76" t="n">
        <f aca="false">IFERROR(IF(OR(NOT(ISNUMBER('Price History'!H91)),NOT(ISNUMBER('Price History'!H90)),'Price History'!H90=0),"",'Price History'!H91/'Price History'!H90-1),"")</f>
        <v>-0.0107836089144501</v>
      </c>
      <c r="I90" s="76" t="n">
        <f aca="false">IFERROR(IF(OR(NOT(ISNUMBER('Price History'!I91)),NOT(ISNUMBER('Price History'!I90)),'Price History'!I90=0),"",'Price History'!I91/'Price History'!I90-1),"")</f>
        <v>-0.0850987108987651</v>
      </c>
      <c r="J90" s="76" t="n">
        <f aca="false">IFERROR(IF(OR(NOT(ISNUMBER('Price History'!J91)),NOT(ISNUMBER('Price History'!J90)),'Price History'!J90=0),"",'Price History'!J91/'Price History'!J90-1),"")</f>
        <v>0.0609996882469084</v>
      </c>
      <c r="K90" s="76" t="n">
        <f aca="false">IFERROR(IF(OR(NOT(ISNUMBER('Price History'!K91)),NOT(ISNUMBER('Price History'!K90)),'Price History'!K90=0),"",'Price History'!K91/'Price History'!K90-1),"")</f>
        <v>0.0590626764539808</v>
      </c>
      <c r="L90" s="76" t="n">
        <f aca="false">IFERROR(IF(OR(NOT(ISNUMBER('Price History'!L91)),NOT(ISNUMBER('Price History'!L90)),'Price History'!L90=0),"",'Price History'!L91/'Price History'!L90-1),"")</f>
        <v>-0.0339954163483576</v>
      </c>
      <c r="M90" s="76" t="n">
        <f aca="false">IFERROR(IF(OR(NOT(ISNUMBER('Price History'!M91)),NOT(ISNUMBER('Price History'!M90)),'Price History'!M90=0),"",'Price History'!M91/'Price History'!M90-1),"")</f>
        <v>0.0517167073696307</v>
      </c>
      <c r="N90" s="76" t="n">
        <f aca="false">IFERROR(IF(OR(NOT(ISNUMBER('Price History'!N91)),NOT(ISNUMBER('Price History'!N90)),'Price History'!N90=0),"",'Price History'!N91/'Price History'!N90-1),"")</f>
        <v>0.0100780636900581</v>
      </c>
      <c r="O90" s="76" t="n">
        <f aca="false">IFERROR(IF(OR(NOT(ISNUMBER('Price History'!O91)),NOT(ISNUMBER('Price History'!O90)),'Price History'!O90=0),"",'Price History'!O91/'Price History'!O90-1),"")</f>
        <v>0.0186123069131425</v>
      </c>
      <c r="P90" s="76" t="str">
        <f aca="false">IFERROR(IF(OR(NOT(ISNUMBER('Price History'!P91)),NOT(ISNUMBER('Price History'!P90)),'Price History'!P90=0),"",'Price History'!P91/'Price History'!P90-1),"")</f>
        <v/>
      </c>
      <c r="Q90" s="76" t="n">
        <f aca="false">IFERROR(IF(OR(NOT(ISNUMBER('Price History'!Q91)),NOT(ISNUMBER('Price History'!Q90)),'Price History'!Q90=0),"",'Price History'!Q91/'Price History'!Q90-1),"")</f>
        <v>0.00963422599608088</v>
      </c>
      <c r="R90" s="76" t="n">
        <f aca="false">IFERROR(IF(OR(NOT(ISNUMBER('Price History'!R91)),NOT(ISNUMBER('Price History'!R90)),'Price History'!R90=0),"",'Price History'!R91/'Price History'!R90-1),"")</f>
        <v>-0.0161485668146951</v>
      </c>
      <c r="S90" s="76" t="n">
        <f aca="false">IFERROR(IF(OR(NOT(ISNUMBER('Price History'!S91)),NOT(ISNUMBER('Price History'!S90)),'Price History'!S90=0),"",'Price History'!S91/'Price History'!S90-1),"")</f>
        <v>-0.0173680694722778</v>
      </c>
      <c r="T90" s="76" t="n">
        <f aca="false">IFERROR(IF(OR(NOT(ISNUMBER('Price History'!T91)),NOT(ISNUMBER('Price History'!T90)),'Price History'!T90=0),"",'Price History'!T91/'Price History'!T90-1),"")</f>
        <v>0.00697084917617241</v>
      </c>
      <c r="U90" s="76" t="str">
        <f aca="false">IFERROR(IF(OR(NOT(ISNUMBER('Price History'!U91)),NOT(ISNUMBER('Price History'!U90)),'Price History'!U90=0),"",'Price History'!U91/'Price History'!U90-1),"")</f>
        <v/>
      </c>
      <c r="W90" s="77" t="n">
        <f aca="false">'Price History'!B3+('Price History'!B158-'Price History'!B3)*0.564935064935065</f>
        <v>362.674155844156</v>
      </c>
      <c r="X90" s="77" t="n">
        <f aca="false">'Price History'!C3+('Price History'!C158-'Price History'!C3)*0.564935064935065</f>
        <v>120.915779220779</v>
      </c>
      <c r="Y90" s="77" t="n">
        <f aca="false">'Price History'!D3+('Price History'!D158-'Price History'!D3)*0.564935064935065</f>
        <v>1208.19649350649</v>
      </c>
      <c r="Z90" s="77" t="n">
        <f aca="false">'Price History'!E3+('Price History'!E158-'Price History'!E3)*0.564935064935065</f>
        <v>256.01961038961</v>
      </c>
      <c r="AA90" s="77" t="n">
        <f aca="false">'Price History'!F3+('Price History'!F158-'Price History'!F3)*0.564935064935065</f>
        <v>123.947012987013</v>
      </c>
      <c r="AB90" s="77" t="n">
        <f aca="false">'Price History'!G3+('Price History'!G158-'Price History'!G3)*0.564935064935065</f>
        <v>124.121038961039</v>
      </c>
      <c r="AC90" s="77" t="n">
        <f aca="false">'Price History'!H3+('Price History'!H158-'Price History'!H3)*0.564935064935065</f>
        <v>492.963636363636</v>
      </c>
      <c r="AD90" s="77" t="n">
        <f aca="false">'Price History'!I3+('Price History'!I158-'Price History'!I3)*0.564935064935065</f>
        <v>131.183116883117</v>
      </c>
      <c r="AE90" s="77" t="n">
        <f aca="false">'Price History'!J3+('Price History'!J158-'Price History'!J3)*0.564935064935065</f>
        <v>135.43012987013</v>
      </c>
      <c r="AF90" s="77" t="n">
        <f aca="false">'Price History'!K3+('Price History'!K158-'Price History'!K3)*0.564935064935065</f>
        <v>76.2252597402597</v>
      </c>
      <c r="AG90" s="77" t="n">
        <f aca="false">'Price History'!L3+('Price History'!L158-'Price History'!L3)*0.564935064935065</f>
        <v>268.396623376623</v>
      </c>
      <c r="AH90" s="77" t="n">
        <f aca="false">'Price History'!M3+('Price History'!M158-'Price History'!M3)*0.564935064935065</f>
        <v>151.05038961039</v>
      </c>
      <c r="AI90" s="77" t="n">
        <f aca="false">'Price History'!N3+('Price History'!N158-'Price History'!N3)*0.564935064935065</f>
        <v>421.742337662338</v>
      </c>
      <c r="AJ90" s="77" t="n">
        <f aca="false">'Price History'!O3+('Price History'!O158-'Price History'!O3)*0.564935064935065</f>
        <v>106.820194805195</v>
      </c>
      <c r="AK90" s="77" t="n">
        <f aca="false">'Price History'!Q3+('Price History'!Q151-'Price History'!Q3)*0.564935064935065</f>
        <v>60.3534415584416</v>
      </c>
      <c r="AL90" s="77" t="n">
        <f aca="false">'Price History'!R3+('Price History'!R158-'Price History'!R3)*0.564935064935065</f>
        <v>53.7122727272727</v>
      </c>
      <c r="AM90" s="77" t="n">
        <f aca="false">'Price History'!S3+('Price History'!S158-'Price History'!S3)*0.564935064935065</f>
        <v>106.723311688312</v>
      </c>
      <c r="AN90" s="77" t="n">
        <f aca="false">'Price History'!T3+('Price History'!T158-'Price History'!T3)*0.564935064935065</f>
        <v>39.8074675324675</v>
      </c>
    </row>
    <row r="91" customFormat="false" ht="15" hidden="false" customHeight="true" outlineLevel="0" collapsed="false">
      <c r="A91" s="49" t="n">
        <f aca="false">IF('Price History'!A92="","",'Price History'!A92)</f>
        <v>45772</v>
      </c>
      <c r="B91" s="76" t="n">
        <f aca="false">IFERROR(IF(OR(NOT(ISNUMBER('Price History'!B92)),NOT(ISNUMBER('Price History'!B91)),'Price History'!B91=0),"",'Price History'!B92/'Price History'!B91-1),"")</f>
        <v>0.0542431192660551</v>
      </c>
      <c r="C91" s="76" t="n">
        <f aca="false">IFERROR(IF(OR(NOT(ISNUMBER('Price History'!C92)),NOT(ISNUMBER('Price History'!C91)),'Price History'!C91=0),"",'Price History'!C92/'Price History'!C91-1),"")</f>
        <v>0.0942415730337078</v>
      </c>
      <c r="D91" s="76" t="n">
        <f aca="false">IFERROR(IF(OR(NOT(ISNUMBER('Price History'!D92)),NOT(ISNUMBER('Price History'!D91)),'Price History'!D91=0),"",'Price History'!D92/'Price History'!D91-1),"")</f>
        <v>0.0579698825293677</v>
      </c>
      <c r="E91" s="76" t="n">
        <f aca="false">IFERROR(IF(OR(NOT(ISNUMBER('Price History'!E92)),NOT(ISNUMBER('Price History'!E91)),'Price History'!E91=0),"",'Price History'!E92/'Price History'!E91-1),"")</f>
        <v>0.12468565413182</v>
      </c>
      <c r="F91" s="76" t="n">
        <f aca="false">IFERROR(IF(OR(NOT(ISNUMBER('Price History'!F92)),NOT(ISNUMBER('Price History'!F91)),'Price History'!F91=0),"",'Price History'!F92/'Price History'!F91-1),"")</f>
        <v>0.131082951762326</v>
      </c>
      <c r="G91" s="76" t="n">
        <f aca="false">IFERROR(IF(OR(NOT(ISNUMBER('Price History'!G92)),NOT(ISNUMBER('Price History'!G91)),'Price History'!G91=0),"",'Price History'!G92/'Price History'!G91-1),"")</f>
        <v>0.0948928121059267</v>
      </c>
      <c r="H91" s="76" t="n">
        <f aca="false">IFERROR(IF(OR(NOT(ISNUMBER('Price History'!H92)),NOT(ISNUMBER('Price History'!H91)),'Price History'!H91=0),"",'Price History'!H92/'Price History'!H91-1),"")</f>
        <v>0.159593023255814</v>
      </c>
      <c r="I91" s="76" t="n">
        <f aca="false">IFERROR(IF(OR(NOT(ISNUMBER('Price History'!I92)),NOT(ISNUMBER('Price History'!I91)),'Price History'!I91=0),"",'Price History'!I92/'Price History'!I91-1),"")</f>
        <v>0.0938023450586265</v>
      </c>
      <c r="J91" s="76" t="n">
        <f aca="false">IFERROR(IF(OR(NOT(ISNUMBER('Price History'!J92)),NOT(ISNUMBER('Price History'!J91)),'Price History'!J91=0),"",'Price History'!J92/'Price History'!J91-1),"")</f>
        <v>0.00137120470127328</v>
      </c>
      <c r="K91" s="76" t="n">
        <f aca="false">IFERROR(IF(OR(NOT(ISNUMBER('Price History'!K92)),NOT(ISNUMBER('Price History'!K91)),'Price History'!K91=0),"",'Price History'!K92/'Price History'!K91-1),"")</f>
        <v>0.202601834079761</v>
      </c>
      <c r="L91" s="76" t="n">
        <f aca="false">IFERROR(IF(OR(NOT(ISNUMBER('Price History'!L92)),NOT(ISNUMBER('Price History'!L91)),'Price History'!L91=0),"",'Price History'!L92/'Price History'!L91-1),"")</f>
        <v>0.0880453407143798</v>
      </c>
      <c r="M91" s="76" t="n">
        <f aca="false">IFERROR(IF(OR(NOT(ISNUMBER('Price History'!M92)),NOT(ISNUMBER('Price History'!M91)),'Price History'!M91=0),"",'Price History'!M92/'Price History'!M91-1),"")</f>
        <v>0.187679278787051</v>
      </c>
      <c r="N91" s="76" t="n">
        <f aca="false">IFERROR(IF(OR(NOT(ISNUMBER('Price History'!N92)),NOT(ISNUMBER('Price History'!N91)),'Price History'!N91=0),"",'Price History'!N92/'Price History'!N91-1),"")</f>
        <v>0.00969126967900214</v>
      </c>
      <c r="O91" s="76" t="n">
        <f aca="false">IFERROR(IF(OR(NOT(ISNUMBER('Price History'!O92)),NOT(ISNUMBER('Price History'!O91)),'Price History'!O91=0),"",'Price History'!O92/'Price History'!O91-1),"")</f>
        <v>0.0280919825978867</v>
      </c>
      <c r="P91" s="76" t="str">
        <f aca="false">IFERROR(IF(OR(NOT(ISNUMBER('Price History'!P92)),NOT(ISNUMBER('Price History'!P91)),'Price History'!P91=0),"",'Price History'!P92/'Price History'!P91-1),"")</f>
        <v/>
      </c>
      <c r="Q91" s="76" t="n">
        <f aca="false">IFERROR(IF(OR(NOT(ISNUMBER('Price History'!Q92)),NOT(ISNUMBER('Price History'!Q91)),'Price History'!Q91=0),"",'Price History'!Q92/'Price History'!Q91-1),"")</f>
        <v>-0.00016173378618789</v>
      </c>
      <c r="R91" s="76" t="n">
        <f aca="false">IFERROR(IF(OR(NOT(ISNUMBER('Price History'!R92)),NOT(ISNUMBER('Price History'!R91)),'Price History'!R91=0),"",'Price History'!R92/'Price History'!R91-1),"")</f>
        <v>0.0482150184653263</v>
      </c>
      <c r="S91" s="76" t="n">
        <f aca="false">IFERROR(IF(OR(NOT(ISNUMBER('Price History'!S92)),NOT(ISNUMBER('Price History'!S91)),'Price History'!S91=0),"",'Price History'!S92/'Price History'!S91-1),"")</f>
        <v>0.0652617267165192</v>
      </c>
      <c r="T91" s="76" t="n">
        <f aca="false">IFERROR(IF(OR(NOT(ISNUMBER('Price History'!T92)),NOT(ISNUMBER('Price History'!T91)),'Price History'!T91=0),"",'Price History'!T92/'Price History'!T91-1),"")</f>
        <v>0.0330396475770924</v>
      </c>
      <c r="U91" s="76" t="str">
        <f aca="false">IFERROR(IF(OR(NOT(ISNUMBER('Price History'!U92)),NOT(ISNUMBER('Price History'!U91)),'Price History'!U91=0),"",'Price History'!U92/'Price History'!U91-1),"")</f>
        <v/>
      </c>
      <c r="W91" s="77" t="n">
        <f aca="false">'Price History'!B3+('Price History'!B158-'Price History'!B3)*0.571428571428571</f>
        <v>360.998571428572</v>
      </c>
      <c r="X91" s="77" t="n">
        <f aca="false">'Price History'!C3+('Price History'!C158-'Price History'!C3)*0.571428571428571</f>
        <v>121.802857142857</v>
      </c>
      <c r="Y91" s="77" t="n">
        <f aca="false">'Price History'!D3+('Price History'!D158-'Price History'!D3)*0.571428571428571</f>
        <v>1214.47714285714</v>
      </c>
      <c r="Z91" s="77" t="n">
        <f aca="false">'Price History'!E3+('Price History'!E158-'Price History'!E3)*0.571428571428571</f>
        <v>258.008571428571</v>
      </c>
      <c r="AA91" s="77" t="n">
        <f aca="false">'Price History'!F3+('Price History'!F158-'Price History'!F3)*0.571428571428571</f>
        <v>124.945714285714</v>
      </c>
      <c r="AB91" s="77" t="n">
        <f aca="false">'Price History'!G3+('Price History'!G158-'Price History'!G3)*0.571428571428571</f>
        <v>124.997142857143</v>
      </c>
      <c r="AC91" s="77" t="n">
        <f aca="false">'Price History'!H3+('Price History'!H158-'Price History'!H3)*0.571428571428571</f>
        <v>497.89</v>
      </c>
      <c r="AD91" s="77" t="n">
        <f aca="false">'Price History'!I3+('Price History'!I158-'Price History'!I3)*0.571428571428571</f>
        <v>132.221428571429</v>
      </c>
      <c r="AE91" s="77" t="n">
        <f aca="false">'Price History'!J3+('Price History'!J158-'Price History'!J3)*0.571428571428571</f>
        <v>135.567142857143</v>
      </c>
      <c r="AF91" s="77" t="n">
        <f aca="false">'Price History'!K3+('Price History'!K158-'Price History'!K3)*0.571428571428571</f>
        <v>76.9242857142857</v>
      </c>
      <c r="AG91" s="77" t="n">
        <f aca="false">'Price History'!L3+('Price History'!L158-'Price History'!L3)*0.571428571428571</f>
        <v>270.424285714286</v>
      </c>
      <c r="AH91" s="77" t="n">
        <f aca="false">'Price History'!M3+('Price History'!M158-'Price History'!M3)*0.571428571428571</f>
        <v>152.401428571428</v>
      </c>
      <c r="AI91" s="77" t="n">
        <f aca="false">'Price History'!N3+('Price History'!N158-'Price History'!N3)*0.571428571428571</f>
        <v>422.568571428571</v>
      </c>
      <c r="AJ91" s="77" t="n">
        <f aca="false">'Price History'!O3+('Price History'!O158-'Price History'!O3)*0.571428571428571</f>
        <v>107.095714285714</v>
      </c>
      <c r="AK91" s="77" t="n">
        <f aca="false">'Price History'!Q3+('Price History'!Q151-'Price History'!Q3)*0.571428571428571</f>
        <v>60.4742857142857</v>
      </c>
      <c r="AL91" s="77" t="n">
        <f aca="false">'Price History'!R3+('Price History'!R158-'Price History'!R3)*0.571428571428571</f>
        <v>53.78</v>
      </c>
      <c r="AM91" s="77" t="n">
        <f aca="false">'Price History'!S3+('Price History'!S158-'Price History'!S3)*0.571428571428571</f>
        <v>107.277142857143</v>
      </c>
      <c r="AN91" s="77" t="n">
        <f aca="false">'Price History'!T3+('Price History'!T158-'Price History'!T3)*0.571428571428571</f>
        <v>39.9557142857143</v>
      </c>
    </row>
    <row r="92" customFormat="false" ht="15" hidden="false" customHeight="true" outlineLevel="0" collapsed="false">
      <c r="A92" s="49" t="n">
        <f aca="false">IF('Price History'!A93="","",'Price History'!A93)</f>
        <v>45779</v>
      </c>
      <c r="B92" s="76" t="n">
        <f aca="false">IFERROR(IF(OR(NOT(ISNUMBER('Price History'!B93)),NOT(ISNUMBER('Price History'!B92)),'Price History'!B92=0),"",'Price History'!B93/'Price History'!B92-1),"")</f>
        <v>0.0357609050364407</v>
      </c>
      <c r="C92" s="76" t="n">
        <f aca="false">IFERROR(IF(OR(NOT(ISNUMBER('Price History'!C93)),NOT(ISNUMBER('Price History'!C92)),'Price History'!C92=0),"",'Price History'!C93/'Price History'!C92-1),"")</f>
        <v>0.168271082017713</v>
      </c>
      <c r="D92" s="76" t="n">
        <f aca="false">IFERROR(IF(OR(NOT(ISNUMBER('Price History'!D93)),NOT(ISNUMBER('Price History'!D92)),'Price History'!D92=0),"",'Price History'!D93/'Price History'!D92-1),"")</f>
        <v>0.019283299127379</v>
      </c>
      <c r="E92" s="76" t="n">
        <f aca="false">IFERROR(IF(OR(NOT(ISNUMBER('Price History'!E93)),NOT(ISNUMBER('Price History'!E92)),'Price History'!E92=0),"",'Price History'!E93/'Price History'!E92-1),"")</f>
        <v>0.0589152930164838</v>
      </c>
      <c r="F92" s="76" t="n">
        <f aca="false">IFERROR(IF(OR(NOT(ISNUMBER('Price History'!F93)),NOT(ISNUMBER('Price History'!F92)),'Price History'!F92=0),"",'Price History'!F93/'Price History'!F92-1),"")</f>
        <v>0.0369986819807946</v>
      </c>
      <c r="G92" s="76" t="n">
        <f aca="false">IFERROR(IF(OR(NOT(ISNUMBER('Price History'!G93)),NOT(ISNUMBER('Price History'!G92)),'Price History'!G92=0),"",'Price History'!G93/'Price History'!G92-1),"")</f>
        <v>0.00518283904405403</v>
      </c>
      <c r="H92" s="76" t="n">
        <f aca="false">IFERROR(IF(OR(NOT(ISNUMBER('Price History'!H93)),NOT(ISNUMBER('Price History'!H92)),'Price History'!H92=0),"",'Price History'!H93/'Price History'!H92-1),"")</f>
        <v>0.0117824016044121</v>
      </c>
      <c r="I92" s="76" t="n">
        <f aca="false">IFERROR(IF(OR(NOT(ISNUMBER('Price History'!I93)),NOT(ISNUMBER('Price History'!I92)),'Price History'!I92=0),"",'Price History'!I93/'Price History'!I92-1),"")</f>
        <v>0.0314386091343122</v>
      </c>
      <c r="J92" s="76" t="n">
        <f aca="false">IFERROR(IF(OR(NOT(ISNUMBER('Price History'!J93)),NOT(ISNUMBER('Price History'!J92)),'Price History'!J92=0),"",'Price History'!J93/'Price History'!J92-1),"")</f>
        <v>0.0310054773082942</v>
      </c>
      <c r="K92" s="76" t="n">
        <f aca="false">IFERROR(IF(OR(NOT(ISNUMBER('Price History'!K93)),NOT(ISNUMBER('Price History'!K92)),'Price History'!K92=0),"",'Price History'!K93/'Price History'!K92-1),"")</f>
        <v>0.101968434119525</v>
      </c>
      <c r="L92" s="76" t="n">
        <f aca="false">IFERROR(IF(OR(NOT(ISNUMBER('Price History'!L93)),NOT(ISNUMBER('Price History'!L92)),'Price History'!L92=0),"",'Price History'!L93/'Price History'!L92-1),"")</f>
        <v>0.0858873410054513</v>
      </c>
      <c r="M92" s="76" t="n">
        <f aca="false">IFERROR(IF(OR(NOT(ISNUMBER('Price History'!M93)),NOT(ISNUMBER('Price History'!M92)),'Price History'!M92=0),"",'Price History'!M93/'Price History'!M92-1),"")</f>
        <v>0.0925819436457733</v>
      </c>
      <c r="N92" s="76" t="n">
        <f aca="false">IFERROR(IF(OR(NOT(ISNUMBER('Price History'!N93)),NOT(ISNUMBER('Price History'!N92)),'Price History'!N92=0),"",'Price History'!N93/'Price History'!N92-1),"")</f>
        <v>0.0148023651385063</v>
      </c>
      <c r="O92" s="76" t="n">
        <f aca="false">IFERROR(IF(OR(NOT(ISNUMBER('Price History'!O93)),NOT(ISNUMBER('Price History'!O92)),'Price History'!O92=0),"",'Price History'!O93/'Price History'!O92-1),"")</f>
        <v>0.0339741264659654</v>
      </c>
      <c r="P92" s="76" t="str">
        <f aca="false">IFERROR(IF(OR(NOT(ISNUMBER('Price History'!P93)),NOT(ISNUMBER('Price History'!P92)),'Price History'!P92=0),"",'Price History'!P93/'Price History'!P92-1),"")</f>
        <v/>
      </c>
      <c r="Q92" s="76" t="n">
        <f aca="false">IFERROR(IF(OR(NOT(ISNUMBER('Price History'!Q93)),NOT(ISNUMBER('Price History'!Q92)),'Price History'!Q92=0),"",'Price History'!Q93/'Price History'!Q92-1),"")</f>
        <v>0.000808799741184085</v>
      </c>
      <c r="R92" s="76" t="n">
        <f aca="false">IFERROR(IF(OR(NOT(ISNUMBER('Price History'!R93)),NOT(ISNUMBER('Price History'!R92)),'Price History'!R92=0),"",'Price History'!R93/'Price History'!R92-1),"")</f>
        <v>0.00782932080641996</v>
      </c>
      <c r="S92" s="76" t="n">
        <f aca="false">IFERROR(IF(OR(NOT(ISNUMBER('Price History'!S93)),NOT(ISNUMBER('Price History'!S92)),'Price History'!S92=0),"",'Price History'!S93/'Price History'!S92-1),"")</f>
        <v>0.0402042118698149</v>
      </c>
      <c r="T92" s="76" t="n">
        <f aca="false">IFERROR(IF(OR(NOT(ISNUMBER('Price History'!T93)),NOT(ISNUMBER('Price History'!T92)),'Price History'!T92=0),"",'Price History'!T93/'Price History'!T92-1),"")</f>
        <v>0.0191897654584223</v>
      </c>
      <c r="U92" s="76" t="str">
        <f aca="false">IFERROR(IF(OR(NOT(ISNUMBER('Price History'!U93)),NOT(ISNUMBER('Price History'!U92)),'Price History'!U92=0),"",'Price History'!U93/'Price History'!U92-1),"")</f>
        <v/>
      </c>
      <c r="W92" s="77" t="n">
        <f aca="false">'Price History'!B3+('Price History'!B158-'Price History'!B3)*0.577922077922078</f>
        <v>359.322987012987</v>
      </c>
      <c r="X92" s="77" t="n">
        <f aca="false">'Price History'!C3+('Price History'!C158-'Price History'!C3)*0.577922077922078</f>
        <v>122.689935064935</v>
      </c>
      <c r="Y92" s="77" t="n">
        <f aca="false">'Price History'!D3+('Price History'!D158-'Price History'!D3)*0.577922077922078</f>
        <v>1220.75779220779</v>
      </c>
      <c r="Z92" s="77" t="n">
        <f aca="false">'Price History'!E3+('Price History'!E158-'Price History'!E3)*0.577922077922078</f>
        <v>259.997532467532</v>
      </c>
      <c r="AA92" s="77" t="n">
        <f aca="false">'Price History'!F3+('Price History'!F158-'Price History'!F3)*0.577922077922078</f>
        <v>125.944415584416</v>
      </c>
      <c r="AB92" s="77" t="n">
        <f aca="false">'Price History'!G3+('Price History'!G158-'Price History'!G3)*0.577922077922078</f>
        <v>125.873246753247</v>
      </c>
      <c r="AC92" s="77" t="n">
        <f aca="false">'Price History'!H3+('Price History'!H158-'Price History'!H3)*0.577922077922078</f>
        <v>502.816363636364</v>
      </c>
      <c r="AD92" s="77" t="n">
        <f aca="false">'Price History'!I3+('Price History'!I158-'Price History'!I3)*0.577922077922078</f>
        <v>133.25974025974</v>
      </c>
      <c r="AE92" s="77" t="n">
        <f aca="false">'Price History'!J3+('Price History'!J158-'Price History'!J3)*0.577922077922078</f>
        <v>135.704155844156</v>
      </c>
      <c r="AF92" s="77" t="n">
        <f aca="false">'Price History'!K3+('Price History'!K158-'Price History'!K3)*0.577922077922078</f>
        <v>77.6233116883117</v>
      </c>
      <c r="AG92" s="77" t="n">
        <f aca="false">'Price History'!L3+('Price History'!L158-'Price History'!L3)*0.577922077922078</f>
        <v>272.451948051948</v>
      </c>
      <c r="AH92" s="77" t="n">
        <f aca="false">'Price History'!M3+('Price History'!M158-'Price History'!M3)*0.577922077922078</f>
        <v>153.752467532468</v>
      </c>
      <c r="AI92" s="77" t="n">
        <f aca="false">'Price History'!N3+('Price History'!N158-'Price History'!N3)*0.577922077922078</f>
        <v>423.394805194805</v>
      </c>
      <c r="AJ92" s="77" t="n">
        <f aca="false">'Price History'!O3+('Price History'!O158-'Price History'!O3)*0.577922077922078</f>
        <v>107.371233766234</v>
      </c>
      <c r="AK92" s="77" t="n">
        <f aca="false">'Price History'!Q3+('Price History'!Q151-'Price History'!Q3)*0.577922077922078</f>
        <v>60.5951298701299</v>
      </c>
      <c r="AL92" s="77" t="n">
        <f aca="false">'Price History'!R3+('Price History'!R158-'Price History'!R3)*0.577922077922078</f>
        <v>53.8477272727273</v>
      </c>
      <c r="AM92" s="77" t="n">
        <f aca="false">'Price History'!S3+('Price History'!S158-'Price History'!S3)*0.577922077922078</f>
        <v>107.830974025974</v>
      </c>
      <c r="AN92" s="77" t="n">
        <f aca="false">'Price History'!T3+('Price History'!T158-'Price History'!T3)*0.577922077922078</f>
        <v>40.103961038961</v>
      </c>
    </row>
    <row r="93" customFormat="false" ht="15" hidden="false" customHeight="true" outlineLevel="0" collapsed="false">
      <c r="A93" s="49" t="n">
        <f aca="false">IF('Price History'!A94="","",'Price History'!A94)</f>
        <v>45786</v>
      </c>
      <c r="B93" s="76" t="n">
        <f aca="false">IFERROR(IF(OR(NOT(ISNUMBER('Price History'!B94)),NOT(ISNUMBER('Price History'!B93)),'Price History'!B93=0),"",'Price History'!B94/'Price History'!B93-1),"")</f>
        <v>0.00632761834746765</v>
      </c>
      <c r="C93" s="76" t="n">
        <f aca="false">IFERROR(IF(OR(NOT(ISNUMBER('Price History'!C94)),NOT(ISNUMBER('Price History'!C93)),'Price History'!C93=0),"",'Price History'!C94/'Price History'!C93-1),"")</f>
        <v>-0.049439683586025</v>
      </c>
      <c r="D93" s="76" t="n">
        <f aca="false">IFERROR(IF(OR(NOT(ISNUMBER('Price History'!D94)),NOT(ISNUMBER('Price History'!D93)),'Price History'!D93=0),"",'Price History'!D94/'Price History'!D93-1),"")</f>
        <v>0.0230034910839743</v>
      </c>
      <c r="E93" s="76" t="n">
        <f aca="false">IFERROR(IF(OR(NOT(ISNUMBER('Price History'!E94)),NOT(ISNUMBER('Price History'!E93)),'Price History'!E93=0),"",'Price History'!E94/'Price History'!E93-1),"")</f>
        <v>0.0223924572775487</v>
      </c>
      <c r="F93" s="76" t="n">
        <f aca="false">IFERROR(IF(OR(NOT(ISNUMBER('Price History'!F94)),NOT(ISNUMBER('Price History'!F93)),'Price History'!F93=0),"",'Price History'!F94/'Price History'!F93-1),"")</f>
        <v>-0.0681797548797095</v>
      </c>
      <c r="G93" s="76" t="n">
        <f aca="false">IFERROR(IF(OR(NOT(ISNUMBER('Price History'!G94)),NOT(ISNUMBER('Price History'!G93)),'Price History'!G93=0),"",'Price History'!G94/'Price History'!G93-1),"")</f>
        <v>0.00429676310512761</v>
      </c>
      <c r="H93" s="76" t="n">
        <f aca="false">IFERROR(IF(OR(NOT(ISNUMBER('Price History'!H94)),NOT(ISNUMBER('Price History'!H93)),'Price History'!H93=0),"",'Price History'!H94/'Price History'!H93-1),"")</f>
        <v>0.0636769078295343</v>
      </c>
      <c r="I93" s="76" t="n">
        <f aca="false">IFERROR(IF(OR(NOT(ISNUMBER('Price History'!I94)),NOT(ISNUMBER('Price History'!I93)),'Price History'!I93=0),"",'Price History'!I94/'Price History'!I93-1),"")</f>
        <v>0.0187772925764194</v>
      </c>
      <c r="J93" s="76" t="n">
        <f aca="false">IFERROR(IF(OR(NOT(ISNUMBER('Price History'!J94)),NOT(ISNUMBER('Price History'!J93)),'Price History'!J93=0),"",'Price History'!J94/'Price History'!J93-1),"")</f>
        <v>0.0142301489422256</v>
      </c>
      <c r="K93" s="76" t="n">
        <f aca="false">IFERROR(IF(OR(NOT(ISNUMBER('Price History'!K94)),NOT(ISNUMBER('Price History'!K93)),'Price History'!K93=0),"",'Price History'!K94/'Price History'!K93-1),"")</f>
        <v>-0.0561635017701964</v>
      </c>
      <c r="L93" s="76" t="n">
        <f aca="false">IFERROR(IF(OR(NOT(ISNUMBER('Price History'!L94)),NOT(ISNUMBER('Price History'!L93)),'Price History'!L93=0),"",'Price History'!L94/'Price History'!L93-1),"")</f>
        <v>-0.0153949129852744</v>
      </c>
      <c r="M93" s="76" t="n">
        <f aca="false">IFERROR(IF(OR(NOT(ISNUMBER('Price History'!M94)),NOT(ISNUMBER('Price History'!M93)),'Price History'!M93=0),"",'Price History'!M94/'Price History'!M93-1),"")</f>
        <v>-0.00989473684210529</v>
      </c>
      <c r="N93" s="76" t="n">
        <f aca="false">IFERROR(IF(OR(NOT(ISNUMBER('Price History'!N94)),NOT(ISNUMBER('Price History'!N93)),'Price History'!N93=0),"",'Price History'!N94/'Price History'!N93-1),"")</f>
        <v>-0.151970467923775</v>
      </c>
      <c r="O93" s="76" t="n">
        <f aca="false">IFERROR(IF(OR(NOT(ISNUMBER('Price History'!O94)),NOT(ISNUMBER('Price History'!O93)),'Price History'!O93=0),"",'Price History'!O94/'Price History'!O93-1),"")</f>
        <v>0.0115762394761461</v>
      </c>
      <c r="P93" s="76" t="str">
        <f aca="false">IFERROR(IF(OR(NOT(ISNUMBER('Price History'!P94)),NOT(ISNUMBER('Price History'!P93)),'Price History'!P93=0),"",'Price History'!P94/'Price History'!P93-1),"")</f>
        <v/>
      </c>
      <c r="Q93" s="76" t="n">
        <f aca="false">IFERROR(IF(OR(NOT(ISNUMBER('Price History'!Q94)),NOT(ISNUMBER('Price History'!Q93)),'Price History'!Q93=0),"",'Price History'!Q94/'Price History'!Q93-1),"")</f>
        <v>0.0108291579117505</v>
      </c>
      <c r="R93" s="76" t="n">
        <f aca="false">IFERROR(IF(OR(NOT(ISNUMBER('Price History'!R94)),NOT(ISNUMBER('Price History'!R93)),'Price History'!R93=0),"",'Price History'!R94/'Price History'!R93-1),"")</f>
        <v>0.00271897455816661</v>
      </c>
      <c r="S93" s="76" t="n">
        <f aca="false">IFERROR(IF(OR(NOT(ISNUMBER('Price History'!S94)),NOT(ISNUMBER('Price History'!S93)),'Price History'!S93=0),"",'Price History'!S94/'Price History'!S93-1),"")</f>
        <v>0.00695296523517386</v>
      </c>
      <c r="T93" s="76" t="n">
        <f aca="false">IFERROR(IF(OR(NOT(ISNUMBER('Price History'!T94)),NOT(ISNUMBER('Price History'!T93)),'Price History'!T93=0),"",'Price History'!T94/'Price History'!T93-1),"")</f>
        <v>-0.00179318589360433</v>
      </c>
      <c r="U93" s="76" t="str">
        <f aca="false">IFERROR(IF(OR(NOT(ISNUMBER('Price History'!U94)),NOT(ISNUMBER('Price History'!U93)),'Price History'!U93=0),"",'Price History'!U94/'Price History'!U93-1),"")</f>
        <v/>
      </c>
      <c r="W93" s="77" t="n">
        <f aca="false">'Price History'!B3+('Price History'!B158-'Price History'!B3)*0.584415584415584</f>
        <v>357.647402597403</v>
      </c>
      <c r="X93" s="77" t="n">
        <f aca="false">'Price History'!C3+('Price History'!C158-'Price History'!C3)*0.584415584415584</f>
        <v>123.577012987013</v>
      </c>
      <c r="Y93" s="77" t="n">
        <f aca="false">'Price History'!D3+('Price History'!D158-'Price History'!D3)*0.584415584415584</f>
        <v>1227.03844155844</v>
      </c>
      <c r="Z93" s="77" t="n">
        <f aca="false">'Price History'!E3+('Price History'!E158-'Price History'!E3)*0.584415584415584</f>
        <v>261.986493506493</v>
      </c>
      <c r="AA93" s="77" t="n">
        <f aca="false">'Price History'!F3+('Price History'!F158-'Price History'!F3)*0.584415584415584</f>
        <v>126.943116883117</v>
      </c>
      <c r="AB93" s="77" t="n">
        <f aca="false">'Price History'!G3+('Price History'!G158-'Price History'!G3)*0.584415584415584</f>
        <v>126.749350649351</v>
      </c>
      <c r="AC93" s="77" t="n">
        <f aca="false">'Price History'!H3+('Price History'!H158-'Price History'!H3)*0.584415584415584</f>
        <v>507.742727272727</v>
      </c>
      <c r="AD93" s="77" t="n">
        <f aca="false">'Price History'!I3+('Price History'!I158-'Price History'!I3)*0.584415584415584</f>
        <v>134.298051948052</v>
      </c>
      <c r="AE93" s="77" t="n">
        <f aca="false">'Price History'!J3+('Price History'!J158-'Price History'!J3)*0.584415584415584</f>
        <v>135.841168831169</v>
      </c>
      <c r="AF93" s="77" t="n">
        <f aca="false">'Price History'!K3+('Price History'!K158-'Price History'!K3)*0.584415584415584</f>
        <v>78.3223376623376</v>
      </c>
      <c r="AG93" s="77" t="n">
        <f aca="false">'Price History'!L3+('Price History'!L158-'Price History'!L3)*0.584415584415584</f>
        <v>274.47961038961</v>
      </c>
      <c r="AH93" s="77" t="n">
        <f aca="false">'Price History'!M3+('Price History'!M158-'Price History'!M3)*0.584415584415584</f>
        <v>155.103506493506</v>
      </c>
      <c r="AI93" s="77" t="n">
        <f aca="false">'Price History'!N3+('Price History'!N158-'Price History'!N3)*0.584415584415584</f>
        <v>424.221038961039</v>
      </c>
      <c r="AJ93" s="77" t="n">
        <f aca="false">'Price History'!O3+('Price History'!O158-'Price History'!O3)*0.584415584415584</f>
        <v>107.646753246753</v>
      </c>
      <c r="AK93" s="77" t="n">
        <f aca="false">'Price History'!Q3+('Price History'!Q151-'Price History'!Q3)*0.584415584415584</f>
        <v>60.715974025974</v>
      </c>
      <c r="AL93" s="77" t="n">
        <f aca="false">'Price History'!R3+('Price History'!R158-'Price History'!R3)*0.584415584415584</f>
        <v>53.9154545454545</v>
      </c>
      <c r="AM93" s="77" t="n">
        <f aca="false">'Price History'!S3+('Price History'!S158-'Price History'!S3)*0.584415584415584</f>
        <v>108.384805194805</v>
      </c>
      <c r="AN93" s="77" t="n">
        <f aca="false">'Price History'!T3+('Price History'!T158-'Price History'!T3)*0.584415584415584</f>
        <v>40.2522077922078</v>
      </c>
    </row>
    <row r="94" customFormat="false" ht="15" hidden="false" customHeight="true" outlineLevel="0" collapsed="false">
      <c r="A94" s="49" t="n">
        <f aca="false">IF('Price History'!A95="","",'Price History'!A95)</f>
        <v>45793</v>
      </c>
      <c r="B94" s="76" t="n">
        <f aca="false">IFERROR(IF(OR(NOT(ISNUMBER('Price History'!B95)),NOT(ISNUMBER('Price History'!B94)),'Price History'!B94=0),"",'Price History'!B95/'Price History'!B94-1),"")</f>
        <v>0.088316635357963</v>
      </c>
      <c r="C94" s="76" t="n">
        <f aca="false">IFERROR(IF(OR(NOT(ISNUMBER('Price History'!C95)),NOT(ISNUMBER('Price History'!C94)),'Price History'!C94=0),"",'Price History'!C95/'Price History'!C94-1),"")</f>
        <v>0.114424410540916</v>
      </c>
      <c r="D94" s="76" t="n">
        <f aca="false">IFERROR(IF(OR(NOT(ISNUMBER('Price History'!D95)),NOT(ISNUMBER('Price History'!D94)),'Price History'!D94=0),"",'Price History'!D95/'Price History'!D94-1),"")</f>
        <v>0.0593166338624489</v>
      </c>
      <c r="E94" s="76" t="n">
        <f aca="false">IFERROR(IF(OR(NOT(ISNUMBER('Price History'!E95)),NOT(ISNUMBER('Price History'!E94)),'Price History'!E94=0),"",'Price History'!E95/'Price History'!E94-1),"")</f>
        <v>0.098030739673391</v>
      </c>
      <c r="F94" s="76" t="n">
        <f aca="false">IFERROR(IF(OR(NOT(ISNUMBER('Price History'!F95)),NOT(ISNUMBER('Price History'!F94)),'Price History'!F94=0),"",'Price History'!F95/'Price History'!F94-1),"")</f>
        <v>0.0699532346063911</v>
      </c>
      <c r="G94" s="76" t="n">
        <f aca="false">IFERROR(IF(OR(NOT(ISNUMBER('Price History'!G95)),NOT(ISNUMBER('Price History'!G94)),'Price History'!G94=0),"",'Price History'!G95/'Price History'!G94-1),"")</f>
        <v>0.128351397604107</v>
      </c>
      <c r="H94" s="76" t="n">
        <f aca="false">IFERROR(IF(OR(NOT(ISNUMBER('Price History'!H95)),NOT(ISNUMBER('Price History'!H94)),'Price History'!H94=0),"",'Price History'!H95/'Price History'!H94-1),"")</f>
        <v>0.141392965292336</v>
      </c>
      <c r="I94" s="76" t="n">
        <f aca="false">IFERROR(IF(OR(NOT(ISNUMBER('Price History'!I95)),NOT(ISNUMBER('Price History'!I94)),'Price History'!I94=0),"",'Price History'!I95/'Price History'!I94-1),"")</f>
        <v>0.160737248178311</v>
      </c>
      <c r="J94" s="76" t="n">
        <f aca="false">IFERROR(IF(OR(NOT(ISNUMBER('Price History'!J95)),NOT(ISNUMBER('Price History'!J94)),'Price History'!J94=0),"",'Price History'!J95/'Price History'!J94-1),"")</f>
        <v>0.0340473295295107</v>
      </c>
      <c r="K94" s="76" t="n">
        <f aca="false">IFERROR(IF(OR(NOT(ISNUMBER('Price History'!K95)),NOT(ISNUMBER('Price History'!K94)),'Price History'!K94=0),"",'Price History'!K95/'Price History'!K94-1),"")</f>
        <v>0.104177323103154</v>
      </c>
      <c r="L94" s="76" t="n">
        <f aca="false">IFERROR(IF(OR(NOT(ISNUMBER('Price History'!L95)),NOT(ISNUMBER('Price History'!L94)),'Price History'!L94=0),"",'Price History'!L95/'Price History'!L94-1),"")</f>
        <v>0.100271923861319</v>
      </c>
      <c r="M94" s="76" t="n">
        <f aca="false">IFERROR(IF(OR(NOT(ISNUMBER('Price History'!M95)),NOT(ISNUMBER('Price History'!M94)),'Price History'!M94=0),"",'Price History'!M95/'Price History'!M94-1),"")</f>
        <v>0.127365511375718</v>
      </c>
      <c r="N94" s="76" t="n">
        <f aca="false">IFERROR(IF(OR(NOT(ISNUMBER('Price History'!N95)),NOT(ISNUMBER('Price History'!N94)),'Price History'!N94=0),"",'Price History'!N95/'Price History'!N94-1),"")</f>
        <v>0.0321419327513588</v>
      </c>
      <c r="O94" s="76" t="n">
        <f aca="false">IFERROR(IF(OR(NOT(ISNUMBER('Price History'!O95)),NOT(ISNUMBER('Price History'!O94)),'Price History'!O94=0),"",'Price History'!O95/'Price History'!O94-1),"")</f>
        <v>0.0488960813778754</v>
      </c>
      <c r="P94" s="76" t="str">
        <f aca="false">IFERROR(IF(OR(NOT(ISNUMBER('Price History'!P95)),NOT(ISNUMBER('Price History'!P94)),'Price History'!P94=0),"",'Price History'!P95/'Price History'!P94-1),"")</f>
        <v/>
      </c>
      <c r="Q94" s="76" t="n">
        <f aca="false">IFERROR(IF(OR(NOT(ISNUMBER('Price History'!Q95)),NOT(ISNUMBER('Price History'!Q94)),'Price History'!Q94=0),"",'Price History'!Q95/'Price History'!Q94-1),"")</f>
        <v>0.00655580428525759</v>
      </c>
      <c r="R94" s="76" t="n">
        <f aca="false">IFERROR(IF(OR(NOT(ISNUMBER('Price History'!R95)),NOT(ISNUMBER('Price History'!R94)),'Price History'!R94=0),"",'Price History'!R95/'Price History'!R94-1),"")</f>
        <v>0.0172380398992833</v>
      </c>
      <c r="S94" s="76" t="n">
        <f aca="false">IFERROR(IF(OR(NOT(ISNUMBER('Price History'!S95)),NOT(ISNUMBER('Price History'!S94)),'Price History'!S94=0),"",'Price History'!S95/'Price History'!S94-1),"")</f>
        <v>0.0682372055239642</v>
      </c>
      <c r="T94" s="76" t="n">
        <f aca="false">IFERROR(IF(OR(NOT(ISNUMBER('Price History'!T95)),NOT(ISNUMBER('Price History'!T94)),'Price History'!T94=0),"",'Price History'!T95/'Price History'!T94-1),"")</f>
        <v>0.0431137724550901</v>
      </c>
      <c r="U94" s="76" t="str">
        <f aca="false">IFERROR(IF(OR(NOT(ISNUMBER('Price History'!U95)),NOT(ISNUMBER('Price History'!U94)),'Price History'!U94=0),"",'Price History'!U95/'Price History'!U94-1),"")</f>
        <v/>
      </c>
      <c r="W94" s="77" t="n">
        <f aca="false">'Price History'!B3+('Price History'!B158-'Price History'!B3)*0.590909090909091</f>
        <v>355.971818181818</v>
      </c>
      <c r="X94" s="77" t="n">
        <f aca="false">'Price History'!C3+('Price History'!C158-'Price History'!C3)*0.590909090909091</f>
        <v>124.464090909091</v>
      </c>
      <c r="Y94" s="77" t="n">
        <f aca="false">'Price History'!D3+('Price History'!D158-'Price History'!D3)*0.590909090909091</f>
        <v>1233.31909090909</v>
      </c>
      <c r="Z94" s="77" t="n">
        <f aca="false">'Price History'!E3+('Price History'!E158-'Price History'!E3)*0.590909090909091</f>
        <v>263.975454545455</v>
      </c>
      <c r="AA94" s="77" t="n">
        <f aca="false">'Price History'!F3+('Price History'!F158-'Price History'!F3)*0.590909090909091</f>
        <v>127.941818181818</v>
      </c>
      <c r="AB94" s="77" t="n">
        <f aca="false">'Price History'!G3+('Price History'!G158-'Price History'!G3)*0.590909090909091</f>
        <v>127.625454545455</v>
      </c>
      <c r="AC94" s="77" t="n">
        <f aca="false">'Price History'!H3+('Price History'!H158-'Price History'!H3)*0.590909090909091</f>
        <v>512.669090909091</v>
      </c>
      <c r="AD94" s="77" t="n">
        <f aca="false">'Price History'!I3+('Price History'!I158-'Price History'!I3)*0.590909090909091</f>
        <v>135.336363636364</v>
      </c>
      <c r="AE94" s="77" t="n">
        <f aca="false">'Price History'!J3+('Price History'!J158-'Price History'!J3)*0.590909090909091</f>
        <v>135.978181818182</v>
      </c>
      <c r="AF94" s="77" t="n">
        <f aca="false">'Price History'!K3+('Price History'!K158-'Price History'!K3)*0.590909090909091</f>
        <v>79.0213636363637</v>
      </c>
      <c r="AG94" s="77" t="n">
        <f aca="false">'Price History'!L3+('Price History'!L158-'Price History'!L3)*0.590909090909091</f>
        <v>276.507272727273</v>
      </c>
      <c r="AH94" s="77" t="n">
        <f aca="false">'Price History'!M3+('Price History'!M158-'Price History'!M3)*0.590909090909091</f>
        <v>156.454545454546</v>
      </c>
      <c r="AI94" s="77" t="n">
        <f aca="false">'Price History'!N3+('Price History'!N158-'Price History'!N3)*0.590909090909091</f>
        <v>425.047272727273</v>
      </c>
      <c r="AJ94" s="77" t="n">
        <f aca="false">'Price History'!O3+('Price History'!O158-'Price History'!O3)*0.590909090909091</f>
        <v>107.922272727273</v>
      </c>
      <c r="AK94" s="77" t="n">
        <f aca="false">'Price History'!Q3+('Price History'!Q151-'Price History'!Q3)*0.590909090909091</f>
        <v>60.8368181818182</v>
      </c>
      <c r="AL94" s="77" t="n">
        <f aca="false">'Price History'!R3+('Price History'!R158-'Price History'!R3)*0.590909090909091</f>
        <v>53.9831818181818</v>
      </c>
      <c r="AM94" s="77" t="n">
        <f aca="false">'Price History'!S3+('Price History'!S158-'Price History'!S3)*0.590909090909091</f>
        <v>108.938636363636</v>
      </c>
      <c r="AN94" s="77" t="n">
        <f aca="false">'Price History'!T3+('Price History'!T158-'Price History'!T3)*0.590909090909091</f>
        <v>40.4004545454546</v>
      </c>
    </row>
    <row r="95" customFormat="false" ht="15" hidden="false" customHeight="true" outlineLevel="0" collapsed="false">
      <c r="A95" s="49" t="n">
        <f aca="false">IF('Price History'!A96="","",'Price History'!A96)</f>
        <v>45800</v>
      </c>
      <c r="B95" s="76" t="n">
        <f aca="false">IFERROR(IF(OR(NOT(ISNUMBER('Price History'!B96)),NOT(ISNUMBER('Price History'!B95)),'Price History'!B95=0),"",'Price History'!B96/'Price History'!B95-1),"")</f>
        <v>-0.0226308345120226</v>
      </c>
      <c r="C95" s="76" t="n">
        <f aca="false">IFERROR(IF(OR(NOT(ISNUMBER('Price History'!C96)),NOT(ISNUMBER('Price History'!C95)),'Price History'!C95=0),"",'Price History'!C96/'Price History'!C95-1),"")</f>
        <v>-0.0541381456129434</v>
      </c>
      <c r="D95" s="76" t="n">
        <f aca="false">IFERROR(IF(OR(NOT(ISNUMBER('Price History'!D96)),NOT(ISNUMBER('Price History'!D95)),'Price History'!D95=0),"",'Price History'!D96/'Price History'!D95-1),"")</f>
        <v>-0.0208661943590429</v>
      </c>
      <c r="E95" s="76" t="n">
        <f aca="false">IFERROR(IF(OR(NOT(ISNUMBER('Price History'!E96)),NOT(ISNUMBER('Price History'!E95)),'Price History'!E95=0),"",'Price History'!E96/'Price History'!E95-1),"")</f>
        <v>0.000481168802764387</v>
      </c>
      <c r="F95" s="76" t="n">
        <f aca="false">IFERROR(IF(OR(NOT(ISNUMBER('Price History'!F96)),NOT(ISNUMBER('Price History'!F95)),'Price History'!F95=0),"",'Price History'!F96/'Price History'!F95-1),"")</f>
        <v>0.0371517027863779</v>
      </c>
      <c r="G95" s="76" t="n">
        <f aca="false">IFERROR(IF(OR(NOT(ISNUMBER('Price History'!G96)),NOT(ISNUMBER('Price History'!G95)),'Price History'!G95=0),"",'Price History'!G96/'Price History'!G95-1),"")</f>
        <v>-0.0429726996966634</v>
      </c>
      <c r="H95" s="76" t="n">
        <f aca="false">IFERROR(IF(OR(NOT(ISNUMBER('Price History'!H96)),NOT(ISNUMBER('Price History'!H95)),'Price History'!H95=0),"",'Price History'!H96/'Price History'!H95-1),"")</f>
        <v>-0.0472448979591836</v>
      </c>
      <c r="I95" s="76" t="n">
        <f aca="false">IFERROR(IF(OR(NOT(ISNUMBER('Price History'!I96)),NOT(ISNUMBER('Price History'!I95)),'Price History'!I95=0),"",'Price History'!I96/'Price History'!I95-1),"")</f>
        <v>-0.0303545051698672</v>
      </c>
      <c r="J95" s="76" t="n">
        <f aca="false">IFERROR(IF(OR(NOT(ISNUMBER('Price History'!J96)),NOT(ISNUMBER('Price History'!J95)),'Price History'!J95=0),"",'Price History'!J96/'Price History'!J95-1),"")</f>
        <v>-0.0588873812754409</v>
      </c>
      <c r="K95" s="76" t="n">
        <f aca="false">IFERROR(IF(OR(NOT(ISNUMBER('Price History'!K96)),NOT(ISNUMBER('Price History'!K95)),'Price History'!K95=0),"",'Price History'!K96/'Price History'!K95-1),"")</f>
        <v>-0.0479462631253861</v>
      </c>
      <c r="L95" s="76" t="n">
        <f aca="false">IFERROR(IF(OR(NOT(ISNUMBER('Price History'!L96)),NOT(ISNUMBER('Price History'!L95)),'Price History'!L95=0),"",'Price History'!L96/'Price History'!L95-1),"")</f>
        <v>-0.0115333127381321</v>
      </c>
      <c r="M95" s="76" t="n">
        <f aca="false">IFERROR(IF(OR(NOT(ISNUMBER('Price History'!M96)),NOT(ISNUMBER('Price History'!M95)),'Price History'!M95=0),"",'Price History'!M96/'Price History'!M95-1),"")</f>
        <v>-0.0179177668804226</v>
      </c>
      <c r="N95" s="76" t="n">
        <f aca="false">IFERROR(IF(OR(NOT(ISNUMBER('Price History'!N96)),NOT(ISNUMBER('Price History'!N95)),'Price History'!N95=0),"",'Price History'!N96/'Price History'!N95-1),"")</f>
        <v>-0.00604126296591812</v>
      </c>
      <c r="O95" s="76" t="n">
        <f aca="false">IFERROR(IF(OR(NOT(ISNUMBER('Price History'!O96)),NOT(ISNUMBER('Price History'!O95)),'Price History'!O95=0),"",'Price History'!O96/'Price History'!O95-1),"")</f>
        <v>-0.0400044081992506</v>
      </c>
      <c r="P95" s="76" t="str">
        <f aca="false">IFERROR(IF(OR(NOT(ISNUMBER('Price History'!P96)),NOT(ISNUMBER('Price History'!P95)),'Price History'!P95=0),"",'Price History'!P96/'Price History'!P95-1),"")</f>
        <v/>
      </c>
      <c r="Q95" s="76" t="n">
        <f aca="false">IFERROR(IF(OR(NOT(ISNUMBER('Price History'!Q96)),NOT(ISNUMBER('Price History'!Q95)),'Price History'!Q95=0),"",'Price History'!Q96/'Price History'!Q95-1),"")</f>
        <v>0.0015885623510723</v>
      </c>
      <c r="R95" s="76" t="n">
        <f aca="false">IFERROR(IF(OR(NOT(ISNUMBER('Price History'!R96)),NOT(ISNUMBER('Price History'!R95)),'Price History'!R95=0),"",'Price History'!R96/'Price History'!R95-1),"")</f>
        <v>-0.00913937547600918</v>
      </c>
      <c r="S95" s="76" t="n">
        <f aca="false">IFERROR(IF(OR(NOT(ISNUMBER('Price History'!S96)),NOT(ISNUMBER('Price History'!S95)),'Price History'!S95=0),"",'Price History'!S96/'Price History'!S95-1),"")</f>
        <v>-0.0223384030418252</v>
      </c>
      <c r="T95" s="76" t="n">
        <f aca="false">IFERROR(IF(OR(NOT(ISNUMBER('Price History'!T96)),NOT(ISNUMBER('Price History'!T95)),'Price History'!T95=0),"",'Price History'!T96/'Price History'!T95-1),"")</f>
        <v>-0.0347301951779564</v>
      </c>
      <c r="U95" s="76" t="str">
        <f aca="false">IFERROR(IF(OR(NOT(ISNUMBER('Price History'!U96)),NOT(ISNUMBER('Price History'!U95)),'Price History'!U95=0),"",'Price History'!U96/'Price History'!U95-1),"")</f>
        <v/>
      </c>
      <c r="W95" s="77" t="n">
        <f aca="false">'Price History'!B3+('Price History'!B158-'Price History'!B3)*0.597402597402597</f>
        <v>354.296233766234</v>
      </c>
      <c r="X95" s="77" t="n">
        <f aca="false">'Price History'!C3+('Price History'!C158-'Price History'!C3)*0.597402597402597</f>
        <v>125.351168831169</v>
      </c>
      <c r="Y95" s="77" t="n">
        <f aca="false">'Price History'!D3+('Price History'!D158-'Price History'!D3)*0.597402597402597</f>
        <v>1239.59974025974</v>
      </c>
      <c r="Z95" s="77" t="n">
        <f aca="false">'Price History'!E3+('Price History'!E158-'Price History'!E3)*0.597402597402597</f>
        <v>265.964415584415</v>
      </c>
      <c r="AA95" s="77" t="n">
        <f aca="false">'Price History'!F3+('Price History'!F158-'Price History'!F3)*0.597402597402597</f>
        <v>128.940519480519</v>
      </c>
      <c r="AB95" s="77" t="n">
        <f aca="false">'Price History'!G3+('Price History'!G158-'Price History'!G3)*0.597402597402597</f>
        <v>128.501558441558</v>
      </c>
      <c r="AC95" s="77" t="n">
        <f aca="false">'Price History'!H3+('Price History'!H158-'Price History'!H3)*0.597402597402597</f>
        <v>517.595454545454</v>
      </c>
      <c r="AD95" s="77" t="n">
        <f aca="false">'Price History'!I3+('Price History'!I158-'Price History'!I3)*0.597402597402597</f>
        <v>136.374675324675</v>
      </c>
      <c r="AE95" s="77" t="n">
        <f aca="false">'Price History'!J3+('Price History'!J158-'Price History'!J3)*0.597402597402597</f>
        <v>136.115194805195</v>
      </c>
      <c r="AF95" s="77" t="n">
        <f aca="false">'Price History'!K3+('Price History'!K158-'Price History'!K3)*0.597402597402597</f>
        <v>79.7203896103896</v>
      </c>
      <c r="AG95" s="77" t="n">
        <f aca="false">'Price History'!L3+('Price History'!L158-'Price History'!L3)*0.597402597402597</f>
        <v>278.534935064935</v>
      </c>
      <c r="AH95" s="77" t="n">
        <f aca="false">'Price History'!M3+('Price History'!M158-'Price History'!M3)*0.597402597402597</f>
        <v>157.805584415584</v>
      </c>
      <c r="AI95" s="77" t="n">
        <f aca="false">'Price History'!N3+('Price History'!N158-'Price History'!N3)*0.597402597402597</f>
        <v>425.873506493506</v>
      </c>
      <c r="AJ95" s="77" t="n">
        <f aca="false">'Price History'!O3+('Price History'!O158-'Price History'!O3)*0.597402597402597</f>
        <v>108.197792207792</v>
      </c>
      <c r="AK95" s="77" t="n">
        <f aca="false">'Price History'!Q3+('Price History'!Q151-'Price History'!Q3)*0.597402597402597</f>
        <v>60.9576623376623</v>
      </c>
      <c r="AL95" s="77" t="n">
        <f aca="false">'Price History'!R3+('Price History'!R158-'Price History'!R3)*0.597402597402597</f>
        <v>54.0509090909091</v>
      </c>
      <c r="AM95" s="77" t="n">
        <f aca="false">'Price History'!S3+('Price History'!S158-'Price History'!S3)*0.597402597402597</f>
        <v>109.492467532468</v>
      </c>
      <c r="AN95" s="77" t="n">
        <f aca="false">'Price History'!T3+('Price History'!T158-'Price History'!T3)*0.597402597402597</f>
        <v>40.5487012987013</v>
      </c>
    </row>
    <row r="96" customFormat="false" ht="15" hidden="false" customHeight="true" outlineLevel="0" collapsed="false">
      <c r="A96" s="49" t="n">
        <f aca="false">IF('Price History'!A97="","",'Price History'!A97)</f>
        <v>45807</v>
      </c>
      <c r="B96" s="76" t="n">
        <f aca="false">IFERROR(IF(OR(NOT(ISNUMBER('Price History'!B97)),NOT(ISNUMBER('Price History'!B96)),'Price History'!B96=0),"",'Price History'!B97/'Price History'!B96-1),"")</f>
        <v>0.018151046137997</v>
      </c>
      <c r="C96" s="76" t="n">
        <f aca="false">IFERROR(IF(OR(NOT(ISNUMBER('Price History'!C97)),NOT(ISNUMBER('Price History'!C96)),'Price History'!C96=0),"",'Price History'!C97/'Price History'!C96-1),"")</f>
        <v>-0.05</v>
      </c>
      <c r="D96" s="76" t="n">
        <f aca="false">IFERROR(IF(OR(NOT(ISNUMBER('Price History'!D97)),NOT(ISNUMBER('Price History'!D96)),'Price History'!D96=0),"",'Price History'!D97/'Price History'!D96-1),"")</f>
        <v>0.00584308318202287</v>
      </c>
      <c r="E96" s="76" t="n">
        <f aca="false">IFERROR(IF(OR(NOT(ISNUMBER('Price History'!E97)),NOT(ISNUMBER('Price History'!E96)),'Price History'!E96=0),"",'Price History'!E97/'Price History'!E96-1),"")</f>
        <v>0.0583683105981112</v>
      </c>
      <c r="F96" s="76" t="n">
        <f aca="false">IFERROR(IF(OR(NOT(ISNUMBER('Price History'!F97)),NOT(ISNUMBER('Price History'!F96)),'Price History'!F96=0),"",'Price History'!F97/'Price History'!F96-1),"")</f>
        <v>0.0345917471466197</v>
      </c>
      <c r="G96" s="76" t="n">
        <f aca="false">IFERROR(IF(OR(NOT(ISNUMBER('Price History'!G97)),NOT(ISNUMBER('Price History'!G96)),'Price History'!G96=0),"",'Price History'!G97/'Price History'!G96-1),"")</f>
        <v>-0.00039619651347067</v>
      </c>
      <c r="H96" s="76" t="n">
        <f aca="false">IFERROR(IF(OR(NOT(ISNUMBER('Price History'!H97)),NOT(ISNUMBER('Price History'!H96)),'Price History'!H96=0),"",'Price History'!H97/'Price History'!H96-1),"")</f>
        <v>0.011673985220092</v>
      </c>
      <c r="I96" s="76" t="n">
        <f aca="false">IFERROR(IF(OR(NOT(ISNUMBER('Price History'!I97)),NOT(ISNUMBER('Price History'!I96)),'Price History'!I96=0),"",'Price History'!I97/'Price History'!I96-1),"")</f>
        <v>0.029248229111128</v>
      </c>
      <c r="J96" s="76" t="n">
        <f aca="false">IFERROR(IF(OR(NOT(ISNUMBER('Price History'!J97)),NOT(ISNUMBER('Price History'!J96)),'Price History'!J96=0),"",'Price History'!J97/'Price History'!J96-1),"")</f>
        <v>0.043829296424452</v>
      </c>
      <c r="K96" s="76" t="n">
        <f aca="false">IFERROR(IF(OR(NOT(ISNUMBER('Price History'!K97)),NOT(ISNUMBER('Price History'!K96)),'Price History'!K96=0),"",'Price History'!K97/'Price History'!K96-1),"")</f>
        <v>0.0686886708296164</v>
      </c>
      <c r="L96" s="76" t="n">
        <f aca="false">IFERROR(IF(OR(NOT(ISNUMBER('Price History'!L97)),NOT(ISNUMBER('Price History'!L96)),'Price History'!L96=0),"",'Price History'!L97/'Price History'!L96-1),"")</f>
        <v>0.00697989373893115</v>
      </c>
      <c r="M96" s="76" t="n">
        <f aca="false">IFERROR(IF(OR(NOT(ISNUMBER('Price History'!M97)),NOT(ISNUMBER('Price History'!M96)),'Price History'!M96=0),"",'Price History'!M97/'Price History'!M96-1),"")</f>
        <v>0.0363933166890724</v>
      </c>
      <c r="N96" s="76" t="n">
        <f aca="false">IFERROR(IF(OR(NOT(ISNUMBER('Price History'!N97)),NOT(ISNUMBER('Price History'!N96)),'Price History'!N96=0),"",'Price History'!N97/'Price History'!N96-1),"")</f>
        <v>0.013876146788991</v>
      </c>
      <c r="O96" s="76" t="n">
        <f aca="false">IFERROR(IF(OR(NOT(ISNUMBER('Price History'!O97)),NOT(ISNUMBER('Price History'!O96)),'Price History'!O96=0),"",'Price History'!O97/'Price History'!O96-1),"")</f>
        <v>0.0117093330272069</v>
      </c>
      <c r="P96" s="76" t="str">
        <f aca="false">IFERROR(IF(OR(NOT(ISNUMBER('Price History'!P97)),NOT(ISNUMBER('Price History'!P96)),'Price History'!P96=0),"",'Price History'!P97/'Price History'!P96-1),"")</f>
        <v/>
      </c>
      <c r="Q96" s="76" t="n">
        <f aca="false">IFERROR(IF(OR(NOT(ISNUMBER('Price History'!Q97)),NOT(ISNUMBER('Price History'!Q96)),'Price History'!Q96=0),"",'Price History'!Q97/'Price History'!Q96-1),"")</f>
        <v>0.00348929421094368</v>
      </c>
      <c r="R96" s="76" t="n">
        <f aca="false">IFERROR(IF(OR(NOT(ISNUMBER('Price History'!R97)),NOT(ISNUMBER('Price History'!R96)),'Price History'!R96=0),"",'Price History'!R97/'Price History'!R96-1),"")</f>
        <v>0.0113374327440432</v>
      </c>
      <c r="S96" s="76" t="n">
        <f aca="false">IFERROR(IF(OR(NOT(ISNUMBER('Price History'!S97)),NOT(ISNUMBER('Price History'!S96)),'Price History'!S96=0),"",'Price History'!S97/'Price History'!S96-1),"")</f>
        <v>0.0243072435585805</v>
      </c>
      <c r="T96" s="76" t="n">
        <f aca="false">IFERROR(IF(OR(NOT(ISNUMBER('Price History'!T97)),NOT(ISNUMBER('Price History'!T96)),'Price History'!T96=0),"",'Price History'!T97/'Price History'!T96-1),"")</f>
        <v>0.007731192387749</v>
      </c>
      <c r="U96" s="76" t="str">
        <f aca="false">IFERROR(IF(OR(NOT(ISNUMBER('Price History'!U97)),NOT(ISNUMBER('Price History'!U96)),'Price History'!U96=0),"",'Price History'!U97/'Price History'!U96-1),"")</f>
        <v/>
      </c>
      <c r="W96" s="77" t="n">
        <f aca="false">'Price History'!B3+('Price History'!B158-'Price History'!B3)*0.603896103896104</f>
        <v>352.620649350649</v>
      </c>
      <c r="X96" s="77" t="n">
        <f aca="false">'Price History'!C3+('Price History'!C158-'Price History'!C3)*0.603896103896104</f>
        <v>126.238246753247</v>
      </c>
      <c r="Y96" s="77" t="n">
        <f aca="false">'Price History'!D3+('Price History'!D158-'Price History'!D3)*0.603896103896104</f>
        <v>1245.88038961039</v>
      </c>
      <c r="Z96" s="77" t="n">
        <f aca="false">'Price History'!E3+('Price History'!E158-'Price History'!E3)*0.603896103896104</f>
        <v>267.953376623377</v>
      </c>
      <c r="AA96" s="77" t="n">
        <f aca="false">'Price History'!F3+('Price History'!F158-'Price History'!F3)*0.603896103896104</f>
        <v>129.939220779221</v>
      </c>
      <c r="AB96" s="77" t="n">
        <f aca="false">'Price History'!G3+('Price History'!G158-'Price History'!G3)*0.603896103896104</f>
        <v>129.377662337662</v>
      </c>
      <c r="AC96" s="77" t="n">
        <f aca="false">'Price History'!H3+('Price History'!H158-'Price History'!H3)*0.603896103896104</f>
        <v>522.521818181818</v>
      </c>
      <c r="AD96" s="77" t="n">
        <f aca="false">'Price History'!I3+('Price History'!I158-'Price History'!I3)*0.603896103896104</f>
        <v>137.412987012987</v>
      </c>
      <c r="AE96" s="77" t="n">
        <f aca="false">'Price History'!J3+('Price History'!J158-'Price History'!J3)*0.603896103896104</f>
        <v>136.252207792208</v>
      </c>
      <c r="AF96" s="77" t="n">
        <f aca="false">'Price History'!K3+('Price History'!K158-'Price History'!K3)*0.603896103896104</f>
        <v>80.4194155844156</v>
      </c>
      <c r="AG96" s="77" t="n">
        <f aca="false">'Price History'!L3+('Price History'!L158-'Price History'!L3)*0.603896103896104</f>
        <v>280.562597402597</v>
      </c>
      <c r="AH96" s="77" t="n">
        <f aca="false">'Price History'!M3+('Price History'!M158-'Price History'!M3)*0.603896103896104</f>
        <v>159.156623376623</v>
      </c>
      <c r="AI96" s="77" t="n">
        <f aca="false">'Price History'!N3+('Price History'!N158-'Price History'!N3)*0.603896103896104</f>
        <v>426.69974025974</v>
      </c>
      <c r="AJ96" s="77" t="n">
        <f aca="false">'Price History'!O3+('Price History'!O158-'Price History'!O3)*0.603896103896104</f>
        <v>108.473311688312</v>
      </c>
      <c r="AK96" s="77" t="n">
        <f aca="false">'Price History'!Q3+('Price History'!Q151-'Price History'!Q3)*0.603896103896104</f>
        <v>61.0785064935065</v>
      </c>
      <c r="AL96" s="77" t="n">
        <f aca="false">'Price History'!R3+('Price History'!R158-'Price History'!R3)*0.603896103896104</f>
        <v>54.1186363636364</v>
      </c>
      <c r="AM96" s="77" t="n">
        <f aca="false">'Price History'!S3+('Price History'!S158-'Price History'!S3)*0.603896103896104</f>
        <v>110.046298701299</v>
      </c>
      <c r="AN96" s="77" t="n">
        <f aca="false">'Price History'!T3+('Price History'!T158-'Price History'!T3)*0.603896103896104</f>
        <v>40.6969480519481</v>
      </c>
    </row>
    <row r="97" customFormat="false" ht="15" hidden="false" customHeight="true" outlineLevel="0" collapsed="false">
      <c r="A97" s="49" t="n">
        <f aca="false">IF('Price History'!A98="","",'Price History'!A98)</f>
        <v>45814</v>
      </c>
      <c r="B97" s="76" t="n">
        <f aca="false">IFERROR(IF(OR(NOT(ISNUMBER('Price History'!B98)),NOT(ISNUMBER('Price History'!B97)),'Price History'!B97=0),"",'Price History'!B98/'Price History'!B97-1),"")</f>
        <v>0.00440868245440762</v>
      </c>
      <c r="C97" s="76" t="n">
        <f aca="false">IFERROR(IF(OR(NOT(ISNUMBER('Price History'!C98)),NOT(ISNUMBER('Price History'!C97)),'Price History'!C97=0),"",'Price History'!C98/'Price History'!C97-1),"")</f>
        <v>0.122460757156048</v>
      </c>
      <c r="D97" s="76" t="n">
        <f aca="false">IFERROR(IF(OR(NOT(ISNUMBER('Price History'!D98)),NOT(ISNUMBER('Price History'!D97)),'Price History'!D97=0),"",'Price History'!D98/'Price History'!D97-1),"")</f>
        <v>0.0220557297392674</v>
      </c>
      <c r="E97" s="76" t="n">
        <f aca="false">IFERROR(IF(OR(NOT(ISNUMBER('Price History'!E98)),NOT(ISNUMBER('Price History'!E97)),'Price History'!E97=0),"",'Price History'!E98/'Price History'!E97-1),"")</f>
        <v>0.0200768372784732</v>
      </c>
      <c r="F97" s="76" t="n">
        <f aca="false">IFERROR(IF(OR(NOT(ISNUMBER('Price History'!F98)),NOT(ISNUMBER('Price History'!F97)),'Price History'!F97=0),"",'Price History'!F98/'Price History'!F97-1),"")</f>
        <v>-0.00627970128988464</v>
      </c>
      <c r="G97" s="76" t="n">
        <f aca="false">IFERROR(IF(OR(NOT(ISNUMBER('Price History'!G98)),NOT(ISNUMBER('Price History'!G97)),'Price History'!G97=0),"",'Price History'!G98/'Price History'!G97-1),"")</f>
        <v>0.0675122209010437</v>
      </c>
      <c r="H97" s="76" t="n">
        <f aca="false">IFERROR(IF(OR(NOT(ISNUMBER('Price History'!H98)),NOT(ISNUMBER('Price History'!H97)),'Price History'!H97=0),"",'Price History'!H98/'Price History'!H97-1),"")</f>
        <v>0.14926953207707</v>
      </c>
      <c r="I97" s="76" t="n">
        <f aca="false">IFERROR(IF(OR(NOT(ISNUMBER('Price History'!I98)),NOT(ISNUMBER('Price History'!I97)),'Price History'!I97=0),"",'Price History'!I98/'Price History'!I97-1),"")</f>
        <v>0.0487678531784208</v>
      </c>
      <c r="J97" s="76" t="n">
        <f aca="false">IFERROR(IF(OR(NOT(ISNUMBER('Price History'!J98)),NOT(ISNUMBER('Price History'!J97)),'Price History'!J97=0),"",'Price History'!J98/'Price History'!J97-1),"")</f>
        <v>0.00174953959484347</v>
      </c>
      <c r="K97" s="76" t="n">
        <f aca="false">IFERROR(IF(OR(NOT(ISNUMBER('Price History'!K98)),NOT(ISNUMBER('Price History'!K97)),'Price History'!K97=0),"",'Price History'!K98/'Price History'!K97-1),"")</f>
        <v>-0.0308089239641828</v>
      </c>
      <c r="L97" s="76" t="n">
        <f aca="false">IFERROR(IF(OR(NOT(ISNUMBER('Price History'!L98)),NOT(ISNUMBER('Price History'!L97)),'Price History'!L97=0),"",'Price History'!L98/'Price History'!L97-1),"")</f>
        <v>0.0613490585557626</v>
      </c>
      <c r="M97" s="76" t="n">
        <f aca="false">IFERROR(IF(OR(NOT(ISNUMBER('Price History'!M98)),NOT(ISNUMBER('Price History'!M97)),'Price History'!M97=0),"",'Price History'!M98/'Price History'!M97-1),"")</f>
        <v>0.0688409154081349</v>
      </c>
      <c r="N97" s="76" t="n">
        <f aca="false">IFERROR(IF(OR(NOT(ISNUMBER('Price History'!N98)),NOT(ISNUMBER('Price History'!N97)),'Price History'!N97=0),"",'Price History'!N98/'Price History'!N97-1),"")</f>
        <v>0.0191154846736794</v>
      </c>
      <c r="O97" s="76" t="n">
        <f aca="false">IFERROR(IF(OR(NOT(ISNUMBER('Price History'!O98)),NOT(ISNUMBER('Price History'!O97)),'Price History'!O97=0),"",'Price History'!O98/'Price History'!O97-1),"")</f>
        <v>0.0184954045160559</v>
      </c>
      <c r="P97" s="76" t="str">
        <f aca="false">IFERROR(IF(OR(NOT(ISNUMBER('Price History'!P98)),NOT(ISNUMBER('Price History'!P97)),'Price History'!P97=0),"",'Price History'!P98/'Price History'!P97-1),"")</f>
        <v/>
      </c>
      <c r="Q97" s="76" t="n">
        <f aca="false">IFERROR(IF(OR(NOT(ISNUMBER('Price History'!Q98)),NOT(ISNUMBER('Price History'!Q97)),'Price History'!Q97=0),"",'Price History'!Q98/'Price History'!Q97-1),"")</f>
        <v>0.00221273905484432</v>
      </c>
      <c r="R97" s="76" t="n">
        <f aca="false">IFERROR(IF(OR(NOT(ISNUMBER('Price History'!R98)),NOT(ISNUMBER('Price History'!R97)),'Price History'!R97=0),"",'Price History'!R98/'Price History'!R97-1),"")</f>
        <v>0.00133003990119707</v>
      </c>
      <c r="S97" s="76" t="n">
        <f aca="false">IFERROR(IF(OR(NOT(ISNUMBER('Price History'!S98)),NOT(ISNUMBER('Price History'!S97)),'Price History'!S97=0),"",'Price History'!S98/'Price History'!S97-1),"")</f>
        <v>0.0149027052681538</v>
      </c>
      <c r="T97" s="76" t="n">
        <f aca="false">IFERROR(IF(OR(NOT(ISNUMBER('Price History'!T98)),NOT(ISNUMBER('Price History'!T97)),'Price History'!T97=0),"",'Price History'!T98/'Price History'!T97-1),"")</f>
        <v>0.023605783416937</v>
      </c>
      <c r="U97" s="76" t="str">
        <f aca="false">IFERROR(IF(OR(NOT(ISNUMBER('Price History'!U98)),NOT(ISNUMBER('Price History'!U97)),'Price History'!U97=0),"",'Price History'!U98/'Price History'!U97-1),"")</f>
        <v/>
      </c>
      <c r="W97" s="77" t="n">
        <f aca="false">'Price History'!B3+('Price History'!B158-'Price History'!B3)*0.61038961038961</f>
        <v>350.945064935065</v>
      </c>
      <c r="X97" s="77" t="n">
        <f aca="false">'Price History'!C3+('Price History'!C158-'Price History'!C3)*0.61038961038961</f>
        <v>127.125324675325</v>
      </c>
      <c r="Y97" s="77" t="n">
        <f aca="false">'Price History'!D3+('Price History'!D158-'Price History'!D3)*0.61038961038961</f>
        <v>1252.16103896104</v>
      </c>
      <c r="Z97" s="77" t="n">
        <f aca="false">'Price History'!E3+('Price History'!E158-'Price History'!E3)*0.61038961038961</f>
        <v>269.942337662338</v>
      </c>
      <c r="AA97" s="77" t="n">
        <f aca="false">'Price History'!F3+('Price History'!F158-'Price History'!F3)*0.61038961038961</f>
        <v>130.937922077922</v>
      </c>
      <c r="AB97" s="77" t="n">
        <f aca="false">'Price History'!G3+('Price History'!G158-'Price History'!G3)*0.61038961038961</f>
        <v>130.253766233766</v>
      </c>
      <c r="AC97" s="77" t="n">
        <f aca="false">'Price History'!H3+('Price History'!H158-'Price History'!H3)*0.61038961038961</f>
        <v>527.448181818182</v>
      </c>
      <c r="AD97" s="77" t="n">
        <f aca="false">'Price History'!I3+('Price History'!I158-'Price History'!I3)*0.61038961038961</f>
        <v>138.451298701299</v>
      </c>
      <c r="AE97" s="77" t="n">
        <f aca="false">'Price History'!J3+('Price History'!J158-'Price History'!J3)*0.61038961038961</f>
        <v>136.389220779221</v>
      </c>
      <c r="AF97" s="77" t="n">
        <f aca="false">'Price History'!K3+('Price History'!K158-'Price History'!K3)*0.61038961038961</f>
        <v>81.1184415584415</v>
      </c>
      <c r="AG97" s="77" t="n">
        <f aca="false">'Price History'!L3+('Price History'!L158-'Price History'!L3)*0.61038961038961</f>
        <v>282.59025974026</v>
      </c>
      <c r="AH97" s="77" t="n">
        <f aca="false">'Price History'!M3+('Price History'!M158-'Price History'!M3)*0.61038961038961</f>
        <v>160.507662337662</v>
      </c>
      <c r="AI97" s="77" t="n">
        <f aca="false">'Price History'!N3+('Price History'!N158-'Price History'!N3)*0.61038961038961</f>
        <v>427.525974025974</v>
      </c>
      <c r="AJ97" s="77" t="n">
        <f aca="false">'Price History'!O3+('Price History'!O158-'Price History'!O3)*0.61038961038961</f>
        <v>108.748831168831</v>
      </c>
      <c r="AK97" s="77" t="n">
        <f aca="false">'Price History'!Q3+('Price History'!Q151-'Price History'!Q3)*0.61038961038961</f>
        <v>61.1993506493507</v>
      </c>
      <c r="AL97" s="77" t="n">
        <f aca="false">'Price History'!R3+('Price History'!R158-'Price History'!R3)*0.61038961038961</f>
        <v>54.1863636363636</v>
      </c>
      <c r="AM97" s="77" t="n">
        <f aca="false">'Price History'!S3+('Price History'!S158-'Price History'!S3)*0.61038961038961</f>
        <v>110.60012987013</v>
      </c>
      <c r="AN97" s="77" t="n">
        <f aca="false">'Price History'!T3+('Price History'!T158-'Price History'!T3)*0.61038961038961</f>
        <v>40.8451948051948</v>
      </c>
    </row>
    <row r="98" customFormat="false" ht="15" hidden="false" customHeight="true" outlineLevel="0" collapsed="false">
      <c r="A98" s="49" t="n">
        <f aca="false">IF('Price History'!A99="","",'Price History'!A99)</f>
        <v>45821</v>
      </c>
      <c r="B98" s="76" t="n">
        <f aca="false">IFERROR(IF(OR(NOT(ISNUMBER('Price History'!B99)),NOT(ISNUMBER('Price History'!B98)),'Price History'!B98=0),"",'Price History'!B99/'Price History'!B98-1),"")</f>
        <v>-0.06053919217116</v>
      </c>
      <c r="C98" s="76" t="n">
        <f aca="false">IFERROR(IF(OR(NOT(ISNUMBER('Price History'!C99)),NOT(ISNUMBER('Price History'!C98)),'Price History'!C98=0),"",'Price History'!C99/'Price History'!C98-1),"")</f>
        <v>-0.0503856041131106</v>
      </c>
      <c r="D98" s="76" t="n">
        <f aca="false">IFERROR(IF(OR(NOT(ISNUMBER('Price History'!D99)),NOT(ISNUMBER('Price History'!D98)),'Price History'!D98=0),"",'Price History'!D99/'Price History'!D98-1),"")</f>
        <v>0.0105973280922154</v>
      </c>
      <c r="E98" s="76" t="n">
        <f aca="false">IFERROR(IF(OR(NOT(ISNUMBER('Price History'!E99)),NOT(ISNUMBER('Price History'!E98)),'Price History'!E98=0),"",'Price History'!E99/'Price History'!E98-1),"")</f>
        <v>0.00716802332644861</v>
      </c>
      <c r="F98" s="76" t="n">
        <f aca="false">IFERROR(IF(OR(NOT(ISNUMBER('Price History'!F99)),NOT(ISNUMBER('Price History'!F98)),'Price History'!F98=0),"",'Price History'!F99/'Price History'!F98-1),"")</f>
        <v>0.026131511528608</v>
      </c>
      <c r="G98" s="76" t="n">
        <f aca="false">IFERROR(IF(OR(NOT(ISNUMBER('Price History'!G99)),NOT(ISNUMBER('Price History'!G98)),'Price History'!G98=0),"",'Price History'!G99/'Price History'!G98-1),"")</f>
        <v>0.0738861386138614</v>
      </c>
      <c r="H98" s="76" t="n">
        <f aca="false">IFERROR(IF(OR(NOT(ISNUMBER('Price History'!H99)),NOT(ISNUMBER('Price History'!H98)),'Price History'!H98=0),"",'Price History'!H99/'Price History'!H98-1),"")</f>
        <v>0.06484893146647</v>
      </c>
      <c r="I98" s="76" t="n">
        <f aca="false">IFERROR(IF(OR(NOT(ISNUMBER('Price History'!I99)),NOT(ISNUMBER('Price History'!I98)),'Price History'!I98=0),"",'Price History'!I99/'Price History'!I98-1),"")</f>
        <v>0.00176404177250911</v>
      </c>
      <c r="J98" s="76" t="n">
        <f aca="false">IFERROR(IF(OR(NOT(ISNUMBER('Price History'!J99)),NOT(ISNUMBER('Price History'!J98)),'Price History'!J98=0),"",'Price History'!J99/'Price History'!J98-1),"")</f>
        <v>-0.0138799522014892</v>
      </c>
      <c r="K98" s="76" t="n">
        <f aca="false">IFERROR(IF(OR(NOT(ISNUMBER('Price History'!K99)),NOT(ISNUMBER('Price History'!K98)),'Price History'!K98=0),"",'Price History'!K99/'Price History'!K98-1),"")</f>
        <v>0.0757907923582839</v>
      </c>
      <c r="L98" s="76" t="n">
        <f aca="false">IFERROR(IF(OR(NOT(ISNUMBER('Price History'!L99)),NOT(ISNUMBER('Price History'!L98)),'Price History'!L98=0),"",'Price History'!L99/'Price History'!L98-1),"")</f>
        <v>0.0288527146895408</v>
      </c>
      <c r="M98" s="76" t="n">
        <f aca="false">IFERROR(IF(OR(NOT(ISNUMBER('Price History'!M99)),NOT(ISNUMBER('Price History'!M98)),'Price History'!M98=0),"",'Price History'!M99/'Price History'!M98-1),"")</f>
        <v>-0.0380547850208044</v>
      </c>
      <c r="N98" s="76" t="n">
        <f aca="false">IFERROR(IF(OR(NOT(ISNUMBER('Price History'!N99)),NOT(ISNUMBER('Price History'!N98)),'Price History'!N98=0),"",'Price History'!N99/'Price History'!N98-1),"")</f>
        <v>0.0109877913429524</v>
      </c>
      <c r="O98" s="76" t="n">
        <f aca="false">IFERROR(IF(OR(NOT(ISNUMBER('Price History'!O99)),NOT(ISNUMBER('Price History'!O98)),'Price History'!O98=0),"",'Price History'!O99/'Price History'!O98-1),"")</f>
        <v>-0.00601604278074874</v>
      </c>
      <c r="P98" s="76" t="str">
        <f aca="false">IFERROR(IF(OR(NOT(ISNUMBER('Price History'!P99)),NOT(ISNUMBER('Price History'!P98)),'Price History'!P98=0),"",'Price History'!P99/'Price History'!P98-1),"")</f>
        <v/>
      </c>
      <c r="Q98" s="76" t="n">
        <f aca="false">IFERROR(IF(OR(NOT(ISNUMBER('Price History'!Q99)),NOT(ISNUMBER('Price History'!Q98)),'Price History'!Q98=0),"",'Price History'!Q99/'Price History'!Q98-1),"")</f>
        <v>-0.010408452925406</v>
      </c>
      <c r="R98" s="76" t="n">
        <f aca="false">IFERROR(IF(OR(NOT(ISNUMBER('Price History'!R99)),NOT(ISNUMBER('Price History'!R98)),'Price History'!R98=0),"",'Price History'!R99/'Price History'!R98-1),"")</f>
        <v>-0.00208728652751422</v>
      </c>
      <c r="S98" s="76" t="n">
        <f aca="false">IFERROR(IF(OR(NOT(ISNUMBER('Price History'!S99)),NOT(ISNUMBER('Price History'!S98)),'Price History'!S98=0),"",'Price History'!S99/'Price History'!S98-1),"")</f>
        <v>-0.00710811821922941</v>
      </c>
      <c r="T98" s="76" t="n">
        <f aca="false">IFERROR(IF(OR(NOT(ISNUMBER('Price History'!T99)),NOT(ISNUMBER('Price History'!T98)),'Price History'!T98=0),"",'Price History'!T99/'Price History'!T98-1),"")</f>
        <v>0.0109541654655521</v>
      </c>
      <c r="U98" s="76" t="str">
        <f aca="false">IFERROR(IF(OR(NOT(ISNUMBER('Price History'!U99)),NOT(ISNUMBER('Price History'!U98)),'Price History'!U98=0),"",'Price History'!U99/'Price History'!U98-1),"")</f>
        <v/>
      </c>
      <c r="W98" s="77" t="n">
        <f aca="false">'Price History'!B3+('Price History'!B158-'Price History'!B3)*0.616883116883117</f>
        <v>349.26948051948</v>
      </c>
      <c r="X98" s="77" t="n">
        <f aca="false">'Price History'!C3+('Price History'!C158-'Price History'!C3)*0.616883116883117</f>
        <v>128.012402597403</v>
      </c>
      <c r="Y98" s="77" t="n">
        <f aca="false">'Price History'!D3+('Price History'!D158-'Price History'!D3)*0.616883116883117</f>
        <v>1258.44168831169</v>
      </c>
      <c r="Z98" s="77" t="n">
        <f aca="false">'Price History'!E3+('Price History'!E158-'Price History'!E3)*0.616883116883117</f>
        <v>271.931298701299</v>
      </c>
      <c r="AA98" s="77" t="n">
        <f aca="false">'Price History'!F3+('Price History'!F158-'Price History'!F3)*0.616883116883117</f>
        <v>131.936623376623</v>
      </c>
      <c r="AB98" s="77" t="n">
        <f aca="false">'Price History'!G3+('Price History'!G158-'Price History'!G3)*0.616883116883117</f>
        <v>131.12987012987</v>
      </c>
      <c r="AC98" s="77" t="n">
        <f aca="false">'Price History'!H3+('Price History'!H158-'Price History'!H3)*0.616883116883117</f>
        <v>532.374545454546</v>
      </c>
      <c r="AD98" s="77" t="n">
        <f aca="false">'Price History'!I3+('Price History'!I158-'Price History'!I3)*0.616883116883117</f>
        <v>139.48961038961</v>
      </c>
      <c r="AE98" s="77" t="n">
        <f aca="false">'Price History'!J3+('Price History'!J158-'Price History'!J3)*0.616883116883117</f>
        <v>136.526233766234</v>
      </c>
      <c r="AF98" s="77" t="n">
        <f aca="false">'Price History'!K3+('Price History'!K158-'Price History'!K3)*0.616883116883117</f>
        <v>81.8174675324676</v>
      </c>
      <c r="AG98" s="77" t="n">
        <f aca="false">'Price History'!L3+('Price History'!L158-'Price History'!L3)*0.616883116883117</f>
        <v>284.617922077922</v>
      </c>
      <c r="AH98" s="77" t="n">
        <f aca="false">'Price History'!M3+('Price History'!M158-'Price History'!M3)*0.616883116883117</f>
        <v>161.858701298701</v>
      </c>
      <c r="AI98" s="77" t="n">
        <f aca="false">'Price History'!N3+('Price History'!N158-'Price History'!N3)*0.616883116883117</f>
        <v>428.352207792208</v>
      </c>
      <c r="AJ98" s="77" t="n">
        <f aca="false">'Price History'!O3+('Price History'!O158-'Price History'!O3)*0.616883116883117</f>
        <v>109.024350649351</v>
      </c>
      <c r="AK98" s="77" t="n">
        <f aca="false">'Price History'!Q3+('Price History'!Q151-'Price History'!Q3)*0.616883116883117</f>
        <v>61.3201948051948</v>
      </c>
      <c r="AL98" s="77" t="n">
        <f aca="false">'Price History'!R3+('Price History'!R158-'Price History'!R3)*0.616883116883117</f>
        <v>54.2540909090909</v>
      </c>
      <c r="AM98" s="77" t="n">
        <f aca="false">'Price History'!S3+('Price History'!S158-'Price History'!S3)*0.616883116883117</f>
        <v>111.153961038961</v>
      </c>
      <c r="AN98" s="77" t="n">
        <f aca="false">'Price History'!T3+('Price History'!T158-'Price History'!T3)*0.616883116883117</f>
        <v>40.9934415584416</v>
      </c>
    </row>
    <row r="99" customFormat="false" ht="15" hidden="false" customHeight="true" outlineLevel="0" collapsed="false">
      <c r="A99" s="49" t="n">
        <f aca="false">IF('Price History'!A100="","",'Price History'!A100)</f>
        <v>45828</v>
      </c>
      <c r="B99" s="76" t="n">
        <f aca="false">IFERROR(IF(OR(NOT(ISNUMBER('Price History'!B100)),NOT(ISNUMBER('Price History'!B99)),'Price History'!B99=0),"",'Price History'!B100/'Price History'!B99-1),"")</f>
        <v>-0.0376838235294117</v>
      </c>
      <c r="C99" s="76" t="n">
        <f aca="false">IFERROR(IF(OR(NOT(ISNUMBER('Price History'!C100)),NOT(ISNUMBER('Price History'!C99)),'Price History'!C99=0),"",'Price History'!C100/'Price History'!C99-1),"")</f>
        <v>-0.0660530590146182</v>
      </c>
      <c r="D99" s="76" t="n">
        <f aca="false">IFERROR(IF(OR(NOT(ISNUMBER('Price History'!D100)),NOT(ISNUMBER('Price History'!D99)),'Price History'!D99=0),"",'Price History'!D100/'Price History'!D99-1),"")</f>
        <v>-0.00587385019710907</v>
      </c>
      <c r="E99" s="76" t="n">
        <f aca="false">IFERROR(IF(OR(NOT(ISNUMBER('Price History'!E100)),NOT(ISNUMBER('Price History'!E99)),'Price History'!E99=0),"",'Price History'!E100/'Price History'!E99-1),"")</f>
        <v>0.00518697225572984</v>
      </c>
      <c r="F99" s="76" t="n">
        <f aca="false">IFERROR(IF(OR(NOT(ISNUMBER('Price History'!F100)),NOT(ISNUMBER('Price History'!F99)),'Price History'!F99=0),"",'Price History'!F100/'Price History'!F99-1),"")</f>
        <v>-0.00898801597869503</v>
      </c>
      <c r="G99" s="76" t="n">
        <f aca="false">IFERROR(IF(OR(NOT(ISNUMBER('Price History'!G100)),NOT(ISNUMBER('Price History'!G99)),'Price History'!G99=0),"",'Price History'!G100/'Price History'!G99-1),"")</f>
        <v>-0.0203987553301832</v>
      </c>
      <c r="H99" s="76" t="n">
        <f aca="false">IFERROR(IF(OR(NOT(ISNUMBER('Price History'!H100)),NOT(ISNUMBER('Price History'!H99)),'Price History'!H99=0),"",'Price History'!H100/'Price History'!H99-1),"")</f>
        <v>0.0692041522491349</v>
      </c>
      <c r="I99" s="76" t="n">
        <f aca="false">IFERROR(IF(OR(NOT(ISNUMBER('Price History'!I100)),NOT(ISNUMBER('Price History'!I99)),'Price History'!I99=0),"",'Price History'!I100/'Price History'!I99-1),"")</f>
        <v>0.0132422342748468</v>
      </c>
      <c r="J99" s="76" t="n">
        <f aca="false">IFERROR(IF(OR(NOT(ISNUMBER('Price History'!J100)),NOT(ISNUMBER('Price History'!J99)),'Price History'!J99=0),"",'Price History'!J100/'Price History'!J99-1),"")</f>
        <v>-0.0148210290827741</v>
      </c>
      <c r="K99" s="76" t="n">
        <f aca="false">IFERROR(IF(OR(NOT(ISNUMBER('Price History'!K100)),NOT(ISNUMBER('Price History'!K99)),'Price History'!K99=0),"",'Price History'!K100/'Price History'!K99-1),"")</f>
        <v>-0.000727802037845615</v>
      </c>
      <c r="L99" s="76" t="n">
        <f aca="false">IFERROR(IF(OR(NOT(ISNUMBER('Price History'!L100)),NOT(ISNUMBER('Price History'!L99)),'Price History'!L99=0),"",'Price History'!L100/'Price History'!L99-1),"")</f>
        <v>-0.00753197536712458</v>
      </c>
      <c r="M99" s="76" t="n">
        <f aca="false">IFERROR(IF(OR(NOT(ISNUMBER('Price History'!M100)),NOT(ISNUMBER('Price History'!M99)),'Price History'!M99=0),"",'Price History'!M100/'Price History'!M99-1),"")</f>
        <v>0.0682166351266109</v>
      </c>
      <c r="N99" s="76" t="n">
        <f aca="false">IFERROR(IF(OR(NOT(ISNUMBER('Price History'!N100)),NOT(ISNUMBER('Price History'!N99)),'Price History'!N99=0),"",'Price History'!N100/'Price History'!N99-1),"")</f>
        <v>-0.0320122955318916</v>
      </c>
      <c r="O99" s="76" t="n">
        <f aca="false">IFERROR(IF(OR(NOT(ISNUMBER('Price History'!O100)),NOT(ISNUMBER('Price History'!O99)),'Price History'!O99=0),"",'Price History'!O100/'Price History'!O99-1),"")</f>
        <v>0.00168123739071957</v>
      </c>
      <c r="P99" s="76" t="str">
        <f aca="false">IFERROR(IF(OR(NOT(ISNUMBER('Price History'!P100)),NOT(ISNUMBER('Price History'!P99)),'Price History'!P99=0),"",'Price History'!P100/'Price History'!P99-1),"")</f>
        <v/>
      </c>
      <c r="Q99" s="76" t="n">
        <f aca="false">IFERROR(IF(OR(NOT(ISNUMBER('Price History'!Q100)),NOT(ISNUMBER('Price History'!Q99)),'Price History'!Q99=0),"",'Price History'!Q100/'Price History'!Q99-1),"")</f>
        <v>0.0114741035856574</v>
      </c>
      <c r="R99" s="76" t="n">
        <f aca="false">IFERROR(IF(OR(NOT(ISNUMBER('Price History'!R100)),NOT(ISNUMBER('Price History'!R99)),'Price History'!R99=0),"",'Price History'!R100/'Price History'!R99-1),"")</f>
        <v>0.00304240349876395</v>
      </c>
      <c r="S99" s="76" t="n">
        <f aca="false">IFERROR(IF(OR(NOT(ISNUMBER('Price History'!S100)),NOT(ISNUMBER('Price History'!S99)),'Price History'!S99=0),"",'Price History'!S100/'Price History'!S99-1),"")</f>
        <v>0.00706480783722685</v>
      </c>
      <c r="T99" s="76" t="n">
        <f aca="false">IFERROR(IF(OR(NOT(ISNUMBER('Price History'!T100)),NOT(ISNUMBER('Price History'!T99)),'Price History'!T99=0),"",'Price History'!T100/'Price History'!T99-1),"")</f>
        <v>-0.00114057599087536</v>
      </c>
      <c r="U99" s="76" t="str">
        <f aca="false">IFERROR(IF(OR(NOT(ISNUMBER('Price History'!U100)),NOT(ISNUMBER('Price History'!U99)),'Price History'!U99=0),"",'Price History'!U100/'Price History'!U99-1),"")</f>
        <v/>
      </c>
      <c r="W99" s="77" t="n">
        <f aca="false">'Price History'!B3+('Price History'!B158-'Price History'!B3)*0.623376623376623</f>
        <v>347.593896103896</v>
      </c>
      <c r="X99" s="77" t="n">
        <f aca="false">'Price History'!C3+('Price History'!C158-'Price History'!C3)*0.623376623376623</f>
        <v>128.89948051948</v>
      </c>
      <c r="Y99" s="77" t="n">
        <f aca="false">'Price History'!D3+('Price History'!D158-'Price History'!D3)*0.623376623376623</f>
        <v>1264.72233766234</v>
      </c>
      <c r="Z99" s="77" t="n">
        <f aca="false">'Price History'!E3+('Price History'!E158-'Price History'!E3)*0.623376623376623</f>
        <v>273.92025974026</v>
      </c>
      <c r="AA99" s="77" t="n">
        <f aca="false">'Price History'!F3+('Price History'!F158-'Price History'!F3)*0.623376623376623</f>
        <v>132.935324675325</v>
      </c>
      <c r="AB99" s="77" t="n">
        <f aca="false">'Price History'!G3+('Price History'!G158-'Price History'!G3)*0.623376623376623</f>
        <v>132.005974025974</v>
      </c>
      <c r="AC99" s="77" t="n">
        <f aca="false">'Price History'!H3+('Price History'!H158-'Price History'!H3)*0.623376623376623</f>
        <v>537.300909090909</v>
      </c>
      <c r="AD99" s="77" t="n">
        <f aca="false">'Price History'!I3+('Price History'!I158-'Price History'!I3)*0.623376623376623</f>
        <v>140.527922077922</v>
      </c>
      <c r="AE99" s="77" t="n">
        <f aca="false">'Price History'!J3+('Price History'!J158-'Price History'!J3)*0.623376623376623</f>
        <v>136.663246753247</v>
      </c>
      <c r="AF99" s="77" t="n">
        <f aca="false">'Price History'!K3+('Price History'!K158-'Price History'!K3)*0.623376623376623</f>
        <v>82.5164935064935</v>
      </c>
      <c r="AG99" s="77" t="n">
        <f aca="false">'Price History'!L3+('Price History'!L158-'Price History'!L3)*0.623376623376623</f>
        <v>286.645584415584</v>
      </c>
      <c r="AH99" s="77" t="n">
        <f aca="false">'Price History'!M3+('Price History'!M158-'Price History'!M3)*0.623376623376623</f>
        <v>163.20974025974</v>
      </c>
      <c r="AI99" s="77" t="n">
        <f aca="false">'Price History'!N3+('Price History'!N158-'Price History'!N3)*0.623376623376623</f>
        <v>429.178441558442</v>
      </c>
      <c r="AJ99" s="77" t="n">
        <f aca="false">'Price History'!O3+('Price History'!O158-'Price History'!O3)*0.623376623376623</f>
        <v>109.29987012987</v>
      </c>
      <c r="AK99" s="77" t="n">
        <f aca="false">'Price History'!Q3+('Price History'!Q151-'Price History'!Q3)*0.623376623376623</f>
        <v>61.441038961039</v>
      </c>
      <c r="AL99" s="77" t="n">
        <f aca="false">'Price History'!R3+('Price History'!R158-'Price History'!R3)*0.623376623376623</f>
        <v>54.3218181818182</v>
      </c>
      <c r="AM99" s="77" t="n">
        <f aca="false">'Price History'!S3+('Price History'!S158-'Price History'!S3)*0.623376623376623</f>
        <v>111.707792207792</v>
      </c>
      <c r="AN99" s="77" t="n">
        <f aca="false">'Price History'!T3+('Price History'!T158-'Price History'!T3)*0.623376623376623</f>
        <v>41.1416883116883</v>
      </c>
    </row>
    <row r="100" customFormat="false" ht="15" hidden="false" customHeight="true" outlineLevel="0" collapsed="false">
      <c r="A100" s="49" t="n">
        <f aca="false">IF('Price History'!A101="","",'Price History'!A101)</f>
        <v>45835</v>
      </c>
      <c r="B100" s="76" t="n">
        <f aca="false">IFERROR(IF(OR(NOT(ISNUMBER('Price History'!B101)),NOT(ISNUMBER('Price History'!B100)),'Price History'!B100=0),"",'Price History'!B101/'Price History'!B100-1),"")</f>
        <v>0.0236389684813754</v>
      </c>
      <c r="C100" s="76" t="n">
        <f aca="false">IFERROR(IF(OR(NOT(ISNUMBER('Price History'!C101)),NOT(ISNUMBER('Price History'!C100)),'Price History'!C100=0),"",'Price History'!C101/'Price History'!C100-1),"")</f>
        <v>0.152347826086957</v>
      </c>
      <c r="D100" s="76" t="n">
        <f aca="false">IFERROR(IF(OR(NOT(ISNUMBER('Price History'!D101)),NOT(ISNUMBER('Price History'!D100)),'Price History'!D100=0),"",'Price History'!D101/'Price History'!D100-1),"")</f>
        <v>0.0521063275745841</v>
      </c>
      <c r="E100" s="76" t="n">
        <f aca="false">IFERROR(IF(OR(NOT(ISNUMBER('Price History'!E101)),NOT(ISNUMBER('Price History'!E100)),'Price History'!E100=0),"",'Price History'!E101/'Price History'!E100-1),"")</f>
        <v>0.0774430977239091</v>
      </c>
      <c r="F100" s="76" t="n">
        <f aca="false">IFERROR(IF(OR(NOT(ISNUMBER('Price History'!F101)),NOT(ISNUMBER('Price History'!F100)),'Price History'!F100=0),"",'Price History'!F101/'Price History'!F100-1),"")</f>
        <v>0.0482868659724556</v>
      </c>
      <c r="G100" s="76" t="n">
        <f aca="false">IFERROR(IF(OR(NOT(ISNUMBER('Price History'!G101)),NOT(ISNUMBER('Price History'!G100)),'Price History'!G100=0),"",'Price History'!G101/'Price History'!G100-1),"")</f>
        <v>0.0469411764705883</v>
      </c>
      <c r="H100" s="76" t="n">
        <f aca="false">IFERROR(IF(OR(NOT(ISNUMBER('Price History'!H101)),NOT(ISNUMBER('Price History'!H100)),'Price History'!H100=0),"",'Price History'!H101/'Price History'!H100-1),"")</f>
        <v>0.00938511326860847</v>
      </c>
      <c r="I100" s="76" t="n">
        <f aca="false">IFERROR(IF(OR(NOT(ISNUMBER('Price History'!I101)),NOT(ISNUMBER('Price History'!I100)),'Price History'!I100=0),"",'Price History'!I101/'Price History'!I100-1),"")</f>
        <v>0.0966284323948559</v>
      </c>
      <c r="J100" s="76" t="n">
        <f aca="false">IFERROR(IF(OR(NOT(ISNUMBER('Price History'!J101)),NOT(ISNUMBER('Price History'!J100)),'Price History'!J100=0),"",'Price History'!J101/'Price History'!J100-1),"")</f>
        <v>-0.000662314315450829</v>
      </c>
      <c r="K100" s="76" t="n">
        <f aca="false">IFERROR(IF(OR(NOT(ISNUMBER('Price History'!K101)),NOT(ISNUMBER('Price History'!K100)),'Price History'!K100=0),"",'Price History'!K101/'Price History'!K100-1),"")</f>
        <v>-0.0477785870356883</v>
      </c>
      <c r="L100" s="76" t="n">
        <f aca="false">IFERROR(IF(OR(NOT(ISNUMBER('Price History'!L101)),NOT(ISNUMBER('Price History'!L100)),'Price History'!L100=0),"",'Price History'!L101/'Price History'!L100-1),"")</f>
        <v>0.0909741778435398</v>
      </c>
      <c r="M100" s="76" t="n">
        <f aca="false">IFERROR(IF(OR(NOT(ISNUMBER('Price History'!M101)),NOT(ISNUMBER('Price History'!M100)),'Price History'!M100=0),"",'Price History'!M101/'Price History'!M100-1),"")</f>
        <v>0.0727180698498395</v>
      </c>
      <c r="N100" s="76" t="n">
        <f aca="false">IFERROR(IF(OR(NOT(ISNUMBER('Price History'!N101)),NOT(ISNUMBER('Price History'!N100)),'Price History'!N100=0),"",'Price History'!N101/'Price History'!N100-1),"")</f>
        <v>0.000975344205774942</v>
      </c>
      <c r="O100" s="76" t="n">
        <f aca="false">IFERROR(IF(OR(NOT(ISNUMBER('Price History'!O101)),NOT(ISNUMBER('Price History'!O100)),'Price History'!O100=0),"",'Price History'!O101/'Price History'!O100-1),"")</f>
        <v>0.0205885643952108</v>
      </c>
      <c r="P100" s="76" t="str">
        <f aca="false">IFERROR(IF(OR(NOT(ISNUMBER('Price History'!P101)),NOT(ISNUMBER('Price History'!P100)),'Price History'!P100=0),"",'Price History'!P101/'Price History'!P100-1),"")</f>
        <v/>
      </c>
      <c r="Q100" s="76" t="n">
        <f aca="false">IFERROR(IF(OR(NOT(ISNUMBER('Price History'!Q101)),NOT(ISNUMBER('Price History'!Q100)),'Price History'!Q100=0),"",'Price History'!Q101/'Price History'!Q100-1),"")</f>
        <v>0.00740507326295892</v>
      </c>
      <c r="R100" s="76" t="n">
        <f aca="false">IFERROR(IF(OR(NOT(ISNUMBER('Price History'!R101)),NOT(ISNUMBER('Price History'!R100)),'Price History'!R100=0),"",'Price History'!R101/'Price History'!R100-1),"")</f>
        <v>0.0288151658767772</v>
      </c>
      <c r="S100" s="76" t="n">
        <f aca="false">IFERROR(IF(OR(NOT(ISNUMBER('Price History'!S101)),NOT(ISNUMBER('Price History'!S100)),'Price History'!S100=0),"",'Price History'!S101/'Price History'!S100-1),"")</f>
        <v>0.0461135534561781</v>
      </c>
      <c r="T100" s="76" t="n">
        <f aca="false">IFERROR(IF(OR(NOT(ISNUMBER('Price History'!T101)),NOT(ISNUMBER('Price History'!T100)),'Price History'!T100=0),"",'Price History'!T101/'Price History'!T100-1),"")</f>
        <v>0.00856408792463603</v>
      </c>
      <c r="U100" s="76" t="str">
        <f aca="false">IFERROR(IF(OR(NOT(ISNUMBER('Price History'!U101)),NOT(ISNUMBER('Price History'!U100)),'Price History'!U100=0),"",'Price History'!U101/'Price History'!U100-1),"")</f>
        <v/>
      </c>
      <c r="W100" s="77" t="n">
        <f aca="false">'Price History'!B3+('Price History'!B158-'Price History'!B3)*0.62987012987013</f>
        <v>345.918311688312</v>
      </c>
      <c r="X100" s="77" t="n">
        <f aca="false">'Price History'!C3+('Price History'!C158-'Price History'!C3)*0.62987012987013</f>
        <v>129.786558441558</v>
      </c>
      <c r="Y100" s="77" t="n">
        <f aca="false">'Price History'!D3+('Price History'!D158-'Price History'!D3)*0.62987012987013</f>
        <v>1271.00298701299</v>
      </c>
      <c r="Z100" s="77" t="n">
        <f aca="false">'Price History'!E3+('Price History'!E158-'Price History'!E3)*0.62987012987013</f>
        <v>275.909220779221</v>
      </c>
      <c r="AA100" s="77" t="n">
        <f aca="false">'Price History'!F3+('Price History'!F158-'Price History'!F3)*0.62987012987013</f>
        <v>133.934025974026</v>
      </c>
      <c r="AB100" s="77" t="n">
        <f aca="false">'Price History'!G3+('Price History'!G158-'Price History'!G3)*0.62987012987013</f>
        <v>132.882077922078</v>
      </c>
      <c r="AC100" s="77" t="n">
        <f aca="false">'Price History'!H3+('Price History'!H158-'Price History'!H3)*0.62987012987013</f>
        <v>542.227272727273</v>
      </c>
      <c r="AD100" s="77" t="n">
        <f aca="false">'Price History'!I3+('Price History'!I158-'Price History'!I3)*0.62987012987013</f>
        <v>141.566233766234</v>
      </c>
      <c r="AE100" s="77" t="n">
        <f aca="false">'Price History'!J3+('Price History'!J158-'Price History'!J3)*0.62987012987013</f>
        <v>136.80025974026</v>
      </c>
      <c r="AF100" s="77" t="n">
        <f aca="false">'Price History'!K3+('Price History'!K158-'Price History'!K3)*0.62987012987013</f>
        <v>83.2155194805195</v>
      </c>
      <c r="AG100" s="77" t="n">
        <f aca="false">'Price History'!L3+('Price History'!L158-'Price History'!L3)*0.62987012987013</f>
        <v>288.673246753247</v>
      </c>
      <c r="AH100" s="77" t="n">
        <f aca="false">'Price History'!M3+('Price History'!M158-'Price History'!M3)*0.62987012987013</f>
        <v>164.560779220779</v>
      </c>
      <c r="AI100" s="77" t="n">
        <f aca="false">'Price History'!N3+('Price History'!N158-'Price History'!N3)*0.62987012987013</f>
        <v>430.004675324675</v>
      </c>
      <c r="AJ100" s="77" t="n">
        <f aca="false">'Price History'!O3+('Price History'!O158-'Price History'!O3)*0.62987012987013</f>
        <v>109.57538961039</v>
      </c>
      <c r="AK100" s="77" t="n">
        <f aca="false">'Price History'!Q3+('Price History'!Q151-'Price History'!Q3)*0.62987012987013</f>
        <v>61.5618831168831</v>
      </c>
      <c r="AL100" s="77" t="n">
        <f aca="false">'Price History'!R3+('Price History'!R158-'Price History'!R3)*0.62987012987013</f>
        <v>54.3895454545455</v>
      </c>
      <c r="AM100" s="77" t="n">
        <f aca="false">'Price History'!S3+('Price History'!S158-'Price History'!S3)*0.62987012987013</f>
        <v>112.261623376623</v>
      </c>
      <c r="AN100" s="77" t="n">
        <f aca="false">'Price History'!T3+('Price History'!T158-'Price History'!T3)*0.62987012987013</f>
        <v>41.2899350649351</v>
      </c>
    </row>
    <row r="101" customFormat="false" ht="15" hidden="false" customHeight="true" outlineLevel="0" collapsed="false">
      <c r="A101" s="49" t="n">
        <f aca="false">IF('Price History'!A102="","",'Price History'!A102)</f>
        <v>45841</v>
      </c>
      <c r="B101" s="76" t="n">
        <f aca="false">IFERROR(IF(OR(NOT(ISNUMBER('Price History'!B102)),NOT(ISNUMBER('Price History'!B101)),'Price History'!B101=0),"",'Price History'!B102/'Price History'!B101-1),"")</f>
        <v>-0.0168986341134696</v>
      </c>
      <c r="C101" s="76" t="n">
        <f aca="false">IFERROR(IF(OR(NOT(ISNUMBER('Price History'!C102)),NOT(ISNUMBER('Price History'!C101)),'Price History'!C101=0),"",'Price History'!C102/'Price History'!C101-1),"")</f>
        <v>0.0314921018211087</v>
      </c>
      <c r="D101" s="76" t="n">
        <f aca="false">IFERROR(IF(OR(NOT(ISNUMBER('Price History'!D102)),NOT(ISNUMBER('Price History'!D101)),'Price History'!D101=0),"",'Price History'!D102/'Price History'!D101-1),"")</f>
        <v>-0.00182172247000445</v>
      </c>
      <c r="E101" s="76" t="n">
        <f aca="false">IFERROR(IF(OR(NOT(ISNUMBER('Price History'!E102)),NOT(ISNUMBER('Price History'!E101)),'Price History'!E101=0),"",'Price History'!E102/'Price History'!E101-1),"")</f>
        <v>0.0216447002041953</v>
      </c>
      <c r="F101" s="76" t="n">
        <f aca="false">IFERROR(IF(OR(NOT(ISNUMBER('Price History'!F102)),NOT(ISNUMBER('Price History'!F101)),'Price History'!F101=0),"",'Price History'!F102/'Price History'!F101-1),"")</f>
        <v>0.029640310822719</v>
      </c>
      <c r="G101" s="76" t="n">
        <f aca="false">IFERROR(IF(OR(NOT(ISNUMBER('Price History'!G102)),NOT(ISNUMBER('Price History'!G101)),'Price History'!G101=0),"",'Price History'!G102/'Price History'!G101-1),"")</f>
        <v>0.0389931452972243</v>
      </c>
      <c r="H101" s="76" t="n">
        <f aca="false">IFERROR(IF(OR(NOT(ISNUMBER('Price History'!H102)),NOT(ISNUMBER('Price History'!H101)),'Price History'!H101=0),"",'Price History'!H102/'Price History'!H101-1),"")</f>
        <v>-0.0197980121833921</v>
      </c>
      <c r="I101" s="76" t="n">
        <f aca="false">IFERROR(IF(OR(NOT(ISNUMBER('Price History'!I102)),NOT(ISNUMBER('Price History'!I101)),'Price History'!I101=0),"",'Price History'!I102/'Price History'!I101-1),"")</f>
        <v>0.0100792393026941</v>
      </c>
      <c r="J101" s="76" t="n">
        <f aca="false">IFERROR(IF(OR(NOT(ISNUMBER('Price History'!J102)),NOT(ISNUMBER('Price History'!J101)),'Price History'!J101=0),"",'Price History'!J102/'Price History'!J101-1),"")</f>
        <v>0.0227229691346336</v>
      </c>
      <c r="K101" s="76" t="n">
        <f aca="false">IFERROR(IF(OR(NOT(ISNUMBER('Price History'!K102)),NOT(ISNUMBER('Price History'!K101)),'Price History'!K101=0),"",'Price History'!K102/'Price History'!K101-1),"")</f>
        <v>0.0276885421447148</v>
      </c>
      <c r="L101" s="76" t="n">
        <f aca="false">IFERROR(IF(OR(NOT(ISNUMBER('Price History'!L102)),NOT(ISNUMBER('Price History'!L101)),'Price History'!L101=0),"",'Price History'!L102/'Price History'!L101-1),"")</f>
        <v>0.0272564203526273</v>
      </c>
      <c r="M101" s="76" t="n">
        <f aca="false">IFERROR(IF(OR(NOT(ISNUMBER('Price History'!M102)),NOT(ISNUMBER('Price History'!M101)),'Price History'!M101=0),"",'Price History'!M102/'Price History'!M101-1),"")</f>
        <v>0.00534759358288772</v>
      </c>
      <c r="N101" s="76" t="n">
        <f aca="false">IFERROR(IF(OR(NOT(ISNUMBER('Price History'!N102)),NOT(ISNUMBER('Price History'!N101)),'Price History'!N101=0),"",'Price History'!N102/'Price History'!N101-1),"")</f>
        <v>0.0415137094946747</v>
      </c>
      <c r="O101" s="76" t="n">
        <f aca="false">IFERROR(IF(OR(NOT(ISNUMBER('Price History'!O102)),NOT(ISNUMBER('Price History'!O101)),'Price History'!O101=0),"",'Price History'!O102/'Price History'!O101-1),"")</f>
        <v>0.041662098454117</v>
      </c>
      <c r="P101" s="76" t="str">
        <f aca="false">IFERROR(IF(OR(NOT(ISNUMBER('Price History'!P102)),NOT(ISNUMBER('Price History'!P101)),'Price History'!P101=0),"",'Price History'!P102/'Price History'!P101-1),"")</f>
        <v/>
      </c>
      <c r="Q101" s="76" t="n">
        <f aca="false">IFERROR(IF(OR(NOT(ISNUMBER('Price History'!Q102)),NOT(ISNUMBER('Price History'!Q101)),'Price History'!Q101=0),"",'Price History'!Q102/'Price History'!Q101-1),"")</f>
        <v>0.00359712230215825</v>
      </c>
      <c r="R101" s="76" t="n">
        <f aca="false">IFERROR(IF(OR(NOT(ISNUMBER('Price History'!R102)),NOT(ISNUMBER('Price History'!R101)),'Price History'!R101=0),"",'Price History'!R102/'Price History'!R101-1),"")</f>
        <v>-0.00202690252441506</v>
      </c>
      <c r="S101" s="76" t="n">
        <f aca="false">IFERROR(IF(OR(NOT(ISNUMBER('Price History'!S102)),NOT(ISNUMBER('Price History'!S101)),'Price History'!S101=0),"",'Price History'!S102/'Price History'!S101-1),"")</f>
        <v>0.00599070100143062</v>
      </c>
      <c r="T101" s="76" t="n">
        <f aca="false">IFERROR(IF(OR(NOT(ISNUMBER('Price History'!T102)),NOT(ISNUMBER('Price History'!T101)),'Price History'!T101=0),"",'Price History'!T102/'Price History'!T101-1),"")</f>
        <v>0.0124540050948203</v>
      </c>
      <c r="U101" s="76" t="str">
        <f aca="false">IFERROR(IF(OR(NOT(ISNUMBER('Price History'!U102)),NOT(ISNUMBER('Price History'!U101)),'Price History'!U101=0),"",'Price History'!U102/'Price History'!U101-1),"")</f>
        <v/>
      </c>
      <c r="W101" s="77" t="n">
        <f aca="false">'Price History'!B3+('Price History'!B158-'Price History'!B3)*0.636363636363636</f>
        <v>344.242727272727</v>
      </c>
      <c r="X101" s="77" t="n">
        <f aca="false">'Price History'!C3+('Price History'!C158-'Price History'!C3)*0.636363636363636</f>
        <v>130.673636363636</v>
      </c>
      <c r="Y101" s="77" t="n">
        <f aca="false">'Price History'!D3+('Price History'!D158-'Price History'!D3)*0.636363636363636</f>
        <v>1277.28363636364</v>
      </c>
      <c r="Z101" s="77" t="n">
        <f aca="false">'Price History'!E3+('Price History'!E158-'Price History'!E3)*0.636363636363636</f>
        <v>277.898181818182</v>
      </c>
      <c r="AA101" s="77" t="n">
        <f aca="false">'Price History'!F3+('Price History'!F158-'Price History'!F3)*0.636363636363636</f>
        <v>134.932727272727</v>
      </c>
      <c r="AB101" s="77" t="n">
        <f aca="false">'Price History'!G3+('Price History'!G158-'Price History'!G3)*0.636363636363636</f>
        <v>133.758181818182</v>
      </c>
      <c r="AC101" s="77" t="n">
        <f aca="false">'Price History'!H3+('Price History'!H158-'Price History'!H3)*0.636363636363636</f>
        <v>547.153636363636</v>
      </c>
      <c r="AD101" s="77" t="n">
        <f aca="false">'Price History'!I3+('Price History'!I158-'Price History'!I3)*0.636363636363636</f>
        <v>142.604545454545</v>
      </c>
      <c r="AE101" s="77" t="n">
        <f aca="false">'Price History'!J3+('Price History'!J158-'Price History'!J3)*0.636363636363636</f>
        <v>136.937272727273</v>
      </c>
      <c r="AF101" s="77" t="n">
        <f aca="false">'Price History'!K3+('Price History'!K158-'Price History'!K3)*0.636363636363636</f>
        <v>83.9145454545454</v>
      </c>
      <c r="AG101" s="77" t="n">
        <f aca="false">'Price History'!L3+('Price History'!L158-'Price History'!L3)*0.636363636363636</f>
        <v>290.700909090909</v>
      </c>
      <c r="AH101" s="77" t="n">
        <f aca="false">'Price History'!M3+('Price History'!M158-'Price History'!M3)*0.636363636363636</f>
        <v>165.911818181818</v>
      </c>
      <c r="AI101" s="77" t="n">
        <f aca="false">'Price History'!N3+('Price History'!N158-'Price History'!N3)*0.636363636363636</f>
        <v>430.830909090909</v>
      </c>
      <c r="AJ101" s="77" t="n">
        <f aca="false">'Price History'!O3+('Price History'!O158-'Price History'!O3)*0.636363636363636</f>
        <v>109.850909090909</v>
      </c>
      <c r="AK101" s="77" t="n">
        <f aca="false">'Price History'!Q3+('Price History'!Q151-'Price History'!Q3)*0.636363636363636</f>
        <v>61.6827272727273</v>
      </c>
      <c r="AL101" s="77" t="n">
        <f aca="false">'Price History'!R3+('Price History'!R158-'Price History'!R3)*0.636363636363636</f>
        <v>54.4572727272727</v>
      </c>
      <c r="AM101" s="77" t="n">
        <f aca="false">'Price History'!S3+('Price History'!S158-'Price History'!S3)*0.636363636363636</f>
        <v>112.815454545455</v>
      </c>
      <c r="AN101" s="77" t="n">
        <f aca="false">'Price History'!T3+('Price History'!T158-'Price History'!T3)*0.636363636363636</f>
        <v>41.4381818181818</v>
      </c>
    </row>
    <row r="102" customFormat="false" ht="15" hidden="false" customHeight="true" outlineLevel="0" collapsed="false">
      <c r="A102" s="49" t="n">
        <f aca="false">IF('Price History'!A103="","",'Price History'!A103)</f>
        <v>45849</v>
      </c>
      <c r="B102" s="76" t="n">
        <f aca="false">IFERROR(IF(OR(NOT(ISNUMBER('Price History'!B103)),NOT(ISNUMBER('Price History'!B102)),'Price History'!B102=0),"",'Price History'!B103/'Price History'!B102-1),"")</f>
        <v>-0.0420764018876381</v>
      </c>
      <c r="C102" s="76" t="n">
        <f aca="false">IFERROR(IF(OR(NOT(ISNUMBER('Price History'!C103)),NOT(ISNUMBER('Price History'!C102)),'Price History'!C102=0),"",'Price History'!C103/'Price History'!C102-1),"")</f>
        <v>0.0590128755364807</v>
      </c>
      <c r="D102" s="76" t="n">
        <f aca="false">IFERROR(IF(OR(NOT(ISNUMBER('Price History'!D103)),NOT(ISNUMBER('Price History'!D102)),'Price History'!D102=0),"",'Price History'!D103/'Price History'!D102-1),"")</f>
        <v>0.00935179358086846</v>
      </c>
      <c r="E102" s="76" t="n">
        <f aca="false">IFERROR(IF(OR(NOT(ISNUMBER('Price History'!E103)),NOT(ISNUMBER('Price History'!E102)),'Price History'!E102=0),"",'Price History'!E103/'Price History'!E102-1),"")</f>
        <v>-0.00290718802238543</v>
      </c>
      <c r="F102" s="76" t="n">
        <f aca="false">IFERROR(IF(OR(NOT(ISNUMBER('Price History'!F103)),NOT(ISNUMBER('Price History'!F102)),'Price History'!F102=0),"",'Price History'!F103/'Price History'!F102-1),"")</f>
        <v>-0.0694001400451256</v>
      </c>
      <c r="G102" s="76" t="n">
        <f aca="false">IFERROR(IF(OR(NOT(ISNUMBER('Price History'!G103)),NOT(ISNUMBER('Price History'!G102)),'Price History'!G102=0),"",'Price History'!G103/'Price History'!G102-1),"")</f>
        <v>0</v>
      </c>
      <c r="H102" s="76" t="n">
        <f aca="false">IFERROR(IF(OR(NOT(ISNUMBER('Price History'!H103)),NOT(ISNUMBER('Price History'!H102)),'Price History'!H102=0),"",'Price History'!H103/'Price History'!H102-1),"")</f>
        <v>0.0183171150543788</v>
      </c>
      <c r="I102" s="76" t="n">
        <f aca="false">IFERROR(IF(OR(NOT(ISNUMBER('Price History'!I103)),NOT(ISNUMBER('Price History'!I102)),'Price History'!I102=0),"",'Price History'!I103/'Price History'!I102-1),"")</f>
        <v>0.0350194552529182</v>
      </c>
      <c r="J102" s="76" t="n">
        <f aca="false">IFERROR(IF(OR(NOT(ISNUMBER('Price History'!J103)),NOT(ISNUMBER('Price History'!J102)),'Price History'!J102=0),"",'Price History'!J103/'Price History'!J102-1),"")</f>
        <v>0.0106461766339567</v>
      </c>
      <c r="K102" s="76" t="n">
        <f aca="false">IFERROR(IF(OR(NOT(ISNUMBER('Price History'!K103)),NOT(ISNUMBER('Price History'!K102)),'Price History'!K102=0),"",'Price History'!K103/'Price History'!K102-1),"")</f>
        <v>0.0576064304852633</v>
      </c>
      <c r="L102" s="76" t="n">
        <f aca="false">IFERROR(IF(OR(NOT(ISNUMBER('Price History'!L103)),NOT(ISNUMBER('Price History'!L102)),'Price History'!L102=0),"",'Price History'!L103/'Price History'!L102-1),"")</f>
        <v>-0.0187393526405452</v>
      </c>
      <c r="M102" s="76" t="n">
        <f aca="false">IFERROR(IF(OR(NOT(ISNUMBER('Price History'!M103)),NOT(ISNUMBER('Price History'!M102)),'Price History'!M102=0),"",'Price History'!M103/'Price History'!M102-1),"")</f>
        <v>-0.0355131414267835</v>
      </c>
      <c r="N102" s="76" t="n">
        <f aca="false">IFERROR(IF(OR(NOT(ISNUMBER('Price History'!N103)),NOT(ISNUMBER('Price History'!N102)),'Price History'!N102=0),"",'Price History'!N103/'Price History'!N102-1),"")</f>
        <v>0.0200818067098909</v>
      </c>
      <c r="O102" s="76" t="n">
        <f aca="false">IFERROR(IF(OR(NOT(ISNUMBER('Price History'!O103)),NOT(ISNUMBER('Price History'!O102)),'Price History'!O102=0),"",'Price History'!O103/'Price History'!O102-1),"")</f>
        <v>-0.00136827702347131</v>
      </c>
      <c r="P102" s="76" t="str">
        <f aca="false">IFERROR(IF(OR(NOT(ISNUMBER('Price History'!P103)),NOT(ISNUMBER('Price History'!P102)),'Price History'!P102=0),"",'Price History'!P103/'Price History'!P102-1),"")</f>
        <v/>
      </c>
      <c r="Q102" s="76" t="n">
        <f aca="false">IFERROR(IF(OR(NOT(ISNUMBER('Price History'!Q103)),NOT(ISNUMBER('Price History'!Q102)),'Price History'!Q102=0),"",'Price History'!Q103/'Price History'!Q102-1),"")</f>
        <v>0.000155836060464543</v>
      </c>
      <c r="R102" s="76" t="n">
        <f aca="false">IFERROR(IF(OR(NOT(ISNUMBER('Price History'!R103)),NOT(ISNUMBER('Price History'!R102)),'Price History'!R102=0),"",'Price History'!R103/'Price History'!R102-1),"")</f>
        <v>0.00369276218611536</v>
      </c>
      <c r="S102" s="76" t="n">
        <f aca="false">IFERROR(IF(OR(NOT(ISNUMBER('Price History'!S103)),NOT(ISNUMBER('Price History'!S102)),'Price History'!S102=0),"",'Price History'!S103/'Price History'!S102-1),"")</f>
        <v>-0.00302195360412416</v>
      </c>
      <c r="T102" s="76" t="n">
        <f aca="false">IFERROR(IF(OR(NOT(ISNUMBER('Price History'!T103)),NOT(ISNUMBER('Price History'!T102)),'Price History'!T102=0),"",'Price History'!T103/'Price History'!T102-1),"")</f>
        <v>0.00195694716242656</v>
      </c>
      <c r="U102" s="76" t="str">
        <f aca="false">IFERROR(IF(OR(NOT(ISNUMBER('Price History'!U103)),NOT(ISNUMBER('Price History'!U102)),'Price History'!U102=0),"",'Price History'!U103/'Price History'!U102-1),"")</f>
        <v/>
      </c>
      <c r="W102" s="77" t="n">
        <f aca="false">'Price History'!B3+('Price History'!B158-'Price History'!B3)*0.642857142857143</f>
        <v>342.567142857143</v>
      </c>
      <c r="X102" s="77" t="n">
        <f aca="false">'Price History'!C3+('Price History'!C158-'Price History'!C3)*0.642857142857143</f>
        <v>131.560714285714</v>
      </c>
      <c r="Y102" s="77" t="n">
        <f aca="false">'Price History'!D3+('Price History'!D158-'Price History'!D3)*0.642857142857143</f>
        <v>1283.56428571429</v>
      </c>
      <c r="Z102" s="77" t="n">
        <f aca="false">'Price History'!E3+('Price History'!E158-'Price History'!E3)*0.642857142857143</f>
        <v>279.887142857143</v>
      </c>
      <c r="AA102" s="77" t="n">
        <f aca="false">'Price History'!F3+('Price History'!F158-'Price History'!F3)*0.642857142857143</f>
        <v>135.931428571429</v>
      </c>
      <c r="AB102" s="77" t="n">
        <f aca="false">'Price History'!G3+('Price History'!G158-'Price History'!G3)*0.642857142857143</f>
        <v>134.634285714286</v>
      </c>
      <c r="AC102" s="77" t="n">
        <f aca="false">'Price History'!H3+('Price History'!H158-'Price History'!H3)*0.642857142857143</f>
        <v>552.08</v>
      </c>
      <c r="AD102" s="77" t="n">
        <f aca="false">'Price History'!I3+('Price History'!I158-'Price History'!I3)*0.642857142857143</f>
        <v>143.642857142857</v>
      </c>
      <c r="AE102" s="77" t="n">
        <f aca="false">'Price History'!J3+('Price History'!J158-'Price History'!J3)*0.642857142857143</f>
        <v>137.074285714286</v>
      </c>
      <c r="AF102" s="77" t="n">
        <f aca="false">'Price History'!K3+('Price History'!K158-'Price History'!K3)*0.642857142857143</f>
        <v>84.6135714285715</v>
      </c>
      <c r="AG102" s="77" t="n">
        <f aca="false">'Price History'!L3+('Price History'!L158-'Price History'!L3)*0.642857142857143</f>
        <v>292.728571428571</v>
      </c>
      <c r="AH102" s="77" t="n">
        <f aca="false">'Price History'!M3+('Price History'!M158-'Price History'!M3)*0.642857142857143</f>
        <v>167.262857142857</v>
      </c>
      <c r="AI102" s="77" t="n">
        <f aca="false">'Price History'!N3+('Price History'!N158-'Price History'!N3)*0.642857142857143</f>
        <v>431.657142857143</v>
      </c>
      <c r="AJ102" s="77" t="n">
        <f aca="false">'Price History'!O3+('Price History'!O158-'Price History'!O3)*0.642857142857143</f>
        <v>110.126428571429</v>
      </c>
      <c r="AK102" s="77" t="n">
        <f aca="false">'Price History'!Q3+('Price History'!Q151-'Price History'!Q3)*0.642857142857143</f>
        <v>61.8035714285714</v>
      </c>
      <c r="AL102" s="77" t="n">
        <f aca="false">'Price History'!R3+('Price History'!R158-'Price History'!R3)*0.642857142857143</f>
        <v>54.525</v>
      </c>
      <c r="AM102" s="77" t="n">
        <f aca="false">'Price History'!S3+('Price History'!S158-'Price History'!S3)*0.642857142857143</f>
        <v>113.369285714286</v>
      </c>
      <c r="AN102" s="77" t="n">
        <f aca="false">'Price History'!T3+('Price History'!T158-'Price History'!T3)*0.642857142857143</f>
        <v>41.5864285714286</v>
      </c>
    </row>
    <row r="103" customFormat="false" ht="15" hidden="false" customHeight="true" outlineLevel="0" collapsed="false">
      <c r="A103" s="49" t="n">
        <f aca="false">IF('Price History'!A104="","",'Price History'!A104)</f>
        <v>45856</v>
      </c>
      <c r="B103" s="76" t="n">
        <f aca="false">IFERROR(IF(OR(NOT(ISNUMBER('Price History'!B104)),NOT(ISNUMBER('Price History'!B103)),'Price History'!B103=0),"",'Price History'!B104/'Price History'!B103-1),"")</f>
        <v>0.00671528828952805</v>
      </c>
      <c r="C103" s="76" t="n">
        <f aca="false">IFERROR(IF(OR(NOT(ISNUMBER('Price History'!C104)),NOT(ISNUMBER('Price History'!C103)),'Price History'!C103=0),"",'Price History'!C104/'Price History'!C103-1),"")</f>
        <v>0.0295661785023489</v>
      </c>
      <c r="D103" s="76" t="n">
        <f aca="false">IFERROR(IF(OR(NOT(ISNUMBER('Price History'!D104)),NOT(ISNUMBER('Price History'!D103)),'Price History'!D103=0),"",'Price History'!D104/'Price History'!D103-1),"")</f>
        <v>-0.0839848864614118</v>
      </c>
      <c r="E103" s="76" t="n">
        <f aca="false">IFERROR(IF(OR(NOT(ISNUMBER('Price History'!E104)),NOT(ISNUMBER('Price History'!E103)),'Price History'!E103=0),"",'Price History'!E104/'Price History'!E103-1),"")</f>
        <v>0.0326554413586995</v>
      </c>
      <c r="F103" s="76" t="n">
        <f aca="false">IFERROR(IF(OR(NOT(ISNUMBER('Price History'!F104)),NOT(ISNUMBER('Price History'!F103)),'Price History'!F103=0),"",'Price History'!F104/'Price History'!F103-1),"")</f>
        <v>-0.00518351308419029</v>
      </c>
      <c r="G103" s="76" t="n">
        <f aca="false">IFERROR(IF(OR(NOT(ISNUMBER('Price History'!G104)),NOT(ISNUMBER('Price History'!G103)),'Price History'!G103=0),"",'Price History'!G104/'Price History'!G103-1),"")</f>
        <v>0.00703006705602438</v>
      </c>
      <c r="H103" s="76" t="n">
        <f aca="false">IFERROR(IF(OR(NOT(ISNUMBER('Price History'!H104)),NOT(ISNUMBER('Price History'!H103)),'Price History'!H103=0),"",'Price History'!H104/'Price History'!H103-1),"")</f>
        <v>-0.0814261623705131</v>
      </c>
      <c r="I103" s="76" t="n">
        <f aca="false">IFERROR(IF(OR(NOT(ISNUMBER('Price History'!I104)),NOT(ISNUMBER('Price History'!I103)),'Price History'!I103=0),"",'Price History'!I104/'Price History'!I103-1),"")</f>
        <v>0.0454159592529713</v>
      </c>
      <c r="J103" s="76" t="n">
        <f aca="false">IFERROR(IF(OR(NOT(ISNUMBER('Price History'!J104)),NOT(ISNUMBER('Price History'!J103)),'Price History'!J103=0),"",'Price History'!J104/'Price History'!J103-1),"")</f>
        <v>-0.0218924612988917</v>
      </c>
      <c r="K103" s="76" t="n">
        <f aca="false">IFERROR(IF(OR(NOT(ISNUMBER('Price History'!K104)),NOT(ISNUMBER('Price History'!K103)),'Price History'!K103=0),"",'Price History'!K104/'Price History'!K103-1),"")</f>
        <v>0.08036593947924</v>
      </c>
      <c r="L103" s="76" t="n">
        <f aca="false">IFERROR(IF(OR(NOT(ISNUMBER('Price History'!L104)),NOT(ISNUMBER('Price History'!L103)),'Price History'!L103=0),"",'Price History'!L104/'Price History'!L103-1),"")</f>
        <v>0.0434027777777777</v>
      </c>
      <c r="M103" s="76" t="n">
        <f aca="false">IFERROR(IF(OR(NOT(ISNUMBER('Price History'!M104)),NOT(ISNUMBER('Price History'!M103)),'Price History'!M103=0),"",'Price History'!M104/'Price History'!M103-1),"")</f>
        <v>0.0467153284671533</v>
      </c>
      <c r="N103" s="76" t="n">
        <f aca="false">IFERROR(IF(OR(NOT(ISNUMBER('Price History'!N104)),NOT(ISNUMBER('Price History'!N103)),'Price History'!N103=0),"",'Price History'!N104/'Price History'!N103-1),"")</f>
        <v>-0.0192812200063986</v>
      </c>
      <c r="O103" s="76" t="n">
        <f aca="false">IFERROR(IF(OR(NOT(ISNUMBER('Price History'!O104)),NOT(ISNUMBER('Price History'!O103)),'Price History'!O103=0),"",'Price History'!O104/'Price History'!O103-1),"")</f>
        <v>-0.0116989881956155</v>
      </c>
      <c r="P103" s="76" t="str">
        <f aca="false">IFERROR(IF(OR(NOT(ISNUMBER('Price History'!P104)),NOT(ISNUMBER('Price History'!P103)),'Price History'!P103=0),"",'Price History'!P104/'Price History'!P103-1),"")</f>
        <v/>
      </c>
      <c r="Q103" s="76" t="n">
        <f aca="false">IFERROR(IF(OR(NOT(ISNUMBER('Price History'!Q104)),NOT(ISNUMBER('Price History'!Q103)),'Price History'!Q103=0),"",'Price History'!Q104/'Price History'!Q103-1),"")</f>
        <v>0.00218136491118703</v>
      </c>
      <c r="R103" s="76" t="n">
        <f aca="false">IFERROR(IF(OR(NOT(ISNUMBER('Price History'!R104)),NOT(ISNUMBER('Price History'!R103)),'Price History'!R103=0),"",'Price History'!R104/'Price History'!R103-1),"")</f>
        <v>0.00607064017660042</v>
      </c>
      <c r="S103" s="76" t="n">
        <f aca="false">IFERROR(IF(OR(NOT(ISNUMBER('Price History'!S104)),NOT(ISNUMBER('Price History'!S103)),'Price History'!S103=0),"",'Price History'!S104/'Price History'!S103-1),"")</f>
        <v>0.014798965855398</v>
      </c>
      <c r="T103" s="76" t="n">
        <f aca="false">IFERROR(IF(OR(NOT(ISNUMBER('Price History'!T104)),NOT(ISNUMBER('Price History'!T103)),'Price History'!T103=0),"",'Price History'!T104/'Price History'!T103-1),"")</f>
        <v>-0.0212053571428573</v>
      </c>
      <c r="U103" s="76" t="str">
        <f aca="false">IFERROR(IF(OR(NOT(ISNUMBER('Price History'!U104)),NOT(ISNUMBER('Price History'!U103)),'Price History'!U103=0),"",'Price History'!U104/'Price History'!U103-1),"")</f>
        <v/>
      </c>
      <c r="W103" s="77" t="n">
        <f aca="false">'Price History'!B3+('Price History'!B158-'Price History'!B3)*0.649350649350649</f>
        <v>340.891558441559</v>
      </c>
      <c r="X103" s="77" t="n">
        <f aca="false">'Price History'!C3+('Price History'!C158-'Price History'!C3)*0.649350649350649</f>
        <v>132.447792207792</v>
      </c>
      <c r="Y103" s="77" t="n">
        <f aca="false">'Price History'!D3+('Price History'!D158-'Price History'!D3)*0.649350649350649</f>
        <v>1289.84493506493</v>
      </c>
      <c r="Z103" s="77" t="n">
        <f aca="false">'Price History'!E3+('Price History'!E158-'Price History'!E3)*0.649350649350649</f>
        <v>281.876103896104</v>
      </c>
      <c r="AA103" s="77" t="n">
        <f aca="false">'Price History'!F3+('Price History'!F158-'Price History'!F3)*0.649350649350649</f>
        <v>136.93012987013</v>
      </c>
      <c r="AB103" s="77" t="n">
        <f aca="false">'Price History'!G3+('Price History'!G158-'Price History'!G3)*0.649350649350649</f>
        <v>135.51038961039</v>
      </c>
      <c r="AC103" s="77" t="n">
        <f aca="false">'Price History'!H3+('Price History'!H158-'Price History'!H3)*0.649350649350649</f>
        <v>557.006363636363</v>
      </c>
      <c r="AD103" s="77" t="n">
        <f aca="false">'Price History'!I3+('Price History'!I158-'Price History'!I3)*0.649350649350649</f>
        <v>144.681168831169</v>
      </c>
      <c r="AE103" s="77" t="n">
        <f aca="false">'Price History'!J3+('Price History'!J158-'Price History'!J3)*0.649350649350649</f>
        <v>137.211298701299</v>
      </c>
      <c r="AF103" s="77" t="n">
        <f aca="false">'Price History'!K3+('Price History'!K158-'Price History'!K3)*0.649350649350649</f>
        <v>85.3125974025974</v>
      </c>
      <c r="AG103" s="77" t="n">
        <f aca="false">'Price History'!L3+('Price History'!L158-'Price History'!L3)*0.649350649350649</f>
        <v>294.756233766234</v>
      </c>
      <c r="AH103" s="77" t="n">
        <f aca="false">'Price History'!M3+('Price History'!M158-'Price History'!M3)*0.649350649350649</f>
        <v>168.613896103896</v>
      </c>
      <c r="AI103" s="77" t="n">
        <f aca="false">'Price History'!N3+('Price History'!N158-'Price History'!N3)*0.649350649350649</f>
        <v>432.483376623377</v>
      </c>
      <c r="AJ103" s="77" t="n">
        <f aca="false">'Price History'!O3+('Price History'!O158-'Price History'!O3)*0.649350649350649</f>
        <v>110.401948051948</v>
      </c>
      <c r="AK103" s="77" t="n">
        <f aca="false">'Price History'!Q3+('Price History'!Q151-'Price History'!Q3)*0.649350649350649</f>
        <v>61.9244155844156</v>
      </c>
      <c r="AL103" s="77" t="n">
        <f aca="false">'Price History'!R3+('Price History'!R158-'Price History'!R3)*0.649350649350649</f>
        <v>54.5927272727273</v>
      </c>
      <c r="AM103" s="77" t="n">
        <f aca="false">'Price History'!S3+('Price History'!S158-'Price History'!S3)*0.649350649350649</f>
        <v>113.923116883117</v>
      </c>
      <c r="AN103" s="77" t="n">
        <f aca="false">'Price History'!T3+('Price History'!T158-'Price History'!T3)*0.649350649350649</f>
        <v>41.7346753246753</v>
      </c>
    </row>
    <row r="104" customFormat="false" ht="15" hidden="false" customHeight="true" outlineLevel="0" collapsed="false">
      <c r="A104" s="49" t="n">
        <f aca="false">IF('Price History'!A105="","",'Price History'!A105)</f>
        <v>45863</v>
      </c>
      <c r="B104" s="76" t="n">
        <f aca="false">IFERROR(IF(OR(NOT(ISNUMBER('Price History'!B105)),NOT(ISNUMBER('Price History'!B104)),'Price History'!B104=0),"",'Price History'!B105/'Price History'!B104-1),"")</f>
        <v>0.0135323546297055</v>
      </c>
      <c r="C104" s="76" t="n">
        <f aca="false">IFERROR(IF(OR(NOT(ISNUMBER('Price History'!C105)),NOT(ISNUMBER('Price History'!C104)),'Price History'!C104=0),"",'Price History'!C105/'Price History'!C104-1),"")</f>
        <v>0.0223653605296117</v>
      </c>
      <c r="D104" s="76" t="n">
        <f aca="false">IFERROR(IF(OR(NOT(ISNUMBER('Price History'!D105)),NOT(ISNUMBER('Price History'!D104)),'Price History'!D104=0),"",'Price History'!D105/'Price History'!D104-1),"")</f>
        <v>-0.0317596449671922</v>
      </c>
      <c r="E104" s="76" t="n">
        <f aca="false">IFERROR(IF(OR(NOT(ISNUMBER('Price History'!E105)),NOT(ISNUMBER('Price History'!E104)),'Price History'!E104=0),"",'Price History'!E105/'Price History'!E104-1),"")</f>
        <v>0.0241406084562716</v>
      </c>
      <c r="F104" s="76" t="n">
        <f aca="false">IFERROR(IF(OR(NOT(ISNUMBER('Price History'!F105)),NOT(ISNUMBER('Price History'!F104)),'Price History'!F104=0),"",'Price History'!F105/'Price History'!F104-1),"")</f>
        <v>-0.0168921758130934</v>
      </c>
      <c r="G104" s="76" t="n">
        <f aca="false">IFERROR(IF(OR(NOT(ISNUMBER('Price History'!G105)),NOT(ISNUMBER('Price History'!G104)),'Price History'!G104=0),"",'Price History'!G105/'Price History'!G104-1),"")</f>
        <v>-0.0311459563956611</v>
      </c>
      <c r="H104" s="76" t="n">
        <f aca="false">IFERROR(IF(OR(NOT(ISNUMBER('Price History'!H105)),NOT(ISNUMBER('Price History'!H104)),'Price History'!H104=0),"",'Price History'!H105/'Price History'!H104-1),"")</f>
        <v>-0.0273625316898329</v>
      </c>
      <c r="I104" s="76" t="n">
        <f aca="false">IFERROR(IF(OR(NOT(ISNUMBER('Price History'!I105)),NOT(ISNUMBER('Price History'!I104)),'Price History'!I104=0),"",'Price History'!I105/'Price History'!I104-1),"")</f>
        <v>0.00632213908706003</v>
      </c>
      <c r="J104" s="76" t="n">
        <f aca="false">IFERROR(IF(OR(NOT(ISNUMBER('Price History'!J105)),NOT(ISNUMBER('Price History'!J104)),'Price History'!J104=0),"",'Price History'!J105/'Price History'!J104-1),"")</f>
        <v>0.0328713242180183</v>
      </c>
      <c r="K104" s="76" t="n">
        <f aca="false">IFERROR(IF(OR(NOT(ISNUMBER('Price History'!K105)),NOT(ISNUMBER('Price History'!K104)),'Price History'!K104=0),"",'Price History'!K105/'Price History'!K104-1),"")</f>
        <v>0.0343929129755081</v>
      </c>
      <c r="L104" s="76" t="n">
        <f aca="false">IFERROR(IF(OR(NOT(ISNUMBER('Price History'!L105)),NOT(ISNUMBER('Price History'!L104)),'Price History'!L104=0),"",'Price History'!L105/'Price History'!L104-1),"")</f>
        <v>0.021630615640599</v>
      </c>
      <c r="M104" s="76" t="n">
        <f aca="false">IFERROR(IF(OR(NOT(ISNUMBER('Price History'!M105)),NOT(ISNUMBER('Price History'!M104)),'Price History'!M104=0),"",'Price History'!M105/'Price History'!M104-1),"")</f>
        <v>0.0651634898496822</v>
      </c>
      <c r="N104" s="76" t="n">
        <f aca="false">IFERROR(IF(OR(NOT(ISNUMBER('Price History'!N105)),NOT(ISNUMBER('Price History'!N104)),'Price History'!N104=0),"",'Price History'!N105/'Price History'!N104-1),"")</f>
        <v>0.0214001435375482</v>
      </c>
      <c r="O104" s="76" t="n">
        <f aca="false">IFERROR(IF(OR(NOT(ISNUMBER('Price History'!O105)),NOT(ISNUMBER('Price History'!O104)),'Price History'!O104=0),"",'Price History'!O105/'Price History'!O104-1),"")</f>
        <v>0.014716860403114</v>
      </c>
      <c r="P104" s="76" t="str">
        <f aca="false">IFERROR(IF(OR(NOT(ISNUMBER('Price History'!P105)),NOT(ISNUMBER('Price History'!P104)),'Price History'!P104=0),"",'Price History'!P105/'Price History'!P104-1),"")</f>
        <v/>
      </c>
      <c r="Q104" s="76" t="n">
        <f aca="false">IFERROR(IF(OR(NOT(ISNUMBER('Price History'!Q105)),NOT(ISNUMBER('Price History'!Q104)),'Price History'!Q104=0),"",'Price History'!Q105/'Price History'!Q104-1),"")</f>
        <v>0.00855099502487589</v>
      </c>
      <c r="R104" s="76" t="n">
        <f aca="false">IFERROR(IF(OR(NOT(ISNUMBER('Price History'!R105)),NOT(ISNUMBER('Price History'!R104)),'Price History'!R104=0),"",'Price History'!R105/'Price History'!R104-1),"")</f>
        <v>0.00713110257816796</v>
      </c>
      <c r="S104" s="76" t="n">
        <f aca="false">IFERROR(IF(OR(NOT(ISNUMBER('Price History'!S105)),NOT(ISNUMBER('Price History'!S104)),'Price History'!S104=0),"",'Price History'!S105/'Price History'!S104-1),"")</f>
        <v>0.0105420363700255</v>
      </c>
      <c r="T104" s="76" t="n">
        <f aca="false">IFERROR(IF(OR(NOT(ISNUMBER('Price History'!T105)),NOT(ISNUMBER('Price History'!T104)),'Price History'!T104=0),"",'Price History'!T105/'Price History'!T104-1),"")</f>
        <v>0.0219498289623719</v>
      </c>
      <c r="U104" s="76" t="str">
        <f aca="false">IFERROR(IF(OR(NOT(ISNUMBER('Price History'!U105)),NOT(ISNUMBER('Price History'!U104)),'Price History'!U104=0),"",'Price History'!U105/'Price History'!U104-1),"")</f>
        <v/>
      </c>
      <c r="W104" s="77" t="n">
        <f aca="false">'Price History'!B3+('Price History'!B158-'Price History'!B3)*0.655844155844156</f>
        <v>339.215974025974</v>
      </c>
      <c r="X104" s="77" t="n">
        <f aca="false">'Price History'!C3+('Price History'!C158-'Price History'!C3)*0.655844155844156</f>
        <v>133.33487012987</v>
      </c>
      <c r="Y104" s="77" t="n">
        <f aca="false">'Price History'!D3+('Price History'!D158-'Price History'!D3)*0.655844155844156</f>
        <v>1296.12558441558</v>
      </c>
      <c r="Z104" s="77" t="n">
        <f aca="false">'Price History'!E3+('Price History'!E158-'Price History'!E3)*0.655844155844156</f>
        <v>283.865064935065</v>
      </c>
      <c r="AA104" s="77" t="n">
        <f aca="false">'Price History'!F3+('Price History'!F158-'Price History'!F3)*0.655844155844156</f>
        <v>137.928831168831</v>
      </c>
      <c r="AB104" s="77" t="n">
        <f aca="false">'Price History'!G3+('Price History'!G158-'Price History'!G3)*0.655844155844156</f>
        <v>136.386493506494</v>
      </c>
      <c r="AC104" s="77" t="n">
        <f aca="false">'Price History'!H3+('Price History'!H158-'Price History'!H3)*0.655844155844156</f>
        <v>561.932727272727</v>
      </c>
      <c r="AD104" s="77" t="n">
        <f aca="false">'Price History'!I3+('Price History'!I158-'Price History'!I3)*0.655844155844156</f>
        <v>145.719480519481</v>
      </c>
      <c r="AE104" s="77" t="n">
        <f aca="false">'Price History'!J3+('Price History'!J158-'Price History'!J3)*0.655844155844156</f>
        <v>137.348311688312</v>
      </c>
      <c r="AF104" s="77" t="n">
        <f aca="false">'Price History'!K3+('Price History'!K158-'Price History'!K3)*0.655844155844156</f>
        <v>86.0116233766234</v>
      </c>
      <c r="AG104" s="77" t="n">
        <f aca="false">'Price History'!L3+('Price History'!L158-'Price History'!L3)*0.655844155844156</f>
        <v>296.783896103896</v>
      </c>
      <c r="AH104" s="77" t="n">
        <f aca="false">'Price History'!M3+('Price History'!M158-'Price History'!M3)*0.655844155844156</f>
        <v>169.964935064935</v>
      </c>
      <c r="AI104" s="77" t="n">
        <f aca="false">'Price History'!N3+('Price History'!N158-'Price History'!N3)*0.655844155844156</f>
        <v>433.30961038961</v>
      </c>
      <c r="AJ104" s="77" t="n">
        <f aca="false">'Price History'!O3+('Price History'!O158-'Price History'!O3)*0.655844155844156</f>
        <v>110.677467532468</v>
      </c>
      <c r="AK104" s="77" t="n">
        <f aca="false">'Price History'!Q3+('Price History'!Q151-'Price History'!Q3)*0.655844155844156</f>
        <v>62.0452597402597</v>
      </c>
      <c r="AL104" s="77" t="n">
        <f aca="false">'Price History'!R3+('Price History'!R158-'Price History'!R3)*0.655844155844156</f>
        <v>54.6604545454546</v>
      </c>
      <c r="AM104" s="77" t="n">
        <f aca="false">'Price History'!S3+('Price History'!S158-'Price History'!S3)*0.655844155844156</f>
        <v>114.476948051948</v>
      </c>
      <c r="AN104" s="77" t="n">
        <f aca="false">'Price History'!T3+('Price History'!T158-'Price History'!T3)*0.655844155844156</f>
        <v>41.8829220779221</v>
      </c>
    </row>
    <row r="105" customFormat="false" ht="15" hidden="false" customHeight="true" outlineLevel="0" collapsed="false">
      <c r="A105" s="49" t="n">
        <f aca="false">IF('Price History'!A106="","",'Price History'!A106)</f>
        <v>45870</v>
      </c>
      <c r="B105" s="76" t="n">
        <f aca="false">IFERROR(IF(OR(NOT(ISNUMBER('Price History'!B106)),NOT(ISNUMBER('Price History'!B105)),'Price History'!B105=0),"",'Price History'!B106/'Price History'!B105-1),"")</f>
        <v>-0.06187624750499</v>
      </c>
      <c r="C105" s="76" t="n">
        <f aca="false">IFERROR(IF(OR(NOT(ISNUMBER('Price History'!C106)),NOT(ISNUMBER('Price History'!C105)),'Price History'!C105=0),"",'Price History'!C106/'Price History'!C105-1),"")</f>
        <v>0.0287889394469723</v>
      </c>
      <c r="D105" s="76" t="n">
        <f aca="false">IFERROR(IF(OR(NOT(ISNUMBER('Price History'!D106)),NOT(ISNUMBER('Price History'!D105)),'Price History'!D105=0),"",'Price History'!D106/'Price History'!D105-1),"")</f>
        <v>-0.0301300527240772</v>
      </c>
      <c r="E105" s="76" t="n">
        <f aca="false">IFERROR(IF(OR(NOT(ISNUMBER('Price History'!E106)),NOT(ISNUMBER('Price History'!E105)),'Price History'!E105=0),"",'Price History'!E106/'Price History'!E105-1),"")</f>
        <v>-0.00530705079605764</v>
      </c>
      <c r="F105" s="76" t="n">
        <f aca="false">IFERROR(IF(OR(NOT(ISNUMBER('Price History'!F106)),NOT(ISNUMBER('Price History'!F105)),'Price History'!F105=0),"",'Price History'!F106/'Price History'!F105-1),"")</f>
        <v>-0.0453923747649171</v>
      </c>
      <c r="G105" s="76" t="n">
        <f aca="false">IFERROR(IF(OR(NOT(ISNUMBER('Price History'!G106)),NOT(ISNUMBER('Price History'!G105)),'Price History'!G105=0),"",'Price History'!G106/'Price History'!G105-1),"")</f>
        <v>-0.0171821305841924</v>
      </c>
      <c r="H105" s="76" t="n">
        <f aca="false">IFERROR(IF(OR(NOT(ISNUMBER('Price History'!H106)),NOT(ISNUMBER('Price History'!H105)),'Price History'!H105=0),"",'Price History'!H106/'Price History'!H105-1),"")</f>
        <v>-0.0573431601653784</v>
      </c>
      <c r="I105" s="76" t="n">
        <f aca="false">IFERROR(IF(OR(NOT(ISNUMBER('Price History'!I106)),NOT(ISNUMBER('Price History'!I105)),'Price History'!I105=0),"",'Price History'!I106/'Price History'!I105-1),"")</f>
        <v>0.00126801152737754</v>
      </c>
      <c r="J105" s="76" t="n">
        <f aca="false">IFERROR(IF(OR(NOT(ISNUMBER('Price History'!J106)),NOT(ISNUMBER('Price History'!J105)),'Price History'!J105=0),"",'Price History'!J106/'Price History'!J105-1),"")</f>
        <v>-0.0487804878048781</v>
      </c>
      <c r="K105" s="76" t="n">
        <f aca="false">IFERROR(IF(OR(NOT(ISNUMBER('Price History'!K106)),NOT(ISNUMBER('Price History'!K105)),'Price History'!K105=0),"",'Price History'!K106/'Price History'!K105-1),"")</f>
        <v>-0.0285264483627204</v>
      </c>
      <c r="L105" s="76" t="n">
        <f aca="false">IFERROR(IF(OR(NOT(ISNUMBER('Price History'!L106)),NOT(ISNUMBER('Price History'!L105)),'Price History'!L105=0),"",'Price History'!L106/'Price History'!L105-1),"")</f>
        <v>-0.0423045602605863</v>
      </c>
      <c r="M105" s="76" t="n">
        <f aca="false">IFERROR(IF(OR(NOT(ISNUMBER('Price History'!M106)),NOT(ISNUMBER('Price History'!M105)),'Price History'!M105=0),"",'Price History'!M106/'Price History'!M105-1),"")</f>
        <v>0.0299701753109769</v>
      </c>
      <c r="N105" s="76" t="n">
        <f aca="false">IFERROR(IF(OR(NOT(ISNUMBER('Price History'!N106)),NOT(ISNUMBER('Price History'!N105)),'Price History'!N105=0),"",'Price History'!N106/'Price History'!N105-1),"")</f>
        <v>-0.0160119237730224</v>
      </c>
      <c r="O105" s="76" t="n">
        <f aca="false">IFERROR(IF(OR(NOT(ISNUMBER('Price History'!O106)),NOT(ISNUMBER('Price History'!O105)),'Price History'!O105=0),"",'Price History'!O106/'Price History'!O105-1),"")</f>
        <v>-0.0502364687335786</v>
      </c>
      <c r="P105" s="76" t="str">
        <f aca="false">IFERROR(IF(OR(NOT(ISNUMBER('Price History'!P106)),NOT(ISNUMBER('Price History'!P105)),'Price History'!P105=0),"",'Price History'!P106/'Price History'!P105-1),"")</f>
        <v/>
      </c>
      <c r="Q105" s="76" t="n">
        <f aca="false">IFERROR(IF(OR(NOT(ISNUMBER('Price History'!Q106)),NOT(ISNUMBER('Price History'!Q105)),'Price History'!Q105=0),"",'Price History'!Q106/'Price History'!Q105-1),"")</f>
        <v>0.00200400801603196</v>
      </c>
      <c r="R105" s="76" t="n">
        <f aca="false">IFERROR(IF(OR(NOT(ISNUMBER('Price History'!R106)),NOT(ISNUMBER('Price History'!R105)),'Price History'!R105=0),"",'Price History'!R106/'Price History'!R105-1),"")</f>
        <v>-0.0230573710965867</v>
      </c>
      <c r="S105" s="76" t="n">
        <f aca="false">IFERROR(IF(OR(NOT(ISNUMBER('Price History'!S106)),NOT(ISNUMBER('Price History'!S105)),'Price History'!S105=0),"",'Price History'!S106/'Price History'!S105-1),"")</f>
        <v>-0.0156480918021386</v>
      </c>
      <c r="T105" s="76" t="n">
        <f aca="false">IFERROR(IF(OR(NOT(ISNUMBER('Price History'!T106)),NOT(ISNUMBER('Price History'!T105)),'Price History'!T105=0),"",'Price History'!T106/'Price History'!T105-1),"")</f>
        <v>-0.0418410041841004</v>
      </c>
      <c r="U105" s="76" t="str">
        <f aca="false">IFERROR(IF(OR(NOT(ISNUMBER('Price History'!U106)),NOT(ISNUMBER('Price History'!U105)),'Price History'!U105=0),"",'Price History'!U106/'Price History'!U105-1),"")</f>
        <v/>
      </c>
      <c r="W105" s="77" t="n">
        <f aca="false">'Price History'!B3+('Price History'!B158-'Price History'!B3)*0.662337662337662</f>
        <v>337.54038961039</v>
      </c>
      <c r="X105" s="77" t="n">
        <f aca="false">'Price History'!C3+('Price History'!C158-'Price History'!C3)*0.662337662337662</f>
        <v>134.221948051948</v>
      </c>
      <c r="Y105" s="77" t="n">
        <f aca="false">'Price History'!D3+('Price History'!D158-'Price History'!D3)*0.662337662337662</f>
        <v>1302.40623376623</v>
      </c>
      <c r="Z105" s="77" t="n">
        <f aca="false">'Price History'!E3+('Price History'!E158-'Price History'!E3)*0.662337662337662</f>
        <v>285.854025974026</v>
      </c>
      <c r="AA105" s="77" t="n">
        <f aca="false">'Price History'!F3+('Price History'!F158-'Price History'!F3)*0.662337662337662</f>
        <v>138.927532467532</v>
      </c>
      <c r="AB105" s="77" t="n">
        <f aca="false">'Price History'!G3+('Price History'!G158-'Price History'!G3)*0.662337662337662</f>
        <v>137.262597402597</v>
      </c>
      <c r="AC105" s="77" t="n">
        <f aca="false">'Price History'!H3+('Price History'!H158-'Price History'!H3)*0.662337662337662</f>
        <v>566.859090909091</v>
      </c>
      <c r="AD105" s="77" t="n">
        <f aca="false">'Price History'!I3+('Price History'!I158-'Price History'!I3)*0.662337662337662</f>
        <v>146.757792207792</v>
      </c>
      <c r="AE105" s="77" t="n">
        <f aca="false">'Price History'!J3+('Price History'!J158-'Price History'!J3)*0.662337662337662</f>
        <v>137.485324675325</v>
      </c>
      <c r="AF105" s="77" t="n">
        <f aca="false">'Price History'!K3+('Price History'!K158-'Price History'!K3)*0.662337662337662</f>
        <v>86.7106493506493</v>
      </c>
      <c r="AG105" s="77" t="n">
        <f aca="false">'Price History'!L3+('Price History'!L158-'Price History'!L3)*0.662337662337662</f>
        <v>298.811558441558</v>
      </c>
      <c r="AH105" s="77" t="n">
        <f aca="false">'Price History'!M3+('Price History'!M158-'Price History'!M3)*0.662337662337662</f>
        <v>171.315974025974</v>
      </c>
      <c r="AI105" s="77" t="n">
        <f aca="false">'Price History'!N3+('Price History'!N158-'Price History'!N3)*0.662337662337662</f>
        <v>434.135844155844</v>
      </c>
      <c r="AJ105" s="77" t="n">
        <f aca="false">'Price History'!O3+('Price History'!O158-'Price History'!O3)*0.662337662337662</f>
        <v>110.952987012987</v>
      </c>
      <c r="AK105" s="77" t="n">
        <f aca="false">'Price History'!Q3+('Price History'!Q151-'Price History'!Q3)*0.662337662337662</f>
        <v>62.1661038961039</v>
      </c>
      <c r="AL105" s="77" t="n">
        <f aca="false">'Price History'!R3+('Price History'!R158-'Price History'!R3)*0.662337662337662</f>
        <v>54.7281818181818</v>
      </c>
      <c r="AM105" s="77" t="n">
        <f aca="false">'Price History'!S3+('Price History'!S158-'Price History'!S3)*0.662337662337662</f>
        <v>115.030779220779</v>
      </c>
      <c r="AN105" s="77" t="n">
        <f aca="false">'Price History'!T3+('Price History'!T158-'Price History'!T3)*0.662337662337662</f>
        <v>42.0311688311688</v>
      </c>
    </row>
    <row r="106" customFormat="false" ht="15" hidden="false" customHeight="true" outlineLevel="0" collapsed="false">
      <c r="A106" s="49" t="n">
        <f aca="false">IF('Price History'!A107="","",'Price History'!A107)</f>
        <v>45877</v>
      </c>
      <c r="B106" s="76" t="n">
        <f aca="false">IFERROR(IF(OR(NOT(ISNUMBER('Price History'!B107)),NOT(ISNUMBER('Price History'!B106)),'Price History'!B106=0),"",'Price History'!B107/'Price History'!B106-1),"")</f>
        <v>-0.0194077055779184</v>
      </c>
      <c r="C106" s="76" t="n">
        <f aca="false">IFERROR(IF(OR(NOT(ISNUMBER('Price History'!C107)),NOT(ISNUMBER('Price History'!C106)),'Price History'!C106=0),"",'Price History'!C107/'Price History'!C106-1),"")</f>
        <v>0.183805392532109</v>
      </c>
      <c r="D106" s="76" t="n">
        <f aca="false">IFERROR(IF(OR(NOT(ISNUMBER('Price History'!D107)),NOT(ISNUMBER('Price History'!D106)),'Price History'!D106=0),"",'Price History'!D107/'Price History'!D106-1),"")</f>
        <v>0.0471137398161838</v>
      </c>
      <c r="E106" s="76" t="n">
        <f aca="false">IFERROR(IF(OR(NOT(ISNUMBER('Price History'!E107)),NOT(ISNUMBER('Price History'!E106)),'Price History'!E106=0),"",'Price History'!E107/'Price History'!E106-1),"")</f>
        <v>0.0565756651884701</v>
      </c>
      <c r="F106" s="76" t="n">
        <f aca="false">IFERROR(IF(OR(NOT(ISNUMBER('Price History'!F107)),NOT(ISNUMBER('Price History'!F106)),'Price History'!F106=0),"",'Price History'!F107/'Price History'!F106-1),"")</f>
        <v>-0.0497000089549565</v>
      </c>
      <c r="G106" s="76" t="n">
        <f aca="false">IFERROR(IF(OR(NOT(ISNUMBER('Price History'!G107)),NOT(ISNUMBER('Price History'!G106)),'Price History'!G106=0),"",'Price History'!G107/'Price History'!G106-1),"")</f>
        <v>0.0318069027746448</v>
      </c>
      <c r="H106" s="76" t="n">
        <f aca="false">IFERROR(IF(OR(NOT(ISNUMBER('Price History'!H107)),NOT(ISNUMBER('Price History'!H106)),'Price History'!H106=0),"",'Price History'!H107/'Price History'!H106-1),"")</f>
        <v>0.13358123569794</v>
      </c>
      <c r="I106" s="76" t="n">
        <f aca="false">IFERROR(IF(OR(NOT(ISNUMBER('Price History'!I107)),NOT(ISNUMBER('Price History'!I106)),'Price History'!I106=0),"",'Price History'!I107/'Price History'!I106-1),"")</f>
        <v>0.0516923785401795</v>
      </c>
      <c r="J106" s="76" t="n">
        <f aca="false">IFERROR(IF(OR(NOT(ISNUMBER('Price History'!J107)),NOT(ISNUMBER('Price History'!J106)),'Price History'!J106=0),"",'Price History'!J107/'Price History'!J106-1),"")</f>
        <v>0.00733962443999636</v>
      </c>
      <c r="K106" s="76" t="n">
        <f aca="false">IFERROR(IF(OR(NOT(ISNUMBER('Price History'!K107)),NOT(ISNUMBER('Price History'!K106)),'Price History'!K106=0),"",'Price History'!K107/'Price History'!K106-1),"")</f>
        <v>0.211901212160498</v>
      </c>
      <c r="L106" s="76" t="n">
        <f aca="false">IFERROR(IF(OR(NOT(ISNUMBER('Price History'!L107)),NOT(ISNUMBER('Price History'!L106)),'Price History'!L106=0),"",'Price History'!L107/'Price History'!L106-1),"")</f>
        <v>0.0281450618596149</v>
      </c>
      <c r="M106" s="76" t="n">
        <f aca="false">IFERROR(IF(OR(NOT(ISNUMBER('Price History'!M107)),NOT(ISNUMBER('Price History'!M106)),'Price History'!M106=0),"",'Price History'!M107/'Price History'!M106-1),"")</f>
        <v>-0.011723991807331</v>
      </c>
      <c r="N106" s="76" t="n">
        <f aca="false">IFERROR(IF(OR(NOT(ISNUMBER('Price History'!N107)),NOT(ISNUMBER('Price History'!N106)),'Price History'!N106=0),"",'Price History'!N107/'Price History'!N106-1),"")</f>
        <v>-0.206846558327743</v>
      </c>
      <c r="O106" s="76" t="n">
        <f aca="false">IFERROR(IF(OR(NOT(ISNUMBER('Price History'!O107)),NOT(ISNUMBER('Price History'!O106)),'Price History'!O106=0),"",'Price History'!O107/'Price History'!O106-1),"")</f>
        <v>0.0232378001549185</v>
      </c>
      <c r="P106" s="76" t="str">
        <f aca="false">IFERROR(IF(OR(NOT(ISNUMBER('Price History'!P107)),NOT(ISNUMBER('Price History'!P106)),'Price History'!P106=0),"",'Price History'!P107/'Price History'!P106-1),"")</f>
        <v/>
      </c>
      <c r="Q106" s="76" t="n">
        <f aca="false">IFERROR(IF(OR(NOT(ISNUMBER('Price History'!Q107)),NOT(ISNUMBER('Price History'!Q106)),'Price History'!Q106=0),"",'Price History'!Q107/'Price History'!Q106-1),"")</f>
        <v>-0.00169230769230766</v>
      </c>
      <c r="R106" s="76" t="n">
        <f aca="false">IFERROR(IF(OR(NOT(ISNUMBER('Price History'!R107)),NOT(ISNUMBER('Price History'!R106)),'Price History'!R106=0),"",'Price History'!R107/'Price History'!R106-1),"")</f>
        <v>0.0280616985690392</v>
      </c>
      <c r="S106" s="76" t="n">
        <f aca="false">IFERROR(IF(OR(NOT(ISNUMBER('Price History'!S107)),NOT(ISNUMBER('Price History'!S106)),'Price History'!S106=0),"",'Price History'!S107/'Price History'!S106-1),"")</f>
        <v>0.0349730636757042</v>
      </c>
      <c r="T106" s="76" t="n">
        <f aca="false">IFERROR(IF(OR(NOT(ISNUMBER('Price History'!T107)),NOT(ISNUMBER('Price History'!T106)),'Price History'!T106=0),"",'Price History'!T107/'Price History'!T106-1),"")</f>
        <v>0.00989810771470157</v>
      </c>
      <c r="U106" s="76" t="str">
        <f aca="false">IFERROR(IF(OR(NOT(ISNUMBER('Price History'!U107)),NOT(ISNUMBER('Price History'!U106)),'Price History'!U106=0),"",'Price History'!U107/'Price History'!U106-1),"")</f>
        <v/>
      </c>
      <c r="W106" s="77" t="n">
        <f aca="false">'Price History'!B3+('Price History'!B158-'Price History'!B3)*0.668831168831169</f>
        <v>335.864805194805</v>
      </c>
      <c r="X106" s="77" t="n">
        <f aca="false">'Price History'!C3+('Price History'!C158-'Price History'!C3)*0.668831168831169</f>
        <v>135.109025974026</v>
      </c>
      <c r="Y106" s="77" t="n">
        <f aca="false">'Price History'!D3+('Price History'!D158-'Price History'!D3)*0.668831168831169</f>
        <v>1308.68688311688</v>
      </c>
      <c r="Z106" s="77" t="n">
        <f aca="false">'Price History'!E3+('Price History'!E158-'Price History'!E3)*0.668831168831169</f>
        <v>287.842987012987</v>
      </c>
      <c r="AA106" s="77" t="n">
        <f aca="false">'Price History'!F3+('Price History'!F158-'Price History'!F3)*0.668831168831169</f>
        <v>139.926233766234</v>
      </c>
      <c r="AB106" s="77" t="n">
        <f aca="false">'Price History'!G3+('Price History'!G158-'Price History'!G3)*0.668831168831169</f>
        <v>138.138701298701</v>
      </c>
      <c r="AC106" s="77" t="n">
        <f aca="false">'Price History'!H3+('Price History'!H158-'Price History'!H3)*0.668831168831169</f>
        <v>571.785454545455</v>
      </c>
      <c r="AD106" s="77" t="n">
        <f aca="false">'Price History'!I3+('Price History'!I158-'Price History'!I3)*0.668831168831169</f>
        <v>147.796103896104</v>
      </c>
      <c r="AE106" s="77" t="n">
        <f aca="false">'Price History'!J3+('Price History'!J158-'Price History'!J3)*0.668831168831169</f>
        <v>137.622337662338</v>
      </c>
      <c r="AF106" s="77" t="n">
        <f aca="false">'Price History'!K3+('Price History'!K158-'Price History'!K3)*0.668831168831169</f>
        <v>87.4096753246754</v>
      </c>
      <c r="AG106" s="77" t="n">
        <f aca="false">'Price History'!L3+('Price History'!L158-'Price History'!L3)*0.668831168831169</f>
        <v>300.839220779221</v>
      </c>
      <c r="AH106" s="77" t="n">
        <f aca="false">'Price History'!M3+('Price History'!M158-'Price History'!M3)*0.668831168831169</f>
        <v>172.667012987013</v>
      </c>
      <c r="AI106" s="77" t="n">
        <f aca="false">'Price History'!N3+('Price History'!N158-'Price History'!N3)*0.668831168831169</f>
        <v>434.962077922078</v>
      </c>
      <c r="AJ106" s="77" t="n">
        <f aca="false">'Price History'!O3+('Price History'!O158-'Price History'!O3)*0.668831168831169</f>
        <v>111.228506493507</v>
      </c>
      <c r="AK106" s="77" t="n">
        <f aca="false">'Price History'!Q3+('Price History'!Q151-'Price History'!Q3)*0.668831168831169</f>
        <v>62.2869480519481</v>
      </c>
      <c r="AL106" s="77" t="n">
        <f aca="false">'Price History'!R3+('Price History'!R158-'Price History'!R3)*0.668831168831169</f>
        <v>54.7959090909091</v>
      </c>
      <c r="AM106" s="77" t="n">
        <f aca="false">'Price History'!S3+('Price History'!S158-'Price History'!S3)*0.668831168831169</f>
        <v>115.58461038961</v>
      </c>
      <c r="AN106" s="77" t="n">
        <f aca="false">'Price History'!T3+('Price History'!T158-'Price History'!T3)*0.668831168831169</f>
        <v>42.1794155844156</v>
      </c>
    </row>
    <row r="107" customFormat="false" ht="15" hidden="false" customHeight="true" outlineLevel="0" collapsed="false">
      <c r="A107" s="49" t="n">
        <f aca="false">IF('Price History'!A108="","",'Price History'!A108)</f>
        <v>45884</v>
      </c>
      <c r="B107" s="76" t="n">
        <f aca="false">IFERROR(IF(OR(NOT(ISNUMBER('Price History'!B108)),NOT(ISNUMBER('Price History'!B107)),'Price History'!B107=0),"",'Price History'!B108/'Price History'!B107-1),"")</f>
        <v>0.0404632751795924</v>
      </c>
      <c r="C107" s="76" t="n">
        <f aca="false">IFERROR(IF(OR(NOT(ISNUMBER('Price History'!C108)),NOT(ISNUMBER('Price History'!C107)),'Price History'!C107=0),"",'Price History'!C108/'Price History'!C107-1),"")</f>
        <v>-0.0135076878861905</v>
      </c>
      <c r="D107" s="76" t="n">
        <f aca="false">IFERROR(IF(OR(NOT(ISNUMBER('Price History'!D108)),NOT(ISNUMBER('Price History'!D107)),'Price History'!D107=0),"",'Price History'!D108/'Price History'!D107-1),"")</f>
        <v>0.0274670506146859</v>
      </c>
      <c r="E107" s="76" t="n">
        <f aca="false">IFERROR(IF(OR(NOT(ISNUMBER('Price History'!E108)),NOT(ISNUMBER('Price History'!E107)),'Price History'!E107=0),"",'Price History'!E108/'Price History'!E107-1),"")</f>
        <v>0.00449224513886604</v>
      </c>
      <c r="F107" s="76" t="n">
        <f aca="false">IFERROR(IF(OR(NOT(ISNUMBER('Price History'!F108)),NOT(ISNUMBER('Price History'!F107)),'Price History'!F107=0),"",'Price History'!F108/'Price History'!F107-1),"")</f>
        <v>0.00810403316999619</v>
      </c>
      <c r="G107" s="76" t="n">
        <f aca="false">IFERROR(IF(OR(NOT(ISNUMBER('Price History'!G108)),NOT(ISNUMBER('Price History'!G107)),'Price History'!G107=0),"",'Price History'!G108/'Price History'!G107-1),"")</f>
        <v>-0.0436160909488413</v>
      </c>
      <c r="H107" s="76" t="n">
        <f aca="false">IFERROR(IF(OR(NOT(ISNUMBER('Price History'!H108)),NOT(ISNUMBER('Price History'!H107)),'Price History'!H107=0),"",'Price History'!H108/'Price History'!H107-1),"")</f>
        <v>0.0166540499621499</v>
      </c>
      <c r="I107" s="76" t="n">
        <f aca="false">IFERROR(IF(OR(NOT(ISNUMBER('Price History'!I108)),NOT(ISNUMBER('Price History'!I107)),'Price History'!I107=0),"",'Price History'!I108/'Price History'!I107-1),"")</f>
        <v>-0.0123152709359606</v>
      </c>
      <c r="J107" s="76" t="n">
        <f aca="false">IFERROR(IF(OR(NOT(ISNUMBER('Price History'!J108)),NOT(ISNUMBER('Price History'!J107)),'Price History'!J107=0),"",'Price History'!J108/'Price History'!J107-1),"")</f>
        <v>0.00861090083270244</v>
      </c>
      <c r="K107" s="76" t="n">
        <f aca="false">IFERROR(IF(OR(NOT(ISNUMBER('Price History'!K108)),NOT(ISNUMBER('Price History'!K107)),'Price History'!K107=0),"",'Price History'!K108/'Price History'!K107-1),"")</f>
        <v>-0.0523641420624734</v>
      </c>
      <c r="L107" s="76" t="n">
        <f aca="false">IFERROR(IF(OR(NOT(ISNUMBER('Price History'!L108)),NOT(ISNUMBER('Price History'!L107)),'Price History'!L107=0),"",'Price History'!L108/'Price History'!L107-1),"")</f>
        <v>-0.0121986519455817</v>
      </c>
      <c r="M107" s="76" t="n">
        <f aca="false">IFERROR(IF(OR(NOT(ISNUMBER('Price History'!M108)),NOT(ISNUMBER('Price History'!M107)),'Price History'!M107=0),"",'Price History'!M108/'Price History'!M107-1),"")</f>
        <v>-0.0490245122561281</v>
      </c>
      <c r="N107" s="76" t="n">
        <f aca="false">IFERROR(IF(OR(NOT(ISNUMBER('Price History'!N108)),NOT(ISNUMBER('Price History'!N107)),'Price History'!N107=0),"",'Price History'!N108/'Price History'!N107-1),"")</f>
        <v>0.0716156490423965</v>
      </c>
      <c r="O107" s="76" t="n">
        <f aca="false">IFERROR(IF(OR(NOT(ISNUMBER('Price History'!O108)),NOT(ISNUMBER('Price History'!O107)),'Price History'!O107=0),"",'Price History'!O108/'Price History'!O107-1),"")</f>
        <v>0.029847518113983</v>
      </c>
      <c r="P107" s="76" t="str">
        <f aca="false">IFERROR(IF(OR(NOT(ISNUMBER('Price History'!P108)),NOT(ISNUMBER('Price History'!P107)),'Price History'!P107=0),"",'Price History'!P108/'Price History'!P107-1),"")</f>
        <v/>
      </c>
      <c r="Q107" s="76" t="n">
        <f aca="false">IFERROR(IF(OR(NOT(ISNUMBER('Price History'!Q108)),NOT(ISNUMBER('Price History'!Q107)),'Price History'!Q107=0),"",'Price History'!Q108/'Price History'!Q107-1),"")</f>
        <v>0.00323624595469241</v>
      </c>
      <c r="R107" s="76" t="n">
        <f aca="false">IFERROR(IF(OR(NOT(ISNUMBER('Price History'!R108)),NOT(ISNUMBER('Price History'!R107)),'Price History'!R107=0),"",'Price History'!R108/'Price History'!R107-1),"")</f>
        <v>0.00867678958785234</v>
      </c>
      <c r="S107" s="76" t="n">
        <f aca="false">IFERROR(IF(OR(NOT(ISNUMBER('Price History'!S108)),NOT(ISNUMBER('Price History'!S107)),'Price History'!S107=0),"",'Price History'!S108/'Price History'!S107-1),"")</f>
        <v>0.00102397815513267</v>
      </c>
      <c r="T107" s="76" t="n">
        <f aca="false">IFERROR(IF(OR(NOT(ISNUMBER('Price History'!T108)),NOT(ISNUMBER('Price History'!T107)),'Price History'!T107=0),"",'Price History'!T108/'Price History'!T107-1),"")</f>
        <v>0.0394926491784378</v>
      </c>
      <c r="U107" s="76" t="str">
        <f aca="false">IFERROR(IF(OR(NOT(ISNUMBER('Price History'!U108)),NOT(ISNUMBER('Price History'!U107)),'Price History'!U107=0),"",'Price History'!U108/'Price History'!U107-1),"")</f>
        <v/>
      </c>
      <c r="W107" s="77" t="n">
        <f aca="false">'Price History'!B3+('Price History'!B158-'Price History'!B3)*0.675324675324675</f>
        <v>334.189220779221</v>
      </c>
      <c r="X107" s="77" t="n">
        <f aca="false">'Price History'!C3+('Price History'!C158-'Price History'!C3)*0.675324675324675</f>
        <v>135.996103896104</v>
      </c>
      <c r="Y107" s="77" t="n">
        <f aca="false">'Price History'!D3+('Price History'!D158-'Price History'!D3)*0.675324675324675</f>
        <v>1314.96753246753</v>
      </c>
      <c r="Z107" s="77" t="n">
        <f aca="false">'Price History'!E3+('Price History'!E158-'Price History'!E3)*0.675324675324675</f>
        <v>289.831948051948</v>
      </c>
      <c r="AA107" s="77" t="n">
        <f aca="false">'Price History'!F3+('Price History'!F158-'Price History'!F3)*0.675324675324675</f>
        <v>140.924935064935</v>
      </c>
      <c r="AB107" s="77" t="n">
        <f aca="false">'Price History'!G3+('Price History'!G158-'Price History'!G3)*0.675324675324675</f>
        <v>139.014805194805</v>
      </c>
      <c r="AC107" s="77" t="n">
        <f aca="false">'Price History'!H3+('Price History'!H158-'Price History'!H3)*0.675324675324675</f>
        <v>576.711818181818</v>
      </c>
      <c r="AD107" s="77" t="n">
        <f aca="false">'Price History'!I3+('Price History'!I158-'Price History'!I3)*0.675324675324675</f>
        <v>148.834415584416</v>
      </c>
      <c r="AE107" s="77" t="n">
        <f aca="false">'Price History'!J3+('Price History'!J158-'Price History'!J3)*0.675324675324675</f>
        <v>137.759350649351</v>
      </c>
      <c r="AF107" s="77" t="n">
        <f aca="false">'Price History'!K3+('Price History'!K158-'Price History'!K3)*0.675324675324675</f>
        <v>88.1087012987013</v>
      </c>
      <c r="AG107" s="77" t="n">
        <f aca="false">'Price History'!L3+('Price History'!L158-'Price History'!L3)*0.675324675324675</f>
        <v>302.866883116883</v>
      </c>
      <c r="AH107" s="77" t="n">
        <f aca="false">'Price History'!M3+('Price History'!M158-'Price History'!M3)*0.675324675324675</f>
        <v>174.018051948052</v>
      </c>
      <c r="AI107" s="77" t="n">
        <f aca="false">'Price History'!N3+('Price History'!N158-'Price History'!N3)*0.675324675324675</f>
        <v>435.788311688312</v>
      </c>
      <c r="AJ107" s="77" t="n">
        <f aca="false">'Price History'!O3+('Price History'!O158-'Price History'!O3)*0.675324675324675</f>
        <v>111.504025974026</v>
      </c>
      <c r="AK107" s="77" t="n">
        <f aca="false">'Price History'!Q3+('Price History'!Q151-'Price History'!Q3)*0.675324675324675</f>
        <v>62.4077922077922</v>
      </c>
      <c r="AL107" s="77" t="n">
        <f aca="false">'Price History'!R3+('Price History'!R158-'Price History'!R3)*0.675324675324675</f>
        <v>54.8636363636364</v>
      </c>
      <c r="AM107" s="77" t="n">
        <f aca="false">'Price History'!S3+('Price History'!S158-'Price History'!S3)*0.675324675324675</f>
        <v>116.138441558442</v>
      </c>
      <c r="AN107" s="77" t="n">
        <f aca="false">'Price History'!T3+('Price History'!T158-'Price History'!T3)*0.675324675324675</f>
        <v>42.3276623376623</v>
      </c>
    </row>
    <row r="108" customFormat="false" ht="15" hidden="false" customHeight="true" outlineLevel="0" collapsed="false">
      <c r="A108" s="49" t="n">
        <f aca="false">IF('Price History'!A109="","",'Price History'!A109)</f>
        <v>45891</v>
      </c>
      <c r="B108" s="76" t="n">
        <f aca="false">IFERROR(IF(OR(NOT(ISNUMBER('Price History'!B109)),NOT(ISNUMBER('Price History'!B108)),'Price History'!B108=0),"",'Price History'!B109/'Price History'!B108-1),"")</f>
        <v>0.0204029871776805</v>
      </c>
      <c r="C108" s="76" t="n">
        <f aca="false">IFERROR(IF(OR(NOT(ISNUMBER('Price History'!C109)),NOT(ISNUMBER('Price History'!C108)),'Price History'!C108=0),"",'Price History'!C109/'Price History'!C108-1),"")</f>
        <v>-0.029497450837582</v>
      </c>
      <c r="D108" s="76" t="n">
        <f aca="false">IFERROR(IF(OR(NOT(ISNUMBER('Price History'!D109)),NOT(ISNUMBER('Price History'!D108)),'Price History'!D108=0),"",'Price History'!D109/'Price History'!D108-1),"")</f>
        <v>0.0171526355502858</v>
      </c>
      <c r="E108" s="76" t="n">
        <f aca="false">IFERROR(IF(OR(NOT(ISNUMBER('Price History'!E109)),NOT(ISNUMBER('Price History'!E108)),'Price History'!E108=0),"",'Price History'!E109/'Price History'!E108-1),"")</f>
        <v>-0.0402820395638832</v>
      </c>
      <c r="F108" s="76" t="n">
        <f aca="false">IFERROR(IF(OR(NOT(ISNUMBER('Price History'!F109)),NOT(ISNUMBER('Price History'!F108)),'Price History'!F108=0),"",'Price History'!F109/'Price History'!F108-1),"")</f>
        <v>-0.0171994765376706</v>
      </c>
      <c r="G108" s="76" t="n">
        <f aca="false">IFERROR(IF(OR(NOT(ISNUMBER('Price History'!G109)),NOT(ISNUMBER('Price History'!G108)),'Price History'!G108=0),"",'Price History'!G109/'Price History'!G108-1),"")</f>
        <v>-0.00525774374214194</v>
      </c>
      <c r="H108" s="76" t="n">
        <f aca="false">IFERROR(IF(OR(NOT(ISNUMBER('Price History'!H109)),NOT(ISNUMBER('Price History'!H108)),'Price History'!H108=0),"",'Price History'!H109/'Price History'!H108-1),"")</f>
        <v>-0.0263919913957144</v>
      </c>
      <c r="I108" s="76" t="n">
        <f aca="false">IFERROR(IF(OR(NOT(ISNUMBER('Price History'!I109)),NOT(ISNUMBER('Price History'!I108)),'Price History'!I108=0),"",'Price History'!I109/'Price History'!I108-1),"")</f>
        <v>-0.0136325852036574</v>
      </c>
      <c r="J108" s="76" t="n">
        <f aca="false">IFERROR(IF(OR(NOT(ISNUMBER('Price History'!J109)),NOT(ISNUMBER('Price History'!J108)),'Price History'!J108=0),"",'Price History'!J109/'Price History'!J108-1),"")</f>
        <v>0.0533821183975982</v>
      </c>
      <c r="K108" s="76" t="n">
        <f aca="false">IFERROR(IF(OR(NOT(ISNUMBER('Price History'!K109)),NOT(ISNUMBER('Price History'!K108)),'Price History'!K108=0),"",'Price History'!K109/'Price History'!K108-1),"")</f>
        <v>-0.104024383360614</v>
      </c>
      <c r="L108" s="76" t="n">
        <f aca="false">IFERROR(IF(OR(NOT(ISNUMBER('Price History'!L109)),NOT(ISNUMBER('Price History'!L108)),'Price History'!L108=0),"",'Price History'!L109/'Price History'!L108-1),"")</f>
        <v>-0.0246567314132619</v>
      </c>
      <c r="M108" s="76" t="n">
        <f aca="false">IFERROR(IF(OR(NOT(ISNUMBER('Price History'!M109)),NOT(ISNUMBER('Price History'!M108)),'Price History'!M108=0),"",'Price History'!M109/'Price History'!M108-1),"")</f>
        <v>-0.0533553768693169</v>
      </c>
      <c r="N108" s="76" t="n">
        <f aca="false">IFERROR(IF(OR(NOT(ISNUMBER('Price History'!N109)),NOT(ISNUMBER('Price History'!N108)),'Price History'!N108=0),"",'Price History'!N109/'Price History'!N108-1),"")</f>
        <v>0.00593192291046107</v>
      </c>
      <c r="O108" s="76" t="n">
        <f aca="false">IFERROR(IF(OR(NOT(ISNUMBER('Price History'!O109)),NOT(ISNUMBER('Price History'!O108)),'Price History'!O108=0),"",'Price History'!O109/'Price History'!O108-1),"")</f>
        <v>0.0397983828625432</v>
      </c>
      <c r="P108" s="76" t="str">
        <f aca="false">IFERROR(IF(OR(NOT(ISNUMBER('Price History'!P109)),NOT(ISNUMBER('Price History'!P108)),'Price History'!P108=0),"",'Price History'!P109/'Price History'!P108-1),"")</f>
        <v/>
      </c>
      <c r="Q108" s="76" t="n">
        <f aca="false">IFERROR(IF(OR(NOT(ISNUMBER('Price History'!Q109)),NOT(ISNUMBER('Price History'!Q108)),'Price History'!Q108=0),"",'Price History'!Q109/'Price History'!Q108-1),"")</f>
        <v>-0.0125960061443932</v>
      </c>
      <c r="R108" s="76" t="n">
        <f aca="false">IFERROR(IF(OR(NOT(ISNUMBER('Price History'!R109)),NOT(ISNUMBER('Price History'!R108)),'Price History'!R108=0),"",'Price History'!R109/'Price History'!R108-1),"")</f>
        <v>-0.00232974910394257</v>
      </c>
      <c r="S108" s="76" t="n">
        <f aca="false">IFERROR(IF(OR(NOT(ISNUMBER('Price History'!S109)),NOT(ISNUMBER('Price History'!S108)),'Price History'!S108=0),"",'Price History'!S109/'Price History'!S108-1),"")</f>
        <v>-0.00681953797630208</v>
      </c>
      <c r="T108" s="76" t="n">
        <f aca="false">IFERROR(IF(OR(NOT(ISNUMBER('Price History'!T109)),NOT(ISNUMBER('Price History'!T108)),'Price History'!T108=0),"",'Price History'!T109/'Price History'!T108-1),"")</f>
        <v>0.0257903494176373</v>
      </c>
      <c r="U108" s="76" t="str">
        <f aca="false">IFERROR(IF(OR(NOT(ISNUMBER('Price History'!U109)),NOT(ISNUMBER('Price History'!U108)),'Price History'!U108=0),"",'Price History'!U109/'Price History'!U108-1),"")</f>
        <v/>
      </c>
      <c r="W108" s="77" t="n">
        <f aca="false">'Price History'!B3+('Price History'!B158-'Price History'!B3)*0.681818181818182</f>
        <v>332.513636363636</v>
      </c>
      <c r="X108" s="77" t="n">
        <f aca="false">'Price History'!C3+('Price History'!C158-'Price History'!C3)*0.681818181818182</f>
        <v>136.883181818182</v>
      </c>
      <c r="Y108" s="77" t="n">
        <f aca="false">'Price History'!D3+('Price History'!D158-'Price History'!D3)*0.681818181818182</f>
        <v>1321.24818181818</v>
      </c>
      <c r="Z108" s="77" t="n">
        <f aca="false">'Price History'!E3+('Price History'!E158-'Price History'!E3)*0.681818181818182</f>
        <v>291.820909090909</v>
      </c>
      <c r="AA108" s="77" t="n">
        <f aca="false">'Price History'!F3+('Price History'!F158-'Price History'!F3)*0.681818181818182</f>
        <v>141.923636363636</v>
      </c>
      <c r="AB108" s="77" t="n">
        <f aca="false">'Price History'!G3+('Price History'!G158-'Price History'!G3)*0.681818181818182</f>
        <v>139.890909090909</v>
      </c>
      <c r="AC108" s="77" t="n">
        <f aca="false">'Price History'!H3+('Price History'!H158-'Price History'!H3)*0.681818181818182</f>
        <v>581.638181818182</v>
      </c>
      <c r="AD108" s="77" t="n">
        <f aca="false">'Price History'!I3+('Price History'!I158-'Price History'!I3)*0.681818181818182</f>
        <v>149.872727272727</v>
      </c>
      <c r="AE108" s="77" t="n">
        <f aca="false">'Price History'!J3+('Price History'!J158-'Price History'!J3)*0.681818181818182</f>
        <v>137.896363636364</v>
      </c>
      <c r="AF108" s="77" t="n">
        <f aca="false">'Price History'!K3+('Price History'!K158-'Price History'!K3)*0.681818181818182</f>
        <v>88.8077272727273</v>
      </c>
      <c r="AG108" s="77" t="n">
        <f aca="false">'Price History'!L3+('Price History'!L158-'Price History'!L3)*0.681818181818182</f>
        <v>304.894545454546</v>
      </c>
      <c r="AH108" s="77" t="n">
        <f aca="false">'Price History'!M3+('Price History'!M158-'Price History'!M3)*0.681818181818182</f>
        <v>175.369090909091</v>
      </c>
      <c r="AI108" s="77" t="n">
        <f aca="false">'Price History'!N3+('Price History'!N158-'Price History'!N3)*0.681818181818182</f>
        <v>436.614545454545</v>
      </c>
      <c r="AJ108" s="77" t="n">
        <f aca="false">'Price History'!O3+('Price History'!O158-'Price History'!O3)*0.681818181818182</f>
        <v>111.779545454545</v>
      </c>
      <c r="AK108" s="77" t="n">
        <f aca="false">'Price History'!Q3+('Price History'!Q151-'Price History'!Q3)*0.681818181818182</f>
        <v>62.5286363636364</v>
      </c>
      <c r="AL108" s="77" t="n">
        <f aca="false">'Price History'!R3+('Price History'!R158-'Price History'!R3)*0.681818181818182</f>
        <v>54.9313636363636</v>
      </c>
      <c r="AM108" s="77" t="n">
        <f aca="false">'Price History'!S3+('Price History'!S158-'Price History'!S3)*0.681818181818182</f>
        <v>116.692272727273</v>
      </c>
      <c r="AN108" s="77" t="n">
        <f aca="false">'Price History'!T3+('Price History'!T158-'Price History'!T3)*0.681818181818182</f>
        <v>42.4759090909091</v>
      </c>
    </row>
    <row r="109" customFormat="false" ht="15" hidden="false" customHeight="true" outlineLevel="0" collapsed="false">
      <c r="A109" s="49" t="n">
        <f aca="false">IF('Price History'!A110="","",'Price History'!A110)</f>
        <v>45898</v>
      </c>
      <c r="B109" s="76" t="n">
        <f aca="false">IFERROR(IF(OR(NOT(ISNUMBER('Price History'!B110)),NOT(ISNUMBER('Price History'!B109)),'Price History'!B109=0),"",'Price History'!B110/'Price History'!B109-1),"")</f>
        <v>-0.0148858018724626</v>
      </c>
      <c r="C109" s="76" t="n">
        <f aca="false">IFERROR(IF(OR(NOT(ISNUMBER('Price History'!C110)),NOT(ISNUMBER('Price History'!C109)),'Price History'!C109=0),"",'Price History'!C110/'Price History'!C109-1),"")</f>
        <v>0.024765478424015</v>
      </c>
      <c r="D109" s="76" t="n">
        <f aca="false">IFERROR(IF(OR(NOT(ISNUMBER('Price History'!D110)),NOT(ISNUMBER('Price History'!D109)),'Price History'!D109=0),"",'Price History'!D110/'Price History'!D109-1),"")</f>
        <v>-0.0162540237650518</v>
      </c>
      <c r="E109" s="76" t="n">
        <f aca="false">IFERROR(IF(OR(NOT(ISNUMBER('Price History'!E110)),NOT(ISNUMBER('Price History'!E109)),'Price History'!E109=0),"",'Price History'!E110/'Price History'!E109-1),"")</f>
        <v>0.0115306122448979</v>
      </c>
      <c r="F109" s="76" t="n">
        <f aca="false">IFERROR(IF(OR(NOT(ISNUMBER('Price History'!F110)),NOT(ISNUMBER('Price History'!F109)),'Price History'!F109=0),"",'Price History'!F110/'Price History'!F109-1),"")</f>
        <v>0.00751379113562867</v>
      </c>
      <c r="G109" s="76" t="n">
        <f aca="false">IFERROR(IF(OR(NOT(ISNUMBER('Price History'!G110)),NOT(ISNUMBER('Price History'!G109)),'Price History'!G109=0),"",'Price History'!G110/'Price History'!G109-1),"")</f>
        <v>0.00195334941974035</v>
      </c>
      <c r="H109" s="76" t="n">
        <f aca="false">IFERROR(IF(OR(NOT(ISNUMBER('Price History'!H110)),NOT(ISNUMBER('Price History'!H109)),'Price History'!H109=0),"",'Price History'!H110/'Price History'!H109-1),"")</f>
        <v>0.0113018354860639</v>
      </c>
      <c r="I109" s="76" t="n">
        <f aca="false">IFERROR(IF(OR(NOT(ISNUMBER('Price History'!I110)),NOT(ISNUMBER('Price History'!I109)),'Price History'!I109=0),"",'Price History'!I110/'Price History'!I109-1),"")</f>
        <v>-0.0214056969492669</v>
      </c>
      <c r="J109" s="76" t="n">
        <f aca="false">IFERROR(IF(OR(NOT(ISNUMBER('Price History'!J110)),NOT(ISNUMBER('Price History'!J109)),'Price History'!J109=0),"",'Price History'!J110/'Price History'!J109-1),"")</f>
        <v>0.0133594584966157</v>
      </c>
      <c r="K109" s="76" t="n">
        <f aca="false">IFERROR(IF(OR(NOT(ISNUMBER('Price History'!K110)),NOT(ISNUMBER('Price History'!K109)),'Price History'!K109=0),"",'Price History'!K110/'Price History'!K109-1),"")</f>
        <v>-0.0127882071311579</v>
      </c>
      <c r="L109" s="76" t="n">
        <f aca="false">IFERROR(IF(OR(NOT(ISNUMBER('Price History'!L110)),NOT(ISNUMBER('Price History'!L109)),'Price History'!L109=0),"",'Price History'!L110/'Price History'!L109-1),"")</f>
        <v>-0.00909910296579253</v>
      </c>
      <c r="M109" s="76" t="n">
        <f aca="false">IFERROR(IF(OR(NOT(ISNUMBER('Price History'!M110)),NOT(ISNUMBER('Price History'!M109)),'Price History'!M109=0),"",'Price History'!M110/'Price History'!M109-1),"")</f>
        <v>0.0125426688894181</v>
      </c>
      <c r="N109" s="76" t="n">
        <f aca="false">IFERROR(IF(OR(NOT(ISNUMBER('Price History'!N110)),NOT(ISNUMBER('Price History'!N109)),'Price History'!N109=0),"",'Price History'!N110/'Price History'!N109-1),"")</f>
        <v>-0.0103765944523183</v>
      </c>
      <c r="O109" s="76" t="n">
        <f aca="false">IFERROR(IF(OR(NOT(ISNUMBER('Price History'!O110)),NOT(ISNUMBER('Price History'!O109)),'Price History'!O109=0),"",'Price History'!O110/'Price History'!O109-1),"")</f>
        <v>0.00838214502120782</v>
      </c>
      <c r="P109" s="76" t="str">
        <f aca="false">IFERROR(IF(OR(NOT(ISNUMBER('Price History'!P110)),NOT(ISNUMBER('Price History'!P109)),'Price History'!P109=0),"",'Price History'!P110/'Price History'!P109-1),"")</f>
        <v/>
      </c>
      <c r="Q109" s="76" t="n">
        <f aca="false">IFERROR(IF(OR(NOT(ISNUMBER('Price History'!Q110)),NOT(ISNUMBER('Price History'!Q109)),'Price History'!Q109=0),"",'Price History'!Q110/'Price History'!Q109-1),"")</f>
        <v>0.00980087118855</v>
      </c>
      <c r="R109" s="76" t="n">
        <f aca="false">IFERROR(IF(OR(NOT(ISNUMBER('Price History'!R110)),NOT(ISNUMBER('Price History'!R109)),'Price History'!R109=0),"",'Price History'!R110/'Price History'!R109-1),"")</f>
        <v>0.000179629962277605</v>
      </c>
      <c r="S109" s="76" t="n">
        <f aca="false">IFERROR(IF(OR(NOT(ISNUMBER('Price History'!S110)),NOT(ISNUMBER('Price History'!S109)),'Price History'!S109=0),"",'Price History'!S110/'Price History'!S109-1),"")</f>
        <v>-0.000257488627585678</v>
      </c>
      <c r="T109" s="76" t="n">
        <f aca="false">IFERROR(IF(OR(NOT(ISNUMBER('Price History'!T110)),NOT(ISNUMBER('Price History'!T109)),'Price History'!T109=0),"",'Price History'!T110/'Price History'!T109-1),"")</f>
        <v>0.00919167342524996</v>
      </c>
      <c r="U109" s="76" t="str">
        <f aca="false">IFERROR(IF(OR(NOT(ISNUMBER('Price History'!U110)),NOT(ISNUMBER('Price History'!U109)),'Price History'!U109=0),"",'Price History'!U110/'Price History'!U109-1),"")</f>
        <v/>
      </c>
      <c r="W109" s="77" t="n">
        <f aca="false">'Price History'!B3+('Price History'!B158-'Price History'!B3)*0.688311688311688</f>
        <v>330.838051948052</v>
      </c>
      <c r="X109" s="77" t="n">
        <f aca="false">'Price History'!C3+('Price History'!C158-'Price History'!C3)*0.688311688311688</f>
        <v>137.77025974026</v>
      </c>
      <c r="Y109" s="77" t="n">
        <f aca="false">'Price History'!D3+('Price History'!D158-'Price History'!D3)*0.688311688311688</f>
        <v>1327.52883116883</v>
      </c>
      <c r="Z109" s="77" t="n">
        <f aca="false">'Price History'!E3+('Price History'!E158-'Price History'!E3)*0.688311688311688</f>
        <v>293.80987012987</v>
      </c>
      <c r="AA109" s="77" t="n">
        <f aca="false">'Price History'!F3+('Price History'!F158-'Price History'!F3)*0.688311688311688</f>
        <v>142.922337662338</v>
      </c>
      <c r="AB109" s="77" t="n">
        <f aca="false">'Price History'!G3+('Price History'!G158-'Price History'!G3)*0.688311688311688</f>
        <v>140.767012987013</v>
      </c>
      <c r="AC109" s="77" t="n">
        <f aca="false">'Price History'!H3+('Price History'!H158-'Price History'!H3)*0.688311688311688</f>
        <v>586.564545454545</v>
      </c>
      <c r="AD109" s="77" t="n">
        <f aca="false">'Price History'!I3+('Price History'!I158-'Price History'!I3)*0.688311688311688</f>
        <v>150.911038961039</v>
      </c>
      <c r="AE109" s="77" t="n">
        <f aca="false">'Price History'!J3+('Price History'!J158-'Price History'!J3)*0.688311688311688</f>
        <v>138.033376623377</v>
      </c>
      <c r="AF109" s="77" t="n">
        <f aca="false">'Price History'!K3+('Price History'!K158-'Price History'!K3)*0.688311688311688</f>
        <v>89.5067532467532</v>
      </c>
      <c r="AG109" s="77" t="n">
        <f aca="false">'Price History'!L3+('Price History'!L158-'Price History'!L3)*0.688311688311688</f>
        <v>306.922207792208</v>
      </c>
      <c r="AH109" s="77" t="n">
        <f aca="false">'Price History'!M3+('Price History'!M158-'Price History'!M3)*0.688311688311688</f>
        <v>176.72012987013</v>
      </c>
      <c r="AI109" s="77" t="n">
        <f aca="false">'Price History'!N3+('Price History'!N158-'Price History'!N3)*0.688311688311688</f>
        <v>437.440779220779</v>
      </c>
      <c r="AJ109" s="77" t="n">
        <f aca="false">'Price History'!O3+('Price History'!O158-'Price History'!O3)*0.688311688311688</f>
        <v>112.055064935065</v>
      </c>
      <c r="AK109" s="77" t="n">
        <f aca="false">'Price History'!Q3+('Price History'!Q151-'Price History'!Q3)*0.688311688311688</f>
        <v>62.6494805194805</v>
      </c>
      <c r="AL109" s="77" t="n">
        <f aca="false">'Price History'!R3+('Price History'!R158-'Price History'!R3)*0.688311688311688</f>
        <v>54.9990909090909</v>
      </c>
      <c r="AM109" s="77" t="n">
        <f aca="false">'Price History'!S3+('Price History'!S158-'Price History'!S3)*0.688311688311688</f>
        <v>117.246103896104</v>
      </c>
      <c r="AN109" s="77" t="n">
        <f aca="false">'Price History'!T3+('Price History'!T158-'Price History'!T3)*0.688311688311688</f>
        <v>42.6241558441558</v>
      </c>
    </row>
    <row r="110" customFormat="false" ht="15" hidden="false" customHeight="true" outlineLevel="0" collapsed="false">
      <c r="A110" s="49" t="n">
        <f aca="false">IF('Price History'!A111="","",'Price History'!A111)</f>
        <v>45905</v>
      </c>
      <c r="B110" s="76" t="n">
        <f aca="false">IFERROR(IF(OR(NOT(ISNUMBER('Price History'!B111)),NOT(ISNUMBER('Price History'!B110)),'Price History'!B110=0),"",'Price History'!B111/'Price History'!B110-1),"")</f>
        <v>-0.0216708718811325</v>
      </c>
      <c r="C110" s="76" t="n">
        <f aca="false">IFERROR(IF(OR(NOT(ISNUMBER('Price History'!C111)),NOT(ISNUMBER('Price History'!C110)),'Price History'!C110=0),"",'Price History'!C111/'Price History'!C110-1),"")</f>
        <v>0.0461369461735626</v>
      </c>
      <c r="D110" s="76" t="n">
        <f aca="false">IFERROR(IF(OR(NOT(ISNUMBER('Price History'!D111)),NOT(ISNUMBER('Price History'!D110)),'Price History'!D110=0),"",'Price History'!D111/'Price History'!D110-1),"")</f>
        <v>0.0526244916646468</v>
      </c>
      <c r="E110" s="76" t="n">
        <f aca="false">IFERROR(IF(OR(NOT(ISNUMBER('Price History'!E111)),NOT(ISNUMBER('Price History'!E110)),'Price History'!E110=0),"",'Price History'!E111/'Price History'!E110-1),"")</f>
        <v>0.126097044285282</v>
      </c>
      <c r="F110" s="76" t="n">
        <f aca="false">IFERROR(IF(OR(NOT(ISNUMBER('Price History'!F111)),NOT(ISNUMBER('Price History'!F110)),'Price History'!F110=0),"",'Price History'!F111/'Price History'!F110-1),"")</f>
        <v>-0.0143490984612481</v>
      </c>
      <c r="G110" s="76" t="n">
        <f aca="false">IFERROR(IF(OR(NOT(ISNUMBER('Price History'!G111)),NOT(ISNUMBER('Price History'!G110)),'Price History'!G110=0),"",'Price History'!G111/'Price History'!G110-1),"")</f>
        <v>0.0379587155963304</v>
      </c>
      <c r="H110" s="76" t="n">
        <f aca="false">IFERROR(IF(OR(NOT(ISNUMBER('Price History'!H111)),NOT(ISNUMBER('Price History'!H110)),'Price History'!H110=0),"",'Price History'!H111/'Price History'!H110-1),"")</f>
        <v>0.103856818754726</v>
      </c>
      <c r="I110" s="76" t="n">
        <f aca="false">IFERROR(IF(OR(NOT(ISNUMBER('Price History'!I111)),NOT(ISNUMBER('Price History'!I110)),'Price History'!I110=0),"",'Price History'!I111/'Price History'!I110-1),"")</f>
        <v>-0.0411069009071076</v>
      </c>
      <c r="J110" s="76" t="n">
        <f aca="false">IFERROR(IF(OR(NOT(ISNUMBER('Price History'!J111)),NOT(ISNUMBER('Price History'!J110)),'Price History'!J110=0),"",'Price History'!J111/'Price History'!J110-1),"")</f>
        <v>-0.00114255580945677</v>
      </c>
      <c r="K110" s="76" t="n">
        <f aca="false">IFERROR(IF(OR(NOT(ISNUMBER('Price History'!K111)),NOT(ISNUMBER('Price History'!K110)),'Price History'!K110=0),"",'Price History'!K111/'Price History'!K110-1),"")</f>
        <v>-0.0229723693446493</v>
      </c>
      <c r="L110" s="76" t="n">
        <f aca="false">IFERROR(IF(OR(NOT(ISNUMBER('Price History'!L111)),NOT(ISNUMBER('Price History'!L110)),'Price History'!L110=0),"",'Price History'!L111/'Price History'!L110-1),"")</f>
        <v>0.0543162818902412</v>
      </c>
      <c r="M110" s="76" t="n">
        <f aca="false">IFERROR(IF(OR(NOT(ISNUMBER('Price History'!M111)),NOT(ISNUMBER('Price History'!M110)),'Price History'!M110=0),"",'Price History'!M111/'Price History'!M110-1),"")</f>
        <v>-0.0278322226577813</v>
      </c>
      <c r="N110" s="76" t="n">
        <f aca="false">IFERROR(IF(OR(NOT(ISNUMBER('Price History'!N111)),NOT(ISNUMBER('Price History'!N110)),'Price History'!N110=0),"",'Price History'!N111/'Price History'!N110-1),"")</f>
        <v>0.0130428111094063</v>
      </c>
      <c r="O110" s="76" t="n">
        <f aca="false">IFERROR(IF(OR(NOT(ISNUMBER('Price History'!O111)),NOT(ISNUMBER('Price History'!O110)),'Price History'!O110=0),"",'Price History'!O111/'Price History'!O110-1),"")</f>
        <v>0.0109163745618428</v>
      </c>
      <c r="P110" s="76" t="str">
        <f aca="false">IFERROR(IF(OR(NOT(ISNUMBER('Price History'!P111)),NOT(ISNUMBER('Price History'!P110)),'Price History'!P110=0),"",'Price History'!P111/'Price History'!P110-1),"")</f>
        <v/>
      </c>
      <c r="Q110" s="76" t="n">
        <f aca="false">IFERROR(IF(OR(NOT(ISNUMBER('Price History'!Q111)),NOT(ISNUMBER('Price History'!Q110)),'Price History'!Q110=0),"",'Price History'!Q111/'Price History'!Q110-1),"")</f>
        <v>0.0100138653520259</v>
      </c>
      <c r="R110" s="76" t="n">
        <f aca="false">IFERROR(IF(OR(NOT(ISNUMBER('Price History'!R111)),NOT(ISNUMBER('Price History'!R110)),'Price History'!R110=0),"",'Price History'!R111/'Price History'!R110-1),"")</f>
        <v>0.00179597701149437</v>
      </c>
      <c r="S110" s="76" t="n">
        <f aca="false">IFERROR(IF(OR(NOT(ISNUMBER('Price History'!S111)),NOT(ISNUMBER('Price History'!S110)),'Price History'!S110=0),"",'Price History'!S111/'Price History'!S110-1),"")</f>
        <v>0.0048935439560438</v>
      </c>
      <c r="T110" s="76" t="n">
        <f aca="false">IFERROR(IF(OR(NOT(ISNUMBER('Price History'!T111)),NOT(ISNUMBER('Price History'!T110)),'Price History'!T110=0),"",'Price History'!T111/'Price History'!T110-1),"")</f>
        <v>0.00750066970265206</v>
      </c>
      <c r="U110" s="76" t="str">
        <f aca="false">IFERROR(IF(OR(NOT(ISNUMBER('Price History'!U111)),NOT(ISNUMBER('Price History'!U110)),'Price History'!U110=0),"",'Price History'!U111/'Price History'!U110-1),"")</f>
        <v/>
      </c>
      <c r="W110" s="77" t="n">
        <f aca="false">'Price History'!B3+('Price History'!B158-'Price History'!B3)*0.694805194805195</f>
        <v>329.162467532468</v>
      </c>
      <c r="X110" s="77" t="n">
        <f aca="false">'Price History'!C3+('Price History'!C158-'Price History'!C3)*0.694805194805195</f>
        <v>138.657337662338</v>
      </c>
      <c r="Y110" s="77" t="n">
        <f aca="false">'Price History'!D3+('Price History'!D158-'Price History'!D3)*0.694805194805195</f>
        <v>1333.80948051948</v>
      </c>
      <c r="Z110" s="77" t="n">
        <f aca="false">'Price History'!E3+('Price History'!E158-'Price History'!E3)*0.694805194805195</f>
        <v>295.798831168831</v>
      </c>
      <c r="AA110" s="77" t="n">
        <f aca="false">'Price History'!F3+('Price History'!F158-'Price History'!F3)*0.694805194805195</f>
        <v>143.921038961039</v>
      </c>
      <c r="AB110" s="77" t="n">
        <f aca="false">'Price History'!G3+('Price History'!G158-'Price History'!G3)*0.694805194805195</f>
        <v>141.643116883117</v>
      </c>
      <c r="AC110" s="77" t="n">
        <f aca="false">'Price History'!H3+('Price History'!H158-'Price History'!H3)*0.694805194805195</f>
        <v>591.490909090909</v>
      </c>
      <c r="AD110" s="77" t="n">
        <f aca="false">'Price History'!I3+('Price History'!I158-'Price History'!I3)*0.694805194805195</f>
        <v>151.949350649351</v>
      </c>
      <c r="AE110" s="77" t="n">
        <f aca="false">'Price History'!J3+('Price History'!J158-'Price History'!J3)*0.694805194805195</f>
        <v>138.17038961039</v>
      </c>
      <c r="AF110" s="77" t="n">
        <f aca="false">'Price History'!K3+('Price History'!K158-'Price History'!K3)*0.694805194805195</f>
        <v>90.2057792207792</v>
      </c>
      <c r="AG110" s="77" t="n">
        <f aca="false">'Price History'!L3+('Price History'!L158-'Price History'!L3)*0.694805194805195</f>
        <v>308.94987012987</v>
      </c>
      <c r="AH110" s="77" t="n">
        <f aca="false">'Price History'!M3+('Price History'!M158-'Price History'!M3)*0.694805194805195</f>
        <v>178.071168831169</v>
      </c>
      <c r="AI110" s="77" t="n">
        <f aca="false">'Price History'!N3+('Price History'!N158-'Price History'!N3)*0.694805194805195</f>
        <v>438.267012987013</v>
      </c>
      <c r="AJ110" s="77" t="n">
        <f aca="false">'Price History'!O3+('Price History'!O158-'Price History'!O3)*0.694805194805195</f>
        <v>112.330584415584</v>
      </c>
      <c r="AK110" s="77" t="n">
        <f aca="false">'Price History'!Q3+('Price History'!Q151-'Price History'!Q3)*0.694805194805195</f>
        <v>62.7703246753247</v>
      </c>
      <c r="AL110" s="77" t="n">
        <f aca="false">'Price History'!R3+('Price History'!R158-'Price History'!R3)*0.694805194805195</f>
        <v>55.0668181818182</v>
      </c>
      <c r="AM110" s="77" t="n">
        <f aca="false">'Price History'!S3+('Price History'!S158-'Price History'!S3)*0.694805194805195</f>
        <v>117.799935064935</v>
      </c>
      <c r="AN110" s="77" t="n">
        <f aca="false">'Price History'!T3+('Price History'!T158-'Price History'!T3)*0.694805194805195</f>
        <v>42.7724025974026</v>
      </c>
    </row>
    <row r="111" customFormat="false" ht="15" hidden="false" customHeight="true" outlineLevel="0" collapsed="false">
      <c r="A111" s="49" t="n">
        <f aca="false">IF('Price History'!A112="","",'Price History'!A112)</f>
        <v>45912</v>
      </c>
      <c r="B111" s="76" t="n">
        <f aca="false">IFERROR(IF(OR(NOT(ISNUMBER('Price History'!B112)),NOT(ISNUMBER('Price History'!B111)),'Price History'!B111=0),"",'Price History'!B112/'Price History'!B111-1),"")</f>
        <v>0.00111757457661121</v>
      </c>
      <c r="C111" s="76" t="n">
        <f aca="false">IFERROR(IF(OR(NOT(ISNUMBER('Price History'!C112)),NOT(ISNUMBER('Price History'!C111)),'Price History'!C111=0),"",'Price History'!C112/'Price History'!C111-1),"")</f>
        <v>-0.0242212110605531</v>
      </c>
      <c r="D111" s="76" t="n">
        <f aca="false">IFERROR(IF(OR(NOT(ISNUMBER('Price History'!D112)),NOT(ISNUMBER('Price History'!D111)),'Price History'!D111=0),"",'Price History'!D112/'Price History'!D111-1),"")</f>
        <v>0.0411538953562747</v>
      </c>
      <c r="E111" s="76" t="n">
        <f aca="false">IFERROR(IF(OR(NOT(ISNUMBER('Price History'!E112)),NOT(ISNUMBER('Price History'!E111)),'Price History'!E111=0),"",'Price History'!E112/'Price History'!E111-1),"")</f>
        <v>0.0745916569619876</v>
      </c>
      <c r="F111" s="76" t="n">
        <f aca="false">IFERROR(IF(OR(NOT(ISNUMBER('Price History'!F112)),NOT(ISNUMBER('Price History'!F111)),'Price History'!F111=0),"",'Price History'!F112/'Price History'!F111-1),"")</f>
        <v>0.0442486351882003</v>
      </c>
      <c r="G111" s="76" t="n">
        <f aca="false">IFERROR(IF(OR(NOT(ISNUMBER('Price History'!G112)),NOT(ISNUMBER('Price History'!G111)),'Price History'!G111=0),"",'Price History'!G112/'Price History'!G111-1),"")</f>
        <v>0.0650756822450558</v>
      </c>
      <c r="H111" s="76" t="n">
        <f aca="false">IFERROR(IF(OR(NOT(ISNUMBER('Price History'!H112)),NOT(ISNUMBER('Price History'!H111)),'Price History'!H111=0),"",'Price History'!H112/'Price History'!H111-1),"")</f>
        <v>0.196848595569765</v>
      </c>
      <c r="I111" s="76" t="n">
        <f aca="false">IFERROR(IF(OR(NOT(ISNUMBER('Price History'!I112)),NOT(ISNUMBER('Price History'!I111)),'Price History'!I111=0),"",'Price History'!I112/'Price History'!I111-1),"")</f>
        <v>0.0646629146210034</v>
      </c>
      <c r="J111" s="76" t="n">
        <f aca="false">IFERROR(IF(OR(NOT(ISNUMBER('Price History'!J112)),NOT(ISNUMBER('Price History'!J111)),'Price History'!J111=0),"",'Price History'!J112/'Price History'!J111-1),"")</f>
        <v>0.014958205015398</v>
      </c>
      <c r="K111" s="76" t="n">
        <f aca="false">IFERROR(IF(OR(NOT(ISNUMBER('Price History'!K112)),NOT(ISNUMBER('Price History'!K111)),'Price History'!K111=0),"",'Price History'!K112/'Price History'!K111-1),"")</f>
        <v>0.119652537391418</v>
      </c>
      <c r="L111" s="76" t="n">
        <f aca="false">IFERROR(IF(OR(NOT(ISNUMBER('Price History'!L112)),NOT(ISNUMBER('Price History'!L111)),'Price History'!L111=0),"",'Price History'!L112/'Price History'!L111-1),"")</f>
        <v>0.0654040507785219</v>
      </c>
      <c r="M111" s="76" t="n">
        <f aca="false">IFERROR(IF(OR(NOT(ISNUMBER('Price History'!M112)),NOT(ISNUMBER('Price History'!M111)),'Price History'!M111=0),"",'Price History'!M112/'Price History'!M111-1),"")</f>
        <v>0.0874193548387097</v>
      </c>
      <c r="N111" s="76" t="n">
        <f aca="false">IFERROR(IF(OR(NOT(ISNUMBER('Price History'!N112)),NOT(ISNUMBER('Price History'!N111)),'Price History'!N111=0),"",'Price History'!N112/'Price History'!N111-1),"")</f>
        <v>-0.00401393517116033</v>
      </c>
      <c r="O111" s="76" t="n">
        <f aca="false">IFERROR(IF(OR(NOT(ISNUMBER('Price History'!O112)),NOT(ISNUMBER('Price History'!O111)),'Price History'!O111=0),"",'Price History'!O112/'Price History'!O111-1),"")</f>
        <v>-0.00792550029720618</v>
      </c>
      <c r="P111" s="76" t="str">
        <f aca="false">IFERROR(IF(OR(NOT(ISNUMBER('Price History'!P112)),NOT(ISNUMBER('Price History'!P111)),'Price History'!P111=0),"",'Price History'!P112/'Price History'!P111-1),"")</f>
        <v/>
      </c>
      <c r="Q111" s="76" t="n">
        <f aca="false">IFERROR(IF(OR(NOT(ISNUMBER('Price History'!Q112)),NOT(ISNUMBER('Price History'!Q111)),'Price History'!Q111=0),"",'Price History'!Q112/'Price History'!Q111-1),"")</f>
        <v>0.000610128126906639</v>
      </c>
      <c r="R111" s="76" t="n">
        <f aca="false">IFERROR(IF(OR(NOT(ISNUMBER('Price History'!R112)),NOT(ISNUMBER('Price History'!R111)),'Price History'!R111=0),"",'Price History'!R112/'Price History'!R111-1),"")</f>
        <v>0.0136249551810685</v>
      </c>
      <c r="S111" s="76" t="n">
        <f aca="false">IFERROR(IF(OR(NOT(ISNUMBER('Price History'!S112)),NOT(ISNUMBER('Price History'!S111)),'Price History'!S111=0),"",'Price History'!S112/'Price History'!S111-1),"")</f>
        <v>0.0293037163605296</v>
      </c>
      <c r="T111" s="76" t="n">
        <f aca="false">IFERROR(IF(OR(NOT(ISNUMBER('Price History'!T112)),NOT(ISNUMBER('Price History'!T111)),'Price History'!T111=0),"",'Price History'!T112/'Price History'!T111-1),"")</f>
        <v>-0.00292475405477266</v>
      </c>
      <c r="U111" s="76" t="str">
        <f aca="false">IFERROR(IF(OR(NOT(ISNUMBER('Price History'!U112)),NOT(ISNUMBER('Price History'!U111)),'Price History'!U111=0),"",'Price History'!U112/'Price History'!U111-1),"")</f>
        <v/>
      </c>
      <c r="W111" s="77" t="n">
        <f aca="false">'Price History'!B3+('Price History'!B158-'Price History'!B3)*0.701298701298701</f>
        <v>327.486883116883</v>
      </c>
      <c r="X111" s="77" t="n">
        <f aca="false">'Price History'!C3+('Price History'!C158-'Price History'!C3)*0.701298701298701</f>
        <v>139.544415584416</v>
      </c>
      <c r="Y111" s="77" t="n">
        <f aca="false">'Price History'!D3+('Price History'!D158-'Price History'!D3)*0.701298701298701</f>
        <v>1340.09012987013</v>
      </c>
      <c r="Z111" s="77" t="n">
        <f aca="false">'Price History'!E3+('Price History'!E158-'Price History'!E3)*0.701298701298701</f>
        <v>297.787792207792</v>
      </c>
      <c r="AA111" s="77" t="n">
        <f aca="false">'Price History'!F3+('Price History'!F158-'Price History'!F3)*0.701298701298701</f>
        <v>144.91974025974</v>
      </c>
      <c r="AB111" s="77" t="n">
        <f aca="false">'Price History'!G3+('Price History'!G158-'Price History'!G3)*0.701298701298701</f>
        <v>142.519220779221</v>
      </c>
      <c r="AC111" s="77" t="n">
        <f aca="false">'Price History'!H3+('Price History'!H158-'Price History'!H3)*0.701298701298701</f>
        <v>596.417272727273</v>
      </c>
      <c r="AD111" s="77" t="n">
        <f aca="false">'Price History'!I3+('Price History'!I158-'Price History'!I3)*0.701298701298701</f>
        <v>152.987662337662</v>
      </c>
      <c r="AE111" s="77" t="n">
        <f aca="false">'Price History'!J3+('Price History'!J158-'Price History'!J3)*0.701298701298701</f>
        <v>138.307402597403</v>
      </c>
      <c r="AF111" s="77" t="n">
        <f aca="false">'Price History'!K3+('Price History'!K158-'Price History'!K3)*0.701298701298701</f>
        <v>90.9048051948052</v>
      </c>
      <c r="AG111" s="77" t="n">
        <f aca="false">'Price History'!L3+('Price History'!L158-'Price History'!L3)*0.701298701298701</f>
        <v>310.977532467532</v>
      </c>
      <c r="AH111" s="77" t="n">
        <f aca="false">'Price History'!M3+('Price History'!M158-'Price History'!M3)*0.701298701298701</f>
        <v>179.422207792208</v>
      </c>
      <c r="AI111" s="77" t="n">
        <f aca="false">'Price History'!N3+('Price History'!N158-'Price History'!N3)*0.701298701298701</f>
        <v>439.093246753247</v>
      </c>
      <c r="AJ111" s="77" t="n">
        <f aca="false">'Price History'!O3+('Price History'!O158-'Price History'!O3)*0.701298701298701</f>
        <v>112.606103896104</v>
      </c>
      <c r="AK111" s="77" t="n">
        <f aca="false">'Price History'!Q3+('Price History'!Q151-'Price History'!Q3)*0.701298701298701</f>
        <v>62.8911688311688</v>
      </c>
      <c r="AL111" s="77" t="n">
        <f aca="false">'Price History'!R3+('Price History'!R158-'Price History'!R3)*0.701298701298701</f>
        <v>55.1345454545455</v>
      </c>
      <c r="AM111" s="77" t="n">
        <f aca="false">'Price History'!S3+('Price History'!S158-'Price History'!S3)*0.701298701298701</f>
        <v>118.353766233766</v>
      </c>
      <c r="AN111" s="77" t="n">
        <f aca="false">'Price History'!T3+('Price History'!T158-'Price History'!T3)*0.701298701298701</f>
        <v>42.9206493506493</v>
      </c>
    </row>
    <row r="112" customFormat="false" ht="15" hidden="false" customHeight="true" outlineLevel="0" collapsed="false">
      <c r="A112" s="49" t="n">
        <f aca="false">IF('Price History'!A113="","",'Price History'!A113)</f>
        <v>45919</v>
      </c>
      <c r="B112" s="76" t="n">
        <f aca="false">IFERROR(IF(OR(NOT(ISNUMBER('Price History'!B113)),NOT(ISNUMBER('Price History'!B112)),'Price History'!B112=0),"",'Price History'!B113/'Price History'!B112-1),"")</f>
        <v>0.0473437142202884</v>
      </c>
      <c r="C112" s="76" t="n">
        <f aca="false">IFERROR(IF(OR(NOT(ISNUMBER('Price History'!C113)),NOT(ISNUMBER('Price History'!C112)),'Price History'!C112=0),"",'Price History'!C113/'Price History'!C112-1),"")</f>
        <v>0.0733194633761392</v>
      </c>
      <c r="D112" s="76" t="n">
        <f aca="false">IFERROR(IF(OR(NOT(ISNUMBER('Price History'!D113)),NOT(ISNUMBER('Price History'!D112)),'Price History'!D112=0),"",'Price History'!D113/'Price History'!D112-1),"")</f>
        <v>0.145330335311536</v>
      </c>
      <c r="E112" s="76" t="n">
        <f aca="false">IFERROR(IF(OR(NOT(ISNUMBER('Price History'!E113)),NOT(ISNUMBER('Price History'!E112)),'Price History'!E112=0),"",'Price History'!E113/'Price History'!E112-1),"")</f>
        <v>-0.0414872037124517</v>
      </c>
      <c r="F112" s="76" t="n">
        <f aca="false">IFERROR(IF(OR(NOT(ISNUMBER('Price History'!F113)),NOT(ISNUMBER('Price History'!F112)),'Price History'!F112=0),"",'Price History'!F113/'Price History'!F112-1),"")</f>
        <v>0.152343391727048</v>
      </c>
      <c r="G112" s="76" t="n">
        <f aca="false">IFERROR(IF(OR(NOT(ISNUMBER('Price History'!G113)),NOT(ISNUMBER('Price History'!G112)),'Price History'!G112=0),"",'Price History'!G113/'Price History'!G112-1),"")</f>
        <v>0.083817427385892</v>
      </c>
      <c r="H112" s="76" t="n">
        <f aca="false">IFERROR(IF(OR(NOT(ISNUMBER('Price History'!H113)),NOT(ISNUMBER('Price History'!H112)),'Price History'!H112=0),"",'Price History'!H113/'Price History'!H112-1),"")</f>
        <v>0.0349806016663488</v>
      </c>
      <c r="I112" s="76" t="n">
        <f aca="false">IFERROR(IF(OR(NOT(ISNUMBER('Price History'!I113)),NOT(ISNUMBER('Price History'!I112)),'Price History'!I112=0),"",'Price History'!I113/'Price History'!I112-1),"")</f>
        <v>-0.00646721403666628</v>
      </c>
      <c r="J112" s="76" t="n">
        <f aca="false">IFERROR(IF(OR(NOT(ISNUMBER('Price History'!J113)),NOT(ISNUMBER('Price History'!J112)),'Price History'!J112=0),"",'Price History'!J113/'Price History'!J112-1),"")</f>
        <v>-0.0159514521022973</v>
      </c>
      <c r="K112" s="76" t="n">
        <f aca="false">IFERROR(IF(OR(NOT(ISNUMBER('Price History'!K113)),NOT(ISNUMBER('Price History'!K112)),'Price History'!K112=0),"",'Price History'!K113/'Price History'!K112-1),"")</f>
        <v>0.0639328005599953</v>
      </c>
      <c r="L112" s="76" t="n">
        <f aca="false">IFERROR(IF(OR(NOT(ISNUMBER('Price History'!L113)),NOT(ISNUMBER('Price History'!L112)),'Price History'!L112=0),"",'Price History'!L113/'Price History'!L112-1),"")</f>
        <v>0.0213627424517024</v>
      </c>
      <c r="M112" s="76" t="n">
        <f aca="false">IFERROR(IF(OR(NOT(ISNUMBER('Price History'!M113)),NOT(ISNUMBER('Price History'!M112)),'Price History'!M112=0),"",'Price History'!M113/'Price History'!M112-1),"")</f>
        <v>0.0649658854939186</v>
      </c>
      <c r="N112" s="76" t="n">
        <f aca="false">IFERROR(IF(OR(NOT(ISNUMBER('Price History'!N113)),NOT(ISNUMBER('Price History'!N112)),'Price History'!N112=0),"",'Price History'!N113/'Price History'!N112-1),"")</f>
        <v>-0.0289204876688718</v>
      </c>
      <c r="O112" s="76" t="n">
        <f aca="false">IFERROR(IF(OR(NOT(ISNUMBER('Price History'!O113)),NOT(ISNUMBER('Price History'!O112)),'Price History'!O112=0),"",'Price History'!O113/'Price History'!O112-1),"")</f>
        <v>0.00569203115638106</v>
      </c>
      <c r="P112" s="76" t="str">
        <f aca="false">IFERROR(IF(OR(NOT(ISNUMBER('Price History'!P113)),NOT(ISNUMBER('Price History'!P112)),'Price History'!P112=0),"",'Price History'!P113/'Price History'!P112-1),"")</f>
        <v/>
      </c>
      <c r="Q112" s="76" t="n">
        <f aca="false">IFERROR(IF(OR(NOT(ISNUMBER('Price History'!Q113)),NOT(ISNUMBER('Price History'!Q112)),'Price History'!Q112=0),"",'Price History'!Q113/'Price History'!Q112-1),"")</f>
        <v>-0.00503048780487803</v>
      </c>
      <c r="R112" s="76" t="n">
        <f aca="false">IFERROR(IF(OR(NOT(ISNUMBER('Price History'!R113)),NOT(ISNUMBER('Price History'!R112)),'Price History'!R112=0),"",'Price History'!R113/'Price History'!R112-1),"")</f>
        <v>0.0109656880084896</v>
      </c>
      <c r="S112" s="76" t="n">
        <f aca="false">IFERROR(IF(OR(NOT(ISNUMBER('Price History'!S113)),NOT(ISNUMBER('Price History'!S112)),'Price History'!S112=0),"",'Price History'!S113/'Price History'!S112-1),"")</f>
        <v>0.0120351925630811</v>
      </c>
      <c r="T112" s="76" t="n">
        <f aca="false">IFERROR(IF(OR(NOT(ISNUMBER('Price History'!T113)),NOT(ISNUMBER('Price History'!T112)),'Price History'!T112=0),"",'Price History'!T113/'Price History'!T112-1),"")</f>
        <v>-0.0013333333333333</v>
      </c>
      <c r="U112" s="76" t="str">
        <f aca="false">IFERROR(IF(OR(NOT(ISNUMBER('Price History'!U113)),NOT(ISNUMBER('Price History'!U112)),'Price History'!U112=0),"",'Price History'!U113/'Price History'!U112-1),"")</f>
        <v/>
      </c>
      <c r="W112" s="77" t="n">
        <f aca="false">'Price History'!B3+('Price History'!B158-'Price History'!B3)*0.707792207792208</f>
        <v>325.811298701299</v>
      </c>
      <c r="X112" s="77" t="n">
        <f aca="false">'Price History'!C3+('Price History'!C158-'Price History'!C3)*0.707792207792208</f>
        <v>140.431493506494</v>
      </c>
      <c r="Y112" s="77" t="n">
        <f aca="false">'Price History'!D3+('Price History'!D158-'Price History'!D3)*0.707792207792208</f>
        <v>1346.37077922078</v>
      </c>
      <c r="Z112" s="77" t="n">
        <f aca="false">'Price History'!E3+('Price History'!E158-'Price History'!E3)*0.707792207792208</f>
        <v>299.776753246753</v>
      </c>
      <c r="AA112" s="77" t="n">
        <f aca="false">'Price History'!F3+('Price History'!F158-'Price History'!F3)*0.707792207792208</f>
        <v>145.918441558442</v>
      </c>
      <c r="AB112" s="77" t="n">
        <f aca="false">'Price History'!G3+('Price History'!G158-'Price History'!G3)*0.707792207792208</f>
        <v>143.395324675325</v>
      </c>
      <c r="AC112" s="77" t="n">
        <f aca="false">'Price History'!H3+('Price History'!H158-'Price History'!H3)*0.707792207792208</f>
        <v>601.343636363637</v>
      </c>
      <c r="AD112" s="77" t="n">
        <f aca="false">'Price History'!I3+('Price History'!I158-'Price History'!I3)*0.707792207792208</f>
        <v>154.025974025974</v>
      </c>
      <c r="AE112" s="77" t="n">
        <f aca="false">'Price History'!J3+('Price History'!J158-'Price History'!J3)*0.707792207792208</f>
        <v>138.444415584416</v>
      </c>
      <c r="AF112" s="77" t="n">
        <f aca="false">'Price History'!K3+('Price History'!K158-'Price History'!K3)*0.707792207792208</f>
        <v>91.6038311688312</v>
      </c>
      <c r="AG112" s="77" t="n">
        <f aca="false">'Price History'!L3+('Price History'!L158-'Price History'!L3)*0.707792207792208</f>
        <v>313.005194805195</v>
      </c>
      <c r="AH112" s="77" t="n">
        <f aca="false">'Price History'!M3+('Price History'!M158-'Price History'!M3)*0.707792207792208</f>
        <v>180.773246753247</v>
      </c>
      <c r="AI112" s="77" t="n">
        <f aca="false">'Price History'!N3+('Price History'!N158-'Price History'!N3)*0.707792207792208</f>
        <v>439.919480519481</v>
      </c>
      <c r="AJ112" s="77" t="n">
        <f aca="false">'Price History'!O3+('Price History'!O158-'Price History'!O3)*0.707792207792208</f>
        <v>112.881623376623</v>
      </c>
      <c r="AK112" s="77" t="n">
        <f aca="false">'Price History'!Q3+('Price History'!Q151-'Price History'!Q3)*0.707792207792208</f>
        <v>63.012012987013</v>
      </c>
      <c r="AL112" s="77" t="n">
        <f aca="false">'Price History'!R3+('Price History'!R158-'Price History'!R3)*0.707792207792208</f>
        <v>55.2022727272727</v>
      </c>
      <c r="AM112" s="77" t="n">
        <f aca="false">'Price History'!S3+('Price History'!S158-'Price History'!S3)*0.707792207792208</f>
        <v>118.907597402597</v>
      </c>
      <c r="AN112" s="77" t="n">
        <f aca="false">'Price History'!T3+('Price History'!T158-'Price History'!T3)*0.707792207792208</f>
        <v>43.0688961038961</v>
      </c>
    </row>
    <row r="113" customFormat="false" ht="15" hidden="false" customHeight="true" outlineLevel="0" collapsed="false">
      <c r="A113" s="49" t="n">
        <f aca="false">IF('Price History'!A114="","",'Price History'!A114)</f>
        <v>45926</v>
      </c>
      <c r="B113" s="76" t="n">
        <f aca="false">IFERROR(IF(OR(NOT(ISNUMBER('Price History'!B114)),NOT(ISNUMBER('Price History'!B113)),'Price History'!B113=0),"",'Price History'!B114/'Price History'!B113-1),"")</f>
        <v>-0.0151134189669307</v>
      </c>
      <c r="C113" s="76" t="n">
        <f aca="false">IFERROR(IF(OR(NOT(ISNUMBER('Price History'!C114)),NOT(ISNUMBER('Price History'!C113)),'Price History'!C113=0),"",'Price History'!C114/'Price History'!C113-1),"")</f>
        <v>-0.0475235612592742</v>
      </c>
      <c r="D113" s="76" t="n">
        <f aca="false">IFERROR(IF(OR(NOT(ISNUMBER('Price History'!D114)),NOT(ISNUMBER('Price History'!D113)),'Price History'!D113=0),"",'Price History'!D114/'Price History'!D113-1),"")</f>
        <v>0.020779917395269</v>
      </c>
      <c r="E113" s="76" t="n">
        <f aca="false">IFERROR(IF(OR(NOT(ISNUMBER('Price History'!E114)),NOT(ISNUMBER('Price History'!E113)),'Price History'!E113=0),"",'Price History'!E114/'Price History'!E113-1),"")</f>
        <v>-0.0301791615933207</v>
      </c>
      <c r="F113" s="76" t="n">
        <f aca="false">IFERROR(IF(OR(NOT(ISNUMBER('Price History'!F114)),NOT(ISNUMBER('Price History'!F113)),'Price History'!F113=0),"",'Price History'!F114/'Price History'!F113-1),"")</f>
        <v>-0.0420248328557784</v>
      </c>
      <c r="G113" s="76" t="n">
        <f aca="false">IFERROR(IF(OR(NOT(ISNUMBER('Price History'!G114)),NOT(ISNUMBER('Price History'!G113)),'Price History'!G113=0),"",'Price History'!G114/'Price History'!G113-1),"")</f>
        <v>0.0186638591117918</v>
      </c>
      <c r="H113" s="76" t="n">
        <f aca="false">IFERROR(IF(OR(NOT(ISNUMBER('Price History'!H114)),NOT(ISNUMBER('Price History'!H113)),'Price History'!H113=0),"",'Price History'!H114/'Price History'!H113-1),"")</f>
        <v>-0.0335525102931235</v>
      </c>
      <c r="I113" s="76" t="n">
        <f aca="false">IFERROR(IF(OR(NOT(ISNUMBER('Price History'!I114)),NOT(ISNUMBER('Price History'!I113)),'Price History'!I113=0),"",'Price History'!I114/'Price History'!I113-1),"")</f>
        <v>0.00860361125261799</v>
      </c>
      <c r="J113" s="76" t="n">
        <f aca="false">IFERROR(IF(OR(NOT(ISNUMBER('Price History'!J114)),NOT(ISNUMBER('Price History'!J113)),'Price History'!J113=0),"",'Price History'!J114/'Price History'!J113-1),"")</f>
        <v>0.0059906616157166</v>
      </c>
      <c r="K113" s="76" t="n">
        <f aca="false">IFERROR(IF(OR(NOT(ISNUMBER('Price History'!K114)),NOT(ISNUMBER('Price History'!K113)),'Price History'!K113=0),"",'Price History'!K114/'Price History'!K113-1),"")</f>
        <v>-0.0264268874390043</v>
      </c>
      <c r="L113" s="76" t="n">
        <f aca="false">IFERROR(IF(OR(NOT(ISNUMBER('Price History'!L114)),NOT(ISNUMBER('Price History'!L113)),'Price History'!L113=0),"",'Price History'!L114/'Price History'!L113-1),"")</f>
        <v>0.0320534601880167</v>
      </c>
      <c r="M113" s="76" t="n">
        <f aca="false">IFERROR(IF(OR(NOT(ISNUMBER('Price History'!M114)),NOT(ISNUMBER('Price History'!M113)),'Price History'!M113=0),"",'Price History'!M114/'Price History'!M113-1),"")</f>
        <v>-0.0346796657381615</v>
      </c>
      <c r="N113" s="76" t="n">
        <f aca="false">IFERROR(IF(OR(NOT(ISNUMBER('Price History'!N114)),NOT(ISNUMBER('Price History'!N113)),'Price History'!N113=0),"",'Price History'!N114/'Price History'!N113-1),"")</f>
        <v>0.00683858843182295</v>
      </c>
      <c r="O113" s="76" t="n">
        <f aca="false">IFERROR(IF(OR(NOT(ISNUMBER('Price History'!O114)),NOT(ISNUMBER('Price History'!O113)),'Price History'!O113=0),"",'Price History'!O114/'Price History'!O113-1),"")</f>
        <v>-0.00158872008737954</v>
      </c>
      <c r="P113" s="76" t="str">
        <f aca="false">IFERROR(IF(OR(NOT(ISNUMBER('Price History'!P114)),NOT(ISNUMBER('Price History'!P113)),'Price History'!P113=0),"",'Price History'!P114/'Price History'!P113-1),"")</f>
        <v/>
      </c>
      <c r="Q113" s="76" t="n">
        <f aca="false">IFERROR(IF(OR(NOT(ISNUMBER('Price History'!Q114)),NOT(ISNUMBER('Price History'!Q113)),'Price History'!Q113=0),"",'Price History'!Q114/'Price History'!Q113-1),"")</f>
        <v>0.00153209744139748</v>
      </c>
      <c r="R113" s="76" t="n">
        <f aca="false">IFERROR(IF(OR(NOT(ISNUMBER('Price History'!R114)),NOT(ISNUMBER('Price History'!R113)),'Price History'!R113=0),"",'Price History'!R114/'Price History'!R113-1),"")</f>
        <v>0.00157452764170762</v>
      </c>
      <c r="S113" s="76" t="n">
        <f aca="false">IFERROR(IF(OR(NOT(ISNUMBER('Price History'!S114)),NOT(ISNUMBER('Price History'!S113)),'Price History'!S113=0),"",'Price History'!S114/'Price History'!S113-1),"")</f>
        <v>-0.0110719265152137</v>
      </c>
      <c r="T113" s="76" t="n">
        <f aca="false">IFERROR(IF(OR(NOT(ISNUMBER('Price History'!T114)),NOT(ISNUMBER('Price History'!T113)),'Price History'!T113=0),"",'Price History'!T114/'Price History'!T113-1),"")</f>
        <v>0.0077436582109478</v>
      </c>
      <c r="U113" s="76" t="str">
        <f aca="false">IFERROR(IF(OR(NOT(ISNUMBER('Price History'!U114)),NOT(ISNUMBER('Price History'!U113)),'Price History'!U113=0),"",'Price History'!U114/'Price History'!U113-1),"")</f>
        <v/>
      </c>
      <c r="W113" s="77" t="n">
        <f aca="false">'Price History'!B3+('Price History'!B158-'Price History'!B3)*0.714285714285714</f>
        <v>324.135714285714</v>
      </c>
      <c r="X113" s="77" t="n">
        <f aca="false">'Price History'!C3+('Price History'!C158-'Price History'!C3)*0.714285714285714</f>
        <v>141.318571428571</v>
      </c>
      <c r="Y113" s="77" t="n">
        <f aca="false">'Price History'!D3+('Price History'!D158-'Price History'!D3)*0.714285714285714</f>
        <v>1352.65142857143</v>
      </c>
      <c r="Z113" s="77" t="n">
        <f aca="false">'Price History'!E3+('Price History'!E158-'Price History'!E3)*0.714285714285714</f>
        <v>301.765714285714</v>
      </c>
      <c r="AA113" s="77" t="n">
        <f aca="false">'Price History'!F3+('Price History'!F158-'Price History'!F3)*0.714285714285714</f>
        <v>146.917142857143</v>
      </c>
      <c r="AB113" s="77" t="n">
        <f aca="false">'Price History'!G3+('Price History'!G158-'Price History'!G3)*0.714285714285714</f>
        <v>144.271428571429</v>
      </c>
      <c r="AC113" s="77" t="n">
        <f aca="false">'Price History'!H3+('Price History'!H158-'Price History'!H3)*0.714285714285714</f>
        <v>606.27</v>
      </c>
      <c r="AD113" s="77" t="n">
        <f aca="false">'Price History'!I3+('Price History'!I158-'Price History'!I3)*0.714285714285714</f>
        <v>155.064285714286</v>
      </c>
      <c r="AE113" s="77" t="n">
        <f aca="false">'Price History'!J3+('Price History'!J158-'Price History'!J3)*0.714285714285714</f>
        <v>138.581428571429</v>
      </c>
      <c r="AF113" s="77" t="n">
        <f aca="false">'Price History'!K3+('Price History'!K158-'Price History'!K3)*0.714285714285714</f>
        <v>92.3028571428571</v>
      </c>
      <c r="AG113" s="77" t="n">
        <f aca="false">'Price History'!L3+('Price History'!L158-'Price History'!L3)*0.714285714285714</f>
        <v>315.032857142857</v>
      </c>
      <c r="AH113" s="77" t="n">
        <f aca="false">'Price History'!M3+('Price History'!M158-'Price History'!M3)*0.714285714285714</f>
        <v>182.124285714286</v>
      </c>
      <c r="AI113" s="77" t="n">
        <f aca="false">'Price History'!N3+('Price History'!N158-'Price History'!N3)*0.714285714285714</f>
        <v>440.745714285714</v>
      </c>
      <c r="AJ113" s="77" t="n">
        <f aca="false">'Price History'!O3+('Price History'!O158-'Price History'!O3)*0.714285714285714</f>
        <v>113.157142857143</v>
      </c>
      <c r="AK113" s="77" t="n">
        <f aca="false">'Price History'!Q3+('Price History'!Q151-'Price History'!Q3)*0.714285714285714</f>
        <v>63.1328571428571</v>
      </c>
      <c r="AL113" s="77" t="n">
        <f aca="false">'Price History'!R3+('Price History'!R158-'Price History'!R3)*0.714285714285714</f>
        <v>55.27</v>
      </c>
      <c r="AM113" s="77" t="n">
        <f aca="false">'Price History'!S3+('Price History'!S158-'Price History'!S3)*0.714285714285714</f>
        <v>119.461428571429</v>
      </c>
      <c r="AN113" s="77" t="n">
        <f aca="false">'Price History'!T3+('Price History'!T158-'Price History'!T3)*0.714285714285714</f>
        <v>43.2171428571428</v>
      </c>
    </row>
    <row r="114" customFormat="false" ht="15" hidden="false" customHeight="true" outlineLevel="0" collapsed="false">
      <c r="A114" s="49" t="n">
        <f aca="false">IF('Price History'!A115="","",'Price History'!A115)</f>
        <v>45933</v>
      </c>
      <c r="B114" s="76" t="n">
        <f aca="false">IFERROR(IF(OR(NOT(ISNUMBER('Price History'!B115)),NOT(ISNUMBER('Price History'!B114)),'Price History'!B114=0),"",'Price History'!B115/'Price History'!B114-1),"")</f>
        <v>-0.0378222382551267</v>
      </c>
      <c r="C114" s="76" t="n">
        <f aca="false">IFERROR(IF(OR(NOT(ISNUMBER('Price History'!C115)),NOT(ISNUMBER('Price History'!C114)),'Price History'!C114=0),"",'Price History'!C115/'Price History'!C114-1),"")</f>
        <v>0.0210526315789474</v>
      </c>
      <c r="D114" s="76" t="n">
        <f aca="false">IFERROR(IF(OR(NOT(ISNUMBER('Price History'!D115)),NOT(ISNUMBER('Price History'!D114)),'Price History'!D114=0),"",'Price History'!D115/'Price History'!D114-1),"")</f>
        <v>0.0848116697494536</v>
      </c>
      <c r="E114" s="76" t="n">
        <f aca="false">IFERROR(IF(OR(NOT(ISNUMBER('Price History'!E115)),NOT(ISNUMBER('Price History'!E114)),'Price History'!E114=0),"",'Price History'!E115/'Price History'!E114-1),"")</f>
        <v>0.0114787911398082</v>
      </c>
      <c r="F114" s="76" t="n">
        <f aca="false">IFERROR(IF(OR(NOT(ISNUMBER('Price History'!F115)),NOT(ISNUMBER('Price History'!F114)),'Price History'!F114=0),"",'Price History'!F115/'Price History'!F114-1),"")</f>
        <v>0.0175307411100034</v>
      </c>
      <c r="G114" s="76" t="n">
        <f aca="false">IFERROR(IF(OR(NOT(ISNUMBER('Price History'!G115)),NOT(ISNUMBER('Price History'!G114)),'Price History'!G114=0),"",'Price History'!G115/'Price History'!G114-1),"")</f>
        <v>0.0350465094428263</v>
      </c>
      <c r="H114" s="76" t="n">
        <f aca="false">IFERROR(IF(OR(NOT(ISNUMBER('Price History'!H115)),NOT(ISNUMBER('Price History'!H114)),'Price History'!H114=0),"",'Price History'!H115/'Price History'!H114-1),"")</f>
        <v>0.194315508361417</v>
      </c>
      <c r="I114" s="76" t="n">
        <f aca="false">IFERROR(IF(OR(NOT(ISNUMBER('Price History'!I115)),NOT(ISNUMBER('Price History'!I114)),'Price History'!I114=0),"",'Price History'!I115/'Price History'!I114-1),"")</f>
        <v>0.0529210393400303</v>
      </c>
      <c r="J114" s="76" t="n">
        <f aca="false">IFERROR(IF(OR(NOT(ISNUMBER('Price History'!J115)),NOT(ISNUMBER('Price History'!J114)),'Price History'!J114=0),"",'Price History'!J115/'Price History'!J114-1),"")</f>
        <v>0.0251335493475786</v>
      </c>
      <c r="K114" s="76" t="n">
        <f aca="false">IFERROR(IF(OR(NOT(ISNUMBER('Price History'!K115)),NOT(ISNUMBER('Price History'!K114)),'Price History'!K114=0),"",'Price History'!K115/'Price History'!K114-1),"")</f>
        <v>-0.025342118601115</v>
      </c>
      <c r="L114" s="76" t="n">
        <f aca="false">IFERROR(IF(OR(NOT(ISNUMBER('Price History'!L115)),NOT(ISNUMBER('Price History'!L114)),'Price History'!L114=0),"",'Price History'!L115/'Price History'!L114-1),"")</f>
        <v>0.0688835235586771</v>
      </c>
      <c r="M114" s="76" t="n">
        <f aca="false">IFERROR(IF(OR(NOT(ISNUMBER('Price History'!M115)),NOT(ISNUMBER('Price History'!M114)),'Price History'!M114=0),"",'Price History'!M115/'Price History'!M114-1),"")</f>
        <v>0.155677391429808</v>
      </c>
      <c r="N114" s="76" t="n">
        <f aca="false">IFERROR(IF(OR(NOT(ISNUMBER('Price History'!N115)),NOT(ISNUMBER('Price History'!N114)),'Price History'!N114=0),"",'Price History'!N115/'Price History'!N114-1),"")</f>
        <v>0.0455228910665215</v>
      </c>
      <c r="O114" s="76" t="n">
        <f aca="false">IFERROR(IF(OR(NOT(ISNUMBER('Price History'!O115)),NOT(ISNUMBER('Price History'!O114)),'Price History'!O114=0),"",'Price History'!O115/'Price History'!O114-1),"")</f>
        <v>0.00109398309298858</v>
      </c>
      <c r="P114" s="76" t="str">
        <f aca="false">IFERROR(IF(OR(NOT(ISNUMBER('Price History'!P115)),NOT(ISNUMBER('Price History'!P114)),'Price History'!P114=0),"",'Price History'!P115/'Price History'!P114-1),"")</f>
        <v/>
      </c>
      <c r="Q114" s="76" t="n">
        <f aca="false">IFERROR(IF(OR(NOT(ISNUMBER('Price History'!Q115)),NOT(ISNUMBER('Price History'!Q114)),'Price History'!Q114=0),"",'Price History'!Q115/'Price History'!Q114-1),"")</f>
        <v>-0.00887257151598586</v>
      </c>
      <c r="R114" s="76" t="n">
        <f aca="false">IFERROR(IF(OR(NOT(ISNUMBER('Price History'!R115)),NOT(ISNUMBER('Price History'!R114)),'Price History'!R114=0),"",'Price History'!R115/'Price History'!R114-1),"")</f>
        <v>0.00052401746724895</v>
      </c>
      <c r="S114" s="76" t="n">
        <f aca="false">IFERROR(IF(OR(NOT(ISNUMBER('Price History'!S115)),NOT(ISNUMBER('Price History'!S114)),'Price History'!S114=0),"",'Price History'!S115/'Price History'!S114-1),"")</f>
        <v>-0.00406369215458613</v>
      </c>
      <c r="T114" s="76" t="n">
        <f aca="false">IFERROR(IF(OR(NOT(ISNUMBER('Price History'!T115)),NOT(ISNUMBER('Price History'!T114)),'Price History'!T114=0),"",'Price History'!T115/'Price History'!T114-1),"")</f>
        <v>0.00344462109167987</v>
      </c>
      <c r="U114" s="76" t="str">
        <f aca="false">IFERROR(IF(OR(NOT(ISNUMBER('Price History'!U115)),NOT(ISNUMBER('Price History'!U114)),'Price History'!U114=0),"",'Price History'!U115/'Price History'!U114-1),"")</f>
        <v/>
      </c>
      <c r="W114" s="77" t="n">
        <f aca="false">'Price History'!B3+('Price History'!B158-'Price History'!B3)*0.720779220779221</f>
        <v>322.46012987013</v>
      </c>
      <c r="X114" s="77" t="n">
        <f aca="false">'Price History'!C3+('Price History'!C158-'Price History'!C3)*0.720779220779221</f>
        <v>142.205649350649</v>
      </c>
      <c r="Y114" s="77" t="n">
        <f aca="false">'Price History'!D3+('Price History'!D158-'Price History'!D3)*0.720779220779221</f>
        <v>1358.93207792208</v>
      </c>
      <c r="Z114" s="77" t="n">
        <f aca="false">'Price History'!E3+('Price History'!E158-'Price History'!E3)*0.720779220779221</f>
        <v>303.754675324675</v>
      </c>
      <c r="AA114" s="77" t="n">
        <f aca="false">'Price History'!F3+('Price History'!F158-'Price History'!F3)*0.720779220779221</f>
        <v>147.915844155844</v>
      </c>
      <c r="AB114" s="77" t="n">
        <f aca="false">'Price History'!G3+('Price History'!G158-'Price History'!G3)*0.720779220779221</f>
        <v>145.147532467532</v>
      </c>
      <c r="AC114" s="77" t="n">
        <f aca="false">'Price History'!H3+('Price History'!H158-'Price History'!H3)*0.720779220779221</f>
        <v>611.196363636364</v>
      </c>
      <c r="AD114" s="77" t="n">
        <f aca="false">'Price History'!I3+('Price History'!I158-'Price History'!I3)*0.720779220779221</f>
        <v>156.102597402597</v>
      </c>
      <c r="AE114" s="77" t="n">
        <f aca="false">'Price History'!J3+('Price History'!J158-'Price History'!J3)*0.720779220779221</f>
        <v>138.718441558442</v>
      </c>
      <c r="AF114" s="77" t="n">
        <f aca="false">'Price History'!K3+('Price History'!K158-'Price History'!K3)*0.720779220779221</f>
        <v>93.0018831168831</v>
      </c>
      <c r="AG114" s="77" t="n">
        <f aca="false">'Price History'!L3+('Price History'!L158-'Price History'!L3)*0.720779220779221</f>
        <v>317.06051948052</v>
      </c>
      <c r="AH114" s="77" t="n">
        <f aca="false">'Price History'!M3+('Price History'!M158-'Price History'!M3)*0.720779220779221</f>
        <v>183.475324675325</v>
      </c>
      <c r="AI114" s="77" t="n">
        <f aca="false">'Price History'!N3+('Price History'!N158-'Price History'!N3)*0.720779220779221</f>
        <v>441.571948051948</v>
      </c>
      <c r="AJ114" s="77" t="n">
        <f aca="false">'Price History'!O3+('Price History'!O158-'Price History'!O3)*0.720779220779221</f>
        <v>113.432662337662</v>
      </c>
      <c r="AK114" s="77" t="n">
        <f aca="false">'Price History'!Q3+('Price History'!Q151-'Price History'!Q3)*0.720779220779221</f>
        <v>63.2537012987013</v>
      </c>
      <c r="AL114" s="77" t="n">
        <f aca="false">'Price History'!R3+('Price History'!R158-'Price History'!R3)*0.720779220779221</f>
        <v>55.3377272727273</v>
      </c>
      <c r="AM114" s="77" t="n">
        <f aca="false">'Price History'!S3+('Price History'!S158-'Price History'!S3)*0.720779220779221</f>
        <v>120.01525974026</v>
      </c>
      <c r="AN114" s="77" t="n">
        <f aca="false">'Price History'!T3+('Price History'!T158-'Price History'!T3)*0.720779220779221</f>
        <v>43.3653896103896</v>
      </c>
    </row>
    <row r="115" customFormat="false" ht="15" hidden="false" customHeight="true" outlineLevel="0" collapsed="false">
      <c r="A115" s="49" t="n">
        <f aca="false">IF('Price History'!A116="","",'Price History'!A116)</f>
        <v>45940</v>
      </c>
      <c r="B115" s="76" t="n">
        <f aca="false">IFERROR(IF(OR(NOT(ISNUMBER('Price History'!B116)),NOT(ISNUMBER('Price History'!B115)),'Price History'!B115=0),"",'Price History'!B116/'Price History'!B115-1),"")</f>
        <v>-0.026619368979639</v>
      </c>
      <c r="C115" s="76" t="n">
        <f aca="false">IFERROR(IF(OR(NOT(ISNUMBER('Price History'!C116)),NOT(ISNUMBER('Price History'!C115)),'Price History'!C115=0),"",'Price History'!C116/'Price History'!C115-1),"")</f>
        <v>0.059106529209622</v>
      </c>
      <c r="D115" s="76" t="n">
        <f aca="false">IFERROR(IF(OR(NOT(ISNUMBER('Price History'!D116)),NOT(ISNUMBER('Price History'!D115)),'Price History'!D115=0),"",'Price History'!D116/'Price History'!D115-1),"")</f>
        <v>-0.0930324930731821</v>
      </c>
      <c r="E115" s="76" t="n">
        <f aca="false">IFERROR(IF(OR(NOT(ISNUMBER('Price History'!E116)),NOT(ISNUMBER('Price History'!E115)),'Price History'!E115=0),"",'Price History'!E116/'Price History'!E115-1),"")</f>
        <v>-0.0406064367408459</v>
      </c>
      <c r="F115" s="76" t="n">
        <f aca="false">IFERROR(IF(OR(NOT(ISNUMBER('Price History'!F116)),NOT(ISNUMBER('Price History'!F115)),'Price History'!F115=0),"",'Price History'!F116/'Price History'!F115-1),"")</f>
        <v>0.00775700171470573</v>
      </c>
      <c r="G115" s="76" t="n">
        <f aca="false">IFERROR(IF(OR(NOT(ISNUMBER('Price History'!G116)),NOT(ISNUMBER('Price History'!G115)),'Price History'!G115=0),"",'Price History'!G116/'Price History'!G115-1),"")</f>
        <v>-0.107843137254902</v>
      </c>
      <c r="H115" s="76" t="n">
        <f aca="false">IFERROR(IF(OR(NOT(ISNUMBER('Price History'!H116)),NOT(ISNUMBER('Price History'!H115)),'Price History'!H115=0),"",'Price History'!H116/'Price History'!H115-1),"")</f>
        <v>-0.03316829047543</v>
      </c>
      <c r="I115" s="76" t="n">
        <f aca="false">IFERROR(IF(OR(NOT(ISNUMBER('Price History'!I116)),NOT(ISNUMBER('Price History'!I115)),'Price History'!I115=0),"",'Price History'!I116/'Price History'!I115-1),"")</f>
        <v>-0.0237714529367872</v>
      </c>
      <c r="J115" s="76" t="n">
        <f aca="false">IFERROR(IF(OR(NOT(ISNUMBER('Price History'!J116)),NOT(ISNUMBER('Price History'!J115)),'Price History'!J115=0),"",'Price History'!J116/'Price History'!J115-1),"")</f>
        <v>-0.0498035195626174</v>
      </c>
      <c r="K115" s="76" t="n">
        <f aca="false">IFERROR(IF(OR(NOT(ISNUMBER('Price History'!K116)),NOT(ISNUMBER('Price History'!K115)),'Price History'!K115=0),"",'Price History'!K116/'Price History'!K115-1),"")</f>
        <v>0.0136938810885769</v>
      </c>
      <c r="L115" s="76" t="n">
        <f aca="false">IFERROR(IF(OR(NOT(ISNUMBER('Price History'!L116)),NOT(ISNUMBER('Price History'!L115)),'Price History'!L115=0),"",'Price History'!L116/'Price History'!L115-1),"")</f>
        <v>-0.0394606249358294</v>
      </c>
      <c r="M115" s="76" t="n">
        <f aca="false">IFERROR(IF(OR(NOT(ISNUMBER('Price History'!M116)),NOT(ISNUMBER('Price History'!M115)),'Price History'!M115=0),"",'Price History'!M116/'Price History'!M115-1),"")</f>
        <v>0.0549937578027466</v>
      </c>
      <c r="N115" s="76" t="n">
        <f aca="false">IFERROR(IF(OR(NOT(ISNUMBER('Price History'!N116)),NOT(ISNUMBER('Price History'!N115)),'Price History'!N115=0),"",'Price History'!N116/'Price History'!N115-1),"")</f>
        <v>0.0111331515001241</v>
      </c>
      <c r="O115" s="76" t="n">
        <f aca="false">IFERROR(IF(OR(NOT(ISNUMBER('Price History'!O116)),NOT(ISNUMBER('Price History'!O115)),'Price History'!O115=0),"",'Price History'!O116/'Price History'!O115-1),"")</f>
        <v>-0.05434134710908</v>
      </c>
      <c r="P115" s="76" t="str">
        <f aca="false">IFERROR(IF(OR(NOT(ISNUMBER('Price History'!P116)),NOT(ISNUMBER('Price History'!P115)),'Price History'!P115=0),"",'Price History'!P116/'Price History'!P115-1),"")</f>
        <v/>
      </c>
      <c r="Q115" s="76" t="n">
        <f aca="false">IFERROR(IF(OR(NOT(ISNUMBER('Price History'!Q116)),NOT(ISNUMBER('Price History'!Q115)),'Price History'!Q115=0),"",'Price History'!Q116/'Price History'!Q115-1),"")</f>
        <v>0.0217626176879147</v>
      </c>
      <c r="R115" s="76" t="n">
        <f aca="false">IFERROR(IF(OR(NOT(ISNUMBER('Price History'!R116)),NOT(ISNUMBER('Price History'!R115)),'Price History'!R115=0),"",'Price History'!R116/'Price History'!R115-1),"")</f>
        <v>-0.0165851955307264</v>
      </c>
      <c r="S115" s="76" t="n">
        <f aca="false">IFERROR(IF(OR(NOT(ISNUMBER('Price History'!S116)),NOT(ISNUMBER('Price History'!S115)),'Price History'!S115=0),"",'Price History'!S116/'Price History'!S115-1),"")</f>
        <v>-0.0132400699475393</v>
      </c>
      <c r="T115" s="76" t="n">
        <f aca="false">IFERROR(IF(OR(NOT(ISNUMBER('Price History'!T116)),NOT(ISNUMBER('Price History'!T115)),'Price History'!T115=0),"",'Price History'!T116/'Price History'!T115-1),"")</f>
        <v>-0.0340639028254555</v>
      </c>
      <c r="U115" s="76" t="str">
        <f aca="false">IFERROR(IF(OR(NOT(ISNUMBER('Price History'!U116)),NOT(ISNUMBER('Price History'!U115)),'Price History'!U115=0),"",'Price History'!U116/'Price History'!U115-1),"")</f>
        <v/>
      </c>
      <c r="W115" s="77" t="n">
        <f aca="false">'Price History'!B3+('Price History'!B158-'Price History'!B3)*0.727272727272727</f>
        <v>320.784545454546</v>
      </c>
      <c r="X115" s="77" t="n">
        <f aca="false">'Price History'!C3+('Price History'!C158-'Price History'!C3)*0.727272727272727</f>
        <v>143.092727272727</v>
      </c>
      <c r="Y115" s="77" t="n">
        <f aca="false">'Price History'!D3+('Price History'!D158-'Price History'!D3)*0.727272727272727</f>
        <v>1365.21272727273</v>
      </c>
      <c r="Z115" s="77" t="n">
        <f aca="false">'Price History'!E3+('Price History'!E158-'Price History'!E3)*0.727272727272727</f>
        <v>305.743636363636</v>
      </c>
      <c r="AA115" s="77" t="n">
        <f aca="false">'Price History'!F3+('Price History'!F158-'Price History'!F3)*0.727272727272727</f>
        <v>148.914545454545</v>
      </c>
      <c r="AB115" s="77" t="n">
        <f aca="false">'Price History'!G3+('Price History'!G158-'Price History'!G3)*0.727272727272727</f>
        <v>146.023636363636</v>
      </c>
      <c r="AC115" s="77" t="n">
        <f aca="false">'Price History'!H3+('Price History'!H158-'Price History'!H3)*0.727272727272727</f>
        <v>616.122727272727</v>
      </c>
      <c r="AD115" s="77" t="n">
        <f aca="false">'Price History'!I3+('Price History'!I158-'Price History'!I3)*0.727272727272727</f>
        <v>157.140909090909</v>
      </c>
      <c r="AE115" s="77" t="n">
        <f aca="false">'Price History'!J3+('Price History'!J158-'Price History'!J3)*0.727272727272727</f>
        <v>138.855454545455</v>
      </c>
      <c r="AF115" s="77" t="n">
        <f aca="false">'Price History'!K3+('Price History'!K158-'Price History'!K3)*0.727272727272727</f>
        <v>93.7009090909091</v>
      </c>
      <c r="AG115" s="77" t="n">
        <f aca="false">'Price History'!L3+('Price History'!L158-'Price History'!L3)*0.727272727272727</f>
        <v>319.088181818182</v>
      </c>
      <c r="AH115" s="77" t="n">
        <f aca="false">'Price History'!M3+('Price History'!M158-'Price History'!M3)*0.727272727272727</f>
        <v>184.826363636364</v>
      </c>
      <c r="AI115" s="77" t="n">
        <f aca="false">'Price History'!N3+('Price History'!N158-'Price History'!N3)*0.727272727272727</f>
        <v>442.398181818182</v>
      </c>
      <c r="AJ115" s="77" t="n">
        <f aca="false">'Price History'!O3+('Price History'!O158-'Price History'!O3)*0.727272727272727</f>
        <v>113.708181818182</v>
      </c>
      <c r="AK115" s="77" t="n">
        <f aca="false">'Price History'!Q3+('Price History'!Q151-'Price History'!Q3)*0.727272727272727</f>
        <v>63.3745454545455</v>
      </c>
      <c r="AL115" s="77" t="n">
        <f aca="false">'Price History'!R3+('Price History'!R158-'Price History'!R3)*0.727272727272727</f>
        <v>55.4054545454545</v>
      </c>
      <c r="AM115" s="77" t="n">
        <f aca="false">'Price History'!S3+('Price History'!S158-'Price History'!S3)*0.727272727272727</f>
        <v>120.569090909091</v>
      </c>
      <c r="AN115" s="77" t="n">
        <f aca="false">'Price History'!T3+('Price History'!T158-'Price History'!T3)*0.727272727272727</f>
        <v>43.5136363636364</v>
      </c>
    </row>
    <row r="116" customFormat="false" ht="15" hidden="false" customHeight="true" outlineLevel="0" collapsed="false">
      <c r="A116" s="49" t="n">
        <f aca="false">IF('Price History'!A117="","",'Price History'!A117)</f>
        <v>45947</v>
      </c>
      <c r="B116" s="76" t="n">
        <f aca="false">IFERROR(IF(OR(NOT(ISNUMBER('Price History'!B117)),NOT(ISNUMBER('Price History'!B116)),'Price History'!B116=0),"",'Price History'!B117/'Price History'!B116-1),"")</f>
        <v>-0.0125922194897929</v>
      </c>
      <c r="C116" s="76" t="n">
        <f aca="false">IFERROR(IF(OR(NOT(ISNUMBER('Price History'!C117)),NOT(ISNUMBER('Price History'!C116)),'Price History'!C116=0),"",'Price History'!C117/'Price History'!C116-1),"")</f>
        <v>-0.0713822193380922</v>
      </c>
      <c r="D116" s="76" t="n">
        <f aca="false">IFERROR(IF(OR(NOT(ISNUMBER('Price History'!D117)),NOT(ISNUMBER('Price History'!D116)),'Price History'!D116=0),"",'Price History'!D117/'Price History'!D116-1),"")</f>
        <v>0.099424262169004</v>
      </c>
      <c r="E116" s="76" t="n">
        <f aca="false">IFERROR(IF(OR(NOT(ISNUMBER('Price History'!E117)),NOT(ISNUMBER('Price History'!E116)),'Price History'!E116=0),"",'Price History'!E117/'Price History'!E116-1),"")</f>
        <v>0.0760866216923883</v>
      </c>
      <c r="F116" s="76" t="n">
        <f aca="false">IFERROR(IF(OR(NOT(ISNUMBER('Price History'!F117)),NOT(ISNUMBER('Price History'!F116)),'Price History'!F116=0),"",'Price History'!F117/'Price History'!F116-1),"")</f>
        <v>-0.0183114568141306</v>
      </c>
      <c r="G116" s="76" t="n">
        <f aca="false">IFERROR(IF(OR(NOT(ISNUMBER('Price History'!G117)),NOT(ISNUMBER('Price History'!G116)),'Price History'!G116=0),"",'Price History'!G117/'Price History'!G116-1),"")</f>
        <v>0.126068376068376</v>
      </c>
      <c r="H116" s="76" t="n">
        <f aca="false">IFERROR(IF(OR(NOT(ISNUMBER('Price History'!H117)),NOT(ISNUMBER('Price History'!H116)),'Price History'!H116=0),"",'Price History'!H117/'Price History'!H116-1),"")</f>
        <v>0.11442731277533</v>
      </c>
      <c r="I116" s="76" t="n">
        <f aca="false">IFERROR(IF(OR(NOT(ISNUMBER('Price History'!I117)),NOT(ISNUMBER('Price History'!I116)),'Price History'!I116=0),"",'Price History'!I117/'Price History'!I116-1),"")</f>
        <v>0.000327582441581153</v>
      </c>
      <c r="J116" s="76" t="n">
        <f aca="false">IFERROR(IF(OR(NOT(ISNUMBER('Price History'!J117)),NOT(ISNUMBER('Price History'!J116)),'Price History'!J116=0),"",'Price History'!J117/'Price History'!J116-1),"")</f>
        <v>0.11552638676616</v>
      </c>
      <c r="K116" s="76" t="n">
        <f aca="false">IFERROR(IF(OR(NOT(ISNUMBER('Price History'!K117)),NOT(ISNUMBER('Price History'!K116)),'Price History'!K116=0),"",'Price History'!K117/'Price History'!K116-1),"")</f>
        <v>0.0154468764249887</v>
      </c>
      <c r="L116" s="76" t="n">
        <f aca="false">IFERROR(IF(OR(NOT(ISNUMBER('Price History'!L117)),NOT(ISNUMBER('Price History'!L116)),'Price History'!L116=0),"",'Price History'!L117/'Price History'!L116-1),"")</f>
        <v>0.0513788926102756</v>
      </c>
      <c r="M116" s="76" t="n">
        <f aca="false">IFERROR(IF(OR(NOT(ISNUMBER('Price History'!M117)),NOT(ISNUMBER('Price History'!M116)),'Price History'!M116=0),"",'Price History'!M117/'Price History'!M116-1),"")</f>
        <v>0.0295248801846044</v>
      </c>
      <c r="N116" s="76" t="n">
        <f aca="false">IFERROR(IF(OR(NOT(ISNUMBER('Price History'!N117)),NOT(ISNUMBER('Price History'!N116)),'Price History'!N116=0),"",'Price History'!N117/'Price History'!N116-1),"")</f>
        <v>0.022119228034037</v>
      </c>
      <c r="O116" s="76" t="n">
        <f aca="false">IFERROR(IF(OR(NOT(ISNUMBER('Price History'!O117)),NOT(ISNUMBER('Price History'!O116)),'Price History'!O116=0),"",'Price History'!O117/'Price History'!O116-1),"")</f>
        <v>0.0196449206849461</v>
      </c>
      <c r="P116" s="76" t="str">
        <f aca="false">IFERROR(IF(OR(NOT(ISNUMBER('Price History'!P117)),NOT(ISNUMBER('Price History'!P116)),'Price History'!P116=0),"",'Price History'!P117/'Price History'!P116-1),"")</f>
        <v/>
      </c>
      <c r="Q116" s="76" t="n">
        <f aca="false">IFERROR(IF(OR(NOT(ISNUMBER('Price History'!Q117)),NOT(ISNUMBER('Price History'!Q116)),'Price History'!Q116=0),"",'Price History'!Q117/'Price History'!Q116-1),"")</f>
        <v>0.00226586102719017</v>
      </c>
      <c r="R116" s="76" t="n">
        <f aca="false">IFERROR(IF(OR(NOT(ISNUMBER('Price History'!R117)),NOT(ISNUMBER('Price History'!R116)),'Price History'!R116=0),"",'Price History'!R117/'Price History'!R116-1),"")</f>
        <v>0.0204154091958104</v>
      </c>
      <c r="S116" s="76" t="n">
        <f aca="false">IFERROR(IF(OR(NOT(ISNUMBER('Price History'!S117)),NOT(ISNUMBER('Price History'!S116)),'Price History'!S116=0),"",'Price History'!S117/'Price History'!S116-1),"")</f>
        <v>0.0162025316455696</v>
      </c>
      <c r="T116" s="76" t="n">
        <f aca="false">IFERROR(IF(OR(NOT(ISNUMBER('Price History'!T117)),NOT(ISNUMBER('Price History'!T116)),'Price History'!T116=0),"",'Price History'!T117/'Price History'!T116-1),"")</f>
        <v>0.0139420448332424</v>
      </c>
      <c r="U116" s="76" t="str">
        <f aca="false">IFERROR(IF(OR(NOT(ISNUMBER('Price History'!U117)),NOT(ISNUMBER('Price History'!U116)),'Price History'!U116=0),"",'Price History'!U117/'Price History'!U116-1),"")</f>
        <v/>
      </c>
      <c r="W116" s="77" t="n">
        <f aca="false">'Price History'!B3+('Price History'!B158-'Price History'!B3)*0.733766233766234</f>
        <v>319.108961038961</v>
      </c>
      <c r="X116" s="77" t="n">
        <f aca="false">'Price History'!C3+('Price History'!C158-'Price History'!C3)*0.733766233766234</f>
        <v>143.979805194805</v>
      </c>
      <c r="Y116" s="77" t="n">
        <f aca="false">'Price History'!D3+('Price History'!D158-'Price History'!D3)*0.733766233766234</f>
        <v>1371.49337662338</v>
      </c>
      <c r="Z116" s="77" t="n">
        <f aca="false">'Price History'!E3+('Price History'!E158-'Price History'!E3)*0.733766233766234</f>
        <v>307.732597402597</v>
      </c>
      <c r="AA116" s="77" t="n">
        <f aca="false">'Price History'!F3+('Price History'!F158-'Price History'!F3)*0.733766233766234</f>
        <v>149.913246753247</v>
      </c>
      <c r="AB116" s="77" t="n">
        <f aca="false">'Price History'!G3+('Price History'!G158-'Price History'!G3)*0.733766233766234</f>
        <v>146.89974025974</v>
      </c>
      <c r="AC116" s="77" t="n">
        <f aca="false">'Price History'!H3+('Price History'!H158-'Price History'!H3)*0.733766233766234</f>
        <v>621.049090909091</v>
      </c>
      <c r="AD116" s="77" t="n">
        <f aca="false">'Price History'!I3+('Price History'!I158-'Price History'!I3)*0.733766233766234</f>
        <v>158.179220779221</v>
      </c>
      <c r="AE116" s="77" t="n">
        <f aca="false">'Price History'!J3+('Price History'!J158-'Price History'!J3)*0.733766233766234</f>
        <v>138.992467532468</v>
      </c>
      <c r="AF116" s="77" t="n">
        <f aca="false">'Price History'!K3+('Price History'!K158-'Price History'!K3)*0.733766233766234</f>
        <v>94.3999350649351</v>
      </c>
      <c r="AG116" s="77" t="n">
        <f aca="false">'Price History'!L3+('Price History'!L158-'Price History'!L3)*0.733766233766234</f>
        <v>321.115844155844</v>
      </c>
      <c r="AH116" s="77" t="n">
        <f aca="false">'Price History'!M3+('Price History'!M158-'Price History'!M3)*0.733766233766234</f>
        <v>186.177402597403</v>
      </c>
      <c r="AI116" s="77" t="n">
        <f aca="false">'Price History'!N3+('Price History'!N158-'Price History'!N3)*0.733766233766234</f>
        <v>443.224415584416</v>
      </c>
      <c r="AJ116" s="77" t="n">
        <f aca="false">'Price History'!O3+('Price History'!O158-'Price History'!O3)*0.733766233766234</f>
        <v>113.983701298701</v>
      </c>
      <c r="AK116" s="77" t="n">
        <f aca="false">'Price History'!Q3+('Price History'!Q151-'Price History'!Q3)*0.733766233766234</f>
        <v>63.4953896103896</v>
      </c>
      <c r="AL116" s="77" t="n">
        <f aca="false">'Price History'!R3+('Price History'!R158-'Price History'!R3)*0.733766233766234</f>
        <v>55.4731818181818</v>
      </c>
      <c r="AM116" s="77" t="n">
        <f aca="false">'Price History'!S3+('Price History'!S158-'Price History'!S3)*0.733766233766234</f>
        <v>121.122922077922</v>
      </c>
      <c r="AN116" s="77" t="n">
        <f aca="false">'Price History'!T3+('Price History'!T158-'Price History'!T3)*0.733766233766234</f>
        <v>43.6618831168831</v>
      </c>
    </row>
    <row r="117" customFormat="false" ht="15" hidden="false" customHeight="true" outlineLevel="0" collapsed="false">
      <c r="A117" s="49" t="n">
        <f aca="false">IF('Price History'!A118="","",'Price History'!A118)</f>
        <v>45954</v>
      </c>
      <c r="B117" s="76" t="n">
        <f aca="false">IFERROR(IF(OR(NOT(ISNUMBER('Price History'!B118)),NOT(ISNUMBER('Price History'!B117)),'Price History'!B117=0),"",'Price History'!B118/'Price History'!B117-1),"")</f>
        <v>0.0607933745423992</v>
      </c>
      <c r="C117" s="76" t="n">
        <f aca="false">IFERROR(IF(OR(NOT(ISNUMBER('Price History'!C118)),NOT(ISNUMBER('Price History'!C117)),'Price History'!C117=0),"",'Price History'!C118/'Price History'!C117-1),"")</f>
        <v>0.0749126484975542</v>
      </c>
      <c r="D117" s="76" t="n">
        <f aca="false">IFERROR(IF(OR(NOT(ISNUMBER('Price History'!D118)),NOT(ISNUMBER('Price History'!D117)),'Price History'!D117=0),"",'Price History'!D118/'Price History'!D117-1),"")</f>
        <v>0.00372108387497927</v>
      </c>
      <c r="E117" s="76" t="n">
        <f aca="false">IFERROR(IF(OR(NOT(ISNUMBER('Price History'!E118)),NOT(ISNUMBER('Price History'!E117)),'Price History'!E117=0),"",'Price History'!E118/'Price History'!E117-1),"")</f>
        <v>0.0137405891277589</v>
      </c>
      <c r="F117" s="76" t="n">
        <f aca="false">IFERROR(IF(OR(NOT(ISNUMBER('Price History'!F118)),NOT(ISNUMBER('Price History'!F117)),'Price History'!F117=0),"",'Price History'!F118/'Price History'!F117-1),"")</f>
        <v>0.0880653681082868</v>
      </c>
      <c r="G117" s="76" t="n">
        <f aca="false">IFERROR(IF(OR(NOT(ISNUMBER('Price History'!G118)),NOT(ISNUMBER('Price History'!G117)),'Price History'!G117=0),"",'Price History'!G118/'Price History'!G117-1),"")</f>
        <v>0.0687629890665944</v>
      </c>
      <c r="H117" s="76" t="n">
        <f aca="false">IFERROR(IF(OR(NOT(ISNUMBER('Price History'!H118)),NOT(ISNUMBER('Price History'!H117)),'Price History'!H117=0),"",'Price History'!H118/'Price History'!H117-1),"")</f>
        <v>0.0822215633955925</v>
      </c>
      <c r="I117" s="76" t="n">
        <f aca="false">IFERROR(IF(OR(NOT(ISNUMBER('Price History'!I118)),NOT(ISNUMBER('Price History'!I117)),'Price History'!I117=0),"",'Price History'!I118/'Price History'!I117-1),"")</f>
        <v>0.0165920751009714</v>
      </c>
      <c r="J117" s="76" t="n">
        <f aca="false">IFERROR(IF(OR(NOT(ISNUMBER('Price History'!J118)),NOT(ISNUMBER('Price History'!J117)),'Price History'!J117=0),"",'Price History'!J118/'Price History'!J117-1),"")</f>
        <v>0.018939393939394</v>
      </c>
      <c r="K117" s="76" t="n">
        <f aca="false">IFERROR(IF(OR(NOT(ISNUMBER('Price History'!K118)),NOT(ISNUMBER('Price History'!K117)),'Price History'!K117=0),"",'Price History'!K118/'Price History'!K117-1),"")</f>
        <v>0.0363738422677518</v>
      </c>
      <c r="L117" s="76" t="n">
        <f aca="false">IFERROR(IF(OR(NOT(ISNUMBER('Price History'!L118)),NOT(ISNUMBER('Price History'!L117)),'Price History'!L117=0),"",'Price History'!L118/'Price History'!L117-1),"")</f>
        <v>-0.000406669377795876</v>
      </c>
      <c r="M117" s="76" t="n">
        <f aca="false">IFERROR(IF(OR(NOT(ISNUMBER('Price History'!M118)),NOT(ISNUMBER('Price History'!M117)),'Price History'!M117=0),"",'Price History'!M118/'Price History'!M117-1),"")</f>
        <v>0.0693103448275863</v>
      </c>
      <c r="N117" s="76" t="n">
        <f aca="false">IFERROR(IF(OR(NOT(ISNUMBER('Price History'!N118)),NOT(ISNUMBER('Price History'!N117)),'Price History'!N117=0),"",'Price History'!N118/'Price History'!N117-1),"")</f>
        <v>0.0109882200523019</v>
      </c>
      <c r="O117" s="76" t="n">
        <f aca="false">IFERROR(IF(OR(NOT(ISNUMBER('Price History'!O118)),NOT(ISNUMBER('Price History'!O117)),'Price History'!O117=0),"",'Price History'!O118/'Price History'!O117-1),"")</f>
        <v>0.0293632804450854</v>
      </c>
      <c r="P117" s="76" t="str">
        <f aca="false">IFERROR(IF(OR(NOT(ISNUMBER('Price History'!P118)),NOT(ISNUMBER('Price History'!P117)),'Price History'!P117=0),"",'Price History'!P118/'Price History'!P117-1),"")</f>
        <v/>
      </c>
      <c r="Q117" s="76" t="n">
        <f aca="false">IFERROR(IF(OR(NOT(ISNUMBER('Price History'!Q118)),NOT(ISNUMBER('Price History'!Q117)),'Price History'!Q117=0),"",'Price History'!Q118/'Price History'!Q117-1),"")</f>
        <v>-0.00120572720422008</v>
      </c>
      <c r="R117" s="76" t="n">
        <f aca="false">IFERROR(IF(OR(NOT(ISNUMBER('Price History'!R118)),NOT(ISNUMBER('Price History'!R117)),'Price History'!R117=0),"",'Price History'!R118/'Price History'!R117-1),"")</f>
        <v>0.0186151704940849</v>
      </c>
      <c r="S117" s="76" t="n">
        <f aca="false">IFERROR(IF(OR(NOT(ISNUMBER('Price History'!S118)),NOT(ISNUMBER('Price History'!S117)),'Price History'!S117=0),"",'Price History'!S118/'Price History'!S117-1),"")</f>
        <v>0.0107125062282012</v>
      </c>
      <c r="T117" s="76" t="n">
        <f aca="false">IFERROR(IF(OR(NOT(ISNUMBER('Price History'!T118)),NOT(ISNUMBER('Price History'!T117)),'Price History'!T117=0),"",'Price History'!T118/'Price History'!T117-1),"")</f>
        <v>0.0261526017794553</v>
      </c>
      <c r="U117" s="76" t="str">
        <f aca="false">IFERROR(IF(OR(NOT(ISNUMBER('Price History'!U118)),NOT(ISNUMBER('Price History'!U117)),'Price History'!U117=0),"",'Price History'!U118/'Price History'!U117-1),"")</f>
        <v/>
      </c>
      <c r="W117" s="77" t="n">
        <f aca="false">'Price History'!B3+('Price History'!B158-'Price History'!B3)*0.74025974025974</f>
        <v>317.433376623377</v>
      </c>
      <c r="X117" s="77" t="n">
        <f aca="false">'Price History'!C3+('Price History'!C158-'Price History'!C3)*0.74025974025974</f>
        <v>144.866883116883</v>
      </c>
      <c r="Y117" s="77" t="n">
        <f aca="false">'Price History'!D3+('Price History'!D158-'Price History'!D3)*0.74025974025974</f>
        <v>1377.77402597403</v>
      </c>
      <c r="Z117" s="77" t="n">
        <f aca="false">'Price History'!E3+('Price History'!E158-'Price History'!E3)*0.74025974025974</f>
        <v>309.721558441558</v>
      </c>
      <c r="AA117" s="77" t="n">
        <f aca="false">'Price History'!F3+('Price History'!F158-'Price History'!F3)*0.74025974025974</f>
        <v>150.911948051948</v>
      </c>
      <c r="AB117" s="77" t="n">
        <f aca="false">'Price History'!G3+('Price History'!G158-'Price History'!G3)*0.74025974025974</f>
        <v>147.775844155844</v>
      </c>
      <c r="AC117" s="77" t="n">
        <f aca="false">'Price History'!H3+('Price History'!H158-'Price History'!H3)*0.74025974025974</f>
        <v>625.975454545454</v>
      </c>
      <c r="AD117" s="77" t="n">
        <f aca="false">'Price History'!I3+('Price History'!I158-'Price History'!I3)*0.74025974025974</f>
        <v>159.217532467532</v>
      </c>
      <c r="AE117" s="77" t="n">
        <f aca="false">'Price History'!J3+('Price History'!J158-'Price History'!J3)*0.74025974025974</f>
        <v>139.129480519481</v>
      </c>
      <c r="AF117" s="77" t="n">
        <f aca="false">'Price History'!K3+('Price History'!K158-'Price History'!K3)*0.74025974025974</f>
        <v>95.098961038961</v>
      </c>
      <c r="AG117" s="77" t="n">
        <f aca="false">'Price History'!L3+('Price History'!L158-'Price History'!L3)*0.74025974025974</f>
        <v>323.143506493506</v>
      </c>
      <c r="AH117" s="77" t="n">
        <f aca="false">'Price History'!M3+('Price History'!M158-'Price History'!M3)*0.74025974025974</f>
        <v>187.528441558442</v>
      </c>
      <c r="AI117" s="77" t="n">
        <f aca="false">'Price History'!N3+('Price History'!N158-'Price History'!N3)*0.74025974025974</f>
        <v>444.050649350649</v>
      </c>
      <c r="AJ117" s="77" t="n">
        <f aca="false">'Price History'!O3+('Price History'!O158-'Price History'!O3)*0.74025974025974</f>
        <v>114.259220779221</v>
      </c>
      <c r="AK117" s="77" t="n">
        <f aca="false">'Price History'!Q3+('Price History'!Q151-'Price History'!Q3)*0.74025974025974</f>
        <v>63.6162337662338</v>
      </c>
      <c r="AL117" s="77" t="n">
        <f aca="false">'Price History'!R3+('Price History'!R158-'Price History'!R3)*0.74025974025974</f>
        <v>55.5409090909091</v>
      </c>
      <c r="AM117" s="77" t="n">
        <f aca="false">'Price History'!S3+('Price History'!S158-'Price History'!S3)*0.74025974025974</f>
        <v>121.676753246753</v>
      </c>
      <c r="AN117" s="77" t="n">
        <f aca="false">'Price History'!T3+('Price History'!T158-'Price History'!T3)*0.74025974025974</f>
        <v>43.8101298701299</v>
      </c>
    </row>
    <row r="118" customFormat="false" ht="15" hidden="false" customHeight="true" outlineLevel="0" collapsed="false">
      <c r="A118" s="49" t="n">
        <f aca="false">IF('Price History'!A119="","",'Price History'!A119)</f>
        <v>45961</v>
      </c>
      <c r="B118" s="76" t="n">
        <f aca="false">IFERROR(IF(OR(NOT(ISNUMBER('Price History'!B119)),NOT(ISNUMBER('Price History'!B118)),'Price History'!B118=0),"",'Price History'!B119/'Price History'!B118-1),"")</f>
        <v>-0.037367051369088</v>
      </c>
      <c r="C118" s="76" t="n">
        <f aca="false">IFERROR(IF(OR(NOT(ISNUMBER('Price History'!C119)),NOT(ISNUMBER('Price History'!C118)),'Price History'!C118=0),"",'Price History'!C119/'Price History'!C118-1),"")</f>
        <v>0.0251592770771032</v>
      </c>
      <c r="D118" s="76" t="n">
        <f aca="false">IFERROR(IF(OR(NOT(ISNUMBER('Price History'!D119)),NOT(ISNUMBER('Price History'!D118)),'Price History'!D118=0),"",'Price History'!D119/'Price History'!D118-1),"")</f>
        <v>0.0252928080534316</v>
      </c>
      <c r="E118" s="76" t="n">
        <f aca="false">IFERROR(IF(OR(NOT(ISNUMBER('Price History'!E119)),NOT(ISNUMBER('Price History'!E118)),'Price History'!E118=0),"",'Price History'!E119/'Price History'!E118-1),"")</f>
        <v>0.0437692372857426</v>
      </c>
      <c r="F118" s="76" t="n">
        <f aca="false">IFERROR(IF(OR(NOT(ISNUMBER('Price History'!F119)),NOT(ISNUMBER('Price History'!F118)),'Price History'!F118=0),"",'Price History'!F119/'Price History'!F118-1),"")</f>
        <v>0.029735265114162</v>
      </c>
      <c r="G118" s="76" t="n">
        <f aca="false">IFERROR(IF(OR(NOT(ISNUMBER('Price History'!G119)),NOT(ISNUMBER('Price History'!G118)),'Price History'!G118=0),"",'Price History'!G119/'Price History'!G118-1),"")</f>
        <v>0.021897193101116</v>
      </c>
      <c r="H118" s="76" t="n">
        <f aca="false">IFERROR(IF(OR(NOT(ISNUMBER('Price History'!H119)),NOT(ISNUMBER('Price History'!H118)),'Price History'!H118=0),"",'Price History'!H119/'Price History'!H118-1),"")</f>
        <v>0.0216875171217241</v>
      </c>
      <c r="I118" s="76" t="n">
        <f aca="false">IFERROR(IF(OR(NOT(ISNUMBER('Price History'!I119)),NOT(ISNUMBER('Price History'!I118)),'Price History'!I118=0),"",'Price History'!I119/'Price History'!I118-1),"")</f>
        <v>0.0871362611403415</v>
      </c>
      <c r="J118" s="76" t="n">
        <f aca="false">IFERROR(IF(OR(NOT(ISNUMBER('Price History'!J119)),NOT(ISNUMBER('Price History'!J118)),'Price History'!J118=0),"",'Price History'!J119/'Price History'!J118-1),"")</f>
        <v>-0.0185082654433284</v>
      </c>
      <c r="K118" s="76" t="n">
        <f aca="false">IFERROR(IF(OR(NOT(ISNUMBER('Price History'!K119)),NOT(ISNUMBER('Price History'!K118)),'Price History'!K118=0),"",'Price History'!K119/'Price History'!K118-1),"")</f>
        <v>0.0857932080376971</v>
      </c>
      <c r="L118" s="76" t="n">
        <f aca="false">IFERROR(IF(OR(NOT(ISNUMBER('Price History'!L119)),NOT(ISNUMBER('Price History'!L118)),'Price History'!L118=0),"",'Price History'!L119/'Price History'!L118-1),"")</f>
        <v>0.0185448874423653</v>
      </c>
      <c r="M118" s="76" t="n">
        <f aca="false">IFERROR(IF(OR(NOT(ISNUMBER('Price History'!M119)),NOT(ISNUMBER('Price History'!M118)),'Price History'!M118=0),"",'Price History'!M119/'Price History'!M118-1),"")</f>
        <v>0.0365473503171021</v>
      </c>
      <c r="N118" s="76" t="n">
        <f aca="false">IFERROR(IF(OR(NOT(ISNUMBER('Price History'!N119)),NOT(ISNUMBER('Price History'!N118)),'Price History'!N118=0),"",'Price History'!N119/'Price History'!N118-1),"")</f>
        <v>0.00991955195899297</v>
      </c>
      <c r="O118" s="76" t="n">
        <f aca="false">IFERROR(IF(OR(NOT(ISNUMBER('Price History'!O119)),NOT(ISNUMBER('Price History'!O118)),'Price History'!O118=0),"",'Price History'!O119/'Price History'!O118-1),"")</f>
        <v>-0.0211190071063958</v>
      </c>
      <c r="P118" s="76" t="str">
        <f aca="false">IFERROR(IF(OR(NOT(ISNUMBER('Price History'!P119)),NOT(ISNUMBER('Price History'!P118)),'Price History'!P118=0),"",'Price History'!P119/'Price History'!P118-1),"")</f>
        <v/>
      </c>
      <c r="Q118" s="76" t="n">
        <f aca="false">IFERROR(IF(OR(NOT(ISNUMBER('Price History'!Q119)),NOT(ISNUMBER('Price History'!Q118)),'Price History'!Q118=0),"",'Price History'!Q119/'Price History'!Q118-1),"")</f>
        <v>0.000301795684321871</v>
      </c>
      <c r="R118" s="76" t="n">
        <f aca="false">IFERROR(IF(OR(NOT(ISNUMBER('Price History'!R119)),NOT(ISNUMBER('Price History'!R118)),'Price History'!R118=0),"",'Price History'!R119/'Price History'!R118-1),"")</f>
        <v>0.00939368061485912</v>
      </c>
      <c r="S118" s="76" t="n">
        <f aca="false">IFERROR(IF(OR(NOT(ISNUMBER('Price History'!S119)),NOT(ISNUMBER('Price History'!S118)),'Price History'!S118=0),"",'Price History'!S119/'Price History'!S118-1),"")</f>
        <v>-8.21625174594054E-005</v>
      </c>
      <c r="T118" s="76" t="n">
        <f aca="false">IFERROR(IF(OR(NOT(ISNUMBER('Price History'!T119)),NOT(ISNUMBER('Price History'!T118)),'Price History'!T118=0),"",'Price History'!T119/'Price History'!T118-1),"")</f>
        <v>-0.0063058328954283</v>
      </c>
      <c r="U118" s="76" t="str">
        <f aca="false">IFERROR(IF(OR(NOT(ISNUMBER('Price History'!U119)),NOT(ISNUMBER('Price History'!U118)),'Price History'!U118=0),"",'Price History'!U119/'Price History'!U118-1),"")</f>
        <v/>
      </c>
      <c r="W118" s="77" t="n">
        <f aca="false">'Price History'!B3+('Price History'!B158-'Price History'!B3)*0.746753246753247</f>
        <v>315.757792207792</v>
      </c>
      <c r="X118" s="77" t="n">
        <f aca="false">'Price History'!C3+('Price History'!C158-'Price History'!C3)*0.746753246753247</f>
        <v>145.753961038961</v>
      </c>
      <c r="Y118" s="77" t="n">
        <f aca="false">'Price History'!D3+('Price History'!D158-'Price History'!D3)*0.746753246753247</f>
        <v>1384.05467532468</v>
      </c>
      <c r="Z118" s="77" t="n">
        <f aca="false">'Price History'!E3+('Price History'!E158-'Price History'!E3)*0.746753246753247</f>
        <v>311.71051948052</v>
      </c>
      <c r="AA118" s="77" t="n">
        <f aca="false">'Price History'!F3+('Price History'!F158-'Price History'!F3)*0.746753246753247</f>
        <v>151.910649350649</v>
      </c>
      <c r="AB118" s="77" t="n">
        <f aca="false">'Price History'!G3+('Price History'!G158-'Price History'!G3)*0.746753246753247</f>
        <v>148.651948051948</v>
      </c>
      <c r="AC118" s="77" t="n">
        <f aca="false">'Price History'!H3+('Price History'!H158-'Price History'!H3)*0.746753246753247</f>
        <v>630.901818181818</v>
      </c>
      <c r="AD118" s="77" t="n">
        <f aca="false">'Price History'!I3+('Price History'!I158-'Price History'!I3)*0.746753246753247</f>
        <v>160.255844155844</v>
      </c>
      <c r="AE118" s="77" t="n">
        <f aca="false">'Price History'!J3+('Price History'!J158-'Price History'!J3)*0.746753246753247</f>
        <v>139.266493506494</v>
      </c>
      <c r="AF118" s="77" t="n">
        <f aca="false">'Price History'!K3+('Price History'!K158-'Price History'!K3)*0.746753246753247</f>
        <v>95.797987012987</v>
      </c>
      <c r="AG118" s="77" t="n">
        <f aca="false">'Price History'!L3+('Price History'!L158-'Price History'!L3)*0.746753246753247</f>
        <v>325.171168831169</v>
      </c>
      <c r="AH118" s="77" t="n">
        <f aca="false">'Price History'!M3+('Price History'!M158-'Price History'!M3)*0.746753246753247</f>
        <v>188.879480519481</v>
      </c>
      <c r="AI118" s="77" t="n">
        <f aca="false">'Price History'!N3+('Price History'!N158-'Price History'!N3)*0.746753246753247</f>
        <v>444.876883116883</v>
      </c>
      <c r="AJ118" s="77" t="n">
        <f aca="false">'Price History'!O3+('Price History'!O158-'Price History'!O3)*0.746753246753247</f>
        <v>114.53474025974</v>
      </c>
      <c r="AK118" s="77" t="n">
        <f aca="false">'Price History'!Q3+('Price History'!Q151-'Price History'!Q3)*0.746753246753247</f>
        <v>63.7370779220779</v>
      </c>
      <c r="AL118" s="77" t="n">
        <f aca="false">'Price History'!R3+('Price History'!R158-'Price History'!R3)*0.746753246753247</f>
        <v>55.6086363636364</v>
      </c>
      <c r="AM118" s="77" t="n">
        <f aca="false">'Price History'!S3+('Price History'!S158-'Price History'!S3)*0.746753246753247</f>
        <v>122.230584415584</v>
      </c>
      <c r="AN118" s="77" t="n">
        <f aca="false">'Price History'!T3+('Price History'!T158-'Price History'!T3)*0.746753246753247</f>
        <v>43.9583766233766</v>
      </c>
    </row>
    <row r="119" customFormat="false" ht="15" hidden="false" customHeight="true" outlineLevel="0" collapsed="false">
      <c r="A119" s="49" t="n">
        <f aca="false">IF('Price History'!A120="","",'Price History'!A120)</f>
        <v>45968</v>
      </c>
      <c r="B119" s="76" t="n">
        <f aca="false">IFERROR(IF(OR(NOT(ISNUMBER('Price History'!B120)),NOT(ISNUMBER('Price History'!B119)),'Price History'!B119=0),"",'Price History'!B120/'Price History'!B119-1),"")</f>
        <v>-0.0392583232934678</v>
      </c>
      <c r="C119" s="76" t="n">
        <f aca="false">IFERROR(IF(OR(NOT(ISNUMBER('Price History'!C120)),NOT(ISNUMBER('Price History'!C119)),'Price History'!C119=0),"",'Price History'!C120/'Price History'!C119-1),"")</f>
        <v>-0.146109455260321</v>
      </c>
      <c r="D119" s="76" t="n">
        <f aca="false">IFERROR(IF(OR(NOT(ISNUMBER('Price History'!D120)),NOT(ISNUMBER('Price History'!D119)),'Price History'!D119=0),"",'Price History'!D120/'Price History'!D119-1),"")</f>
        <v>-0.0399063470634329</v>
      </c>
      <c r="E119" s="76" t="n">
        <f aca="false">IFERROR(IF(OR(NOT(ISNUMBER('Price History'!E120)),NOT(ISNUMBER('Price History'!E119)),'Price History'!E119=0),"",'Price History'!E120/'Price History'!E119-1),"")</f>
        <v>-0.054649243838433</v>
      </c>
      <c r="F119" s="76" t="n">
        <f aca="false">IFERROR(IF(OR(NOT(ISNUMBER('Price History'!F120)),NOT(ISNUMBER('Price History'!F119)),'Price History'!F119=0),"",'Price History'!F120/'Price History'!F119-1),"")</f>
        <v>-0.00589318600368327</v>
      </c>
      <c r="G119" s="76" t="n">
        <f aca="false">IFERROR(IF(OR(NOT(ISNUMBER('Price History'!G120)),NOT(ISNUMBER('Price History'!G119)),'Price History'!G119=0),"",'Price History'!G120/'Price History'!G119-1),"")</f>
        <v>-0.0126582278481012</v>
      </c>
      <c r="H119" s="76" t="n">
        <f aca="false">IFERROR(IF(OR(NOT(ISNUMBER('Price History'!H120)),NOT(ISNUMBER('Price History'!H119)),'Price History'!H119=0),"",'Price History'!H120/'Price History'!H119-1),"")</f>
        <v>0.0632345712115117</v>
      </c>
      <c r="I119" s="76" t="n">
        <f aca="false">IFERROR(IF(OR(NOT(ISNUMBER('Price History'!I120)),NOT(ISNUMBER('Price History'!I119)),'Price History'!I119=0),"",'Price History'!I120/'Price History'!I119-1),"")</f>
        <v>-0.0708183120154082</v>
      </c>
      <c r="J119" s="76" t="n">
        <f aca="false">IFERROR(IF(OR(NOT(ISNUMBER('Price History'!J120)),NOT(ISNUMBER('Price History'!J119)),'Price History'!J119=0),"",'Price History'!J120/'Price History'!J119-1),"")</f>
        <v>0.0121685873156578</v>
      </c>
      <c r="K119" s="76" t="n">
        <f aca="false">IFERROR(IF(OR(NOT(ISNUMBER('Price History'!K120)),NOT(ISNUMBER('Price History'!K119)),'Price History'!K119=0),"",'Price History'!K120/'Price History'!K119-1),"")</f>
        <v>-0.112435775926573</v>
      </c>
      <c r="L119" s="76" t="n">
        <f aca="false">IFERROR(IF(OR(NOT(ISNUMBER('Price History'!L120)),NOT(ISNUMBER('Price History'!L119)),'Price History'!L119=0),"",'Price History'!L120/'Price History'!L119-1),"")</f>
        <v>-0.0463668741470559</v>
      </c>
      <c r="M119" s="76" t="n">
        <f aca="false">IFERROR(IF(OR(NOT(ISNUMBER('Price History'!M120)),NOT(ISNUMBER('Price History'!M119)),'Price History'!M119=0),"",'Price History'!M120/'Price History'!M119-1),"")</f>
        <v>-0.0677175152960697</v>
      </c>
      <c r="N119" s="76" t="n">
        <f aca="false">IFERROR(IF(OR(NOT(ISNUMBER('Price History'!N120)),NOT(ISNUMBER('Price History'!N119)),'Price History'!N119=0),"",'Price History'!N120/'Price History'!N119-1),"")</f>
        <v>-0.0378316140705406</v>
      </c>
      <c r="O119" s="76" t="n">
        <f aca="false">IFERROR(IF(OR(NOT(ISNUMBER('Price History'!O120)),NOT(ISNUMBER('Price History'!O119)),'Price History'!O119=0),"",'Price History'!O120/'Price History'!O119-1),"")</f>
        <v>-0.000613496932515334</v>
      </c>
      <c r="P119" s="76" t="str">
        <f aca="false">IFERROR(IF(OR(NOT(ISNUMBER('Price History'!P120)),NOT(ISNUMBER('Price History'!P119)),'Price History'!P119=0),"",'Price History'!P120/'Price History'!P119-1),"")</f>
        <v/>
      </c>
      <c r="Q119" s="76" t="n">
        <f aca="false">IFERROR(IF(OR(NOT(ISNUMBER('Price History'!Q120)),NOT(ISNUMBER('Price History'!Q119)),'Price History'!Q119=0),"",'Price History'!Q120/'Price History'!Q119-1),"")</f>
        <v>0.0107105144063961</v>
      </c>
      <c r="R119" s="76" t="n">
        <f aca="false">IFERROR(IF(OR(NOT(ISNUMBER('Price History'!R120)),NOT(ISNUMBER('Price History'!R119)),'Price History'!R119=0),"",'Price History'!R120/'Price History'!R119-1),"")</f>
        <v>-0.0235194585448393</v>
      </c>
      <c r="S119" s="76" t="n">
        <f aca="false">IFERROR(IF(OR(NOT(ISNUMBER('Price History'!S120)),NOT(ISNUMBER('Price History'!S119)),'Price History'!S119=0),"",'Price History'!S120/'Price History'!S119-1),"")</f>
        <v>-0.0260476581758422</v>
      </c>
      <c r="T119" s="76" t="n">
        <f aca="false">IFERROR(IF(OR(NOT(ISNUMBER('Price History'!T120)),NOT(ISNUMBER('Price History'!T119)),'Price History'!T119=0),"",'Price History'!T120/'Price History'!T119-1),"")</f>
        <v>0.00158646218931779</v>
      </c>
      <c r="U119" s="76" t="str">
        <f aca="false">IFERROR(IF(OR(NOT(ISNUMBER('Price History'!U120)),NOT(ISNUMBER('Price History'!U119)),'Price History'!U119=0),"",'Price History'!U120/'Price History'!U119-1),"")</f>
        <v/>
      </c>
      <c r="W119" s="77" t="n">
        <f aca="false">'Price History'!B3+('Price History'!B158-'Price History'!B3)*0.753246753246753</f>
        <v>314.082207792208</v>
      </c>
      <c r="X119" s="77" t="n">
        <f aca="false">'Price History'!C3+('Price History'!C158-'Price History'!C3)*0.753246753246753</f>
        <v>146.641038961039</v>
      </c>
      <c r="Y119" s="77" t="n">
        <f aca="false">'Price History'!D3+('Price History'!D158-'Price History'!D3)*0.753246753246753</f>
        <v>1390.33532467532</v>
      </c>
      <c r="Z119" s="77" t="n">
        <f aca="false">'Price History'!E3+('Price History'!E158-'Price History'!E3)*0.753246753246753</f>
        <v>313.69948051948</v>
      </c>
      <c r="AA119" s="77" t="n">
        <f aca="false">'Price History'!F3+('Price History'!F158-'Price History'!F3)*0.753246753246753</f>
        <v>152.909350649351</v>
      </c>
      <c r="AB119" s="77" t="n">
        <f aca="false">'Price History'!G3+('Price History'!G158-'Price History'!G3)*0.753246753246753</f>
        <v>149.528051948052</v>
      </c>
      <c r="AC119" s="77" t="n">
        <f aca="false">'Price History'!H3+('Price History'!H158-'Price History'!H3)*0.753246753246753</f>
        <v>635.828181818182</v>
      </c>
      <c r="AD119" s="77" t="n">
        <f aca="false">'Price History'!I3+('Price History'!I158-'Price History'!I3)*0.753246753246753</f>
        <v>161.294155844156</v>
      </c>
      <c r="AE119" s="77" t="n">
        <f aca="false">'Price History'!J3+('Price History'!J158-'Price History'!J3)*0.753246753246753</f>
        <v>139.403506493507</v>
      </c>
      <c r="AF119" s="77" t="n">
        <f aca="false">'Price History'!K3+('Price History'!K158-'Price History'!K3)*0.753246753246753</f>
        <v>96.497012987013</v>
      </c>
      <c r="AG119" s="77" t="n">
        <f aca="false">'Price History'!L3+('Price History'!L158-'Price History'!L3)*0.753246753246753</f>
        <v>327.198831168831</v>
      </c>
      <c r="AH119" s="77" t="n">
        <f aca="false">'Price History'!M3+('Price History'!M158-'Price History'!M3)*0.753246753246753</f>
        <v>190.230519480519</v>
      </c>
      <c r="AI119" s="77" t="n">
        <f aca="false">'Price History'!N3+('Price History'!N158-'Price History'!N3)*0.753246753246753</f>
        <v>445.703116883117</v>
      </c>
      <c r="AJ119" s="77" t="n">
        <f aca="false">'Price History'!O3+('Price History'!O158-'Price History'!O3)*0.753246753246753</f>
        <v>114.81025974026</v>
      </c>
      <c r="AK119" s="77" t="n">
        <f aca="false">'Price History'!Q3+('Price History'!Q151-'Price History'!Q3)*0.753246753246753</f>
        <v>63.8579220779221</v>
      </c>
      <c r="AL119" s="77" t="n">
        <f aca="false">'Price History'!R3+('Price History'!R158-'Price History'!R3)*0.753246753246753</f>
        <v>55.6763636363636</v>
      </c>
      <c r="AM119" s="77" t="n">
        <f aca="false">'Price History'!S3+('Price History'!S158-'Price History'!S3)*0.753246753246753</f>
        <v>122.784415584416</v>
      </c>
      <c r="AN119" s="77" t="n">
        <f aca="false">'Price History'!T3+('Price History'!T158-'Price History'!T3)*0.753246753246753</f>
        <v>44.1066233766234</v>
      </c>
    </row>
    <row r="120" customFormat="false" ht="15" hidden="false" customHeight="true" outlineLevel="0" collapsed="false">
      <c r="A120" s="49" t="n">
        <f aca="false">IF('Price History'!A121="","",'Price History'!A121)</f>
        <v>45975</v>
      </c>
      <c r="B120" s="76" t="n">
        <f aca="false">IFERROR(IF(OR(NOT(ISNUMBER('Price History'!B121)),NOT(ISNUMBER('Price History'!B120)),'Price History'!B120=0),"",'Price History'!B121/'Price History'!B120-1),"")</f>
        <v>0.0127236580516898</v>
      </c>
      <c r="C120" s="76" t="n">
        <f aca="false">IFERROR(IF(OR(NOT(ISNUMBER('Price History'!C121)),NOT(ISNUMBER('Price History'!C120)),'Price History'!C120=0),"",'Price History'!C121/'Price History'!C120-1),"")</f>
        <v>-0.024359450427033</v>
      </c>
      <c r="D120" s="76" t="n">
        <f aca="false">IFERROR(IF(OR(NOT(ISNUMBER('Price History'!D121)),NOT(ISNUMBER('Price History'!D120)),'Price History'!D120=0),"",'Price History'!D121/'Price History'!D120-1),"")</f>
        <v>-0.00981356198867212</v>
      </c>
      <c r="E120" s="76" t="n">
        <f aca="false">IFERROR(IF(OR(NOT(ISNUMBER('Price History'!E121)),NOT(ISNUMBER('Price History'!E120)),'Price History'!E120=0),"",'Price History'!E121/'Price History'!E120-1),"")</f>
        <v>-0.0199467704547407</v>
      </c>
      <c r="F120" s="76" t="n">
        <f aca="false">IFERROR(IF(OR(NOT(ISNUMBER('Price History'!F121)),NOT(ISNUMBER('Price History'!F120)),'Price History'!F120=0),"",'Price History'!F121/'Price History'!F120-1),"")</f>
        <v>-0.00414968506854396</v>
      </c>
      <c r="G120" s="76" t="n">
        <f aca="false">IFERROR(IF(OR(NOT(ISNUMBER('Price History'!G121)),NOT(ISNUMBER('Price History'!G120)),'Price History'!G120=0),"",'Price History'!G121/'Price History'!G120-1),"")</f>
        <v>-0.0495223730517848</v>
      </c>
      <c r="H120" s="76" t="n">
        <f aca="false">IFERROR(IF(OR(NOT(ISNUMBER('Price History'!H121)),NOT(ISNUMBER('Price History'!H120)),'Price History'!H120=0),"",'Price History'!H121/'Price History'!H120-1),"")</f>
        <v>0.0374495628782785</v>
      </c>
      <c r="I120" s="76" t="n">
        <f aca="false">IFERROR(IF(OR(NOT(ISNUMBER('Price History'!I121)),NOT(ISNUMBER('Price History'!I120)),'Price History'!I120=0),"",'Price History'!I121/'Price History'!I120-1),"")</f>
        <v>0.0107361148020195</v>
      </c>
      <c r="J120" s="76" t="n">
        <f aca="false">IFERROR(IF(OR(NOT(ISNUMBER('Price History'!J121)),NOT(ISNUMBER('Price History'!J120)),'Price History'!J120=0),"",'Price History'!J121/'Price History'!J120-1),"")</f>
        <v>-0.0220541401273885</v>
      </c>
      <c r="K120" s="76" t="n">
        <f aca="false">IFERROR(IF(OR(NOT(ISNUMBER('Price History'!K121)),NOT(ISNUMBER('Price History'!K120)),'Price History'!K120=0),"",'Price History'!K121/'Price History'!K120-1),"")</f>
        <v>-0.0220311358399371</v>
      </c>
      <c r="L120" s="76" t="n">
        <f aca="false">IFERROR(IF(OR(NOT(ISNUMBER('Price History'!L121)),NOT(ISNUMBER('Price History'!L120)),'Price History'!L120=0),"",'Price History'!L121/'Price History'!L120-1),"")</f>
        <v>-0.0058638743455498</v>
      </c>
      <c r="M120" s="76" t="n">
        <f aca="false">IFERROR(IF(OR(NOT(ISNUMBER('Price History'!M121)),NOT(ISNUMBER('Price History'!M120)),'Price History'!M120=0),"",'Price History'!M121/'Price History'!M120-1),"")</f>
        <v>-0.0491101223581758</v>
      </c>
      <c r="N120" s="76" t="n">
        <f aca="false">IFERROR(IF(OR(NOT(ISNUMBER('Price History'!N121)),NOT(ISNUMBER('Price History'!N120)),'Price History'!N120=0),"",'Price History'!N121/'Price History'!N120-1),"")</f>
        <v>0.0675995799448066</v>
      </c>
      <c r="O120" s="76" t="n">
        <f aca="false">IFERROR(IF(OR(NOT(ISNUMBER('Price History'!O121)),NOT(ISNUMBER('Price History'!O120)),'Price History'!O120=0),"",'Price History'!O121/'Price History'!O120-1),"")</f>
        <v>-0.00153468385512578</v>
      </c>
      <c r="P120" s="76" t="str">
        <f aca="false">IFERROR(IF(OR(NOT(ISNUMBER('Price History'!P121)),NOT(ISNUMBER('Price History'!P120)),'Price History'!P120=0),"",'Price History'!P121/'Price History'!P120-1),"")</f>
        <v/>
      </c>
      <c r="Q120" s="76" t="n">
        <f aca="false">IFERROR(IF(OR(NOT(ISNUMBER('Price History'!Q121)),NOT(ISNUMBER('Price History'!Q120)),'Price History'!Q120=0),"",'Price History'!Q121/'Price History'!Q120-1),"")</f>
        <v>-0.00835820895522388</v>
      </c>
      <c r="R120" s="76" t="n">
        <f aca="false">IFERROR(IF(OR(NOT(ISNUMBER('Price History'!R121)),NOT(ISNUMBER('Price History'!R120)),'Price History'!R120=0),"",'Price History'!R121/'Price History'!R120-1),"")</f>
        <v>0.00190608213481203</v>
      </c>
      <c r="S120" s="76" t="n">
        <f aca="false">IFERROR(IF(OR(NOT(ISNUMBER('Price History'!S121)),NOT(ISNUMBER('Price History'!S120)),'Price History'!S120=0),"",'Price History'!S121/'Price History'!S120-1),"")</f>
        <v>-0.00590567788745466</v>
      </c>
      <c r="T120" s="76" t="n">
        <f aca="false">IFERROR(IF(OR(NOT(ISNUMBER('Price History'!T121)),NOT(ISNUMBER('Price History'!T120)),'Price History'!T120=0),"",'Price History'!T121/'Price History'!T120-1),"")</f>
        <v>0.0110876451953537</v>
      </c>
      <c r="U120" s="76" t="str">
        <f aca="false">IFERROR(IF(OR(NOT(ISNUMBER('Price History'!U121)),NOT(ISNUMBER('Price History'!U120)),'Price History'!U120=0),"",'Price History'!U121/'Price History'!U120-1),"")</f>
        <v/>
      </c>
      <c r="W120" s="77" t="n">
        <f aca="false">'Price History'!B3+('Price History'!B158-'Price History'!B3)*0.75974025974026</f>
        <v>312.406623376623</v>
      </c>
      <c r="X120" s="77" t="n">
        <f aca="false">'Price History'!C3+('Price History'!C158-'Price History'!C3)*0.75974025974026</f>
        <v>147.528116883117</v>
      </c>
      <c r="Y120" s="77" t="n">
        <f aca="false">'Price History'!D3+('Price History'!D158-'Price History'!D3)*0.75974025974026</f>
        <v>1396.61597402597</v>
      </c>
      <c r="Z120" s="77" t="n">
        <f aca="false">'Price History'!E3+('Price History'!E158-'Price History'!E3)*0.75974025974026</f>
        <v>315.688441558442</v>
      </c>
      <c r="AA120" s="77" t="n">
        <f aca="false">'Price History'!F3+('Price History'!F158-'Price History'!F3)*0.75974025974026</f>
        <v>153.908051948052</v>
      </c>
      <c r="AB120" s="77" t="n">
        <f aca="false">'Price History'!G3+('Price History'!G158-'Price History'!G3)*0.75974025974026</f>
        <v>150.404155844156</v>
      </c>
      <c r="AC120" s="77" t="n">
        <f aca="false">'Price History'!H3+('Price History'!H158-'Price History'!H3)*0.75974025974026</f>
        <v>640.754545454546</v>
      </c>
      <c r="AD120" s="77" t="n">
        <f aca="false">'Price History'!I3+('Price History'!I158-'Price History'!I3)*0.75974025974026</f>
        <v>162.332467532468</v>
      </c>
      <c r="AE120" s="77" t="n">
        <f aca="false">'Price History'!J3+('Price History'!J158-'Price History'!J3)*0.75974025974026</f>
        <v>139.54051948052</v>
      </c>
      <c r="AF120" s="77" t="n">
        <f aca="false">'Price History'!K3+('Price History'!K158-'Price History'!K3)*0.75974025974026</f>
        <v>97.196038961039</v>
      </c>
      <c r="AG120" s="77" t="n">
        <f aca="false">'Price History'!L3+('Price History'!L158-'Price History'!L3)*0.75974025974026</f>
        <v>329.226493506494</v>
      </c>
      <c r="AH120" s="77" t="n">
        <f aca="false">'Price History'!M3+('Price History'!M158-'Price History'!M3)*0.75974025974026</f>
        <v>191.581558441558</v>
      </c>
      <c r="AI120" s="77" t="n">
        <f aca="false">'Price History'!N3+('Price History'!N158-'Price History'!N3)*0.75974025974026</f>
        <v>446.529350649351</v>
      </c>
      <c r="AJ120" s="77" t="n">
        <f aca="false">'Price History'!O3+('Price History'!O158-'Price History'!O3)*0.75974025974026</f>
        <v>115.085779220779</v>
      </c>
      <c r="AK120" s="77" t="n">
        <f aca="false">'Price History'!Q3+('Price History'!Q151-'Price History'!Q3)*0.75974025974026</f>
        <v>63.9787662337662</v>
      </c>
      <c r="AL120" s="77" t="n">
        <f aca="false">'Price History'!R3+('Price History'!R158-'Price History'!R3)*0.75974025974026</f>
        <v>55.7440909090909</v>
      </c>
      <c r="AM120" s="77" t="n">
        <f aca="false">'Price History'!S3+('Price History'!S158-'Price History'!S3)*0.75974025974026</f>
        <v>123.338246753247</v>
      </c>
      <c r="AN120" s="77" t="n">
        <f aca="false">'Price History'!T3+('Price History'!T158-'Price History'!T3)*0.75974025974026</f>
        <v>44.2548701298701</v>
      </c>
    </row>
    <row r="121" customFormat="false" ht="15" hidden="false" customHeight="true" outlineLevel="0" collapsed="false">
      <c r="A121" s="49" t="n">
        <f aca="false">IF('Price History'!A122="","",'Price History'!A122)</f>
        <v>45982</v>
      </c>
      <c r="B121" s="76" t="n">
        <f aca="false">IFERROR(IF(OR(NOT(ISNUMBER('Price History'!B122)),NOT(ISNUMBER('Price History'!B121)),'Price History'!B121=0),"",'Price History'!B122/'Price History'!B121-1),"")</f>
        <v>-0.0208993989912718</v>
      </c>
      <c r="C121" s="76" t="n">
        <f aca="false">IFERROR(IF(OR(NOT(ISNUMBER('Price History'!C122)),NOT(ISNUMBER('Price History'!C121)),'Price History'!C121=0),"",'Price History'!C122/'Price History'!C121-1),"")</f>
        <v>-0.106112506660577</v>
      </c>
      <c r="D121" s="76" t="n">
        <f aca="false">IFERROR(IF(OR(NOT(ISNUMBER('Price History'!D122)),NOT(ISNUMBER('Price History'!D121)),'Price History'!D121=0),"",'Price History'!D122/'Price History'!D121-1),"")</f>
        <v>-0.0401298933444557</v>
      </c>
      <c r="E121" s="76" t="n">
        <f aca="false">IFERROR(IF(OR(NOT(ISNUMBER('Price History'!E122)),NOT(ISNUMBER('Price History'!E121)),'Price History'!E121=0),"",'Price History'!E122/'Price History'!E121-1),"")</f>
        <v>-0.00659931086842258</v>
      </c>
      <c r="F121" s="76" t="n">
        <f aca="false">IFERROR(IF(OR(NOT(ISNUMBER('Price History'!F122)),NOT(ISNUMBER('Price History'!F121)),'Price History'!F121=0),"",'Price History'!F122/'Price History'!F121-1),"")</f>
        <v>-0.0872088697075675</v>
      </c>
      <c r="G121" s="76" t="n">
        <f aca="false">IFERROR(IF(OR(NOT(ISNUMBER('Price History'!G122)),NOT(ISNUMBER('Price History'!G121)),'Price History'!G121=0),"",'Price History'!G122/'Price History'!G121-1),"")</f>
        <v>-0.0327955567310236</v>
      </c>
      <c r="H121" s="76" t="n">
        <f aca="false">IFERROR(IF(OR(NOT(ISNUMBER('Price History'!H122)),NOT(ISNUMBER('Price History'!H121)),'Price History'!H121=0),"",'Price History'!H122/'Price History'!H121-1),"")</f>
        <v>-0.159867115018434</v>
      </c>
      <c r="I121" s="76" t="n">
        <f aca="false">IFERROR(IF(OR(NOT(ISNUMBER('Price History'!I122)),NOT(ISNUMBER('Price History'!I121)),'Price History'!I121=0),"",'Price History'!I122/'Price History'!I121-1),"")</f>
        <v>-0.0593679339538308</v>
      </c>
      <c r="J121" s="76" t="n">
        <f aca="false">IFERROR(IF(OR(NOT(ISNUMBER('Price History'!J122)),NOT(ISNUMBER('Price History'!J121)),'Price History'!J121=0),"",'Price History'!J122/'Price History'!J121-1),"")</f>
        <v>0.0240983473092893</v>
      </c>
      <c r="K121" s="76" t="n">
        <f aca="false">IFERROR(IF(OR(NOT(ISNUMBER('Price History'!K122)),NOT(ISNUMBER('Price History'!K121)),'Price History'!K121=0),"",'Price History'!K122/'Price History'!K121-1),"")</f>
        <v>-0.110108614447446</v>
      </c>
      <c r="L121" s="76" t="n">
        <f aca="false">IFERROR(IF(OR(NOT(ISNUMBER('Price History'!L122)),NOT(ISNUMBER('Price History'!L121)),'Price History'!L121=0),"",'Price History'!L122/'Price History'!L121-1),"")</f>
        <v>-0.0342672565128853</v>
      </c>
      <c r="M121" s="76" t="n">
        <f aca="false">IFERROR(IF(OR(NOT(ISNUMBER('Price History'!M122)),NOT(ISNUMBER('Price History'!M121)),'Price History'!M121=0),"",'Price History'!M122/'Price History'!M121-1),"")</f>
        <v>-0.065157629993566</v>
      </c>
      <c r="N121" s="76" t="n">
        <f aca="false">IFERROR(IF(OR(NOT(ISNUMBER('Price History'!N122)),NOT(ISNUMBER('Price History'!N121)),'Price History'!N121=0),"",'Price History'!N122/'Price History'!N121-1),"")</f>
        <v>-0.023767585496969</v>
      </c>
      <c r="O121" s="76" t="n">
        <f aca="false">IFERROR(IF(OR(NOT(ISNUMBER('Price History'!O122)),NOT(ISNUMBER('Price History'!O121)),'Price History'!O121=0),"",'Price History'!O122/'Price History'!O121-1),"")</f>
        <v>-0.00778768316425871</v>
      </c>
      <c r="P121" s="76" t="str">
        <f aca="false">IFERROR(IF(OR(NOT(ISNUMBER('Price History'!P122)),NOT(ISNUMBER('Price History'!P121)),'Price History'!P121=0),"",'Price History'!P122/'Price History'!P121-1),"")</f>
        <v/>
      </c>
      <c r="Q121" s="76" t="n">
        <f aca="false">IFERROR(IF(OR(NOT(ISNUMBER('Price History'!Q122)),NOT(ISNUMBER('Price History'!Q121)),'Price History'!Q121=0),"",'Price History'!Q122/'Price History'!Q121-1),"")</f>
        <v>0.00918121613485856</v>
      </c>
      <c r="R121" s="76" t="n">
        <f aca="false">IFERROR(IF(OR(NOT(ISNUMBER('Price History'!R122)),NOT(ISNUMBER('Price History'!R121)),'Price History'!R121=0),"",'Price History'!R122/'Price History'!R121-1),"")</f>
        <v>-0.0273261847111725</v>
      </c>
      <c r="S121" s="76" t="n">
        <f aca="false">IFERROR(IF(OR(NOT(ISNUMBER('Price History'!S122)),NOT(ISNUMBER('Price History'!S121)),'Price History'!S121=0),"",'Price History'!S122/'Price History'!S121-1),"")</f>
        <v>-0.0299584146651957</v>
      </c>
      <c r="T121" s="76" t="n">
        <f aca="false">IFERROR(IF(OR(NOT(ISNUMBER('Price History'!T122)),NOT(ISNUMBER('Price History'!T121)),'Price History'!T121=0),"",'Price History'!T122/'Price History'!T121-1),"")</f>
        <v>-0.0201044386422975</v>
      </c>
      <c r="U121" s="76" t="str">
        <f aca="false">IFERROR(IF(OR(NOT(ISNUMBER('Price History'!U122)),NOT(ISNUMBER('Price History'!U121)),'Price History'!U121=0),"",'Price History'!U122/'Price History'!U121-1),"")</f>
        <v/>
      </c>
      <c r="W121" s="77" t="n">
        <f aca="false">'Price History'!B3+('Price History'!B158-'Price History'!B3)*0.766233766233766</f>
        <v>310.731038961039</v>
      </c>
      <c r="X121" s="77" t="n">
        <f aca="false">'Price History'!C3+('Price History'!C158-'Price History'!C3)*0.766233766233766</f>
        <v>148.415194805195</v>
      </c>
      <c r="Y121" s="77" t="n">
        <f aca="false">'Price History'!D3+('Price History'!D158-'Price History'!D3)*0.766233766233766</f>
        <v>1402.89662337662</v>
      </c>
      <c r="Z121" s="77" t="n">
        <f aca="false">'Price History'!E3+('Price History'!E158-'Price History'!E3)*0.766233766233766</f>
        <v>317.677402597403</v>
      </c>
      <c r="AA121" s="77" t="n">
        <f aca="false">'Price History'!F3+('Price History'!F158-'Price History'!F3)*0.766233766233766</f>
        <v>154.906753246753</v>
      </c>
      <c r="AB121" s="77" t="n">
        <f aca="false">'Price History'!G3+('Price History'!G158-'Price History'!G3)*0.766233766233766</f>
        <v>151.28025974026</v>
      </c>
      <c r="AC121" s="77" t="n">
        <f aca="false">'Price History'!H3+('Price History'!H158-'Price History'!H3)*0.766233766233766</f>
        <v>645.680909090909</v>
      </c>
      <c r="AD121" s="77" t="n">
        <f aca="false">'Price History'!I3+('Price History'!I158-'Price History'!I3)*0.766233766233766</f>
        <v>163.370779220779</v>
      </c>
      <c r="AE121" s="77" t="n">
        <f aca="false">'Price History'!J3+('Price History'!J158-'Price History'!J3)*0.766233766233766</f>
        <v>139.677532467532</v>
      </c>
      <c r="AF121" s="77" t="n">
        <f aca="false">'Price History'!K3+('Price History'!K158-'Price History'!K3)*0.766233766233766</f>
        <v>97.8950649350649</v>
      </c>
      <c r="AG121" s="77" t="n">
        <f aca="false">'Price History'!L3+('Price History'!L158-'Price History'!L3)*0.766233766233766</f>
        <v>331.254155844156</v>
      </c>
      <c r="AH121" s="77" t="n">
        <f aca="false">'Price History'!M3+('Price History'!M158-'Price History'!M3)*0.766233766233766</f>
        <v>192.932597402597</v>
      </c>
      <c r="AI121" s="77" t="n">
        <f aca="false">'Price History'!N3+('Price History'!N158-'Price History'!N3)*0.766233766233766</f>
        <v>447.355584415584</v>
      </c>
      <c r="AJ121" s="77" t="n">
        <f aca="false">'Price History'!O3+('Price History'!O158-'Price History'!O3)*0.766233766233766</f>
        <v>115.361298701299</v>
      </c>
      <c r="AK121" s="77" t="n">
        <f aca="false">'Price History'!Q3+('Price History'!Q151-'Price History'!Q3)*0.766233766233766</f>
        <v>64.0996103896104</v>
      </c>
      <c r="AL121" s="77" t="n">
        <f aca="false">'Price History'!R3+('Price History'!R158-'Price History'!R3)*0.766233766233766</f>
        <v>55.8118181818182</v>
      </c>
      <c r="AM121" s="77" t="n">
        <f aca="false">'Price History'!S3+('Price History'!S158-'Price History'!S3)*0.766233766233766</f>
        <v>123.892077922078</v>
      </c>
      <c r="AN121" s="77" t="n">
        <f aca="false">'Price History'!T3+('Price History'!T158-'Price History'!T3)*0.766233766233766</f>
        <v>44.4031168831169</v>
      </c>
    </row>
    <row r="122" customFormat="false" ht="15" hidden="false" customHeight="true" outlineLevel="0" collapsed="false">
      <c r="A122" s="49" t="n">
        <f aca="false">IF('Price History'!A123="","",'Price History'!A123)</f>
        <v>45989</v>
      </c>
      <c r="B122" s="76" t="n">
        <f aca="false">IFERROR(IF(OR(NOT(ISNUMBER('Price History'!B123)),NOT(ISNUMBER('Price History'!B122)),'Price History'!B122=0),"",'Price History'!B123/'Price History'!B122-1),"")</f>
        <v>-0.0125235201579321</v>
      </c>
      <c r="C122" s="76" t="n">
        <f aca="false">IFERROR(IF(OR(NOT(ISNUMBER('Price History'!C123)),NOT(ISNUMBER('Price History'!C122)),'Price History'!C122=0),"",'Price History'!C123/'Price History'!C122-1),"")</f>
        <v>0.112833177211956</v>
      </c>
      <c r="D122" s="76" t="n">
        <f aca="false">IFERROR(IF(OR(NOT(ISNUMBER('Price History'!D123)),NOT(ISNUMBER('Price History'!D122)),'Price History'!D122=0),"",'Price History'!D123/'Price History'!D122-1),"")</f>
        <v>0.0966613902769586</v>
      </c>
      <c r="E122" s="76" t="n">
        <f aca="false">IFERROR(IF(OR(NOT(ISNUMBER('Price History'!E123)),NOT(ISNUMBER('Price History'!E122)),'Price History'!E122=0),"",'Price History'!E123/'Price History'!E122-1),"")</f>
        <v>0.184479717813051</v>
      </c>
      <c r="F122" s="76" t="n">
        <f aca="false">IFERROR(IF(OR(NOT(ISNUMBER('Price History'!F123)),NOT(ISNUMBER('Price History'!F122)),'Price History'!F122=0),"",'Price History'!F123/'Price History'!F122-1),"")</f>
        <v>0.0376620200538029</v>
      </c>
      <c r="G122" s="76" t="n">
        <f aca="false">IFERROR(IF(OR(NOT(ISNUMBER('Price History'!G123)),NOT(ISNUMBER('Price History'!G122)),'Price History'!G122=0),"",'Price History'!G123/'Price History'!G122-1),"")</f>
        <v>0.0714611247835202</v>
      </c>
      <c r="H122" s="76" t="n">
        <f aca="false">IFERROR(IF(OR(NOT(ISNUMBER('Price History'!H123)),NOT(ISNUMBER('Price History'!H122)),'Price History'!H122=0),"",'Price History'!H123/'Price History'!H122-1),"")</f>
        <v>0.140377103727636</v>
      </c>
      <c r="I122" s="76" t="n">
        <f aca="false">IFERROR(IF(OR(NOT(ISNUMBER('Price History'!I123)),NOT(ISNUMBER('Price History'!I122)),'Price History'!I122=0),"",'Price History'!I123/'Price History'!I122-1),"")</f>
        <v>-0.0105098389982111</v>
      </c>
      <c r="J122" s="76" t="n">
        <f aca="false">IFERROR(IF(OR(NOT(ISNUMBER('Price History'!J123)),NOT(ISNUMBER('Price History'!J122)),'Price History'!J122=0),"",'Price History'!J123/'Price History'!J122-1),"")</f>
        <v>0.021782335638763</v>
      </c>
      <c r="K122" s="76" t="n">
        <f aca="false">IFERROR(IF(OR(NOT(ISNUMBER('Price History'!K123)),NOT(ISNUMBER('Price History'!K122)),'Price History'!K122=0),"",'Price History'!K123/'Price History'!K122-1),"")</f>
        <v>0.0878269292864062</v>
      </c>
      <c r="L122" s="76" t="n">
        <f aca="false">IFERROR(IF(OR(NOT(ISNUMBER('Price History'!L123)),NOT(ISNUMBER('Price History'!L122)),'Price History'!L122=0),"",'Price History'!L123/'Price History'!L122-1),"")</f>
        <v>0.0598051334254344</v>
      </c>
      <c r="M122" s="76" t="n">
        <f aca="false">IFERROR(IF(OR(NOT(ISNUMBER('Price History'!M123)),NOT(ISNUMBER('Price History'!M122)),'Price History'!M122=0),"",'Price History'!M123/'Price History'!M122-1),"")</f>
        <v>0.124507288994557</v>
      </c>
      <c r="N122" s="76" t="n">
        <f aca="false">IFERROR(IF(OR(NOT(ISNUMBER('Price History'!N123)),NOT(ISNUMBER('Price History'!N122)),'Price History'!N122=0),"",'Price History'!N123/'Price History'!N122-1),"")</f>
        <v>0.0160511763051834</v>
      </c>
      <c r="O122" s="76" t="n">
        <f aca="false">IFERROR(IF(OR(NOT(ISNUMBER('Price History'!O123)),NOT(ISNUMBER('Price History'!O122)),'Price History'!O122=0),"",'Price History'!O123/'Price History'!O122-1),"")</f>
        <v>0.0444077248786532</v>
      </c>
      <c r="P122" s="76" t="str">
        <f aca="false">IFERROR(IF(OR(NOT(ISNUMBER('Price History'!P123)),NOT(ISNUMBER('Price History'!P122)),'Price History'!P122=0),"",'Price History'!P123/'Price History'!P122-1),"")</f>
        <v/>
      </c>
      <c r="Q122" s="76" t="n">
        <f aca="false">IFERROR(IF(OR(NOT(ISNUMBER('Price History'!Q123)),NOT(ISNUMBER('Price History'!Q122)),'Price History'!Q122=0),"",'Price History'!Q123/'Price History'!Q122-1),"")</f>
        <v>-0.00462341536167044</v>
      </c>
      <c r="R122" s="76" t="n">
        <f aca="false">IFERROR(IF(OR(NOT(ISNUMBER('Price History'!R123)),NOT(ISNUMBER('Price History'!R122)),'Price History'!R122=0),"",'Price History'!R123/'Price History'!R122-1),"")</f>
        <v>0.045697012802276</v>
      </c>
      <c r="S122" s="76" t="n">
        <f aca="false">IFERROR(IF(OR(NOT(ISNUMBER('Price History'!S123)),NOT(ISNUMBER('Price History'!S122)),'Price History'!S122=0),"",'Price History'!S123/'Price History'!S122-1),"")</f>
        <v>0.0509186351706037</v>
      </c>
      <c r="T122" s="76" t="n">
        <f aca="false">IFERROR(IF(OR(NOT(ISNUMBER('Price History'!T123)),NOT(ISNUMBER('Price History'!T122)),'Price History'!T122=0),"",'Price History'!T123/'Price History'!T122-1),"")</f>
        <v>0.0343725019984014</v>
      </c>
      <c r="U122" s="76" t="str">
        <f aca="false">IFERROR(IF(OR(NOT(ISNUMBER('Price History'!U123)),NOT(ISNUMBER('Price History'!U122)),'Price History'!U122=0),"",'Price History'!U123/'Price History'!U122-1),"")</f>
        <v/>
      </c>
      <c r="W122" s="77" t="n">
        <f aca="false">'Price History'!B3+('Price History'!B158-'Price History'!B3)*0.772727272727273</f>
        <v>309.055454545455</v>
      </c>
      <c r="X122" s="77" t="n">
        <f aca="false">'Price History'!C3+('Price History'!C158-'Price History'!C3)*0.772727272727273</f>
        <v>149.302272727273</v>
      </c>
      <c r="Y122" s="77" t="n">
        <f aca="false">'Price History'!D3+('Price History'!D158-'Price History'!D3)*0.772727272727273</f>
        <v>1409.17727272727</v>
      </c>
      <c r="Z122" s="77" t="n">
        <f aca="false">'Price History'!E3+('Price History'!E158-'Price History'!E3)*0.772727272727273</f>
        <v>319.666363636364</v>
      </c>
      <c r="AA122" s="77" t="n">
        <f aca="false">'Price History'!F3+('Price History'!F158-'Price History'!F3)*0.772727272727273</f>
        <v>155.905454545455</v>
      </c>
      <c r="AB122" s="77" t="n">
        <f aca="false">'Price History'!G3+('Price History'!G158-'Price History'!G3)*0.772727272727273</f>
        <v>152.156363636364</v>
      </c>
      <c r="AC122" s="77" t="n">
        <f aca="false">'Price History'!H3+('Price History'!H158-'Price History'!H3)*0.772727272727273</f>
        <v>650.607272727273</v>
      </c>
      <c r="AD122" s="77" t="n">
        <f aca="false">'Price History'!I3+('Price History'!I158-'Price History'!I3)*0.772727272727273</f>
        <v>164.409090909091</v>
      </c>
      <c r="AE122" s="77" t="n">
        <f aca="false">'Price History'!J3+('Price History'!J158-'Price History'!J3)*0.772727272727273</f>
        <v>139.814545454545</v>
      </c>
      <c r="AF122" s="77" t="n">
        <f aca="false">'Price History'!K3+('Price History'!K158-'Price History'!K3)*0.772727272727273</f>
        <v>98.5940909090909</v>
      </c>
      <c r="AG122" s="77" t="n">
        <f aca="false">'Price History'!L3+('Price History'!L158-'Price History'!L3)*0.772727272727273</f>
        <v>333.281818181818</v>
      </c>
      <c r="AH122" s="77" t="n">
        <f aca="false">'Price History'!M3+('Price History'!M158-'Price History'!M3)*0.772727272727273</f>
        <v>194.283636363636</v>
      </c>
      <c r="AI122" s="77" t="n">
        <f aca="false">'Price History'!N3+('Price History'!N158-'Price History'!N3)*0.772727272727273</f>
        <v>448.181818181818</v>
      </c>
      <c r="AJ122" s="77" t="n">
        <f aca="false">'Price History'!O3+('Price History'!O158-'Price History'!O3)*0.772727272727273</f>
        <v>115.636818181818</v>
      </c>
      <c r="AK122" s="77" t="n">
        <f aca="false">'Price History'!Q3+('Price History'!Q151-'Price History'!Q3)*0.772727272727273</f>
        <v>64.2204545454546</v>
      </c>
      <c r="AL122" s="77" t="n">
        <f aca="false">'Price History'!R3+('Price History'!R158-'Price History'!R3)*0.772727272727273</f>
        <v>55.8795454545455</v>
      </c>
      <c r="AM122" s="77" t="n">
        <f aca="false">'Price History'!S3+('Price History'!S158-'Price History'!S3)*0.772727272727273</f>
        <v>124.445909090909</v>
      </c>
      <c r="AN122" s="77" t="n">
        <f aca="false">'Price History'!T3+('Price History'!T158-'Price History'!T3)*0.772727272727273</f>
        <v>44.5513636363637</v>
      </c>
    </row>
    <row r="123" customFormat="false" ht="15" hidden="false" customHeight="true" outlineLevel="0" collapsed="false">
      <c r="A123" s="49" t="n">
        <f aca="false">IF('Price History'!A124="","",'Price History'!A124)</f>
        <v>45996</v>
      </c>
      <c r="B123" s="76" t="n">
        <f aca="false">IFERROR(IF(OR(NOT(ISNUMBER('Price History'!B124)),NOT(ISNUMBER('Price History'!B123)),'Price History'!B123=0),"",'Price History'!B124/'Price History'!B123-1),"")</f>
        <v>0.0816230906194357</v>
      </c>
      <c r="C123" s="76" t="n">
        <f aca="false">IFERROR(IF(OR(NOT(ISNUMBER('Price History'!C124)),NOT(ISNUMBER('Price History'!C123)),'Price History'!C123=0),"",'Price History'!C124/'Price History'!C123-1),"")</f>
        <v>-0.015993265993266</v>
      </c>
      <c r="D123" s="76" t="n">
        <f aca="false">IFERROR(IF(OR(NOT(ISNUMBER('Price History'!D124)),NOT(ISNUMBER('Price History'!D123)),'Price History'!D123=0),"",'Price History'!D124/'Price History'!D123-1),"")</f>
        <v>0.0372358490566038</v>
      </c>
      <c r="E123" s="76" t="n">
        <f aca="false">IFERROR(IF(OR(NOT(ISNUMBER('Price History'!E124)),NOT(ISNUMBER('Price History'!E123)),'Price History'!E123=0),"",'Price History'!E124/'Price History'!E123-1),"")</f>
        <v>-0.0315664085765336</v>
      </c>
      <c r="F123" s="76" t="n">
        <f aca="false">IFERROR(IF(OR(NOT(ISNUMBER('Price History'!F124)),NOT(ISNUMBER('Price History'!F123)),'Price History'!F123=0),"",'Price History'!F124/'Price History'!F123-1),"")</f>
        <v>0.00565637520622198</v>
      </c>
      <c r="G123" s="76" t="n">
        <f aca="false">IFERROR(IF(OR(NOT(ISNUMBER('Price History'!G124)),NOT(ISNUMBER('Price History'!G123)),'Price History'!G123=0),"",'Price History'!G124/'Price History'!G123-1),"")</f>
        <v>0.0331773713313484</v>
      </c>
      <c r="H123" s="76" t="n">
        <f aca="false">IFERROR(IF(OR(NOT(ISNUMBER('Price History'!H124)),NOT(ISNUMBER('Price History'!H123)),'Price History'!H123=0),"",'Price History'!H124/'Price History'!H123-1),"")</f>
        <v>0.00312922868741539</v>
      </c>
      <c r="I123" s="76" t="n">
        <f aca="false">IFERROR(IF(OR(NOT(ISNUMBER('Price History'!I124)),NOT(ISNUMBER('Price History'!I123)),'Price History'!I123=0),"",'Price History'!I124/'Price History'!I123-1),"")</f>
        <v>0.0305649717514125</v>
      </c>
      <c r="J123" s="76" t="n">
        <f aca="false">IFERROR(IF(OR(NOT(ISNUMBER('Price History'!J124)),NOT(ISNUMBER('Price History'!J123)),'Price History'!J123=0),"",'Price History'!J124/'Price History'!J123-1),"")</f>
        <v>-0.00427915661713219</v>
      </c>
      <c r="K123" s="76" t="n">
        <f aca="false">IFERROR(IF(OR(NOT(ISNUMBER('Price History'!K124)),NOT(ISNUMBER('Price History'!K123)),'Price History'!K123=0),"",'Price History'!K124/'Price History'!K123-1),"")</f>
        <v>0.0790145443751855</v>
      </c>
      <c r="L123" s="76" t="n">
        <f aca="false">IFERROR(IF(OR(NOT(ISNUMBER('Price History'!L124)),NOT(ISNUMBER('Price History'!L123)),'Price History'!L123=0),"",'Price History'!L124/'Price History'!L123-1),"")</f>
        <v>0.0110116291036328</v>
      </c>
      <c r="M123" s="76" t="n">
        <f aca="false">IFERROR(IF(OR(NOT(ISNUMBER('Price History'!M124)),NOT(ISNUMBER('Price History'!M123)),'Price History'!M123=0),"",'Price History'!M124/'Price History'!M123-1),"")</f>
        <v>0.0516886440772271</v>
      </c>
      <c r="N123" s="76" t="n">
        <f aca="false">IFERROR(IF(OR(NOT(ISNUMBER('Price History'!N124)),NOT(ISNUMBER('Price History'!N123)),'Price History'!N123=0),"",'Price History'!N124/'Price History'!N123-1),"")</f>
        <v>0.0504370286663132</v>
      </c>
      <c r="O123" s="76" t="n">
        <f aca="false">IFERROR(IF(OR(NOT(ISNUMBER('Price History'!O124)),NOT(ISNUMBER('Price History'!O123)),'Price History'!O123=0),"",'Price History'!O124/'Price History'!O123-1),"")</f>
        <v>0.0175022248590924</v>
      </c>
      <c r="P123" s="76" t="str">
        <f aca="false">IFERROR(IF(OR(NOT(ISNUMBER('Price History'!P124)),NOT(ISNUMBER('Price History'!P123)),'Price History'!P123=0),"",'Price History'!P124/'Price History'!P123-1),"")</f>
        <v/>
      </c>
      <c r="Q123" s="76" t="n">
        <f aca="false">IFERROR(IF(OR(NOT(ISNUMBER('Price History'!Q124)),NOT(ISNUMBER('Price History'!Q123)),'Price History'!Q123=0),"",'Price History'!Q124/'Price History'!Q123-1),"")</f>
        <v>-0.000299670362601034</v>
      </c>
      <c r="R123" s="76" t="n">
        <f aca="false">IFERROR(IF(OR(NOT(ISNUMBER('Price History'!R124)),NOT(ISNUMBER('Price History'!R123)),'Price History'!R123=0),"",'Price History'!R124/'Price History'!R123-1),"")</f>
        <v>0.000170039108994935</v>
      </c>
      <c r="S123" s="76" t="n">
        <f aca="false">IFERROR(IF(OR(NOT(ISNUMBER('Price History'!S124)),NOT(ISNUMBER('Price History'!S123)),'Price History'!S123=0),"",'Price History'!S124/'Price History'!S123-1),"")</f>
        <v>0.00607725607725596</v>
      </c>
      <c r="T123" s="76" t="n">
        <f aca="false">IFERROR(IF(OR(NOT(ISNUMBER('Price History'!T124)),NOT(ISNUMBER('Price History'!T123)),'Price History'!T123=0),"",'Price History'!T124/'Price History'!T123-1),"")</f>
        <v>0.0154559505409584</v>
      </c>
      <c r="U123" s="76" t="str">
        <f aca="false">IFERROR(IF(OR(NOT(ISNUMBER('Price History'!U124)),NOT(ISNUMBER('Price History'!U123)),'Price History'!U123=0),"",'Price History'!U124/'Price History'!U123-1),"")</f>
        <v/>
      </c>
      <c r="W123" s="77" t="n">
        <f aca="false">'Price History'!B3+('Price History'!B158-'Price History'!B3)*0.779220779220779</f>
        <v>307.37987012987</v>
      </c>
      <c r="X123" s="77" t="n">
        <f aca="false">'Price History'!C3+('Price History'!C158-'Price History'!C3)*0.779220779220779</f>
        <v>150.189350649351</v>
      </c>
      <c r="Y123" s="77" t="n">
        <f aca="false">'Price History'!D3+('Price History'!D158-'Price History'!D3)*0.779220779220779</f>
        <v>1415.45792207792</v>
      </c>
      <c r="Z123" s="77" t="n">
        <f aca="false">'Price History'!E3+('Price History'!E158-'Price History'!E3)*0.779220779220779</f>
        <v>321.655324675325</v>
      </c>
      <c r="AA123" s="77" t="n">
        <f aca="false">'Price History'!F3+('Price History'!F158-'Price History'!F3)*0.779220779220779</f>
        <v>156.904155844156</v>
      </c>
      <c r="AB123" s="77" t="n">
        <f aca="false">'Price History'!G3+('Price History'!G158-'Price History'!G3)*0.779220779220779</f>
        <v>153.032467532468</v>
      </c>
      <c r="AC123" s="77" t="n">
        <f aca="false">'Price History'!H3+('Price History'!H158-'Price History'!H3)*0.779220779220779</f>
        <v>655.533636363636</v>
      </c>
      <c r="AD123" s="77" t="n">
        <f aca="false">'Price History'!I3+('Price History'!I158-'Price History'!I3)*0.779220779220779</f>
        <v>165.447402597403</v>
      </c>
      <c r="AE123" s="77" t="n">
        <f aca="false">'Price History'!J3+('Price History'!J158-'Price History'!J3)*0.779220779220779</f>
        <v>139.951558441558</v>
      </c>
      <c r="AF123" s="77" t="n">
        <f aca="false">'Price History'!K3+('Price History'!K158-'Price History'!K3)*0.779220779220779</f>
        <v>99.2931168831169</v>
      </c>
      <c r="AG123" s="77" t="n">
        <f aca="false">'Price History'!L3+('Price History'!L158-'Price History'!L3)*0.779220779220779</f>
        <v>335.309480519481</v>
      </c>
      <c r="AH123" s="77" t="n">
        <f aca="false">'Price History'!M3+('Price History'!M158-'Price History'!M3)*0.779220779220779</f>
        <v>195.634675324675</v>
      </c>
      <c r="AI123" s="77" t="n">
        <f aca="false">'Price History'!N3+('Price History'!N158-'Price History'!N3)*0.779220779220779</f>
        <v>449.008051948052</v>
      </c>
      <c r="AJ123" s="77" t="n">
        <f aca="false">'Price History'!O3+('Price History'!O158-'Price History'!O3)*0.779220779220779</f>
        <v>115.912337662338</v>
      </c>
      <c r="AK123" s="77" t="n">
        <f aca="false">'Price History'!Q3+('Price History'!Q151-'Price History'!Q3)*0.779220779220779</f>
        <v>64.3412987012987</v>
      </c>
      <c r="AL123" s="77" t="n">
        <f aca="false">'Price History'!R3+('Price History'!R158-'Price History'!R3)*0.779220779220779</f>
        <v>55.9472727272727</v>
      </c>
      <c r="AM123" s="77" t="n">
        <f aca="false">'Price History'!S3+('Price History'!S158-'Price History'!S3)*0.779220779220779</f>
        <v>124.99974025974</v>
      </c>
      <c r="AN123" s="77" t="n">
        <f aca="false">'Price History'!T3+('Price History'!T158-'Price History'!T3)*0.779220779220779</f>
        <v>44.6996103896104</v>
      </c>
    </row>
    <row r="124" customFormat="false" ht="15" hidden="false" customHeight="true" outlineLevel="0" collapsed="false">
      <c r="A124" s="49" t="n">
        <f aca="false">IF('Price History'!A125="","",'Price History'!A125)</f>
        <v>46003</v>
      </c>
      <c r="B124" s="76" t="n">
        <f aca="false">IFERROR(IF(OR(NOT(ISNUMBER('Price History'!B125)),NOT(ISNUMBER('Price History'!B124)),'Price History'!B124=0),"",'Price History'!B125/'Price History'!B124-1),"")</f>
        <v>0.0293709928955122</v>
      </c>
      <c r="C124" s="76" t="n">
        <f aca="false">IFERROR(IF(OR(NOT(ISNUMBER('Price History'!C125)),NOT(ISNUMBER('Price History'!C124)),'Price History'!C124=0),"",'Price History'!C125/'Price History'!C124-1),"")</f>
        <v>-0.0297845866708142</v>
      </c>
      <c r="D124" s="76" t="n">
        <f aca="false">IFERROR(IF(OR(NOT(ISNUMBER('Price History'!D125)),NOT(ISNUMBER('Price History'!D124)),'Price History'!D124=0),"",'Price History'!D125/'Price History'!D124-1),"")</f>
        <v>-0.0169354325265811</v>
      </c>
      <c r="E124" s="76" t="n">
        <f aca="false">IFERROR(IF(OR(NOT(ISNUMBER('Price History'!E125)),NOT(ISNUMBER('Price History'!E124)),'Price History'!E124=0),"",'Price History'!E125/'Price History'!E124-1),"")</f>
        <v>-0.077670151701517</v>
      </c>
      <c r="F124" s="76" t="n">
        <f aca="false">IFERROR(IF(OR(NOT(ISNUMBER('Price History'!F125)),NOT(ISNUMBER('Price History'!F124)),'Price History'!F124=0),"",'Price History'!F125/'Price History'!F124-1),"")</f>
        <v>-0.0141395203499726</v>
      </c>
      <c r="G124" s="76" t="n">
        <f aca="false">IFERROR(IF(OR(NOT(ISNUMBER('Price History'!G125)),NOT(ISNUMBER('Price History'!G124)),'Price History'!G124=0),"",'Price History'!G125/'Price History'!G124-1),"")</f>
        <v>-0.0169617126389461</v>
      </c>
      <c r="H124" s="76" t="n">
        <f aca="false">IFERROR(IF(OR(NOT(ISNUMBER('Price History'!H125)),NOT(ISNUMBER('Price History'!H124)),'Price History'!H124=0),"",'Price History'!H125/'Price History'!H124-1),"")</f>
        <v>0.0165247449624821</v>
      </c>
      <c r="I124" s="76" t="n">
        <f aca="false">IFERROR(IF(OR(NOT(ISNUMBER('Price History'!I125)),NOT(ISNUMBER('Price History'!I124)),'Price History'!I124=0),"",'Price History'!I125/'Price History'!I124-1),"")</f>
        <v>-0.0405131297626226</v>
      </c>
      <c r="J124" s="76" t="n">
        <f aca="false">IFERROR(IF(OR(NOT(ISNUMBER('Price History'!J125)),NOT(ISNUMBER('Price History'!J124)),'Price History'!J124=0),"",'Price History'!J125/'Price History'!J124-1),"")</f>
        <v>0.0171901859665573</v>
      </c>
      <c r="K124" s="76" t="n">
        <f aca="false">IFERROR(IF(OR(NOT(ISNUMBER('Price History'!K125)),NOT(ISNUMBER('Price History'!K124)),'Price History'!K124=0),"",'Price History'!K125/'Price History'!K124-1),"")</f>
        <v>0.00995818661971826</v>
      </c>
      <c r="L124" s="76" t="n">
        <f aca="false">IFERROR(IF(OR(NOT(ISNUMBER('Price History'!L125)),NOT(ISNUMBER('Price History'!L124)),'Price History'!L124=0),"",'Price History'!L125/'Price History'!L124-1),"")</f>
        <v>-0.0090933767643866</v>
      </c>
      <c r="M124" s="76" t="n">
        <f aca="false">IFERROR(IF(OR(NOT(ISNUMBER('Price History'!M125)),NOT(ISNUMBER('Price History'!M124)),'Price History'!M124=0),"",'Price History'!M125/'Price History'!M124-1),"")</f>
        <v>-0.146809861390329</v>
      </c>
      <c r="N124" s="76" t="n">
        <f aca="false">IFERROR(IF(OR(NOT(ISNUMBER('Price History'!N125)),NOT(ISNUMBER('Price History'!N124)),'Price History'!N124=0),"",'Price History'!N125/'Price History'!N124-1),"")</f>
        <v>-0.00755247211732679</v>
      </c>
      <c r="O124" s="76" t="n">
        <f aca="false">IFERROR(IF(OR(NOT(ISNUMBER('Price History'!O125)),NOT(ISNUMBER('Price History'!O124)),'Price History'!O124=0),"",'Price History'!O125/'Price History'!O124-1),"")</f>
        <v>0.0214771622934888</v>
      </c>
      <c r="P124" s="76" t="str">
        <f aca="false">IFERROR(IF(OR(NOT(ISNUMBER('Price History'!P125)),NOT(ISNUMBER('Price History'!P124)),'Price History'!P124=0),"",'Price History'!P125/'Price History'!P124-1),"")</f>
        <v/>
      </c>
      <c r="Q124" s="76" t="n">
        <f aca="false">IFERROR(IF(OR(NOT(ISNUMBER('Price History'!Q125)),NOT(ISNUMBER('Price History'!Q124)),'Price History'!Q124=0),"",'Price History'!Q125/'Price History'!Q124-1),"")</f>
        <v>0.00374700239808146</v>
      </c>
      <c r="R124" s="76" t="n">
        <f aca="false">IFERROR(IF(OR(NOT(ISNUMBER('Price History'!R125)),NOT(ISNUMBER('Price History'!R124)),'Price History'!R124=0),"",'Price History'!R125/'Price History'!R124-1),"")</f>
        <v>-0.0108806528391704</v>
      </c>
      <c r="S124" s="76" t="n">
        <f aca="false">IFERROR(IF(OR(NOT(ISNUMBER('Price History'!S125)),NOT(ISNUMBER('Price History'!S124)),'Price History'!S124=0),"",'Price History'!S125/'Price History'!S124-1),"")</f>
        <v>-0.014480761274307</v>
      </c>
      <c r="T124" s="76" t="n">
        <f aca="false">IFERROR(IF(OR(NOT(ISNUMBER('Price History'!T125)),NOT(ISNUMBER('Price History'!T124)),'Price History'!T124=0),"",'Price History'!T125/'Price History'!T124-1),"")</f>
        <v>0.00710299340436338</v>
      </c>
      <c r="U124" s="76" t="str">
        <f aca="false">IFERROR(IF(OR(NOT(ISNUMBER('Price History'!U125)),NOT(ISNUMBER('Price History'!U124)),'Price History'!U124=0),"",'Price History'!U125/'Price History'!U124-1),"")</f>
        <v/>
      </c>
      <c r="W124" s="77" t="n">
        <f aca="false">'Price History'!B3+('Price History'!B158-'Price History'!B3)*0.785714285714286</f>
        <v>305.704285714286</v>
      </c>
      <c r="X124" s="77" t="n">
        <f aca="false">'Price History'!C3+('Price History'!C158-'Price History'!C3)*0.785714285714286</f>
        <v>151.076428571429</v>
      </c>
      <c r="Y124" s="77" t="n">
        <f aca="false">'Price History'!D3+('Price History'!D158-'Price History'!D3)*0.785714285714286</f>
        <v>1421.73857142857</v>
      </c>
      <c r="Z124" s="77" t="n">
        <f aca="false">'Price History'!E3+('Price History'!E158-'Price History'!E3)*0.785714285714286</f>
        <v>323.644285714286</v>
      </c>
      <c r="AA124" s="77" t="n">
        <f aca="false">'Price History'!F3+('Price History'!F158-'Price History'!F3)*0.785714285714286</f>
        <v>157.902857142857</v>
      </c>
      <c r="AB124" s="77" t="n">
        <f aca="false">'Price History'!G3+('Price History'!G158-'Price History'!G3)*0.785714285714286</f>
        <v>153.908571428571</v>
      </c>
      <c r="AC124" s="77" t="n">
        <f aca="false">'Price History'!H3+('Price History'!H158-'Price History'!H3)*0.785714285714286</f>
        <v>660.46</v>
      </c>
      <c r="AD124" s="77" t="n">
        <f aca="false">'Price History'!I3+('Price History'!I158-'Price History'!I3)*0.785714285714286</f>
        <v>166.485714285714</v>
      </c>
      <c r="AE124" s="77" t="n">
        <f aca="false">'Price History'!J3+('Price History'!J158-'Price History'!J3)*0.785714285714286</f>
        <v>140.088571428571</v>
      </c>
      <c r="AF124" s="77" t="n">
        <f aca="false">'Price History'!K3+('Price History'!K158-'Price History'!K3)*0.785714285714286</f>
        <v>99.9921428571429</v>
      </c>
      <c r="AG124" s="77" t="n">
        <f aca="false">'Price History'!L3+('Price History'!L158-'Price History'!L3)*0.785714285714286</f>
        <v>337.337142857143</v>
      </c>
      <c r="AH124" s="77" t="n">
        <f aca="false">'Price History'!M3+('Price History'!M158-'Price History'!M3)*0.785714285714286</f>
        <v>196.985714285714</v>
      </c>
      <c r="AI124" s="77" t="n">
        <f aca="false">'Price History'!N3+('Price History'!N158-'Price History'!N3)*0.785714285714286</f>
        <v>449.834285714286</v>
      </c>
      <c r="AJ124" s="77" t="n">
        <f aca="false">'Price History'!O3+('Price History'!O158-'Price History'!O3)*0.785714285714286</f>
        <v>116.187857142857</v>
      </c>
      <c r="AK124" s="77" t="n">
        <f aca="false">'Price History'!Q3+('Price History'!Q151-'Price History'!Q3)*0.785714285714286</f>
        <v>64.4621428571429</v>
      </c>
      <c r="AL124" s="77" t="n">
        <f aca="false">'Price History'!R3+('Price History'!R158-'Price History'!R3)*0.785714285714286</f>
        <v>56.015</v>
      </c>
      <c r="AM124" s="77" t="n">
        <f aca="false">'Price History'!S3+('Price History'!S158-'Price History'!S3)*0.785714285714286</f>
        <v>125.553571428571</v>
      </c>
      <c r="AN124" s="77" t="n">
        <f aca="false">'Price History'!T3+('Price History'!T158-'Price History'!T3)*0.785714285714286</f>
        <v>44.8478571428572</v>
      </c>
    </row>
    <row r="125" customFormat="false" ht="15" hidden="false" customHeight="true" outlineLevel="0" collapsed="false">
      <c r="A125" s="49" t="n">
        <f aca="false">IF('Price History'!A126="","",'Price History'!A126)</f>
        <v>46010</v>
      </c>
      <c r="B125" s="76" t="n">
        <f aca="false">IFERROR(IF(OR(NOT(ISNUMBER('Price History'!B126)),NOT(ISNUMBER('Price History'!B125)),'Price History'!B125=0),"",'Price History'!B126/'Price History'!B125-1),"")</f>
        <v>-0.00159919198720648</v>
      </c>
      <c r="C125" s="76" t="n">
        <f aca="false">IFERROR(IF(OR(NOT(ISNUMBER('Price History'!C126)),NOT(ISNUMBER('Price History'!C125)),'Price History'!C125=0),"",'Price History'!C126/'Price History'!C125-1),"")</f>
        <v>0.0509778775248477</v>
      </c>
      <c r="D125" s="76" t="n">
        <f aca="false">IFERROR(IF(OR(NOT(ISNUMBER('Price History'!D126)),NOT(ISNUMBER('Price History'!D125)),'Price History'!D125=0),"",'Price History'!D126/'Price History'!D125-1),"")</f>
        <v>-0.0229726604061618</v>
      </c>
      <c r="E125" s="76" t="n">
        <f aca="false">IFERROR(IF(OR(NOT(ISNUMBER('Price History'!E126)),NOT(ISNUMBER('Price History'!E125)),'Price History'!E125=0),"",'Price History'!E126/'Price History'!E125-1),"")</f>
        <v>-0.05437168338288</v>
      </c>
      <c r="F125" s="76" t="n">
        <f aca="false">IFERROR(IF(OR(NOT(ISNUMBER('Price History'!F126)),NOT(ISNUMBER('Price History'!F125)),'Price History'!F125=0),"",'Price History'!F126/'Price History'!F125-1),"")</f>
        <v>-0.0465927099841522</v>
      </c>
      <c r="G125" s="76" t="n">
        <f aca="false">IFERROR(IF(OR(NOT(ISNUMBER('Price History'!G126)),NOT(ISNUMBER('Price History'!G125)),'Price History'!G125=0),"",'Price History'!G126/'Price History'!G125-1),"")</f>
        <v>0.0433872183599966</v>
      </c>
      <c r="H125" s="76" t="n">
        <f aca="false">IFERROR(IF(OR(NOT(ISNUMBER('Price History'!H126)),NOT(ISNUMBER('Price History'!H125)),'Price History'!H125=0),"",'Price History'!H126/'Price History'!H125-1),"")</f>
        <v>0.102761881064942</v>
      </c>
      <c r="I125" s="76" t="n">
        <f aca="false">IFERROR(IF(OR(NOT(ISNUMBER('Price History'!I126)),NOT(ISNUMBER('Price History'!I125)),'Price History'!I125=0),"",'Price History'!I126/'Price History'!I125-1),"")</f>
        <v>0.0341103873842989</v>
      </c>
      <c r="J125" s="76" t="n">
        <f aca="false">IFERROR(IF(OR(NOT(ISNUMBER('Price History'!J126)),NOT(ISNUMBER('Price History'!J125)),'Price History'!J125=0),"",'Price History'!J126/'Price History'!J125-1),"")</f>
        <v>-0.0226609310185897</v>
      </c>
      <c r="K125" s="76" t="n">
        <f aca="false">IFERROR(IF(OR(NOT(ISNUMBER('Price History'!K126)),NOT(ISNUMBER('Price History'!K125)),'Price History'!K125=0),"",'Price History'!K126/'Price History'!K125-1),"")</f>
        <v>0.0534401045922537</v>
      </c>
      <c r="L125" s="76" t="n">
        <f aca="false">IFERROR(IF(OR(NOT(ISNUMBER('Price History'!L126)),NOT(ISNUMBER('Price History'!L125)),'Price History'!L125=0),"",'Price History'!L126/'Price History'!L125-1),"")</f>
        <v>-0.0105807423640598</v>
      </c>
      <c r="M125" s="76" t="n">
        <f aca="false">IFERROR(IF(OR(NOT(ISNUMBER('Price History'!M126)),NOT(ISNUMBER('Price History'!M125)),'Price History'!M125=0),"",'Price History'!M126/'Price History'!M125-1),"")</f>
        <v>-0.00899113288274334</v>
      </c>
      <c r="N125" s="76" t="n">
        <f aca="false">IFERROR(IF(OR(NOT(ISNUMBER('Price History'!N126)),NOT(ISNUMBER('Price History'!N125)),'Price History'!N125=0),"",'Price History'!N126/'Price History'!N125-1),"")</f>
        <v>0.00920272542252887</v>
      </c>
      <c r="O125" s="76" t="n">
        <f aca="false">IFERROR(IF(OR(NOT(ISNUMBER('Price History'!O126)),NOT(ISNUMBER('Price History'!O125)),'Price History'!O125=0),"",'Price History'!O126/'Price History'!O125-1),"")</f>
        <v>-0.0126534107125867</v>
      </c>
      <c r="P125" s="76" t="str">
        <f aca="false">IFERROR(IF(OR(NOT(ISNUMBER('Price History'!P126)),NOT(ISNUMBER('Price History'!P125)),'Price History'!P125=0),"",'Price History'!P126/'Price History'!P125-1),"")</f>
        <v/>
      </c>
      <c r="Q125" s="76" t="n">
        <f aca="false">IFERROR(IF(OR(NOT(ISNUMBER('Price History'!Q126)),NOT(ISNUMBER('Price History'!Q125)),'Price History'!Q125=0),"",'Price History'!Q126/'Price History'!Q125-1),"")</f>
        <v>0.00283709123488118</v>
      </c>
      <c r="R125" s="76" t="n">
        <f aca="false">IFERROR(IF(OR(NOT(ISNUMBER('Price History'!R126)),NOT(ISNUMBER('Price History'!R125)),'Price History'!R125=0),"",'Price History'!R126/'Price History'!R125-1),"")</f>
        <v>0.00756273633551041</v>
      </c>
      <c r="S125" s="76" t="n">
        <f aca="false">IFERROR(IF(OR(NOT(ISNUMBER('Price History'!S126)),NOT(ISNUMBER('Price History'!S125)),'Price History'!S125=0),"",'Price History'!S126/'Price History'!S125-1),"")</f>
        <v>0.00361041141897567</v>
      </c>
      <c r="T125" s="76" t="n">
        <f aca="false">IFERROR(IF(OR(NOT(ISNUMBER('Price History'!T126)),NOT(ISNUMBER('Price History'!T125)),'Price History'!T125=0),"",'Price History'!T126/'Price History'!T125-1),"")</f>
        <v>-0.00428211586901772</v>
      </c>
      <c r="U125" s="76" t="str">
        <f aca="false">IFERROR(IF(OR(NOT(ISNUMBER('Price History'!U126)),NOT(ISNUMBER('Price History'!U125)),'Price History'!U125=0),"",'Price History'!U126/'Price History'!U125-1),"")</f>
        <v/>
      </c>
      <c r="W125" s="77" t="n">
        <f aca="false">'Price History'!B3+('Price History'!B158-'Price History'!B3)*0.792207792207792</f>
        <v>304.028701298701</v>
      </c>
      <c r="X125" s="77" t="n">
        <f aca="false">'Price History'!C3+('Price History'!C158-'Price History'!C3)*0.792207792207792</f>
        <v>151.963506493506</v>
      </c>
      <c r="Y125" s="77" t="n">
        <f aca="false">'Price History'!D3+('Price History'!D158-'Price History'!D3)*0.792207792207792</f>
        <v>1428.01922077922</v>
      </c>
      <c r="Z125" s="77" t="n">
        <f aca="false">'Price History'!E3+('Price History'!E158-'Price History'!E3)*0.792207792207792</f>
        <v>325.633246753247</v>
      </c>
      <c r="AA125" s="77" t="n">
        <f aca="false">'Price History'!F3+('Price History'!F158-'Price History'!F3)*0.792207792207792</f>
        <v>158.901558441558</v>
      </c>
      <c r="AB125" s="77" t="n">
        <f aca="false">'Price History'!G3+('Price History'!G158-'Price History'!G3)*0.792207792207792</f>
        <v>154.784675324675</v>
      </c>
      <c r="AC125" s="77" t="n">
        <f aca="false">'Price History'!H3+('Price History'!H158-'Price History'!H3)*0.792207792207792</f>
        <v>665.386363636364</v>
      </c>
      <c r="AD125" s="77" t="n">
        <f aca="false">'Price History'!I3+('Price History'!I158-'Price History'!I3)*0.792207792207792</f>
        <v>167.524025974026</v>
      </c>
      <c r="AE125" s="77" t="n">
        <f aca="false">'Price History'!J3+('Price History'!J158-'Price History'!J3)*0.792207792207792</f>
        <v>140.225584415584</v>
      </c>
      <c r="AF125" s="77" t="n">
        <f aca="false">'Price History'!K3+('Price History'!K158-'Price History'!K3)*0.792207792207792</f>
        <v>100.691168831169</v>
      </c>
      <c r="AG125" s="77" t="n">
        <f aca="false">'Price History'!L3+('Price History'!L158-'Price History'!L3)*0.792207792207792</f>
        <v>339.364805194805</v>
      </c>
      <c r="AH125" s="77" t="n">
        <f aca="false">'Price History'!M3+('Price History'!M158-'Price History'!M3)*0.792207792207792</f>
        <v>198.336753246753</v>
      </c>
      <c r="AI125" s="77" t="n">
        <f aca="false">'Price History'!N3+('Price History'!N158-'Price History'!N3)*0.792207792207792</f>
        <v>450.66051948052</v>
      </c>
      <c r="AJ125" s="77" t="n">
        <f aca="false">'Price History'!O3+('Price History'!O158-'Price History'!O3)*0.792207792207792</f>
        <v>116.463376623377</v>
      </c>
      <c r="AK125" s="77" t="n">
        <f aca="false">'Price History'!Q3+('Price History'!Q151-'Price History'!Q3)*0.792207792207792</f>
        <v>64.582987012987</v>
      </c>
      <c r="AL125" s="77" t="n">
        <f aca="false">'Price History'!R3+('Price History'!R158-'Price History'!R3)*0.792207792207792</f>
        <v>56.0827272727273</v>
      </c>
      <c r="AM125" s="77" t="n">
        <f aca="false">'Price History'!S3+('Price History'!S158-'Price History'!S3)*0.792207792207792</f>
        <v>126.107402597403</v>
      </c>
      <c r="AN125" s="77" t="n">
        <f aca="false">'Price History'!T3+('Price History'!T158-'Price History'!T3)*0.792207792207792</f>
        <v>44.9961038961039</v>
      </c>
    </row>
    <row r="126" customFormat="false" ht="15" hidden="false" customHeight="true" outlineLevel="0" collapsed="false">
      <c r="A126" s="49" t="n">
        <f aca="false">IF('Price History'!A127="","",'Price History'!A127)</f>
        <v>46017</v>
      </c>
      <c r="B126" s="76" t="n">
        <f aca="false">IFERROR(IF(OR(NOT(ISNUMBER('Price History'!B127)),NOT(ISNUMBER('Price History'!B126)),'Price History'!B126=0),"",'Price History'!B127/'Price History'!B126-1),"")</f>
        <v>-0.00578879334569771</v>
      </c>
      <c r="C126" s="76" t="n">
        <f aca="false">IFERROR(IF(OR(NOT(ISNUMBER('Price History'!C127)),NOT(ISNUMBER('Price History'!C126)),'Price History'!C126=0),"",'Price History'!C127/'Price History'!C126-1),"")</f>
        <v>0.00549115314215976</v>
      </c>
      <c r="D126" s="76" t="n">
        <f aca="false">IFERROR(IF(OR(NOT(ISNUMBER('Price History'!D127)),NOT(ISNUMBER('Price History'!D126)),'Price History'!D126=0),"",'Price History'!D127/'Price History'!D126-1),"")</f>
        <v>0.0158425029828981</v>
      </c>
      <c r="E126" s="76" t="n">
        <f aca="false">IFERROR(IF(OR(NOT(ISNUMBER('Price History'!E127)),NOT(ISNUMBER('Price History'!E126)),'Price History'!E126=0),"",'Price History'!E127/'Price History'!E126-1),"")</f>
        <v>0.0345810318486308</v>
      </c>
      <c r="F126" s="76" t="n">
        <f aca="false">IFERROR(IF(OR(NOT(ISNUMBER('Price History'!F127)),NOT(ISNUMBER('Price History'!F126)),'Price History'!F126=0),"",'Price History'!F127/'Price History'!F126-1),"")</f>
        <v>-0.000166223404255317</v>
      </c>
      <c r="G126" s="76" t="n">
        <f aca="false">IFERROR(IF(OR(NOT(ISNUMBER('Price History'!G127)),NOT(ISNUMBER('Price History'!G126)),'Price History'!G126=0),"",'Price History'!G127/'Price History'!G126-1),"")</f>
        <v>0.0272136148350326</v>
      </c>
      <c r="H126" s="76" t="n">
        <f aca="false">IFERROR(IF(OR(NOT(ISNUMBER('Price History'!H127)),NOT(ISNUMBER('Price History'!H126)),'Price History'!H126=0),"",'Price History'!H127/'Price History'!H126-1),"")</f>
        <v>0.0709611913357402</v>
      </c>
      <c r="I126" s="76" t="n">
        <f aca="false">IFERROR(IF(OR(NOT(ISNUMBER('Price History'!I127)),NOT(ISNUMBER('Price History'!I126)),'Price History'!I126=0),"",'Price History'!I127/'Price History'!I126-1),"")</f>
        <v>0.052710094480358</v>
      </c>
      <c r="J126" s="76" t="n">
        <f aca="false">IFERROR(IF(OR(NOT(ISNUMBER('Price History'!J127)),NOT(ISNUMBER('Price History'!J126)),'Price History'!J126=0),"",'Price History'!J127/'Price History'!J126-1),"")</f>
        <v>0.0116324766171501</v>
      </c>
      <c r="K126" s="76" t="n">
        <f aca="false">IFERROR(IF(OR(NOT(ISNUMBER('Price History'!K127)),NOT(ISNUMBER('Price History'!K126)),'Price History'!K126=0),"",'Price History'!K127/'Price History'!K126-1),"")</f>
        <v>-0.0241493432619712</v>
      </c>
      <c r="L126" s="76" t="n">
        <f aca="false">IFERROR(IF(OR(NOT(ISNUMBER('Price History'!L127)),NOT(ISNUMBER('Price History'!L126)),'Price History'!L126=0),"",'Price History'!L127/'Price History'!L126-1),"")</f>
        <v>0.0480706004499047</v>
      </c>
      <c r="M126" s="76" t="n">
        <f aca="false">IFERROR(IF(OR(NOT(ISNUMBER('Price History'!M127)),NOT(ISNUMBER('Price History'!M126)),'Price History'!M126=0),"",'Price History'!M127/'Price History'!M126-1),"")</f>
        <v>0.0485546239519461</v>
      </c>
      <c r="N126" s="76" t="n">
        <f aca="false">IFERROR(IF(OR(NOT(ISNUMBER('Price History'!N127)),NOT(ISNUMBER('Price History'!N126)),'Price History'!N126=0),"",'Price History'!N127/'Price History'!N126-1),"")</f>
        <v>0.0146865409907935</v>
      </c>
      <c r="O126" s="76" t="n">
        <f aca="false">IFERROR(IF(OR(NOT(ISNUMBER('Price History'!O127)),NOT(ISNUMBER('Price History'!O126)),'Price History'!O126=0),"",'Price History'!O127/'Price History'!O126-1),"")</f>
        <v>-0.000867219117363649</v>
      </c>
      <c r="P126" s="76" t="str">
        <f aca="false">IFERROR(IF(OR(NOT(ISNUMBER('Price History'!P127)),NOT(ISNUMBER('Price History'!P126)),'Price History'!P126=0),"",'Price History'!P127/'Price History'!P126-1),"")</f>
        <v/>
      </c>
      <c r="Q126" s="76" t="n">
        <f aca="false">IFERROR(IF(OR(NOT(ISNUMBER('Price History'!Q127)),NOT(ISNUMBER('Price History'!Q126)),'Price History'!Q126=0),"",'Price History'!Q127/'Price History'!Q126-1),"")</f>
        <v>-0.00878499106611086</v>
      </c>
      <c r="R126" s="76" t="n">
        <f aca="false">IFERROR(IF(OR(NOT(ISNUMBER('Price History'!R127)),NOT(ISNUMBER('Price History'!R126)),'Price History'!R126=0),"",'Price History'!R127/'Price History'!R126-1),"")</f>
        <v>0.0122824974411464</v>
      </c>
      <c r="S126" s="76" t="n">
        <f aca="false">IFERROR(IF(OR(NOT(ISNUMBER('Price History'!S127)),NOT(ISNUMBER('Price History'!S126)),'Price History'!S126=0),"",'Price History'!S127/'Price History'!S126-1),"")</f>
        <v>0.0154772860369781</v>
      </c>
      <c r="T126" s="76" t="n">
        <f aca="false">IFERROR(IF(OR(NOT(ISNUMBER('Price History'!T127)),NOT(ISNUMBER('Price History'!T126)),'Price History'!T126=0),"",'Price History'!T127/'Price History'!T126-1),"")</f>
        <v>0.00657728307614458</v>
      </c>
      <c r="U126" s="76" t="str">
        <f aca="false">IFERROR(IF(OR(NOT(ISNUMBER('Price History'!U127)),NOT(ISNUMBER('Price History'!U126)),'Price History'!U126=0),"",'Price History'!U127/'Price History'!U126-1),"")</f>
        <v/>
      </c>
      <c r="W126" s="77" t="n">
        <f aca="false">'Price History'!B3+('Price History'!B158-'Price History'!B3)*0.798701298701299</f>
        <v>302.353116883117</v>
      </c>
      <c r="X126" s="77" t="n">
        <f aca="false">'Price History'!C3+('Price History'!C158-'Price History'!C3)*0.798701298701299</f>
        <v>152.850584415584</v>
      </c>
      <c r="Y126" s="77" t="n">
        <f aca="false">'Price History'!D3+('Price History'!D158-'Price History'!D3)*0.798701298701299</f>
        <v>1434.29987012987</v>
      </c>
      <c r="Z126" s="77" t="n">
        <f aca="false">'Price History'!E3+('Price History'!E158-'Price History'!E3)*0.798701298701299</f>
        <v>327.622207792208</v>
      </c>
      <c r="AA126" s="77" t="n">
        <f aca="false">'Price History'!F3+('Price History'!F158-'Price History'!F3)*0.798701298701299</f>
        <v>159.90025974026</v>
      </c>
      <c r="AB126" s="77" t="n">
        <f aca="false">'Price History'!G3+('Price History'!G158-'Price History'!G3)*0.798701298701299</f>
        <v>155.660779220779</v>
      </c>
      <c r="AC126" s="77" t="n">
        <f aca="false">'Price History'!H3+('Price History'!H158-'Price History'!H3)*0.798701298701299</f>
        <v>670.312727272727</v>
      </c>
      <c r="AD126" s="77" t="n">
        <f aca="false">'Price History'!I3+('Price History'!I158-'Price History'!I3)*0.798701298701299</f>
        <v>168.562337662338</v>
      </c>
      <c r="AE126" s="77" t="n">
        <f aca="false">'Price History'!J3+('Price History'!J158-'Price History'!J3)*0.798701298701299</f>
        <v>140.362597402597</v>
      </c>
      <c r="AF126" s="77" t="n">
        <f aca="false">'Price History'!K3+('Price History'!K158-'Price History'!K3)*0.798701298701299</f>
        <v>101.390194805195</v>
      </c>
      <c r="AG126" s="77" t="n">
        <f aca="false">'Price History'!L3+('Price History'!L158-'Price History'!L3)*0.798701298701299</f>
        <v>341.392467532468</v>
      </c>
      <c r="AH126" s="77" t="n">
        <f aca="false">'Price History'!M3+('Price History'!M158-'Price History'!M3)*0.798701298701299</f>
        <v>199.687792207792</v>
      </c>
      <c r="AI126" s="77" t="n">
        <f aca="false">'Price History'!N3+('Price History'!N158-'Price History'!N3)*0.798701298701299</f>
        <v>451.486753246753</v>
      </c>
      <c r="AJ126" s="77" t="n">
        <f aca="false">'Price History'!O3+('Price History'!O158-'Price History'!O3)*0.798701298701299</f>
        <v>116.738896103896</v>
      </c>
      <c r="AK126" s="77" t="n">
        <f aca="false">'Price History'!Q3+('Price History'!Q151-'Price History'!Q3)*0.798701298701299</f>
        <v>64.7038311688312</v>
      </c>
      <c r="AL126" s="77" t="n">
        <f aca="false">'Price History'!R3+('Price History'!R158-'Price History'!R3)*0.798701298701299</f>
        <v>56.1504545454546</v>
      </c>
      <c r="AM126" s="77" t="n">
        <f aca="false">'Price History'!S3+('Price History'!S158-'Price History'!S3)*0.798701298701299</f>
        <v>126.661233766234</v>
      </c>
      <c r="AN126" s="77" t="n">
        <f aca="false">'Price History'!T3+('Price History'!T158-'Price History'!T3)*0.798701298701299</f>
        <v>45.1443506493507</v>
      </c>
    </row>
    <row r="127" customFormat="false" ht="15" hidden="false" customHeight="true" outlineLevel="0" collapsed="false">
      <c r="A127" s="49" t="n">
        <f aca="false">IF('Price History'!A128="","",'Price History'!A128)</f>
        <v>46024</v>
      </c>
      <c r="B127" s="76" t="n">
        <f aca="false">IFERROR(IF(OR(NOT(ISNUMBER('Price History'!B128)),NOT(ISNUMBER('Price History'!B127)),'Price History'!B127=0),"",'Price History'!B128/'Price History'!B127-1),"")</f>
        <v>-0.0579423403052572</v>
      </c>
      <c r="C127" s="76" t="n">
        <f aca="false">IFERROR(IF(OR(NOT(ISNUMBER('Price History'!C128)),NOT(ISNUMBER('Price History'!C127)),'Price History'!C127=0),"",'Price History'!C128/'Price History'!C127-1),"")</f>
        <v>0.0133495145631066</v>
      </c>
      <c r="D127" s="76" t="n">
        <f aca="false">IFERROR(IF(OR(NOT(ISNUMBER('Price History'!D128)),NOT(ISNUMBER('Price History'!D127)),'Price History'!D127=0),"",'Price History'!D128/'Price History'!D127-1),"")</f>
        <v>0.0848566767653227</v>
      </c>
      <c r="E127" s="76" t="n">
        <f aca="false">IFERROR(IF(OR(NOT(ISNUMBER('Price History'!E128)),NOT(ISNUMBER('Price History'!E127)),'Price History'!E127=0),"",'Price History'!E128/'Price History'!E127-1),"")</f>
        <v>-0.012807769857723</v>
      </c>
      <c r="F127" s="76" t="n">
        <f aca="false">IFERROR(IF(OR(NOT(ISNUMBER('Price History'!F128)),NOT(ISNUMBER('Price History'!F127)),'Price History'!F127=0),"",'Price History'!F128/'Price History'!F127-1),"")</f>
        <v>-0.057356608478803</v>
      </c>
      <c r="G127" s="76" t="n">
        <f aca="false">IFERROR(IF(OR(NOT(ISNUMBER('Price History'!G128)),NOT(ISNUMBER('Price History'!G127)),'Price History'!G127=0),"",'Price History'!G128/'Price History'!G127-1),"")</f>
        <v>-0.00398562050640816</v>
      </c>
      <c r="H127" s="76" t="n">
        <f aca="false">IFERROR(IF(OR(NOT(ISNUMBER('Price History'!H128)),NOT(ISNUMBER('Price History'!H127)),'Price History'!H127=0),"",'Price History'!H128/'Price History'!H127-1),"")</f>
        <v>0.107552933740651</v>
      </c>
      <c r="I127" s="76" t="n">
        <f aca="false">IFERROR(IF(OR(NOT(ISNUMBER('Price History'!I128)),NOT(ISNUMBER('Price History'!I127)),'Price History'!I127=0),"",'Price History'!I128/'Price History'!I127-1),"")</f>
        <v>-0.00881750905369239</v>
      </c>
      <c r="J127" s="76" t="n">
        <f aca="false">IFERROR(IF(OR(NOT(ISNUMBER('Price History'!J128)),NOT(ISNUMBER('Price History'!J127)),'Price History'!J127=0),"",'Price History'!J128/'Price History'!J127-1),"")</f>
        <v>0.00264159738948022</v>
      </c>
      <c r="K127" s="76" t="n">
        <f aca="false">IFERROR(IF(OR(NOT(ISNUMBER('Price History'!K128)),NOT(ISNUMBER('Price History'!K127)),'Price History'!K127=0),"",'Price History'!K128/'Price History'!K127-1),"")</f>
        <v>-0.110486990620529</v>
      </c>
      <c r="L127" s="76" t="n">
        <f aca="false">IFERROR(IF(OR(NOT(ISNUMBER('Price History'!L128)),NOT(ISNUMBER('Price History'!L127)),'Price History'!L127=0),"",'Price History'!L128/'Price History'!L127-1),"")</f>
        <v>0.0553757759873201</v>
      </c>
      <c r="M127" s="76" t="n">
        <f aca="false">IFERROR(IF(OR(NOT(ISNUMBER('Price History'!M128)),NOT(ISNUMBER('Price History'!M127)),'Price History'!M127=0),"",'Price History'!M128/'Price History'!M127-1),"")</f>
        <v>0.0479174125790667</v>
      </c>
      <c r="N127" s="76" t="n">
        <f aca="false">IFERROR(IF(OR(NOT(ISNUMBER('Price History'!N128)),NOT(ISNUMBER('Price History'!N127)),'Price History'!N127=0),"",'Price History'!N128/'Price History'!N127-1),"")</f>
        <v>-0.0232663642255346</v>
      </c>
      <c r="O127" s="76" t="n">
        <f aca="false">IFERROR(IF(OR(NOT(ISNUMBER('Price History'!O128)),NOT(ISNUMBER('Price History'!O127)),'Price History'!O127=0),"",'Price History'!O128/'Price History'!O127-1),"")</f>
        <v>-0.00549715498119385</v>
      </c>
      <c r="P127" s="76" t="str">
        <f aca="false">IFERROR(IF(OR(NOT(ISNUMBER('Price History'!P128)),NOT(ISNUMBER('Price History'!P127)),'Price History'!P127=0),"",'Price History'!P128/'Price History'!P127-1),"")</f>
        <v/>
      </c>
      <c r="Q127" s="76" t="n">
        <f aca="false">IFERROR(IF(OR(NOT(ISNUMBER('Price History'!Q128)),NOT(ISNUMBER('Price History'!Q127)),'Price History'!Q127=0),"",'Price History'!Q128/'Price History'!Q127-1),"")</f>
        <v>0.00691001952831627</v>
      </c>
      <c r="R127" s="76" t="n">
        <f aca="false">IFERROR(IF(OR(NOT(ISNUMBER('Price History'!R128)),NOT(ISNUMBER('Price History'!R127)),'Price History'!R127=0),"",'Price History'!R128/'Price History'!R127-1),"")</f>
        <v>-0.0210650488709134</v>
      </c>
      <c r="S127" s="76" t="n">
        <f aca="false">IFERROR(IF(OR(NOT(ISNUMBER('Price History'!S128)),NOT(ISNUMBER('Price History'!S127)),'Price History'!S127=0),"",'Price History'!S128/'Price History'!S127-1),"")</f>
        <v>-0.014087988136431</v>
      </c>
      <c r="T127" s="76" t="n">
        <f aca="false">IFERROR(IF(OR(NOT(ISNUMBER('Price History'!T128)),NOT(ISNUMBER('Price History'!T127)),'Price History'!T127=0),"",'Price History'!T128/'Price History'!T127-1),"")</f>
        <v>-0.0092988187986931</v>
      </c>
      <c r="U127" s="76" t="str">
        <f aca="false">IFERROR(IF(OR(NOT(ISNUMBER('Price History'!U128)),NOT(ISNUMBER('Price History'!U127)),'Price History'!U127=0),"",'Price History'!U128/'Price History'!U127-1),"")</f>
        <v/>
      </c>
      <c r="W127" s="77" t="n">
        <f aca="false">'Price History'!B3+('Price History'!B158-'Price History'!B3)*0.805194805194805</f>
        <v>300.677532467533</v>
      </c>
      <c r="X127" s="77" t="n">
        <f aca="false">'Price History'!C3+('Price History'!C158-'Price History'!C3)*0.805194805194805</f>
        <v>153.737662337662</v>
      </c>
      <c r="Y127" s="77" t="n">
        <f aca="false">'Price History'!D3+('Price History'!D158-'Price History'!D3)*0.805194805194805</f>
        <v>1440.58051948052</v>
      </c>
      <c r="Z127" s="77" t="n">
        <f aca="false">'Price History'!E3+('Price History'!E158-'Price History'!E3)*0.805194805194805</f>
        <v>329.611168831169</v>
      </c>
      <c r="AA127" s="77" t="n">
        <f aca="false">'Price History'!F3+('Price History'!F158-'Price History'!F3)*0.805194805194805</f>
        <v>160.898961038961</v>
      </c>
      <c r="AB127" s="77" t="n">
        <f aca="false">'Price History'!G3+('Price History'!G158-'Price History'!G3)*0.805194805194805</f>
        <v>156.536883116883</v>
      </c>
      <c r="AC127" s="77" t="n">
        <f aca="false">'Price History'!H3+('Price History'!H158-'Price History'!H3)*0.805194805194805</f>
        <v>675.239090909091</v>
      </c>
      <c r="AD127" s="77" t="n">
        <f aca="false">'Price History'!I3+('Price History'!I158-'Price History'!I3)*0.805194805194805</f>
        <v>169.600649350649</v>
      </c>
      <c r="AE127" s="77" t="n">
        <f aca="false">'Price History'!J3+('Price History'!J158-'Price History'!J3)*0.805194805194805</f>
        <v>140.49961038961</v>
      </c>
      <c r="AF127" s="77" t="n">
        <f aca="false">'Price History'!K3+('Price History'!K158-'Price History'!K3)*0.805194805194805</f>
        <v>102.089220779221</v>
      </c>
      <c r="AG127" s="77" t="n">
        <f aca="false">'Price History'!L3+('Price History'!L158-'Price History'!L3)*0.805194805194805</f>
        <v>343.42012987013</v>
      </c>
      <c r="AH127" s="77" t="n">
        <f aca="false">'Price History'!M3+('Price History'!M158-'Price History'!M3)*0.805194805194805</f>
        <v>201.038831168831</v>
      </c>
      <c r="AI127" s="77" t="n">
        <f aca="false">'Price History'!N3+('Price History'!N158-'Price History'!N3)*0.805194805194805</f>
        <v>452.312987012987</v>
      </c>
      <c r="AJ127" s="77" t="n">
        <f aca="false">'Price History'!O3+('Price History'!O158-'Price History'!O3)*0.805194805194805</f>
        <v>117.014415584416</v>
      </c>
      <c r="AK127" s="77" t="n">
        <f aca="false">'Price History'!Q3+('Price History'!Q151-'Price History'!Q3)*0.805194805194805</f>
        <v>64.8246753246753</v>
      </c>
      <c r="AL127" s="77" t="n">
        <f aca="false">'Price History'!R3+('Price History'!R158-'Price History'!R3)*0.805194805194805</f>
        <v>56.2181818181818</v>
      </c>
      <c r="AM127" s="77" t="n">
        <f aca="false">'Price History'!S3+('Price History'!S158-'Price History'!S3)*0.805194805194805</f>
        <v>127.215064935065</v>
      </c>
      <c r="AN127" s="77" t="n">
        <f aca="false">'Price History'!T3+('Price History'!T158-'Price History'!T3)*0.805194805194805</f>
        <v>45.2925974025974</v>
      </c>
    </row>
    <row r="128" customFormat="false" ht="15" hidden="false" customHeight="true" outlineLevel="0" collapsed="false">
      <c r="A128" s="49" t="n">
        <f aca="false">IF('Price History'!A129="","",'Price History'!A129)</f>
        <v>46031</v>
      </c>
      <c r="B128" s="76" t="n">
        <f aca="false">IFERROR(IF(OR(NOT(ISNUMBER('Price History'!B129)),NOT(ISNUMBER('Price History'!B128)),'Price History'!B128=0),"",'Price History'!B129/'Price History'!B128-1),"")</f>
        <v>0.00195019501950178</v>
      </c>
      <c r="C128" s="76" t="n">
        <f aca="false">IFERROR(IF(OR(NOT(ISNUMBER('Price History'!C129)),NOT(ISNUMBER('Price History'!C128)),'Price History'!C128=0),"",'Price History'!C129/'Price History'!C128-1),"")</f>
        <v>-0.0801646706586826</v>
      </c>
      <c r="D128" s="76" t="n">
        <f aca="false">IFERROR(IF(OR(NOT(ISNUMBER('Price History'!D129)),NOT(ISNUMBER('Price History'!D128)),'Price History'!D128=0),"",'Price History'!D129/'Price History'!D128-1),"")</f>
        <v>0.0946055096324048</v>
      </c>
      <c r="E128" s="76" t="n">
        <f aca="false">IFERROR(IF(OR(NOT(ISNUMBER('Price History'!E129)),NOT(ISNUMBER('Price History'!E128)),'Price History'!E128=0),"",'Price History'!E129/'Price History'!E128-1),"")</f>
        <v>-0.00762326678557035</v>
      </c>
      <c r="F128" s="76" t="n">
        <f aca="false">IFERROR(IF(OR(NOT(ISNUMBER('Price History'!F129)),NOT(ISNUMBER('Price History'!F128)),'Price History'!F128=0),"",'Price History'!F129/'Price History'!F128-1),"")</f>
        <v>0.0374779541446209</v>
      </c>
      <c r="G128" s="76" t="n">
        <f aca="false">IFERROR(IF(OR(NOT(ISNUMBER('Price History'!G129)),NOT(ISNUMBER('Price History'!G128)),'Price History'!G128=0),"",'Price History'!G129/'Price History'!G128-1),"")</f>
        <v>0.0984699882306788</v>
      </c>
      <c r="H128" s="76" t="n">
        <f aca="false">IFERROR(IF(OR(NOT(ISNUMBER('Price History'!H129)),NOT(ISNUMBER('Price History'!H128)),'Price History'!H128=0),"",'Price History'!H129/'Price History'!H128-1),"")</f>
        <v>0.0940650561156551</v>
      </c>
      <c r="I128" s="76" t="n">
        <f aca="false">IFERROR(IF(OR(NOT(ISNUMBER('Price History'!I129)),NOT(ISNUMBER('Price History'!I128)),'Price History'!I128=0),"",'Price History'!I129/'Price History'!I128-1),"")</f>
        <v>-0.0211278792692612</v>
      </c>
      <c r="J128" s="76" t="n">
        <f aca="false">IFERROR(IF(OR(NOT(ISNUMBER('Price History'!J129)),NOT(ISNUMBER('Price History'!J128)),'Price History'!J128=0),"",'Price History'!J129/'Price History'!J128-1),"")</f>
        <v>0.00271212708252611</v>
      </c>
      <c r="K128" s="76" t="n">
        <f aca="false">IFERROR(IF(OR(NOT(ISNUMBER('Price History'!K129)),NOT(ISNUMBER('Price History'!K128)),'Price History'!K128=0),"",'Price History'!K129/'Price History'!K128-1),"")</f>
        <v>0.0573692362683189</v>
      </c>
      <c r="L128" s="76" t="n">
        <f aca="false">IFERROR(IF(OR(NOT(ISNUMBER('Price History'!L129)),NOT(ISNUMBER('Price History'!L128)),'Price History'!L128=0),"",'Price History'!L129/'Price History'!L128-1),"")</f>
        <v>0.0125778292293732</v>
      </c>
      <c r="M128" s="76" t="n">
        <f aca="false">IFERROR(IF(OR(NOT(ISNUMBER('Price History'!M129)),NOT(ISNUMBER('Price History'!M128)),'Price History'!M128=0),"",'Price History'!M129/'Price History'!M128-1),"")</f>
        <v>-0.0685040715221229</v>
      </c>
      <c r="N128" s="76" t="n">
        <f aca="false">IFERROR(IF(OR(NOT(ISNUMBER('Price History'!N129)),NOT(ISNUMBER('Price History'!N128)),'Price History'!N128=0),"",'Price History'!N129/'Price History'!N128-1),"")</f>
        <v>0.0259438657023423</v>
      </c>
      <c r="O128" s="76" t="n">
        <f aca="false">IFERROR(IF(OR(NOT(ISNUMBER('Price History'!O129)),NOT(ISNUMBER('Price History'!O128)),'Price History'!O128=0),"",'Price History'!O129/'Price History'!O128-1),"")</f>
        <v>0.0408262218774242</v>
      </c>
      <c r="P128" s="76" t="str">
        <f aca="false">IFERROR(IF(OR(NOT(ISNUMBER('Price History'!P129)),NOT(ISNUMBER('Price History'!P128)),'Price History'!P128=0),"",'Price History'!P129/'Price History'!P128-1),"")</f>
        <v/>
      </c>
      <c r="Q128" s="76" t="n">
        <f aca="false">IFERROR(IF(OR(NOT(ISNUMBER('Price History'!Q129)),NOT(ISNUMBER('Price History'!Q128)),'Price History'!Q128=0),"",'Price History'!Q129/'Price History'!Q128-1),"")</f>
        <v>-0.00581829031776815</v>
      </c>
      <c r="R128" s="76" t="n">
        <f aca="false">IFERROR(IF(OR(NOT(ISNUMBER('Price History'!R129)),NOT(ISNUMBER('Price History'!R128)),'Price History'!R128=0),"",'Price History'!R129/'Price History'!R128-1),"")</f>
        <v>0.0184196935789291</v>
      </c>
      <c r="S128" s="76" t="n">
        <f aca="false">IFERROR(IF(OR(NOT(ISNUMBER('Price History'!S129)),NOT(ISNUMBER('Price History'!S128)),'Price History'!S128=0),"",'Price History'!S129/'Price History'!S128-1),"")</f>
        <v>0.00300827275006266</v>
      </c>
      <c r="T128" s="76" t="n">
        <f aca="false">IFERROR(IF(OR(NOT(ISNUMBER('Price History'!T129)),NOT(ISNUMBER('Price History'!T128)),'Price History'!T128=0),"",'Price History'!T129/'Price History'!T128-1),"")</f>
        <v>0.0256215119228818</v>
      </c>
      <c r="U128" s="76" t="str">
        <f aca="false">IFERROR(IF(OR(NOT(ISNUMBER('Price History'!U129)),NOT(ISNUMBER('Price History'!U128)),'Price History'!U128=0),"",'Price History'!U129/'Price History'!U128-1),"")</f>
        <v/>
      </c>
      <c r="W128" s="77" t="n">
        <f aca="false">'Price History'!B3+('Price History'!B158-'Price History'!B3)*0.811688311688312</f>
        <v>299.001948051948</v>
      </c>
      <c r="X128" s="77" t="n">
        <f aca="false">'Price History'!C3+('Price History'!C158-'Price History'!C3)*0.811688311688312</f>
        <v>154.62474025974</v>
      </c>
      <c r="Y128" s="77" t="n">
        <f aca="false">'Price History'!D3+('Price History'!D158-'Price History'!D3)*0.811688311688312</f>
        <v>1446.86116883117</v>
      </c>
      <c r="Z128" s="77" t="n">
        <f aca="false">'Price History'!E3+('Price History'!E158-'Price History'!E3)*0.811688311688312</f>
        <v>331.60012987013</v>
      </c>
      <c r="AA128" s="77" t="n">
        <f aca="false">'Price History'!F3+('Price History'!F158-'Price History'!F3)*0.811688311688312</f>
        <v>161.897662337662</v>
      </c>
      <c r="AB128" s="77" t="n">
        <f aca="false">'Price History'!G3+('Price History'!G158-'Price History'!G3)*0.811688311688312</f>
        <v>157.412987012987</v>
      </c>
      <c r="AC128" s="77" t="n">
        <f aca="false">'Price History'!H3+('Price History'!H158-'Price History'!H3)*0.811688311688312</f>
        <v>680.165454545455</v>
      </c>
      <c r="AD128" s="77" t="n">
        <f aca="false">'Price History'!I3+('Price History'!I158-'Price History'!I3)*0.811688311688312</f>
        <v>170.638961038961</v>
      </c>
      <c r="AE128" s="77" t="n">
        <f aca="false">'Price History'!J3+('Price History'!J158-'Price History'!J3)*0.811688311688312</f>
        <v>140.636623376623</v>
      </c>
      <c r="AF128" s="77" t="n">
        <f aca="false">'Price History'!K3+('Price History'!K158-'Price History'!K3)*0.811688311688312</f>
        <v>102.788246753247</v>
      </c>
      <c r="AG128" s="77" t="n">
        <f aca="false">'Price History'!L3+('Price History'!L158-'Price History'!L3)*0.811688311688312</f>
        <v>345.447792207792</v>
      </c>
      <c r="AH128" s="77" t="n">
        <f aca="false">'Price History'!M3+('Price History'!M158-'Price History'!M3)*0.811688311688312</f>
        <v>202.38987012987</v>
      </c>
      <c r="AI128" s="77" t="n">
        <f aca="false">'Price History'!N3+('Price History'!N158-'Price History'!N3)*0.811688311688312</f>
        <v>453.139220779221</v>
      </c>
      <c r="AJ128" s="77" t="n">
        <f aca="false">'Price History'!O3+('Price History'!O158-'Price History'!O3)*0.811688311688312</f>
        <v>117.289935064935</v>
      </c>
      <c r="AK128" s="77" t="n">
        <f aca="false">'Price History'!Q3+('Price History'!Q151-'Price History'!Q3)*0.811688311688312</f>
        <v>64.9455194805195</v>
      </c>
      <c r="AL128" s="77" t="n">
        <f aca="false">'Price History'!R3+('Price History'!R158-'Price History'!R3)*0.811688311688312</f>
        <v>56.2859090909091</v>
      </c>
      <c r="AM128" s="77" t="n">
        <f aca="false">'Price History'!S3+('Price History'!S158-'Price History'!S3)*0.811688311688312</f>
        <v>127.768896103896</v>
      </c>
      <c r="AN128" s="77" t="n">
        <f aca="false">'Price History'!T3+('Price History'!T158-'Price History'!T3)*0.811688311688312</f>
        <v>45.4408441558442</v>
      </c>
    </row>
    <row r="129" customFormat="false" ht="15" hidden="false" customHeight="true" outlineLevel="0" collapsed="false">
      <c r="A129" s="49" t="n">
        <f aca="false">IF('Price History'!A130="","",'Price History'!A130)</f>
        <v>46038</v>
      </c>
      <c r="B129" s="76" t="n">
        <f aca="false">IFERROR(IF(OR(NOT(ISNUMBER('Price History'!B130)),NOT(ISNUMBER('Price History'!B129)),'Price History'!B129=0),"",'Price History'!B130/'Price History'!B129-1),"")</f>
        <v>-0.113280431202276</v>
      </c>
      <c r="C129" s="76" t="n">
        <f aca="false">IFERROR(IF(OR(NOT(ISNUMBER('Price History'!C130)),NOT(ISNUMBER('Price History'!C129)),'Price History'!C129=0),"",'Price History'!C130/'Price History'!C129-1),"")</f>
        <v>0.0564732687769551</v>
      </c>
      <c r="D129" s="76" t="n">
        <f aca="false">IFERROR(IF(OR(NOT(ISNUMBER('Price History'!D130)),NOT(ISNUMBER('Price History'!D129)),'Price History'!D129=0),"",'Price History'!D130/'Price History'!D129-1),"")</f>
        <v>0.0664819292241026</v>
      </c>
      <c r="E129" s="76" t="n">
        <f aca="false">IFERROR(IF(OR(NOT(ISNUMBER('Price History'!E130)),NOT(ISNUMBER('Price History'!E129)),'Price History'!E129=0),"",'Price History'!E130/'Price History'!E129-1),"")</f>
        <v>0.0195379308345651</v>
      </c>
      <c r="F129" s="76" t="n">
        <f aca="false">IFERROR(IF(OR(NOT(ISNUMBER('Price History'!F130)),NOT(ISNUMBER('Price History'!F129)),'Price History'!F129=0),"",'Price History'!F130/'Price History'!F129-1),"")</f>
        <v>-0.0355291117722057</v>
      </c>
      <c r="G129" s="76" t="n">
        <f aca="false">IFERROR(IF(OR(NOT(ISNUMBER('Price History'!G130)),NOT(ISNUMBER('Price History'!G129)),'Price History'!G129=0),"",'Price History'!G130/'Price History'!G129-1),"")</f>
        <v>0.119857142857143</v>
      </c>
      <c r="H129" s="76" t="n">
        <f aca="false">IFERROR(IF(OR(NOT(ISNUMBER('Price History'!H130)),NOT(ISNUMBER('Price History'!H129)),'Price History'!H129=0),"",'Price History'!H130/'Price History'!H129-1),"")</f>
        <v>0.0511750557825497</v>
      </c>
      <c r="I129" s="76" t="n">
        <f aca="false">IFERROR(IF(OR(NOT(ISNUMBER('Price History'!I130)),NOT(ISNUMBER('Price History'!I129)),'Price History'!I129=0),"",'Price History'!I130/'Price History'!I129-1),"")</f>
        <v>0.00741101374012754</v>
      </c>
      <c r="J129" s="76" t="n">
        <f aca="false">IFERROR(IF(OR(NOT(ISNUMBER('Price History'!J130)),NOT(ISNUMBER('Price History'!J129)),'Price History'!J129=0),"",'Price History'!J130/'Price History'!J129-1),"")</f>
        <v>0.0294435857805255</v>
      </c>
      <c r="K129" s="76" t="n">
        <f aca="false">IFERROR(IF(OR(NOT(ISNUMBER('Price History'!K130)),NOT(ISNUMBER('Price History'!K129)),'Price History'!K129=0),"",'Price History'!K130/'Price History'!K129-1),"")</f>
        <v>-0.0367908051157811</v>
      </c>
      <c r="L129" s="76" t="n">
        <f aca="false">IFERROR(IF(OR(NOT(ISNUMBER('Price History'!L130)),NOT(ISNUMBER('Price History'!L129)),'Price History'!L129=0),"",'Price History'!L130/'Price History'!L129-1),"")</f>
        <v>0.0579983314278651</v>
      </c>
      <c r="M129" s="76" t="n">
        <f aca="false">IFERROR(IF(OR(NOT(ISNUMBER('Price History'!M130)),NOT(ISNUMBER('Price History'!M129)),'Price History'!M129=0),"",'Price History'!M130/'Price History'!M129-1),"")</f>
        <v>0.0816114439418021</v>
      </c>
      <c r="N129" s="76" t="n">
        <f aca="false">IFERROR(IF(OR(NOT(ISNUMBER('Price History'!N130)),NOT(ISNUMBER('Price History'!N129)),'Price History'!N129=0),"",'Price History'!N130/'Price History'!N129-1),"")</f>
        <v>-0.0485060147458285</v>
      </c>
      <c r="O129" s="76" t="n">
        <f aca="false">IFERROR(IF(OR(NOT(ISNUMBER('Price History'!O130)),NOT(ISNUMBER('Price History'!O129)),'Price History'!O129=0),"",'Price History'!O130/'Price History'!O129-1),"")</f>
        <v>0.0109941302524923</v>
      </c>
      <c r="P129" s="76" t="str">
        <f aca="false">IFERROR(IF(OR(NOT(ISNUMBER('Price History'!P130)),NOT(ISNUMBER('Price History'!P129)),'Price History'!P129=0),"",'Price History'!P130/'Price History'!P129-1),"")</f>
        <v/>
      </c>
      <c r="Q129" s="76" t="n">
        <f aca="false">IFERROR(IF(OR(NOT(ISNUMBER('Price History'!Q130)),NOT(ISNUMBER('Price History'!Q129)),'Price History'!Q129=0),"",'Price History'!Q130/'Price History'!Q129-1),"")</f>
        <v>-0.0112545018007203</v>
      </c>
      <c r="R129" s="76" t="n">
        <f aca="false">IFERROR(IF(OR(NOT(ISNUMBER('Price History'!R130)),NOT(ISNUMBER('Price History'!R129)),'Price History'!R129=0),"",'Price History'!R130/'Price History'!R129-1),"")</f>
        <v>-0.00405679513184576</v>
      </c>
      <c r="S129" s="76" t="n">
        <f aca="false">IFERROR(IF(OR(NOT(ISNUMBER('Price History'!S130)),NOT(ISNUMBER('Price History'!S129)),'Price History'!S129=0),"",'Price History'!S130/'Price History'!S129-1),"")</f>
        <v>-0.000249937515621079</v>
      </c>
      <c r="T129" s="76" t="n">
        <f aca="false">IFERROR(IF(OR(NOT(ISNUMBER('Price History'!T130)),NOT(ISNUMBER('Price History'!T129)),'Price History'!T129=0),"",'Price History'!T130/'Price History'!T129-1),"")</f>
        <v>-0.0202819688350235</v>
      </c>
      <c r="U129" s="76" t="str">
        <f aca="false">IFERROR(IF(OR(NOT(ISNUMBER('Price History'!U130)),NOT(ISNUMBER('Price History'!U129)),'Price History'!U129=0),"",'Price History'!U130/'Price History'!U129-1),"")</f>
        <v/>
      </c>
      <c r="W129" s="77" t="n">
        <f aca="false">'Price History'!B3+('Price History'!B158-'Price History'!B3)*0.818181818181818</f>
        <v>297.326363636364</v>
      </c>
      <c r="X129" s="77" t="n">
        <f aca="false">'Price History'!C3+('Price History'!C158-'Price History'!C3)*0.818181818181818</f>
        <v>155.511818181818</v>
      </c>
      <c r="Y129" s="77" t="n">
        <f aca="false">'Price History'!D3+('Price History'!D158-'Price History'!D3)*0.818181818181818</f>
        <v>1453.14181818182</v>
      </c>
      <c r="Z129" s="77" t="n">
        <f aca="false">'Price History'!E3+('Price History'!E158-'Price History'!E3)*0.818181818181818</f>
        <v>333.589090909091</v>
      </c>
      <c r="AA129" s="77" t="n">
        <f aca="false">'Price History'!F3+('Price History'!F158-'Price History'!F3)*0.818181818181818</f>
        <v>162.896363636364</v>
      </c>
      <c r="AB129" s="77" t="n">
        <f aca="false">'Price History'!G3+('Price History'!G158-'Price History'!G3)*0.818181818181818</f>
        <v>158.289090909091</v>
      </c>
      <c r="AC129" s="77" t="n">
        <f aca="false">'Price History'!H3+('Price History'!H158-'Price History'!H3)*0.818181818181818</f>
        <v>685.091818181818</v>
      </c>
      <c r="AD129" s="77" t="n">
        <f aca="false">'Price History'!I3+('Price History'!I158-'Price History'!I3)*0.818181818181818</f>
        <v>171.677272727273</v>
      </c>
      <c r="AE129" s="77" t="n">
        <f aca="false">'Price History'!J3+('Price History'!J158-'Price History'!J3)*0.818181818181818</f>
        <v>140.773636363636</v>
      </c>
      <c r="AF129" s="77" t="n">
        <f aca="false">'Price History'!K3+('Price History'!K158-'Price History'!K3)*0.818181818181818</f>
        <v>103.487272727273</v>
      </c>
      <c r="AG129" s="77" t="n">
        <f aca="false">'Price History'!L3+('Price History'!L158-'Price History'!L3)*0.818181818181818</f>
        <v>347.475454545454</v>
      </c>
      <c r="AH129" s="77" t="n">
        <f aca="false">'Price History'!M3+('Price History'!M158-'Price History'!M3)*0.818181818181818</f>
        <v>203.740909090909</v>
      </c>
      <c r="AI129" s="77" t="n">
        <f aca="false">'Price History'!N3+('Price History'!N158-'Price History'!N3)*0.818181818181818</f>
        <v>453.965454545455</v>
      </c>
      <c r="AJ129" s="77" t="n">
        <f aca="false">'Price History'!O3+('Price History'!O158-'Price History'!O3)*0.818181818181818</f>
        <v>117.565454545455</v>
      </c>
      <c r="AK129" s="77" t="n">
        <f aca="false">'Price History'!Q3+('Price History'!Q151-'Price History'!Q3)*0.818181818181818</f>
        <v>65.0663636363636</v>
      </c>
      <c r="AL129" s="77" t="n">
        <f aca="false">'Price History'!R3+('Price History'!R158-'Price History'!R3)*0.818181818181818</f>
        <v>56.3536363636364</v>
      </c>
      <c r="AM129" s="77" t="n">
        <f aca="false">'Price History'!S3+('Price History'!S158-'Price History'!S3)*0.818181818181818</f>
        <v>128.322727272727</v>
      </c>
      <c r="AN129" s="77" t="n">
        <f aca="false">'Price History'!T3+('Price History'!T158-'Price History'!T3)*0.818181818181818</f>
        <v>45.5890909090909</v>
      </c>
    </row>
    <row r="130" customFormat="false" ht="15" hidden="false" customHeight="true" outlineLevel="0" collapsed="false">
      <c r="A130" s="49" t="n">
        <f aca="false">IF('Price History'!A131="","",'Price History'!A131)</f>
        <v>46045</v>
      </c>
      <c r="B130" s="76" t="n">
        <f aca="false">IFERROR(IF(OR(NOT(ISNUMBER('Price History'!B131)),NOT(ISNUMBER('Price History'!B130)),'Price History'!B130=0),"",'Price History'!B131/'Price History'!B130-1),"")</f>
        <v>0.0167161961367013</v>
      </c>
      <c r="C130" s="76" t="n">
        <f aca="false">IFERROR(IF(OR(NOT(ISNUMBER('Price History'!C131)),NOT(ISNUMBER('Price History'!C130)),'Price History'!C130=0),"",'Price History'!C131/'Price History'!C130-1),"")</f>
        <v>0.0501424940306554</v>
      </c>
      <c r="D130" s="76" t="n">
        <f aca="false">IFERROR(IF(OR(NOT(ISNUMBER('Price History'!D131)),NOT(ISNUMBER('Price History'!D130)),'Price History'!D130=0),"",'Price History'!D131/'Price History'!D130-1),"")</f>
        <v>0.0224279941408982</v>
      </c>
      <c r="E130" s="76" t="n">
        <f aca="false">IFERROR(IF(OR(NOT(ISNUMBER('Price History'!E131)),NOT(ISNUMBER('Price History'!E130)),'Price History'!E130=0),"",'Price History'!E131/'Price History'!E130-1),"")</f>
        <v>-0.090017343834409</v>
      </c>
      <c r="F130" s="76" t="n">
        <f aca="false">IFERROR(IF(OR(NOT(ISNUMBER('Price History'!F131)),NOT(ISNUMBER('Price History'!F130)),'Price History'!F130=0),"",'Price History'!F131/'Price History'!F130-1),"")</f>
        <v>-0.00308451573103019</v>
      </c>
      <c r="G130" s="76" t="n">
        <f aca="false">IFERROR(IF(OR(NOT(ISNUMBER('Price History'!G131)),NOT(ISNUMBER('Price History'!G130)),'Price History'!G130=0),"",'Price History'!G131/'Price History'!G130-1),"")</f>
        <v>-0.0350810052302589</v>
      </c>
      <c r="H130" s="76" t="n">
        <f aca="false">IFERROR(IF(OR(NOT(ISNUMBER('Price History'!H131)),NOT(ISNUMBER('Price History'!H130)),'Price History'!H130=0),"",'Price History'!H131/'Price History'!H130-1),"")</f>
        <v>0.101722949689869</v>
      </c>
      <c r="I130" s="76" t="n">
        <f aca="false">IFERROR(IF(OR(NOT(ISNUMBER('Price History'!I131)),NOT(ISNUMBER('Price History'!I130)),'Price History'!I130=0),"",'Price History'!I131/'Price History'!I130-1),"")</f>
        <v>0.00773237394619564</v>
      </c>
      <c r="J130" s="76" t="n">
        <f aca="false">IFERROR(IF(OR(NOT(ISNUMBER('Price History'!J131)),NOT(ISNUMBER('Price History'!J130)),'Price History'!J130=0),"",'Price History'!J131/'Price History'!J130-1),"")</f>
        <v>-0.0454920801741611</v>
      </c>
      <c r="K130" s="76" t="n">
        <f aca="false">IFERROR(IF(OR(NOT(ISNUMBER('Price History'!K131)),NOT(ISNUMBER('Price History'!K130)),'Price History'!K130=0),"",'Price History'!K131/'Price History'!K130-1),"")</f>
        <v>-0.0079550772110436</v>
      </c>
      <c r="L130" s="76" t="n">
        <f aca="false">IFERROR(IF(OR(NOT(ISNUMBER('Price History'!L131)),NOT(ISNUMBER('Price History'!L130)),'Price History'!L130=0),"",'Price History'!L131/'Price History'!L130-1),"")</f>
        <v>-0.0219918224299065</v>
      </c>
      <c r="M130" s="76" t="n">
        <f aca="false">IFERROR(IF(OR(NOT(ISNUMBER('Price History'!M131)),NOT(ISNUMBER('Price History'!M130)),'Price History'!M130=0),"",'Price History'!M131/'Price History'!M130-1),"")</f>
        <v>0.031424857288193</v>
      </c>
      <c r="N130" s="76" t="n">
        <f aca="false">IFERROR(IF(OR(NOT(ISNUMBER('Price History'!N131)),NOT(ISNUMBER('Price History'!N130)),'Price History'!N130=0),"",'Price History'!N131/'Price History'!N130-1),"")</f>
        <v>0.0612878375928947</v>
      </c>
      <c r="O130" s="76" t="n">
        <f aca="false">IFERROR(IF(OR(NOT(ISNUMBER('Price History'!O131)),NOT(ISNUMBER('Price History'!O130)),'Price History'!O130=0),"",'Price History'!O131/'Price History'!O130-1),"")</f>
        <v>-0.000184314809695052</v>
      </c>
      <c r="P130" s="76" t="str">
        <f aca="false">IFERROR(IF(OR(NOT(ISNUMBER('Price History'!P131)),NOT(ISNUMBER('Price History'!P130)),'Price History'!P130=0),"",'Price History'!P131/'Price History'!P130-1),"")</f>
        <v/>
      </c>
      <c r="Q130" s="76" t="n">
        <f aca="false">IFERROR(IF(OR(NOT(ISNUMBER('Price History'!Q131)),NOT(ISNUMBER('Price History'!Q130)),'Price History'!Q130=0),"",'Price History'!Q131/'Price History'!Q130-1),"")</f>
        <v>-0.013355592654424</v>
      </c>
      <c r="R130" s="76" t="n">
        <f aca="false">IFERROR(IF(OR(NOT(ISNUMBER('Price History'!R131)),NOT(ISNUMBER('Price History'!R130)),'Price History'!R130=0),"",'Price History'!R131/'Price History'!R130-1),"")</f>
        <v>0.00509164969450104</v>
      </c>
      <c r="S130" s="76" t="n">
        <f aca="false">IFERROR(IF(OR(NOT(ISNUMBER('Price History'!S131)),NOT(ISNUMBER('Price History'!S130)),'Price History'!S130=0),"",'Price History'!S131/'Price History'!S130-1),"")</f>
        <v>-0.0173333333333333</v>
      </c>
      <c r="T130" s="76" t="n">
        <f aca="false">IFERROR(IF(OR(NOT(ISNUMBER('Price History'!T131)),NOT(ISNUMBER('Price History'!T130)),'Price History'!T130=0),"",'Price History'!T131/'Price History'!T130-1),"")</f>
        <v>0.0063115374905327</v>
      </c>
      <c r="U130" s="76" t="str">
        <f aca="false">IFERROR(IF(OR(NOT(ISNUMBER('Price History'!U131)),NOT(ISNUMBER('Price History'!U130)),'Price History'!U130=0),"",'Price History'!U131/'Price History'!U130-1),"")</f>
        <v/>
      </c>
      <c r="W130" s="77" t="n">
        <f aca="false">'Price History'!B3+('Price History'!B158-'Price History'!B3)*0.824675324675325</f>
        <v>295.650779220779</v>
      </c>
      <c r="X130" s="77" t="n">
        <f aca="false">'Price History'!C3+('Price History'!C158-'Price History'!C3)*0.824675324675325</f>
        <v>156.398896103896</v>
      </c>
      <c r="Y130" s="77" t="n">
        <f aca="false">'Price History'!D3+('Price History'!D158-'Price History'!D3)*0.824675324675325</f>
        <v>1459.42246753247</v>
      </c>
      <c r="Z130" s="77" t="n">
        <f aca="false">'Price History'!E3+('Price History'!E158-'Price History'!E3)*0.824675324675325</f>
        <v>335.578051948052</v>
      </c>
      <c r="AA130" s="77" t="n">
        <f aca="false">'Price History'!F3+('Price History'!F158-'Price History'!F3)*0.824675324675325</f>
        <v>163.895064935065</v>
      </c>
      <c r="AB130" s="77" t="n">
        <f aca="false">'Price History'!G3+('Price History'!G158-'Price History'!G3)*0.824675324675325</f>
        <v>159.165194805195</v>
      </c>
      <c r="AC130" s="77" t="n">
        <f aca="false">'Price History'!H3+('Price History'!H158-'Price History'!H3)*0.824675324675325</f>
        <v>690.018181818182</v>
      </c>
      <c r="AD130" s="77" t="n">
        <f aca="false">'Price History'!I3+('Price History'!I158-'Price History'!I3)*0.824675324675325</f>
        <v>172.715584415584</v>
      </c>
      <c r="AE130" s="77" t="n">
        <f aca="false">'Price History'!J3+('Price History'!J158-'Price History'!J3)*0.824675324675325</f>
        <v>140.910649350649</v>
      </c>
      <c r="AF130" s="77" t="n">
        <f aca="false">'Price History'!K3+('Price History'!K158-'Price History'!K3)*0.824675324675325</f>
        <v>104.186298701299</v>
      </c>
      <c r="AG130" s="77" t="n">
        <f aca="false">'Price History'!L3+('Price History'!L158-'Price History'!L3)*0.824675324675325</f>
        <v>349.503116883117</v>
      </c>
      <c r="AH130" s="77" t="n">
        <f aca="false">'Price History'!M3+('Price History'!M158-'Price History'!M3)*0.824675324675325</f>
        <v>205.091948051948</v>
      </c>
      <c r="AI130" s="77" t="n">
        <f aca="false">'Price History'!N3+('Price History'!N158-'Price History'!N3)*0.824675324675325</f>
        <v>454.791688311688</v>
      </c>
      <c r="AJ130" s="77" t="n">
        <f aca="false">'Price History'!O3+('Price History'!O158-'Price History'!O3)*0.824675324675325</f>
        <v>117.840974025974</v>
      </c>
      <c r="AK130" s="77" t="n">
        <f aca="false">'Price History'!Q3+('Price History'!Q151-'Price History'!Q3)*0.824675324675325</f>
        <v>65.1872077922078</v>
      </c>
      <c r="AL130" s="77" t="n">
        <f aca="false">'Price History'!R3+('Price History'!R158-'Price History'!R3)*0.824675324675325</f>
        <v>56.4213636363636</v>
      </c>
      <c r="AM130" s="77" t="n">
        <f aca="false">'Price History'!S3+('Price History'!S158-'Price History'!S3)*0.824675324675325</f>
        <v>128.876558441558</v>
      </c>
      <c r="AN130" s="77" t="n">
        <f aca="false">'Price History'!T3+('Price History'!T158-'Price History'!T3)*0.824675324675325</f>
        <v>45.7373376623377</v>
      </c>
    </row>
    <row r="131" customFormat="false" ht="15" hidden="false" customHeight="true" outlineLevel="0" collapsed="false">
      <c r="A131" s="49" t="n">
        <f aca="false">IF('Price History'!A132="","",'Price History'!A132)</f>
        <v>46052</v>
      </c>
      <c r="B131" s="76" t="n">
        <f aca="false">IFERROR(IF(OR(NOT(ISNUMBER('Price History'!B132)),NOT(ISNUMBER('Price History'!B131)),'Price History'!B131=0),"",'Price History'!B132/'Price History'!B131-1),"")</f>
        <v>-0.025974025974026</v>
      </c>
      <c r="C131" s="76" t="n">
        <f aca="false">IFERROR(IF(OR(NOT(ISNUMBER('Price History'!C132)),NOT(ISNUMBER('Price History'!C131)),'Price History'!C131=0),"",'Price History'!C132/'Price History'!C131-1),"")</f>
        <v>0.0396068651899664</v>
      </c>
      <c r="D131" s="76" t="n">
        <f aca="false">IFERROR(IF(OR(NOT(ISNUMBER('Price History'!D132)),NOT(ISNUMBER('Price History'!D131)),'Price History'!D131=0),"",'Price History'!D132/'Price History'!D131-1),"")</f>
        <v>0.0244485399988481</v>
      </c>
      <c r="E131" s="76" t="n">
        <f aca="false">IFERROR(IF(OR(NOT(ISNUMBER('Price History'!E132)),NOT(ISNUMBER('Price History'!E131)),'Price History'!E131=0),"",'Price History'!E132/'Price History'!E131-1),"")</f>
        <v>0.0351507576941104</v>
      </c>
      <c r="F131" s="76" t="n">
        <f aca="false">IFERROR(IF(OR(NOT(ISNUMBER('Price History'!F132)),NOT(ISNUMBER('Price History'!F131)),'Price History'!F131=0),"",'Price History'!F132/'Price History'!F131-1),"")</f>
        <v>-0.0244872701555871</v>
      </c>
      <c r="G131" s="76" t="n">
        <f aca="false">IFERROR(IF(OR(NOT(ISNUMBER('Price History'!G132)),NOT(ISNUMBER('Price History'!G131)),'Price History'!G131=0),"",'Price History'!G132/'Price History'!G131-1),"")</f>
        <v>-0.056121099947118</v>
      </c>
      <c r="H131" s="76" t="n">
        <f aca="false">IFERROR(IF(OR(NOT(ISNUMBER('Price History'!H132)),NOT(ISNUMBER('Price History'!H131)),'Price History'!H131=0),"",'Price History'!H132/'Price History'!H131-1),"")</f>
        <v>0.0381083448017014</v>
      </c>
      <c r="I131" s="76" t="n">
        <f aca="false">IFERROR(IF(OR(NOT(ISNUMBER('Price History'!I132)),NOT(ISNUMBER('Price History'!I131)),'Price History'!I131=0),"",'Price History'!I132/'Price History'!I131-1),"")</f>
        <v>0.01843661746683</v>
      </c>
      <c r="J131" s="76" t="n">
        <f aca="false">IFERROR(IF(OR(NOT(ISNUMBER('Price History'!J132)),NOT(ISNUMBER('Price History'!J131)),'Price History'!J131=0),"",'Price History'!J132/'Price History'!J131-1),"")</f>
        <v>0.0268187180495478</v>
      </c>
      <c r="K131" s="76" t="n">
        <f aca="false">IFERROR(IF(OR(NOT(ISNUMBER('Price History'!K132)),NOT(ISNUMBER('Price History'!K131)),'Price History'!K131=0),"",'Price History'!K132/'Price History'!K131-1),"")</f>
        <v>-0.135672169811321</v>
      </c>
      <c r="L131" s="76" t="n">
        <f aca="false">IFERROR(IF(OR(NOT(ISNUMBER('Price History'!L132)),NOT(ISNUMBER('Price History'!L131)),'Price History'!L131=0),"",'Price History'!L132/'Price History'!L131-1),"")</f>
        <v>-0.0128706662286857</v>
      </c>
      <c r="M131" s="76" t="n">
        <f aca="false">IFERROR(IF(OR(NOT(ISNUMBER('Price History'!M132)),NOT(ISNUMBER('Price History'!M131)),'Price History'!M131=0),"",'Price History'!M132/'Price History'!M131-1),"")</f>
        <v>0.0202202860430709</v>
      </c>
      <c r="N131" s="76" t="n">
        <f aca="false">IFERROR(IF(OR(NOT(ISNUMBER('Price History'!N132)),NOT(ISNUMBER('Price History'!N131)),'Price History'!N131=0),"",'Price History'!N132/'Price History'!N131-1),"")</f>
        <v>0.0031809739330928</v>
      </c>
      <c r="O131" s="76" t="n">
        <f aca="false">IFERROR(IF(OR(NOT(ISNUMBER('Price History'!O132)),NOT(ISNUMBER('Price History'!O131)),'Price History'!O131=0),"",'Price History'!O132/'Price History'!O131-1),"")</f>
        <v>0.007189602728362</v>
      </c>
      <c r="P131" s="76" t="str">
        <f aca="false">IFERROR(IF(OR(NOT(ISNUMBER('Price History'!P132)),NOT(ISNUMBER('Price History'!P131)),'Price History'!P131=0),"",'Price History'!P132/'Price History'!P131-1),"")</f>
        <v/>
      </c>
      <c r="Q131" s="76" t="n">
        <f aca="false">IFERROR(IF(OR(NOT(ISNUMBER('Price History'!Q132)),NOT(ISNUMBER('Price History'!Q131)),'Price History'!Q131=0),"",'Price History'!Q132/'Price History'!Q131-1),"")</f>
        <v>-0.0112290416858946</v>
      </c>
      <c r="R131" s="76" t="n">
        <f aca="false">IFERROR(IF(OR(NOT(ISNUMBER('Price History'!R132)),NOT(ISNUMBER('Price History'!R131)),'Price History'!R131=0),"",'Price History'!R132/'Price History'!R131-1),"")</f>
        <v>0.00354609929078009</v>
      </c>
      <c r="S131" s="76" t="n">
        <f aca="false">IFERROR(IF(OR(NOT(ISNUMBER('Price History'!S132)),NOT(ISNUMBER('Price History'!S131)),'Price History'!S131=0),"",'Price History'!S132/'Price History'!S131-1),"")</f>
        <v>0.0165366350067844</v>
      </c>
      <c r="T131" s="76" t="n">
        <f aca="false">IFERROR(IF(OR(NOT(ISNUMBER('Price History'!T132)),NOT(ISNUMBER('Price History'!T131)),'Price History'!T131=0),"",'Price History'!T132/'Price History'!T131-1),"")</f>
        <v>-0.00978424485699947</v>
      </c>
      <c r="U131" s="76" t="str">
        <f aca="false">IFERROR(IF(OR(NOT(ISNUMBER('Price History'!U132)),NOT(ISNUMBER('Price History'!U131)),'Price History'!U131=0),"",'Price History'!U132/'Price History'!U131-1),"")</f>
        <v/>
      </c>
      <c r="W131" s="77" t="n">
        <f aca="false">'Price History'!B3+('Price History'!B158-'Price History'!B3)*0.831168831168831</f>
        <v>293.975194805195</v>
      </c>
      <c r="X131" s="77" t="n">
        <f aca="false">'Price History'!C3+('Price History'!C158-'Price History'!C3)*0.831168831168831</f>
        <v>157.285974025974</v>
      </c>
      <c r="Y131" s="77" t="n">
        <f aca="false">'Price History'!D3+('Price History'!D158-'Price History'!D3)*0.831168831168831</f>
        <v>1465.70311688312</v>
      </c>
      <c r="Z131" s="77" t="n">
        <f aca="false">'Price History'!E3+('Price History'!E158-'Price History'!E3)*0.831168831168831</f>
        <v>337.567012987013</v>
      </c>
      <c r="AA131" s="77" t="n">
        <f aca="false">'Price History'!F3+('Price History'!F158-'Price History'!F3)*0.831168831168831</f>
        <v>164.893766233766</v>
      </c>
      <c r="AB131" s="77" t="n">
        <f aca="false">'Price History'!G3+('Price History'!G158-'Price History'!G3)*0.831168831168831</f>
        <v>160.041298701299</v>
      </c>
      <c r="AC131" s="77" t="n">
        <f aca="false">'Price History'!H3+('Price History'!H158-'Price History'!H3)*0.831168831168831</f>
        <v>694.944545454545</v>
      </c>
      <c r="AD131" s="77" t="n">
        <f aca="false">'Price History'!I3+('Price History'!I158-'Price History'!I3)*0.831168831168831</f>
        <v>173.753896103896</v>
      </c>
      <c r="AE131" s="77" t="n">
        <f aca="false">'Price History'!J3+('Price History'!J158-'Price History'!J3)*0.831168831168831</f>
        <v>141.047662337662</v>
      </c>
      <c r="AF131" s="77" t="n">
        <f aca="false">'Price History'!K3+('Price History'!K158-'Price History'!K3)*0.831168831168831</f>
        <v>104.885324675325</v>
      </c>
      <c r="AG131" s="77" t="n">
        <f aca="false">'Price History'!L3+('Price History'!L158-'Price History'!L3)*0.831168831168831</f>
        <v>351.530779220779</v>
      </c>
      <c r="AH131" s="77" t="n">
        <f aca="false">'Price History'!M3+('Price History'!M158-'Price History'!M3)*0.831168831168831</f>
        <v>206.442987012987</v>
      </c>
      <c r="AI131" s="77" t="n">
        <f aca="false">'Price History'!N3+('Price History'!N158-'Price History'!N3)*0.831168831168831</f>
        <v>455.617922077922</v>
      </c>
      <c r="AJ131" s="77" t="n">
        <f aca="false">'Price History'!O3+('Price History'!O158-'Price History'!O3)*0.831168831168831</f>
        <v>118.116493506494</v>
      </c>
      <c r="AK131" s="77" t="n">
        <f aca="false">'Price History'!Q3+('Price History'!Q151-'Price History'!Q3)*0.831168831168831</f>
        <v>65.3080519480519</v>
      </c>
      <c r="AL131" s="77" t="n">
        <f aca="false">'Price History'!R3+('Price History'!R158-'Price History'!R3)*0.831168831168831</f>
        <v>56.4890909090909</v>
      </c>
      <c r="AM131" s="77" t="n">
        <f aca="false">'Price History'!S3+('Price History'!S158-'Price History'!S3)*0.831168831168831</f>
        <v>129.43038961039</v>
      </c>
      <c r="AN131" s="77" t="n">
        <f aca="false">'Price History'!T3+('Price History'!T158-'Price History'!T3)*0.831168831168831</f>
        <v>45.8855844155844</v>
      </c>
    </row>
    <row r="132" customFormat="false" ht="15" hidden="false" customHeight="true" outlineLevel="0" collapsed="false">
      <c r="A132" s="49" t="n">
        <f aca="false">IF('Price History'!A133="","",'Price History'!A133)</f>
        <v>46059</v>
      </c>
      <c r="B132" s="76" t="n">
        <f aca="false">IFERROR(IF(OR(NOT(ISNUMBER('Price History'!B133)),NOT(ISNUMBER('Price History'!B132)),'Price History'!B132=0),"",'Price History'!B133/'Price History'!B132-1),"")</f>
        <v>-0.0848081841432226</v>
      </c>
      <c r="C132" s="76" t="n">
        <f aca="false">IFERROR(IF(OR(NOT(ISNUMBER('Price History'!C133)),NOT(ISNUMBER('Price History'!C132)),'Price History'!C132=0),"",'Price History'!C133/'Price History'!C132-1),"")</f>
        <v>-0.0299844786228305</v>
      </c>
      <c r="D132" s="76" t="n">
        <f aca="false">IFERROR(IF(OR(NOT(ISNUMBER('Price History'!D133)),NOT(ISNUMBER('Price History'!D132)),'Price History'!D132=0),"",'Price History'!D133/'Price History'!D132-1),"")</f>
        <v>-0.00702037947997192</v>
      </c>
      <c r="E132" s="76" t="n">
        <f aca="false">IFERROR(IF(OR(NOT(ISNUMBER('Price History'!E133)),NOT(ISNUMBER('Price History'!E132)),'Price History'!E132=0),"",'Price History'!E133/'Price History'!E132-1),"")</f>
        <v>0.00488982795049808</v>
      </c>
      <c r="F132" s="76" t="n">
        <f aca="false">IFERROR(IF(OR(NOT(ISNUMBER('Price History'!F133)),NOT(ISNUMBER('Price History'!F132)),'Price History'!F132=0),"",'Price History'!F133/'Price History'!F132-1),"")</f>
        <v>-0.103942002718623</v>
      </c>
      <c r="G132" s="76" t="n">
        <f aca="false">IFERROR(IF(OR(NOT(ISNUMBER('Price History'!G133)),NOT(ISNUMBER('Price History'!G132)),'Price History'!G132=0),"",'Price History'!G133/'Price History'!G132-1),"")</f>
        <v>0.0105049373205406</v>
      </c>
      <c r="H132" s="76" t="n">
        <f aca="false">IFERROR(IF(OR(NOT(ISNUMBER('Price History'!H133)),NOT(ISNUMBER('Price History'!H132)),'Price History'!H132=0),"",'Price History'!H133/'Price History'!H132-1),"")</f>
        <v>-0.0486646741226379</v>
      </c>
      <c r="I132" s="76" t="n">
        <f aca="false">IFERROR(IF(OR(NOT(ISNUMBER('Price History'!I133)),NOT(ISNUMBER('Price History'!I132)),'Price History'!I132=0),"",'Price History'!I133/'Price History'!I132-1),"")</f>
        <v>-0.0299272746298331</v>
      </c>
      <c r="J132" s="76" t="n">
        <f aca="false">IFERROR(IF(OR(NOT(ISNUMBER('Price History'!J133)),NOT(ISNUMBER('Price History'!J132)),'Price History'!J132=0),"",'Price History'!J133/'Price History'!J132-1),"")</f>
        <v>0.0489430147058823</v>
      </c>
      <c r="K132" s="76" t="n">
        <f aca="false">IFERROR(IF(OR(NOT(ISNUMBER('Price History'!K133)),NOT(ISNUMBER('Price History'!K132)),'Price History'!K132=0),"",'Price History'!K133/'Price History'!K132-1),"")</f>
        <v>-0.0729244832526093</v>
      </c>
      <c r="L132" s="76" t="n">
        <f aca="false">IFERROR(IF(OR(NOT(ISNUMBER('Price History'!L133)),NOT(ISNUMBER('Price History'!L132)),'Price History'!L132=0),"",'Price History'!L133/'Price History'!L132-1),"")</f>
        <v>0.055330348499516</v>
      </c>
      <c r="M132" s="76" t="n">
        <f aca="false">IFERROR(IF(OR(NOT(ISNUMBER('Price History'!M133)),NOT(ISNUMBER('Price History'!M132)),'Price History'!M132=0),"",'Price History'!M133/'Price History'!M132-1),"")</f>
        <v>0.0504887743044367</v>
      </c>
      <c r="N132" s="76" t="n">
        <f aca="false">IFERROR(IF(OR(NOT(ISNUMBER('Price History'!N133)),NOT(ISNUMBER('Price History'!N132)),'Price History'!N132=0),"",'Price History'!N133/'Price History'!N132-1),"")</f>
        <v>0.0170674611619495</v>
      </c>
      <c r="O132" s="76" t="n">
        <f aca="false">IFERROR(IF(OR(NOT(ISNUMBER('Price History'!O133)),NOT(ISNUMBER('Price History'!O132)),'Price History'!O132=0),"",'Price History'!O133/'Price History'!O132-1),"")</f>
        <v>0.0541777249016198</v>
      </c>
      <c r="P132" s="76" t="str">
        <f aca="false">IFERROR(IF(OR(NOT(ISNUMBER('Price History'!P133)),NOT(ISNUMBER('Price History'!P132)),'Price History'!P132=0),"",'Price History'!P133/'Price History'!P132-1),"")</f>
        <v/>
      </c>
      <c r="Q132" s="76" t="n">
        <f aca="false">IFERROR(IF(OR(NOT(ISNUMBER('Price History'!Q133)),NOT(ISNUMBER('Price History'!Q132)),'Price History'!Q132=0),"",'Price History'!Q133/'Price History'!Q132-1),"")</f>
        <v>-0.0138456751711263</v>
      </c>
      <c r="R132" s="76" t="n">
        <f aca="false">IFERROR(IF(OR(NOT(ISNUMBER('Price History'!R133)),NOT(ISNUMBER('Price History'!R132)),'Price History'!R132=0),"",'Price History'!R133/'Price History'!R132-1),"")</f>
        <v>-0.0232205956587582</v>
      </c>
      <c r="S132" s="76" t="n">
        <f aca="false">IFERROR(IF(OR(NOT(ISNUMBER('Price History'!S133)),NOT(ISNUMBER('Price History'!S132)),'Price History'!S132=0),"",'Price History'!S133/'Price History'!S132-1),"")</f>
        <v>-0.000250271127054336</v>
      </c>
      <c r="T132" s="76" t="n">
        <f aca="false">IFERROR(IF(OR(NOT(ISNUMBER('Price History'!T133)),NOT(ISNUMBER('Price History'!T132)),'Price History'!T132=0),"",'Price History'!T133/'Price History'!T132-1),"")</f>
        <v>0.0243222700785406</v>
      </c>
      <c r="U132" s="76" t="str">
        <f aca="false">IFERROR(IF(OR(NOT(ISNUMBER('Price History'!U133)),NOT(ISNUMBER('Price History'!U132)),'Price History'!U132=0),"",'Price History'!U133/'Price History'!U132-1),"")</f>
        <v/>
      </c>
      <c r="W132" s="77" t="n">
        <f aca="false">'Price History'!B3+('Price History'!B158-'Price History'!B3)*0.837662337662338</f>
        <v>292.29961038961</v>
      </c>
      <c r="X132" s="77" t="n">
        <f aca="false">'Price History'!C3+('Price History'!C158-'Price History'!C3)*0.837662337662338</f>
        <v>158.173051948052</v>
      </c>
      <c r="Y132" s="77" t="n">
        <f aca="false">'Price History'!D3+('Price History'!D158-'Price History'!D3)*0.837662337662338</f>
        <v>1471.98376623377</v>
      </c>
      <c r="Z132" s="77" t="n">
        <f aca="false">'Price History'!E3+('Price History'!E158-'Price History'!E3)*0.837662337662338</f>
        <v>339.555974025974</v>
      </c>
      <c r="AA132" s="77" t="n">
        <f aca="false">'Price History'!F3+('Price History'!F158-'Price History'!F3)*0.837662337662338</f>
        <v>165.892467532468</v>
      </c>
      <c r="AB132" s="77" t="n">
        <f aca="false">'Price History'!G3+('Price History'!G158-'Price History'!G3)*0.837662337662338</f>
        <v>160.917402597403</v>
      </c>
      <c r="AC132" s="77" t="n">
        <f aca="false">'Price History'!H3+('Price History'!H158-'Price History'!H3)*0.837662337662338</f>
        <v>699.870909090909</v>
      </c>
      <c r="AD132" s="77" t="n">
        <f aca="false">'Price History'!I3+('Price History'!I158-'Price History'!I3)*0.837662337662338</f>
        <v>174.792207792208</v>
      </c>
      <c r="AE132" s="77" t="n">
        <f aca="false">'Price History'!J3+('Price History'!J158-'Price History'!J3)*0.837662337662338</f>
        <v>141.184675324675</v>
      </c>
      <c r="AF132" s="77" t="n">
        <f aca="false">'Price History'!K3+('Price History'!K158-'Price History'!K3)*0.837662337662338</f>
        <v>105.584350649351</v>
      </c>
      <c r="AG132" s="77" t="n">
        <f aca="false">'Price History'!L3+('Price History'!L158-'Price History'!L3)*0.837662337662338</f>
        <v>353.558441558442</v>
      </c>
      <c r="AH132" s="77" t="n">
        <f aca="false">'Price History'!M3+('Price History'!M158-'Price History'!M3)*0.837662337662338</f>
        <v>207.794025974026</v>
      </c>
      <c r="AI132" s="77" t="n">
        <f aca="false">'Price History'!N3+('Price History'!N158-'Price History'!N3)*0.837662337662338</f>
        <v>456.444155844156</v>
      </c>
      <c r="AJ132" s="77" t="n">
        <f aca="false">'Price History'!O3+('Price History'!O158-'Price History'!O3)*0.837662337662338</f>
        <v>118.392012987013</v>
      </c>
      <c r="AK132" s="77" t="n">
        <f aca="false">'Price History'!Q3+('Price History'!Q151-'Price History'!Q3)*0.837662337662338</f>
        <v>65.4288961038961</v>
      </c>
      <c r="AL132" s="77" t="n">
        <f aca="false">'Price History'!R3+('Price History'!R158-'Price History'!R3)*0.837662337662338</f>
        <v>56.5568181818182</v>
      </c>
      <c r="AM132" s="77" t="n">
        <f aca="false">'Price History'!S3+('Price History'!S158-'Price History'!S3)*0.837662337662338</f>
        <v>129.984220779221</v>
      </c>
      <c r="AN132" s="77" t="n">
        <f aca="false">'Price History'!T3+('Price History'!T158-'Price History'!T3)*0.837662337662338</f>
        <v>46.0338311688312</v>
      </c>
    </row>
    <row r="133" customFormat="false" ht="15" hidden="false" customHeight="true" outlineLevel="0" collapsed="false">
      <c r="A133" s="49" t="n">
        <f aca="false">IF('Price History'!A134="","",'Price History'!A134)</f>
        <v>46066</v>
      </c>
      <c r="B133" s="76" t="n">
        <f aca="false">IFERROR(IF(OR(NOT(ISNUMBER('Price History'!B134)),NOT(ISNUMBER('Price History'!B133)),'Price History'!B133=0),"",'Price History'!B134/'Price History'!B133-1),"")</f>
        <v>-0.016431924882629</v>
      </c>
      <c r="C133" s="76" t="n">
        <f aca="false">IFERROR(IF(OR(NOT(ISNUMBER('Price History'!C134)),NOT(ISNUMBER('Price History'!C133)),'Price History'!C133=0),"",'Price History'!C134/'Price History'!C133-1),"")</f>
        <v>0.0298203505709507</v>
      </c>
      <c r="D133" s="76" t="n">
        <f aca="false">IFERROR(IF(OR(NOT(ISNUMBER('Price History'!D134)),NOT(ISNUMBER('Price History'!D133)),'Price History'!D133=0),"",'Price History'!D134/'Price History'!D133-1),"")</f>
        <v>-0.00452933807970224</v>
      </c>
      <c r="E133" s="76" t="n">
        <f aca="false">IFERROR(IF(OR(NOT(ISNUMBER('Price History'!E134)),NOT(ISNUMBER('Price History'!E133)),'Price History'!E133=0),"",'Price History'!E134/'Price History'!E133-1),"")</f>
        <v>-0.0232788657935841</v>
      </c>
      <c r="F133" s="76" t="n">
        <f aca="false">IFERROR(IF(OR(NOT(ISNUMBER('Price History'!F134)),NOT(ISNUMBER('Price History'!F133)),'Price History'!F133=0),"",'Price History'!F134/'Price History'!F133-1),"")</f>
        <v>0.0862661812297736</v>
      </c>
      <c r="G133" s="76" t="n">
        <f aca="false">IFERROR(IF(OR(NOT(ISNUMBER('Price History'!G134)),NOT(ISNUMBER('Price History'!G133)),'Price History'!G133=0),"",'Price History'!G134/'Price History'!G133-1),"")</f>
        <v>0.0146926328920924</v>
      </c>
      <c r="H133" s="76" t="n">
        <f aca="false">IFERROR(IF(OR(NOT(ISNUMBER('Price History'!H134)),NOT(ISNUMBER('Price History'!H133)),'Price History'!H133=0),"",'Price History'!H134/'Price History'!H133-1),"")</f>
        <v>0.0429957688312348</v>
      </c>
      <c r="I133" s="76" t="n">
        <f aca="false">IFERROR(IF(OR(NOT(ISNUMBER('Price History'!I134)),NOT(ISNUMBER('Price History'!I133)),'Price History'!I133=0),"",'Price History'!I134/'Price History'!I133-1),"")</f>
        <v>-0.0140229761070061</v>
      </c>
      <c r="J133" s="76" t="n">
        <f aca="false">IFERROR(IF(OR(NOT(ISNUMBER('Price History'!J134)),NOT(ISNUMBER('Price History'!J133)),'Price History'!J133=0),"",'Price History'!J134/'Price History'!J133-1),"")</f>
        <v>0.0147499087258125</v>
      </c>
      <c r="K133" s="76" t="n">
        <f aca="false">IFERROR(IF(OR(NOT(ISNUMBER('Price History'!K134)),NOT(ISNUMBER('Price History'!K133)),'Price History'!K133=0),"",'Price History'!K134/'Price History'!K133-1),"")</f>
        <v>-0.0330389992641649</v>
      </c>
      <c r="L133" s="76" t="n">
        <f aca="false">IFERROR(IF(OR(NOT(ISNUMBER('Price History'!L134)),NOT(ISNUMBER('Price History'!L133)),'Price History'!L133=0),"",'Price History'!L134/'Price History'!L133-1),"")</f>
        <v>0.0501934929052601</v>
      </c>
      <c r="M133" s="76" t="n">
        <f aca="false">IFERROR(IF(OR(NOT(ISNUMBER('Price History'!M134)),NOT(ISNUMBER('Price History'!M133)),'Price History'!M133=0),"",'Price History'!M134/'Price History'!M133-1),"")</f>
        <v>0.199151242458329</v>
      </c>
      <c r="N133" s="76" t="n">
        <f aca="false">IFERROR(IF(OR(NOT(ISNUMBER('Price History'!N134)),NOT(ISNUMBER('Price History'!N133)),'Price History'!N133=0),"",'Price History'!N134/'Price History'!N133-1),"")</f>
        <v>0.0283520254435889</v>
      </c>
      <c r="O133" s="76" t="n">
        <f aca="false">IFERROR(IF(OR(NOT(ISNUMBER('Price History'!O134)),NOT(ISNUMBER('Price History'!O133)),'Price History'!O133=0),"",'Price History'!O134/'Price History'!O133-1),"")</f>
        <v>-0.00251757965101129</v>
      </c>
      <c r="P133" s="76" t="str">
        <f aca="false">IFERROR(IF(OR(NOT(ISNUMBER('Price History'!P134)),NOT(ISNUMBER('Price History'!P133)),'Price History'!P133=0),"",'Price History'!P134/'Price History'!P133-1),"")</f>
        <v/>
      </c>
      <c r="Q133" s="76" t="n">
        <f aca="false">IFERROR(IF(OR(NOT(ISNUMBER('Price History'!Q134)),NOT(ISNUMBER('Price History'!Q133)),'Price History'!Q133=0),"",'Price History'!Q134/'Price History'!Q133-1),"")</f>
        <v>0.0116737655781669</v>
      </c>
      <c r="R133" s="76" t="n">
        <f aca="false">IFERROR(IF(OR(NOT(ISNUMBER('Price History'!R134)),NOT(ISNUMBER('Price History'!R133)),'Price History'!R133=0),"",'Price History'!R134/'Price History'!R133-1),"")</f>
        <v>-0.00930232558139532</v>
      </c>
      <c r="S133" s="76" t="n">
        <f aca="false">IFERROR(IF(OR(NOT(ISNUMBER('Price History'!S134)),NOT(ISNUMBER('Price History'!S133)),'Price History'!S133=0),"",'Price History'!S134/'Price History'!S133-1),"")</f>
        <v>-0.0132676902536716</v>
      </c>
      <c r="T133" s="76" t="n">
        <f aca="false">IFERROR(IF(OR(NOT(ISNUMBER('Price History'!T134)),NOT(ISNUMBER('Price History'!T133)),'Price History'!T133=0),"",'Price History'!T134/'Price History'!T133-1),"")</f>
        <v>-0.00420479841701715</v>
      </c>
      <c r="U133" s="76" t="str">
        <f aca="false">IFERROR(IF(OR(NOT(ISNUMBER('Price History'!U134)),NOT(ISNUMBER('Price History'!U133)),'Price History'!U133=0),"",'Price History'!U134/'Price History'!U133-1),"")</f>
        <v/>
      </c>
      <c r="W133" s="77" t="n">
        <f aca="false">'Price History'!B3+('Price History'!B158-'Price History'!B3)*0.844155844155844</f>
        <v>290.624025974026</v>
      </c>
      <c r="X133" s="77" t="n">
        <f aca="false">'Price History'!C3+('Price History'!C158-'Price History'!C3)*0.844155844155844</f>
        <v>159.06012987013</v>
      </c>
      <c r="Y133" s="77" t="n">
        <f aca="false">'Price History'!D3+('Price History'!D158-'Price History'!D3)*0.844155844155844</f>
        <v>1478.26441558442</v>
      </c>
      <c r="Z133" s="77" t="n">
        <f aca="false">'Price History'!E3+('Price History'!E158-'Price History'!E3)*0.844155844155844</f>
        <v>341.544935064935</v>
      </c>
      <c r="AA133" s="77" t="n">
        <f aca="false">'Price History'!F3+('Price History'!F158-'Price History'!F3)*0.844155844155844</f>
        <v>166.891168831169</v>
      </c>
      <c r="AB133" s="77" t="n">
        <f aca="false">'Price History'!G3+('Price History'!G158-'Price History'!G3)*0.844155844155844</f>
        <v>161.793506493506</v>
      </c>
      <c r="AC133" s="77" t="n">
        <f aca="false">'Price History'!H3+('Price History'!H158-'Price History'!H3)*0.844155844155844</f>
        <v>704.797272727273</v>
      </c>
      <c r="AD133" s="77" t="n">
        <f aca="false">'Price History'!I3+('Price History'!I158-'Price History'!I3)*0.844155844155844</f>
        <v>175.830519480519</v>
      </c>
      <c r="AE133" s="77" t="n">
        <f aca="false">'Price History'!J3+('Price History'!J158-'Price History'!J3)*0.844155844155844</f>
        <v>141.321688311688</v>
      </c>
      <c r="AF133" s="77" t="n">
        <f aca="false">'Price History'!K3+('Price History'!K158-'Price History'!K3)*0.844155844155844</f>
        <v>106.283376623377</v>
      </c>
      <c r="AG133" s="77" t="n">
        <f aca="false">'Price History'!L3+('Price History'!L158-'Price History'!L3)*0.844155844155844</f>
        <v>355.586103896104</v>
      </c>
      <c r="AH133" s="77" t="n">
        <f aca="false">'Price History'!M3+('Price History'!M158-'Price History'!M3)*0.844155844155844</f>
        <v>209.145064935065</v>
      </c>
      <c r="AI133" s="77" t="n">
        <f aca="false">'Price History'!N3+('Price History'!N158-'Price History'!N3)*0.844155844155844</f>
        <v>457.27038961039</v>
      </c>
      <c r="AJ133" s="77" t="n">
        <f aca="false">'Price History'!O3+('Price History'!O158-'Price History'!O3)*0.844155844155844</f>
        <v>118.667532467532</v>
      </c>
      <c r="AK133" s="77" t="n">
        <f aca="false">'Price History'!Q3+('Price History'!Q151-'Price History'!Q3)*0.844155844155844</f>
        <v>65.5497402597403</v>
      </c>
      <c r="AL133" s="77" t="n">
        <f aca="false">'Price History'!R3+('Price History'!R158-'Price History'!R3)*0.844155844155844</f>
        <v>56.6245454545455</v>
      </c>
      <c r="AM133" s="77" t="n">
        <f aca="false">'Price History'!S3+('Price History'!S158-'Price History'!S3)*0.844155844155844</f>
        <v>130.538051948052</v>
      </c>
      <c r="AN133" s="77" t="n">
        <f aca="false">'Price History'!T3+('Price History'!T158-'Price History'!T3)*0.844155844155844</f>
        <v>46.1820779220779</v>
      </c>
    </row>
    <row r="134" customFormat="false" ht="15" hidden="false" customHeight="true" outlineLevel="0" collapsed="false">
      <c r="A134" s="49" t="n">
        <f aca="false">IF('Price History'!A135="","",'Price History'!A135)</f>
        <v>46073</v>
      </c>
      <c r="B134" s="76" t="n">
        <f aca="false">IFERROR(IF(OR(NOT(ISNUMBER('Price History'!B135)),NOT(ISNUMBER('Price History'!B134)),'Price History'!B134=0),"",'Price History'!B135/'Price History'!B134-1),"")</f>
        <v>-0.0203053377277721</v>
      </c>
      <c r="C134" s="76" t="n">
        <f aca="false">IFERROR(IF(OR(NOT(ISNUMBER('Price History'!C135)),NOT(ISNUMBER('Price History'!C134)),'Price History'!C134=0),"",'Price History'!C135/'Price History'!C134-1),"")</f>
        <v>-0.0621512818701887</v>
      </c>
      <c r="D134" s="76" t="n">
        <f aca="false">IFERROR(IF(OR(NOT(ISNUMBER('Price History'!D135)),NOT(ISNUMBER('Price History'!D134)),'Price History'!D134=0),"",'Price History'!D135/'Price History'!D134-1),"")</f>
        <v>0.0447743155529963</v>
      </c>
      <c r="E134" s="76" t="n">
        <f aca="false">IFERROR(IF(OR(NOT(ISNUMBER('Price History'!E135)),NOT(ISNUMBER('Price History'!E134)),'Price History'!E134=0),"",'Price History'!E135/'Price History'!E134-1),"")</f>
        <v>0.0230033520927513</v>
      </c>
      <c r="F134" s="76" t="n">
        <f aca="false">IFERROR(IF(OR(NOT(ISNUMBER('Price History'!F135)),NOT(ISNUMBER('Price History'!F134)),'Price History'!F134=0),"",'Price History'!F135/'Price History'!F134-1),"")</f>
        <v>-0.0955218322316357</v>
      </c>
      <c r="G134" s="76" t="n">
        <f aca="false">IFERROR(IF(OR(NOT(ISNUMBER('Price History'!G135)),NOT(ISNUMBER('Price History'!G134)),'Price History'!G134=0),"",'Price History'!G135/'Price History'!G134-1),"")</f>
        <v>0.0217881292261457</v>
      </c>
      <c r="H134" s="76" t="n">
        <f aca="false">IFERROR(IF(OR(NOT(ISNUMBER('Price History'!H135)),NOT(ISNUMBER('Price History'!H134)),'Price History'!H134=0),"",'Price History'!H135/'Price History'!H134-1),"")</f>
        <v>0.0401059126463585</v>
      </c>
      <c r="I134" s="76" t="n">
        <f aca="false">IFERROR(IF(OR(NOT(ISNUMBER('Price History'!I135)),NOT(ISNUMBER('Price History'!I134)),'Price History'!I134=0),"",'Price History'!I135/'Price History'!I134-1),"")</f>
        <v>0.0383458235326295</v>
      </c>
      <c r="J134" s="76" t="n">
        <f aca="false">IFERROR(IF(OR(NOT(ISNUMBER('Price History'!J135)),NOT(ISNUMBER('Price History'!J134)),'Price History'!J134=0),"",'Price History'!J135/'Price History'!J134-1),"")</f>
        <v>0.0182773260415916</v>
      </c>
      <c r="K134" s="76" t="n">
        <f aca="false">IFERROR(IF(OR(NOT(ISNUMBER('Price History'!K135)),NOT(ISNUMBER('Price History'!K134)),'Price History'!K134=0),"",'Price History'!K135/'Price History'!K134-1),"")</f>
        <v>0.0291454227227761</v>
      </c>
      <c r="L134" s="76" t="n">
        <f aca="false">IFERROR(IF(OR(NOT(ISNUMBER('Price History'!L135)),NOT(ISNUMBER('Price History'!L134)),'Price History'!L134=0),"",'Price History'!L135/'Price History'!L134-1),"")</f>
        <v>0.0114095425264766</v>
      </c>
      <c r="M134" s="76" t="n">
        <f aca="false">IFERROR(IF(OR(NOT(ISNUMBER('Price History'!M135)),NOT(ISNUMBER('Price History'!M134)),'Price History'!M134=0),"",'Price History'!M135/'Price History'!M134-1),"")</f>
        <v>0.0393126678889695</v>
      </c>
      <c r="N134" s="76" t="n">
        <f aca="false">IFERROR(IF(OR(NOT(ISNUMBER('Price History'!N135)),NOT(ISNUMBER('Price History'!N134)),'Price History'!N134=0),"",'Price History'!N135/'Price History'!N134-1),"")</f>
        <v>-0.0296457566077279</v>
      </c>
      <c r="O134" s="76" t="n">
        <f aca="false">IFERROR(IF(OR(NOT(ISNUMBER('Price History'!O135)),NOT(ISNUMBER('Price History'!O134)),'Price History'!O134=0),"",'Price History'!O135/'Price History'!O134-1),"")</f>
        <v>0.00557006092254131</v>
      </c>
      <c r="P134" s="76" t="str">
        <f aca="false">IFERROR(IF(OR(NOT(ISNUMBER('Price History'!P135)),NOT(ISNUMBER('Price History'!P134)),'Price History'!P134=0),"",'Price History'!P135/'Price History'!P134-1),"")</f>
        <v/>
      </c>
      <c r="Q134" s="76" t="n">
        <f aca="false">IFERROR(IF(OR(NOT(ISNUMBER('Price History'!Q135)),NOT(ISNUMBER('Price History'!Q134)),'Price History'!Q134=0),"",'Price History'!Q135/'Price History'!Q134-1),"")</f>
        <v>0.0204272571339468</v>
      </c>
      <c r="R134" s="76" t="n">
        <f aca="false">IFERROR(IF(OR(NOT(ISNUMBER('Price History'!R135)),NOT(ISNUMBER('Price History'!R134)),'Price History'!R134=0),"",'Price History'!R135/'Price History'!R134-1),"")</f>
        <v>0.0111284993914103</v>
      </c>
      <c r="S134" s="76" t="n">
        <f aca="false">IFERROR(IF(OR(NOT(ISNUMBER('Price History'!S135)),NOT(ISNUMBER('Price History'!S134)),'Price History'!S134=0),"",'Price History'!S135/'Price History'!S134-1),"")</f>
        <v>0.01446088794926</v>
      </c>
      <c r="T134" s="76" t="n">
        <f aca="false">IFERROR(IF(OR(NOT(ISNUMBER('Price History'!T135)),NOT(ISNUMBER('Price History'!T134)),'Price History'!T134=0),"",'Price History'!T135/'Price History'!T134-1),"")</f>
        <v>0.00198708395429725</v>
      </c>
      <c r="U134" s="76" t="str">
        <f aca="false">IFERROR(IF(OR(NOT(ISNUMBER('Price History'!U135)),NOT(ISNUMBER('Price History'!U134)),'Price History'!U134=0),"",'Price History'!U135/'Price History'!U134-1),"")</f>
        <v/>
      </c>
      <c r="W134" s="77" t="n">
        <f aca="false">'Price History'!B3+('Price History'!B158-'Price History'!B3)*0.850649350649351</f>
        <v>288.948441558441</v>
      </c>
      <c r="X134" s="77" t="n">
        <f aca="false">'Price History'!C3+('Price History'!C158-'Price History'!C3)*0.850649350649351</f>
        <v>159.947207792208</v>
      </c>
      <c r="Y134" s="77" t="n">
        <f aca="false">'Price History'!D3+('Price History'!D158-'Price History'!D3)*0.850649350649351</f>
        <v>1484.54506493507</v>
      </c>
      <c r="Z134" s="77" t="n">
        <f aca="false">'Price History'!E3+('Price History'!E158-'Price History'!E3)*0.850649350649351</f>
        <v>343.533896103896</v>
      </c>
      <c r="AA134" s="77" t="n">
        <f aca="false">'Price History'!F3+('Price History'!F158-'Price History'!F3)*0.850649350649351</f>
        <v>167.88987012987</v>
      </c>
      <c r="AB134" s="77" t="n">
        <f aca="false">'Price History'!G3+('Price History'!G158-'Price History'!G3)*0.850649350649351</f>
        <v>162.66961038961</v>
      </c>
      <c r="AC134" s="77" t="n">
        <f aca="false">'Price History'!H3+('Price History'!H158-'Price History'!H3)*0.850649350649351</f>
        <v>709.723636363637</v>
      </c>
      <c r="AD134" s="77" t="n">
        <f aca="false">'Price History'!I3+('Price History'!I158-'Price History'!I3)*0.850649350649351</f>
        <v>176.868831168831</v>
      </c>
      <c r="AE134" s="77" t="n">
        <f aca="false">'Price History'!J3+('Price History'!J158-'Price History'!J3)*0.850649350649351</f>
        <v>141.458701298701</v>
      </c>
      <c r="AF134" s="77" t="n">
        <f aca="false">'Price History'!K3+('Price History'!K158-'Price History'!K3)*0.850649350649351</f>
        <v>106.982402597403</v>
      </c>
      <c r="AG134" s="77" t="n">
        <f aca="false">'Price History'!L3+('Price History'!L158-'Price History'!L3)*0.850649350649351</f>
        <v>357.613766233766</v>
      </c>
      <c r="AH134" s="77" t="n">
        <f aca="false">'Price History'!M3+('Price History'!M158-'Price History'!M3)*0.850649350649351</f>
        <v>210.496103896104</v>
      </c>
      <c r="AI134" s="77" t="n">
        <f aca="false">'Price History'!N3+('Price History'!N158-'Price History'!N3)*0.850649350649351</f>
        <v>458.096623376623</v>
      </c>
      <c r="AJ134" s="77" t="n">
        <f aca="false">'Price History'!O3+('Price History'!O158-'Price History'!O3)*0.850649350649351</f>
        <v>118.943051948052</v>
      </c>
      <c r="AK134" s="77" t="n">
        <f aca="false">'Price History'!Q3+('Price History'!Q151-'Price History'!Q3)*0.850649350649351</f>
        <v>65.6705844155844</v>
      </c>
      <c r="AL134" s="77" t="n">
        <f aca="false">'Price History'!R3+('Price History'!R158-'Price History'!R3)*0.850649350649351</f>
        <v>56.6922727272727</v>
      </c>
      <c r="AM134" s="77" t="n">
        <f aca="false">'Price History'!S3+('Price History'!S158-'Price History'!S3)*0.850649350649351</f>
        <v>131.091883116883</v>
      </c>
      <c r="AN134" s="77" t="n">
        <f aca="false">'Price History'!T3+('Price History'!T158-'Price History'!T3)*0.850649350649351</f>
        <v>46.3303246753247</v>
      </c>
    </row>
    <row r="135" customFormat="false" ht="15" hidden="false" customHeight="true" outlineLevel="0" collapsed="false">
      <c r="A135" s="49" t="n">
        <f aca="false">IF('Price History'!A136="","",'Price History'!A136)</f>
        <v>46080</v>
      </c>
      <c r="B135" s="76" t="n">
        <f aca="false">IFERROR(IF(OR(NOT(ISNUMBER('Price History'!B136)),NOT(ISNUMBER('Price History'!B135)),'Price History'!B135=0),"",'Price History'!B136/'Price History'!B135-1),"")</f>
        <v>0.0146939406828817</v>
      </c>
      <c r="C135" s="76" t="n">
        <f aca="false">IFERROR(IF(OR(NOT(ISNUMBER('Price History'!C136)),NOT(ISNUMBER('Price History'!C135)),'Price History'!C135=0),"",'Price History'!C136/'Price History'!C135-1),"")</f>
        <v>0.00534678816175926</v>
      </c>
      <c r="D135" s="76" t="n">
        <f aca="false">IFERROR(IF(OR(NOT(ISNUMBER('Price History'!D136)),NOT(ISNUMBER('Price History'!D135)),'Price History'!D135=0),"",'Price History'!D136/'Price History'!D135-1),"")</f>
        <v>-0.012949189910111</v>
      </c>
      <c r="E135" s="76" t="n">
        <f aca="false">IFERROR(IF(OR(NOT(ISNUMBER('Price History'!E136)),NOT(ISNUMBER('Price History'!E135)),'Price History'!E135=0),"",'Price History'!E136/'Price History'!E135-1),"")</f>
        <v>-0.0393807304975198</v>
      </c>
      <c r="F135" s="76" t="n">
        <f aca="false">IFERROR(IF(OR(NOT(ISNUMBER('Price History'!F136)),NOT(ISNUMBER('Price History'!F135)),'Price History'!F135=0),"",'Price History'!F136/'Price History'!F135-1),"")</f>
        <v>-0.042717447246526</v>
      </c>
      <c r="G135" s="76" t="n">
        <f aca="false">IFERROR(IF(OR(NOT(ISNUMBER('Price History'!G136)),NOT(ISNUMBER('Price History'!G135)),'Price History'!G135=0),"",'Price History'!G136/'Price History'!G135-1),"")</f>
        <v>0.0191176470588237</v>
      </c>
      <c r="H135" s="76" t="n">
        <f aca="false">IFERROR(IF(OR(NOT(ISNUMBER('Price History'!H136)),NOT(ISNUMBER('Price History'!H135)),'Price History'!H135=0),"",'Price History'!H136/'Price History'!H135-1),"")</f>
        <v>-0.0369012308195343</v>
      </c>
      <c r="I135" s="76" t="n">
        <f aca="false">IFERROR(IF(OR(NOT(ISNUMBER('Price History'!I136)),NOT(ISNUMBER('Price History'!I135)),'Price History'!I135=0),"",'Price History'!I136/'Price History'!I135-1),"")</f>
        <v>-0.0665367189969445</v>
      </c>
      <c r="J135" s="76" t="n">
        <f aca="false">IFERROR(IF(OR(NOT(ISNUMBER('Price History'!J136)),NOT(ISNUMBER('Price History'!J135)),'Price History'!J135=0),"",'Price History'!J136/'Price History'!J135-1),"")</f>
        <v>0.00749063670411987</v>
      </c>
      <c r="K135" s="76" t="n">
        <f aca="false">IFERROR(IF(OR(NOT(ISNUMBER('Price History'!K136)),NOT(ISNUMBER('Price History'!K135)),'Price History'!K135=0),"",'Price History'!K136/'Price History'!K135-1),"")</f>
        <v>0.014418811002662</v>
      </c>
      <c r="L135" s="76" t="n">
        <f aca="false">IFERROR(IF(OR(NOT(ISNUMBER('Price History'!L136)),NOT(ISNUMBER('Price History'!L135)),'Price History'!L135=0),"",'Price History'!L136/'Price History'!L135-1),"")</f>
        <v>0.0109030064230582</v>
      </c>
      <c r="M135" s="76" t="n">
        <f aca="false">IFERROR(IF(OR(NOT(ISNUMBER('Price History'!M136)),NOT(ISNUMBER('Price History'!M135)),'Price History'!M135=0),"",'Price History'!M136/'Price History'!M135-1),"")</f>
        <v>0.0457025641025641</v>
      </c>
      <c r="N135" s="76" t="n">
        <f aca="false">IFERROR(IF(OR(NOT(ISNUMBER('Price History'!N136)),NOT(ISNUMBER('Price History'!N135)),'Price History'!N135=0),"",'Price History'!N136/'Price History'!N135-1),"")</f>
        <v>0.0417907318096038</v>
      </c>
      <c r="O135" s="76" t="n">
        <f aca="false">IFERROR(IF(OR(NOT(ISNUMBER('Price History'!O136)),NOT(ISNUMBER('Price History'!O135)),'Price History'!O135=0),"",'Price History'!O136/'Price History'!O135-1),"")</f>
        <v>-0.0221568288038775</v>
      </c>
      <c r="P135" s="76" t="str">
        <f aca="false">IFERROR(IF(OR(NOT(ISNUMBER('Price History'!P136)),NOT(ISNUMBER('Price History'!P135)),'Price History'!P135=0),"",'Price History'!P136/'Price History'!P135-1),"")</f>
        <v/>
      </c>
      <c r="Q135" s="76" t="n">
        <f aca="false">IFERROR(IF(OR(NOT(ISNUMBER('Price History'!Q136)),NOT(ISNUMBER('Price History'!Q135)),'Price History'!Q135=0),"",'Price History'!Q136/'Price History'!Q135-1),"")</f>
        <v>0.025672371638142</v>
      </c>
      <c r="R135" s="76" t="n">
        <f aca="false">IFERROR(IF(OR(NOT(ISNUMBER('Price History'!R136)),NOT(ISNUMBER('Price History'!R135)),'Price History'!R135=0),"",'Price History'!R136/'Price History'!R135-1),"")</f>
        <v>-0.00189165950128978</v>
      </c>
      <c r="S135" s="76" t="n">
        <f aca="false">IFERROR(IF(OR(NOT(ISNUMBER('Price History'!S136)),NOT(ISNUMBER('Price History'!S135)),'Price History'!S135=0),"",'Price History'!S136/'Price History'!S135-1),"")</f>
        <v>-0.00408469489829944</v>
      </c>
      <c r="T135" s="76" t="n">
        <f aca="false">IFERROR(IF(OR(NOT(ISNUMBER('Price History'!T136)),NOT(ISNUMBER('Price History'!T135)),'Price History'!T135=0),"",'Price History'!T136/'Price History'!T135-1),"")</f>
        <v>0.00347050074367861</v>
      </c>
      <c r="U135" s="76" t="str">
        <f aca="false">IFERROR(IF(OR(NOT(ISNUMBER('Price History'!U136)),NOT(ISNUMBER('Price History'!U135)),'Price History'!U135=0),"",'Price History'!U136/'Price History'!U135-1),"")</f>
        <v/>
      </c>
      <c r="W135" s="77" t="n">
        <f aca="false">'Price History'!B3+('Price History'!B158-'Price History'!B3)*0.857142857142857</f>
        <v>287.272857142857</v>
      </c>
      <c r="X135" s="77" t="n">
        <f aca="false">'Price History'!C3+('Price History'!C158-'Price History'!C3)*0.857142857142857</f>
        <v>160.834285714286</v>
      </c>
      <c r="Y135" s="77" t="n">
        <f aca="false">'Price History'!D3+('Price History'!D158-'Price History'!D3)*0.857142857142857</f>
        <v>1490.82571428571</v>
      </c>
      <c r="Z135" s="77" t="n">
        <f aca="false">'Price History'!E3+('Price History'!E158-'Price History'!E3)*0.857142857142857</f>
        <v>345.522857142857</v>
      </c>
      <c r="AA135" s="77" t="n">
        <f aca="false">'Price History'!F3+('Price History'!F158-'Price History'!F3)*0.857142857142857</f>
        <v>168.888571428571</v>
      </c>
      <c r="AB135" s="77" t="n">
        <f aca="false">'Price History'!G3+('Price History'!G158-'Price History'!G3)*0.857142857142857</f>
        <v>163.545714285714</v>
      </c>
      <c r="AC135" s="77" t="n">
        <f aca="false">'Price History'!H3+('Price History'!H158-'Price History'!H3)*0.857142857142857</f>
        <v>714.65</v>
      </c>
      <c r="AD135" s="77" t="n">
        <f aca="false">'Price History'!I3+('Price History'!I158-'Price History'!I3)*0.857142857142857</f>
        <v>177.907142857143</v>
      </c>
      <c r="AE135" s="77" t="n">
        <f aca="false">'Price History'!J3+('Price History'!J158-'Price History'!J3)*0.857142857142857</f>
        <v>141.595714285714</v>
      </c>
      <c r="AF135" s="77" t="n">
        <f aca="false">'Price History'!K3+('Price History'!K158-'Price History'!K3)*0.857142857142857</f>
        <v>107.681428571429</v>
      </c>
      <c r="AG135" s="77" t="n">
        <f aca="false">'Price History'!L3+('Price History'!L158-'Price History'!L3)*0.857142857142857</f>
        <v>359.641428571429</v>
      </c>
      <c r="AH135" s="77" t="n">
        <f aca="false">'Price History'!M3+('Price History'!M158-'Price History'!M3)*0.857142857142857</f>
        <v>211.847142857143</v>
      </c>
      <c r="AI135" s="77" t="n">
        <f aca="false">'Price History'!N3+('Price History'!N158-'Price History'!N3)*0.857142857142857</f>
        <v>458.922857142857</v>
      </c>
      <c r="AJ135" s="77" t="n">
        <f aca="false">'Price History'!O3+('Price History'!O158-'Price History'!O3)*0.857142857142857</f>
        <v>119.218571428571</v>
      </c>
      <c r="AK135" s="77" t="n">
        <f aca="false">'Price History'!Q3+('Price History'!Q151-'Price History'!Q3)*0.857142857142857</f>
        <v>65.7914285714286</v>
      </c>
      <c r="AL135" s="77" t="n">
        <f aca="false">'Price History'!R3+('Price History'!R158-'Price History'!R3)*0.857142857142857</f>
        <v>56.76</v>
      </c>
      <c r="AM135" s="77" t="n">
        <f aca="false">'Price History'!S3+('Price History'!S158-'Price History'!S3)*0.857142857142857</f>
        <v>131.645714285714</v>
      </c>
      <c r="AN135" s="77" t="n">
        <f aca="false">'Price History'!T3+('Price History'!T158-'Price History'!T3)*0.857142857142857</f>
        <v>46.4785714285714</v>
      </c>
    </row>
    <row r="136" customFormat="false" ht="15" hidden="false" customHeight="true" outlineLevel="0" collapsed="false">
      <c r="A136" s="49" t="n">
        <f aca="false">IF('Price History'!A137="","",'Price History'!A137)</f>
        <v>46087</v>
      </c>
      <c r="B136" s="76" t="n">
        <f aca="false">IFERROR(IF(OR(NOT(ISNUMBER('Price History'!B137)),NOT(ISNUMBER('Price History'!B136)),'Price History'!B136=0),"",'Price History'!B137/'Price History'!B136-1),"")</f>
        <v>0.0808277123585228</v>
      </c>
      <c r="C136" s="76" t="n">
        <f aca="false">IFERROR(IF(OR(NOT(ISNUMBER('Price History'!C137)),NOT(ISNUMBER('Price History'!C136)),'Price History'!C136=0),"",'Price History'!C137/'Price History'!C136-1),"")</f>
        <v>-0.0045692883895132</v>
      </c>
      <c r="D136" s="76" t="n">
        <f aca="false">IFERROR(IF(OR(NOT(ISNUMBER('Price History'!D137)),NOT(ISNUMBER('Price History'!D136)),'Price History'!D136=0),"",'Price History'!D137/'Price History'!D136-1),"")</f>
        <v>-0.108757996911538</v>
      </c>
      <c r="E136" s="76" t="n">
        <f aca="false">IFERROR(IF(OR(NOT(ISNUMBER('Price History'!E137)),NOT(ISNUMBER('Price History'!E136)),'Price History'!E136=0),"",'Price History'!E137/'Price History'!E136-1),"")</f>
        <v>0.0342043498670004</v>
      </c>
      <c r="F136" s="76" t="n">
        <f aca="false">IFERROR(IF(OR(NOT(ISNUMBER('Price History'!F137)),NOT(ISNUMBER('Price History'!F136)),'Price History'!F136=0),"",'Price History'!F137/'Price History'!F136-1),"")</f>
        <v>0.153225806451613</v>
      </c>
      <c r="G136" s="76" t="n">
        <f aca="false">IFERROR(IF(OR(NOT(ISNUMBER('Price History'!G137)),NOT(ISNUMBER('Price History'!G136)),'Price History'!G136=0),"",'Price History'!G137/'Price History'!G136-1),"")</f>
        <v>-0.118063754427391</v>
      </c>
      <c r="H136" s="76" t="n">
        <f aca="false">IFERROR(IF(OR(NOT(ISNUMBER('Price History'!H137)),NOT(ISNUMBER('Price History'!H136)),'Price History'!H136=0),"",'Price History'!H137/'Price History'!H136-1),"")</f>
        <v>-0.102020030555084</v>
      </c>
      <c r="I136" s="76" t="n">
        <f aca="false">IFERROR(IF(OR(NOT(ISNUMBER('Price History'!I137)),NOT(ISNUMBER('Price History'!I136)),'Price History'!I136=0),"",'Price History'!I137/'Price History'!I136-1),"")</f>
        <v>0.00355550538969474</v>
      </c>
      <c r="J136" s="76" t="n">
        <f aca="false">IFERROR(IF(OR(NOT(ISNUMBER('Price History'!J137)),NOT(ISNUMBER('Price History'!J136)),'Price History'!J136=0),"",'Price History'!J137/'Price History'!J136-1),"")</f>
        <v>-0.0563232096513994</v>
      </c>
      <c r="K136" s="76" t="n">
        <f aca="false">IFERROR(IF(OR(NOT(ISNUMBER('Price History'!K137)),NOT(ISNUMBER('Price History'!K136)),'Price History'!K136=0),"",'Price History'!K137/'Price History'!K136-1),"")</f>
        <v>0.145564545520811</v>
      </c>
      <c r="L136" s="76" t="n">
        <f aca="false">IFERROR(IF(OR(NOT(ISNUMBER('Price History'!L137)),NOT(ISNUMBER('Price History'!L136)),'Price History'!L136=0),"",'Price History'!L137/'Price History'!L136-1),"")</f>
        <v>-0.0952800469859576</v>
      </c>
      <c r="M136" s="76" t="n">
        <f aca="false">IFERROR(IF(OR(NOT(ISNUMBER('Price History'!M137)),NOT(ISNUMBER('Price History'!M136)),'Price History'!M136=0),"",'Price History'!M137/'Price History'!M136-1),"")</f>
        <v>-0.0514339519008199</v>
      </c>
      <c r="N136" s="76" t="n">
        <f aca="false">IFERROR(IF(OR(NOT(ISNUMBER('Price History'!N137)),NOT(ISNUMBER('Price History'!N136)),'Price History'!N136=0),"",'Price History'!N137/'Price History'!N136-1),"")</f>
        <v>-0.0807922226918664</v>
      </c>
      <c r="O136" s="76" t="n">
        <f aca="false">IFERROR(IF(OR(NOT(ISNUMBER('Price History'!O137)),NOT(ISNUMBER('Price History'!O136)),'Price History'!O136=0),"",'Price History'!O137/'Price History'!O136-1),"")</f>
        <v>-0.0383253673216498</v>
      </c>
      <c r="P136" s="76" t="str">
        <f aca="false">IFERROR(IF(OR(NOT(ISNUMBER('Price History'!P137)),NOT(ISNUMBER('Price History'!P136)),'Price History'!P136=0),"",'Price History'!P137/'Price History'!P136-1),"")</f>
        <v/>
      </c>
      <c r="Q136" s="76" t="n">
        <f aca="false">IFERROR(IF(OR(NOT(ISNUMBER('Price History'!Q137)),NOT(ISNUMBER('Price History'!Q136)),'Price History'!Q136=0),"",'Price History'!Q137/'Price History'!Q136-1),"")</f>
        <v>0.00223480333730608</v>
      </c>
      <c r="R136" s="76" t="n">
        <f aca="false">IFERROR(IF(OR(NOT(ISNUMBER('Price History'!R137)),NOT(ISNUMBER('Price History'!R136)),'Price History'!R136=0),"",'Price History'!R137/'Price History'!R136-1),"")</f>
        <v>-0.0205031013094418</v>
      </c>
      <c r="S136" s="76" t="n">
        <f aca="false">IFERROR(IF(OR(NOT(ISNUMBER('Price History'!S137)),NOT(ISNUMBER('Price History'!S136)),'Price History'!S136=0),"",'Price History'!S137/'Price History'!S136-1),"")</f>
        <v>-0.0102954716665272</v>
      </c>
      <c r="T136" s="76" t="n">
        <f aca="false">IFERROR(IF(OR(NOT(ISNUMBER('Price History'!T137)),NOT(ISNUMBER('Price History'!T136)),'Price History'!T136=0),"",'Price History'!T137/'Price History'!T136-1),"")</f>
        <v>-0.00914031620553357</v>
      </c>
      <c r="U136" s="76" t="str">
        <f aca="false">IFERROR(IF(OR(NOT(ISNUMBER('Price History'!U137)),NOT(ISNUMBER('Price History'!U136)),'Price History'!U136=0),"",'Price History'!U137/'Price History'!U136-1),"")</f>
        <v/>
      </c>
      <c r="W136" s="77" t="n">
        <f aca="false">'Price History'!B3+('Price History'!B158-'Price History'!B3)*0.863636363636364</f>
        <v>285.597272727273</v>
      </c>
      <c r="X136" s="77" t="n">
        <f aca="false">'Price History'!C3+('Price History'!C158-'Price History'!C3)*0.863636363636364</f>
        <v>161.721363636364</v>
      </c>
      <c r="Y136" s="77" t="n">
        <f aca="false">'Price History'!D3+('Price History'!D158-'Price History'!D3)*0.863636363636364</f>
        <v>1497.10636363636</v>
      </c>
      <c r="Z136" s="77" t="n">
        <f aca="false">'Price History'!E3+('Price History'!E158-'Price History'!E3)*0.863636363636364</f>
        <v>347.511818181818</v>
      </c>
      <c r="AA136" s="77" t="n">
        <f aca="false">'Price History'!F3+('Price History'!F158-'Price History'!F3)*0.863636363636364</f>
        <v>169.887272727273</v>
      </c>
      <c r="AB136" s="77" t="n">
        <f aca="false">'Price History'!G3+('Price History'!G158-'Price History'!G3)*0.863636363636364</f>
        <v>164.421818181818</v>
      </c>
      <c r="AC136" s="77" t="n">
        <f aca="false">'Price History'!H3+('Price History'!H158-'Price History'!H3)*0.863636363636364</f>
        <v>719.576363636364</v>
      </c>
      <c r="AD136" s="77" t="n">
        <f aca="false">'Price History'!I3+('Price History'!I158-'Price History'!I3)*0.863636363636364</f>
        <v>178.945454545455</v>
      </c>
      <c r="AE136" s="77" t="n">
        <f aca="false">'Price History'!J3+('Price History'!J158-'Price History'!J3)*0.863636363636364</f>
        <v>141.732727272727</v>
      </c>
      <c r="AF136" s="77" t="n">
        <f aca="false">'Price History'!K3+('Price History'!K158-'Price History'!K3)*0.863636363636364</f>
        <v>108.380454545455</v>
      </c>
      <c r="AG136" s="77" t="n">
        <f aca="false">'Price History'!L3+('Price History'!L158-'Price History'!L3)*0.863636363636364</f>
        <v>361.669090909091</v>
      </c>
      <c r="AH136" s="77" t="n">
        <f aca="false">'Price History'!M3+('Price History'!M158-'Price History'!M3)*0.863636363636364</f>
        <v>213.198181818182</v>
      </c>
      <c r="AI136" s="77" t="n">
        <f aca="false">'Price History'!N3+('Price History'!N158-'Price History'!N3)*0.863636363636364</f>
        <v>459.749090909091</v>
      </c>
      <c r="AJ136" s="77" t="n">
        <f aca="false">'Price History'!O3+('Price History'!O158-'Price History'!O3)*0.863636363636364</f>
        <v>119.494090909091</v>
      </c>
      <c r="AK136" s="77" t="n">
        <f aca="false">'Price History'!Q3+('Price History'!Q151-'Price History'!Q3)*0.863636363636364</f>
        <v>65.9122727272727</v>
      </c>
      <c r="AL136" s="77" t="n">
        <f aca="false">'Price History'!R3+('Price History'!R158-'Price History'!R3)*0.863636363636364</f>
        <v>56.8277272727273</v>
      </c>
      <c r="AM136" s="77" t="n">
        <f aca="false">'Price History'!S3+('Price History'!S158-'Price History'!S3)*0.863636363636364</f>
        <v>132.199545454546</v>
      </c>
      <c r="AN136" s="77" t="n">
        <f aca="false">'Price History'!T3+('Price History'!T158-'Price History'!T3)*0.863636363636364</f>
        <v>46.6268181818182</v>
      </c>
    </row>
    <row r="137" customFormat="false" ht="15" hidden="false" customHeight="true" outlineLevel="0" collapsed="false">
      <c r="A137" s="49" t="n">
        <f aca="false">IF('Price History'!A138="","",'Price History'!A138)</f>
        <v>46094</v>
      </c>
      <c r="B137" s="76" t="n">
        <f aca="false">IFERROR(IF(OR(NOT(ISNUMBER('Price History'!B138)),NOT(ISNUMBER('Price History'!B137)),'Price History'!B137=0),"",'Price History'!B138/'Price History'!B137-1),"")</f>
        <v>-0.120936464283196</v>
      </c>
      <c r="C137" s="76" t="n">
        <f aca="false">IFERROR(IF(OR(NOT(ISNUMBER('Price History'!C138)),NOT(ISNUMBER('Price History'!C137)),'Price History'!C137=0),"",'Price History'!C138/'Price History'!C137-1),"")</f>
        <v>0.00511701407178866</v>
      </c>
      <c r="D137" s="76" t="n">
        <f aca="false">IFERROR(IF(OR(NOT(ISNUMBER('Price History'!D138)),NOT(ISNUMBER('Price History'!D137)),'Price History'!D137=0),"",'Price History'!D138/'Price History'!D137-1),"")</f>
        <v>0.0409112004950496</v>
      </c>
      <c r="E137" s="76" t="n">
        <f aca="false">IFERROR(IF(OR(NOT(ISNUMBER('Price History'!E138)),NOT(ISNUMBER('Price History'!E137)),'Price History'!E137=0),"",'Price History'!E138/'Price History'!E137-1),"")</f>
        <v>-0.0251755022996852</v>
      </c>
      <c r="F137" s="76" t="n">
        <f aca="false">IFERROR(IF(OR(NOT(ISNUMBER('Price History'!F138)),NOT(ISNUMBER('Price History'!F137)),'Price History'!F137=0),"",'Price History'!F138/'Price History'!F137-1),"")</f>
        <v>0.0298368298368299</v>
      </c>
      <c r="G137" s="76" t="n">
        <f aca="false">IFERROR(IF(OR(NOT(ISNUMBER('Price History'!G138)),NOT(ISNUMBER('Price History'!G137)),'Price History'!G137=0),"",'Price History'!G138/'Price History'!G137-1),"")</f>
        <v>0.0550349546333482</v>
      </c>
      <c r="H137" s="76" t="n">
        <f aca="false">IFERROR(IF(OR(NOT(ISNUMBER('Price History'!H138)),NOT(ISNUMBER('Price History'!H137)),'Price History'!H137=0),"",'Price History'!H138/'Price History'!H137-1),"")</f>
        <v>0.150769646232784</v>
      </c>
      <c r="I137" s="76" t="n">
        <f aca="false">IFERROR(IF(OR(NOT(ISNUMBER('Price History'!I138)),NOT(ISNUMBER('Price History'!I137)),'Price History'!I137=0),"",'Price History'!I138/'Price History'!I137-1),"")</f>
        <v>0.013665504442695</v>
      </c>
      <c r="J137" s="76" t="n">
        <f aca="false">IFERROR(IF(OR(NOT(ISNUMBER('Price History'!J138)),NOT(ISNUMBER('Price History'!J137)),'Price History'!J137=0),"",'Price History'!J138/'Price History'!J137-1),"")</f>
        <v>-0.0207373271889401</v>
      </c>
      <c r="K137" s="76" t="n">
        <f aca="false">IFERROR(IF(OR(NOT(ISNUMBER('Price History'!K138)),NOT(ISNUMBER('Price History'!K137)),'Price History'!K137=0),"",'Price History'!K138/'Price History'!K137-1),"")</f>
        <v>-0.0395138712140495</v>
      </c>
      <c r="L137" s="76" t="n">
        <f aca="false">IFERROR(IF(OR(NOT(ISNUMBER('Price History'!L138)),NOT(ISNUMBER('Price History'!L137)),'Price History'!L137=0),"",'Price History'!L138/'Price History'!L137-1),"")</f>
        <v>-0.0017114697984596</v>
      </c>
      <c r="M137" s="76" t="n">
        <f aca="false">IFERROR(IF(OR(NOT(ISNUMBER('Price History'!M138)),NOT(ISNUMBER('Price History'!M137)),'Price History'!M137=0),"",'Price History'!M138/'Price History'!M137-1),"")</f>
        <v>0.0707254528910579</v>
      </c>
      <c r="N137" s="76" t="n">
        <f aca="false">IFERROR(IF(OR(NOT(ISNUMBER('Price History'!N138)),NOT(ISNUMBER('Price History'!N137)),'Price History'!N137=0),"",'Price History'!N138/'Price History'!N137-1),"")</f>
        <v>0.0276993146335589</v>
      </c>
      <c r="O137" s="76" t="n">
        <f aca="false">IFERROR(IF(OR(NOT(ISNUMBER('Price History'!O138)),NOT(ISNUMBER('Price History'!O137)),'Price History'!O137=0),"",'Price History'!O138/'Price History'!O137-1),"")</f>
        <v>-0.0217211228716061</v>
      </c>
      <c r="P137" s="76" t="str">
        <f aca="false">IFERROR(IF(OR(NOT(ISNUMBER('Price History'!P138)),NOT(ISNUMBER('Price History'!P137)),'Price History'!P137=0),"",'Price History'!P138/'Price History'!P137-1),"")</f>
        <v/>
      </c>
      <c r="Q137" s="76" t="n">
        <f aca="false">IFERROR(IF(OR(NOT(ISNUMBER('Price History'!Q138)),NOT(ISNUMBER('Price History'!Q137)),'Price History'!Q137=0),"",'Price History'!Q138/'Price History'!Q137-1),"")</f>
        <v>0.0040136762301175</v>
      </c>
      <c r="R137" s="76" t="n">
        <f aca="false">IFERROR(IF(OR(NOT(ISNUMBER('Price History'!R138)),NOT(ISNUMBER('Price History'!R137)),'Price History'!R137=0),"",'Price History'!R138/'Price History'!R137-1),"")</f>
        <v>-0.00510114335971856</v>
      </c>
      <c r="S137" s="76" t="n">
        <f aca="false">IFERROR(IF(OR(NOT(ISNUMBER('Price History'!S138)),NOT(ISNUMBER('Price History'!S137)),'Price History'!S137=0),"",'Price History'!S138/'Price History'!S137-1),"")</f>
        <v>-0.0174221921515561</v>
      </c>
      <c r="T137" s="76" t="n">
        <f aca="false">IFERROR(IF(OR(NOT(ISNUMBER('Price History'!T138)),NOT(ISNUMBER('Price History'!T137)),'Price History'!T137=0),"",'Price History'!T138/'Price History'!T137-1),"")</f>
        <v>-0.0226876090750435</v>
      </c>
      <c r="U137" s="76" t="str">
        <f aca="false">IFERROR(IF(OR(NOT(ISNUMBER('Price History'!U138)),NOT(ISNUMBER('Price History'!U137)),'Price History'!U137=0),"",'Price History'!U138/'Price History'!U137-1),"")</f>
        <v/>
      </c>
      <c r="W137" s="77" t="n">
        <f aca="false">'Price History'!B3+('Price History'!B158-'Price History'!B3)*0.87012987012987</f>
        <v>283.921688311688</v>
      </c>
      <c r="X137" s="77" t="n">
        <f aca="false">'Price History'!C3+('Price History'!C158-'Price History'!C3)*0.87012987012987</f>
        <v>162.608441558442</v>
      </c>
      <c r="Y137" s="77" t="n">
        <f aca="false">'Price History'!D3+('Price History'!D158-'Price History'!D3)*0.87012987012987</f>
        <v>1503.38701298701</v>
      </c>
      <c r="Z137" s="77" t="n">
        <f aca="false">'Price History'!E3+('Price History'!E158-'Price History'!E3)*0.87012987012987</f>
        <v>349.500779220779</v>
      </c>
      <c r="AA137" s="77" t="n">
        <f aca="false">'Price History'!F3+('Price History'!F158-'Price History'!F3)*0.87012987012987</f>
        <v>170.885974025974</v>
      </c>
      <c r="AB137" s="77" t="n">
        <f aca="false">'Price History'!G3+('Price History'!G158-'Price History'!G3)*0.87012987012987</f>
        <v>165.297922077922</v>
      </c>
      <c r="AC137" s="77" t="n">
        <f aca="false">'Price History'!H3+('Price History'!H158-'Price History'!H3)*0.87012987012987</f>
        <v>724.502727272727</v>
      </c>
      <c r="AD137" s="77" t="n">
        <f aca="false">'Price History'!I3+('Price History'!I158-'Price History'!I3)*0.87012987012987</f>
        <v>179.983766233766</v>
      </c>
      <c r="AE137" s="77" t="n">
        <f aca="false">'Price History'!J3+('Price History'!J158-'Price History'!J3)*0.87012987012987</f>
        <v>141.86974025974</v>
      </c>
      <c r="AF137" s="77" t="n">
        <f aca="false">'Price History'!K3+('Price History'!K158-'Price History'!K3)*0.87012987012987</f>
        <v>109.079480519481</v>
      </c>
      <c r="AG137" s="77" t="n">
        <f aca="false">'Price History'!L3+('Price History'!L158-'Price History'!L3)*0.87012987012987</f>
        <v>363.696753246753</v>
      </c>
      <c r="AH137" s="77" t="n">
        <f aca="false">'Price History'!M3+('Price History'!M158-'Price History'!M3)*0.87012987012987</f>
        <v>214.549220779221</v>
      </c>
      <c r="AI137" s="77" t="n">
        <f aca="false">'Price History'!N3+('Price History'!N158-'Price History'!N3)*0.87012987012987</f>
        <v>460.575324675325</v>
      </c>
      <c r="AJ137" s="77" t="n">
        <f aca="false">'Price History'!O3+('Price History'!O158-'Price History'!O3)*0.87012987012987</f>
        <v>119.76961038961</v>
      </c>
      <c r="AK137" s="77" t="n">
        <f aca="false">'Price History'!Q3+('Price History'!Q151-'Price History'!Q3)*0.87012987012987</f>
        <v>66.0331168831169</v>
      </c>
      <c r="AL137" s="77" t="n">
        <f aca="false">'Price History'!R3+('Price History'!R158-'Price History'!R3)*0.87012987012987</f>
        <v>56.8954545454545</v>
      </c>
      <c r="AM137" s="77" t="n">
        <f aca="false">'Price History'!S3+('Price History'!S158-'Price History'!S3)*0.87012987012987</f>
        <v>132.753376623377</v>
      </c>
      <c r="AN137" s="77" t="n">
        <f aca="false">'Price History'!T3+('Price History'!T158-'Price History'!T3)*0.87012987012987</f>
        <v>46.7750649350649</v>
      </c>
    </row>
    <row r="138" customFormat="false" ht="15" hidden="false" customHeight="true" outlineLevel="0" collapsed="false">
      <c r="A138" s="49" t="n">
        <f aca="false">IF('Price History'!A139="","",'Price History'!A139)</f>
        <v>46101</v>
      </c>
      <c r="B138" s="76" t="n">
        <f aca="false">IFERROR(IF(OR(NOT(ISNUMBER('Price History'!B139)),NOT(ISNUMBER('Price History'!B138)),'Price History'!B138=0),"",'Price History'!B139/'Price History'!B138-1),"")</f>
        <v>-0.0046927643189475</v>
      </c>
      <c r="C138" s="76" t="n">
        <f aca="false">IFERROR(IF(OR(NOT(ISNUMBER('Price History'!C139)),NOT(ISNUMBER('Price History'!C138)),'Price History'!C138=0),"",'Price History'!C139/'Price History'!C138-1),"")</f>
        <v>-0.0175937710563749</v>
      </c>
      <c r="D138" s="76" t="n">
        <f aca="false">IFERROR(IF(OR(NOT(ISNUMBER('Price History'!D139)),NOT(ISNUMBER('Price History'!D138)),'Price History'!D138=0),"",'Price History'!D139/'Price History'!D138-1),"")</f>
        <v>-0.0211341393634493</v>
      </c>
      <c r="E138" s="76" t="n">
        <f aca="false">IFERROR(IF(OR(NOT(ISNUMBER('Price History'!E139)),NOT(ISNUMBER('Price History'!E138)),'Price History'!E138=0),"",'Price History'!E139/'Price History'!E138-1),"")</f>
        <v>-0.0361621554507078</v>
      </c>
      <c r="F138" s="76" t="n">
        <f aca="false">IFERROR(IF(OR(NOT(ISNUMBER('Price History'!F139)),NOT(ISNUMBER('Price History'!F138)),'Price History'!F138=0),"",'Price History'!F139/'Price History'!F138-1),"")</f>
        <v>-0.0742417383431417</v>
      </c>
      <c r="G138" s="76" t="n">
        <f aca="false">IFERROR(IF(OR(NOT(ISNUMBER('Price History'!G139)),NOT(ISNUMBER('Price History'!G138)),'Price History'!G138=0),"",'Price History'!G139/'Price History'!G138-1),"")</f>
        <v>0.0564641195544904</v>
      </c>
      <c r="H138" s="76" t="n">
        <f aca="false">IFERROR(IF(OR(NOT(ISNUMBER('Price History'!H139)),NOT(ISNUMBER('Price History'!H138)),'Price History'!H138=0),"",'Price History'!H139/'Price History'!H138-1),"")</f>
        <v>-0.0075798465257082</v>
      </c>
      <c r="I138" s="76" t="n">
        <f aca="false">IFERROR(IF(OR(NOT(ISNUMBER('Price History'!I139)),NOT(ISNUMBER('Price History'!I138)),'Price History'!I138=0),"",'Price History'!I139/'Price History'!I138-1),"")</f>
        <v>-0.0418862690707351</v>
      </c>
      <c r="J138" s="76" t="n">
        <f aca="false">IFERROR(IF(OR(NOT(ISNUMBER('Price History'!J139)),NOT(ISNUMBER('Price History'!J138)),'Price History'!J138=0),"",'Price History'!J139/'Price History'!J138-1),"")</f>
        <v>-0.0283870967741936</v>
      </c>
      <c r="K138" s="76" t="n">
        <f aca="false">IFERROR(IF(OR(NOT(ISNUMBER('Price History'!K139)),NOT(ISNUMBER('Price History'!K138)),'Price History'!K138=0),"",'Price History'!K139/'Price History'!K138-1),"")</f>
        <v>-0.00178867174561104</v>
      </c>
      <c r="L138" s="76" t="n">
        <f aca="false">IFERROR(IF(OR(NOT(ISNUMBER('Price History'!L139)),NOT(ISNUMBER('Price History'!L138)),'Price History'!L138=0),"",'Price History'!L139/'Price History'!L138-1),"")</f>
        <v>-0.0268097307203452</v>
      </c>
      <c r="M138" s="76" t="n">
        <f aca="false">IFERROR(IF(OR(NOT(ISNUMBER('Price History'!M139)),NOT(ISNUMBER('Price History'!M138)),'Price History'!M138=0),"",'Price History'!M139/'Price History'!M138-1),"")</f>
        <v>-0.0115883807169345</v>
      </c>
      <c r="N138" s="76" t="n">
        <f aca="false">IFERROR(IF(OR(NOT(ISNUMBER('Price History'!N139)),NOT(ISNUMBER('Price History'!N138)),'Price History'!N138=0),"",'Price History'!N139/'Price History'!N138-1),"")</f>
        <v>-0.032684194826778</v>
      </c>
      <c r="O138" s="76" t="n">
        <f aca="false">IFERROR(IF(OR(NOT(ISNUMBER('Price History'!O139)),NOT(ISNUMBER('Price History'!O138)),'Price History'!O138=0),"",'Price History'!O139/'Price History'!O138-1),"")</f>
        <v>-0.0019757267852103</v>
      </c>
      <c r="P138" s="76" t="str">
        <f aca="false">IFERROR(IF(OR(NOT(ISNUMBER('Price History'!P139)),NOT(ISNUMBER('Price History'!P138)),'Price History'!P138=0),"",'Price History'!P139/'Price History'!P138-1),"")</f>
        <v/>
      </c>
      <c r="Q138" s="76" t="n">
        <f aca="false">IFERROR(IF(OR(NOT(ISNUMBER('Price History'!Q139)),NOT(ISNUMBER('Price History'!Q138)),'Price History'!Q138=0),"",'Price History'!Q139/'Price History'!Q138-1),"")</f>
        <v>0.00207284572105415</v>
      </c>
      <c r="R138" s="76" t="n">
        <f aca="false">IFERROR(IF(OR(NOT(ISNUMBER('Price History'!R139)),NOT(ISNUMBER('Price History'!R138)),'Price History'!R138=0),"",'Price History'!R139/'Price History'!R138-1),"")</f>
        <v>-0.0141442715700142</v>
      </c>
      <c r="S138" s="76" t="n">
        <f aca="false">IFERROR(IF(OR(NOT(ISNUMBER('Price History'!S139)),NOT(ISNUMBER('Price History'!S138)),'Price History'!S138=0),"",'Price History'!S139/'Price History'!S138-1),"")</f>
        <v>-0.0206576002754347</v>
      </c>
      <c r="T138" s="76" t="n">
        <f aca="false">IFERROR(IF(OR(NOT(ISNUMBER('Price History'!T139)),NOT(ISNUMBER('Price History'!T138)),'Price History'!T138=0),"",'Price History'!T139/'Price History'!T138-1),"")</f>
        <v>0.00102040816326521</v>
      </c>
      <c r="U138" s="76" t="str">
        <f aca="false">IFERROR(IF(OR(NOT(ISNUMBER('Price History'!U139)),NOT(ISNUMBER('Price History'!U138)),'Price History'!U138=0),"",'Price History'!U139/'Price History'!U138-1),"")</f>
        <v/>
      </c>
      <c r="W138" s="77" t="n">
        <f aca="false">'Price History'!B3+('Price History'!B158-'Price History'!B3)*0.876623376623377</f>
        <v>282.246103896104</v>
      </c>
      <c r="X138" s="77" t="n">
        <f aca="false">'Price History'!C3+('Price History'!C158-'Price History'!C3)*0.876623376623377</f>
        <v>163.49551948052</v>
      </c>
      <c r="Y138" s="77" t="n">
        <f aca="false">'Price History'!D3+('Price History'!D158-'Price History'!D3)*0.876623376623377</f>
        <v>1509.66766233766</v>
      </c>
      <c r="Z138" s="77" t="n">
        <f aca="false">'Price History'!E3+('Price History'!E158-'Price History'!E3)*0.876623376623377</f>
        <v>351.48974025974</v>
      </c>
      <c r="AA138" s="77" t="n">
        <f aca="false">'Price History'!F3+('Price History'!F158-'Price History'!F3)*0.876623376623377</f>
        <v>171.884675324675</v>
      </c>
      <c r="AB138" s="77" t="n">
        <f aca="false">'Price History'!G3+('Price History'!G158-'Price History'!G3)*0.876623376623377</f>
        <v>166.174025974026</v>
      </c>
      <c r="AC138" s="77" t="n">
        <f aca="false">'Price History'!H3+('Price History'!H158-'Price History'!H3)*0.876623376623377</f>
        <v>729.429090909091</v>
      </c>
      <c r="AD138" s="77" t="n">
        <f aca="false">'Price History'!I3+('Price History'!I158-'Price History'!I3)*0.876623376623377</f>
        <v>181.022077922078</v>
      </c>
      <c r="AE138" s="77" t="n">
        <f aca="false">'Price History'!J3+('Price History'!J158-'Price History'!J3)*0.876623376623377</f>
        <v>142.006753246753</v>
      </c>
      <c r="AF138" s="77" t="n">
        <f aca="false">'Price History'!K3+('Price History'!K158-'Price History'!K3)*0.876623376623377</f>
        <v>109.778506493507</v>
      </c>
      <c r="AG138" s="77" t="n">
        <f aca="false">'Price History'!L3+('Price History'!L158-'Price History'!L3)*0.876623376623377</f>
        <v>365.724415584416</v>
      </c>
      <c r="AH138" s="77" t="n">
        <f aca="false">'Price History'!M3+('Price History'!M158-'Price History'!M3)*0.876623376623377</f>
        <v>215.90025974026</v>
      </c>
      <c r="AI138" s="77" t="n">
        <f aca="false">'Price History'!N3+('Price History'!N158-'Price History'!N3)*0.876623376623377</f>
        <v>461.401558441559</v>
      </c>
      <c r="AJ138" s="77" t="n">
        <f aca="false">'Price History'!O3+('Price History'!O158-'Price History'!O3)*0.876623376623377</f>
        <v>120.04512987013</v>
      </c>
      <c r="AK138" s="77" t="n">
        <f aca="false">'Price History'!Q3+('Price History'!Q151-'Price History'!Q3)*0.876623376623377</f>
        <v>66.153961038961</v>
      </c>
      <c r="AL138" s="77" t="n">
        <f aca="false">'Price History'!R3+('Price History'!R158-'Price History'!R3)*0.876623376623377</f>
        <v>56.9631818181818</v>
      </c>
      <c r="AM138" s="77" t="n">
        <f aca="false">'Price History'!S3+('Price History'!S158-'Price History'!S3)*0.876623376623377</f>
        <v>133.307207792208</v>
      </c>
      <c r="AN138" s="77" t="n">
        <f aca="false">'Price History'!T3+('Price History'!T158-'Price History'!T3)*0.876623376623377</f>
        <v>46.9233116883117</v>
      </c>
    </row>
    <row r="139" customFormat="false" ht="15" hidden="false" customHeight="true" outlineLevel="0" collapsed="false">
      <c r="A139" s="49" t="n">
        <f aca="false">IF('Price History'!A140="","",'Price History'!A140)</f>
        <v>46108</v>
      </c>
      <c r="B139" s="76" t="n">
        <f aca="false">IFERROR(IF(OR(NOT(ISNUMBER('Price History'!B140)),NOT(ISNUMBER('Price History'!B139)),'Price History'!B139=0),"",'Price History'!B140/'Price History'!B139-1),"")</f>
        <v>-0.0536369131573645</v>
      </c>
      <c r="C139" s="76" t="n">
        <f aca="false">IFERROR(IF(OR(NOT(ISNUMBER('Price History'!C140)),NOT(ISNUMBER('Price History'!C139)),'Price History'!C139=0),"",'Price History'!C140/'Price History'!C139-1),"")</f>
        <v>-0.0796372504191435</v>
      </c>
      <c r="D139" s="76" t="n">
        <f aca="false">IFERROR(IF(OR(NOT(ISNUMBER('Price History'!D140)),NOT(ISNUMBER('Price History'!D139)),'Price History'!D139=0),"",'Price History'!D140/'Price History'!D139-1),"")</f>
        <v>-0.0112203454165876</v>
      </c>
      <c r="E139" s="76" t="n">
        <f aca="false">IFERROR(IF(OR(NOT(ISNUMBER('Price History'!E140)),NOT(ISNUMBER('Price History'!E139)),'Price History'!E139=0),"",'Price History'!E140/'Price History'!E139-1),"")</f>
        <v>-0.0316575955685807</v>
      </c>
      <c r="F139" s="76" t="n">
        <f aca="false">IFERROR(IF(OR(NOT(ISNUMBER('Price History'!F140)),NOT(ISNUMBER('Price History'!F139)),'Price History'!F139=0),"",'Price History'!F140/'Price History'!F139-1),"")</f>
        <v>-0.0963325183374083</v>
      </c>
      <c r="G139" s="76" t="n">
        <f aca="false">IFERROR(IF(OR(NOT(ISNUMBER('Price History'!G140)),NOT(ISNUMBER('Price History'!G139)),'Price History'!G139=0),"",'Price History'!G140/'Price History'!G139-1),"")</f>
        <v>-0.0370320944818844</v>
      </c>
      <c r="H139" s="76" t="n">
        <f aca="false">IFERROR(IF(OR(NOT(ISNUMBER('Price History'!H140)),NOT(ISNUMBER('Price History'!H139)),'Price History'!H139=0),"",'Price History'!H140/'Price History'!H139-1),"")</f>
        <v>-0.155308583589501</v>
      </c>
      <c r="I139" s="76" t="n">
        <f aca="false">IFERROR(IF(OR(NOT(ISNUMBER('Price History'!I140)),NOT(ISNUMBER('Price History'!I139)),'Price History'!I139=0),"",'Price History'!I140/'Price History'!I139-1),"")</f>
        <v>-0.0299942096120439</v>
      </c>
      <c r="J139" s="76" t="n">
        <f aca="false">IFERROR(IF(OR(NOT(ISNUMBER('Price History'!J140)),NOT(ISNUMBER('Price History'!J139)),'Price History'!J139=0),"",'Price History'!J140/'Price History'!J139-1),"")</f>
        <v>0.00695258182954461</v>
      </c>
      <c r="K139" s="76" t="n">
        <f aca="false">IFERROR(IF(OR(NOT(ISNUMBER('Price History'!K140)),NOT(ISNUMBER('Price History'!K139)),'Price History'!K139=0),"",'Price History'!K140/'Price History'!K139-1),"")</f>
        <v>-0.0505707459516858</v>
      </c>
      <c r="L139" s="76" t="n">
        <f aca="false">IFERROR(IF(OR(NOT(ISNUMBER('Price History'!L140)),NOT(ISNUMBER('Price History'!L139)),'Price History'!L139=0),"",'Price History'!L140/'Price History'!L139-1),"")</f>
        <v>-0.00759324504920422</v>
      </c>
      <c r="M139" s="76" t="n">
        <f aca="false">IFERROR(IF(OR(NOT(ISNUMBER('Price History'!M140)),NOT(ISNUMBER('Price History'!M139)),'Price History'!M139=0),"",'Price History'!M140/'Price History'!M139-1),"")</f>
        <v>-0.0187978740034391</v>
      </c>
      <c r="N139" s="76" t="n">
        <f aca="false">IFERROR(IF(OR(NOT(ISNUMBER('Price History'!N140)),NOT(ISNUMBER('Price History'!N139)),'Price History'!N139=0),"",'Price History'!N140/'Price History'!N139-1),"")</f>
        <v>-0.0461013215859031</v>
      </c>
      <c r="O139" s="76" t="n">
        <f aca="false">IFERROR(IF(OR(NOT(ISNUMBER('Price History'!O140)),NOT(ISNUMBER('Price History'!O139)),'Price History'!O139=0),"",'Price History'!O140/'Price History'!O139-1),"")</f>
        <v>0.0296945701357467</v>
      </c>
      <c r="P139" s="76" t="str">
        <f aca="false">IFERROR(IF(OR(NOT(ISNUMBER('Price History'!P140)),NOT(ISNUMBER('Price History'!P139)),'Price History'!P139=0),"",'Price History'!P140/'Price History'!P139-1),"")</f>
        <v/>
      </c>
      <c r="Q139" s="76" t="n">
        <f aca="false">IFERROR(IF(OR(NOT(ISNUMBER('Price History'!Q140)),NOT(ISNUMBER('Price History'!Q139)),'Price History'!Q139=0),"",'Price History'!Q140/'Price History'!Q139-1),"")</f>
        <v>0.000295508274231526</v>
      </c>
      <c r="R139" s="76" t="n">
        <f aca="false">IFERROR(IF(OR(NOT(ISNUMBER('Price History'!R140)),NOT(ISNUMBER('Price History'!R139)),'Price History'!R139=0),"",'Price History'!R140/'Price History'!R139-1),"")</f>
        <v>-0.0292324246771879</v>
      </c>
      <c r="S139" s="76" t="n">
        <f aca="false">IFERROR(IF(OR(NOT(ISNUMBER('Price History'!S140)),NOT(ISNUMBER('Price History'!S139)),'Price History'!S139=0),"",'Price History'!S140/'Price History'!S139-1),"")</f>
        <v>-0.0304974512216558</v>
      </c>
      <c r="T139" s="76" t="n">
        <f aca="false">IFERROR(IF(OR(NOT(ISNUMBER('Price History'!T140)),NOT(ISNUMBER('Price History'!T139)),'Price History'!T139=0),"",'Price History'!T140/'Price History'!T139-1),"")</f>
        <v>-0.012487257900102</v>
      </c>
      <c r="U139" s="76" t="str">
        <f aca="false">IFERROR(IF(OR(NOT(ISNUMBER('Price History'!U140)),NOT(ISNUMBER('Price History'!U139)),'Price History'!U139=0),"",'Price History'!U140/'Price History'!U139-1),"")</f>
        <v/>
      </c>
      <c r="W139" s="77" t="n">
        <f aca="false">'Price History'!B3+('Price History'!B158-'Price History'!B3)*0.883116883116883</f>
        <v>280.57051948052</v>
      </c>
      <c r="X139" s="77" t="n">
        <f aca="false">'Price History'!C3+('Price History'!C158-'Price History'!C3)*0.883116883116883</f>
        <v>164.382597402597</v>
      </c>
      <c r="Y139" s="77" t="n">
        <f aca="false">'Price History'!D3+('Price History'!D158-'Price History'!D3)*0.883116883116883</f>
        <v>1515.94831168831</v>
      </c>
      <c r="Z139" s="77" t="n">
        <f aca="false">'Price History'!E3+('Price History'!E158-'Price History'!E3)*0.883116883116883</f>
        <v>353.478701298701</v>
      </c>
      <c r="AA139" s="77" t="n">
        <f aca="false">'Price History'!F3+('Price History'!F158-'Price History'!F3)*0.883116883116883</f>
        <v>172.883376623377</v>
      </c>
      <c r="AB139" s="77" t="n">
        <f aca="false">'Price History'!G3+('Price History'!G158-'Price History'!G3)*0.883116883116883</f>
        <v>167.05012987013</v>
      </c>
      <c r="AC139" s="77" t="n">
        <f aca="false">'Price History'!H3+('Price History'!H158-'Price History'!H3)*0.883116883116883</f>
        <v>734.355454545454</v>
      </c>
      <c r="AD139" s="77" t="n">
        <f aca="false">'Price History'!I3+('Price History'!I158-'Price History'!I3)*0.883116883116883</f>
        <v>182.06038961039</v>
      </c>
      <c r="AE139" s="77" t="n">
        <f aca="false">'Price History'!J3+('Price History'!J158-'Price History'!J3)*0.883116883116883</f>
        <v>142.143766233766</v>
      </c>
      <c r="AF139" s="77" t="n">
        <f aca="false">'Price History'!K3+('Price History'!K158-'Price History'!K3)*0.883116883116883</f>
        <v>110.477532467532</v>
      </c>
      <c r="AG139" s="77" t="n">
        <f aca="false">'Price History'!L3+('Price History'!L158-'Price History'!L3)*0.883116883116883</f>
        <v>367.752077922078</v>
      </c>
      <c r="AH139" s="77" t="n">
        <f aca="false">'Price History'!M3+('Price History'!M158-'Price History'!M3)*0.883116883116883</f>
        <v>217.251298701299</v>
      </c>
      <c r="AI139" s="77" t="n">
        <f aca="false">'Price History'!N3+('Price History'!N158-'Price History'!N3)*0.883116883116883</f>
        <v>462.227792207792</v>
      </c>
      <c r="AJ139" s="77" t="n">
        <f aca="false">'Price History'!O3+('Price History'!O158-'Price History'!O3)*0.883116883116883</f>
        <v>120.320649350649</v>
      </c>
      <c r="AK139" s="77" t="n">
        <f aca="false">'Price History'!Q3+('Price History'!Q151-'Price History'!Q3)*0.883116883116883</f>
        <v>66.2748051948052</v>
      </c>
      <c r="AL139" s="77" t="n">
        <f aca="false">'Price History'!R3+('Price History'!R158-'Price History'!R3)*0.883116883116883</f>
        <v>57.0309090909091</v>
      </c>
      <c r="AM139" s="77" t="n">
        <f aca="false">'Price History'!S3+('Price History'!S158-'Price History'!S3)*0.883116883116883</f>
        <v>133.861038961039</v>
      </c>
      <c r="AN139" s="77" t="n">
        <f aca="false">'Price History'!T3+('Price History'!T158-'Price History'!T3)*0.883116883116883</f>
        <v>47.0715584415584</v>
      </c>
    </row>
    <row r="140" customFormat="false" ht="15" hidden="false" customHeight="true" outlineLevel="0" collapsed="false">
      <c r="A140" s="49" t="n">
        <f aca="false">IF('Price History'!A141="","",'Price History'!A141)</f>
        <v>46114</v>
      </c>
      <c r="B140" s="76" t="n">
        <f aca="false">IFERROR(IF(OR(NOT(ISNUMBER('Price History'!B141)),NOT(ISNUMBER('Price History'!B140)),'Price History'!B140=0),"",'Price History'!B141/'Price History'!B140-1),"")</f>
        <v>0.0344064043604155</v>
      </c>
      <c r="C140" s="76" t="n">
        <f aca="false">IFERROR(IF(OR(NOT(ISNUMBER('Price History'!C141)),NOT(ISNUMBER('Price History'!C140)),'Price History'!C140=0),"",'Price History'!C141/'Price History'!C140-1),"")</f>
        <v>0.0489359940382546</v>
      </c>
      <c r="D140" s="76" t="n">
        <f aca="false">IFERROR(IF(OR(NOT(ISNUMBER('Price History'!D141)),NOT(ISNUMBER('Price History'!D140)),'Price History'!D140=0),"",'Price History'!D141/'Price History'!D140-1),"")</f>
        <v>0.0113323147558102</v>
      </c>
      <c r="E140" s="76" t="n">
        <f aca="false">IFERROR(IF(OR(NOT(ISNUMBER('Price History'!E141)),NOT(ISNUMBER('Price History'!E140)),'Price History'!E140=0),"",'Price History'!E141/'Price History'!E140-1),"")</f>
        <v>0.0461287747771717</v>
      </c>
      <c r="F140" s="76" t="n">
        <f aca="false">IFERROR(IF(OR(NOT(ISNUMBER('Price History'!F141)),NOT(ISNUMBER('Price History'!F140)),'Price History'!F140=0),"",'Price History'!F141/'Price History'!F140-1),"")</f>
        <v>0.0798701298701299</v>
      </c>
      <c r="G140" s="76" t="n">
        <f aca="false">IFERROR(IF(OR(NOT(ISNUMBER('Price History'!G141)),NOT(ISNUMBER('Price History'!G140)),'Price History'!G140=0),"",'Price History'!G141/'Price History'!G140-1),"")</f>
        <v>0.0509977827050998</v>
      </c>
      <c r="H140" s="76" t="n">
        <f aca="false">IFERROR(IF(OR(NOT(ISNUMBER('Price History'!H141)),NOT(ISNUMBER('Price History'!H140)),'Price History'!H140=0),"",'Price History'!H141/'Price History'!H140-1),"")</f>
        <v>0.0252505458820895</v>
      </c>
      <c r="I140" s="76" t="n">
        <f aca="false">IFERROR(IF(OR(NOT(ISNUMBER('Price History'!I141)),NOT(ISNUMBER('Price History'!I140)),'Price History'!I140=0),"",'Price History'!I141/'Price History'!I140-1),"")</f>
        <v>0.0589183381088825</v>
      </c>
      <c r="J140" s="76" t="n">
        <f aca="false">IFERROR(IF(OR(NOT(ISNUMBER('Price History'!J141)),NOT(ISNUMBER('Price History'!J140)),'Price History'!J140=0),"",'Price History'!J141/'Price History'!J140-1),"")</f>
        <v>0.0377812257564003</v>
      </c>
      <c r="K140" s="76" t="n">
        <f aca="false">IFERROR(IF(OR(NOT(ISNUMBER('Price History'!K141)),NOT(ISNUMBER('Price History'!K140)),'Price History'!K140=0),"",'Price History'!K141/'Price History'!K140-1),"")</f>
        <v>0.0377464001118413</v>
      </c>
      <c r="L140" s="76" t="n">
        <f aca="false">IFERROR(IF(OR(NOT(ISNUMBER('Price History'!L141)),NOT(ISNUMBER('Price History'!L140)),'Price History'!L140=0),"",'Price History'!L141/'Price History'!L140-1),"")</f>
        <v>0.0376446103935852</v>
      </c>
      <c r="M140" s="76" t="n">
        <f aca="false">IFERROR(IF(OR(NOT(ISNUMBER('Price History'!M141)),NOT(ISNUMBER('Price History'!M140)),'Price History'!M140=0),"",'Price History'!M141/'Price History'!M140-1),"")</f>
        <v>0.0407057792647469</v>
      </c>
      <c r="N140" s="76" t="n">
        <f aca="false">IFERROR(IF(OR(NOT(ISNUMBER('Price History'!N141)),NOT(ISNUMBER('Price History'!N140)),'Price History'!N140=0),"",'Price History'!N141/'Price History'!N140-1),"")</f>
        <v>0.0130232987738703</v>
      </c>
      <c r="O140" s="76" t="n">
        <f aca="false">IFERROR(IF(OR(NOT(ISNUMBER('Price History'!O141)),NOT(ISNUMBER('Price History'!O140)),'Price History'!O140=0),"",'Price History'!O141/'Price History'!O140-1),"")</f>
        <v>0.0200494369678659</v>
      </c>
      <c r="P140" s="76" t="str">
        <f aca="false">IFERROR(IF(OR(NOT(ISNUMBER('Price History'!P141)),NOT(ISNUMBER('Price History'!P140)),'Price History'!P140=0),"",'Price History'!P141/'Price History'!P140-1),"")</f>
        <v/>
      </c>
      <c r="Q140" s="76" t="n">
        <f aca="false">IFERROR(IF(OR(NOT(ISNUMBER('Price History'!Q141)),NOT(ISNUMBER('Price History'!Q140)),'Price History'!Q140=0),"",'Price History'!Q141/'Price History'!Q140-1),"")</f>
        <v>0.000738552437222984</v>
      </c>
      <c r="R140" s="76" t="n">
        <f aca="false">IFERROR(IF(OR(NOT(ISNUMBER('Price History'!R141)),NOT(ISNUMBER('Price History'!R140)),'Price History'!R140=0),"",'Price History'!R141/'Price History'!R140-1),"")</f>
        <v>0.026972104193608</v>
      </c>
      <c r="S140" s="76" t="n">
        <f aca="false">IFERROR(IF(OR(NOT(ISNUMBER('Price History'!S141)),NOT(ISNUMBER('Price History'!S140)),'Price History'!S140=0),"",'Price History'!S141/'Price History'!S140-1),"")</f>
        <v>0.0401595503580816</v>
      </c>
      <c r="T140" s="76" t="n">
        <f aca="false">IFERROR(IF(OR(NOT(ISNUMBER('Price History'!T141)),NOT(ISNUMBER('Price History'!T140)),'Price History'!T140=0),"",'Price History'!T141/'Price History'!T140-1),"")</f>
        <v>0.0281290322580645</v>
      </c>
      <c r="U140" s="76" t="str">
        <f aca="false">IFERROR(IF(OR(NOT(ISNUMBER('Price History'!U141)),NOT(ISNUMBER('Price History'!U140)),'Price History'!U140=0),"",'Price History'!U141/'Price History'!U140-1),"")</f>
        <v/>
      </c>
      <c r="W140" s="77" t="n">
        <f aca="false">'Price History'!B3+('Price History'!B158-'Price History'!B3)*0.88961038961039</f>
        <v>278.894935064935</v>
      </c>
      <c r="X140" s="77" t="n">
        <f aca="false">'Price History'!C3+('Price History'!C158-'Price History'!C3)*0.88961038961039</f>
        <v>165.269675324675</v>
      </c>
      <c r="Y140" s="77" t="n">
        <f aca="false">'Price History'!D3+('Price History'!D158-'Price History'!D3)*0.88961038961039</f>
        <v>1522.22896103896</v>
      </c>
      <c r="Z140" s="77" t="n">
        <f aca="false">'Price History'!E3+('Price History'!E158-'Price History'!E3)*0.88961038961039</f>
        <v>355.467662337662</v>
      </c>
      <c r="AA140" s="77" t="n">
        <f aca="false">'Price History'!F3+('Price History'!F158-'Price History'!F3)*0.88961038961039</f>
        <v>173.882077922078</v>
      </c>
      <c r="AB140" s="77" t="n">
        <f aca="false">'Price History'!G3+('Price History'!G158-'Price History'!G3)*0.88961038961039</f>
        <v>167.926233766234</v>
      </c>
      <c r="AC140" s="77" t="n">
        <f aca="false">'Price History'!H3+('Price History'!H158-'Price History'!H3)*0.88961038961039</f>
        <v>739.281818181818</v>
      </c>
      <c r="AD140" s="77" t="n">
        <f aca="false">'Price History'!I3+('Price History'!I158-'Price History'!I3)*0.88961038961039</f>
        <v>183.098701298701</v>
      </c>
      <c r="AE140" s="77" t="n">
        <f aca="false">'Price History'!J3+('Price History'!J158-'Price History'!J3)*0.88961038961039</f>
        <v>142.280779220779</v>
      </c>
      <c r="AF140" s="77" t="n">
        <f aca="false">'Price History'!K3+('Price History'!K158-'Price History'!K3)*0.88961038961039</f>
        <v>111.176558441558</v>
      </c>
      <c r="AG140" s="77" t="n">
        <f aca="false">'Price History'!L3+('Price History'!L158-'Price History'!L3)*0.88961038961039</f>
        <v>369.77974025974</v>
      </c>
      <c r="AH140" s="77" t="n">
        <f aca="false">'Price History'!M3+('Price History'!M158-'Price History'!M3)*0.88961038961039</f>
        <v>218.602337662338</v>
      </c>
      <c r="AI140" s="77" t="n">
        <f aca="false">'Price History'!N3+('Price History'!N158-'Price History'!N3)*0.88961038961039</f>
        <v>463.054025974026</v>
      </c>
      <c r="AJ140" s="77" t="n">
        <f aca="false">'Price History'!O3+('Price History'!O158-'Price History'!O3)*0.88961038961039</f>
        <v>120.596168831169</v>
      </c>
      <c r="AK140" s="77" t="n">
        <f aca="false">'Price History'!Q3+('Price History'!Q151-'Price History'!Q3)*0.88961038961039</f>
        <v>66.3956493506494</v>
      </c>
      <c r="AL140" s="77" t="n">
        <f aca="false">'Price History'!R3+('Price History'!R158-'Price History'!R3)*0.88961038961039</f>
        <v>57.0986363636364</v>
      </c>
      <c r="AM140" s="77" t="n">
        <f aca="false">'Price History'!S3+('Price History'!S158-'Price History'!S3)*0.88961038961039</f>
        <v>134.41487012987</v>
      </c>
      <c r="AN140" s="77" t="n">
        <f aca="false">'Price History'!T3+('Price History'!T158-'Price History'!T3)*0.88961038961039</f>
        <v>47.2198051948052</v>
      </c>
    </row>
    <row r="141" customFormat="false" ht="15" hidden="false" customHeight="true" outlineLevel="0" collapsed="false">
      <c r="A141" s="49" t="n">
        <f aca="false">IF('Price History'!A142="","",'Price History'!A142)</f>
        <v>46122</v>
      </c>
      <c r="B141" s="76" t="n">
        <f aca="false">IFERROR(IF(OR(NOT(ISNUMBER('Price History'!B142)),NOT(ISNUMBER('Price History'!B141)),'Price History'!B141=0),"",'Price History'!B142/'Price History'!B141-1),"")</f>
        <v>-0.07232833854767</v>
      </c>
      <c r="C141" s="76" t="n">
        <f aca="false">IFERROR(IF(OR(NOT(ISNUMBER('Price History'!C142)),NOT(ISNUMBER('Price History'!C141)),'Price History'!C141=0),"",'Price History'!C142/'Price History'!C141-1),"")</f>
        <v>0.163167035048942</v>
      </c>
      <c r="D141" s="76" t="n">
        <f aca="false">IFERROR(IF(OR(NOT(ISNUMBER('Price History'!D142)),NOT(ISNUMBER('Price History'!D141)),'Price History'!D141=0),"",'Price History'!D142/'Price History'!D141-1),"")</f>
        <v>0.12226414521382</v>
      </c>
      <c r="E141" s="76" t="n">
        <f aca="false">IFERROR(IF(OR(NOT(ISNUMBER('Price History'!E142)),NOT(ISNUMBER('Price History'!E141)),'Price History'!E141=0),"",'Price History'!E142/'Price History'!E141-1),"")</f>
        <v>0.181211254172628</v>
      </c>
      <c r="F141" s="76" t="n">
        <f aca="false">IFERROR(IF(OR(NOT(ISNUMBER('Price History'!F142)),NOT(ISNUMBER('Price History'!F141)),'Price History'!F141=0),"",'Price History'!F142/'Price History'!F141-1),"")</f>
        <v>-0.0503106835037082</v>
      </c>
      <c r="G141" s="76" t="n">
        <f aca="false">IFERROR(IF(OR(NOT(ISNUMBER('Price History'!G142)),NOT(ISNUMBER('Price History'!G141)),'Price History'!G141=0),"",'Price History'!G142/'Price History'!G141-1),"")</f>
        <v>0.145371835443038</v>
      </c>
      <c r="H141" s="76" t="n">
        <f aca="false">IFERROR(IF(OR(NOT(ISNUMBER('Price History'!H142)),NOT(ISNUMBER('Price History'!H141)),'Price History'!H141=0),"",'Price History'!H142/'Price History'!H141-1),"")</f>
        <v>0.1483999563128</v>
      </c>
      <c r="I141" s="76" t="n">
        <f aca="false">IFERROR(IF(OR(NOT(ISNUMBER('Price History'!I142)),NOT(ISNUMBER('Price History'!I141)),'Price History'!I141=0),"",'Price History'!I142/'Price History'!I141-1),"")</f>
        <v>0.0633632110040026</v>
      </c>
      <c r="J141" s="76" t="n">
        <f aca="false">IFERROR(IF(OR(NOT(ISNUMBER('Price History'!J142)),NOT(ISNUMBER('Price History'!J141)),'Price History'!J141=0),"",'Price History'!J142/'Price History'!J141-1),"")</f>
        <v>0.0255662704642297</v>
      </c>
      <c r="K141" s="76" t="n">
        <f aca="false">IFERROR(IF(OR(NOT(ISNUMBER('Price History'!K142)),NOT(ISNUMBER('Price History'!K141)),'Price History'!K141=0),"",'Price History'!K142/'Price History'!K141-1),"")</f>
        <v>-0.13741075037047</v>
      </c>
      <c r="L141" s="76" t="n">
        <f aca="false">IFERROR(IF(OR(NOT(ISNUMBER('Price History'!L142)),NOT(ISNUMBER('Price History'!L141)),'Price History'!L141=0),"",'Price History'!L142/'Price History'!L141-1),"")</f>
        <v>0.0930863614912694</v>
      </c>
      <c r="M141" s="76" t="n">
        <f aca="false">IFERROR(IF(OR(NOT(ISNUMBER('Price History'!M142)),NOT(ISNUMBER('Price History'!M141)),'Price History'!M141=0),"",'Price History'!M142/'Price History'!M141-1),"")</f>
        <v>0.129434727697195</v>
      </c>
      <c r="N141" s="76" t="n">
        <f aca="false">IFERROR(IF(OR(NOT(ISNUMBER('Price History'!N142)),NOT(ISNUMBER('Price History'!N141)),'Price History'!N141=0),"",'Price History'!N142/'Price History'!N141-1),"")</f>
        <v>-0.0055617606163525</v>
      </c>
      <c r="O141" s="76" t="n">
        <f aca="false">IFERROR(IF(OR(NOT(ISNUMBER('Price History'!O142)),NOT(ISNUMBER('Price History'!O141)),'Price History'!O141=0),"",'Price History'!O142/'Price History'!O141-1),"")</f>
        <v>0.0297074133907738</v>
      </c>
      <c r="P141" s="76" t="str">
        <f aca="false">IFERROR(IF(OR(NOT(ISNUMBER('Price History'!P142)),NOT(ISNUMBER('Price History'!P141)),'Price History'!P141=0),"",'Price History'!P142/'Price History'!P141-1),"")</f>
        <v/>
      </c>
      <c r="Q141" s="76" t="n">
        <f aca="false">IFERROR(IF(OR(NOT(ISNUMBER('Price History'!Q142)),NOT(ISNUMBER('Price History'!Q141)),'Price History'!Q141=0),"",'Price History'!Q142/'Price History'!Q141-1),"")</f>
        <v>0.00428044280442808</v>
      </c>
      <c r="R141" s="76" t="n">
        <f aca="false">IFERROR(IF(OR(NOT(ISNUMBER('Price History'!R142)),NOT(ISNUMBER('Price History'!R141)),'Price History'!R141=0),"",'Price History'!R142/'Price History'!R141-1),"")</f>
        <v>0.0365173592372727</v>
      </c>
      <c r="S141" s="76" t="n">
        <f aca="false">IFERROR(IF(OR(NOT(ISNUMBER('Price History'!S142)),NOT(ISNUMBER('Price History'!S141)),'Price History'!S141=0),"",'Price History'!S142/'Price History'!S141-1),"")</f>
        <v>0.0749520655394806</v>
      </c>
      <c r="T141" s="76" t="n">
        <f aca="false">IFERROR(IF(OR(NOT(ISNUMBER('Price History'!T142)),NOT(ISNUMBER('Price History'!T141)),'Price History'!T141=0),"",'Price History'!T142/'Price History'!T141-1),"")</f>
        <v>-0.0050200803212852</v>
      </c>
      <c r="U141" s="76" t="str">
        <f aca="false">IFERROR(IF(OR(NOT(ISNUMBER('Price History'!U142)),NOT(ISNUMBER('Price History'!U141)),'Price History'!U141=0),"",'Price History'!U142/'Price History'!U141-1),"")</f>
        <v/>
      </c>
      <c r="W141" s="77" t="n">
        <f aca="false">'Price History'!B3+('Price History'!B158-'Price History'!B3)*0.896103896103896</f>
        <v>277.219350649351</v>
      </c>
      <c r="X141" s="77" t="n">
        <f aca="false">'Price History'!C3+('Price History'!C158-'Price History'!C3)*0.896103896103896</f>
        <v>166.156753246753</v>
      </c>
      <c r="Y141" s="77" t="n">
        <f aca="false">'Price History'!D3+('Price History'!D158-'Price History'!D3)*0.896103896103896</f>
        <v>1528.50961038961</v>
      </c>
      <c r="Z141" s="77" t="n">
        <f aca="false">'Price History'!E3+('Price History'!E158-'Price History'!E3)*0.896103896103896</f>
        <v>357.456623376623</v>
      </c>
      <c r="AA141" s="77" t="n">
        <f aca="false">'Price History'!F3+('Price History'!F158-'Price History'!F3)*0.896103896103896</f>
        <v>174.880779220779</v>
      </c>
      <c r="AB141" s="77" t="n">
        <f aca="false">'Price History'!G3+('Price History'!G158-'Price History'!G3)*0.896103896103896</f>
        <v>168.802337662338</v>
      </c>
      <c r="AC141" s="77" t="n">
        <f aca="false">'Price History'!H3+('Price History'!H158-'Price History'!H3)*0.896103896103896</f>
        <v>744.208181818182</v>
      </c>
      <c r="AD141" s="77" t="n">
        <f aca="false">'Price History'!I3+('Price History'!I158-'Price History'!I3)*0.896103896103896</f>
        <v>184.137012987013</v>
      </c>
      <c r="AE141" s="77" t="n">
        <f aca="false">'Price History'!J3+('Price History'!J158-'Price History'!J3)*0.896103896103896</f>
        <v>142.417792207792</v>
      </c>
      <c r="AF141" s="77" t="n">
        <f aca="false">'Price History'!K3+('Price History'!K158-'Price History'!K3)*0.896103896103896</f>
        <v>111.875584415584</v>
      </c>
      <c r="AG141" s="77" t="n">
        <f aca="false">'Price History'!L3+('Price History'!L158-'Price History'!L3)*0.896103896103896</f>
        <v>371.807402597403</v>
      </c>
      <c r="AH141" s="77" t="n">
        <f aca="false">'Price History'!M3+('Price History'!M158-'Price History'!M3)*0.896103896103896</f>
        <v>219.953376623377</v>
      </c>
      <c r="AI141" s="77" t="n">
        <f aca="false">'Price History'!N3+('Price History'!N158-'Price History'!N3)*0.896103896103896</f>
        <v>463.88025974026</v>
      </c>
      <c r="AJ141" s="77" t="n">
        <f aca="false">'Price History'!O3+('Price History'!O158-'Price History'!O3)*0.896103896103896</f>
        <v>120.871688311688</v>
      </c>
      <c r="AK141" s="77" t="n">
        <f aca="false">'Price History'!Q3+('Price History'!Q151-'Price History'!Q3)*0.896103896103896</f>
        <v>66.5164935064935</v>
      </c>
      <c r="AL141" s="77" t="n">
        <f aca="false">'Price History'!R3+('Price History'!R158-'Price History'!R3)*0.896103896103896</f>
        <v>57.1663636363636</v>
      </c>
      <c r="AM141" s="77" t="n">
        <f aca="false">'Price History'!S3+('Price History'!S158-'Price History'!S3)*0.896103896103896</f>
        <v>134.968701298701</v>
      </c>
      <c r="AN141" s="77" t="n">
        <f aca="false">'Price History'!T3+('Price History'!T158-'Price History'!T3)*0.896103896103896</f>
        <v>47.3680519480519</v>
      </c>
    </row>
    <row r="142" customFormat="false" ht="15" hidden="false" customHeight="true" outlineLevel="0" collapsed="false">
      <c r="A142" s="49" t="n">
        <f aca="false">IF('Price History'!A143="","",'Price History'!A143)</f>
        <v>46129</v>
      </c>
      <c r="B142" s="76" t="n">
        <f aca="false">IFERROR(IF(OR(NOT(ISNUMBER('Price History'!B143)),NOT(ISNUMBER('Price History'!B142)),'Price History'!B142=0),"",'Price History'!B143/'Price History'!B142-1),"")</f>
        <v>0.0847570445972932</v>
      </c>
      <c r="C142" s="76" t="n">
        <f aca="false">IFERROR(IF(OR(NOT(ISNUMBER('Price History'!C143)),NOT(ISNUMBER('Price History'!C142)),'Price History'!C142=0),"",'Price History'!C143/'Price History'!C142-1),"")</f>
        <v>0.114557176789956</v>
      </c>
      <c r="D142" s="76" t="n">
        <f aca="false">IFERROR(IF(OR(NOT(ISNUMBER('Price History'!D143)),NOT(ISNUMBER('Price History'!D142)),'Price History'!D142=0),"",'Price History'!D143/'Price History'!D142-1),"")</f>
        <v>-0.012501014692751</v>
      </c>
      <c r="E142" s="76" t="n">
        <f aca="false">IFERROR(IF(OR(NOT(ISNUMBER('Price History'!E143)),NOT(ISNUMBER('Price History'!E142)),'Price History'!E142=0),"",'Price History'!E143/'Price History'!E142-1),"")</f>
        <v>0.0941730588076974</v>
      </c>
      <c r="F142" s="76" t="n">
        <f aca="false">IFERROR(IF(OR(NOT(ISNUMBER('Price History'!F143)),NOT(ISNUMBER('Price History'!F142)),'Price History'!F142=0),"",'Price History'!F143/'Price History'!F142-1),"")</f>
        <v>0.118509919797383</v>
      </c>
      <c r="G142" s="76" t="n">
        <f aca="false">IFERROR(IF(OR(NOT(ISNUMBER('Price History'!G143)),NOT(ISNUMBER('Price History'!G142)),'Price History'!G142=0),"",'Price History'!G143/'Price History'!G142-1),"")</f>
        <v>0.0311402751395844</v>
      </c>
      <c r="H142" s="76" t="n">
        <f aca="false">IFERROR(IF(OR(NOT(ISNUMBER('Price History'!H143)),NOT(ISNUMBER('Price History'!H142)),'Price History'!H142=0),"",'Price History'!H143/'Price History'!H142-1),"")</f>
        <v>0.0819800756080744</v>
      </c>
      <c r="I142" s="76" t="n">
        <f aca="false">IFERROR(IF(OR(NOT(ISNUMBER('Price History'!I143)),NOT(ISNUMBER('Price History'!I142)),'Price History'!I142=0),"",'Price History'!I143/'Price History'!I142-1),"")</f>
        <v>0.0691830567778191</v>
      </c>
      <c r="J142" s="76" t="n">
        <f aca="false">IFERROR(IF(OR(NOT(ISNUMBER('Price History'!J143)),NOT(ISNUMBER('Price History'!J142)),'Price History'!J142=0),"",'Price History'!J143/'Price History'!J142-1),"")</f>
        <v>0.0576572636489541</v>
      </c>
      <c r="K142" s="76" t="n">
        <f aca="false">IFERROR(IF(OR(NOT(ISNUMBER('Price History'!K143)),NOT(ISNUMBER('Price History'!K142)),'Price History'!K142=0),"",'Price History'!K143/'Price History'!K142-1),"")</f>
        <v>0.143136029985944</v>
      </c>
      <c r="L142" s="76" t="n">
        <f aca="false">IFERROR(IF(OR(NOT(ISNUMBER('Price History'!L143)),NOT(ISNUMBER('Price History'!L142)),'Price History'!L142=0),"",'Price History'!L143/'Price History'!L142-1),"")</f>
        <v>-0.000269832703723716</v>
      </c>
      <c r="M142" s="76" t="n">
        <f aca="false">IFERROR(IF(OR(NOT(ISNUMBER('Price History'!M143)),NOT(ISNUMBER('Price History'!M142)),'Price History'!M142=0),"",'Price History'!M143/'Price History'!M142-1),"")</f>
        <v>0.041442174104571</v>
      </c>
      <c r="N142" s="76" t="n">
        <f aca="false">IFERROR(IF(OR(NOT(ISNUMBER('Price History'!N143)),NOT(ISNUMBER('Price History'!N142)),'Price History'!N142=0),"",'Price History'!N143/'Price History'!N142-1),"")</f>
        <v>0.0113003415316204</v>
      </c>
      <c r="O142" s="76" t="n">
        <f aca="false">IFERROR(IF(OR(NOT(ISNUMBER('Price History'!O143)),NOT(ISNUMBER('Price History'!O142)),'Price History'!O142=0),"",'Price History'!O143/'Price History'!O142-1),"")</f>
        <v>0.0243179639152793</v>
      </c>
      <c r="P142" s="76" t="str">
        <f aca="false">IFERROR(IF(OR(NOT(ISNUMBER('Price History'!P143)),NOT(ISNUMBER('Price History'!P142)),'Price History'!P142=0),"",'Price History'!P143/'Price History'!P142-1),"")</f>
        <v/>
      </c>
      <c r="Q142" s="76" t="n">
        <f aca="false">IFERROR(IF(OR(NOT(ISNUMBER('Price History'!Q143)),NOT(ISNUMBER('Price History'!Q142)),'Price History'!Q142=0),"",'Price History'!Q143/'Price History'!Q142-1),"")</f>
        <v>-0.0105820105820108</v>
      </c>
      <c r="R142" s="76" t="n">
        <f aca="false">IFERROR(IF(OR(NOT(ISNUMBER('Price History'!R143)),NOT(ISNUMBER('Price History'!R142)),'Price History'!R142=0),"",'Price History'!R143/'Price History'!R142-1),"")</f>
        <v>0.0180492884415133</v>
      </c>
      <c r="S142" s="76" t="n">
        <f aca="false">IFERROR(IF(OR(NOT(ISNUMBER('Price History'!S143)),NOT(ISNUMBER('Price History'!S142)),'Price History'!S142=0),"",'Price History'!S143/'Price History'!S142-1),"")</f>
        <v>0.0402140424841901</v>
      </c>
      <c r="T142" s="76" t="n">
        <f aca="false">IFERROR(IF(OR(NOT(ISNUMBER('Price History'!T143)),NOT(ISNUMBER('Price History'!T142)),'Price History'!T142=0),"",'Price History'!T143/'Price History'!T142-1),"")</f>
        <v>0.0534813319878908</v>
      </c>
      <c r="U142" s="76" t="str">
        <f aca="false">IFERROR(IF(OR(NOT(ISNUMBER('Price History'!U143)),NOT(ISNUMBER('Price History'!U142)),'Price History'!U142=0),"",'Price History'!U143/'Price History'!U142-1),"")</f>
        <v/>
      </c>
      <c r="W142" s="77" t="n">
        <f aca="false">'Price History'!B3+('Price History'!B158-'Price History'!B3)*0.902597402597403</f>
        <v>275.543766233766</v>
      </c>
      <c r="X142" s="77" t="n">
        <f aca="false">'Price History'!C3+('Price History'!C158-'Price History'!C3)*0.902597402597403</f>
        <v>167.043831168831</v>
      </c>
      <c r="Y142" s="77" t="n">
        <f aca="false">'Price History'!D3+('Price History'!D158-'Price History'!D3)*0.902597402597403</f>
        <v>1534.79025974026</v>
      </c>
      <c r="Z142" s="77" t="n">
        <f aca="false">'Price History'!E3+('Price History'!E158-'Price History'!E3)*0.902597402597403</f>
        <v>359.445584415585</v>
      </c>
      <c r="AA142" s="77" t="n">
        <f aca="false">'Price History'!F3+('Price History'!F158-'Price History'!F3)*0.902597402597403</f>
        <v>175.879480519481</v>
      </c>
      <c r="AB142" s="77" t="n">
        <f aca="false">'Price History'!G3+('Price History'!G158-'Price History'!G3)*0.902597402597403</f>
        <v>169.678441558442</v>
      </c>
      <c r="AC142" s="77" t="n">
        <f aca="false">'Price History'!H3+('Price History'!H158-'Price History'!H3)*0.902597402597403</f>
        <v>749.134545454546</v>
      </c>
      <c r="AD142" s="77" t="n">
        <f aca="false">'Price History'!I3+('Price History'!I158-'Price History'!I3)*0.902597402597403</f>
        <v>185.175324675325</v>
      </c>
      <c r="AE142" s="77" t="n">
        <f aca="false">'Price History'!J3+('Price History'!J158-'Price History'!J3)*0.902597402597403</f>
        <v>142.554805194805</v>
      </c>
      <c r="AF142" s="77" t="n">
        <f aca="false">'Price History'!K3+('Price History'!K158-'Price History'!K3)*0.902597402597403</f>
        <v>112.57461038961</v>
      </c>
      <c r="AG142" s="77" t="n">
        <f aca="false">'Price History'!L3+('Price History'!L158-'Price History'!L3)*0.902597402597403</f>
        <v>373.835064935065</v>
      </c>
      <c r="AH142" s="77" t="n">
        <f aca="false">'Price History'!M3+('Price History'!M158-'Price History'!M3)*0.902597402597403</f>
        <v>221.304415584416</v>
      </c>
      <c r="AI142" s="77" t="n">
        <f aca="false">'Price History'!N3+('Price History'!N158-'Price History'!N3)*0.902597402597403</f>
        <v>464.706493506494</v>
      </c>
      <c r="AJ142" s="77" t="n">
        <f aca="false">'Price History'!O3+('Price History'!O158-'Price History'!O3)*0.902597402597403</f>
        <v>121.147207792208</v>
      </c>
      <c r="AK142" s="77" t="n">
        <f aca="false">'Price History'!Q3+('Price History'!Q151-'Price History'!Q3)*0.902597402597403</f>
        <v>66.6373376623377</v>
      </c>
      <c r="AL142" s="77" t="n">
        <f aca="false">'Price History'!R3+('Price History'!R158-'Price History'!R3)*0.902597402597403</f>
        <v>57.2340909090909</v>
      </c>
      <c r="AM142" s="77" t="n">
        <f aca="false">'Price History'!S3+('Price History'!S158-'Price History'!S3)*0.902597402597403</f>
        <v>135.522532467533</v>
      </c>
      <c r="AN142" s="77" t="n">
        <f aca="false">'Price History'!T3+('Price History'!T158-'Price History'!T3)*0.902597402597403</f>
        <v>47.5162987012987</v>
      </c>
    </row>
    <row r="143" customFormat="false" ht="15" hidden="false" customHeight="true" outlineLevel="0" collapsed="false">
      <c r="A143" s="49" t="n">
        <f aca="false">IF('Price History'!A144="","",'Price History'!A144)</f>
        <v>46136</v>
      </c>
      <c r="B143" s="76" t="n">
        <f aca="false">IFERROR(IF(OR(NOT(ISNUMBER('Price History'!B144)),NOT(ISNUMBER('Price History'!B143)),'Price History'!B143=0),"",'Price History'!B144/'Price History'!B143-1),"")</f>
        <v>0.0040499079566374</v>
      </c>
      <c r="C143" s="76" t="n">
        <f aca="false">IFERROR(IF(OR(NOT(ISNUMBER('Price History'!C144)),NOT(ISNUMBER('Price History'!C143)),'Price History'!C143=0),"",'Price History'!C144/'Price History'!C143-1),"")</f>
        <v>0.0772087925470377</v>
      </c>
      <c r="D143" s="76" t="n">
        <f aca="false">IFERROR(IF(OR(NOT(ISNUMBER('Price History'!D144)),NOT(ISNUMBER('Price History'!D143)),'Price History'!D143=0),"",'Price History'!D144/'Price History'!D143-1),"")</f>
        <v>-0.00143855322646935</v>
      </c>
      <c r="E143" s="76" t="n">
        <f aca="false">IFERROR(IF(OR(NOT(ISNUMBER('Price History'!E144)),NOT(ISNUMBER('Price History'!E143)),'Price History'!E143=0),"",'Price History'!E144/'Price History'!E143-1),"")</f>
        <v>0.0398976730457026</v>
      </c>
      <c r="F143" s="76" t="n">
        <f aca="false">IFERROR(IF(OR(NOT(ISNUMBER('Price History'!F144)),NOT(ISNUMBER('Price History'!F143)),'Price History'!F143=0),"",'Price History'!F144/'Price History'!F143-1),"")</f>
        <v>0.0569865081611474</v>
      </c>
      <c r="G143" s="76" t="n">
        <f aca="false">IFERROR(IF(OR(NOT(ISNUMBER('Price History'!G144)),NOT(ISNUMBER('Price History'!G143)),'Price History'!G143=0),"",'Price History'!G144/'Price History'!G143-1),"")</f>
        <v>0.0801607681143242</v>
      </c>
      <c r="H143" s="76" t="n">
        <f aca="false">IFERROR(IF(OR(NOT(ISNUMBER('Price History'!H144)),NOT(ISNUMBER('Price History'!H143)),'Price History'!H143=0),"",'Price History'!H144/'Price History'!H143-1),"")</f>
        <v>0.0915243808644826</v>
      </c>
      <c r="I143" s="76" t="n">
        <f aca="false">IFERROR(IF(OR(NOT(ISNUMBER('Price History'!I144)),NOT(ISNUMBER('Price History'!I143)),'Price History'!I143=0),"",'Price History'!I144/'Price History'!I143-1),"")</f>
        <v>0.0326755255850852</v>
      </c>
      <c r="J143" s="76" t="n">
        <f aca="false">IFERROR(IF(OR(NOT(ISNUMBER('Price History'!J144)),NOT(ISNUMBER('Price History'!J143)),'Price History'!J143=0),"",'Price History'!J144/'Price History'!J143-1),"")</f>
        <v>-0.0206753962784286</v>
      </c>
      <c r="K143" s="76" t="n">
        <f aca="false">IFERROR(IF(OR(NOT(ISNUMBER('Price History'!K144)),NOT(ISNUMBER('Price History'!K143)),'Price History'!K143=0),"",'Price History'!K144/'Price History'!K143-1),"")</f>
        <v>-0.0225425233964067</v>
      </c>
      <c r="L143" s="76" t="n">
        <f aca="false">IFERROR(IF(OR(NOT(ISNUMBER('Price History'!L144)),NOT(ISNUMBER('Price History'!L143)),'Price History'!L143=0),"",'Price History'!L144/'Price History'!L143-1),"")</f>
        <v>0.0862618083670714</v>
      </c>
      <c r="M143" s="76" t="n">
        <f aca="false">IFERROR(IF(OR(NOT(ISNUMBER('Price History'!M144)),NOT(ISNUMBER('Price History'!M143)),'Price History'!M143=0),"",'Price History'!M144/'Price History'!M143-1),"")</f>
        <v>0.0524500553133338</v>
      </c>
      <c r="N143" s="76" t="n">
        <f aca="false">IFERROR(IF(OR(NOT(ISNUMBER('Price History'!N144)),NOT(ISNUMBER('Price History'!N143)),'Price History'!N143=0),"",'Price History'!N144/'Price History'!N143-1),"")</f>
        <v>-0.0247280145058929</v>
      </c>
      <c r="O143" s="76" t="n">
        <f aca="false">IFERROR(IF(OR(NOT(ISNUMBER('Price History'!O144)),NOT(ISNUMBER('Price History'!O143)),'Price History'!O143=0),"",'Price History'!O144/'Price History'!O143-1),"")</f>
        <v>0.0122532334921714</v>
      </c>
      <c r="P143" s="76" t="str">
        <f aca="false">IFERROR(IF(OR(NOT(ISNUMBER('Price History'!P144)),NOT(ISNUMBER('Price History'!P143)),'Price History'!P143=0),"",'Price History'!P144/'Price History'!P143-1),"")</f>
        <v/>
      </c>
      <c r="Q143" s="76" t="n">
        <f aca="false">IFERROR(IF(OR(NOT(ISNUMBER('Price History'!Q144)),NOT(ISNUMBER('Price History'!Q143)),'Price History'!Q143=0),"",'Price History'!Q144/'Price History'!Q143-1),"")</f>
        <v>0.000445632798574014</v>
      </c>
      <c r="R143" s="76" t="n">
        <f aca="false">IFERROR(IF(OR(NOT(ISNUMBER('Price History'!R144)),NOT(ISNUMBER('Price History'!R143)),'Price History'!R143=0),"",'Price History'!R144/'Price History'!R143-1),"")</f>
        <v>0.00562563927719073</v>
      </c>
      <c r="S143" s="76" t="n">
        <f aca="false">IFERROR(IF(OR(NOT(ISNUMBER('Price History'!S144)),NOT(ISNUMBER('Price History'!S143)),'Price History'!S143=0),"",'Price History'!S144/'Price History'!S143-1),"")</f>
        <v>0.0250974279033516</v>
      </c>
      <c r="T143" s="76" t="n">
        <f aca="false">IFERROR(IF(OR(NOT(ISNUMBER('Price History'!T144)),NOT(ISNUMBER('Price History'!T143)),'Price History'!T143=0),"",'Price History'!T144/'Price History'!T143-1),"")</f>
        <v>-0.00574712643678144</v>
      </c>
      <c r="U143" s="76" t="str">
        <f aca="false">IFERROR(IF(OR(NOT(ISNUMBER('Price History'!U144)),NOT(ISNUMBER('Price History'!U143)),'Price History'!U143=0),"",'Price History'!U144/'Price History'!U143-1),"")</f>
        <v/>
      </c>
      <c r="W143" s="77" t="n">
        <f aca="false">'Price History'!B3+('Price History'!B158-'Price History'!B3)*0.909090909090909</f>
        <v>273.868181818182</v>
      </c>
      <c r="X143" s="77" t="n">
        <f aca="false">'Price History'!C3+('Price History'!C158-'Price History'!C3)*0.909090909090909</f>
        <v>167.930909090909</v>
      </c>
      <c r="Y143" s="77" t="n">
        <f aca="false">'Price History'!D3+('Price History'!D158-'Price History'!D3)*0.909090909090909</f>
        <v>1541.07090909091</v>
      </c>
      <c r="Z143" s="77" t="n">
        <f aca="false">'Price History'!E3+('Price History'!E158-'Price History'!E3)*0.909090909090909</f>
        <v>361.434545454545</v>
      </c>
      <c r="AA143" s="77" t="n">
        <f aca="false">'Price History'!F3+('Price History'!F158-'Price History'!F3)*0.909090909090909</f>
        <v>176.878181818182</v>
      </c>
      <c r="AB143" s="77" t="n">
        <f aca="false">'Price History'!G3+('Price History'!G158-'Price History'!G3)*0.909090909090909</f>
        <v>170.554545454545</v>
      </c>
      <c r="AC143" s="77" t="n">
        <f aca="false">'Price History'!H3+('Price History'!H158-'Price History'!H3)*0.909090909090909</f>
        <v>754.060909090909</v>
      </c>
      <c r="AD143" s="77" t="n">
        <f aca="false">'Price History'!I3+('Price History'!I158-'Price History'!I3)*0.909090909090909</f>
        <v>186.213636363636</v>
      </c>
      <c r="AE143" s="77" t="n">
        <f aca="false">'Price History'!J3+('Price History'!J158-'Price History'!J3)*0.909090909090909</f>
        <v>142.691818181818</v>
      </c>
      <c r="AF143" s="77" t="n">
        <f aca="false">'Price History'!K3+('Price History'!K158-'Price History'!K3)*0.909090909090909</f>
        <v>113.273636363636</v>
      </c>
      <c r="AG143" s="77" t="n">
        <f aca="false">'Price History'!L3+('Price History'!L158-'Price History'!L3)*0.909090909090909</f>
        <v>375.862727272727</v>
      </c>
      <c r="AH143" s="77" t="n">
        <f aca="false">'Price History'!M3+('Price History'!M158-'Price History'!M3)*0.909090909090909</f>
        <v>222.655454545455</v>
      </c>
      <c r="AI143" s="77" t="n">
        <f aca="false">'Price History'!N3+('Price History'!N158-'Price History'!N3)*0.909090909090909</f>
        <v>465.532727272727</v>
      </c>
      <c r="AJ143" s="77" t="n">
        <f aca="false">'Price History'!O3+('Price History'!O158-'Price History'!O3)*0.909090909090909</f>
        <v>121.422727272727</v>
      </c>
      <c r="AK143" s="77" t="n">
        <f aca="false">'Price History'!Q3+('Price History'!Q151-'Price History'!Q3)*0.909090909090909</f>
        <v>66.7581818181818</v>
      </c>
      <c r="AL143" s="77" t="n">
        <f aca="false">'Price History'!R3+('Price History'!R158-'Price History'!R3)*0.909090909090909</f>
        <v>57.3018181818182</v>
      </c>
      <c r="AM143" s="77" t="n">
        <f aca="false">'Price History'!S3+('Price History'!S158-'Price History'!S3)*0.909090909090909</f>
        <v>136.076363636364</v>
      </c>
      <c r="AN143" s="77" t="n">
        <f aca="false">'Price History'!T3+('Price History'!T158-'Price History'!T3)*0.909090909090909</f>
        <v>47.6645454545455</v>
      </c>
    </row>
    <row r="144" customFormat="false" ht="15" hidden="false" customHeight="true" outlineLevel="0" collapsed="false">
      <c r="A144" s="49" t="n">
        <f aca="false">IF('Price History'!A145="","",'Price History'!A145)</f>
        <v>46143</v>
      </c>
      <c r="B144" s="76" t="n">
        <f aca="false">IFERROR(IF(OR(NOT(ISNUMBER('Price History'!B145)),NOT(ISNUMBER('Price History'!B144)),'Price History'!B144=0),"",'Price History'!B145/'Price History'!B144-1),"")</f>
        <v>0.0214716427640156</v>
      </c>
      <c r="C144" s="76" t="n">
        <f aca="false">IFERROR(IF(OR(NOT(ISNUMBER('Price History'!C145)),NOT(ISNUMBER('Price History'!C144)),'Price History'!C144=0),"",'Price History'!C145/'Price History'!C144-1),"")</f>
        <v>-0.0237974111129954</v>
      </c>
      <c r="D144" s="76" t="n">
        <f aca="false">IFERROR(IF(OR(NOT(ISNUMBER('Price History'!D145)),NOT(ISNUMBER('Price History'!D144)),'Price History'!D144=0),"",'Price History'!D145/'Price History'!D144-1),"")</f>
        <v>-0.0210468546340126</v>
      </c>
      <c r="E144" s="76" t="n">
        <f aca="false">IFERROR(IF(OR(NOT(ISNUMBER('Price History'!E145)),NOT(ISNUMBER('Price History'!E144)),'Price History'!E144=0),"",'Price History'!E145/'Price History'!E144-1),"")</f>
        <v>-0.00350080423881172</v>
      </c>
      <c r="F144" s="76" t="n">
        <f aca="false">IFERROR(IF(OR(NOT(ISNUMBER('Price History'!F145)),NOT(ISNUMBER('Price History'!F144)),'Price History'!F144=0),"",'Price History'!F145/'Price History'!F144-1),"")</f>
        <v>0.0167812193162544</v>
      </c>
      <c r="G144" s="76" t="n">
        <f aca="false">IFERROR(IF(OR(NOT(ISNUMBER('Price History'!G145)),NOT(ISNUMBER('Price History'!G144)),'Price History'!G144=0),"",'Price History'!G145/'Price History'!G144-1),"")</f>
        <v>-0.107855297157623</v>
      </c>
      <c r="H144" s="76" t="n">
        <f aca="false">IFERROR(IF(OR(NOT(ISNUMBER('Price History'!H145)),NOT(ISNUMBER('Price History'!H144)),'Price History'!H144=0),"",'Price History'!H145/'Price History'!H144-1),"")</f>
        <v>0.0915807698502174</v>
      </c>
      <c r="I144" s="76" t="n">
        <f aca="false">IFERROR(IF(OR(NOT(ISNUMBER('Price History'!I145)),NOT(ISNUMBER('Price History'!I144)),'Price History'!I144=0),"",'Price History'!I145/'Price History'!I144-1),"")</f>
        <v>-0.0471503337014454</v>
      </c>
      <c r="J144" s="76" t="n">
        <f aca="false">IFERROR(IF(OR(NOT(ISNUMBER('Price History'!J145)),NOT(ISNUMBER('Price History'!J144)),'Price History'!J144=0),"",'Price History'!J145/'Price History'!J144-1),"")</f>
        <v>-0.00485573539760731</v>
      </c>
      <c r="K144" s="76" t="n">
        <f aca="false">IFERROR(IF(OR(NOT(ISNUMBER('Price History'!K145)),NOT(ISNUMBER('Price History'!K144)),'Price History'!K144=0),"",'Price History'!K145/'Price History'!K144-1),"")</f>
        <v>0.00684883639667344</v>
      </c>
      <c r="L144" s="76" t="n">
        <f aca="false">IFERROR(IF(OR(NOT(ISNUMBER('Price History'!L145)),NOT(ISNUMBER('Price History'!L144)),'Price History'!L144=0),"",'Price History'!L145/'Price History'!L144-1),"")</f>
        <v>-0.0119018039059782</v>
      </c>
      <c r="M144" s="76" t="n">
        <f aca="false">IFERROR(IF(OR(NOT(ISNUMBER('Price History'!M145)),NOT(ISNUMBER('Price History'!M144)),'Price History'!M144=0),"",'Price History'!M145/'Price History'!M144-1),"")</f>
        <v>0.01499412601249</v>
      </c>
      <c r="N144" s="76" t="n">
        <f aca="false">IFERROR(IF(OR(NOT(ISNUMBER('Price History'!N145)),NOT(ISNUMBER('Price History'!N144)),'Price History'!N144=0),"",'Price History'!N145/'Price History'!N144-1),"")</f>
        <v>-0.0148039694159753</v>
      </c>
      <c r="O144" s="76" t="n">
        <f aca="false">IFERROR(IF(OR(NOT(ISNUMBER('Price History'!O145)),NOT(ISNUMBER('Price History'!O144)),'Price History'!O144=0),"",'Price History'!O145/'Price History'!O144-1),"")</f>
        <v>0.00840618695359785</v>
      </c>
      <c r="P144" s="76" t="str">
        <f aca="false">IFERROR(IF(OR(NOT(ISNUMBER('Price History'!P145)),NOT(ISNUMBER('Price History'!P144)),'Price History'!P144=0),"",'Price History'!P145/'Price History'!P144-1),"")</f>
        <v/>
      </c>
      <c r="Q144" s="76" t="n">
        <f aca="false">IFERROR(IF(OR(NOT(ISNUMBER('Price History'!Q145)),NOT(ISNUMBER('Price History'!Q144)),'Price History'!Q144=0),"",'Price History'!Q145/'Price History'!Q144-1),"")</f>
        <v>0.00846325167037865</v>
      </c>
      <c r="R144" s="76" t="n">
        <f aca="false">IFERROR(IF(OR(NOT(ISNUMBER('Price History'!R145)),NOT(ISNUMBER('Price History'!R144)),'Price History'!R144=0),"",'Price History'!R145/'Price History'!R144-1),"")</f>
        <v>-0.00220376334972039</v>
      </c>
      <c r="S144" s="76" t="n">
        <f aca="false">IFERROR(IF(OR(NOT(ISNUMBER('Price History'!S145)),NOT(ISNUMBER('Price History'!S144)),'Price History'!S144=0),"",'Price History'!S145/'Price History'!S144-1),"")</f>
        <v>0.0220498783454985</v>
      </c>
      <c r="T144" s="76" t="n">
        <f aca="false">IFERROR(IF(OR(NOT(ISNUMBER('Price History'!T145)),NOT(ISNUMBER('Price History'!T144)),'Price History'!T144=0),"",'Price History'!T145/'Price History'!T144-1),"")</f>
        <v>0.0257707129094413</v>
      </c>
      <c r="U144" s="76" t="str">
        <f aca="false">IFERROR(IF(OR(NOT(ISNUMBER('Price History'!U145)),NOT(ISNUMBER('Price History'!U144)),'Price History'!U144=0),"",'Price History'!U145/'Price History'!U144-1),"")</f>
        <v/>
      </c>
      <c r="W144" s="77" t="n">
        <f aca="false">'Price History'!B3+('Price History'!B158-'Price History'!B3)*0.915584415584416</f>
        <v>272.192597402597</v>
      </c>
      <c r="X144" s="77" t="n">
        <f aca="false">'Price History'!C3+('Price History'!C158-'Price History'!C3)*0.915584415584416</f>
        <v>168.817987012987</v>
      </c>
      <c r="Y144" s="77" t="n">
        <f aca="false">'Price History'!D3+('Price History'!D158-'Price History'!D3)*0.915584415584416</f>
        <v>1547.35155844156</v>
      </c>
      <c r="Z144" s="77" t="n">
        <f aca="false">'Price History'!E3+('Price History'!E158-'Price History'!E3)*0.915584415584416</f>
        <v>363.423506493507</v>
      </c>
      <c r="AA144" s="77" t="n">
        <f aca="false">'Price History'!F3+('Price History'!F158-'Price History'!F3)*0.915584415584416</f>
        <v>177.876883116883</v>
      </c>
      <c r="AB144" s="77" t="n">
        <f aca="false">'Price History'!G3+('Price History'!G158-'Price History'!G3)*0.915584415584416</f>
        <v>171.430649350649</v>
      </c>
      <c r="AC144" s="77" t="n">
        <f aca="false">'Price History'!H3+('Price History'!H158-'Price History'!H3)*0.915584415584416</f>
        <v>758.987272727273</v>
      </c>
      <c r="AD144" s="77" t="n">
        <f aca="false">'Price History'!I3+('Price History'!I158-'Price History'!I3)*0.915584415584416</f>
        <v>187.251948051948</v>
      </c>
      <c r="AE144" s="77" t="n">
        <f aca="false">'Price History'!J3+('Price History'!J158-'Price History'!J3)*0.915584415584416</f>
        <v>142.828831168831</v>
      </c>
      <c r="AF144" s="77" t="n">
        <f aca="false">'Price History'!K3+('Price History'!K158-'Price History'!K3)*0.915584415584416</f>
        <v>113.972662337662</v>
      </c>
      <c r="AG144" s="77" t="n">
        <f aca="false">'Price History'!L3+('Price History'!L158-'Price History'!L3)*0.915584415584416</f>
        <v>377.89038961039</v>
      </c>
      <c r="AH144" s="77" t="n">
        <f aca="false">'Price History'!M3+('Price History'!M158-'Price History'!M3)*0.915584415584416</f>
        <v>224.006493506494</v>
      </c>
      <c r="AI144" s="77" t="n">
        <f aca="false">'Price History'!N3+('Price History'!N158-'Price History'!N3)*0.915584415584416</f>
        <v>466.358961038961</v>
      </c>
      <c r="AJ144" s="77" t="n">
        <f aca="false">'Price History'!O3+('Price History'!O158-'Price History'!O3)*0.915584415584416</f>
        <v>121.698246753247</v>
      </c>
      <c r="AK144" s="77" t="n">
        <f aca="false">'Price History'!Q3+('Price History'!Q151-'Price History'!Q3)*0.915584415584416</f>
        <v>66.879025974026</v>
      </c>
      <c r="AL144" s="77" t="n">
        <f aca="false">'Price History'!R3+('Price History'!R158-'Price History'!R3)*0.915584415584416</f>
        <v>57.3695454545455</v>
      </c>
      <c r="AM144" s="77" t="n">
        <f aca="false">'Price History'!S3+('Price History'!S158-'Price History'!S3)*0.915584415584416</f>
        <v>136.630194805195</v>
      </c>
      <c r="AN144" s="77" t="n">
        <f aca="false">'Price History'!T3+('Price History'!T158-'Price History'!T3)*0.915584415584416</f>
        <v>47.8127922077922</v>
      </c>
    </row>
    <row r="145" customFormat="false" ht="15" hidden="false" customHeight="true" outlineLevel="0" collapsed="false">
      <c r="A145" s="49" t="n">
        <f aca="false">IF('Price History'!A146="","",'Price History'!A146)</f>
        <v>46150</v>
      </c>
      <c r="B145" s="76" t="n">
        <f aca="false">IFERROR(IF(OR(NOT(ISNUMBER('Price History'!B146)),NOT(ISNUMBER('Price History'!B145)),'Price History'!B145=0),"",'Price History'!B146/'Price History'!B145-1),"")</f>
        <v>0.00929360615850983</v>
      </c>
      <c r="C145" s="76" t="n">
        <f aca="false">IFERROR(IF(OR(NOT(ISNUMBER('Price History'!C146)),NOT(ISNUMBER('Price History'!C145)),'Price History'!C145=0),"",'Price History'!C146/'Price History'!C145-1),"")</f>
        <v>-0.179096699478865</v>
      </c>
      <c r="D145" s="76" t="n">
        <f aca="false">IFERROR(IF(OR(NOT(ISNUMBER('Price History'!D146)),NOT(ISNUMBER('Price History'!D145)),'Price History'!D145=0),"",'Price History'!D146/'Price History'!D145-1),"")</f>
        <v>0.115625569368334</v>
      </c>
      <c r="E145" s="76" t="n">
        <f aca="false">IFERROR(IF(OR(NOT(ISNUMBER('Price History'!E146)),NOT(ISNUMBER('Price History'!E145)),'Price History'!E145=0),"",'Price History'!E146/'Price History'!E145-1),"")</f>
        <v>0.0206988226357767</v>
      </c>
      <c r="F145" s="76" t="n">
        <f aca="false">IFERROR(IF(OR(NOT(ISNUMBER('Price History'!F146)),NOT(ISNUMBER('Price History'!F145)),'Price History'!F145=0),"",'Price History'!F146/'Price History'!F145-1),"")</f>
        <v>0.158282854885436</v>
      </c>
      <c r="G145" s="76" t="n">
        <f aca="false">IFERROR(IF(OR(NOT(ISNUMBER('Price History'!G146)),NOT(ISNUMBER('Price History'!G145)),'Price History'!G145=0),"",'Price History'!G146/'Price History'!G145-1),"")</f>
        <v>0.0827781961420377</v>
      </c>
      <c r="H145" s="76" t="n">
        <f aca="false">IFERROR(IF(OR(NOT(ISNUMBER('Price History'!H146)),NOT(ISNUMBER('Price History'!H145)),'Price History'!H145=0),"",'Price History'!H146/'Price History'!H145-1),"")</f>
        <v>0.377344571291566</v>
      </c>
      <c r="I145" s="76" t="n">
        <f aca="false">IFERROR(IF(OR(NOT(ISNUMBER('Price History'!I146)),NOT(ISNUMBER('Price History'!I145)),'Price History'!I145=0),"",'Price History'!I146/'Price History'!I145-1),"")</f>
        <v>0.0844041320231797</v>
      </c>
      <c r="J145" s="76" t="n">
        <f aca="false">IFERROR(IF(OR(NOT(ISNUMBER('Price History'!J146)),NOT(ISNUMBER('Price History'!J145)),'Price History'!J145=0),"",'Price History'!J146/'Price History'!J145-1),"")</f>
        <v>0.0189519835938052</v>
      </c>
      <c r="K145" s="76" t="n">
        <f aca="false">IFERROR(IF(OR(NOT(ISNUMBER('Price History'!K146)),NOT(ISNUMBER('Price History'!K145)),'Price History'!K145=0),"",'Price History'!K146/'Price History'!K145-1),"")</f>
        <v>-0.0435205108627749</v>
      </c>
      <c r="L145" s="76" t="n">
        <f aca="false">IFERROR(IF(OR(NOT(ISNUMBER('Price History'!L146)),NOT(ISNUMBER('Price History'!L145)),'Price History'!L145=0),"",'Price History'!L146/'Price History'!L145-1),"")</f>
        <v>0.0352302160082481</v>
      </c>
      <c r="M145" s="76" t="n">
        <f aca="false">IFERROR(IF(OR(NOT(ISNUMBER('Price History'!M146)),NOT(ISNUMBER('Price History'!M145)),'Price History'!M145=0),"",'Price History'!M146/'Price History'!M145-1),"")</f>
        <v>0.0355152142791875</v>
      </c>
      <c r="N145" s="76" t="n">
        <f aca="false">IFERROR(IF(OR(NOT(ISNUMBER('Price History'!N146)),NOT(ISNUMBER('Price History'!N145)),'Price History'!N145=0),"",'Price History'!N146/'Price History'!N145-1),"")</f>
        <v>0.0139177203245895</v>
      </c>
      <c r="O145" s="76" t="n">
        <f aca="false">IFERROR(IF(OR(NOT(ISNUMBER('Price History'!O146)),NOT(ISNUMBER('Price History'!O145)),'Price History'!O145=0),"",'Price History'!O146/'Price History'!O145-1),"")</f>
        <v>-0.00100033344448136</v>
      </c>
      <c r="P145" s="76" t="str">
        <f aca="false">IFERROR(IF(OR(NOT(ISNUMBER('Price History'!P146)),NOT(ISNUMBER('Price History'!P145)),'Price History'!P145=0),"",'Price History'!P146/'Price History'!P145-1),"")</f>
        <v/>
      </c>
      <c r="Q145" s="76" t="n">
        <f aca="false">IFERROR(IF(OR(NOT(ISNUMBER('Price History'!Q146)),NOT(ISNUMBER('Price History'!Q145)),'Price History'!Q145=0),"",'Price History'!Q146/'Price History'!Q145-1),"")</f>
        <v>-0.0123674911660778</v>
      </c>
      <c r="R145" s="76" t="n">
        <f aca="false">IFERROR(IF(OR(NOT(ISNUMBER('Price History'!R146)),NOT(ISNUMBER('Price History'!R145)),'Price History'!R145=0),"",'Price History'!R146/'Price History'!R145-1),"")</f>
        <v>0.0127420998980632</v>
      </c>
      <c r="S145" s="76" t="n">
        <f aca="false">IFERROR(IF(OR(NOT(ISNUMBER('Price History'!S146)),NOT(ISNUMBER('Price History'!S145)),'Price History'!S145=0),"",'Price History'!S146/'Price History'!S145-1),"")</f>
        <v>0.0698556762386551</v>
      </c>
      <c r="T145" s="76" t="n">
        <f aca="false">IFERROR(IF(OR(NOT(ISNUMBER('Price History'!T146)),NOT(ISNUMBER('Price History'!T145)),'Price History'!T145=0),"",'Price History'!T146/'Price History'!T145-1),"")</f>
        <v>0.0241840807701337</v>
      </c>
      <c r="U145" s="76" t="str">
        <f aca="false">IFERROR(IF(OR(NOT(ISNUMBER('Price History'!U146)),NOT(ISNUMBER('Price History'!U145)),'Price History'!U145=0),"",'Price History'!U146/'Price History'!U145-1),"")</f>
        <v/>
      </c>
      <c r="W145" s="77" t="n">
        <f aca="false">'Price History'!B3+('Price History'!B158-'Price History'!B3)*0.922077922077922</f>
        <v>270.517012987013</v>
      </c>
      <c r="X145" s="77" t="n">
        <f aca="false">'Price History'!C3+('Price History'!C158-'Price History'!C3)*0.922077922077922</f>
        <v>169.705064935065</v>
      </c>
      <c r="Y145" s="77" t="n">
        <f aca="false">'Price History'!D3+('Price History'!D158-'Price History'!D3)*0.922077922077922</f>
        <v>1553.63220779221</v>
      </c>
      <c r="Z145" s="77" t="n">
        <f aca="false">'Price History'!E3+('Price History'!E158-'Price History'!E3)*0.922077922077922</f>
        <v>365.412467532468</v>
      </c>
      <c r="AA145" s="77" t="n">
        <f aca="false">'Price History'!F3+('Price History'!F158-'Price History'!F3)*0.922077922077922</f>
        <v>178.875584415584</v>
      </c>
      <c r="AB145" s="77" t="n">
        <f aca="false">'Price History'!G3+('Price History'!G158-'Price History'!G3)*0.922077922077922</f>
        <v>172.306753246753</v>
      </c>
      <c r="AC145" s="77" t="n">
        <f aca="false">'Price History'!H3+('Price History'!H158-'Price History'!H3)*0.922077922077922</f>
        <v>763.913636363636</v>
      </c>
      <c r="AD145" s="77" t="n">
        <f aca="false">'Price History'!I3+('Price History'!I158-'Price History'!I3)*0.922077922077922</f>
        <v>188.29025974026</v>
      </c>
      <c r="AE145" s="77" t="n">
        <f aca="false">'Price History'!J3+('Price History'!J158-'Price History'!J3)*0.922077922077922</f>
        <v>142.965844155844</v>
      </c>
      <c r="AF145" s="77" t="n">
        <f aca="false">'Price History'!K3+('Price History'!K158-'Price History'!K3)*0.922077922077922</f>
        <v>114.671688311688</v>
      </c>
      <c r="AG145" s="77" t="n">
        <f aca="false">'Price History'!L3+('Price History'!L158-'Price History'!L3)*0.922077922077922</f>
        <v>379.918051948052</v>
      </c>
      <c r="AH145" s="77" t="n">
        <f aca="false">'Price History'!M3+('Price History'!M158-'Price History'!M3)*0.922077922077922</f>
        <v>225.357532467532</v>
      </c>
      <c r="AI145" s="77" t="n">
        <f aca="false">'Price History'!N3+('Price History'!N158-'Price History'!N3)*0.922077922077922</f>
        <v>467.185194805195</v>
      </c>
      <c r="AJ145" s="77" t="n">
        <f aca="false">'Price History'!O3+('Price History'!O158-'Price History'!O3)*0.922077922077922</f>
        <v>121.973766233766</v>
      </c>
      <c r="AK145" s="77" t="n">
        <f aca="false">'Price History'!Q3+('Price History'!Q151-'Price History'!Q3)*0.922077922077922</f>
        <v>66.9998701298701</v>
      </c>
      <c r="AL145" s="77" t="n">
        <f aca="false">'Price History'!R3+('Price History'!R158-'Price History'!R3)*0.922077922077922</f>
        <v>57.4372727272727</v>
      </c>
      <c r="AM145" s="77" t="n">
        <f aca="false">'Price History'!S3+('Price History'!S158-'Price History'!S3)*0.922077922077922</f>
        <v>137.184025974026</v>
      </c>
      <c r="AN145" s="77" t="n">
        <f aca="false">'Price History'!T3+('Price History'!T158-'Price History'!T3)*0.922077922077922</f>
        <v>47.961038961039</v>
      </c>
    </row>
    <row r="146" customFormat="false" ht="15" hidden="false" customHeight="true" outlineLevel="0" collapsed="false">
      <c r="A146" s="49" t="n">
        <f aca="false">IF('Price History'!A147="","",'Price History'!A147)</f>
        <v>46157</v>
      </c>
      <c r="B146" s="76" t="n">
        <f aca="false">IFERROR(IF(OR(NOT(ISNUMBER('Price History'!B147)),NOT(ISNUMBER('Price History'!B146)),'Price History'!B146=0),"",'Price History'!B147/'Price History'!B146-1),"")</f>
        <v>-0.0214985773000316</v>
      </c>
      <c r="C146" s="76" t="n">
        <f aca="false">IFERROR(IF(OR(NOT(ISNUMBER('Price History'!C147)),NOT(ISNUMBER('Price History'!C146)),'Price History'!C146=0),"",'Price History'!C147/'Price History'!C146-1),"")</f>
        <v>0.00141073569866679</v>
      </c>
      <c r="D146" s="76" t="n">
        <f aca="false">IFERROR(IF(OR(NOT(ISNUMBER('Price History'!D147)),NOT(ISNUMBER('Price History'!D146)),'Price History'!D146=0),"",'Price History'!D147/'Price History'!D146-1),"")</f>
        <v>-0.0566638610067713</v>
      </c>
      <c r="E146" s="76" t="n">
        <f aca="false">IFERROR(IF(OR(NOT(ISNUMBER('Price History'!E147)),NOT(ISNUMBER('Price History'!E146)),'Price History'!E146=0),"",'Price History'!E147/'Price History'!E146-1),"")</f>
        <v>-0.0111860465116279</v>
      </c>
      <c r="F146" s="76" t="n">
        <f aca="false">IFERROR(IF(OR(NOT(ISNUMBER('Price History'!F147)),NOT(ISNUMBER('Price History'!F146)),'Price History'!F146=0),"",'Price History'!F147/'Price History'!F146-1),"")</f>
        <v>0.12566318023344</v>
      </c>
      <c r="G146" s="76" t="n">
        <f aca="false">IFERROR(IF(OR(NOT(ISNUMBER('Price History'!G147)),NOT(ISNUMBER('Price History'!G146)),'Price History'!G146=0),"",'Price History'!G147/'Price History'!G146-1),"")</f>
        <v>-0.0347207361438048</v>
      </c>
      <c r="H146" s="76" t="n">
        <f aca="false">IFERROR(IF(OR(NOT(ISNUMBER('Price History'!H147)),NOT(ISNUMBER('Price History'!H146)),'Price History'!H146=0),"",'Price History'!H147/'Price History'!H146-1),"")</f>
        <v>-0.0296594850095741</v>
      </c>
      <c r="I146" s="76" t="n">
        <f aca="false">IFERROR(IF(OR(NOT(ISNUMBER('Price History'!I147)),NOT(ISNUMBER('Price History'!I146)),'Price History'!I146=0),"",'Price History'!I147/'Price History'!I146-1),"")</f>
        <v>0.0470260223048327</v>
      </c>
      <c r="J146" s="76" t="n">
        <f aca="false">IFERROR(IF(OR(NOT(ISNUMBER('Price History'!J147)),NOT(ISNUMBER('Price History'!J146)),'Price History'!J146=0),"",'Price History'!J147/'Price History'!J146-1),"")</f>
        <v>-0.0247067804844194</v>
      </c>
      <c r="K146" s="76" t="n">
        <f aca="false">IFERROR(IF(OR(NOT(ISNUMBER('Price History'!K147)),NOT(ISNUMBER('Price History'!K146)),'Price History'!K146=0),"",'Price History'!K147/'Price History'!K146-1),"")</f>
        <v>-0.0276487663280116</v>
      </c>
      <c r="L146" s="76" t="n">
        <f aca="false">IFERROR(IF(OR(NOT(ISNUMBER('Price History'!L147)),NOT(ISNUMBER('Price History'!L146)),'Price History'!L146=0),"",'Price History'!L147/'Price History'!L146-1),"")</f>
        <v>-0.0178050913330742</v>
      </c>
      <c r="M146" s="76" t="n">
        <f aca="false">IFERROR(IF(OR(NOT(ISNUMBER('Price History'!M147)),NOT(ISNUMBER('Price History'!M146)),'Price History'!M146=0),"",'Price History'!M147/'Price History'!M146-1),"")</f>
        <v>0.0910962732005765</v>
      </c>
      <c r="N146" s="76" t="n">
        <f aca="false">IFERROR(IF(OR(NOT(ISNUMBER('Price History'!N147)),NOT(ISNUMBER('Price History'!N146)),'Price History'!N146=0),"",'Price History'!N147/'Price History'!N146-1),"")</f>
        <v>0.0165883393048252</v>
      </c>
      <c r="O146" s="76" t="n">
        <f aca="false">IFERROR(IF(OR(NOT(ISNUMBER('Price History'!O147)),NOT(ISNUMBER('Price History'!O146)),'Price History'!O146=0),"",'Price History'!O147/'Price History'!O146-1),"")</f>
        <v>-0.0216121495327103</v>
      </c>
      <c r="P146" s="76" t="str">
        <f aca="false">IFERROR(IF(OR(NOT(ISNUMBER('Price History'!P147)),NOT(ISNUMBER('Price History'!P146)),'Price History'!P146=0),"",'Price History'!P147/'Price History'!P146-1),"")</f>
        <v/>
      </c>
      <c r="Q146" s="76" t="n">
        <f aca="false">IFERROR(IF(OR(NOT(ISNUMBER('Price History'!Q147)),NOT(ISNUMBER('Price History'!Q146)),'Price History'!Q146=0),"",'Price History'!Q147/'Price History'!Q146-1),"")</f>
        <v>0.00760286225402518</v>
      </c>
      <c r="R146" s="76" t="n">
        <f aca="false">IFERROR(IF(OR(NOT(ISNUMBER('Price History'!R147)),NOT(ISNUMBER('Price History'!R146)),'Price History'!R146=0),"",'Price History'!R147/'Price History'!R146-1),"")</f>
        <v>0.00268411340379138</v>
      </c>
      <c r="S146" s="76" t="n">
        <f aca="false">IFERROR(IF(OR(NOT(ISNUMBER('Price History'!S147)),NOT(ISNUMBER('Price History'!S146)),'Price History'!S146=0),"",'Price History'!S147/'Price History'!S146-1),"")</f>
        <v>-0.00229469438842922</v>
      </c>
      <c r="T146" s="76" t="n">
        <f aca="false">IFERROR(IF(OR(NOT(ISNUMBER('Price History'!T147)),NOT(ISNUMBER('Price History'!T146)),'Price History'!T146=0),"",'Price History'!T147/'Price History'!T146-1),"")</f>
        <v>-0.0256762952773957</v>
      </c>
      <c r="U146" s="76" t="str">
        <f aca="false">IFERROR(IF(OR(NOT(ISNUMBER('Price History'!U147)),NOT(ISNUMBER('Price History'!U146)),'Price History'!U146=0),"",'Price History'!U147/'Price History'!U146-1),"")</f>
        <v/>
      </c>
      <c r="W146" s="77" t="n">
        <f aca="false">'Price History'!B3+('Price History'!B158-'Price History'!B3)*0.928571428571429</f>
        <v>268.841428571429</v>
      </c>
      <c r="X146" s="77" t="n">
        <f aca="false">'Price History'!C3+('Price History'!C158-'Price History'!C3)*0.928571428571429</f>
        <v>170.592142857143</v>
      </c>
      <c r="Y146" s="77" t="n">
        <f aca="false">'Price History'!D3+('Price History'!D158-'Price History'!D3)*0.928571428571429</f>
        <v>1559.91285714286</v>
      </c>
      <c r="Z146" s="77" t="n">
        <f aca="false">'Price History'!E3+('Price History'!E158-'Price History'!E3)*0.928571428571429</f>
        <v>367.401428571429</v>
      </c>
      <c r="AA146" s="77" t="n">
        <f aca="false">'Price History'!F3+('Price History'!F158-'Price History'!F3)*0.928571428571429</f>
        <v>179.874285714286</v>
      </c>
      <c r="AB146" s="77" t="n">
        <f aca="false">'Price History'!G3+('Price History'!G158-'Price History'!G3)*0.928571428571429</f>
        <v>173.182857142857</v>
      </c>
      <c r="AC146" s="77" t="n">
        <f aca="false">'Price History'!H3+('Price History'!H158-'Price History'!H3)*0.928571428571429</f>
        <v>768.84</v>
      </c>
      <c r="AD146" s="77" t="n">
        <f aca="false">'Price History'!I3+('Price History'!I158-'Price History'!I3)*0.928571428571429</f>
        <v>189.328571428572</v>
      </c>
      <c r="AE146" s="77" t="n">
        <f aca="false">'Price History'!J3+('Price History'!J158-'Price History'!J3)*0.928571428571429</f>
        <v>143.102857142857</v>
      </c>
      <c r="AF146" s="77" t="n">
        <f aca="false">'Price History'!K3+('Price History'!K158-'Price History'!K3)*0.928571428571429</f>
        <v>115.370714285714</v>
      </c>
      <c r="AG146" s="77" t="n">
        <f aca="false">'Price History'!L3+('Price History'!L158-'Price History'!L3)*0.928571428571429</f>
        <v>381.945714285714</v>
      </c>
      <c r="AH146" s="77" t="n">
        <f aca="false">'Price History'!M3+('Price History'!M158-'Price History'!M3)*0.928571428571429</f>
        <v>226.708571428572</v>
      </c>
      <c r="AI146" s="77" t="n">
        <f aca="false">'Price History'!N3+('Price History'!N158-'Price History'!N3)*0.928571428571429</f>
        <v>468.011428571429</v>
      </c>
      <c r="AJ146" s="77" t="n">
        <f aca="false">'Price History'!O3+('Price History'!O158-'Price History'!O3)*0.928571428571429</f>
        <v>122.249285714286</v>
      </c>
      <c r="AK146" s="77" t="n">
        <f aca="false">'Price History'!Q3+('Price History'!Q151-'Price History'!Q3)*0.928571428571429</f>
        <v>67.1207142857143</v>
      </c>
      <c r="AL146" s="77" t="n">
        <f aca="false">'Price History'!R3+('Price History'!R158-'Price History'!R3)*0.928571428571429</f>
        <v>57.505</v>
      </c>
      <c r="AM146" s="77" t="n">
        <f aca="false">'Price History'!S3+('Price History'!S158-'Price History'!S3)*0.928571428571429</f>
        <v>137.737857142857</v>
      </c>
      <c r="AN146" s="77" t="n">
        <f aca="false">'Price History'!T3+('Price History'!T158-'Price History'!T3)*0.928571428571429</f>
        <v>48.1092857142857</v>
      </c>
    </row>
    <row r="147" customFormat="false" ht="15" hidden="false" customHeight="true" outlineLevel="0" collapsed="false">
      <c r="A147" s="49" t="n">
        <f aca="false">IF('Price History'!A148="","",'Price History'!A148)</f>
        <v>46164</v>
      </c>
      <c r="B147" s="76" t="n">
        <f aca="false">IFERROR(IF(OR(NOT(ISNUMBER('Price History'!B148)),NOT(ISNUMBER('Price History'!B147)),'Price History'!B147=0),"",'Price History'!B148/'Price History'!B147-1),"")</f>
        <v>-0.011470113085622</v>
      </c>
      <c r="C147" s="76" t="n">
        <f aca="false">IFERROR(IF(OR(NOT(ISNUMBER('Price History'!C148)),NOT(ISNUMBER('Price History'!C147)),'Price History'!C147=0),"",'Price History'!C148/'Price History'!C147-1),"")</f>
        <v>0.0849475241248152</v>
      </c>
      <c r="D147" s="76" t="n">
        <f aca="false">IFERROR(IF(OR(NOT(ISNUMBER('Price History'!D148)),NOT(ISNUMBER('Price History'!D147)),'Price History'!D147=0),"",'Price History'!D148/'Price History'!D147-1),"")</f>
        <v>0.0872880058063272</v>
      </c>
      <c r="E147" s="76" t="n">
        <f aca="false">IFERROR(IF(OR(NOT(ISNUMBER('Price History'!E148)),NOT(ISNUMBER('Price History'!E147)),'Price History'!E147=0),"",'Price History'!E148/'Price History'!E147-1),"")</f>
        <v>-0.0259883816646675</v>
      </c>
      <c r="F147" s="76" t="n">
        <f aca="false">IFERROR(IF(OR(NOT(ISNUMBER('Price History'!F148)),NOT(ISNUMBER('Price History'!F147)),'Price History'!F147=0),"",'Price History'!F148/'Price History'!F147-1),"")</f>
        <v>0.116819283598169</v>
      </c>
      <c r="G147" s="76" t="n">
        <f aca="false">IFERROR(IF(OR(NOT(ISNUMBER('Price History'!G148)),NOT(ISNUMBER('Price History'!G147)),'Price History'!G147=0),"",'Price History'!G148/'Price History'!G147-1),"")</f>
        <v>0.0466108740231668</v>
      </c>
      <c r="H147" s="76" t="n">
        <f aca="false">IFERROR(IF(OR(NOT(ISNUMBER('Price History'!H148)),NOT(ISNUMBER('Price History'!H147)),'Price History'!H147=0),"",'Price History'!H148/'Price History'!H147-1),"")</f>
        <v>0.0363480804791212</v>
      </c>
      <c r="I147" s="76" t="n">
        <f aca="false">IFERROR(IF(OR(NOT(ISNUMBER('Price History'!I148)),NOT(ISNUMBER('Price History'!I147)),'Price History'!I147=0),"",'Price History'!I148/'Price History'!I147-1),"")</f>
        <v>-0.0443369430143795</v>
      </c>
      <c r="J147" s="76" t="n">
        <f aca="false">IFERROR(IF(OR(NOT(ISNUMBER('Price History'!J148)),NOT(ISNUMBER('Price History'!J147)),'Price History'!J147=0),"",'Price History'!J148/'Price History'!J147-1),"")</f>
        <v>0.0382124813207145</v>
      </c>
      <c r="K147" s="76" t="n">
        <f aca="false">IFERROR(IF(OR(NOT(ISNUMBER('Price History'!K148)),NOT(ISNUMBER('Price History'!K147)),'Price History'!K147=0),"",'Price History'!K148/'Price History'!K147-1),"")</f>
        <v>0.0215687737890886</v>
      </c>
      <c r="L147" s="76" t="n">
        <f aca="false">IFERROR(IF(OR(NOT(ISNUMBER('Price History'!L148)),NOT(ISNUMBER('Price History'!L147)),'Price History'!L147=0),"",'Price History'!L148/'Price History'!L147-1),"")</f>
        <v>0.000420427847162008</v>
      </c>
      <c r="M147" s="76" t="n">
        <f aca="false">IFERROR(IF(OR(NOT(ISNUMBER('Price History'!M148)),NOT(ISNUMBER('Price History'!M147)),'Price History'!M147=0),"",'Price History'!M148/'Price History'!M147-1),"")</f>
        <v>-0.117215722219227</v>
      </c>
      <c r="N147" s="76" t="n">
        <f aca="false">IFERROR(IF(OR(NOT(ISNUMBER('Price History'!N148)),NOT(ISNUMBER('Price History'!N147)),'Price History'!N147=0),"",'Price History'!N148/'Price History'!N147-1),"")</f>
        <v>-0.00556127703398557</v>
      </c>
      <c r="O147" s="76" t="n">
        <f aca="false">IFERROR(IF(OR(NOT(ISNUMBER('Price History'!O148)),NOT(ISNUMBER('Price History'!O147)),'Price History'!O147=0),"",'Price History'!O148/'Price History'!O147-1),"")</f>
        <v>0.0237100213219617</v>
      </c>
      <c r="P147" s="76" t="str">
        <f aca="false">IFERROR(IF(OR(NOT(ISNUMBER('Price History'!P148)),NOT(ISNUMBER('Price History'!P147)),'Price History'!P147=0),"",'Price History'!P148/'Price History'!P147-1),"")</f>
        <v/>
      </c>
      <c r="Q147" s="76" t="n">
        <f aca="false">IFERROR(IF(OR(NOT(ISNUMBER('Price History'!Q148)),NOT(ISNUMBER('Price History'!Q147)),'Price History'!Q147=0),"",'Price History'!Q148/'Price History'!Q147-1),"")</f>
        <v>0.0109483651427724</v>
      </c>
      <c r="R147" s="76" t="n">
        <f aca="false">IFERROR(IF(OR(NOT(ISNUMBER('Price History'!R148)),NOT(ISNUMBER('Price History'!R147)),'Price History'!R147=0),"",'Price History'!R148/'Price History'!R147-1),"")</f>
        <v>0.00736155261837035</v>
      </c>
      <c r="S147" s="76" t="n">
        <f aca="false">IFERROR(IF(OR(NOT(ISNUMBER('Price History'!S148)),NOT(ISNUMBER('Price History'!S147)),'Price History'!S147=0),"",'Price History'!S148/'Price History'!S147-1),"")</f>
        <v>0.0101756342347366</v>
      </c>
      <c r="T147" s="76" t="n">
        <f aca="false">IFERROR(IF(OR(NOT(ISNUMBER('Price History'!T148)),NOT(ISNUMBER('Price History'!T147)),'Price History'!T147=0),"",'Price History'!T148/'Price History'!T147-1),"")</f>
        <v>0.0395294117647058</v>
      </c>
      <c r="U147" s="76" t="str">
        <f aca="false">IFERROR(IF(OR(NOT(ISNUMBER('Price History'!U148)),NOT(ISNUMBER('Price History'!U147)),'Price History'!U147=0),"",'Price History'!U148/'Price History'!U147-1),"")</f>
        <v/>
      </c>
      <c r="W147" s="77" t="n">
        <f aca="false">'Price History'!B3+('Price History'!B158-'Price History'!B3)*0.935064935064935</f>
        <v>267.165844155844</v>
      </c>
      <c r="X147" s="77" t="n">
        <f aca="false">'Price History'!C3+('Price History'!C158-'Price History'!C3)*0.935064935064935</f>
        <v>171.479220779221</v>
      </c>
      <c r="Y147" s="77" t="n">
        <f aca="false">'Price History'!D3+('Price History'!D158-'Price History'!D3)*0.935064935064935</f>
        <v>1566.19350649351</v>
      </c>
      <c r="Z147" s="77" t="n">
        <f aca="false">'Price History'!E3+('Price History'!E158-'Price History'!E3)*0.935064935064935</f>
        <v>369.39038961039</v>
      </c>
      <c r="AA147" s="77" t="n">
        <f aca="false">'Price History'!F3+('Price History'!F158-'Price History'!F3)*0.935064935064935</f>
        <v>180.872987012987</v>
      </c>
      <c r="AB147" s="77" t="n">
        <f aca="false">'Price History'!G3+('Price History'!G158-'Price History'!G3)*0.935064935064935</f>
        <v>174.058961038961</v>
      </c>
      <c r="AC147" s="77" t="n">
        <f aca="false">'Price History'!H3+('Price History'!H158-'Price History'!H3)*0.935064935064935</f>
        <v>773.766363636364</v>
      </c>
      <c r="AD147" s="77" t="n">
        <f aca="false">'Price History'!I3+('Price History'!I158-'Price History'!I3)*0.935064935064935</f>
        <v>190.366883116883</v>
      </c>
      <c r="AE147" s="77" t="n">
        <f aca="false">'Price History'!J3+('Price History'!J158-'Price History'!J3)*0.935064935064935</f>
        <v>143.23987012987</v>
      </c>
      <c r="AF147" s="77" t="n">
        <f aca="false">'Price History'!K3+('Price History'!K158-'Price History'!K3)*0.935064935064935</f>
        <v>116.06974025974</v>
      </c>
      <c r="AG147" s="77" t="n">
        <f aca="false">'Price History'!L3+('Price History'!L158-'Price History'!L3)*0.935064935064935</f>
        <v>383.973376623377</v>
      </c>
      <c r="AH147" s="77" t="n">
        <f aca="false">'Price History'!M3+('Price History'!M158-'Price History'!M3)*0.935064935064935</f>
        <v>228.05961038961</v>
      </c>
      <c r="AI147" s="77" t="n">
        <f aca="false">'Price History'!N3+('Price History'!N158-'Price History'!N3)*0.935064935064935</f>
        <v>468.837662337662</v>
      </c>
      <c r="AJ147" s="77" t="n">
        <f aca="false">'Price History'!O3+('Price History'!O158-'Price History'!O3)*0.935064935064935</f>
        <v>122.524805194805</v>
      </c>
      <c r="AK147" s="77" t="n">
        <f aca="false">'Price History'!Q3+('Price History'!Q151-'Price History'!Q3)*0.935064935064935</f>
        <v>67.2415584415584</v>
      </c>
      <c r="AL147" s="77" t="n">
        <f aca="false">'Price History'!R3+('Price History'!R158-'Price History'!R3)*0.935064935064935</f>
        <v>57.5727272727273</v>
      </c>
      <c r="AM147" s="77" t="n">
        <f aca="false">'Price History'!S3+('Price History'!S158-'Price History'!S3)*0.935064935064935</f>
        <v>138.291688311688</v>
      </c>
      <c r="AN147" s="77" t="n">
        <f aca="false">'Price History'!T3+('Price History'!T158-'Price History'!T3)*0.935064935064935</f>
        <v>48.2575324675325</v>
      </c>
    </row>
    <row r="148" customFormat="false" ht="15" hidden="false" customHeight="true" outlineLevel="0" collapsed="false">
      <c r="A148" s="49" t="n">
        <f aca="false">IF('Price History'!A149="","",'Price History'!A149)</f>
        <v>46171</v>
      </c>
      <c r="B148" s="76" t="n">
        <f aca="false">IFERROR(IF(OR(NOT(ISNUMBER('Price History'!B149)),NOT(ISNUMBER('Price History'!B148)),'Price History'!B148=0),"",'Price History'!B149/'Price History'!B148-1),"")</f>
        <v>0.0590374244157541</v>
      </c>
      <c r="C148" s="76" t="n">
        <f aca="false">IFERROR(IF(OR(NOT(ISNUMBER('Price History'!C149)),NOT(ISNUMBER('Price History'!C148)),'Price History'!C148=0),"",'Price History'!C149/'Price History'!C148-1),"")</f>
        <v>0.0353177952346946</v>
      </c>
      <c r="D148" s="76" t="n">
        <f aca="false">IFERROR(IF(OR(NOT(ISNUMBER('Price History'!D149)),NOT(ISNUMBER('Price History'!D148)),'Price History'!D148=0),"",'Price History'!D149/'Price History'!D148-1),"")</f>
        <v>-0.0123338844999694</v>
      </c>
      <c r="E148" s="76" t="n">
        <f aca="false">IFERROR(IF(OR(NOT(ISNUMBER('Price History'!E149)),NOT(ISNUMBER('Price History'!E148)),'Price History'!E148=0),"",'Price History'!E149/'Price History'!E148-1),"")</f>
        <v>0.0787897812333993</v>
      </c>
      <c r="F148" s="76" t="n">
        <f aca="false">IFERROR(IF(OR(NOT(ISNUMBER('Price History'!F149)),NOT(ISNUMBER('Price History'!F148)),'Price History'!F148=0),"",'Price History'!F149/'Price History'!F148-1),"")</f>
        <v>0.10176644360041</v>
      </c>
      <c r="G148" s="76" t="n">
        <f aca="false">IFERROR(IF(OR(NOT(ISNUMBER('Price History'!G149)),NOT(ISNUMBER('Price History'!G148)),'Price History'!G148=0),"",'Price History'!G149/'Price History'!G148-1),"")</f>
        <v>0.0176339758525734</v>
      </c>
      <c r="H148" s="76" t="n">
        <f aca="false">IFERROR(IF(OR(NOT(ISNUMBER('Price History'!H149)),NOT(ISNUMBER('Price History'!H148)),'Price History'!H148=0),"",'Price History'!H149/'Price History'!H148-1),"")</f>
        <v>0.292942743009321</v>
      </c>
      <c r="I148" s="76" t="n">
        <f aca="false">IFERROR(IF(OR(NOT(ISNUMBER('Price History'!I149)),NOT(ISNUMBER('Price History'!I148)),'Price History'!I148=0),"",'Price History'!I149/'Price History'!I148-1),"")</f>
        <v>-0.0194585055496216</v>
      </c>
      <c r="J148" s="76" t="n">
        <f aca="false">IFERROR(IF(OR(NOT(ISNUMBER('Price History'!J149)),NOT(ISNUMBER('Price History'!J148)),'Price History'!J148=0),"",'Price History'!J149/'Price History'!J148-1),"")</f>
        <v>-0.0166552433173407</v>
      </c>
      <c r="K148" s="76" t="n">
        <f aca="false">IFERROR(IF(OR(NOT(ISNUMBER('Price History'!K149)),NOT(ISNUMBER('Price History'!K148)),'Price History'!K148=0),"",'Price History'!K149/'Price History'!K148-1),"")</f>
        <v>0.143629456458211</v>
      </c>
      <c r="L148" s="76" t="n">
        <f aca="false">IFERROR(IF(OR(NOT(ISNUMBER('Price History'!L149)),NOT(ISNUMBER('Price History'!L148)),'Price History'!L148=0),"",'Price History'!L149/'Price History'!L148-1),"")</f>
        <v>0.0344358746168298</v>
      </c>
      <c r="M148" s="76" t="n">
        <f aca="false">IFERROR(IF(OR(NOT(ISNUMBER('Price History'!M149)),NOT(ISNUMBER('Price History'!M148)),'Price History'!M148=0),"",'Price History'!M149/'Price History'!M148-1),"")</f>
        <v>-0.0358822451597142</v>
      </c>
      <c r="N148" s="76" t="n">
        <f aca="false">IFERROR(IF(OR(NOT(ISNUMBER('Price History'!N149)),NOT(ISNUMBER('Price History'!N148)),'Price History'!N148=0),"",'Price History'!N149/'Price History'!N148-1),"")</f>
        <v>0.0299640983153826</v>
      </c>
      <c r="O148" s="76" t="n">
        <f aca="false">IFERROR(IF(OR(NOT(ISNUMBER('Price History'!O149)),NOT(ISNUMBER('Price History'!O148)),'Price History'!O148=0),"",'Price History'!O149/'Price History'!O148-1),"")</f>
        <v>0.000166625010413979</v>
      </c>
      <c r="P148" s="76" t="str">
        <f aca="false">IFERROR(IF(OR(NOT(ISNUMBER('Price History'!P149)),NOT(ISNUMBER('Price History'!P148)),'Price History'!P148=0),"",'Price History'!P149/'Price History'!P148-1),"")</f>
        <v/>
      </c>
      <c r="Q148" s="76" t="n">
        <f aca="false">IFERROR(IF(OR(NOT(ISNUMBER('Price History'!Q149)),NOT(ISNUMBER('Price History'!Q148)),'Price History'!Q148=0),"",'Price History'!Q149/'Price History'!Q148-1),"")</f>
        <v>-0.00921996194936336</v>
      </c>
      <c r="R148" s="76" t="n">
        <f aca="false">IFERROR(IF(OR(NOT(ISNUMBER('Price History'!R149)),NOT(ISNUMBER('Price History'!R148)),'Price History'!R148=0),"",'Price History'!R149/'Price History'!R148-1),"")</f>
        <v>0.0156120245806344</v>
      </c>
      <c r="S148" s="76" t="n">
        <f aca="false">IFERROR(IF(OR(NOT(ISNUMBER('Price History'!S149)),NOT(ISNUMBER('Price History'!S148)),'Price History'!S148=0),"",'Price History'!S149/'Price History'!S148-1),"")</f>
        <v>0.0389816475783082</v>
      </c>
      <c r="T148" s="76" t="n">
        <f aca="false">IFERROR(IF(OR(NOT(ISNUMBER('Price History'!T149)),NOT(ISNUMBER('Price History'!T148)),'Price History'!T148=0),"",'Price History'!T149/'Price History'!T148-1),"")</f>
        <v>0.0540968764146672</v>
      </c>
      <c r="U148" s="76" t="str">
        <f aca="false">IFERROR(IF(OR(NOT(ISNUMBER('Price History'!U149)),NOT(ISNUMBER('Price History'!U148)),'Price History'!U148=0),"",'Price History'!U149/'Price History'!U148-1),"")</f>
        <v/>
      </c>
      <c r="W148" s="77" t="n">
        <f aca="false">'Price History'!B3+('Price History'!B158-'Price History'!B3)*0.941558441558442</f>
        <v>265.49025974026</v>
      </c>
      <c r="X148" s="77" t="n">
        <f aca="false">'Price History'!C3+('Price History'!C158-'Price History'!C3)*0.941558441558442</f>
        <v>172.366298701299</v>
      </c>
      <c r="Y148" s="77" t="n">
        <f aca="false">'Price History'!D3+('Price History'!D158-'Price History'!D3)*0.941558441558442</f>
        <v>1572.47415584416</v>
      </c>
      <c r="Z148" s="77" t="n">
        <f aca="false">'Price History'!E3+('Price History'!E158-'Price History'!E3)*0.941558441558442</f>
        <v>371.379350649351</v>
      </c>
      <c r="AA148" s="77" t="n">
        <f aca="false">'Price History'!F3+('Price History'!F158-'Price History'!F3)*0.941558441558442</f>
        <v>181.871688311688</v>
      </c>
      <c r="AB148" s="77" t="n">
        <f aca="false">'Price History'!G3+('Price History'!G158-'Price History'!G3)*0.941558441558442</f>
        <v>174.935064935065</v>
      </c>
      <c r="AC148" s="77" t="n">
        <f aca="false">'Price History'!H3+('Price History'!H158-'Price History'!H3)*0.941558441558442</f>
        <v>778.692727272728</v>
      </c>
      <c r="AD148" s="77" t="n">
        <f aca="false">'Price History'!I3+('Price History'!I158-'Price History'!I3)*0.941558441558442</f>
        <v>191.405194805195</v>
      </c>
      <c r="AE148" s="77" t="n">
        <f aca="false">'Price History'!J3+('Price History'!J158-'Price History'!J3)*0.941558441558442</f>
        <v>143.376883116883</v>
      </c>
      <c r="AF148" s="77" t="n">
        <f aca="false">'Price History'!K3+('Price History'!K158-'Price History'!K3)*0.941558441558442</f>
        <v>116.768766233766</v>
      </c>
      <c r="AG148" s="77" t="n">
        <f aca="false">'Price History'!L3+('Price History'!L158-'Price History'!L3)*0.941558441558442</f>
        <v>386.001038961039</v>
      </c>
      <c r="AH148" s="77" t="n">
        <f aca="false">'Price History'!M3+('Price History'!M158-'Price History'!M3)*0.941558441558442</f>
        <v>229.410649350649</v>
      </c>
      <c r="AI148" s="77" t="n">
        <f aca="false">'Price History'!N3+('Price History'!N158-'Price History'!N3)*0.941558441558442</f>
        <v>469.663896103896</v>
      </c>
      <c r="AJ148" s="77" t="n">
        <f aca="false">'Price History'!O3+('Price History'!O158-'Price History'!O3)*0.941558441558442</f>
        <v>122.800324675325</v>
      </c>
      <c r="AK148" s="77" t="n">
        <f aca="false">'Price History'!Q3+('Price History'!Q151-'Price History'!Q3)*0.941558441558442</f>
        <v>67.3624025974026</v>
      </c>
      <c r="AL148" s="77" t="n">
        <f aca="false">'Price History'!R3+('Price History'!R158-'Price History'!R3)*0.941558441558442</f>
        <v>57.6404545454546</v>
      </c>
      <c r="AM148" s="77" t="n">
        <f aca="false">'Price History'!S3+('Price History'!S158-'Price History'!S3)*0.941558441558442</f>
        <v>138.84551948052</v>
      </c>
      <c r="AN148" s="77" t="n">
        <f aca="false">'Price History'!T3+('Price History'!T158-'Price History'!T3)*0.941558441558442</f>
        <v>48.4057792207792</v>
      </c>
    </row>
    <row r="149" customFormat="false" ht="15" hidden="false" customHeight="true" outlineLevel="0" collapsed="false">
      <c r="A149" s="49" t="n">
        <f aca="false">IF('Price History'!A150="","",'Price History'!A150)</f>
        <v>46178</v>
      </c>
      <c r="B149" s="76" t="n">
        <f aca="false">IFERROR(IF(OR(NOT(ISNUMBER('Price History'!B150)),NOT(ISNUMBER('Price History'!B149)),'Price History'!B149=0),"",'Price History'!B150/'Price History'!B149-1),"")</f>
        <v>-0.0299756953821225</v>
      </c>
      <c r="C149" s="76" t="n">
        <f aca="false">IFERROR(IF(OR(NOT(ISNUMBER('Price History'!C150)),NOT(ISNUMBER('Price History'!C149)),'Price History'!C149=0),"",'Price History'!C150/'Price History'!C149-1),"")</f>
        <v>-0.032608014046529</v>
      </c>
      <c r="D149" s="76" t="n">
        <f aca="false">IFERROR(IF(OR(NOT(ISNUMBER('Price History'!D150)),NOT(ISNUMBER('Price History'!D149)),'Price History'!D149=0),"",'Price History'!D150/'Price History'!D149-1),"")</f>
        <v>0.0179691956645751</v>
      </c>
      <c r="E149" s="76" t="n">
        <f aca="false">IFERROR(IF(OR(NOT(ISNUMBER('Price History'!E150)),NOT(ISNUMBER('Price History'!E149)),'Price History'!E149=0),"",'Price History'!E150/'Price History'!E149-1),"")</f>
        <v>-0.136625109116548</v>
      </c>
      <c r="F149" s="76" t="n">
        <f aca="false">IFERROR(IF(OR(NOT(ISNUMBER('Price History'!F150)),NOT(ISNUMBER('Price History'!F149)),'Price History'!F149=0),"",'Price History'!F150/'Price History'!F149-1),"")</f>
        <v>-0.0820246238030097</v>
      </c>
      <c r="G149" s="76" t="n">
        <f aca="false">IFERROR(IF(OR(NOT(ISNUMBER('Price History'!G150)),NOT(ISNUMBER('Price History'!G149)),'Price History'!G149=0),"",'Price History'!G150/'Price History'!G149-1),"")</f>
        <v>0.003902794400791</v>
      </c>
      <c r="H149" s="76" t="n">
        <f aca="false">IFERROR(IF(OR(NOT(ISNUMBER('Price History'!H150)),NOT(ISNUMBER('Price History'!H149)),'Price History'!H149=0),"",'Price History'!H150/'Price History'!H149-1),"")</f>
        <v>-0.110185375901133</v>
      </c>
      <c r="I149" s="76" t="n">
        <f aca="false">IFERROR(IF(OR(NOT(ISNUMBER('Price History'!I150)),NOT(ISNUMBER('Price History'!I149)),'Price History'!I149=0),"",'Price History'!I150/'Price History'!I149-1),"")</f>
        <v>-0.0286066117268163</v>
      </c>
      <c r="J149" s="76" t="n">
        <f aca="false">IFERROR(IF(OR(NOT(ISNUMBER('Price History'!J150)),NOT(ISNUMBER('Price History'!J149)),'Price History'!J149=0),"",'Price History'!J150/'Price History'!J149-1),"")</f>
        <v>0.00745800515787276</v>
      </c>
      <c r="K149" s="76" t="n">
        <f aca="false">IFERROR(IF(OR(NOT(ISNUMBER('Price History'!K150)),NOT(ISNUMBER('Price History'!K149)),'Price History'!K149=0),"",'Price History'!K150/'Price History'!K149-1),"")</f>
        <v>-0.134214897150888</v>
      </c>
      <c r="L149" s="76" t="n">
        <f aca="false">IFERROR(IF(OR(NOT(ISNUMBER('Price History'!L150)),NOT(ISNUMBER('Price History'!L149)),'Price History'!L149=0),"",'Price History'!L150/'Price History'!L149-1),"")</f>
        <v>-0.00783845142788853</v>
      </c>
      <c r="M149" s="76" t="n">
        <f aca="false">IFERROR(IF(OR(NOT(ISNUMBER('Price History'!M150)),NOT(ISNUMBER('Price History'!M149)),'Price History'!M149=0),"",'Price History'!M150/'Price History'!M149-1),"")</f>
        <v>-0.0481454499382344</v>
      </c>
      <c r="N149" s="76" t="n">
        <f aca="false">IFERROR(IF(OR(NOT(ISNUMBER('Price History'!N150)),NOT(ISNUMBER('Price History'!N149)),'Price History'!N149=0),"",'Price History'!N150/'Price History'!N149-1),"")</f>
        <v>-0.00158645037315108</v>
      </c>
      <c r="O149" s="76" t="n">
        <f aca="false">IFERROR(IF(OR(NOT(ISNUMBER('Price History'!O150)),NOT(ISNUMBER('Price History'!O149)),'Price History'!O149=0),"",'Price History'!O150/'Price History'!O149-1),"")</f>
        <v>-0.00291545189504372</v>
      </c>
      <c r="P149" s="76" t="str">
        <f aca="false">IFERROR(IF(OR(NOT(ISNUMBER('Price History'!P150)),NOT(ISNUMBER('Price History'!P149)),'Price History'!P149=0),"",'Price History'!P150/'Price History'!P149-1),"")</f>
        <v/>
      </c>
      <c r="Q149" s="76" t="n">
        <f aca="false">IFERROR(IF(OR(NOT(ISNUMBER('Price History'!Q150)),NOT(ISNUMBER('Price History'!Q149)),'Price History'!Q149=0),"",'Price History'!Q150/'Price History'!Q149-1),"")</f>
        <v>-0.0017725258493354</v>
      </c>
      <c r="R149" s="76" t="n">
        <f aca="false">IFERROR(IF(OR(NOT(ISNUMBER('Price History'!R150)),NOT(ISNUMBER('Price History'!R149)),'Price History'!R149=0),"",'Price History'!R150/'Price History'!R149-1),"")</f>
        <v>-0.0367947669664759</v>
      </c>
      <c r="S149" s="76" t="n">
        <f aca="false">IFERROR(IF(OR(NOT(ISNUMBER('Price History'!S150)),NOT(ISNUMBER('Price History'!S149)),'Price History'!S149=0),"",'Price History'!S150/'Price History'!S149-1),"")</f>
        <v>-0.0419018527126636</v>
      </c>
      <c r="T149" s="76" t="n">
        <f aca="false">IFERROR(IF(OR(NOT(ISNUMBER('Price History'!T150)),NOT(ISNUMBER('Price History'!T149)),'Price History'!T149=0),"",'Price History'!T150/'Price History'!T149-1),"")</f>
        <v>-0.0111659866867082</v>
      </c>
      <c r="U149" s="76" t="str">
        <f aca="false">IFERROR(IF(OR(NOT(ISNUMBER('Price History'!U150)),NOT(ISNUMBER('Price History'!U149)),'Price History'!U149=0),"",'Price History'!U150/'Price History'!U149-1),"")</f>
        <v/>
      </c>
      <c r="W149" s="77" t="n">
        <f aca="false">'Price History'!B3+('Price History'!B158-'Price History'!B3)*0.948051948051948</f>
        <v>263.814675324675</v>
      </c>
      <c r="X149" s="77" t="n">
        <f aca="false">'Price History'!C3+('Price History'!C158-'Price History'!C3)*0.948051948051948</f>
        <v>173.253376623377</v>
      </c>
      <c r="Y149" s="77" t="n">
        <f aca="false">'Price History'!D3+('Price History'!D158-'Price History'!D3)*0.948051948051948</f>
        <v>1578.75480519481</v>
      </c>
      <c r="Z149" s="77" t="n">
        <f aca="false">'Price History'!E3+('Price History'!E158-'Price History'!E3)*0.948051948051948</f>
        <v>373.368311688312</v>
      </c>
      <c r="AA149" s="77" t="n">
        <f aca="false">'Price History'!F3+('Price History'!F158-'Price History'!F3)*0.948051948051948</f>
        <v>182.87038961039</v>
      </c>
      <c r="AB149" s="77" t="n">
        <f aca="false">'Price History'!G3+('Price History'!G158-'Price History'!G3)*0.948051948051948</f>
        <v>175.811168831169</v>
      </c>
      <c r="AC149" s="77" t="n">
        <f aca="false">'Price History'!H3+('Price History'!H158-'Price History'!H3)*0.948051948051948</f>
        <v>783.619090909091</v>
      </c>
      <c r="AD149" s="77" t="n">
        <f aca="false">'Price History'!I3+('Price History'!I158-'Price History'!I3)*0.948051948051948</f>
        <v>192.443506493507</v>
      </c>
      <c r="AE149" s="77" t="n">
        <f aca="false">'Price History'!J3+('Price History'!J158-'Price History'!J3)*0.948051948051948</f>
        <v>143.513896103896</v>
      </c>
      <c r="AF149" s="77" t="n">
        <f aca="false">'Price History'!K3+('Price History'!K158-'Price History'!K3)*0.948051948051948</f>
        <v>117.467792207792</v>
      </c>
      <c r="AG149" s="77" t="n">
        <f aca="false">'Price History'!L3+('Price History'!L158-'Price History'!L3)*0.948051948051948</f>
        <v>388.028701298701</v>
      </c>
      <c r="AH149" s="77" t="n">
        <f aca="false">'Price History'!M3+('Price History'!M158-'Price History'!M3)*0.948051948051948</f>
        <v>230.761688311688</v>
      </c>
      <c r="AI149" s="77" t="n">
        <f aca="false">'Price History'!N3+('Price History'!N158-'Price History'!N3)*0.948051948051948</f>
        <v>470.49012987013</v>
      </c>
      <c r="AJ149" s="77" t="n">
        <f aca="false">'Price History'!O3+('Price History'!O158-'Price History'!O3)*0.948051948051948</f>
        <v>123.075844155844</v>
      </c>
      <c r="AK149" s="77" t="n">
        <f aca="false">'Price History'!Q3+('Price History'!Q151-'Price History'!Q3)*0.948051948051948</f>
        <v>67.4832467532468</v>
      </c>
      <c r="AL149" s="77" t="n">
        <f aca="false">'Price History'!R3+('Price History'!R158-'Price History'!R3)*0.948051948051948</f>
        <v>57.7081818181818</v>
      </c>
      <c r="AM149" s="77" t="n">
        <f aca="false">'Price History'!S3+('Price History'!S158-'Price History'!S3)*0.948051948051948</f>
        <v>139.399350649351</v>
      </c>
      <c r="AN149" s="77" t="n">
        <f aca="false">'Price History'!T3+('Price History'!T158-'Price History'!T3)*0.948051948051948</f>
        <v>48.554025974026</v>
      </c>
    </row>
    <row r="150" customFormat="false" ht="15" hidden="false" customHeight="true" outlineLevel="0" collapsed="false">
      <c r="A150" s="49" t="n">
        <f aca="false">IF('Price History'!A151="","",'Price History'!A151)</f>
        <v>46185</v>
      </c>
      <c r="B150" s="76" t="n">
        <f aca="false">IFERROR(IF(OR(NOT(ISNUMBER('Price History'!B151)),NOT(ISNUMBER('Price History'!B150)),'Price History'!B150=0),"",'Price History'!B151/'Price History'!B150-1),"")</f>
        <v>-0.188593700286351</v>
      </c>
      <c r="C150" s="76" t="n">
        <f aca="false">IFERROR(IF(OR(NOT(ISNUMBER('Price History'!C151)),NOT(ISNUMBER('Price History'!C150)),'Price History'!C150=0),"",'Price History'!C151/'Price History'!C150-1),"")</f>
        <v>0.0581448110455693</v>
      </c>
      <c r="D150" s="76" t="n">
        <f aca="false">IFERROR(IF(OR(NOT(ISNUMBER('Price History'!D151)),NOT(ISNUMBER('Price History'!D150)),'Price History'!D150=0),"",'Price History'!D151/'Price History'!D150-1),"")</f>
        <v>0.135106655134187</v>
      </c>
      <c r="E150" s="76" t="n">
        <f aca="false">IFERROR(IF(OR(NOT(ISNUMBER('Price History'!E151)),NOT(ISNUMBER('Price History'!E150)),'Price History'!E150=0),"",'Price History'!E151/'Price History'!E150-1),"")</f>
        <v>-0.00948850232027587</v>
      </c>
      <c r="F150" s="76" t="n">
        <f aca="false">IFERROR(IF(OR(NOT(ISNUMBER('Price History'!F151)),NOT(ISNUMBER('Price History'!F150)),'Price History'!F150=0),"",'Price History'!F151/'Price History'!F150-1),"")</f>
        <v>0.0175250357653791</v>
      </c>
      <c r="G150" s="76" t="n">
        <f aca="false">IFERROR(IF(OR(NOT(ISNUMBER('Price History'!G151)),NOT(ISNUMBER('Price History'!G150)),'Price History'!G150=0),"",'Price History'!G151/'Price History'!G150-1),"")</f>
        <v>0.319407008086253</v>
      </c>
      <c r="H150" s="76" t="n">
        <f aca="false">IFERROR(IF(OR(NOT(ISNUMBER('Price History'!H151)),NOT(ISNUMBER('Price History'!H150)),'Price History'!H150=0),"",'Price History'!H151/'Price History'!H150-1),"")</f>
        <v>0.136109535769262</v>
      </c>
      <c r="I150" s="76" t="n">
        <f aca="false">IFERROR(IF(OR(NOT(ISNUMBER('Price History'!I151)),NOT(ISNUMBER('Price History'!I150)),'Price History'!I150=0),"",'Price History'!I151/'Price History'!I150-1),"")</f>
        <v>0.000438810336421236</v>
      </c>
      <c r="J150" s="76" t="n">
        <f aca="false">IFERROR(IF(OR(NOT(ISNUMBER('Price History'!J151)),NOT(ISNUMBER('Price History'!J150)),'Price History'!J150=0),"",'Price History'!J151/'Price History'!J150-1),"")</f>
        <v>0.0290577002905772</v>
      </c>
      <c r="K150" s="76" t="n">
        <f aca="false">IFERROR(IF(OR(NOT(ISNUMBER('Price History'!K151)),NOT(ISNUMBER('Price History'!K150)),'Price History'!K150=0),"",'Price History'!K151/'Price History'!K150-1),"")</f>
        <v>-0.0556334390909762</v>
      </c>
      <c r="L150" s="76" t="n">
        <f aca="false">IFERROR(IF(OR(NOT(ISNUMBER('Price History'!L151)),NOT(ISNUMBER('Price History'!L150)),'Price History'!L150=0),"",'Price History'!L151/'Price History'!L150-1),"")</f>
        <v>0.0210997904472867</v>
      </c>
      <c r="M150" s="76" t="n">
        <f aca="false">IFERROR(IF(OR(NOT(ISNUMBER('Price History'!M151)),NOT(ISNUMBER('Price History'!M150)),'Price History'!M150=0),"",'Price History'!M151/'Price History'!M150-1),"")</f>
        <v>0.00785331602941675</v>
      </c>
      <c r="N150" s="76" t="n">
        <f aca="false">IFERROR(IF(OR(NOT(ISNUMBER('Price History'!N151)),NOT(ISNUMBER('Price History'!N150)),'Price History'!N150=0),"",'Price History'!N151/'Price History'!N150-1),"")</f>
        <v>-0.0042521764429424</v>
      </c>
      <c r="O150" s="76" t="n">
        <f aca="false">IFERROR(IF(OR(NOT(ISNUMBER('Price History'!O151)),NOT(ISNUMBER('Price History'!O150)),'Price History'!O150=0),"",'Price History'!O151/'Price History'!O150-1),"")</f>
        <v>0.0390977443609022</v>
      </c>
      <c r="P150" s="76" t="str">
        <f aca="false">IFERROR(IF(OR(NOT(ISNUMBER('Price History'!P151)),NOT(ISNUMBER('Price History'!P150)),'Price History'!P150=0),"",'Price History'!P151/'Price History'!P150-1),"")</f>
        <v/>
      </c>
      <c r="Q150" s="76" t="n">
        <f aca="false">IFERROR(IF(OR(NOT(ISNUMBER('Price History'!Q151)),NOT(ISNUMBER('Price History'!Q150)),'Price History'!Q150=0),"",'Price History'!Q151/'Price History'!Q150-1),"")</f>
        <v>0.0128736312518498</v>
      </c>
      <c r="R150" s="76" t="n">
        <f aca="false">IFERROR(IF(OR(NOT(ISNUMBER('Price History'!R151)),NOT(ISNUMBER('Price History'!R150)),'Price History'!R150=0),"",'Price History'!R151/'Price History'!R150-1),"")</f>
        <v>0.0162988115449916</v>
      </c>
      <c r="S150" s="76" t="n">
        <f aca="false">IFERROR(IF(OR(NOT(ISNUMBER('Price History'!S151)),NOT(ISNUMBER('Price History'!S150)),'Price History'!S150=0),"",'Price History'!S151/'Price History'!S150-1),"")</f>
        <v>0.0568339340171886</v>
      </c>
      <c r="T150" s="76" t="n">
        <f aca="false">IFERROR(IF(OR(NOT(ISNUMBER('Price History'!T151)),NOT(ISNUMBER('Price History'!T150)),'Price History'!T150=0),"",'Price History'!T151/'Price History'!T150-1),"")</f>
        <v>0.00521172638436496</v>
      </c>
      <c r="U150" s="76" t="str">
        <f aca="false">IFERROR(IF(OR(NOT(ISNUMBER('Price History'!U151)),NOT(ISNUMBER('Price History'!U150)),'Price History'!U150=0),"",'Price History'!U151/'Price History'!U150-1),"")</f>
        <v/>
      </c>
      <c r="W150" s="77" t="n">
        <f aca="false">'Price History'!B3+('Price History'!B158-'Price History'!B3)*0.954545454545455</f>
        <v>262.139090909091</v>
      </c>
      <c r="X150" s="77" t="n">
        <f aca="false">'Price History'!C3+('Price History'!C158-'Price History'!C3)*0.954545454545455</f>
        <v>174.140454545455</v>
      </c>
      <c r="Y150" s="77" t="n">
        <f aca="false">'Price History'!D3+('Price History'!D158-'Price History'!D3)*0.954545454545455</f>
        <v>1585.03545454546</v>
      </c>
      <c r="Z150" s="77" t="n">
        <f aca="false">'Price History'!E3+('Price History'!E158-'Price History'!E3)*0.954545454545455</f>
        <v>375.357272727273</v>
      </c>
      <c r="AA150" s="77" t="n">
        <f aca="false">'Price History'!F3+('Price History'!F158-'Price History'!F3)*0.954545454545455</f>
        <v>183.869090909091</v>
      </c>
      <c r="AB150" s="77" t="n">
        <f aca="false">'Price History'!G3+('Price History'!G158-'Price History'!G3)*0.954545454545455</f>
        <v>176.687272727273</v>
      </c>
      <c r="AC150" s="77" t="n">
        <f aca="false">'Price History'!H3+('Price History'!H158-'Price History'!H3)*0.954545454545455</f>
        <v>788.545454545455</v>
      </c>
      <c r="AD150" s="77" t="n">
        <f aca="false">'Price History'!I3+('Price History'!I158-'Price History'!I3)*0.954545454545455</f>
        <v>193.481818181818</v>
      </c>
      <c r="AE150" s="77" t="n">
        <f aca="false">'Price History'!J3+('Price History'!J158-'Price History'!J3)*0.954545454545455</f>
        <v>143.650909090909</v>
      </c>
      <c r="AF150" s="77" t="n">
        <f aca="false">'Price History'!K3+('Price History'!K158-'Price History'!K3)*0.954545454545455</f>
        <v>118.166818181818</v>
      </c>
      <c r="AG150" s="77" t="n">
        <f aca="false">'Price History'!L3+('Price History'!L158-'Price History'!L3)*0.954545454545455</f>
        <v>390.056363636364</v>
      </c>
      <c r="AH150" s="77" t="n">
        <f aca="false">'Price History'!M3+('Price History'!M158-'Price History'!M3)*0.954545454545455</f>
        <v>232.112727272727</v>
      </c>
      <c r="AI150" s="77" t="n">
        <f aca="false">'Price History'!N3+('Price History'!N158-'Price History'!N3)*0.954545454545455</f>
        <v>471.316363636364</v>
      </c>
      <c r="AJ150" s="77" t="n">
        <f aca="false">'Price History'!O3+('Price History'!O158-'Price History'!O3)*0.954545454545455</f>
        <v>123.351363636364</v>
      </c>
      <c r="AK150" s="77" t="n">
        <f aca="false">'Price History'!Q3+('Price History'!Q151-'Price History'!Q3)*0.954545454545455</f>
        <v>67.6040909090909</v>
      </c>
      <c r="AL150" s="77" t="n">
        <f aca="false">'Price History'!R3+('Price History'!R158-'Price History'!R3)*0.954545454545455</f>
        <v>57.7759090909091</v>
      </c>
      <c r="AM150" s="77" t="n">
        <f aca="false">'Price History'!S3+('Price History'!S158-'Price History'!S3)*0.954545454545455</f>
        <v>139.953181818182</v>
      </c>
      <c r="AN150" s="77" t="n">
        <f aca="false">'Price History'!T3+('Price History'!T158-'Price History'!T3)*0.954545454545455</f>
        <v>48.7022727272727</v>
      </c>
    </row>
    <row r="151" customFormat="false" ht="15" hidden="false" customHeight="true" outlineLevel="0" collapsed="false">
      <c r="A151" s="49" t="n">
        <f aca="false">IF('Price History'!A152="","",'Price History'!A152)</f>
        <v>46191</v>
      </c>
      <c r="B151" s="76" t="n">
        <f aca="false">IFERROR(IF(OR(NOT(ISNUMBER('Price History'!B152)),NOT(ISNUMBER('Price History'!B151)),'Price History'!B151=0),"",'Price History'!B152/'Price History'!B151-1),"")</f>
        <v>-0.0434271149887266</v>
      </c>
      <c r="C151" s="76" t="n">
        <f aca="false">IFERROR(IF(OR(NOT(ISNUMBER('Price History'!C152)),NOT(ISNUMBER('Price History'!C151)),'Price History'!C151=0),"",'Price History'!C152/'Price History'!C151-1),"")</f>
        <v>0.0393898554275911</v>
      </c>
      <c r="D151" s="76" t="n">
        <f aca="false">IFERROR(IF(OR(NOT(ISNUMBER('Price History'!D152)),NOT(ISNUMBER('Price History'!D151)),'Price History'!D151=0),"",'Price History'!D152/'Price History'!D151-1),"")</f>
        <v>0.0354860347186821</v>
      </c>
      <c r="E151" s="76" t="n">
        <f aca="false">IFERROR(IF(OR(NOT(ISNUMBER('Price History'!E152)),NOT(ISNUMBER('Price History'!E151)),'Price History'!E151=0),"",'Price History'!E152/'Price History'!E151-1),"")</f>
        <v>0.0766351715654201</v>
      </c>
      <c r="F151" s="76" t="n">
        <f aca="false">IFERROR(IF(OR(NOT(ISNUMBER('Price History'!F152)),NOT(ISNUMBER('Price History'!F151)),'Price History'!F151=0),"",'Price History'!F152/'Price History'!F151-1),"")</f>
        <v>0.00304628002343299</v>
      </c>
      <c r="G151" s="76" t="n">
        <f aca="false">IFERROR(IF(OR(NOT(ISNUMBER('Price History'!G152)),NOT(ISNUMBER('Price History'!G151)),'Price History'!G151=0),"",'Price History'!G152/'Price History'!G151-1),"")</f>
        <v>0.0197218511825255</v>
      </c>
      <c r="H151" s="76" t="n">
        <f aca="false">IFERROR(IF(OR(NOT(ISNUMBER('Price History'!H152)),NOT(ISNUMBER('Price History'!H151)),'Price History'!H151=0),"",'Price History'!H152/'Price History'!H151-1),"")</f>
        <v>0.155234767371971</v>
      </c>
      <c r="I151" s="76" t="n">
        <f aca="false">IFERROR(IF(OR(NOT(ISNUMBER('Price History'!I152)),NOT(ISNUMBER('Price History'!I151)),'Price History'!I151=0),"",'Price History'!I152/'Price History'!I151-1),"")</f>
        <v>0.0268044251669184</v>
      </c>
      <c r="J151" s="76" t="n">
        <f aca="false">IFERROR(IF(OR(NOT(ISNUMBER('Price History'!J152)),NOT(ISNUMBER('Price History'!J151)),'Price History'!J151=0),"",'Price History'!J152/'Price History'!J151-1),"")</f>
        <v>-0.055129756622294</v>
      </c>
      <c r="K151" s="76" t="n">
        <f aca="false">IFERROR(IF(OR(NOT(ISNUMBER('Price History'!K152)),NOT(ISNUMBER('Price History'!K151)),'Price History'!K151=0),"",'Price History'!K152/'Price History'!K151-1),"")</f>
        <v>0.00375029299163998</v>
      </c>
      <c r="L151" s="76" t="n">
        <f aca="false">IFERROR(IF(OR(NOT(ISNUMBER('Price History'!L152)),NOT(ISNUMBER('Price History'!L151)),'Price History'!L151=0),"",'Price History'!L152/'Price History'!L151-1),"")</f>
        <v>0.0900856273441371</v>
      </c>
      <c r="M151" s="76" t="n">
        <f aca="false">IFERROR(IF(OR(NOT(ISNUMBER('Price History'!M152)),NOT(ISNUMBER('Price History'!M151)),'Price History'!M151=0),"",'Price History'!M152/'Price History'!M151-1),"")</f>
        <v>0.099646713111236</v>
      </c>
      <c r="N151" s="76" t="n">
        <f aca="false">IFERROR(IF(OR(NOT(ISNUMBER('Price History'!N152)),NOT(ISNUMBER('Price History'!N151)),'Price History'!N151=0),"",'Price History'!N152/'Price History'!N151-1),"")</f>
        <v>0.0150585485357246</v>
      </c>
      <c r="O151" s="76" t="n">
        <f aca="false">IFERROR(IF(OR(NOT(ISNUMBER('Price History'!O152)),NOT(ISNUMBER('Price History'!O151)),'Price History'!O151=0),"",'Price History'!O152/'Price History'!O151-1),"")</f>
        <v>-0.0191349091493809</v>
      </c>
      <c r="P151" s="76" t="str">
        <f aca="false">IFERROR(IF(OR(NOT(ISNUMBER('Price History'!P152)),NOT(ISNUMBER('Price History'!P151)),'Price History'!P151=0),"",'Price History'!P152/'Price History'!P151-1),"")</f>
        <v/>
      </c>
      <c r="Q151" s="76" t="str">
        <f aca="false">IFERROR(IF(OR(NOT(ISNUMBER('Price History'!Q152)),NOT(ISNUMBER('Price History'!Q151)),'Price History'!Q151=0),"",'Price History'!Q152/'Price History'!Q151-1),"")</f>
        <v/>
      </c>
      <c r="R151" s="76" t="n">
        <f aca="false">IFERROR(IF(OR(NOT(ISNUMBER('Price History'!R152)),NOT(ISNUMBER('Price History'!R151)),'Price History'!R151=0),"",'Price History'!R152/'Price History'!R151-1),"")</f>
        <v>0.0247243568326094</v>
      </c>
      <c r="S151" s="76" t="n">
        <f aca="false">IFERROR(IF(OR(NOT(ISNUMBER('Price History'!S152)),NOT(ISNUMBER('Price History'!S151)),'Price History'!S151=0),"",'Price History'!S152/'Price History'!S151-1),"")</f>
        <v>0.0486621196222457</v>
      </c>
      <c r="T151" s="76" t="n">
        <f aca="false">IFERROR(IF(OR(NOT(ISNUMBER('Price History'!T152)),NOT(ISNUMBER('Price History'!T151)),'Price History'!T151=0),"",'Price History'!T152/'Price History'!T151-1),"")</f>
        <v>-0.0224670555195506</v>
      </c>
      <c r="U151" s="76" t="str">
        <f aca="false">IFERROR(IF(OR(NOT(ISNUMBER('Price History'!U152)),NOT(ISNUMBER('Price History'!U151)),'Price History'!U151=0),"",'Price History'!U152/'Price History'!U151-1),"")</f>
        <v/>
      </c>
      <c r="W151" s="77" t="n">
        <f aca="false">'Price History'!B3+('Price History'!B158-'Price History'!B3)*0.961038961038961</f>
        <v>260.463506493507</v>
      </c>
      <c r="X151" s="77" t="n">
        <f aca="false">'Price History'!C3+('Price History'!C158-'Price History'!C3)*0.961038961038961</f>
        <v>175.027532467532</v>
      </c>
      <c r="Y151" s="77" t="n">
        <f aca="false">'Price History'!D3+('Price History'!D158-'Price History'!D3)*0.961038961038961</f>
        <v>1591.3161038961</v>
      </c>
      <c r="Z151" s="77" t="n">
        <f aca="false">'Price History'!E3+('Price History'!E158-'Price History'!E3)*0.961038961038961</f>
        <v>377.346233766234</v>
      </c>
      <c r="AA151" s="77" t="n">
        <f aca="false">'Price History'!F3+('Price History'!F158-'Price History'!F3)*0.961038961038961</f>
        <v>184.867792207792</v>
      </c>
      <c r="AB151" s="77" t="n">
        <f aca="false">'Price History'!G3+('Price History'!G158-'Price History'!G3)*0.961038961038961</f>
        <v>177.563376623377</v>
      </c>
      <c r="AC151" s="77" t="n">
        <f aca="false">'Price History'!H3+('Price History'!H158-'Price History'!H3)*0.961038961038961</f>
        <v>793.471818181818</v>
      </c>
      <c r="AD151" s="77" t="n">
        <f aca="false">'Price History'!I3+('Price History'!I158-'Price History'!I3)*0.961038961038961</f>
        <v>194.52012987013</v>
      </c>
      <c r="AE151" s="77" t="n">
        <f aca="false">'Price History'!J3+('Price History'!J158-'Price History'!J3)*0.961038961038961</f>
        <v>143.787922077922</v>
      </c>
      <c r="AF151" s="77" t="n">
        <f aca="false">'Price History'!K3+('Price History'!K158-'Price History'!K3)*0.961038961038961</f>
        <v>118.865844155844</v>
      </c>
      <c r="AG151" s="77" t="n">
        <f aca="false">'Price History'!L3+('Price History'!L158-'Price History'!L3)*0.961038961038961</f>
        <v>392.084025974026</v>
      </c>
      <c r="AH151" s="77" t="n">
        <f aca="false">'Price History'!M3+('Price History'!M158-'Price History'!M3)*0.961038961038961</f>
        <v>233.463766233766</v>
      </c>
      <c r="AI151" s="77" t="n">
        <f aca="false">'Price History'!N3+('Price History'!N158-'Price History'!N3)*0.961038961038961</f>
        <v>472.142597402597</v>
      </c>
      <c r="AJ151" s="77" t="n">
        <f aca="false">'Price History'!O3+('Price History'!O158-'Price History'!O3)*0.961038961038961</f>
        <v>123.626883116883</v>
      </c>
      <c r="AK151" s="77" t="n">
        <f aca="false">'Price History'!Q3+('Price History'!Q151-'Price History'!Q3)*0.961038961038961</f>
        <v>67.7249350649351</v>
      </c>
      <c r="AL151" s="77" t="n">
        <f aca="false">'Price History'!R3+('Price History'!R158-'Price History'!R3)*0.961038961038961</f>
        <v>57.8436363636364</v>
      </c>
      <c r="AM151" s="77" t="n">
        <f aca="false">'Price History'!S3+('Price History'!S158-'Price History'!S3)*0.961038961038961</f>
        <v>140.507012987013</v>
      </c>
      <c r="AN151" s="77" t="n">
        <f aca="false">'Price History'!T3+('Price History'!T158-'Price History'!T3)*0.961038961038961</f>
        <v>48.8505194805195</v>
      </c>
    </row>
    <row r="152" customFormat="false" ht="15" hidden="false" customHeight="true" outlineLevel="0" collapsed="false">
      <c r="A152" s="49" t="n">
        <f aca="false">IF('Price History'!A153="","",'Price History'!A153)</f>
        <v>46199</v>
      </c>
      <c r="B152" s="76" t="n">
        <f aca="false">IFERROR(IF(OR(NOT(ISNUMBER('Price History'!B153)),NOT(ISNUMBER('Price History'!B152)),'Price History'!B152=0),"",'Price History'!B153/'Price History'!B152-1),"")</f>
        <v>0.0387886862061897</v>
      </c>
      <c r="C152" s="76" t="n">
        <f aca="false">IFERROR(IF(OR(NOT(ISNUMBER('Price History'!C153)),NOT(ISNUMBER('Price History'!C152)),'Price History'!C152=0),"",'Price History'!C153/'Price History'!C152-1),"")</f>
        <v>-0.0711380915895562</v>
      </c>
      <c r="D152" s="76" t="n">
        <f aca="false">IFERROR(IF(OR(NOT(ISNUMBER('Price History'!D153)),NOT(ISNUMBER('Price History'!D152)),'Price History'!D152=0),"",'Price History'!D153/'Price History'!D152-1),"")</f>
        <v>-0.0699908793167781</v>
      </c>
      <c r="E152" s="76" t="n">
        <f aca="false">IFERROR(IF(OR(NOT(ISNUMBER('Price History'!E153)),NOT(ISNUMBER('Price History'!E152)),'Price History'!E152=0),"",'Price History'!E153/'Price History'!E152-1),"")</f>
        <v>-0.112629147927556</v>
      </c>
      <c r="F152" s="76" t="n">
        <f aca="false">IFERROR(IF(OR(NOT(ISNUMBER('Price History'!F153)),NOT(ISNUMBER('Price History'!F152)),'Price History'!F152=0),"",'Price History'!F153/'Price History'!F152-1),"")</f>
        <v>0.0236537787641631</v>
      </c>
      <c r="G152" s="76" t="n">
        <f aca="false">IFERROR(IF(OR(NOT(ISNUMBER('Price History'!G153)),NOT(ISNUMBER('Price History'!G152)),'Price History'!G152=0),"",'Price History'!G153/'Price History'!G152-1),"")</f>
        <v>-0.0420711974110033</v>
      </c>
      <c r="H152" s="76" t="n">
        <f aca="false">IFERROR(IF(OR(NOT(ISNUMBER('Price History'!H153)),NOT(ISNUMBER('Price History'!H152)),'Price History'!H152=0),"",'Price History'!H153/'Price History'!H152-1),"")</f>
        <v>-0.00146385770597635</v>
      </c>
      <c r="I152" s="76" t="n">
        <f aca="false">IFERROR(IF(OR(NOT(ISNUMBER('Price History'!I153)),NOT(ISNUMBER('Price History'!I152)),'Price History'!I152=0),"",'Price History'!I153/'Price History'!I152-1),"")</f>
        <v>-0.0861929849541981</v>
      </c>
      <c r="J152" s="76" t="n">
        <f aca="false">IFERROR(IF(OR(NOT(ISNUMBER('Price History'!J153)),NOT(ISNUMBER('Price History'!J152)),'Price History'!J152=0),"",'Price History'!J153/'Price History'!J152-1),"")</f>
        <v>-0.00405578482994162</v>
      </c>
      <c r="K152" s="76" t="n">
        <f aca="false">IFERROR(IF(OR(NOT(ISNUMBER('Price History'!K153)),NOT(ISNUMBER('Price History'!K152)),'Price History'!K152=0),"",'Price History'!K153/'Price History'!K152-1),"")</f>
        <v>-0.120962092317273</v>
      </c>
      <c r="L152" s="76" t="n">
        <f aca="false">IFERROR(IF(OR(NOT(ISNUMBER('Price History'!L153)),NOT(ISNUMBER('Price History'!L152)),'Price History'!L152=0),"",'Price History'!L153/'Price History'!L152-1),"")</f>
        <v>-0.0644204968406474</v>
      </c>
      <c r="M152" s="76" t="n">
        <f aca="false">IFERROR(IF(OR(NOT(ISNUMBER('Price History'!M153)),NOT(ISNUMBER('Price History'!M152)),'Price History'!M152=0),"",'Price History'!M153/'Price History'!M152-1),"")</f>
        <v>-0.0873742681279088</v>
      </c>
      <c r="N152" s="76" t="n">
        <f aca="false">IFERROR(IF(OR(NOT(ISNUMBER('Price History'!N153)),NOT(ISNUMBER('Price History'!N152)),'Price History'!N152=0),"",'Price History'!N153/'Price History'!N152-1),"")</f>
        <v>0.0879259570887674</v>
      </c>
      <c r="O152" s="76" t="n">
        <f aca="false">IFERROR(IF(OR(NOT(ISNUMBER('Price History'!O153)),NOT(ISNUMBER('Price History'!O152)),'Price History'!O152=0),"",'Price History'!O153/'Price History'!O152-1),"")</f>
        <v>0.0240983606557377</v>
      </c>
      <c r="P152" s="76" t="str">
        <f aca="false">IFERROR(IF(OR(NOT(ISNUMBER('Price History'!P153)),NOT(ISNUMBER('Price History'!P152)),'Price History'!P152=0),"",'Price History'!P153/'Price History'!P152-1),"")</f>
        <v/>
      </c>
      <c r="Q152" s="76" t="str">
        <f aca="false">IFERROR(IF(OR(NOT(ISNUMBER('Price History'!Q153)),NOT(ISNUMBER('Price History'!Q152)),'Price History'!Q152=0),"",'Price History'!Q153/'Price History'!Q152-1),"")</f>
        <v/>
      </c>
      <c r="R152" s="76" t="n">
        <f aca="false">IFERROR(IF(OR(NOT(ISNUMBER('Price History'!R153)),NOT(ISNUMBER('Price History'!R152)),'Price History'!R152=0),"",'Price History'!R153/'Price History'!R152-1),"")</f>
        <v>-0.0313009455493969</v>
      </c>
      <c r="S152" s="76" t="n">
        <f aca="false">IFERROR(IF(OR(NOT(ISNUMBER('Price History'!S153)),NOT(ISNUMBER('Price History'!S152)),'Price History'!S152=0),"",'Price History'!S153/'Price History'!S152-1),"")</f>
        <v>-0.0356472795497187</v>
      </c>
      <c r="T152" s="76" t="n">
        <f aca="false">IFERROR(IF(OR(NOT(ISNUMBER('Price History'!T153)),NOT(ISNUMBER('Price History'!T152)),'Price History'!T152=0),"",'Price History'!T153/'Price History'!T152-1),"")</f>
        <v>0.0207734806629833</v>
      </c>
      <c r="U152" s="76" t="str">
        <f aca="false">IFERROR(IF(OR(NOT(ISNUMBER('Price History'!U153)),NOT(ISNUMBER('Price History'!U152)),'Price History'!U152=0),"",'Price History'!U153/'Price History'!U152-1),"")</f>
        <v/>
      </c>
      <c r="W152" s="77" t="n">
        <f aca="false">'Price History'!B3+('Price History'!B158-'Price History'!B3)*0.967532467532468</f>
        <v>258.787922077922</v>
      </c>
      <c r="X152" s="77" t="n">
        <f aca="false">'Price History'!C3+('Price History'!C158-'Price History'!C3)*0.967532467532468</f>
        <v>175.91461038961</v>
      </c>
      <c r="Y152" s="77" t="n">
        <f aca="false">'Price History'!D3+('Price History'!D158-'Price History'!D3)*0.967532467532468</f>
        <v>1597.59675324675</v>
      </c>
      <c r="Z152" s="77" t="n">
        <f aca="false">'Price History'!E3+('Price History'!E158-'Price History'!E3)*0.967532467532468</f>
        <v>379.335194805195</v>
      </c>
      <c r="AA152" s="77" t="n">
        <f aca="false">'Price History'!F3+('Price History'!F158-'Price History'!F3)*0.967532467532468</f>
        <v>185.866493506494</v>
      </c>
      <c r="AB152" s="77" t="n">
        <f aca="false">'Price History'!G3+('Price History'!G158-'Price History'!G3)*0.967532467532468</f>
        <v>178.439480519481</v>
      </c>
      <c r="AC152" s="77" t="n">
        <f aca="false">'Price History'!H3+('Price History'!H158-'Price History'!H3)*0.967532467532468</f>
        <v>798.398181818182</v>
      </c>
      <c r="AD152" s="77" t="n">
        <f aca="false">'Price History'!I3+('Price History'!I158-'Price History'!I3)*0.967532467532468</f>
        <v>195.558441558442</v>
      </c>
      <c r="AE152" s="77" t="n">
        <f aca="false">'Price History'!J3+('Price History'!J158-'Price History'!J3)*0.967532467532468</f>
        <v>143.924935064935</v>
      </c>
      <c r="AF152" s="77" t="n">
        <f aca="false">'Price History'!K3+('Price History'!K158-'Price History'!K3)*0.967532467532468</f>
        <v>119.56487012987</v>
      </c>
      <c r="AG152" s="77" t="n">
        <f aca="false">'Price History'!L3+('Price History'!L158-'Price History'!L3)*0.967532467532468</f>
        <v>394.111688311688</v>
      </c>
      <c r="AH152" s="77" t="n">
        <f aca="false">'Price History'!M3+('Price History'!M158-'Price History'!M3)*0.967532467532468</f>
        <v>234.814805194805</v>
      </c>
      <c r="AI152" s="77" t="n">
        <f aca="false">'Price History'!N3+('Price History'!N158-'Price History'!N3)*0.967532467532468</f>
        <v>472.968831168831</v>
      </c>
      <c r="AJ152" s="77" t="n">
        <f aca="false">'Price History'!O3+('Price History'!O158-'Price History'!O3)*0.967532467532468</f>
        <v>123.902402597403</v>
      </c>
      <c r="AK152" s="77" t="n">
        <f aca="false">'Price History'!Q3+('Price History'!Q151-'Price History'!Q3)*0.967532467532468</f>
        <v>67.8457792207792</v>
      </c>
      <c r="AL152" s="77" t="n">
        <f aca="false">'Price History'!R3+('Price History'!R158-'Price History'!R3)*0.967532467532468</f>
        <v>57.9113636363636</v>
      </c>
      <c r="AM152" s="77" t="n">
        <f aca="false">'Price History'!S3+('Price History'!S158-'Price History'!S3)*0.967532467532468</f>
        <v>141.060844155844</v>
      </c>
      <c r="AN152" s="77" t="n">
        <f aca="false">'Price History'!T3+('Price History'!T158-'Price History'!T3)*0.967532467532468</f>
        <v>48.9987662337663</v>
      </c>
    </row>
    <row r="153" customFormat="false" ht="15" hidden="false" customHeight="true" outlineLevel="0" collapsed="false">
      <c r="A153" s="49" t="n">
        <f aca="false">IF('Price History'!A154="","",'Price History'!A154)</f>
        <v>46205</v>
      </c>
      <c r="B153" s="76" t="n">
        <f aca="false">IFERROR(IF(OR(NOT(ISNUMBER('Price History'!B154)),NOT(ISNUMBER('Price History'!B153)),'Price History'!B153=0),"",'Price History'!B154/'Price History'!B153-1),"")</f>
        <v>0.0838060474522764</v>
      </c>
      <c r="C153" s="76" t="n">
        <f aca="false">IFERROR(IF(OR(NOT(ISNUMBER('Price History'!C154)),NOT(ISNUMBER('Price History'!C153)),'Price History'!C153=0),"",'Price History'!C154/'Price History'!C153-1),"")</f>
        <v>0.0151649746192895</v>
      </c>
      <c r="D153" s="76" t="n">
        <f aca="false">IFERROR(IF(OR(NOT(ISNUMBER('Price History'!D154)),NOT(ISNUMBER('Price History'!D153)),'Price History'!D153=0),"",'Price History'!D154/'Price History'!D153-1),"")</f>
        <v>-0.0140976919905049</v>
      </c>
      <c r="E153" s="76" t="n">
        <f aca="false">IFERROR(IF(OR(NOT(ISNUMBER('Price History'!E154)),NOT(ISNUMBER('Price History'!E153)),'Price History'!E153=0),"",'Price History'!E154/'Price History'!E153-1),"")</f>
        <v>-0.0125198619253739</v>
      </c>
      <c r="F153" s="76" t="n">
        <f aca="false">IFERROR(IF(OR(NOT(ISNUMBER('Price History'!F154)),NOT(ISNUMBER('Price History'!F153)),'Price History'!F153=0),"",'Price History'!F154/'Price History'!F153-1),"")</f>
        <v>0.106749586352485</v>
      </c>
      <c r="G153" s="76" t="n">
        <f aca="false">IFERROR(IF(OR(NOT(ISNUMBER('Price History'!G154)),NOT(ISNUMBER('Price History'!G153)),'Price History'!G153=0),"",'Price History'!G154/'Price History'!G153-1),"")</f>
        <v>-0.0526463963963963</v>
      </c>
      <c r="H153" s="76" t="n">
        <f aca="false">IFERROR(IF(OR(NOT(ISNUMBER('Price History'!H154)),NOT(ISNUMBER('Price History'!H153)),'Price History'!H153=0),"",'Price History'!H154/'Price History'!H153-1),"")</f>
        <v>-0.138449038707797</v>
      </c>
      <c r="I153" s="76" t="n">
        <f aca="false">IFERROR(IF(OR(NOT(ISNUMBER('Price History'!I154)),NOT(ISNUMBER('Price History'!I153)),'Price History'!I153=0),"",'Price History'!I154/'Price History'!I153-1),"")</f>
        <v>0.011946190204124</v>
      </c>
      <c r="J153" s="76" t="n">
        <f aca="false">IFERROR(IF(OR(NOT(ISNUMBER('Price History'!J154)),NOT(ISNUMBER('Price History'!J153)),'Price History'!J153=0),"",'Price History'!J154/'Price History'!J153-1),"")</f>
        <v>-0.00385796956490669</v>
      </c>
      <c r="K153" s="76" t="n">
        <f aca="false">IFERROR(IF(OR(NOT(ISNUMBER('Price History'!K154)),NOT(ISNUMBER('Price History'!K153)),'Price History'!K153=0),"",'Price History'!K154/'Price History'!K153-1),"")</f>
        <v>0.144957053041707</v>
      </c>
      <c r="L153" s="76" t="n">
        <f aca="false">IFERROR(IF(OR(NOT(ISNUMBER('Price History'!L154)),NOT(ISNUMBER('Price History'!L153)),'Price History'!L153=0),"",'Price History'!L154/'Price History'!L153-1),"")</f>
        <v>0.00418642303689132</v>
      </c>
      <c r="M153" s="76" t="n">
        <f aca="false">IFERROR(IF(OR(NOT(ISNUMBER('Price History'!M154)),NOT(ISNUMBER('Price History'!M153)),'Price History'!M153=0),"",'Price History'!M154/'Price History'!M153-1),"")</f>
        <v>-0.0112518506333279</v>
      </c>
      <c r="N153" s="76" t="n">
        <f aca="false">IFERROR(IF(OR(NOT(ISNUMBER('Price History'!N154)),NOT(ISNUMBER('Price History'!N153)),'Price History'!N153=0),"",'Price History'!N154/'Price History'!N153-1),"")</f>
        <v>0.074693694793829</v>
      </c>
      <c r="O153" s="76" t="n">
        <f aca="false">IFERROR(IF(OR(NOT(ISNUMBER('Price History'!O154)),NOT(ISNUMBER('Price History'!O153)),'Price History'!O153=0),"",'Price History'!O154/'Price History'!O153-1),"")</f>
        <v>-0.0114454938370417</v>
      </c>
      <c r="P153" s="76" t="str">
        <f aca="false">IFERROR(IF(OR(NOT(ISNUMBER('Price History'!P154)),NOT(ISNUMBER('Price History'!P153)),'Price History'!P153=0),"",'Price History'!P154/'Price History'!P153-1),"")</f>
        <v/>
      </c>
      <c r="Q153" s="76" t="str">
        <f aca="false">IFERROR(IF(OR(NOT(ISNUMBER('Price History'!Q154)),NOT(ISNUMBER('Price History'!Q153)),'Price History'!Q153=0),"",'Price History'!Q154/'Price History'!Q153-1),"")</f>
        <v/>
      </c>
      <c r="R153" s="76" t="n">
        <f aca="false">IFERROR(IF(OR(NOT(ISNUMBER('Price History'!R154)),NOT(ISNUMBER('Price History'!R153)),'Price History'!R153=0),"",'Price History'!R154/'Price History'!R153-1),"")</f>
        <v>-0.000504880511612238</v>
      </c>
      <c r="S153" s="76" t="n">
        <f aca="false">IFERROR(IF(OR(NOT(ISNUMBER('Price History'!S154)),NOT(ISNUMBER('Price History'!S153)),'Price History'!S153=0),"",'Price History'!S154/'Price History'!S153-1),"")</f>
        <v>-0.0218547341115433</v>
      </c>
      <c r="T153" s="76" t="n">
        <f aca="false">IFERROR(IF(OR(NOT(ISNUMBER('Price History'!T154)),NOT(ISNUMBER('Price History'!T153)),'Price History'!T153=0),"",'Price History'!T154/'Price History'!T153-1),"")</f>
        <v>0.0175362632604461</v>
      </c>
      <c r="U153" s="76" t="str">
        <f aca="false">IFERROR(IF(OR(NOT(ISNUMBER('Price History'!U154)),NOT(ISNUMBER('Price History'!U153)),'Price History'!U153=0),"",'Price History'!U154/'Price History'!U153-1),"")</f>
        <v/>
      </c>
      <c r="W153" s="77" t="n">
        <f aca="false">'Price History'!B3+('Price History'!B158-'Price History'!B3)*0.974025974025974</f>
        <v>257.112337662338</v>
      </c>
      <c r="X153" s="77" t="n">
        <f aca="false">'Price History'!C3+('Price History'!C158-'Price History'!C3)*0.974025974025974</f>
        <v>176.801688311688</v>
      </c>
      <c r="Y153" s="77" t="n">
        <f aca="false">'Price History'!D3+('Price History'!D158-'Price History'!D3)*0.974025974025974</f>
        <v>1603.8774025974</v>
      </c>
      <c r="Z153" s="77" t="n">
        <f aca="false">'Price History'!E3+('Price History'!E158-'Price History'!E3)*0.974025974025974</f>
        <v>381.324155844156</v>
      </c>
      <c r="AA153" s="77" t="n">
        <f aca="false">'Price History'!F3+('Price History'!F158-'Price History'!F3)*0.974025974025974</f>
        <v>186.865194805195</v>
      </c>
      <c r="AB153" s="77" t="n">
        <f aca="false">'Price History'!G3+('Price History'!G158-'Price History'!G3)*0.974025974025974</f>
        <v>179.315584415584</v>
      </c>
      <c r="AC153" s="77" t="n">
        <f aca="false">'Price History'!H3+('Price History'!H158-'Price History'!H3)*0.974025974025974</f>
        <v>803.324545454545</v>
      </c>
      <c r="AD153" s="77" t="n">
        <f aca="false">'Price History'!I3+('Price History'!I158-'Price History'!I3)*0.974025974025974</f>
        <v>196.596753246753</v>
      </c>
      <c r="AE153" s="77" t="n">
        <f aca="false">'Price History'!J3+('Price History'!J158-'Price History'!J3)*0.974025974025974</f>
        <v>144.061948051948</v>
      </c>
      <c r="AF153" s="77" t="n">
        <f aca="false">'Price History'!K3+('Price History'!K158-'Price History'!K3)*0.974025974025974</f>
        <v>120.263896103896</v>
      </c>
      <c r="AG153" s="77" t="n">
        <f aca="false">'Price History'!L3+('Price History'!L158-'Price History'!L3)*0.974025974025974</f>
        <v>396.139350649351</v>
      </c>
      <c r="AH153" s="77" t="n">
        <f aca="false">'Price History'!M3+('Price History'!M158-'Price History'!M3)*0.974025974025974</f>
        <v>236.165844155844</v>
      </c>
      <c r="AI153" s="77" t="n">
        <f aca="false">'Price History'!N3+('Price History'!N158-'Price History'!N3)*0.974025974025974</f>
        <v>473.795064935065</v>
      </c>
      <c r="AJ153" s="77" t="n">
        <f aca="false">'Price History'!O3+('Price History'!O158-'Price History'!O3)*0.974025974025974</f>
        <v>124.177922077922</v>
      </c>
      <c r="AK153" s="77" t="n">
        <f aca="false">'Price History'!Q3+('Price History'!Q151-'Price History'!Q3)*0.974025974025974</f>
        <v>67.9666233766234</v>
      </c>
      <c r="AL153" s="77" t="n">
        <f aca="false">'Price History'!R3+('Price History'!R158-'Price History'!R3)*0.974025974025974</f>
        <v>57.9790909090909</v>
      </c>
      <c r="AM153" s="77" t="n">
        <f aca="false">'Price History'!S3+('Price History'!S158-'Price History'!S3)*0.974025974025974</f>
        <v>141.614675324675</v>
      </c>
      <c r="AN153" s="77" t="n">
        <f aca="false">'Price History'!T3+('Price History'!T158-'Price History'!T3)*0.974025974025974</f>
        <v>49.147012987013</v>
      </c>
    </row>
    <row r="154" customFormat="false" ht="15" hidden="false" customHeight="true" outlineLevel="0" collapsed="false">
      <c r="A154" s="49" t="n">
        <f aca="false">IF('Price History'!A155="","",'Price History'!A155)</f>
        <v>46213</v>
      </c>
      <c r="B154" s="76" t="n">
        <f aca="false">IFERROR(IF(OR(NOT(ISNUMBER('Price History'!B155)),NOT(ISNUMBER('Price History'!B154)),'Price History'!B154=0),"",'Price History'!B155/'Price History'!B154-1),"")</f>
        <v>0.0178408884034225</v>
      </c>
      <c r="C154" s="76" t="n">
        <f aca="false">IFERROR(IF(OR(NOT(ISNUMBER('Price History'!C155)),NOT(ISNUMBER('Price History'!C154)),'Price History'!C154=0),"",'Price History'!C155/'Price History'!C154-1),"")</f>
        <v>0.168573035814738</v>
      </c>
      <c r="D154" s="76" t="n">
        <f aca="false">IFERROR(IF(OR(NOT(ISNUMBER('Price History'!D155)),NOT(ISNUMBER('Price History'!D154)),'Price History'!D154=0),"",'Price History'!D155/'Price History'!D154-1),"")</f>
        <v>0.0158252888115209</v>
      </c>
      <c r="E154" s="76" t="n">
        <f aca="false">IFERROR(IF(OR(NOT(ISNUMBER('Price History'!E155)),NOT(ISNUMBER('Price History'!E154)),'Price History'!E154=0),"",'Price History'!E155/'Price History'!E154-1),"")</f>
        <v>0.109640726869191</v>
      </c>
      <c r="F154" s="76" t="n">
        <f aca="false">IFERROR(IF(OR(NOT(ISNUMBER('Price History'!F155)),NOT(ISNUMBER('Price History'!F154)),'Price History'!F154=0),"",'Price History'!F155/'Price History'!F154-1),"")</f>
        <v>-0.0350551603258067</v>
      </c>
      <c r="G154" s="76" t="n">
        <f aca="false">IFERROR(IF(OR(NOT(ISNUMBER('Price History'!G155)),NOT(ISNUMBER('Price History'!G154)),'Price History'!G154=0),"",'Price History'!G155/'Price History'!G154-1),"")</f>
        <v>-0.0171088940776906</v>
      </c>
      <c r="H154" s="76" t="n">
        <f aca="false">IFERROR(IF(OR(NOT(ISNUMBER('Price History'!H155)),NOT(ISNUMBER('Price History'!H154)),'Price History'!H154=0),"",'Price History'!H155/'Price History'!H154-1),"")</f>
        <v>0.00383369551847146</v>
      </c>
      <c r="I154" s="76" t="n">
        <f aca="false">IFERROR(IF(OR(NOT(ISNUMBER('Price History'!I155)),NOT(ISNUMBER('Price History'!I154)),'Price History'!I154=0),"",'Price History'!I155/'Price History'!I154-1),"")</f>
        <v>0.0827901247241185</v>
      </c>
      <c r="J154" s="76" t="n">
        <f aca="false">IFERROR(IF(OR(NOT(ISNUMBER('Price History'!J155)),NOT(ISNUMBER('Price History'!J154)),'Price History'!J154=0),"",'Price History'!J155/'Price History'!J154-1),"")</f>
        <v>0.0103277630352148</v>
      </c>
      <c r="K154" s="76" t="n">
        <f aca="false">IFERROR(IF(OR(NOT(ISNUMBER('Price History'!K155)),NOT(ISNUMBER('Price History'!K154)),'Price History'!K154=0),"",'Price History'!K155/'Price History'!K154-1),"")</f>
        <v>-0.0194122196442382</v>
      </c>
      <c r="L154" s="76" t="n">
        <f aca="false">IFERROR(IF(OR(NOT(ISNUMBER('Price History'!L155)),NOT(ISNUMBER('Price History'!L154)),'Price History'!L154=0),"",'Price History'!L155/'Price History'!L154-1),"")</f>
        <v>-0.000115164916159927</v>
      </c>
      <c r="M154" s="76" t="n">
        <f aca="false">IFERROR(IF(OR(NOT(ISNUMBER('Price History'!M155)),NOT(ISNUMBER('Price History'!M154)),'Price History'!M154=0),"",'Price History'!M155/'Price History'!M154-1),"")</f>
        <v>0.0609922470302466</v>
      </c>
      <c r="N154" s="76" t="n">
        <f aca="false">IFERROR(IF(OR(NOT(ISNUMBER('Price History'!N155)),NOT(ISNUMBER('Price History'!N154)),'Price History'!N154=0),"",'Price History'!N155/'Price History'!N154-1),"")</f>
        <v>-0.0807703961821074</v>
      </c>
      <c r="O154" s="76" t="n">
        <f aca="false">IFERROR(IF(OR(NOT(ISNUMBER('Price History'!O155)),NOT(ISNUMBER('Price History'!O154)),'Price History'!O154=0),"",'Price History'!O155/'Price History'!O154-1),"")</f>
        <v>0.00356246457776699</v>
      </c>
      <c r="P154" s="76" t="str">
        <f aca="false">IFERROR(IF(OR(NOT(ISNUMBER('Price History'!P155)),NOT(ISNUMBER('Price History'!P154)),'Price History'!P154=0),"",'Price History'!P155/'Price History'!P154-1),"")</f>
        <v/>
      </c>
      <c r="Q154" s="76" t="str">
        <f aca="false">IFERROR(IF(OR(NOT(ISNUMBER('Price History'!Q155)),NOT(ISNUMBER('Price History'!Q154)),'Price History'!Q154=0),"",'Price History'!Q155/'Price History'!Q154-1),"")</f>
        <v/>
      </c>
      <c r="R154" s="76" t="n">
        <f aca="false">IFERROR(IF(OR(NOT(ISNUMBER('Price History'!R155)),NOT(ISNUMBER('Price History'!R154)),'Price History'!R154=0),"",'Price History'!R155/'Price History'!R154-1),"")</f>
        <v>0.0188583936689677</v>
      </c>
      <c r="S154" s="76" t="n">
        <f aca="false">IFERROR(IF(OR(NOT(ISNUMBER('Price History'!S155)),NOT(ISNUMBER('Price History'!S154)),'Price History'!S154=0),"",'Price History'!S155/'Price History'!S154-1),"")</f>
        <v>0.0193595438573226</v>
      </c>
      <c r="T154" s="76" t="n">
        <f aca="false">IFERROR(IF(OR(NOT(ISNUMBER('Price History'!T155)),NOT(ISNUMBER('Price History'!T154)),'Price History'!T154=0),"",'Price History'!T155/'Price History'!T154-1),"")</f>
        <v>0.00829787234042545</v>
      </c>
      <c r="U154" s="76" t="str">
        <f aca="false">IFERROR(IF(OR(NOT(ISNUMBER('Price History'!U155)),NOT(ISNUMBER('Price History'!U154)),'Price History'!U154=0),"",'Price History'!U155/'Price History'!U154-1),"")</f>
        <v/>
      </c>
      <c r="W154" s="77" t="n">
        <f aca="false">'Price History'!B3+('Price History'!B158-'Price History'!B3)*0.980519480519481</f>
        <v>255.436753246753</v>
      </c>
      <c r="X154" s="77" t="n">
        <f aca="false">'Price History'!C3+('Price History'!C158-'Price History'!C3)*0.980519480519481</f>
        <v>177.688766233766</v>
      </c>
      <c r="Y154" s="77" t="n">
        <f aca="false">'Price History'!D3+('Price History'!D158-'Price History'!D3)*0.980519480519481</f>
        <v>1610.15805194805</v>
      </c>
      <c r="Z154" s="77" t="n">
        <f aca="false">'Price History'!E3+('Price History'!E158-'Price History'!E3)*0.980519480519481</f>
        <v>383.313116883117</v>
      </c>
      <c r="AA154" s="77" t="n">
        <f aca="false">'Price History'!F3+('Price History'!F158-'Price History'!F3)*0.980519480519481</f>
        <v>187.863896103896</v>
      </c>
      <c r="AB154" s="77" t="n">
        <f aca="false">'Price History'!G3+('Price History'!G158-'Price History'!G3)*0.980519480519481</f>
        <v>180.191688311688</v>
      </c>
      <c r="AC154" s="77" t="n">
        <f aca="false">'Price History'!H3+('Price History'!H158-'Price History'!H3)*0.980519480519481</f>
        <v>808.250909090909</v>
      </c>
      <c r="AD154" s="77" t="n">
        <f aca="false">'Price History'!I3+('Price History'!I158-'Price History'!I3)*0.980519480519481</f>
        <v>197.635064935065</v>
      </c>
      <c r="AE154" s="77" t="n">
        <f aca="false">'Price History'!J3+('Price History'!J158-'Price History'!J3)*0.980519480519481</f>
        <v>144.198961038961</v>
      </c>
      <c r="AF154" s="77" t="n">
        <f aca="false">'Price History'!K3+('Price History'!K158-'Price History'!K3)*0.980519480519481</f>
        <v>120.962922077922</v>
      </c>
      <c r="AG154" s="77" t="n">
        <f aca="false">'Price History'!L3+('Price History'!L158-'Price History'!L3)*0.980519480519481</f>
        <v>398.167012987013</v>
      </c>
      <c r="AH154" s="77" t="n">
        <f aca="false">'Price History'!M3+('Price History'!M158-'Price History'!M3)*0.980519480519481</f>
        <v>237.516883116883</v>
      </c>
      <c r="AI154" s="77" t="n">
        <f aca="false">'Price History'!N3+('Price History'!N158-'Price History'!N3)*0.980519480519481</f>
        <v>474.621298701299</v>
      </c>
      <c r="AJ154" s="77" t="n">
        <f aca="false">'Price History'!O3+('Price History'!O158-'Price History'!O3)*0.980519480519481</f>
        <v>124.453441558442</v>
      </c>
      <c r="AK154" s="77" t="n">
        <f aca="false">'Price History'!Q3+('Price History'!Q151-'Price History'!Q3)*0.980519480519481</f>
        <v>68.0874675324675</v>
      </c>
      <c r="AL154" s="77" t="n">
        <f aca="false">'Price History'!R3+('Price History'!R158-'Price History'!R3)*0.980519480519481</f>
        <v>58.0468181818182</v>
      </c>
      <c r="AM154" s="77" t="n">
        <f aca="false">'Price History'!S3+('Price History'!S158-'Price History'!S3)*0.980519480519481</f>
        <v>142.168506493507</v>
      </c>
      <c r="AN154" s="77" t="n">
        <f aca="false">'Price History'!T3+('Price History'!T158-'Price History'!T3)*0.980519480519481</f>
        <v>49.2952597402598</v>
      </c>
    </row>
    <row r="155" customFormat="false" ht="15" hidden="false" customHeight="true" outlineLevel="0" collapsed="false">
      <c r="A155" s="49" t="n">
        <f aca="false">IF('Price History'!A156="","",'Price History'!A156)</f>
        <v>46220</v>
      </c>
      <c r="B155" s="76" t="n">
        <f aca="false">IFERROR(IF(OR(NOT(ISNUMBER('Price History'!B156)),NOT(ISNUMBER('Price History'!B155)),'Price History'!B155=0),"",'Price History'!B156/'Price History'!B155-1),"")</f>
        <v>0.0608567340368449</v>
      </c>
      <c r="C155" s="76" t="n">
        <f aca="false">IFERROR(IF(OR(NOT(ISNUMBER('Price History'!C156)),NOT(ISNUMBER('Price History'!C155)),'Price History'!C155=0),"",'Price History'!C156/'Price History'!C155-1),"")</f>
        <v>-0.0981493367565254</v>
      </c>
      <c r="D155" s="76" t="n">
        <f aca="false">IFERROR(IF(OR(NOT(ISNUMBER('Price History'!D156)),NOT(ISNUMBER('Price History'!D155)),'Price History'!D155=0),"",'Price History'!D156/'Price History'!D155-1),"")</f>
        <v>-0.027674537644938</v>
      </c>
      <c r="E155" s="76" t="n">
        <f aca="false">IFERROR(IF(OR(NOT(ISNUMBER('Price History'!E156)),NOT(ISNUMBER('Price History'!E155)),'Price History'!E155=0),"",'Price History'!E156/'Price History'!E155-1),"")</f>
        <v>-0.0728554641598121</v>
      </c>
      <c r="F155" s="76" t="n">
        <f aca="false">IFERROR(IF(OR(NOT(ISNUMBER('Price History'!F156)),NOT(ISNUMBER('Price History'!F155)),'Price History'!F155=0),"",'Price History'!F156/'Price History'!F155-1),"")</f>
        <v>0.0849449727534994</v>
      </c>
      <c r="G155" s="76" t="n">
        <f aca="false">IFERROR(IF(OR(NOT(ISNUMBER('Price History'!G156)),NOT(ISNUMBER('Price History'!G155)),'Price History'!G155=0),"",'Price History'!G156/'Price History'!G155-1),"")</f>
        <v>-0.0810729094678646</v>
      </c>
      <c r="H155" s="76" t="n">
        <f aca="false">IFERROR(IF(OR(NOT(ISNUMBER('Price History'!H156)),NOT(ISNUMBER('Price History'!H155)),'Price History'!H155=0),"",'Price History'!H156/'Price History'!H155-1),"")</f>
        <v>-0.133105279281119</v>
      </c>
      <c r="I155" s="76" t="n">
        <f aca="false">IFERROR(IF(OR(NOT(ISNUMBER('Price History'!I156)),NOT(ISNUMBER('Price History'!I155)),'Price History'!I155=0),"",'Price History'!I156/'Price History'!I155-1),"")</f>
        <v>-0.0386329161926432</v>
      </c>
      <c r="J155" s="76" t="n">
        <f aca="false">IFERROR(IF(OR(NOT(ISNUMBER('Price History'!J156)),NOT(ISNUMBER('Price History'!J155)),'Price History'!J155=0),"",'Price History'!J156/'Price History'!J155-1),"")</f>
        <v>0.0633207922197769</v>
      </c>
      <c r="K155" s="76" t="n">
        <f aca="false">IFERROR(IF(OR(NOT(ISNUMBER('Price History'!K156)),NOT(ISNUMBER('Price History'!K155)),'Price History'!K155=0),"",'Price History'!K156/'Price History'!K155-1),"")</f>
        <v>0.0440886505244893</v>
      </c>
      <c r="L155" s="76" t="n">
        <f aca="false">IFERROR(IF(OR(NOT(ISNUMBER('Price History'!L156)),NOT(ISNUMBER('Price History'!L155)),'Price History'!L155=0),"",'Price History'!L156/'Price History'!L155-1),"")</f>
        <v>-0.0823293635253738</v>
      </c>
      <c r="M155" s="76" t="n">
        <f aca="false">IFERROR(IF(OR(NOT(ISNUMBER('Price History'!M156)),NOT(ISNUMBER('Price History'!M155)),'Price History'!M155=0),"",'Price History'!M156/'Price History'!M155-1),"")</f>
        <v>-0.0918898576177634</v>
      </c>
      <c r="N155" s="76" t="n">
        <f aca="false">IFERROR(IF(OR(NOT(ISNUMBER('Price History'!N156)),NOT(ISNUMBER('Price History'!N155)),'Price History'!N155=0),"",'Price History'!N156/'Price History'!N155-1),"")</f>
        <v>0.000535651743958532</v>
      </c>
      <c r="O155" s="76" t="n">
        <f aca="false">IFERROR(IF(OR(NOT(ISNUMBER('Price History'!O156)),NOT(ISNUMBER('Price History'!O155)),'Price History'!O155=0),"",'Price History'!O156/'Price History'!O155-1),"")</f>
        <v>0.0112948769665187</v>
      </c>
      <c r="P155" s="76" t="str">
        <f aca="false">IFERROR(IF(OR(NOT(ISNUMBER('Price History'!P156)),NOT(ISNUMBER('Price History'!P155)),'Price History'!P155=0),"",'Price History'!P156/'Price History'!P155-1),"")</f>
        <v/>
      </c>
      <c r="Q155" s="76" t="str">
        <f aca="false">IFERROR(IF(OR(NOT(ISNUMBER('Price History'!Q156)),NOT(ISNUMBER('Price History'!Q155)),'Price History'!Q155=0),"",'Price History'!Q156/'Price History'!Q155-1),"")</f>
        <v/>
      </c>
      <c r="R155" s="76" t="n">
        <f aca="false">IFERROR(IF(OR(NOT(ISNUMBER('Price History'!R156)),NOT(ISNUMBER('Price History'!R155)),'Price History'!R155=0),"",'Price History'!R156/'Price History'!R155-1),"")</f>
        <v>-0.0330523880350355</v>
      </c>
      <c r="S155" s="76" t="n">
        <f aca="false">IFERROR(IF(OR(NOT(ISNUMBER('Price History'!S156)),NOT(ISNUMBER('Price History'!S155)),'Price History'!S155=0),"",'Price History'!S156/'Price History'!S155-1),"")</f>
        <v>-0.0641300813008131</v>
      </c>
      <c r="T155" s="76" t="n">
        <f aca="false">IFERROR(IF(OR(NOT(ISNUMBER('Price History'!T156)),NOT(ISNUMBER('Price History'!T155)),'Price History'!T155=0),"",'Price History'!T156/'Price History'!T155-1),"")</f>
        <v>0.0086516142646127</v>
      </c>
      <c r="U155" s="76" t="str">
        <f aca="false">IFERROR(IF(OR(NOT(ISNUMBER('Price History'!U156)),NOT(ISNUMBER('Price History'!U155)),'Price History'!U155=0),"",'Price History'!U156/'Price History'!U155-1),"")</f>
        <v/>
      </c>
      <c r="W155" s="77" t="n">
        <f aca="false">'Price History'!B3+('Price History'!B158-'Price History'!B3)*0.987012987012987</f>
        <v>253.761168831169</v>
      </c>
      <c r="X155" s="77" t="n">
        <f aca="false">'Price History'!C3+('Price History'!C158-'Price History'!C3)*0.987012987012987</f>
        <v>178.575844155844</v>
      </c>
      <c r="Y155" s="77" t="n">
        <f aca="false">'Price History'!D3+('Price History'!D158-'Price History'!D3)*0.987012987012987</f>
        <v>1616.4387012987</v>
      </c>
      <c r="Z155" s="77" t="n">
        <f aca="false">'Price History'!E3+('Price History'!E158-'Price History'!E3)*0.987012987012987</f>
        <v>385.302077922078</v>
      </c>
      <c r="AA155" s="77" t="n">
        <f aca="false">'Price History'!F3+('Price History'!F158-'Price History'!F3)*0.987012987012987</f>
        <v>188.862597402597</v>
      </c>
      <c r="AB155" s="77" t="n">
        <f aca="false">'Price History'!G3+('Price History'!G158-'Price History'!G3)*0.987012987012987</f>
        <v>181.067792207792</v>
      </c>
      <c r="AC155" s="77" t="n">
        <f aca="false">'Price History'!H3+('Price History'!H158-'Price History'!H3)*0.987012987012987</f>
        <v>813.177272727273</v>
      </c>
      <c r="AD155" s="77" t="n">
        <f aca="false">'Price History'!I3+('Price History'!I158-'Price History'!I3)*0.987012987012987</f>
        <v>198.673376623377</v>
      </c>
      <c r="AE155" s="77" t="n">
        <f aca="false">'Price History'!J3+('Price History'!J158-'Price History'!J3)*0.987012987012987</f>
        <v>144.335974025974</v>
      </c>
      <c r="AF155" s="77" t="n">
        <f aca="false">'Price History'!K3+('Price History'!K158-'Price History'!K3)*0.987012987012987</f>
        <v>121.661948051948</v>
      </c>
      <c r="AG155" s="77" t="n">
        <f aca="false">'Price History'!L3+('Price History'!L158-'Price History'!L3)*0.987012987012987</f>
        <v>400.194675324675</v>
      </c>
      <c r="AH155" s="77" t="n">
        <f aca="false">'Price History'!M3+('Price History'!M158-'Price History'!M3)*0.987012987012987</f>
        <v>238.867922077922</v>
      </c>
      <c r="AI155" s="77" t="n">
        <f aca="false">'Price History'!N3+('Price History'!N158-'Price History'!N3)*0.987012987012987</f>
        <v>475.447532467533</v>
      </c>
      <c r="AJ155" s="77" t="n">
        <f aca="false">'Price History'!O3+('Price History'!O158-'Price History'!O3)*0.987012987012987</f>
        <v>124.728961038961</v>
      </c>
      <c r="AK155" s="77" t="n">
        <f aca="false">'Price History'!Q3+('Price History'!Q151-'Price History'!Q3)*0.987012987012987</f>
        <v>68.2083116883117</v>
      </c>
      <c r="AL155" s="77" t="n">
        <f aca="false">'Price History'!R3+('Price History'!R158-'Price History'!R3)*0.987012987012987</f>
        <v>58.1145454545455</v>
      </c>
      <c r="AM155" s="77" t="n">
        <f aca="false">'Price History'!S3+('Price History'!S158-'Price History'!S3)*0.987012987012987</f>
        <v>142.722337662338</v>
      </c>
      <c r="AN155" s="77" t="n">
        <f aca="false">'Price History'!T3+('Price History'!T158-'Price History'!T3)*0.987012987012987</f>
        <v>49.4435064935065</v>
      </c>
    </row>
    <row r="156" customFormat="false" ht="15" hidden="false" customHeight="true" outlineLevel="0" collapsed="false">
      <c r="A156" s="49" t="n">
        <f aca="false">IF('Price History'!A157="","",'Price History'!A157)</f>
        <v>46227</v>
      </c>
      <c r="B156" s="76" t="n">
        <f aca="false">IFERROR(IF(OR(NOT(ISNUMBER('Price History'!B157)),NOT(ISNUMBER('Price History'!B156)),'Price History'!B156=0),"",'Price History'!B157/'Price History'!B156-1),"")</f>
        <v>-0.0511696522655426</v>
      </c>
      <c r="C156" s="76" t="n">
        <f aca="false">IFERROR(IF(OR(NOT(ISNUMBER('Price History'!C157)),NOT(ISNUMBER('Price History'!C156)),'Price History'!C156=0),"",'Price History'!C157/'Price History'!C156-1),"")</f>
        <v>0.0319079532649309</v>
      </c>
      <c r="D156" s="76" t="n">
        <f aca="false">IFERROR(IF(OR(NOT(ISNUMBER('Price History'!D157)),NOT(ISNUMBER('Price History'!D156)),'Price History'!D156=0),"",'Price History'!D157/'Price History'!D156-1),"")</f>
        <v>0.00544181096144381</v>
      </c>
      <c r="E156" s="76" t="n">
        <f aca="false">IFERROR(IF(OR(NOT(ISNUMBER('Price History'!E157)),NOT(ISNUMBER('Price History'!E156)),'Price History'!E156=0),"",'Price History'!E157/'Price History'!E156-1),"")</f>
        <v>0.0299058867944881</v>
      </c>
      <c r="F156" s="76" t="n">
        <f aca="false">IFERROR(IF(OR(NOT(ISNUMBER('Price History'!F157)),NOT(ISNUMBER('Price History'!F156)),'Price History'!F156=0),"",'Price History'!F157/'Price History'!F156-1),"")</f>
        <v>-0.0974985227496553</v>
      </c>
      <c r="G156" s="76" t="n">
        <f aca="false">IFERROR(IF(OR(NOT(ISNUMBER('Price History'!G157)),NOT(ISNUMBER('Price History'!G156)),'Price History'!G156=0),"",'Price History'!G157/'Price History'!G156-1),"")</f>
        <v>-0.01048178613396</v>
      </c>
      <c r="H156" s="76" t="n">
        <f aca="false">IFERROR(IF(OR(NOT(ISNUMBER('Price History'!H157)),NOT(ISNUMBER('Price History'!H156)),'Price History'!H156=0),"",'Price History'!H157/'Price History'!H156-1),"")</f>
        <v>0.0848106484480828</v>
      </c>
      <c r="I156" s="76" t="n">
        <f aca="false">IFERROR(IF(OR(NOT(ISNUMBER('Price History'!I157)),NOT(ISNUMBER('Price History'!I156)),'Price History'!I156=0),"",'Price History'!I157/'Price History'!I156-1),"")</f>
        <v>0.0198708150485676</v>
      </c>
      <c r="J156" s="76" t="n">
        <f aca="false">IFERROR(IF(OR(NOT(ISNUMBER('Price History'!J157)),NOT(ISNUMBER('Price History'!J156)),'Price History'!J156=0),"",'Price History'!J157/'Price History'!J156-1),"")</f>
        <v>-0.0144201882635689</v>
      </c>
      <c r="K156" s="76" t="n">
        <f aca="false">IFERROR(IF(OR(NOT(ISNUMBER('Price History'!K157)),NOT(ISNUMBER('Price History'!K156)),'Price History'!K156=0),"",'Price History'!K157/'Price History'!K156-1),"")</f>
        <v>-0.0714609457621996</v>
      </c>
      <c r="L156" s="76" t="n">
        <f aca="false">IFERROR(IF(OR(NOT(ISNUMBER('Price History'!L157)),NOT(ISNUMBER('Price History'!L156)),'Price History'!L156=0),"",'Price History'!L157/'Price History'!L156-1),"")</f>
        <v>0.0126515550869795</v>
      </c>
      <c r="M156" s="76" t="n">
        <f aca="false">IFERROR(IF(OR(NOT(ISNUMBER('Price History'!M157)),NOT(ISNUMBER('Price History'!M156)),'Price History'!M156=0),"",'Price History'!M157/'Price History'!M156-1),"")</f>
        <v>0.0027628125431689</v>
      </c>
      <c r="N156" s="76" t="n">
        <f aca="false">IFERROR(IF(OR(NOT(ISNUMBER('Price History'!N157)),NOT(ISNUMBER('Price History'!N156)),'Price History'!N156=0),"",'Price History'!N157/'Price History'!N156-1),"")</f>
        <v>-0.0170699063111294</v>
      </c>
      <c r="O156" s="76" t="n">
        <f aca="false">IFERROR(IF(OR(NOT(ISNUMBER('Price History'!O157)),NOT(ISNUMBER('Price History'!O156)),'Price History'!O156=0),"",'Price History'!O157/'Price History'!O156-1),"")</f>
        <v>-0.000558436378141125</v>
      </c>
      <c r="P156" s="76" t="str">
        <f aca="false">IFERROR(IF(OR(NOT(ISNUMBER('Price History'!P157)),NOT(ISNUMBER('Price History'!P156)),'Price History'!P156=0),"",'Price History'!P157/'Price History'!P156-1),"")</f>
        <v/>
      </c>
      <c r="Q156" s="76" t="str">
        <f aca="false">IFERROR(IF(OR(NOT(ISNUMBER('Price History'!Q157)),NOT(ISNUMBER('Price History'!Q156)),'Price History'!Q156=0),"",'Price History'!Q157/'Price History'!Q156-1),"")</f>
        <v/>
      </c>
      <c r="R156" s="76" t="n">
        <f aca="false">IFERROR(IF(OR(NOT(ISNUMBER('Price History'!R157)),NOT(ISNUMBER('Price History'!R156)),'Price History'!R156=0),"",'Price History'!R157/'Price History'!R156-1),"")</f>
        <v>-0.0094001025465732</v>
      </c>
      <c r="S156" s="76" t="n">
        <f aca="false">IFERROR(IF(OR(NOT(ISNUMBER('Price History'!S157)),NOT(ISNUMBER('Price History'!S156)),'Price History'!S156=0),"",'Price History'!S157/'Price History'!S156-1),"")</f>
        <v>0.0182083536034472</v>
      </c>
      <c r="T156" s="76" t="n">
        <f aca="false">IFERROR(IF(OR(NOT(ISNUMBER('Price History'!T157)),NOT(ISNUMBER('Price History'!T156)),'Price History'!T156=0),"",'Price History'!T157/'Price History'!T156-1),"")</f>
        <v>0.00711297071129713</v>
      </c>
      <c r="U156" s="76" t="str">
        <f aca="false">IFERROR(IF(OR(NOT(ISNUMBER('Price History'!U157)),NOT(ISNUMBER('Price History'!U156)),'Price History'!U156=0),"",'Price History'!U157/'Price History'!U156-1),"")</f>
        <v/>
      </c>
      <c r="W156" s="77" t="n">
        <f aca="false">'Price History'!B3+('Price History'!B158-'Price History'!B3)*0.993506493506494</f>
        <v>252.085584415584</v>
      </c>
      <c r="X156" s="77" t="n">
        <f aca="false">'Price History'!C3+('Price History'!C158-'Price History'!C3)*0.993506493506494</f>
        <v>179.462922077922</v>
      </c>
      <c r="Y156" s="77" t="n">
        <f aca="false">'Price History'!D3+('Price History'!D158-'Price History'!D3)*0.993506493506494</f>
        <v>1622.71935064935</v>
      </c>
      <c r="Z156" s="77" t="n">
        <f aca="false">'Price History'!E3+('Price History'!E158-'Price History'!E3)*0.993506493506494</f>
        <v>387.291038961039</v>
      </c>
      <c r="AA156" s="77" t="n">
        <f aca="false">'Price History'!F3+('Price History'!F158-'Price History'!F3)*0.993506493506494</f>
        <v>189.861298701299</v>
      </c>
      <c r="AB156" s="77" t="n">
        <f aca="false">'Price History'!G3+('Price History'!G158-'Price History'!G3)*0.993506493506494</f>
        <v>181.943896103896</v>
      </c>
      <c r="AC156" s="77" t="n">
        <f aca="false">'Price History'!H3+('Price History'!H158-'Price History'!H3)*0.993506493506494</f>
        <v>818.103636363637</v>
      </c>
      <c r="AD156" s="77" t="n">
        <f aca="false">'Price History'!I3+('Price History'!I158-'Price History'!I3)*0.993506493506494</f>
        <v>199.711688311688</v>
      </c>
      <c r="AE156" s="77" t="n">
        <f aca="false">'Price History'!J3+('Price History'!J158-'Price History'!J3)*0.993506493506494</f>
        <v>144.472987012987</v>
      </c>
      <c r="AF156" s="77" t="n">
        <f aca="false">'Price History'!K3+('Price History'!K158-'Price History'!K3)*0.993506493506494</f>
        <v>122.360974025974</v>
      </c>
      <c r="AG156" s="77" t="n">
        <f aca="false">'Price History'!L3+('Price History'!L158-'Price History'!L3)*0.993506493506494</f>
        <v>402.222337662338</v>
      </c>
      <c r="AH156" s="77" t="n">
        <f aca="false">'Price History'!M3+('Price History'!M158-'Price History'!M3)*0.993506493506494</f>
        <v>240.218961038961</v>
      </c>
      <c r="AI156" s="77" t="n">
        <f aca="false">'Price History'!N3+('Price History'!N158-'Price History'!N3)*0.993506493506494</f>
        <v>476.273766233766</v>
      </c>
      <c r="AJ156" s="77" t="n">
        <f aca="false">'Price History'!O3+('Price History'!O158-'Price History'!O3)*0.993506493506494</f>
        <v>125.004480519481</v>
      </c>
      <c r="AK156" s="77" t="n">
        <f aca="false">'Price History'!Q3+('Price History'!Q151-'Price History'!Q3)*0.993506493506494</f>
        <v>68.3291558441559</v>
      </c>
      <c r="AL156" s="77" t="n">
        <f aca="false">'Price History'!R3+('Price History'!R158-'Price History'!R3)*0.993506493506494</f>
        <v>58.1822727272727</v>
      </c>
      <c r="AM156" s="77" t="n">
        <f aca="false">'Price History'!S3+('Price History'!S158-'Price History'!S3)*0.993506493506494</f>
        <v>143.276168831169</v>
      </c>
      <c r="AN156" s="77" t="n">
        <f aca="false">'Price History'!T3+('Price History'!T158-'Price History'!T3)*0.993506493506494</f>
        <v>49.5917532467533</v>
      </c>
    </row>
    <row r="157" customFormat="false" ht="15" hidden="false" customHeight="true" outlineLevel="0" collapsed="false">
      <c r="A157" s="49" t="n">
        <f aca="false">IF('Price History'!A158="","",'Price History'!A158)</f>
        <v>46234</v>
      </c>
      <c r="B157" s="76" t="n">
        <f aca="false">IFERROR(IF(OR(NOT(ISNUMBER('Price History'!B158)),NOT(ISNUMBER('Price History'!B157)),'Price History'!B157=0),"",'Price History'!B158/'Price History'!B157-1),"")</f>
        <v>0.112389498467416</v>
      </c>
      <c r="C157" s="76" t="n">
        <f aca="false">IFERROR(IF(OR(NOT(ISNUMBER('Price History'!C158)),NOT(ISNUMBER('Price History'!C157)),'Price History'!C157=0),"",'Price History'!C158/'Price History'!C157-1),"")</f>
        <v>0.0365538249324673</v>
      </c>
      <c r="D157" s="76" t="n">
        <f aca="false">IFERROR(IF(OR(NOT(ISNUMBER('Price History'!D158)),NOT(ISNUMBER('Price History'!D157)),'Price History'!D157=0),"",'Price History'!D158/'Price History'!D157-1),"")</f>
        <v>-0.0728989408624486</v>
      </c>
      <c r="E157" s="76" t="n">
        <f aca="false">IFERROR(IF(OR(NOT(ISNUMBER('Price History'!E158)),NOT(ISNUMBER('Price History'!E157)),'Price History'!E157=0),"",'Price History'!E158/'Price History'!E157-1),"")</f>
        <v>0.0192710515291159</v>
      </c>
      <c r="F157" s="76" t="n">
        <f aca="false">IFERROR(IF(OR(NOT(ISNUMBER('Price History'!F158)),NOT(ISNUMBER('Price History'!F157)),'Price History'!F157=0),"",'Price History'!F158/'Price History'!F157-1),"")</f>
        <v>0.0413574858140551</v>
      </c>
      <c r="G157" s="76" t="n">
        <f aca="false">IFERROR(IF(OR(NOT(ISNUMBER('Price History'!G158)),NOT(ISNUMBER('Price History'!G157)),'Price History'!G157=0),"",'Price History'!G158/'Price History'!G157-1),"")</f>
        <v>-0.131578947368421</v>
      </c>
      <c r="H157" s="76" t="n">
        <f aca="false">IFERROR(IF(OR(NOT(ISNUMBER('Price History'!H158)),NOT(ISNUMBER('Price History'!H157)),'Price History'!H157=0),"",'Price History'!H158/'Price History'!H157-1),"")</f>
        <v>-0.106324990498941</v>
      </c>
      <c r="I157" s="76" t="n">
        <f aca="false">IFERROR(IF(OR(NOT(ISNUMBER('Price History'!I158)),NOT(ISNUMBER('Price History'!I157)),'Price History'!I157=0),"",'Price History'!I158/'Price History'!I157-1),"")</f>
        <v>-0.0294430477663895</v>
      </c>
      <c r="J157" s="76" t="n">
        <f aca="false">IFERROR(IF(OR(NOT(ISNUMBER('Price History'!J158)),NOT(ISNUMBER('Price History'!J157)),'Price History'!J157=0),"",'Price History'!J158/'Price History'!J157-1),"")</f>
        <v>-0.0204565467723361</v>
      </c>
      <c r="K157" s="76" t="n">
        <f aca="false">IFERROR(IF(OR(NOT(ISNUMBER('Price History'!K158)),NOT(ISNUMBER('Price History'!K157)),'Price History'!K157=0),"",'Price History'!K158/'Price History'!K157-1),"")</f>
        <v>0.00113895216400906</v>
      </c>
      <c r="L157" s="76" t="n">
        <f aca="false">IFERROR(IF(OR(NOT(ISNUMBER('Price History'!L158)),NOT(ISNUMBER('Price History'!L157)),'Price History'!L157=0),"",'Price History'!L158/'Price History'!L157-1),"")</f>
        <v>0.00208224882873487</v>
      </c>
      <c r="M157" s="76" t="n">
        <f aca="false">IFERROR(IF(OR(NOT(ISNUMBER('Price History'!M158)),NOT(ISNUMBER('Price History'!M157)),'Price History'!M157=0),"",'Price History'!M158/'Price History'!M157-1),"")</f>
        <v>-0.168032786885246</v>
      </c>
      <c r="N157" s="76" t="n">
        <f aca="false">IFERROR(IF(OR(NOT(ISNUMBER('Price History'!N158)),NOT(ISNUMBER('Price History'!N157)),'Price History'!N157=0),"",'Price History'!N158/'Price History'!N157-1),"")</f>
        <v>-0.000544662309368227</v>
      </c>
      <c r="O157" s="76" t="n">
        <f aca="false">IFERROR(IF(OR(NOT(ISNUMBER('Price History'!O158)),NOT(ISNUMBER('Price History'!O157)),'Price History'!O157=0),"",'Price History'!O158/'Price History'!O157-1),"")</f>
        <v>0</v>
      </c>
      <c r="P157" s="76" t="str">
        <f aca="false">IFERROR(IF(OR(NOT(ISNUMBER('Price History'!P158)),NOT(ISNUMBER('Price History'!P157)),'Price History'!P157=0),"",'Price History'!P158/'Price History'!P157-1),"")</f>
        <v/>
      </c>
      <c r="Q157" s="76" t="str">
        <f aca="false">IFERROR(IF(OR(NOT(ISNUMBER('Price History'!Q158)),NOT(ISNUMBER('Price History'!Q157)),'Price History'!Q157=0),"",'Price History'!Q158/'Price History'!Q157-1),"")</f>
        <v/>
      </c>
      <c r="R157" s="76" t="n">
        <f aca="false">IFERROR(IF(OR(NOT(ISNUMBER('Price History'!R158)),NOT(ISNUMBER('Price History'!R157)),'Price History'!R157=0),"",'Price History'!R158/'Price History'!R157-1),"")</f>
        <v>0.00500345065562446</v>
      </c>
      <c r="S157" s="76" t="n">
        <f aca="false">IFERROR(IF(OR(NOT(ISNUMBER('Price History'!S158)),NOT(ISNUMBER('Price History'!S157)),'Price History'!S157=0),"",'Price History'!S158/'Price History'!S157-1),"")</f>
        <v>-0.0182922667394716</v>
      </c>
      <c r="T157" s="76" t="n">
        <f aca="false">IFERROR(IF(OR(NOT(ISNUMBER('Price History'!T158)),NOT(ISNUMBER('Price History'!T157)),'Price History'!T157=0),"",'Price History'!T158/'Price History'!T157-1),"")</f>
        <v>0.0332363938512672</v>
      </c>
      <c r="U157" s="76" t="str">
        <f aca="false">IFERROR(IF(OR(NOT(ISNUMBER('Price History'!U158)),NOT(ISNUMBER('Price History'!U157)),'Price History'!U157=0),"",'Price History'!U158/'Price History'!U157-1),"")</f>
        <v/>
      </c>
      <c r="W157" s="77" t="n">
        <f aca="false">'Price History'!B3+('Price History'!B158-'Price History'!B3)*1</f>
        <v>250.41</v>
      </c>
      <c r="X157" s="77" t="n">
        <f aca="false">'Price History'!C3+('Price History'!C158-'Price History'!C3)*1</f>
        <v>180.35</v>
      </c>
      <c r="Y157" s="77" t="n">
        <f aca="false">'Price History'!D3+('Price History'!D158-'Price History'!D3)*1</f>
        <v>1629</v>
      </c>
      <c r="Z157" s="77" t="n">
        <f aca="false">'Price History'!E3+('Price History'!E158-'Price History'!E3)*1</f>
        <v>389.28</v>
      </c>
      <c r="AA157" s="77" t="n">
        <f aca="false">'Price History'!F3+('Price History'!F158-'Price History'!F3)*1</f>
        <v>190.86</v>
      </c>
      <c r="AB157" s="77" t="n">
        <f aca="false">'Price History'!G3+('Price History'!G158-'Price History'!G3)*1</f>
        <v>182.82</v>
      </c>
      <c r="AC157" s="77" t="n">
        <f aca="false">'Price History'!H3+('Price History'!H158-'Price History'!H3)*1</f>
        <v>823.03</v>
      </c>
      <c r="AD157" s="77" t="n">
        <f aca="false">'Price History'!I3+('Price History'!I158-'Price History'!I3)*1</f>
        <v>200.75</v>
      </c>
      <c r="AE157" s="77" t="n">
        <f aca="false">'Price History'!J3+('Price History'!J158-'Price History'!J3)*1</f>
        <v>144.61</v>
      </c>
      <c r="AF157" s="77" t="n">
        <f aca="false">'Price History'!K3+('Price History'!K158-'Price History'!K3)*1</f>
        <v>123.06</v>
      </c>
      <c r="AG157" s="77" t="n">
        <f aca="false">'Price History'!L3+('Price History'!L158-'Price History'!L3)*1</f>
        <v>404.25</v>
      </c>
      <c r="AH157" s="77" t="n">
        <f aca="false">'Price History'!M3+('Price History'!M158-'Price History'!M3)*1</f>
        <v>241.57</v>
      </c>
      <c r="AI157" s="77" t="n">
        <f aca="false">'Price History'!N3+('Price History'!N158-'Price History'!N3)*1</f>
        <v>477.1</v>
      </c>
      <c r="AJ157" s="77" t="n">
        <f aca="false">'Price History'!O3+('Price History'!O158-'Price History'!O3)*1</f>
        <v>125.28</v>
      </c>
      <c r="AK157" s="77" t="n">
        <f aca="false">'Price History'!Q3+('Price History'!Q151-'Price History'!Q3)*1</f>
        <v>68.45</v>
      </c>
      <c r="AL157" s="77" t="n">
        <f aca="false">'Price History'!R3+('Price History'!R158-'Price History'!R3)*1</f>
        <v>58.25</v>
      </c>
      <c r="AM157" s="77" t="n">
        <f aca="false">'Price History'!S3+('Price History'!S158-'Price History'!S3)*1</f>
        <v>143.83</v>
      </c>
      <c r="AN157" s="77" t="n">
        <f aca="false">'Price History'!T3+('Price History'!T158-'Price History'!T3)*1</f>
        <v>49.74</v>
      </c>
    </row>
    <row r="158" customFormat="false" ht="15" hidden="false" customHeight="true" outlineLevel="0" collapsed="false">
      <c r="A158" s="49" t="str">
        <f aca="false">IF('Price History'!A159="","",'Price History'!A159)</f>
        <v/>
      </c>
      <c r="B158" s="76" t="str">
        <f aca="false">IFERROR(IF(OR(NOT(ISNUMBER('Price History'!B159)),NOT(ISNUMBER('Price History'!B158)),'Price History'!B158=0),"",'Price History'!B159/'Price History'!B158-1),"")</f>
        <v/>
      </c>
      <c r="C158" s="76" t="str">
        <f aca="false">IFERROR(IF(OR(NOT(ISNUMBER('Price History'!C159)),NOT(ISNUMBER('Price History'!C158)),'Price History'!C158=0),"",'Price History'!C159/'Price History'!C158-1),"")</f>
        <v/>
      </c>
      <c r="D158" s="76" t="str">
        <f aca="false">IFERROR(IF(OR(NOT(ISNUMBER('Price History'!D159)),NOT(ISNUMBER('Price History'!D158)),'Price History'!D158=0),"",'Price History'!D159/'Price History'!D158-1),"")</f>
        <v/>
      </c>
      <c r="E158" s="76" t="str">
        <f aca="false">IFERROR(IF(OR(NOT(ISNUMBER('Price History'!E159)),NOT(ISNUMBER('Price History'!E158)),'Price History'!E158=0),"",'Price History'!E159/'Price History'!E158-1),"")</f>
        <v/>
      </c>
      <c r="F158" s="76" t="str">
        <f aca="false">IFERROR(IF(OR(NOT(ISNUMBER('Price History'!F159)),NOT(ISNUMBER('Price History'!F158)),'Price History'!F158=0),"",'Price History'!F159/'Price History'!F158-1),"")</f>
        <v/>
      </c>
      <c r="G158" s="76" t="str">
        <f aca="false">IFERROR(IF(OR(NOT(ISNUMBER('Price History'!G159)),NOT(ISNUMBER('Price History'!G158)),'Price History'!G158=0),"",'Price History'!G159/'Price History'!G158-1),"")</f>
        <v/>
      </c>
      <c r="H158" s="76" t="str">
        <f aca="false">IFERROR(IF(OR(NOT(ISNUMBER('Price History'!H159)),NOT(ISNUMBER('Price History'!H158)),'Price History'!H158=0),"",'Price History'!H159/'Price History'!H158-1),"")</f>
        <v/>
      </c>
      <c r="I158" s="76" t="str">
        <f aca="false">IFERROR(IF(OR(NOT(ISNUMBER('Price History'!I159)),NOT(ISNUMBER('Price History'!I158)),'Price History'!I158=0),"",'Price History'!I159/'Price History'!I158-1),"")</f>
        <v/>
      </c>
      <c r="J158" s="76" t="str">
        <f aca="false">IFERROR(IF(OR(NOT(ISNUMBER('Price History'!J159)),NOT(ISNUMBER('Price History'!J158)),'Price History'!J158=0),"",'Price History'!J159/'Price History'!J158-1),"")</f>
        <v/>
      </c>
      <c r="K158" s="76" t="str">
        <f aca="false">IFERROR(IF(OR(NOT(ISNUMBER('Price History'!K159)),NOT(ISNUMBER('Price History'!K158)),'Price History'!K158=0),"",'Price History'!K159/'Price History'!K158-1),"")</f>
        <v/>
      </c>
      <c r="L158" s="76" t="str">
        <f aca="false">IFERROR(IF(OR(NOT(ISNUMBER('Price History'!L159)),NOT(ISNUMBER('Price History'!L158)),'Price History'!L158=0),"",'Price History'!L159/'Price History'!L158-1),"")</f>
        <v/>
      </c>
      <c r="M158" s="76" t="str">
        <f aca="false">IFERROR(IF(OR(NOT(ISNUMBER('Price History'!M159)),NOT(ISNUMBER('Price History'!M158)),'Price History'!M158=0),"",'Price History'!M159/'Price History'!M158-1),"")</f>
        <v/>
      </c>
      <c r="N158" s="76" t="str">
        <f aca="false">IFERROR(IF(OR(NOT(ISNUMBER('Price History'!N159)),NOT(ISNUMBER('Price History'!N158)),'Price History'!N158=0),"",'Price History'!N159/'Price History'!N158-1),"")</f>
        <v/>
      </c>
      <c r="O158" s="76" t="str">
        <f aca="false">IFERROR(IF(OR(NOT(ISNUMBER('Price History'!O159)),NOT(ISNUMBER('Price History'!O158)),'Price History'!O158=0),"",'Price History'!O159/'Price History'!O158-1),"")</f>
        <v/>
      </c>
      <c r="P158" s="76" t="str">
        <f aca="false">IFERROR(IF(OR(NOT(ISNUMBER('Price History'!P159)),NOT(ISNUMBER('Price History'!P158)),'Price History'!P158=0),"",'Price History'!P159/'Price History'!P158-1),"")</f>
        <v/>
      </c>
      <c r="Q158" s="76" t="str">
        <f aca="false">IFERROR(IF(OR(NOT(ISNUMBER('Price History'!Q159)),NOT(ISNUMBER('Price History'!Q158)),'Price History'!Q158=0),"",'Price History'!Q159/'Price History'!Q158-1),"")</f>
        <v/>
      </c>
      <c r="R158" s="76" t="str">
        <f aca="false">IFERROR(IF(OR(NOT(ISNUMBER('Price History'!R159)),NOT(ISNUMBER('Price History'!R158)),'Price History'!R158=0),"",'Price History'!R159/'Price History'!R158-1),"")</f>
        <v/>
      </c>
      <c r="S158" s="76" t="str">
        <f aca="false">IFERROR(IF(OR(NOT(ISNUMBER('Price History'!S159)),NOT(ISNUMBER('Price History'!S158)),'Price History'!S158=0),"",'Price History'!S159/'Price History'!S158-1),"")</f>
        <v/>
      </c>
      <c r="T158" s="76" t="str">
        <f aca="false">IFERROR(IF(OR(NOT(ISNUMBER('Price History'!T159)),NOT(ISNUMBER('Price History'!T158)),'Price History'!T158=0),"",'Price History'!T159/'Price History'!T158-1),"")</f>
        <v/>
      </c>
      <c r="U158" s="76" t="str">
        <f aca="false">IFERROR(IF(OR(NOT(ISNUMBER('Price History'!U159)),NOT(ISNUMBER('Price History'!U158)),'Price History'!U158=0),"",'Price History'!U159/'Price History'!U158-1),"")</f>
        <v/>
      </c>
    </row>
    <row r="159" customFormat="false" ht="15" hidden="false" customHeight="true" outlineLevel="0" collapsed="false">
      <c r="A159" s="49" t="str">
        <f aca="false">IF('Price History'!A160="","",'Price History'!A160)</f>
        <v/>
      </c>
      <c r="B159" s="76" t="str">
        <f aca="false">IFERROR(IF(OR(NOT(ISNUMBER('Price History'!B160)),NOT(ISNUMBER('Price History'!B159)),'Price History'!B159=0),"",'Price History'!B160/'Price History'!B159-1),"")</f>
        <v/>
      </c>
      <c r="C159" s="76" t="str">
        <f aca="false">IFERROR(IF(OR(NOT(ISNUMBER('Price History'!C160)),NOT(ISNUMBER('Price History'!C159)),'Price History'!C159=0),"",'Price History'!C160/'Price History'!C159-1),"")</f>
        <v/>
      </c>
      <c r="D159" s="76" t="str">
        <f aca="false">IFERROR(IF(OR(NOT(ISNUMBER('Price History'!D160)),NOT(ISNUMBER('Price History'!D159)),'Price History'!D159=0),"",'Price History'!D160/'Price History'!D159-1),"")</f>
        <v/>
      </c>
      <c r="E159" s="76" t="str">
        <f aca="false">IFERROR(IF(OR(NOT(ISNUMBER('Price History'!E160)),NOT(ISNUMBER('Price History'!E159)),'Price History'!E159=0),"",'Price History'!E160/'Price History'!E159-1),"")</f>
        <v/>
      </c>
      <c r="F159" s="76" t="str">
        <f aca="false">IFERROR(IF(OR(NOT(ISNUMBER('Price History'!F160)),NOT(ISNUMBER('Price History'!F159)),'Price History'!F159=0),"",'Price History'!F160/'Price History'!F159-1),"")</f>
        <v/>
      </c>
      <c r="G159" s="76" t="str">
        <f aca="false">IFERROR(IF(OR(NOT(ISNUMBER('Price History'!G160)),NOT(ISNUMBER('Price History'!G159)),'Price History'!G159=0),"",'Price History'!G160/'Price History'!G159-1),"")</f>
        <v/>
      </c>
      <c r="H159" s="76" t="str">
        <f aca="false">IFERROR(IF(OR(NOT(ISNUMBER('Price History'!H160)),NOT(ISNUMBER('Price History'!H159)),'Price History'!H159=0),"",'Price History'!H160/'Price History'!H159-1),"")</f>
        <v/>
      </c>
      <c r="I159" s="76" t="str">
        <f aca="false">IFERROR(IF(OR(NOT(ISNUMBER('Price History'!I160)),NOT(ISNUMBER('Price History'!I159)),'Price History'!I159=0),"",'Price History'!I160/'Price History'!I159-1),"")</f>
        <v/>
      </c>
      <c r="J159" s="76" t="str">
        <f aca="false">IFERROR(IF(OR(NOT(ISNUMBER('Price History'!J160)),NOT(ISNUMBER('Price History'!J159)),'Price History'!J159=0),"",'Price History'!J160/'Price History'!J159-1),"")</f>
        <v/>
      </c>
      <c r="K159" s="76" t="str">
        <f aca="false">IFERROR(IF(OR(NOT(ISNUMBER('Price History'!K160)),NOT(ISNUMBER('Price History'!K159)),'Price History'!K159=0),"",'Price History'!K160/'Price History'!K159-1),"")</f>
        <v/>
      </c>
      <c r="L159" s="76" t="str">
        <f aca="false">IFERROR(IF(OR(NOT(ISNUMBER('Price History'!L160)),NOT(ISNUMBER('Price History'!L159)),'Price History'!L159=0),"",'Price History'!L160/'Price History'!L159-1),"")</f>
        <v/>
      </c>
      <c r="M159" s="76" t="str">
        <f aca="false">IFERROR(IF(OR(NOT(ISNUMBER('Price History'!M160)),NOT(ISNUMBER('Price History'!M159)),'Price History'!M159=0),"",'Price History'!M160/'Price History'!M159-1),"")</f>
        <v/>
      </c>
      <c r="N159" s="76" t="str">
        <f aca="false">IFERROR(IF(OR(NOT(ISNUMBER('Price History'!N160)),NOT(ISNUMBER('Price History'!N159)),'Price History'!N159=0),"",'Price History'!N160/'Price History'!N159-1),"")</f>
        <v/>
      </c>
      <c r="O159" s="76" t="str">
        <f aca="false">IFERROR(IF(OR(NOT(ISNUMBER('Price History'!O160)),NOT(ISNUMBER('Price History'!O159)),'Price History'!O159=0),"",'Price History'!O160/'Price History'!O159-1),"")</f>
        <v/>
      </c>
      <c r="P159" s="76" t="str">
        <f aca="false">IFERROR(IF(OR(NOT(ISNUMBER('Price History'!P160)),NOT(ISNUMBER('Price History'!P159)),'Price History'!P159=0),"",'Price History'!P160/'Price History'!P159-1),"")</f>
        <v/>
      </c>
      <c r="Q159" s="76" t="str">
        <f aca="false">IFERROR(IF(OR(NOT(ISNUMBER('Price History'!Q160)),NOT(ISNUMBER('Price History'!Q159)),'Price History'!Q159=0),"",'Price History'!Q160/'Price History'!Q159-1),"")</f>
        <v/>
      </c>
      <c r="R159" s="76" t="str">
        <f aca="false">IFERROR(IF(OR(NOT(ISNUMBER('Price History'!R160)),NOT(ISNUMBER('Price History'!R159)),'Price History'!R159=0),"",'Price History'!R160/'Price History'!R159-1),"")</f>
        <v/>
      </c>
      <c r="S159" s="76" t="str">
        <f aca="false">IFERROR(IF(OR(NOT(ISNUMBER('Price History'!S160)),NOT(ISNUMBER('Price History'!S159)),'Price History'!S159=0),"",'Price History'!S160/'Price History'!S159-1),"")</f>
        <v/>
      </c>
      <c r="T159" s="76" t="str">
        <f aca="false">IFERROR(IF(OR(NOT(ISNUMBER('Price History'!T160)),NOT(ISNUMBER('Price History'!T159)),'Price History'!T159=0),"",'Price History'!T160/'Price History'!T159-1),"")</f>
        <v/>
      </c>
      <c r="U159" s="76" t="str">
        <f aca="false">IFERROR(IF(OR(NOT(ISNUMBER('Price History'!U160)),NOT(ISNUMBER('Price History'!U159)),'Price History'!U159=0),"",'Price History'!U160/'Price History'!U159-1),"")</f>
        <v/>
      </c>
    </row>
    <row r="160" customFormat="false" ht="15" hidden="false" customHeight="true" outlineLevel="0" collapsed="false">
      <c r="A160" s="49" t="str">
        <f aca="false">IF('Price History'!A161="","",'Price History'!A161)</f>
        <v/>
      </c>
      <c r="B160" s="76" t="str">
        <f aca="false">IFERROR(IF(OR(NOT(ISNUMBER('Price History'!B161)),NOT(ISNUMBER('Price History'!B160)),'Price History'!B160=0),"",'Price History'!B161/'Price History'!B160-1),"")</f>
        <v/>
      </c>
      <c r="C160" s="76" t="str">
        <f aca="false">IFERROR(IF(OR(NOT(ISNUMBER('Price History'!C161)),NOT(ISNUMBER('Price History'!C160)),'Price History'!C160=0),"",'Price History'!C161/'Price History'!C160-1),"")</f>
        <v/>
      </c>
      <c r="D160" s="76" t="str">
        <f aca="false">IFERROR(IF(OR(NOT(ISNUMBER('Price History'!D161)),NOT(ISNUMBER('Price History'!D160)),'Price History'!D160=0),"",'Price History'!D161/'Price History'!D160-1),"")</f>
        <v/>
      </c>
      <c r="E160" s="76" t="str">
        <f aca="false">IFERROR(IF(OR(NOT(ISNUMBER('Price History'!E161)),NOT(ISNUMBER('Price History'!E160)),'Price History'!E160=0),"",'Price History'!E161/'Price History'!E160-1),"")</f>
        <v/>
      </c>
      <c r="F160" s="76" t="str">
        <f aca="false">IFERROR(IF(OR(NOT(ISNUMBER('Price History'!F161)),NOT(ISNUMBER('Price History'!F160)),'Price History'!F160=0),"",'Price History'!F161/'Price History'!F160-1),"")</f>
        <v/>
      </c>
      <c r="G160" s="76" t="str">
        <f aca="false">IFERROR(IF(OR(NOT(ISNUMBER('Price History'!G161)),NOT(ISNUMBER('Price History'!G160)),'Price History'!G160=0),"",'Price History'!G161/'Price History'!G160-1),"")</f>
        <v/>
      </c>
      <c r="H160" s="76" t="str">
        <f aca="false">IFERROR(IF(OR(NOT(ISNUMBER('Price History'!H161)),NOT(ISNUMBER('Price History'!H160)),'Price History'!H160=0),"",'Price History'!H161/'Price History'!H160-1),"")</f>
        <v/>
      </c>
      <c r="I160" s="76" t="str">
        <f aca="false">IFERROR(IF(OR(NOT(ISNUMBER('Price History'!I161)),NOT(ISNUMBER('Price History'!I160)),'Price History'!I160=0),"",'Price History'!I161/'Price History'!I160-1),"")</f>
        <v/>
      </c>
      <c r="J160" s="76" t="str">
        <f aca="false">IFERROR(IF(OR(NOT(ISNUMBER('Price History'!J161)),NOT(ISNUMBER('Price History'!J160)),'Price History'!J160=0),"",'Price History'!J161/'Price History'!J160-1),"")</f>
        <v/>
      </c>
      <c r="K160" s="76" t="str">
        <f aca="false">IFERROR(IF(OR(NOT(ISNUMBER('Price History'!K161)),NOT(ISNUMBER('Price History'!K160)),'Price History'!K160=0),"",'Price History'!K161/'Price History'!K160-1),"")</f>
        <v/>
      </c>
      <c r="L160" s="76" t="str">
        <f aca="false">IFERROR(IF(OR(NOT(ISNUMBER('Price History'!L161)),NOT(ISNUMBER('Price History'!L160)),'Price History'!L160=0),"",'Price History'!L161/'Price History'!L160-1),"")</f>
        <v/>
      </c>
      <c r="M160" s="76" t="str">
        <f aca="false">IFERROR(IF(OR(NOT(ISNUMBER('Price History'!M161)),NOT(ISNUMBER('Price History'!M160)),'Price History'!M160=0),"",'Price History'!M161/'Price History'!M160-1),"")</f>
        <v/>
      </c>
      <c r="N160" s="76" t="str">
        <f aca="false">IFERROR(IF(OR(NOT(ISNUMBER('Price History'!N161)),NOT(ISNUMBER('Price History'!N160)),'Price History'!N160=0),"",'Price History'!N161/'Price History'!N160-1),"")</f>
        <v/>
      </c>
      <c r="O160" s="76" t="str">
        <f aca="false">IFERROR(IF(OR(NOT(ISNUMBER('Price History'!O161)),NOT(ISNUMBER('Price History'!O160)),'Price History'!O160=0),"",'Price History'!O161/'Price History'!O160-1),"")</f>
        <v/>
      </c>
      <c r="P160" s="76" t="str">
        <f aca="false">IFERROR(IF(OR(NOT(ISNUMBER('Price History'!P161)),NOT(ISNUMBER('Price History'!P160)),'Price History'!P160=0),"",'Price History'!P161/'Price History'!P160-1),"")</f>
        <v/>
      </c>
      <c r="Q160" s="76" t="str">
        <f aca="false">IFERROR(IF(OR(NOT(ISNUMBER('Price History'!Q161)),NOT(ISNUMBER('Price History'!Q160)),'Price History'!Q160=0),"",'Price History'!Q161/'Price History'!Q160-1),"")</f>
        <v/>
      </c>
      <c r="R160" s="76" t="str">
        <f aca="false">IFERROR(IF(OR(NOT(ISNUMBER('Price History'!R161)),NOT(ISNUMBER('Price History'!R160)),'Price History'!R160=0),"",'Price History'!R161/'Price History'!R160-1),"")</f>
        <v/>
      </c>
      <c r="S160" s="76" t="str">
        <f aca="false">IFERROR(IF(OR(NOT(ISNUMBER('Price History'!S161)),NOT(ISNUMBER('Price History'!S160)),'Price History'!S160=0),"",'Price History'!S161/'Price History'!S160-1),"")</f>
        <v/>
      </c>
      <c r="T160" s="76" t="str">
        <f aca="false">IFERROR(IF(OR(NOT(ISNUMBER('Price History'!T161)),NOT(ISNUMBER('Price History'!T160)),'Price History'!T160=0),"",'Price History'!T161/'Price History'!T160-1),"")</f>
        <v/>
      </c>
      <c r="U160" s="76" t="str">
        <f aca="false">IFERROR(IF(OR(NOT(ISNUMBER('Price History'!U161)),NOT(ISNUMBER('Price History'!U160)),'Price History'!U160=0),"",'Price History'!U161/'Price History'!U160-1),"")</f>
        <v/>
      </c>
    </row>
    <row r="161" customFormat="false" ht="15" hidden="false" customHeight="true" outlineLevel="0" collapsed="false">
      <c r="A161" s="49" t="str">
        <f aca="false">IF('Price History'!A162="","",'Price History'!A162)</f>
        <v/>
      </c>
      <c r="B161" s="76" t="str">
        <f aca="false">IFERROR(IF(OR(NOT(ISNUMBER('Price History'!B162)),NOT(ISNUMBER('Price History'!B161)),'Price History'!B161=0),"",'Price History'!B162/'Price History'!B161-1),"")</f>
        <v/>
      </c>
      <c r="C161" s="76" t="str">
        <f aca="false">IFERROR(IF(OR(NOT(ISNUMBER('Price History'!C162)),NOT(ISNUMBER('Price History'!C161)),'Price History'!C161=0),"",'Price History'!C162/'Price History'!C161-1),"")</f>
        <v/>
      </c>
      <c r="D161" s="76" t="str">
        <f aca="false">IFERROR(IF(OR(NOT(ISNUMBER('Price History'!D162)),NOT(ISNUMBER('Price History'!D161)),'Price History'!D161=0),"",'Price History'!D162/'Price History'!D161-1),"")</f>
        <v/>
      </c>
      <c r="E161" s="76" t="str">
        <f aca="false">IFERROR(IF(OR(NOT(ISNUMBER('Price History'!E162)),NOT(ISNUMBER('Price History'!E161)),'Price History'!E161=0),"",'Price History'!E162/'Price History'!E161-1),"")</f>
        <v/>
      </c>
      <c r="F161" s="76" t="str">
        <f aca="false">IFERROR(IF(OR(NOT(ISNUMBER('Price History'!F162)),NOT(ISNUMBER('Price History'!F161)),'Price History'!F161=0),"",'Price History'!F162/'Price History'!F161-1),"")</f>
        <v/>
      </c>
      <c r="G161" s="76" t="str">
        <f aca="false">IFERROR(IF(OR(NOT(ISNUMBER('Price History'!G162)),NOT(ISNUMBER('Price History'!G161)),'Price History'!G161=0),"",'Price History'!G162/'Price History'!G161-1),"")</f>
        <v/>
      </c>
      <c r="H161" s="76" t="str">
        <f aca="false">IFERROR(IF(OR(NOT(ISNUMBER('Price History'!H162)),NOT(ISNUMBER('Price History'!H161)),'Price History'!H161=0),"",'Price History'!H162/'Price History'!H161-1),"")</f>
        <v/>
      </c>
      <c r="I161" s="76" t="str">
        <f aca="false">IFERROR(IF(OR(NOT(ISNUMBER('Price History'!I162)),NOT(ISNUMBER('Price History'!I161)),'Price History'!I161=0),"",'Price History'!I162/'Price History'!I161-1),"")</f>
        <v/>
      </c>
      <c r="J161" s="76" t="str">
        <f aca="false">IFERROR(IF(OR(NOT(ISNUMBER('Price History'!J162)),NOT(ISNUMBER('Price History'!J161)),'Price History'!J161=0),"",'Price History'!J162/'Price History'!J161-1),"")</f>
        <v/>
      </c>
      <c r="K161" s="76" t="str">
        <f aca="false">IFERROR(IF(OR(NOT(ISNUMBER('Price History'!K162)),NOT(ISNUMBER('Price History'!K161)),'Price History'!K161=0),"",'Price History'!K162/'Price History'!K161-1),"")</f>
        <v/>
      </c>
      <c r="L161" s="76" t="str">
        <f aca="false">IFERROR(IF(OR(NOT(ISNUMBER('Price History'!L162)),NOT(ISNUMBER('Price History'!L161)),'Price History'!L161=0),"",'Price History'!L162/'Price History'!L161-1),"")</f>
        <v/>
      </c>
      <c r="M161" s="76" t="str">
        <f aca="false">IFERROR(IF(OR(NOT(ISNUMBER('Price History'!M162)),NOT(ISNUMBER('Price History'!M161)),'Price History'!M161=0),"",'Price History'!M162/'Price History'!M161-1),"")</f>
        <v/>
      </c>
      <c r="N161" s="76" t="str">
        <f aca="false">IFERROR(IF(OR(NOT(ISNUMBER('Price History'!N162)),NOT(ISNUMBER('Price History'!N161)),'Price History'!N161=0),"",'Price History'!N162/'Price History'!N161-1),"")</f>
        <v/>
      </c>
      <c r="O161" s="76" t="str">
        <f aca="false">IFERROR(IF(OR(NOT(ISNUMBER('Price History'!O162)),NOT(ISNUMBER('Price History'!O161)),'Price History'!O161=0),"",'Price History'!O162/'Price History'!O161-1),"")</f>
        <v/>
      </c>
      <c r="P161" s="76" t="str">
        <f aca="false">IFERROR(IF(OR(NOT(ISNUMBER('Price History'!P162)),NOT(ISNUMBER('Price History'!P161)),'Price History'!P161=0),"",'Price History'!P162/'Price History'!P161-1),"")</f>
        <v/>
      </c>
      <c r="Q161" s="76" t="str">
        <f aca="false">IFERROR(IF(OR(NOT(ISNUMBER('Price History'!Q162)),NOT(ISNUMBER('Price History'!Q161)),'Price History'!Q161=0),"",'Price History'!Q162/'Price History'!Q161-1),"")</f>
        <v/>
      </c>
      <c r="R161" s="76" t="str">
        <f aca="false">IFERROR(IF(OR(NOT(ISNUMBER('Price History'!R162)),NOT(ISNUMBER('Price History'!R161)),'Price History'!R161=0),"",'Price History'!R162/'Price History'!R161-1),"")</f>
        <v/>
      </c>
      <c r="S161" s="76" t="str">
        <f aca="false">IFERROR(IF(OR(NOT(ISNUMBER('Price History'!S162)),NOT(ISNUMBER('Price History'!S161)),'Price History'!S161=0),"",'Price History'!S162/'Price History'!S161-1),"")</f>
        <v/>
      </c>
      <c r="T161" s="76" t="str">
        <f aca="false">IFERROR(IF(OR(NOT(ISNUMBER('Price History'!T162)),NOT(ISNUMBER('Price History'!T161)),'Price History'!T161=0),"",'Price History'!T162/'Price History'!T161-1),"")</f>
        <v/>
      </c>
      <c r="U161" s="76" t="str">
        <f aca="false">IFERROR(IF(OR(NOT(ISNUMBER('Price History'!U162)),NOT(ISNUMBER('Price History'!U161)),'Price History'!U161=0),"",'Price History'!U162/'Price History'!U161-1),"")</f>
        <v/>
      </c>
    </row>
  </sheetData>
  <mergeCells count="1">
    <mergeCell ref="A1:U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1" min="2" style="1" width="8"/>
    <col collapsed="false" customWidth="true" hidden="false" outlineLevel="0" max="22" min="22" style="1" width="16"/>
  </cols>
  <sheetData>
    <row r="1" customFormat="false" ht="15" hidden="false" customHeight="true" outlineLevel="0" collapsed="false">
      <c r="A1" s="16" t="s">
        <v>331</v>
      </c>
      <c r="B1" s="16"/>
      <c r="C1" s="16"/>
      <c r="D1" s="16"/>
      <c r="E1" s="16"/>
      <c r="F1" s="16"/>
      <c r="G1" s="16"/>
      <c r="H1" s="16"/>
      <c r="I1" s="16"/>
      <c r="J1" s="16"/>
      <c r="K1" s="16"/>
      <c r="L1" s="16"/>
      <c r="M1" s="16"/>
      <c r="N1" s="16"/>
      <c r="O1" s="16"/>
      <c r="P1" s="16"/>
      <c r="Q1" s="16"/>
      <c r="R1" s="16"/>
      <c r="S1" s="16"/>
      <c r="T1" s="16"/>
      <c r="U1" s="16"/>
      <c r="V1" s="16"/>
    </row>
    <row r="2" customFormat="false" ht="15" hidden="false" customHeight="true" outlineLevel="0" collapsed="false">
      <c r="A2" s="18" t="s">
        <v>74</v>
      </c>
      <c r="B2" s="18" t="str">
        <f aca="false">'Returns (Calc)'!B2</f>
        <v>ADBE</v>
      </c>
      <c r="C2" s="18" t="str">
        <f aca="false">'Returns (Calc)'!C2</f>
        <v>ANET</v>
      </c>
      <c r="D2" s="18" t="str">
        <f aca="false">'Returns (Calc)'!D2</f>
        <v>ASML</v>
      </c>
      <c r="E2" s="18" t="str">
        <f aca="false">'Returns (Calc)'!E2</f>
        <v>AVGO</v>
      </c>
      <c r="F2" s="18" t="str">
        <f aca="false">'Returns (Calc)'!F2</f>
        <v>CRWD</v>
      </c>
      <c r="G2" s="18" t="str">
        <f aca="false">'Returns (Calc)'!G2</f>
        <v>KLAC</v>
      </c>
      <c r="H2" s="18" t="str">
        <f aca="false">'Returns (Calc)'!H2</f>
        <v>MU</v>
      </c>
      <c r="I2" s="18" t="str">
        <f aca="false">'Returns (Calc)'!I2</f>
        <v>NVDA</v>
      </c>
      <c r="J2" s="18" t="str">
        <f aca="false">'Returns (Calc)'!J2</f>
        <v>PLD</v>
      </c>
      <c r="K2" s="18" t="str">
        <f aca="false">'Returns (Calc)'!K2</f>
        <v>PLTR</v>
      </c>
      <c r="L2" s="18" t="str">
        <f aca="false">'Returns (Calc)'!L2</f>
        <v>TSM</v>
      </c>
      <c r="M2" s="18" t="str">
        <f aca="false">'Returns (Calc)'!M2</f>
        <v>VRT</v>
      </c>
      <c r="N2" s="18" t="str">
        <f aca="false">'Returns (Calc)'!N2</f>
        <v>VRTX</v>
      </c>
      <c r="O2" s="18" t="str">
        <f aca="false">'Returns (Calc)'!O2</f>
        <v>AVUV</v>
      </c>
      <c r="P2" s="18" t="n">
        <f aca="false">'Returns (Calc)'!P2</f>
        <v>0</v>
      </c>
      <c r="Q2" s="18" t="str">
        <f aca="false">'Returns (Calc)'!Q2</f>
        <v>HELO</v>
      </c>
      <c r="R2" s="18" t="str">
        <f aca="false">'Returns (Calc)'!R2</f>
        <v>JEPQ</v>
      </c>
      <c r="S2" s="18" t="str">
        <f aca="false">'Returns (Calc)'!S2</f>
        <v>SPMO</v>
      </c>
      <c r="T2" s="18" t="str">
        <f aca="false">'Returns (Calc)'!T2</f>
        <v>VFLO</v>
      </c>
      <c r="U2" s="18" t="n">
        <f aca="false">'Returns (Calc)'!U2</f>
        <v>0</v>
      </c>
      <c r="V2" s="18" t="s">
        <v>332</v>
      </c>
    </row>
    <row r="3" customFormat="false" ht="15" hidden="false" customHeight="true" outlineLevel="0" collapsed="false">
      <c r="A3" s="78" t="str">
        <f aca="false">'Returns (Calc)'!B2</f>
        <v>ADBE</v>
      </c>
      <c r="B3" s="79" t="n">
        <v>1</v>
      </c>
      <c r="C3" s="79" t="n">
        <f aca="false">IFERROR(ROUND(CORREL('Returns (Calc)'!$B$3:$B$161,'Returns (Calc)'!$C$3:$C$161),2),"")</f>
        <v>0.22</v>
      </c>
      <c r="D3" s="79" t="n">
        <f aca="false">IFERROR(ROUND(CORREL('Returns (Calc)'!$B$3:$B$161,'Returns (Calc)'!$D$3:$D$161),2),"")</f>
        <v>0.03</v>
      </c>
      <c r="E3" s="79" t="n">
        <f aca="false">IFERROR(ROUND(CORREL('Returns (Calc)'!$B$3:$B$161,'Returns (Calc)'!$E$3:$E$161),2),"")</f>
        <v>0.16</v>
      </c>
      <c r="F3" s="79" t="n">
        <f aca="false">IFERROR(ROUND(CORREL('Returns (Calc)'!$B$3:$B$161,'Returns (Calc)'!$F$3:$F$161),2),"")</f>
        <v>0.42</v>
      </c>
      <c r="G3" s="79" t="n">
        <f aca="false">IFERROR(ROUND(CORREL('Returns (Calc)'!$B$3:$B$161,'Returns (Calc)'!$G$3:$G$161),2),"")</f>
        <v>-0.03</v>
      </c>
      <c r="H3" s="79" t="n">
        <f aca="false">IFERROR(ROUND(CORREL('Returns (Calc)'!$B$3:$B$161,'Returns (Calc)'!$H$3:$H$161),2),"")</f>
        <v>0.07</v>
      </c>
      <c r="I3" s="79" t="n">
        <f aca="false">IFERROR(ROUND(CORREL('Returns (Calc)'!$B$3:$B$161,'Returns (Calc)'!$I$3:$I$161),2),"")</f>
        <v>0.23</v>
      </c>
      <c r="J3" s="79" t="n">
        <f aca="false">IFERROR(ROUND(CORREL('Returns (Calc)'!$B$3:$B$161,'Returns (Calc)'!$J$3:$J$161),2),"")</f>
        <v>0.19</v>
      </c>
      <c r="K3" s="79" t="n">
        <f aca="false">IFERROR(ROUND(CORREL('Returns (Calc)'!$B$3:$B$161,'Returns (Calc)'!$K$3:$K$161),2),"")</f>
        <v>0.36</v>
      </c>
      <c r="L3" s="79" t="n">
        <f aca="false">IFERROR(ROUND(CORREL('Returns (Calc)'!$B$3:$B$161,'Returns (Calc)'!$L$3:$L$161),2),"")</f>
        <v>0.17</v>
      </c>
      <c r="M3" s="79" t="n">
        <f aca="false">IFERROR(ROUND(CORREL('Returns (Calc)'!$B$3:$B$161,'Returns (Calc)'!$M$3:$M$161),2),"")</f>
        <v>0.08</v>
      </c>
      <c r="N3" s="79" t="n">
        <f aca="false">IFERROR(ROUND(CORREL('Returns (Calc)'!$B$3:$B$161,'Returns (Calc)'!$N$3:$N$161),2),"")</f>
        <v>0.13</v>
      </c>
      <c r="O3" s="79" t="n">
        <f aca="false">IFERROR(ROUND(CORREL('Returns (Calc)'!$B$3:$B$161,'Returns (Calc)'!$O$3:$O$161),2),"")</f>
        <v>0.17</v>
      </c>
      <c r="P3" s="79" t="str">
        <f aca="false">IFERROR(ROUND(CORREL('Returns (Calc)'!$B$3:$B$161,'Returns (Calc)'!$P$3:$P$161),2),"")</f>
        <v/>
      </c>
      <c r="Q3" s="79" t="n">
        <f aca="false">IFERROR(ROUND(CORREL('Returns (Calc)'!$B$3:$B$161,'Returns (Calc)'!$Q$3:$Q$161),2),"")</f>
        <v>-0.1</v>
      </c>
      <c r="R3" s="79" t="n">
        <f aca="false">IFERROR(ROUND(CORREL('Returns (Calc)'!$B$3:$B$161,'Returns (Calc)'!$R$3:$R$161),2),"")</f>
        <v>0.32</v>
      </c>
      <c r="S3" s="79" t="n">
        <f aca="false">IFERROR(ROUND(CORREL('Returns (Calc)'!$B$3:$B$161,'Returns (Calc)'!$S$3:$S$161),2),"")</f>
        <v>0.25</v>
      </c>
      <c r="T3" s="79" t="n">
        <f aca="false">IFERROR(ROUND(CORREL('Returns (Calc)'!$B$3:$B$161,'Returns (Calc)'!$T$3:$T$161),2),"")</f>
        <v>0.41</v>
      </c>
      <c r="U3" s="79" t="str">
        <f aca="false">IFERROR(ROUND(CORREL('Returns (Calc)'!$B$3:$B$161,'Returns (Calc)'!$U$3:$U$161),2),"")</f>
        <v/>
      </c>
      <c r="V3" s="41" t="n">
        <f aca="false">COUNTIF(B3:U3,"&gt;0.7")-1</f>
        <v>0</v>
      </c>
    </row>
    <row r="4" customFormat="false" ht="15" hidden="false" customHeight="true" outlineLevel="0" collapsed="false">
      <c r="A4" s="78" t="str">
        <f aca="false">'Returns (Calc)'!C2</f>
        <v>ANET</v>
      </c>
      <c r="B4" s="79" t="n">
        <f aca="false">IFERROR(ROUND(CORREL('Returns (Calc)'!$C$3:$C$161,'Returns (Calc)'!$B$3:$B$161),2),"")</f>
        <v>0.22</v>
      </c>
      <c r="C4" s="79" t="n">
        <v>1</v>
      </c>
      <c r="D4" s="79" t="n">
        <f aca="false">IFERROR(ROUND(CORREL('Returns (Calc)'!$C$3:$C$161,'Returns (Calc)'!$D$3:$D$161),2),"")</f>
        <v>0.39</v>
      </c>
      <c r="E4" s="79" t="n">
        <f aca="false">IFERROR(ROUND(CORREL('Returns (Calc)'!$C$3:$C$161,'Returns (Calc)'!$E$3:$E$161),2),"")</f>
        <v>0.59</v>
      </c>
      <c r="F4" s="79" t="n">
        <f aca="false">IFERROR(ROUND(CORREL('Returns (Calc)'!$C$3:$C$161,'Returns (Calc)'!$F$3:$F$161),2),"")</f>
        <v>0.38</v>
      </c>
      <c r="G4" s="79" t="n">
        <f aca="false">IFERROR(ROUND(CORREL('Returns (Calc)'!$C$3:$C$161,'Returns (Calc)'!$G$3:$G$161),2),"")</f>
        <v>0.44</v>
      </c>
      <c r="H4" s="79" t="n">
        <f aca="false">IFERROR(ROUND(CORREL('Returns (Calc)'!$C$3:$C$161,'Returns (Calc)'!$H$3:$H$161),2),"")</f>
        <v>0.35</v>
      </c>
      <c r="I4" s="79" t="n">
        <f aca="false">IFERROR(ROUND(CORREL('Returns (Calc)'!$C$3:$C$161,'Returns (Calc)'!$I$3:$I$161),2),"")</f>
        <v>0.53</v>
      </c>
      <c r="J4" s="79" t="n">
        <f aca="false">IFERROR(ROUND(CORREL('Returns (Calc)'!$C$3:$C$161,'Returns (Calc)'!$J$3:$J$161),2),"")</f>
        <v>0.19</v>
      </c>
      <c r="K4" s="79" t="n">
        <f aca="false">IFERROR(ROUND(CORREL('Returns (Calc)'!$C$3:$C$161,'Returns (Calc)'!$K$3:$K$161),2),"")</f>
        <v>0.34</v>
      </c>
      <c r="L4" s="79" t="n">
        <f aca="false">IFERROR(ROUND(CORREL('Returns (Calc)'!$C$3:$C$161,'Returns (Calc)'!$L$3:$L$161),2),"")</f>
        <v>0.55</v>
      </c>
      <c r="M4" s="79" t="n">
        <f aca="false">IFERROR(ROUND(CORREL('Returns (Calc)'!$C$3:$C$161,'Returns (Calc)'!$M$3:$M$161),2),"")</f>
        <v>0.59</v>
      </c>
      <c r="N4" s="79" t="n">
        <f aca="false">IFERROR(ROUND(CORREL('Returns (Calc)'!$C$3:$C$161,'Returns (Calc)'!$N$3:$N$161),2),"")</f>
        <v>0.05</v>
      </c>
      <c r="O4" s="79" t="n">
        <f aca="false">IFERROR(ROUND(CORREL('Returns (Calc)'!$C$3:$C$161,'Returns (Calc)'!$O$3:$O$161),2),"")</f>
        <v>0.35</v>
      </c>
      <c r="P4" s="79" t="str">
        <f aca="false">IFERROR(ROUND(CORREL('Returns (Calc)'!$C$3:$C$161,'Returns (Calc)'!$P$3:$P$161),2),"")</f>
        <v/>
      </c>
      <c r="Q4" s="79" t="n">
        <f aca="false">IFERROR(ROUND(CORREL('Returns (Calc)'!$C$3:$C$161,'Returns (Calc)'!$Q$3:$Q$161),2),"")</f>
        <v>-0.01</v>
      </c>
      <c r="R4" s="79" t="n">
        <f aca="false">IFERROR(ROUND(CORREL('Returns (Calc)'!$C$3:$C$161,'Returns (Calc)'!$R$3:$R$161),2),"")</f>
        <v>0.64</v>
      </c>
      <c r="S4" s="79" t="n">
        <f aca="false">IFERROR(ROUND(CORREL('Returns (Calc)'!$C$3:$C$161,'Returns (Calc)'!$S$3:$S$161),2),"")</f>
        <v>0.64</v>
      </c>
      <c r="T4" s="79" t="n">
        <f aca="false">IFERROR(ROUND(CORREL('Returns (Calc)'!$C$3:$C$161,'Returns (Calc)'!$T$3:$T$161),2),"")</f>
        <v>0.35</v>
      </c>
      <c r="U4" s="79" t="str">
        <f aca="false">IFERROR(ROUND(CORREL('Returns (Calc)'!$C$3:$C$161,'Returns (Calc)'!$U$3:$U$161),2),"")</f>
        <v/>
      </c>
      <c r="V4" s="41" t="n">
        <f aca="false">COUNTIF(B4:U4,"&gt;0.7")-1</f>
        <v>0</v>
      </c>
    </row>
    <row r="5" customFormat="false" ht="15" hidden="false" customHeight="true" outlineLevel="0" collapsed="false">
      <c r="A5" s="78" t="str">
        <f aca="false">'Returns (Calc)'!D2</f>
        <v>ASML</v>
      </c>
      <c r="B5" s="79" t="n">
        <f aca="false">IFERROR(ROUND(CORREL('Returns (Calc)'!$D$3:$D$161,'Returns (Calc)'!$B$3:$B$161),2),"")</f>
        <v>0.03</v>
      </c>
      <c r="C5" s="79" t="n">
        <f aca="false">IFERROR(ROUND(CORREL('Returns (Calc)'!$D$3:$D$161,'Returns (Calc)'!$C$3:$C$161),2),"")</f>
        <v>0.39</v>
      </c>
      <c r="D5" s="79" t="n">
        <v>1</v>
      </c>
      <c r="E5" s="79" t="n">
        <f aca="false">IFERROR(ROUND(CORREL('Returns (Calc)'!$D$3:$D$161,'Returns (Calc)'!$E$3:$E$161),2),"")</f>
        <v>0.5</v>
      </c>
      <c r="F5" s="79" t="n">
        <f aca="false">IFERROR(ROUND(CORREL('Returns (Calc)'!$D$3:$D$161,'Returns (Calc)'!$F$3:$F$161),2),"")</f>
        <v>0.33</v>
      </c>
      <c r="G5" s="79" t="n">
        <f aca="false">IFERROR(ROUND(CORREL('Returns (Calc)'!$D$3:$D$161,'Returns (Calc)'!$G$3:$G$161),2),"")</f>
        <v>0.77</v>
      </c>
      <c r="H5" s="79" t="n">
        <f aca="false">IFERROR(ROUND(CORREL('Returns (Calc)'!$D$3:$D$161,'Returns (Calc)'!$H$3:$H$161),2),"")</f>
        <v>0.6</v>
      </c>
      <c r="I5" s="79" t="n">
        <f aca="false">IFERROR(ROUND(CORREL('Returns (Calc)'!$D$3:$D$161,'Returns (Calc)'!$I$3:$I$161),2),"")</f>
        <v>0.48</v>
      </c>
      <c r="J5" s="79" t="n">
        <f aca="false">IFERROR(ROUND(CORREL('Returns (Calc)'!$D$3:$D$161,'Returns (Calc)'!$J$3:$J$161),2),"")</f>
        <v>0.29</v>
      </c>
      <c r="K5" s="79" t="n">
        <f aca="false">IFERROR(ROUND(CORREL('Returns (Calc)'!$D$3:$D$161,'Returns (Calc)'!$K$3:$K$161),2),"")</f>
        <v>0.2</v>
      </c>
      <c r="L5" s="79" t="n">
        <f aca="false">IFERROR(ROUND(CORREL('Returns (Calc)'!$D$3:$D$161,'Returns (Calc)'!$L$3:$L$161),2),"")</f>
        <v>0.63</v>
      </c>
      <c r="M5" s="79" t="n">
        <f aca="false">IFERROR(ROUND(CORREL('Returns (Calc)'!$D$3:$D$161,'Returns (Calc)'!$M$3:$M$161),2),"")</f>
        <v>0.41</v>
      </c>
      <c r="N5" s="79" t="n">
        <f aca="false">IFERROR(ROUND(CORREL('Returns (Calc)'!$D$3:$D$161,'Returns (Calc)'!$N$3:$N$161),2),"")</f>
        <v>0.12</v>
      </c>
      <c r="O5" s="79" t="n">
        <f aca="false">IFERROR(ROUND(CORREL('Returns (Calc)'!$D$3:$D$161,'Returns (Calc)'!$O$3:$O$161),2),"")</f>
        <v>0.38</v>
      </c>
      <c r="P5" s="79" t="str">
        <f aca="false">IFERROR(ROUND(CORREL('Returns (Calc)'!$D$3:$D$161,'Returns (Calc)'!$P$3:$P$161),2),"")</f>
        <v/>
      </c>
      <c r="Q5" s="79" t="n">
        <f aca="false">IFERROR(ROUND(CORREL('Returns (Calc)'!$D$3:$D$161,'Returns (Calc)'!$Q$3:$Q$161),2),"")</f>
        <v>-0.06</v>
      </c>
      <c r="R5" s="79" t="n">
        <f aca="false">IFERROR(ROUND(CORREL('Returns (Calc)'!$D$3:$D$161,'Returns (Calc)'!$R$3:$R$161),2),"")</f>
        <v>0.6</v>
      </c>
      <c r="S5" s="79" t="n">
        <f aca="false">IFERROR(ROUND(CORREL('Returns (Calc)'!$D$3:$D$161,'Returns (Calc)'!$S$3:$S$161),2),"")</f>
        <v>0.6</v>
      </c>
      <c r="T5" s="79" t="n">
        <f aca="false">IFERROR(ROUND(CORREL('Returns (Calc)'!$D$3:$D$161,'Returns (Calc)'!$T$3:$T$161),2),"")</f>
        <v>0.31</v>
      </c>
      <c r="U5" s="79" t="str">
        <f aca="false">IFERROR(ROUND(CORREL('Returns (Calc)'!$D$3:$D$161,'Returns (Calc)'!$U$3:$U$161),2),"")</f>
        <v/>
      </c>
      <c r="V5" s="41" t="n">
        <f aca="false">COUNTIF(B5:U5,"&gt;0.7")-1</f>
        <v>1</v>
      </c>
    </row>
    <row r="6" customFormat="false" ht="15" hidden="false" customHeight="true" outlineLevel="0" collapsed="false">
      <c r="A6" s="78" t="str">
        <f aca="false">'Returns (Calc)'!E2</f>
        <v>AVGO</v>
      </c>
      <c r="B6" s="79" t="n">
        <f aca="false">IFERROR(ROUND(CORREL('Returns (Calc)'!$E$3:$E$161,'Returns (Calc)'!$B$3:$B$161),2),"")</f>
        <v>0.16</v>
      </c>
      <c r="C6" s="79" t="n">
        <f aca="false">IFERROR(ROUND(CORREL('Returns (Calc)'!$E$3:$E$161,'Returns (Calc)'!$C$3:$C$161),2),"")</f>
        <v>0.59</v>
      </c>
      <c r="D6" s="79" t="n">
        <f aca="false">IFERROR(ROUND(CORREL('Returns (Calc)'!$E$3:$E$161,'Returns (Calc)'!$D$3:$D$161),2),"")</f>
        <v>0.5</v>
      </c>
      <c r="E6" s="79" t="n">
        <v>1</v>
      </c>
      <c r="F6" s="79" t="n">
        <f aca="false">IFERROR(ROUND(CORREL('Returns (Calc)'!$E$3:$E$161,'Returns (Calc)'!$F$3:$F$161),2),"")</f>
        <v>0.4</v>
      </c>
      <c r="G6" s="79" t="n">
        <f aca="false">IFERROR(ROUND(CORREL('Returns (Calc)'!$E$3:$E$161,'Returns (Calc)'!$G$3:$G$161),2),"")</f>
        <v>0.54</v>
      </c>
      <c r="H6" s="79" t="n">
        <f aca="false">IFERROR(ROUND(CORREL('Returns (Calc)'!$E$3:$E$161,'Returns (Calc)'!$H$3:$H$161),2),"")</f>
        <v>0.5</v>
      </c>
      <c r="I6" s="79" t="n">
        <f aca="false">IFERROR(ROUND(CORREL('Returns (Calc)'!$E$3:$E$161,'Returns (Calc)'!$I$3:$I$161),2),"")</f>
        <v>0.62</v>
      </c>
      <c r="J6" s="79" t="n">
        <f aca="false">IFERROR(ROUND(CORREL('Returns (Calc)'!$E$3:$E$161,'Returns (Calc)'!$J$3:$J$161),2),"")</f>
        <v>0.23</v>
      </c>
      <c r="K6" s="79" t="n">
        <f aca="false">IFERROR(ROUND(CORREL('Returns (Calc)'!$E$3:$E$161,'Returns (Calc)'!$K$3:$K$161),2),"")</f>
        <v>0.37</v>
      </c>
      <c r="L6" s="79" t="n">
        <f aca="false">IFERROR(ROUND(CORREL('Returns (Calc)'!$E$3:$E$161,'Returns (Calc)'!$L$3:$L$161),2),"")</f>
        <v>0.63</v>
      </c>
      <c r="M6" s="79" t="n">
        <f aca="false">IFERROR(ROUND(CORREL('Returns (Calc)'!$E$3:$E$161,'Returns (Calc)'!$M$3:$M$161),2),"")</f>
        <v>0.53</v>
      </c>
      <c r="N6" s="79" t="n">
        <f aca="false">IFERROR(ROUND(CORREL('Returns (Calc)'!$E$3:$E$161,'Returns (Calc)'!$N$3:$N$161),2),"")</f>
        <v>0.16</v>
      </c>
      <c r="O6" s="79" t="n">
        <f aca="false">IFERROR(ROUND(CORREL('Returns (Calc)'!$E$3:$E$161,'Returns (Calc)'!$O$3:$O$161),2),"")</f>
        <v>0.29</v>
      </c>
      <c r="P6" s="79" t="str">
        <f aca="false">IFERROR(ROUND(CORREL('Returns (Calc)'!$E$3:$E$161,'Returns (Calc)'!$P$3:$P$161),2),"")</f>
        <v/>
      </c>
      <c r="Q6" s="79" t="n">
        <f aca="false">IFERROR(ROUND(CORREL('Returns (Calc)'!$E$3:$E$161,'Returns (Calc)'!$Q$3:$Q$161),2),"")</f>
        <v>-0.08</v>
      </c>
      <c r="R6" s="79" t="n">
        <f aca="false">IFERROR(ROUND(CORREL('Returns (Calc)'!$E$3:$E$161,'Returns (Calc)'!$R$3:$R$161),2),"")</f>
        <v>0.73</v>
      </c>
      <c r="S6" s="79" t="n">
        <f aca="false">IFERROR(ROUND(CORREL('Returns (Calc)'!$E$3:$E$161,'Returns (Calc)'!$S$3:$S$161),2),"")</f>
        <v>0.74</v>
      </c>
      <c r="T6" s="79" t="n">
        <f aca="false">IFERROR(ROUND(CORREL('Returns (Calc)'!$E$3:$E$161,'Returns (Calc)'!$T$3:$T$161),2),"")</f>
        <v>0.29</v>
      </c>
      <c r="U6" s="79" t="str">
        <f aca="false">IFERROR(ROUND(CORREL('Returns (Calc)'!$E$3:$E$161,'Returns (Calc)'!$U$3:$U$161),2),"")</f>
        <v/>
      </c>
      <c r="V6" s="41" t="n">
        <f aca="false">COUNTIF(B6:U6,"&gt;0.7")-1</f>
        <v>2</v>
      </c>
    </row>
    <row r="7" customFormat="false" ht="15" hidden="false" customHeight="true" outlineLevel="0" collapsed="false">
      <c r="A7" s="78" t="str">
        <f aca="false">'Returns (Calc)'!F2</f>
        <v>CRWD</v>
      </c>
      <c r="B7" s="79" t="n">
        <f aca="false">IFERROR(ROUND(CORREL('Returns (Calc)'!$F$3:$F$161,'Returns (Calc)'!$B$3:$B$161),2),"")</f>
        <v>0.42</v>
      </c>
      <c r="C7" s="79" t="n">
        <f aca="false">IFERROR(ROUND(CORREL('Returns (Calc)'!$F$3:$F$161,'Returns (Calc)'!$C$3:$C$161),2),"")</f>
        <v>0.38</v>
      </c>
      <c r="D7" s="79" t="n">
        <f aca="false">IFERROR(ROUND(CORREL('Returns (Calc)'!$F$3:$F$161,'Returns (Calc)'!$D$3:$D$161),2),"")</f>
        <v>0.33</v>
      </c>
      <c r="E7" s="79" t="n">
        <f aca="false">IFERROR(ROUND(CORREL('Returns (Calc)'!$F$3:$F$161,'Returns (Calc)'!$E$3:$E$161),2),"")</f>
        <v>0.4</v>
      </c>
      <c r="F7" s="79" t="n">
        <v>1</v>
      </c>
      <c r="G7" s="79" t="n">
        <f aca="false">IFERROR(ROUND(CORREL('Returns (Calc)'!$F$3:$F$161,'Returns (Calc)'!$G$3:$G$161),2),"")</f>
        <v>0.34</v>
      </c>
      <c r="H7" s="79" t="n">
        <f aca="false">IFERROR(ROUND(CORREL('Returns (Calc)'!$F$3:$F$161,'Returns (Calc)'!$H$3:$H$161),2),"")</f>
        <v>0.34</v>
      </c>
      <c r="I7" s="79" t="n">
        <f aca="false">IFERROR(ROUND(CORREL('Returns (Calc)'!$F$3:$F$161,'Returns (Calc)'!$I$3:$I$161),2),"")</f>
        <v>0.45</v>
      </c>
      <c r="J7" s="79" t="n">
        <f aca="false">IFERROR(ROUND(CORREL('Returns (Calc)'!$F$3:$F$161,'Returns (Calc)'!$J$3:$J$161),2),"")</f>
        <v>0.12</v>
      </c>
      <c r="K7" s="79" t="n">
        <f aca="false">IFERROR(ROUND(CORREL('Returns (Calc)'!$F$3:$F$161,'Returns (Calc)'!$K$3:$K$161),2),"")</f>
        <v>0.5</v>
      </c>
      <c r="L7" s="79" t="n">
        <f aca="false">IFERROR(ROUND(CORREL('Returns (Calc)'!$F$3:$F$161,'Returns (Calc)'!$L$3:$L$161),2),"")</f>
        <v>0.39</v>
      </c>
      <c r="M7" s="79" t="n">
        <f aca="false">IFERROR(ROUND(CORREL('Returns (Calc)'!$F$3:$F$161,'Returns (Calc)'!$M$3:$M$161),2),"")</f>
        <v>0.41</v>
      </c>
      <c r="N7" s="79" t="n">
        <f aca="false">IFERROR(ROUND(CORREL('Returns (Calc)'!$F$3:$F$161,'Returns (Calc)'!$N$3:$N$161),2),"")</f>
        <v>0.21</v>
      </c>
      <c r="O7" s="79" t="n">
        <f aca="false">IFERROR(ROUND(CORREL('Returns (Calc)'!$F$3:$F$161,'Returns (Calc)'!$O$3:$O$161),2),"")</f>
        <v>0.22</v>
      </c>
      <c r="P7" s="79" t="str">
        <f aca="false">IFERROR(ROUND(CORREL('Returns (Calc)'!$F$3:$F$161,'Returns (Calc)'!$P$3:$P$161),2),"")</f>
        <v/>
      </c>
      <c r="Q7" s="79" t="n">
        <f aca="false">IFERROR(ROUND(CORREL('Returns (Calc)'!$F$3:$F$161,'Returns (Calc)'!$Q$3:$Q$161),2),"")</f>
        <v>-0.07</v>
      </c>
      <c r="R7" s="79" t="n">
        <f aca="false">IFERROR(ROUND(CORREL('Returns (Calc)'!$F$3:$F$161,'Returns (Calc)'!$R$3:$R$161),2),"")</f>
        <v>0.54</v>
      </c>
      <c r="S7" s="79" t="n">
        <f aca="false">IFERROR(ROUND(CORREL('Returns (Calc)'!$F$3:$F$161,'Returns (Calc)'!$S$3:$S$161),2),"")</f>
        <v>0.53</v>
      </c>
      <c r="T7" s="79" t="n">
        <f aca="false">IFERROR(ROUND(CORREL('Returns (Calc)'!$F$3:$F$161,'Returns (Calc)'!$T$3:$T$161),2),"")</f>
        <v>0.33</v>
      </c>
      <c r="U7" s="79" t="str">
        <f aca="false">IFERROR(ROUND(CORREL('Returns (Calc)'!$F$3:$F$161,'Returns (Calc)'!$U$3:$U$161),2),"")</f>
        <v/>
      </c>
      <c r="V7" s="41" t="n">
        <f aca="false">COUNTIF(B7:U7,"&gt;0.7")-1</f>
        <v>0</v>
      </c>
    </row>
    <row r="8" customFormat="false" ht="15" hidden="false" customHeight="true" outlineLevel="0" collapsed="false">
      <c r="A8" s="78" t="str">
        <f aca="false">'Returns (Calc)'!G2</f>
        <v>KLAC</v>
      </c>
      <c r="B8" s="79" t="n">
        <f aca="false">IFERROR(ROUND(CORREL('Returns (Calc)'!$G$3:$G$161,'Returns (Calc)'!$B$3:$B$161),2),"")</f>
        <v>-0.03</v>
      </c>
      <c r="C8" s="79" t="n">
        <f aca="false">IFERROR(ROUND(CORREL('Returns (Calc)'!$G$3:$G$161,'Returns (Calc)'!$C$3:$C$161),2),"")</f>
        <v>0.44</v>
      </c>
      <c r="D8" s="79" t="n">
        <f aca="false">IFERROR(ROUND(CORREL('Returns (Calc)'!$G$3:$G$161,'Returns (Calc)'!$D$3:$D$161),2),"")</f>
        <v>0.77</v>
      </c>
      <c r="E8" s="79" t="n">
        <f aca="false">IFERROR(ROUND(CORREL('Returns (Calc)'!$G$3:$G$161,'Returns (Calc)'!$E$3:$E$161),2),"")</f>
        <v>0.54</v>
      </c>
      <c r="F8" s="79" t="n">
        <f aca="false">IFERROR(ROUND(CORREL('Returns (Calc)'!$G$3:$G$161,'Returns (Calc)'!$F$3:$F$161),2),"")</f>
        <v>0.34</v>
      </c>
      <c r="G8" s="79" t="n">
        <v>1</v>
      </c>
      <c r="H8" s="79" t="n">
        <f aca="false">IFERROR(ROUND(CORREL('Returns (Calc)'!$G$3:$G$161,'Returns (Calc)'!$H$3:$H$161),2),"")</f>
        <v>0.6</v>
      </c>
      <c r="I8" s="79" t="n">
        <f aca="false">IFERROR(ROUND(CORREL('Returns (Calc)'!$G$3:$G$161,'Returns (Calc)'!$I$3:$I$161),2),"")</f>
        <v>0.51</v>
      </c>
      <c r="J8" s="79" t="n">
        <f aca="false">IFERROR(ROUND(CORREL('Returns (Calc)'!$G$3:$G$161,'Returns (Calc)'!$J$3:$J$161),2),"")</f>
        <v>0.29</v>
      </c>
      <c r="K8" s="79" t="n">
        <f aca="false">IFERROR(ROUND(CORREL('Returns (Calc)'!$G$3:$G$161,'Returns (Calc)'!$K$3:$K$161),2),"")</f>
        <v>0.24</v>
      </c>
      <c r="L8" s="79" t="n">
        <f aca="false">IFERROR(ROUND(CORREL('Returns (Calc)'!$G$3:$G$161,'Returns (Calc)'!$L$3:$L$161),2),"")</f>
        <v>0.61</v>
      </c>
      <c r="M8" s="79" t="n">
        <f aca="false">IFERROR(ROUND(CORREL('Returns (Calc)'!$G$3:$G$161,'Returns (Calc)'!$M$3:$M$161),2),"")</f>
        <v>0.49</v>
      </c>
      <c r="N8" s="79" t="n">
        <f aca="false">IFERROR(ROUND(CORREL('Returns (Calc)'!$G$3:$G$161,'Returns (Calc)'!$N$3:$N$161),2),"")</f>
        <v>0.18</v>
      </c>
      <c r="O8" s="79" t="n">
        <f aca="false">IFERROR(ROUND(CORREL('Returns (Calc)'!$G$3:$G$161,'Returns (Calc)'!$O$3:$O$161),2),"")</f>
        <v>0.43</v>
      </c>
      <c r="P8" s="79" t="str">
        <f aca="false">IFERROR(ROUND(CORREL('Returns (Calc)'!$G$3:$G$161,'Returns (Calc)'!$P$3:$P$161),2),"")</f>
        <v/>
      </c>
      <c r="Q8" s="79" t="n">
        <f aca="false">IFERROR(ROUND(CORREL('Returns (Calc)'!$G$3:$G$161,'Returns (Calc)'!$Q$3:$Q$161),2),"")</f>
        <v>-0.04</v>
      </c>
      <c r="R8" s="79" t="n">
        <f aca="false">IFERROR(ROUND(CORREL('Returns (Calc)'!$G$3:$G$161,'Returns (Calc)'!$R$3:$R$161),2),"")</f>
        <v>0.62</v>
      </c>
      <c r="S8" s="79" t="n">
        <f aca="false">IFERROR(ROUND(CORREL('Returns (Calc)'!$G$3:$G$161,'Returns (Calc)'!$S$3:$S$161),2),"")</f>
        <v>0.66</v>
      </c>
      <c r="T8" s="79" t="n">
        <f aca="false">IFERROR(ROUND(CORREL('Returns (Calc)'!$G$3:$G$161,'Returns (Calc)'!$T$3:$T$161),2),"")</f>
        <v>0.33</v>
      </c>
      <c r="U8" s="79" t="str">
        <f aca="false">IFERROR(ROUND(CORREL('Returns (Calc)'!$G$3:$G$161,'Returns (Calc)'!$U$3:$U$161),2),"")</f>
        <v/>
      </c>
      <c r="V8" s="41" t="n">
        <f aca="false">COUNTIF(B8:U8,"&gt;0.7")-1</f>
        <v>1</v>
      </c>
    </row>
    <row r="9" customFormat="false" ht="15" hidden="false" customHeight="true" outlineLevel="0" collapsed="false">
      <c r="A9" s="78" t="str">
        <f aca="false">'Returns (Calc)'!H2</f>
        <v>MU</v>
      </c>
      <c r="B9" s="79" t="n">
        <f aca="false">IFERROR(ROUND(CORREL('Returns (Calc)'!$H$3:$H$161,'Returns (Calc)'!$B$3:$B$161),2),"")</f>
        <v>0.07</v>
      </c>
      <c r="C9" s="79" t="n">
        <f aca="false">IFERROR(ROUND(CORREL('Returns (Calc)'!$H$3:$H$161,'Returns (Calc)'!$C$3:$C$161),2),"")</f>
        <v>0.35</v>
      </c>
      <c r="D9" s="79" t="n">
        <f aca="false">IFERROR(ROUND(CORREL('Returns (Calc)'!$H$3:$H$161,'Returns (Calc)'!$D$3:$D$161),2),"")</f>
        <v>0.6</v>
      </c>
      <c r="E9" s="79" t="n">
        <f aca="false">IFERROR(ROUND(CORREL('Returns (Calc)'!$H$3:$H$161,'Returns (Calc)'!$E$3:$E$161),2),"")</f>
        <v>0.5</v>
      </c>
      <c r="F9" s="79" t="n">
        <f aca="false">IFERROR(ROUND(CORREL('Returns (Calc)'!$H$3:$H$161,'Returns (Calc)'!$F$3:$F$161),2),"")</f>
        <v>0.34</v>
      </c>
      <c r="G9" s="79" t="n">
        <f aca="false">IFERROR(ROUND(CORREL('Returns (Calc)'!$H$3:$H$161,'Returns (Calc)'!$G$3:$G$161),2),"")</f>
        <v>0.6</v>
      </c>
      <c r="H9" s="79" t="n">
        <v>1</v>
      </c>
      <c r="I9" s="79" t="n">
        <f aca="false">IFERROR(ROUND(CORREL('Returns (Calc)'!$H$3:$H$161,'Returns (Calc)'!$I$3:$I$161),2),"")</f>
        <v>0.5</v>
      </c>
      <c r="J9" s="79" t="n">
        <f aca="false">IFERROR(ROUND(CORREL('Returns (Calc)'!$H$3:$H$161,'Returns (Calc)'!$J$3:$J$161),2),"")</f>
        <v>0.21</v>
      </c>
      <c r="K9" s="79" t="n">
        <f aca="false">IFERROR(ROUND(CORREL('Returns (Calc)'!$H$3:$H$161,'Returns (Calc)'!$K$3:$K$161),2),"")</f>
        <v>0.17</v>
      </c>
      <c r="L9" s="79" t="n">
        <f aca="false">IFERROR(ROUND(CORREL('Returns (Calc)'!$H$3:$H$161,'Returns (Calc)'!$L$3:$L$161),2),"")</f>
        <v>0.55</v>
      </c>
      <c r="M9" s="79" t="n">
        <f aca="false">IFERROR(ROUND(CORREL('Returns (Calc)'!$H$3:$H$161,'Returns (Calc)'!$M$3:$M$161),2),"")</f>
        <v>0.49</v>
      </c>
      <c r="N9" s="79" t="n">
        <f aca="false">IFERROR(ROUND(CORREL('Returns (Calc)'!$H$3:$H$161,'Returns (Calc)'!$N$3:$N$161),2),"")</f>
        <v>0.18</v>
      </c>
      <c r="O9" s="79" t="n">
        <f aca="false">IFERROR(ROUND(CORREL('Returns (Calc)'!$H$3:$H$161,'Returns (Calc)'!$O$3:$O$161),2),"")</f>
        <v>0.36</v>
      </c>
      <c r="P9" s="79" t="str">
        <f aca="false">IFERROR(ROUND(CORREL('Returns (Calc)'!$H$3:$H$161,'Returns (Calc)'!$P$3:$P$161),2),"")</f>
        <v/>
      </c>
      <c r="Q9" s="79" t="n">
        <f aca="false">IFERROR(ROUND(CORREL('Returns (Calc)'!$H$3:$H$161,'Returns (Calc)'!$Q$3:$Q$161),2),"")</f>
        <v>-0.12</v>
      </c>
      <c r="R9" s="79" t="n">
        <f aca="false">IFERROR(ROUND(CORREL('Returns (Calc)'!$H$3:$H$161,'Returns (Calc)'!$R$3:$R$161),2),"")</f>
        <v>0.61</v>
      </c>
      <c r="S9" s="79" t="n">
        <f aca="false">IFERROR(ROUND(CORREL('Returns (Calc)'!$H$3:$H$161,'Returns (Calc)'!$S$3:$S$161),2),"")</f>
        <v>0.66</v>
      </c>
      <c r="T9" s="79" t="n">
        <f aca="false">IFERROR(ROUND(CORREL('Returns (Calc)'!$H$3:$H$161,'Returns (Calc)'!$T$3:$T$161),2),"")</f>
        <v>0.43</v>
      </c>
      <c r="U9" s="79" t="str">
        <f aca="false">IFERROR(ROUND(CORREL('Returns (Calc)'!$H$3:$H$161,'Returns (Calc)'!$U$3:$U$161),2),"")</f>
        <v/>
      </c>
      <c r="V9" s="41" t="n">
        <f aca="false">COUNTIF(B9:U9,"&gt;0.7")-1</f>
        <v>0</v>
      </c>
    </row>
    <row r="10" customFormat="false" ht="15" hidden="false" customHeight="true" outlineLevel="0" collapsed="false">
      <c r="A10" s="78" t="str">
        <f aca="false">'Returns (Calc)'!I2</f>
        <v>NVDA</v>
      </c>
      <c r="B10" s="79" t="n">
        <f aca="false">IFERROR(ROUND(CORREL('Returns (Calc)'!$I$3:$I$161,'Returns (Calc)'!$B$3:$B$161),2),"")</f>
        <v>0.23</v>
      </c>
      <c r="C10" s="79" t="n">
        <f aca="false">IFERROR(ROUND(CORREL('Returns (Calc)'!$I$3:$I$161,'Returns (Calc)'!$C$3:$C$161),2),"")</f>
        <v>0.53</v>
      </c>
      <c r="D10" s="79" t="n">
        <f aca="false">IFERROR(ROUND(CORREL('Returns (Calc)'!$I$3:$I$161,'Returns (Calc)'!$D$3:$D$161),2),"")</f>
        <v>0.48</v>
      </c>
      <c r="E10" s="79" t="n">
        <f aca="false">IFERROR(ROUND(CORREL('Returns (Calc)'!$I$3:$I$161,'Returns (Calc)'!$E$3:$E$161),2),"")</f>
        <v>0.62</v>
      </c>
      <c r="F10" s="79" t="n">
        <f aca="false">IFERROR(ROUND(CORREL('Returns (Calc)'!$I$3:$I$161,'Returns (Calc)'!$F$3:$F$161),2),"")</f>
        <v>0.45</v>
      </c>
      <c r="G10" s="79" t="n">
        <f aca="false">IFERROR(ROUND(CORREL('Returns (Calc)'!$I$3:$I$161,'Returns (Calc)'!$G$3:$G$161),2),"")</f>
        <v>0.51</v>
      </c>
      <c r="H10" s="79" t="n">
        <f aca="false">IFERROR(ROUND(CORREL('Returns (Calc)'!$I$3:$I$161,'Returns (Calc)'!$H$3:$H$161),2),"")</f>
        <v>0.5</v>
      </c>
      <c r="I10" s="79" t="n">
        <v>1</v>
      </c>
      <c r="J10" s="79" t="n">
        <f aca="false">IFERROR(ROUND(CORREL('Returns (Calc)'!$I$3:$I$161,'Returns (Calc)'!$J$3:$J$161),2),"")</f>
        <v>0.19</v>
      </c>
      <c r="K10" s="79" t="n">
        <f aca="false">IFERROR(ROUND(CORREL('Returns (Calc)'!$I$3:$I$161,'Returns (Calc)'!$K$3:$K$161),2),"")</f>
        <v>0.44</v>
      </c>
      <c r="L10" s="79" t="n">
        <f aca="false">IFERROR(ROUND(CORREL('Returns (Calc)'!$I$3:$I$161,'Returns (Calc)'!$L$3:$L$161),2),"")</f>
        <v>0.64</v>
      </c>
      <c r="M10" s="79" t="n">
        <f aca="false">IFERROR(ROUND(CORREL('Returns (Calc)'!$I$3:$I$161,'Returns (Calc)'!$M$3:$M$161),2),"")</f>
        <v>0.65</v>
      </c>
      <c r="N10" s="79" t="n">
        <f aca="false">IFERROR(ROUND(CORREL('Returns (Calc)'!$I$3:$I$161,'Returns (Calc)'!$N$3:$N$161),2),"")</f>
        <v>0.14</v>
      </c>
      <c r="O10" s="79" t="n">
        <f aca="false">IFERROR(ROUND(CORREL('Returns (Calc)'!$I$3:$I$161,'Returns (Calc)'!$O$3:$O$161),2),"")</f>
        <v>0.27</v>
      </c>
      <c r="P10" s="79" t="str">
        <f aca="false">IFERROR(ROUND(CORREL('Returns (Calc)'!$I$3:$I$161,'Returns (Calc)'!$P$3:$P$161),2),"")</f>
        <v/>
      </c>
      <c r="Q10" s="79" t="n">
        <f aca="false">IFERROR(ROUND(CORREL('Returns (Calc)'!$I$3:$I$161,'Returns (Calc)'!$Q$3:$Q$161),2),"")</f>
        <v>-0.1</v>
      </c>
      <c r="R10" s="79" t="n">
        <f aca="false">IFERROR(ROUND(CORREL('Returns (Calc)'!$I$3:$I$161,'Returns (Calc)'!$R$3:$R$161),2),"")</f>
        <v>0.71</v>
      </c>
      <c r="S10" s="79" t="n">
        <f aca="false">IFERROR(ROUND(CORREL('Returns (Calc)'!$I$3:$I$161,'Returns (Calc)'!$S$3:$S$161),2),"")</f>
        <v>0.73</v>
      </c>
      <c r="T10" s="79" t="n">
        <f aca="false">IFERROR(ROUND(CORREL('Returns (Calc)'!$I$3:$I$161,'Returns (Calc)'!$T$3:$T$161),2),"")</f>
        <v>0.3</v>
      </c>
      <c r="U10" s="79" t="str">
        <f aca="false">IFERROR(ROUND(CORREL('Returns (Calc)'!$I$3:$I$161,'Returns (Calc)'!$U$3:$U$161),2),"")</f>
        <v/>
      </c>
      <c r="V10" s="41" t="n">
        <f aca="false">COUNTIF(B10:U10,"&gt;0.7")-1</f>
        <v>2</v>
      </c>
    </row>
    <row r="11" customFormat="false" ht="15" hidden="false" customHeight="true" outlineLevel="0" collapsed="false">
      <c r="A11" s="78" t="str">
        <f aca="false">'Returns (Calc)'!J2</f>
        <v>PLD</v>
      </c>
      <c r="B11" s="79" t="n">
        <f aca="false">IFERROR(ROUND(CORREL('Returns (Calc)'!$J$3:$J$161,'Returns (Calc)'!$B$3:$B$161),2),"")</f>
        <v>0.19</v>
      </c>
      <c r="C11" s="79" t="n">
        <f aca="false">IFERROR(ROUND(CORREL('Returns (Calc)'!$J$3:$J$161,'Returns (Calc)'!$C$3:$C$161),2),"")</f>
        <v>0.19</v>
      </c>
      <c r="D11" s="79" t="n">
        <f aca="false">IFERROR(ROUND(CORREL('Returns (Calc)'!$J$3:$J$161,'Returns (Calc)'!$D$3:$D$161),2),"")</f>
        <v>0.29</v>
      </c>
      <c r="E11" s="79" t="n">
        <f aca="false">IFERROR(ROUND(CORREL('Returns (Calc)'!$J$3:$J$161,'Returns (Calc)'!$E$3:$E$161),2),"")</f>
        <v>0.23</v>
      </c>
      <c r="F11" s="79" t="n">
        <f aca="false">IFERROR(ROUND(CORREL('Returns (Calc)'!$J$3:$J$161,'Returns (Calc)'!$F$3:$F$161),2),"")</f>
        <v>0.12</v>
      </c>
      <c r="G11" s="79" t="n">
        <f aca="false">IFERROR(ROUND(CORREL('Returns (Calc)'!$J$3:$J$161,'Returns (Calc)'!$G$3:$G$161),2),"")</f>
        <v>0.29</v>
      </c>
      <c r="H11" s="79" t="n">
        <f aca="false">IFERROR(ROUND(CORREL('Returns (Calc)'!$J$3:$J$161,'Returns (Calc)'!$H$3:$H$161),2),"")</f>
        <v>0.21</v>
      </c>
      <c r="I11" s="79" t="n">
        <f aca="false">IFERROR(ROUND(CORREL('Returns (Calc)'!$J$3:$J$161,'Returns (Calc)'!$I$3:$I$161),2),"")</f>
        <v>0.19</v>
      </c>
      <c r="J11" s="79" t="n">
        <v>1</v>
      </c>
      <c r="K11" s="79" t="n">
        <f aca="false">IFERROR(ROUND(CORREL('Returns (Calc)'!$J$3:$J$161,'Returns (Calc)'!$K$3:$K$161),2),"")</f>
        <v>0.16</v>
      </c>
      <c r="L11" s="79" t="n">
        <f aca="false">IFERROR(ROUND(CORREL('Returns (Calc)'!$J$3:$J$161,'Returns (Calc)'!$L$3:$L$161),2),"")</f>
        <v>0.22</v>
      </c>
      <c r="M11" s="79" t="n">
        <f aca="false">IFERROR(ROUND(CORREL('Returns (Calc)'!$J$3:$J$161,'Returns (Calc)'!$M$3:$M$161),2),"")</f>
        <v>0.16</v>
      </c>
      <c r="N11" s="79" t="n">
        <f aca="false">IFERROR(ROUND(CORREL('Returns (Calc)'!$J$3:$J$161,'Returns (Calc)'!$N$3:$N$161),2),"")</f>
        <v>0.26</v>
      </c>
      <c r="O11" s="79" t="n">
        <f aca="false">IFERROR(ROUND(CORREL('Returns (Calc)'!$J$3:$J$161,'Returns (Calc)'!$O$3:$O$161),2),"")</f>
        <v>0.62</v>
      </c>
      <c r="P11" s="79" t="str">
        <f aca="false">IFERROR(ROUND(CORREL('Returns (Calc)'!$J$3:$J$161,'Returns (Calc)'!$P$3:$P$161),2),"")</f>
        <v/>
      </c>
      <c r="Q11" s="79" t="n">
        <f aca="false">IFERROR(ROUND(CORREL('Returns (Calc)'!$J$3:$J$161,'Returns (Calc)'!$Q$3:$Q$161),2),"")</f>
        <v>-0.09</v>
      </c>
      <c r="R11" s="79" t="n">
        <f aca="false">IFERROR(ROUND(CORREL('Returns (Calc)'!$J$3:$J$161,'Returns (Calc)'!$R$3:$R$161),2),"")</f>
        <v>0.38</v>
      </c>
      <c r="S11" s="79" t="n">
        <f aca="false">IFERROR(ROUND(CORREL('Returns (Calc)'!$J$3:$J$161,'Returns (Calc)'!$S$3:$S$161),2),"")</f>
        <v>0.36</v>
      </c>
      <c r="T11" s="79" t="n">
        <f aca="false">IFERROR(ROUND(CORREL('Returns (Calc)'!$J$3:$J$161,'Returns (Calc)'!$T$3:$T$161),2),"")</f>
        <v>0.54</v>
      </c>
      <c r="U11" s="79" t="str">
        <f aca="false">IFERROR(ROUND(CORREL('Returns (Calc)'!$J$3:$J$161,'Returns (Calc)'!$U$3:$U$161),2),"")</f>
        <v/>
      </c>
      <c r="V11" s="41" t="n">
        <f aca="false">COUNTIF(B11:U11,"&gt;0.7")-1</f>
        <v>0</v>
      </c>
    </row>
    <row r="12" customFormat="false" ht="15" hidden="false" customHeight="true" outlineLevel="0" collapsed="false">
      <c r="A12" s="78" t="str">
        <f aca="false">'Returns (Calc)'!K2</f>
        <v>PLTR</v>
      </c>
      <c r="B12" s="79" t="n">
        <f aca="false">IFERROR(ROUND(CORREL('Returns (Calc)'!$K$3:$K$161,'Returns (Calc)'!$B$3:$B$161),2),"")</f>
        <v>0.36</v>
      </c>
      <c r="C12" s="79" t="n">
        <f aca="false">IFERROR(ROUND(CORREL('Returns (Calc)'!$K$3:$K$161,'Returns (Calc)'!$C$3:$C$161),2),"")</f>
        <v>0.34</v>
      </c>
      <c r="D12" s="79" t="n">
        <f aca="false">IFERROR(ROUND(CORREL('Returns (Calc)'!$K$3:$K$161,'Returns (Calc)'!$D$3:$D$161),2),"")</f>
        <v>0.2</v>
      </c>
      <c r="E12" s="79" t="n">
        <f aca="false">IFERROR(ROUND(CORREL('Returns (Calc)'!$K$3:$K$161,'Returns (Calc)'!$E$3:$E$161),2),"")</f>
        <v>0.37</v>
      </c>
      <c r="F12" s="79" t="n">
        <f aca="false">IFERROR(ROUND(CORREL('Returns (Calc)'!$K$3:$K$161,'Returns (Calc)'!$F$3:$F$161),2),"")</f>
        <v>0.5</v>
      </c>
      <c r="G12" s="79" t="n">
        <f aca="false">IFERROR(ROUND(CORREL('Returns (Calc)'!$K$3:$K$161,'Returns (Calc)'!$G$3:$G$161),2),"")</f>
        <v>0.24</v>
      </c>
      <c r="H12" s="79" t="n">
        <f aca="false">IFERROR(ROUND(CORREL('Returns (Calc)'!$K$3:$K$161,'Returns (Calc)'!$H$3:$H$161),2),"")</f>
        <v>0.17</v>
      </c>
      <c r="I12" s="79" t="n">
        <f aca="false">IFERROR(ROUND(CORREL('Returns (Calc)'!$K$3:$K$161,'Returns (Calc)'!$I$3:$I$161),2),"")</f>
        <v>0.44</v>
      </c>
      <c r="J12" s="79" t="n">
        <f aca="false">IFERROR(ROUND(CORREL('Returns (Calc)'!$K$3:$K$161,'Returns (Calc)'!$J$3:$J$161),2),"")</f>
        <v>0.16</v>
      </c>
      <c r="K12" s="79" t="n">
        <v>1</v>
      </c>
      <c r="L12" s="79" t="n">
        <f aca="false">IFERROR(ROUND(CORREL('Returns (Calc)'!$K$3:$K$161,'Returns (Calc)'!$L$3:$L$161),2),"")</f>
        <v>0.39</v>
      </c>
      <c r="M12" s="79" t="n">
        <f aca="false">IFERROR(ROUND(CORREL('Returns (Calc)'!$K$3:$K$161,'Returns (Calc)'!$M$3:$M$161),2),"")</f>
        <v>0.32</v>
      </c>
      <c r="N12" s="79" t="n">
        <f aca="false">IFERROR(ROUND(CORREL('Returns (Calc)'!$K$3:$K$161,'Returns (Calc)'!$N$3:$N$161),2),"")</f>
        <v>0.05</v>
      </c>
      <c r="O12" s="79" t="n">
        <f aca="false">IFERROR(ROUND(CORREL('Returns (Calc)'!$K$3:$K$161,'Returns (Calc)'!$O$3:$O$161),2),"")</f>
        <v>0.25</v>
      </c>
      <c r="P12" s="79" t="str">
        <f aca="false">IFERROR(ROUND(CORREL('Returns (Calc)'!$K$3:$K$161,'Returns (Calc)'!$P$3:$P$161),2),"")</f>
        <v/>
      </c>
      <c r="Q12" s="79" t="n">
        <f aca="false">IFERROR(ROUND(CORREL('Returns (Calc)'!$K$3:$K$161,'Returns (Calc)'!$Q$3:$Q$161),2),"")</f>
        <v>-0.08</v>
      </c>
      <c r="R12" s="79" t="n">
        <f aca="false">IFERROR(ROUND(CORREL('Returns (Calc)'!$K$3:$K$161,'Returns (Calc)'!$R$3:$R$161),2),"")</f>
        <v>0.48</v>
      </c>
      <c r="S12" s="79" t="n">
        <f aca="false">IFERROR(ROUND(CORREL('Returns (Calc)'!$K$3:$K$161,'Returns (Calc)'!$S$3:$S$161),2),"")</f>
        <v>0.45</v>
      </c>
      <c r="T12" s="79" t="n">
        <f aca="false">IFERROR(ROUND(CORREL('Returns (Calc)'!$K$3:$K$161,'Returns (Calc)'!$T$3:$T$161),2),"")</f>
        <v>0.34</v>
      </c>
      <c r="U12" s="79" t="str">
        <f aca="false">IFERROR(ROUND(CORREL('Returns (Calc)'!$K$3:$K$161,'Returns (Calc)'!$U$3:$U$161),2),"")</f>
        <v/>
      </c>
      <c r="V12" s="41" t="n">
        <f aca="false">COUNTIF(B12:U12,"&gt;0.7")-1</f>
        <v>0</v>
      </c>
    </row>
    <row r="13" customFormat="false" ht="15" hidden="false" customHeight="true" outlineLevel="0" collapsed="false">
      <c r="A13" s="78" t="str">
        <f aca="false">'Returns (Calc)'!L2</f>
        <v>TSM</v>
      </c>
      <c r="B13" s="79" t="n">
        <f aca="false">IFERROR(ROUND(CORREL('Returns (Calc)'!$L$3:$L$161,'Returns (Calc)'!$B$3:$B$161),2),"")</f>
        <v>0.17</v>
      </c>
      <c r="C13" s="79" t="n">
        <f aca="false">IFERROR(ROUND(CORREL('Returns (Calc)'!$L$3:$L$161,'Returns (Calc)'!$C$3:$C$161),2),"")</f>
        <v>0.55</v>
      </c>
      <c r="D13" s="79" t="n">
        <f aca="false">IFERROR(ROUND(CORREL('Returns (Calc)'!$L$3:$L$161,'Returns (Calc)'!$D$3:$D$161),2),"")</f>
        <v>0.63</v>
      </c>
      <c r="E13" s="79" t="n">
        <f aca="false">IFERROR(ROUND(CORREL('Returns (Calc)'!$L$3:$L$161,'Returns (Calc)'!$E$3:$E$161),2),"")</f>
        <v>0.63</v>
      </c>
      <c r="F13" s="79" t="n">
        <f aca="false">IFERROR(ROUND(CORREL('Returns (Calc)'!$L$3:$L$161,'Returns (Calc)'!$F$3:$F$161),2),"")</f>
        <v>0.39</v>
      </c>
      <c r="G13" s="79" t="n">
        <f aca="false">IFERROR(ROUND(CORREL('Returns (Calc)'!$L$3:$L$161,'Returns (Calc)'!$G$3:$G$161),2),"")</f>
        <v>0.61</v>
      </c>
      <c r="H13" s="79" t="n">
        <f aca="false">IFERROR(ROUND(CORREL('Returns (Calc)'!$L$3:$L$161,'Returns (Calc)'!$H$3:$H$161),2),"")</f>
        <v>0.55</v>
      </c>
      <c r="I13" s="79" t="n">
        <f aca="false">IFERROR(ROUND(CORREL('Returns (Calc)'!$L$3:$L$161,'Returns (Calc)'!$I$3:$I$161),2),"")</f>
        <v>0.64</v>
      </c>
      <c r="J13" s="79" t="n">
        <f aca="false">IFERROR(ROUND(CORREL('Returns (Calc)'!$L$3:$L$161,'Returns (Calc)'!$J$3:$J$161),2),"")</f>
        <v>0.22</v>
      </c>
      <c r="K13" s="79" t="n">
        <f aca="false">IFERROR(ROUND(CORREL('Returns (Calc)'!$L$3:$L$161,'Returns (Calc)'!$K$3:$K$161),2),"")</f>
        <v>0.39</v>
      </c>
      <c r="L13" s="79" t="n">
        <v>1</v>
      </c>
      <c r="M13" s="79" t="n">
        <f aca="false">IFERROR(ROUND(CORREL('Returns (Calc)'!$L$3:$L$161,'Returns (Calc)'!$M$3:$M$161),2),"")</f>
        <v>0.6</v>
      </c>
      <c r="N13" s="79" t="n">
        <f aca="false">IFERROR(ROUND(CORREL('Returns (Calc)'!$L$3:$L$161,'Returns (Calc)'!$N$3:$N$161),2),"")</f>
        <v>0.16</v>
      </c>
      <c r="O13" s="79" t="n">
        <f aca="false">IFERROR(ROUND(CORREL('Returns (Calc)'!$L$3:$L$161,'Returns (Calc)'!$O$3:$O$161),2),"")</f>
        <v>0.33</v>
      </c>
      <c r="P13" s="79" t="str">
        <f aca="false">IFERROR(ROUND(CORREL('Returns (Calc)'!$L$3:$L$161,'Returns (Calc)'!$P$3:$P$161),2),"")</f>
        <v/>
      </c>
      <c r="Q13" s="79" t="n">
        <f aca="false">IFERROR(ROUND(CORREL('Returns (Calc)'!$L$3:$L$161,'Returns (Calc)'!$Q$3:$Q$161),2),"")</f>
        <v>-0</v>
      </c>
      <c r="R13" s="79" t="n">
        <f aca="false">IFERROR(ROUND(CORREL('Returns (Calc)'!$L$3:$L$161,'Returns (Calc)'!$R$3:$R$161),2),"")</f>
        <v>0.66</v>
      </c>
      <c r="S13" s="79" t="n">
        <f aca="false">IFERROR(ROUND(CORREL('Returns (Calc)'!$L$3:$L$161,'Returns (Calc)'!$S$3:$S$161),2),"")</f>
        <v>0.69</v>
      </c>
      <c r="T13" s="79" t="n">
        <f aca="false">IFERROR(ROUND(CORREL('Returns (Calc)'!$L$3:$L$161,'Returns (Calc)'!$T$3:$T$161),2),"")</f>
        <v>0.29</v>
      </c>
      <c r="U13" s="79" t="str">
        <f aca="false">IFERROR(ROUND(CORREL('Returns (Calc)'!$L$3:$L$161,'Returns (Calc)'!$U$3:$U$161),2),"")</f>
        <v/>
      </c>
      <c r="V13" s="41" t="n">
        <f aca="false">COUNTIF(B13:U13,"&gt;0.7")-1</f>
        <v>0</v>
      </c>
    </row>
    <row r="14" customFormat="false" ht="15" hidden="false" customHeight="true" outlineLevel="0" collapsed="false">
      <c r="A14" s="78" t="str">
        <f aca="false">'Returns (Calc)'!M2</f>
        <v>VRT</v>
      </c>
      <c r="B14" s="79" t="n">
        <f aca="false">IFERROR(ROUND(CORREL('Returns (Calc)'!$M$3:$M$161,'Returns (Calc)'!$B$3:$B$161),2),"")</f>
        <v>0.08</v>
      </c>
      <c r="C14" s="79" t="n">
        <f aca="false">IFERROR(ROUND(CORREL('Returns (Calc)'!$M$3:$M$161,'Returns (Calc)'!$C$3:$C$161),2),"")</f>
        <v>0.59</v>
      </c>
      <c r="D14" s="79" t="n">
        <f aca="false">IFERROR(ROUND(CORREL('Returns (Calc)'!$M$3:$M$161,'Returns (Calc)'!$D$3:$D$161),2),"")</f>
        <v>0.41</v>
      </c>
      <c r="E14" s="79" t="n">
        <f aca="false">IFERROR(ROUND(CORREL('Returns (Calc)'!$M$3:$M$161,'Returns (Calc)'!$E$3:$E$161),2),"")</f>
        <v>0.53</v>
      </c>
      <c r="F14" s="79" t="n">
        <f aca="false">IFERROR(ROUND(CORREL('Returns (Calc)'!$M$3:$M$161,'Returns (Calc)'!$F$3:$F$161),2),"")</f>
        <v>0.41</v>
      </c>
      <c r="G14" s="79" t="n">
        <f aca="false">IFERROR(ROUND(CORREL('Returns (Calc)'!$M$3:$M$161,'Returns (Calc)'!$G$3:$G$161),2),"")</f>
        <v>0.49</v>
      </c>
      <c r="H14" s="79" t="n">
        <f aca="false">IFERROR(ROUND(CORREL('Returns (Calc)'!$M$3:$M$161,'Returns (Calc)'!$H$3:$H$161),2),"")</f>
        <v>0.49</v>
      </c>
      <c r="I14" s="79" t="n">
        <f aca="false">IFERROR(ROUND(CORREL('Returns (Calc)'!$M$3:$M$161,'Returns (Calc)'!$I$3:$I$161),2),"")</f>
        <v>0.65</v>
      </c>
      <c r="J14" s="79" t="n">
        <f aca="false">IFERROR(ROUND(CORREL('Returns (Calc)'!$M$3:$M$161,'Returns (Calc)'!$J$3:$J$161),2),"")</f>
        <v>0.16</v>
      </c>
      <c r="K14" s="79" t="n">
        <f aca="false">IFERROR(ROUND(CORREL('Returns (Calc)'!$M$3:$M$161,'Returns (Calc)'!$K$3:$K$161),2),"")</f>
        <v>0.32</v>
      </c>
      <c r="L14" s="79" t="n">
        <f aca="false">IFERROR(ROUND(CORREL('Returns (Calc)'!$M$3:$M$161,'Returns (Calc)'!$L$3:$L$161),2),"")</f>
        <v>0.6</v>
      </c>
      <c r="M14" s="79" t="n">
        <v>1</v>
      </c>
      <c r="N14" s="79" t="n">
        <f aca="false">IFERROR(ROUND(CORREL('Returns (Calc)'!$M$3:$M$161,'Returns (Calc)'!$N$3:$N$161),2),"")</f>
        <v>0.12</v>
      </c>
      <c r="O14" s="79" t="n">
        <f aca="false">IFERROR(ROUND(CORREL('Returns (Calc)'!$M$3:$M$161,'Returns (Calc)'!$O$3:$O$161),2),"")</f>
        <v>0.34</v>
      </c>
      <c r="P14" s="79" t="str">
        <f aca="false">IFERROR(ROUND(CORREL('Returns (Calc)'!$M$3:$M$161,'Returns (Calc)'!$P$3:$P$161),2),"")</f>
        <v/>
      </c>
      <c r="Q14" s="79" t="n">
        <f aca="false">IFERROR(ROUND(CORREL('Returns (Calc)'!$M$3:$M$161,'Returns (Calc)'!$Q$3:$Q$161),2),"")</f>
        <v>-0.02</v>
      </c>
      <c r="R14" s="79" t="n">
        <f aca="false">IFERROR(ROUND(CORREL('Returns (Calc)'!$M$3:$M$161,'Returns (Calc)'!$R$3:$R$161),2),"")</f>
        <v>0.61</v>
      </c>
      <c r="S14" s="79" t="n">
        <f aca="false">IFERROR(ROUND(CORREL('Returns (Calc)'!$M$3:$M$161,'Returns (Calc)'!$S$3:$S$161),2),"")</f>
        <v>0.65</v>
      </c>
      <c r="T14" s="79" t="n">
        <f aca="false">IFERROR(ROUND(CORREL('Returns (Calc)'!$M$3:$M$161,'Returns (Calc)'!$T$3:$T$161),2),"")</f>
        <v>0.29</v>
      </c>
      <c r="U14" s="79" t="str">
        <f aca="false">IFERROR(ROUND(CORREL('Returns (Calc)'!$M$3:$M$161,'Returns (Calc)'!$U$3:$U$161),2),"")</f>
        <v/>
      </c>
      <c r="V14" s="41" t="n">
        <f aca="false">COUNTIF(B14:U14,"&gt;0.7")-1</f>
        <v>0</v>
      </c>
    </row>
    <row r="15" customFormat="false" ht="15" hidden="false" customHeight="true" outlineLevel="0" collapsed="false">
      <c r="A15" s="78" t="str">
        <f aca="false">'Returns (Calc)'!N2</f>
        <v>VRTX</v>
      </c>
      <c r="B15" s="79" t="n">
        <f aca="false">IFERROR(ROUND(CORREL('Returns (Calc)'!$N$3:$N$161,'Returns (Calc)'!$B$3:$B$161),2),"")</f>
        <v>0.13</v>
      </c>
      <c r="C15" s="79" t="n">
        <f aca="false">IFERROR(ROUND(CORREL('Returns (Calc)'!$N$3:$N$161,'Returns (Calc)'!$C$3:$C$161),2),"")</f>
        <v>0.05</v>
      </c>
      <c r="D15" s="79" t="n">
        <f aca="false">IFERROR(ROUND(CORREL('Returns (Calc)'!$N$3:$N$161,'Returns (Calc)'!$D$3:$D$161),2),"")</f>
        <v>0.12</v>
      </c>
      <c r="E15" s="79" t="n">
        <f aca="false">IFERROR(ROUND(CORREL('Returns (Calc)'!$N$3:$N$161,'Returns (Calc)'!$E$3:$E$161),2),"")</f>
        <v>0.16</v>
      </c>
      <c r="F15" s="79" t="n">
        <f aca="false">IFERROR(ROUND(CORREL('Returns (Calc)'!$N$3:$N$161,'Returns (Calc)'!$F$3:$F$161),2),"")</f>
        <v>0.21</v>
      </c>
      <c r="G15" s="79" t="n">
        <f aca="false">IFERROR(ROUND(CORREL('Returns (Calc)'!$N$3:$N$161,'Returns (Calc)'!$G$3:$G$161),2),"")</f>
        <v>0.18</v>
      </c>
      <c r="H15" s="79" t="n">
        <f aca="false">IFERROR(ROUND(CORREL('Returns (Calc)'!$N$3:$N$161,'Returns (Calc)'!$H$3:$H$161),2),"")</f>
        <v>0.18</v>
      </c>
      <c r="I15" s="79" t="n">
        <f aca="false">IFERROR(ROUND(CORREL('Returns (Calc)'!$N$3:$N$161,'Returns (Calc)'!$I$3:$I$161),2),"")</f>
        <v>0.14</v>
      </c>
      <c r="J15" s="79" t="n">
        <f aca="false">IFERROR(ROUND(CORREL('Returns (Calc)'!$N$3:$N$161,'Returns (Calc)'!$J$3:$J$161),2),"")</f>
        <v>0.26</v>
      </c>
      <c r="K15" s="79" t="n">
        <f aca="false">IFERROR(ROUND(CORREL('Returns (Calc)'!$N$3:$N$161,'Returns (Calc)'!$K$3:$K$161),2),"")</f>
        <v>0.05</v>
      </c>
      <c r="L15" s="79" t="n">
        <f aca="false">IFERROR(ROUND(CORREL('Returns (Calc)'!$N$3:$N$161,'Returns (Calc)'!$L$3:$L$161),2),"")</f>
        <v>0.16</v>
      </c>
      <c r="M15" s="79" t="n">
        <f aca="false">IFERROR(ROUND(CORREL('Returns (Calc)'!$N$3:$N$161,'Returns (Calc)'!$M$3:$M$161),2),"")</f>
        <v>0.12</v>
      </c>
      <c r="N15" s="79" t="n">
        <v>1</v>
      </c>
      <c r="O15" s="79" t="n">
        <f aca="false">IFERROR(ROUND(CORREL('Returns (Calc)'!$N$3:$N$161,'Returns (Calc)'!$O$3:$O$161),2),"")</f>
        <v>0.24</v>
      </c>
      <c r="P15" s="79" t="str">
        <f aca="false">IFERROR(ROUND(CORREL('Returns (Calc)'!$N$3:$N$161,'Returns (Calc)'!$P$3:$P$161),2),"")</f>
        <v/>
      </c>
      <c r="Q15" s="79" t="n">
        <f aca="false">IFERROR(ROUND(CORREL('Returns (Calc)'!$N$3:$N$161,'Returns (Calc)'!$Q$3:$Q$161),2),"")</f>
        <v>0.04</v>
      </c>
      <c r="R15" s="79" t="n">
        <f aca="false">IFERROR(ROUND(CORREL('Returns (Calc)'!$N$3:$N$161,'Returns (Calc)'!$R$3:$R$161),2),"")</f>
        <v>0.2</v>
      </c>
      <c r="S15" s="79" t="n">
        <f aca="false">IFERROR(ROUND(CORREL('Returns (Calc)'!$N$3:$N$161,'Returns (Calc)'!$S$3:$S$161),2),"")</f>
        <v>0.17</v>
      </c>
      <c r="T15" s="79" t="n">
        <f aca="false">IFERROR(ROUND(CORREL('Returns (Calc)'!$N$3:$N$161,'Returns (Calc)'!$T$3:$T$161),2),"")</f>
        <v>0.31</v>
      </c>
      <c r="U15" s="79" t="str">
        <f aca="false">IFERROR(ROUND(CORREL('Returns (Calc)'!$N$3:$N$161,'Returns (Calc)'!$U$3:$U$161),2),"")</f>
        <v/>
      </c>
      <c r="V15" s="41" t="n">
        <f aca="false">COUNTIF(B15:U15,"&gt;0.7")-1</f>
        <v>0</v>
      </c>
    </row>
    <row r="16" customFormat="false" ht="15" hidden="false" customHeight="true" outlineLevel="0" collapsed="false">
      <c r="A16" s="78" t="str">
        <f aca="false">'Returns (Calc)'!O2</f>
        <v>AVUV</v>
      </c>
      <c r="B16" s="79" t="n">
        <f aca="false">IFERROR(ROUND(CORREL('Returns (Calc)'!$O$3:$O$161,'Returns (Calc)'!$B$3:$B$161),2),"")</f>
        <v>0.17</v>
      </c>
      <c r="C16" s="79" t="n">
        <f aca="false">IFERROR(ROUND(CORREL('Returns (Calc)'!$O$3:$O$161,'Returns (Calc)'!$C$3:$C$161),2),"")</f>
        <v>0.35</v>
      </c>
      <c r="D16" s="79" t="n">
        <f aca="false">IFERROR(ROUND(CORREL('Returns (Calc)'!$O$3:$O$161,'Returns (Calc)'!$D$3:$D$161),2),"")</f>
        <v>0.38</v>
      </c>
      <c r="E16" s="79" t="n">
        <f aca="false">IFERROR(ROUND(CORREL('Returns (Calc)'!$O$3:$O$161,'Returns (Calc)'!$E$3:$E$161),2),"")</f>
        <v>0.29</v>
      </c>
      <c r="F16" s="79" t="n">
        <f aca="false">IFERROR(ROUND(CORREL('Returns (Calc)'!$O$3:$O$161,'Returns (Calc)'!$F$3:$F$161),2),"")</f>
        <v>0.22</v>
      </c>
      <c r="G16" s="79" t="n">
        <f aca="false">IFERROR(ROUND(CORREL('Returns (Calc)'!$O$3:$O$161,'Returns (Calc)'!$G$3:$G$161),2),"")</f>
        <v>0.43</v>
      </c>
      <c r="H16" s="79" t="n">
        <f aca="false">IFERROR(ROUND(CORREL('Returns (Calc)'!$O$3:$O$161,'Returns (Calc)'!$H$3:$H$161),2),"")</f>
        <v>0.36</v>
      </c>
      <c r="I16" s="79" t="n">
        <f aca="false">IFERROR(ROUND(CORREL('Returns (Calc)'!$O$3:$O$161,'Returns (Calc)'!$I$3:$I$161),2),"")</f>
        <v>0.27</v>
      </c>
      <c r="J16" s="79" t="n">
        <f aca="false">IFERROR(ROUND(CORREL('Returns (Calc)'!$O$3:$O$161,'Returns (Calc)'!$J$3:$J$161),2),"")</f>
        <v>0.62</v>
      </c>
      <c r="K16" s="79" t="n">
        <f aca="false">IFERROR(ROUND(CORREL('Returns (Calc)'!$O$3:$O$161,'Returns (Calc)'!$K$3:$K$161),2),"")</f>
        <v>0.25</v>
      </c>
      <c r="L16" s="79" t="n">
        <f aca="false">IFERROR(ROUND(CORREL('Returns (Calc)'!$O$3:$O$161,'Returns (Calc)'!$L$3:$L$161),2),"")</f>
        <v>0.33</v>
      </c>
      <c r="M16" s="79" t="n">
        <f aca="false">IFERROR(ROUND(CORREL('Returns (Calc)'!$O$3:$O$161,'Returns (Calc)'!$M$3:$M$161),2),"")</f>
        <v>0.34</v>
      </c>
      <c r="N16" s="79" t="n">
        <f aca="false">IFERROR(ROUND(CORREL('Returns (Calc)'!$O$3:$O$161,'Returns (Calc)'!$N$3:$N$161),2),"")</f>
        <v>0.24</v>
      </c>
      <c r="O16" s="79" t="n">
        <v>1</v>
      </c>
      <c r="P16" s="79" t="str">
        <f aca="false">IFERROR(ROUND(CORREL('Returns (Calc)'!$O$3:$O$161,'Returns (Calc)'!$P$3:$P$161),2),"")</f>
        <v/>
      </c>
      <c r="Q16" s="79" t="n">
        <f aca="false">IFERROR(ROUND(CORREL('Returns (Calc)'!$O$3:$O$161,'Returns (Calc)'!$Q$3:$Q$161),2),"")</f>
        <v>-0.04</v>
      </c>
      <c r="R16" s="79" t="n">
        <f aca="false">IFERROR(ROUND(CORREL('Returns (Calc)'!$O$3:$O$161,'Returns (Calc)'!$R$3:$R$161),2),"")</f>
        <v>0.54</v>
      </c>
      <c r="S16" s="79" t="n">
        <f aca="false">IFERROR(ROUND(CORREL('Returns (Calc)'!$O$3:$O$161,'Returns (Calc)'!$S$3:$S$161),2),"")</f>
        <v>0.49</v>
      </c>
      <c r="T16" s="79" t="n">
        <f aca="false">IFERROR(ROUND(CORREL('Returns (Calc)'!$O$3:$O$161,'Returns (Calc)'!$T$3:$T$161),2),"")</f>
        <v>0.81</v>
      </c>
      <c r="U16" s="79" t="str">
        <f aca="false">IFERROR(ROUND(CORREL('Returns (Calc)'!$O$3:$O$161,'Returns (Calc)'!$U$3:$U$161),2),"")</f>
        <v/>
      </c>
      <c r="V16" s="41" t="n">
        <f aca="false">COUNTIF(B16:U16,"&gt;0.7")-1</f>
        <v>1</v>
      </c>
    </row>
    <row r="17" customFormat="false" ht="15" hidden="false" customHeight="true" outlineLevel="0" collapsed="false">
      <c r="A17" s="78" t="n">
        <f aca="false">'Returns (Calc)'!P2</f>
        <v>0</v>
      </c>
      <c r="B17" s="79" t="str">
        <f aca="false">IFERROR(ROUND(CORREL('Returns (Calc)'!$P$3:$P$161,'Returns (Calc)'!$B$3:$B$161),2),"")</f>
        <v/>
      </c>
      <c r="C17" s="79" t="str">
        <f aca="false">IFERROR(ROUND(CORREL('Returns (Calc)'!$P$3:$P$161,'Returns (Calc)'!$C$3:$C$161),2),"")</f>
        <v/>
      </c>
      <c r="D17" s="79" t="str">
        <f aca="false">IFERROR(ROUND(CORREL('Returns (Calc)'!$P$3:$P$161,'Returns (Calc)'!$D$3:$D$161),2),"")</f>
        <v/>
      </c>
      <c r="E17" s="79" t="str">
        <f aca="false">IFERROR(ROUND(CORREL('Returns (Calc)'!$P$3:$P$161,'Returns (Calc)'!$E$3:$E$161),2),"")</f>
        <v/>
      </c>
      <c r="F17" s="79" t="str">
        <f aca="false">IFERROR(ROUND(CORREL('Returns (Calc)'!$P$3:$P$161,'Returns (Calc)'!$F$3:$F$161),2),"")</f>
        <v/>
      </c>
      <c r="G17" s="79" t="str">
        <f aca="false">IFERROR(ROUND(CORREL('Returns (Calc)'!$P$3:$P$161,'Returns (Calc)'!$G$3:$G$161),2),"")</f>
        <v/>
      </c>
      <c r="H17" s="79" t="str">
        <f aca="false">IFERROR(ROUND(CORREL('Returns (Calc)'!$P$3:$P$161,'Returns (Calc)'!$H$3:$H$161),2),"")</f>
        <v/>
      </c>
      <c r="I17" s="79" t="str">
        <f aca="false">IFERROR(ROUND(CORREL('Returns (Calc)'!$P$3:$P$161,'Returns (Calc)'!$I$3:$I$161),2),"")</f>
        <v/>
      </c>
      <c r="J17" s="79" t="str">
        <f aca="false">IFERROR(ROUND(CORREL('Returns (Calc)'!$P$3:$P$161,'Returns (Calc)'!$J$3:$J$161),2),"")</f>
        <v/>
      </c>
      <c r="K17" s="79" t="str">
        <f aca="false">IFERROR(ROUND(CORREL('Returns (Calc)'!$P$3:$P$161,'Returns (Calc)'!$K$3:$K$161),2),"")</f>
        <v/>
      </c>
      <c r="L17" s="79" t="str">
        <f aca="false">IFERROR(ROUND(CORREL('Returns (Calc)'!$P$3:$P$161,'Returns (Calc)'!$L$3:$L$161),2),"")</f>
        <v/>
      </c>
      <c r="M17" s="79" t="str">
        <f aca="false">IFERROR(ROUND(CORREL('Returns (Calc)'!$P$3:$P$161,'Returns (Calc)'!$M$3:$M$161),2),"")</f>
        <v/>
      </c>
      <c r="N17" s="79" t="str">
        <f aca="false">IFERROR(ROUND(CORREL('Returns (Calc)'!$P$3:$P$161,'Returns (Calc)'!$N$3:$N$161),2),"")</f>
        <v/>
      </c>
      <c r="O17" s="79" t="str">
        <f aca="false">IFERROR(ROUND(CORREL('Returns (Calc)'!$P$3:$P$161,'Returns (Calc)'!$O$3:$O$161),2),"")</f>
        <v/>
      </c>
      <c r="P17" s="79" t="n">
        <v>1</v>
      </c>
      <c r="Q17" s="79" t="str">
        <f aca="false">IFERROR(ROUND(CORREL('Returns (Calc)'!$P$3:$P$161,'Returns (Calc)'!$Q$3:$Q$161),2),"")</f>
        <v/>
      </c>
      <c r="R17" s="79" t="str">
        <f aca="false">IFERROR(ROUND(CORREL('Returns (Calc)'!$P$3:$P$161,'Returns (Calc)'!$R$3:$R$161),2),"")</f>
        <v/>
      </c>
      <c r="S17" s="79" t="str">
        <f aca="false">IFERROR(ROUND(CORREL('Returns (Calc)'!$P$3:$P$161,'Returns (Calc)'!$S$3:$S$161),2),"")</f>
        <v/>
      </c>
      <c r="T17" s="79" t="str">
        <f aca="false">IFERROR(ROUND(CORREL('Returns (Calc)'!$P$3:$P$161,'Returns (Calc)'!$T$3:$T$161),2),"")</f>
        <v/>
      </c>
      <c r="U17" s="79" t="str">
        <f aca="false">IFERROR(ROUND(CORREL('Returns (Calc)'!$P$3:$P$161,'Returns (Calc)'!$U$3:$U$161),2),"")</f>
        <v/>
      </c>
      <c r="V17" s="41" t="n">
        <f aca="false">COUNTIF(B17:U17,"&gt;0.7")-1</f>
        <v>0</v>
      </c>
    </row>
    <row r="18" customFormat="false" ht="15" hidden="false" customHeight="true" outlineLevel="0" collapsed="false">
      <c r="A18" s="78" t="str">
        <f aca="false">'Returns (Calc)'!Q2</f>
        <v>HELO</v>
      </c>
      <c r="B18" s="79" t="n">
        <f aca="false">IFERROR(ROUND(CORREL('Returns (Calc)'!$Q$3:$Q$161,'Returns (Calc)'!$B$3:$B$161),2),"")</f>
        <v>-0.1</v>
      </c>
      <c r="C18" s="79" t="n">
        <f aca="false">IFERROR(ROUND(CORREL('Returns (Calc)'!$Q$3:$Q$161,'Returns (Calc)'!$C$3:$C$161),2),"")</f>
        <v>-0.01</v>
      </c>
      <c r="D18" s="79" t="n">
        <f aca="false">IFERROR(ROUND(CORREL('Returns (Calc)'!$Q$3:$Q$161,'Returns (Calc)'!$D$3:$D$161),2),"")</f>
        <v>-0.06</v>
      </c>
      <c r="E18" s="79" t="n">
        <f aca="false">IFERROR(ROUND(CORREL('Returns (Calc)'!$Q$3:$Q$161,'Returns (Calc)'!$E$3:$E$161),2),"")</f>
        <v>-0.08</v>
      </c>
      <c r="F18" s="79" t="n">
        <f aca="false">IFERROR(ROUND(CORREL('Returns (Calc)'!$Q$3:$Q$161,'Returns (Calc)'!$F$3:$F$161),2),"")</f>
        <v>-0.07</v>
      </c>
      <c r="G18" s="79" t="n">
        <f aca="false">IFERROR(ROUND(CORREL('Returns (Calc)'!$Q$3:$Q$161,'Returns (Calc)'!$G$3:$G$161),2),"")</f>
        <v>-0.04</v>
      </c>
      <c r="H18" s="79" t="n">
        <f aca="false">IFERROR(ROUND(CORREL('Returns (Calc)'!$Q$3:$Q$161,'Returns (Calc)'!$H$3:$H$161),2),"")</f>
        <v>-0.12</v>
      </c>
      <c r="I18" s="79" t="n">
        <f aca="false">IFERROR(ROUND(CORREL('Returns (Calc)'!$Q$3:$Q$161,'Returns (Calc)'!$I$3:$I$161),2),"")</f>
        <v>-0.1</v>
      </c>
      <c r="J18" s="79" t="n">
        <f aca="false">IFERROR(ROUND(CORREL('Returns (Calc)'!$Q$3:$Q$161,'Returns (Calc)'!$J$3:$J$161),2),"")</f>
        <v>-0.09</v>
      </c>
      <c r="K18" s="79" t="n">
        <f aca="false">IFERROR(ROUND(CORREL('Returns (Calc)'!$Q$3:$Q$161,'Returns (Calc)'!$K$3:$K$161),2),"")</f>
        <v>-0.08</v>
      </c>
      <c r="L18" s="79" t="n">
        <f aca="false">IFERROR(ROUND(CORREL('Returns (Calc)'!$Q$3:$Q$161,'Returns (Calc)'!$L$3:$L$161),2),"")</f>
        <v>-0</v>
      </c>
      <c r="M18" s="79" t="n">
        <f aca="false">IFERROR(ROUND(CORREL('Returns (Calc)'!$Q$3:$Q$161,'Returns (Calc)'!$M$3:$M$161),2),"")</f>
        <v>-0.02</v>
      </c>
      <c r="N18" s="79" t="n">
        <f aca="false">IFERROR(ROUND(CORREL('Returns (Calc)'!$Q$3:$Q$161,'Returns (Calc)'!$N$3:$N$161),2),"")</f>
        <v>0.04</v>
      </c>
      <c r="O18" s="79" t="n">
        <f aca="false">IFERROR(ROUND(CORREL('Returns (Calc)'!$Q$3:$Q$161,'Returns (Calc)'!$O$3:$O$161),2),"")</f>
        <v>-0.04</v>
      </c>
      <c r="P18" s="79" t="str">
        <f aca="false">IFERROR(ROUND(CORREL('Returns (Calc)'!$Q$3:$Q$161,'Returns (Calc)'!$P$3:$P$161),2),"")</f>
        <v/>
      </c>
      <c r="Q18" s="79" t="n">
        <v>1</v>
      </c>
      <c r="R18" s="79" t="n">
        <f aca="false">IFERROR(ROUND(CORREL('Returns (Calc)'!$Q$3:$Q$161,'Returns (Calc)'!$R$3:$R$161),2),"")</f>
        <v>-0.04</v>
      </c>
      <c r="S18" s="79" t="n">
        <f aca="false">IFERROR(ROUND(CORREL('Returns (Calc)'!$Q$3:$Q$161,'Returns (Calc)'!$S$3:$S$161),2),"")</f>
        <v>-0.05</v>
      </c>
      <c r="T18" s="79" t="n">
        <f aca="false">IFERROR(ROUND(CORREL('Returns (Calc)'!$Q$3:$Q$161,'Returns (Calc)'!$T$3:$T$161),2),"")</f>
        <v>-0.08</v>
      </c>
      <c r="U18" s="79" t="str">
        <f aca="false">IFERROR(ROUND(CORREL('Returns (Calc)'!$Q$3:$Q$161,'Returns (Calc)'!$U$3:$U$161),2),"")</f>
        <v/>
      </c>
      <c r="V18" s="41" t="n">
        <f aca="false">COUNTIF(B18:U18,"&gt;0.7")-1</f>
        <v>0</v>
      </c>
    </row>
    <row r="19" customFormat="false" ht="15" hidden="false" customHeight="true" outlineLevel="0" collapsed="false">
      <c r="A19" s="78" t="str">
        <f aca="false">'Returns (Calc)'!R2</f>
        <v>JEPQ</v>
      </c>
      <c r="B19" s="79" t="n">
        <f aca="false">IFERROR(ROUND(CORREL('Returns (Calc)'!$R$3:$R$161,'Returns (Calc)'!$B$3:$B$161),2),"")</f>
        <v>0.32</v>
      </c>
      <c r="C19" s="79" t="n">
        <f aca="false">IFERROR(ROUND(CORREL('Returns (Calc)'!$R$3:$R$161,'Returns (Calc)'!$C$3:$C$161),2),"")</f>
        <v>0.64</v>
      </c>
      <c r="D19" s="79" t="n">
        <f aca="false">IFERROR(ROUND(CORREL('Returns (Calc)'!$R$3:$R$161,'Returns (Calc)'!$D$3:$D$161),2),"")</f>
        <v>0.6</v>
      </c>
      <c r="E19" s="79" t="n">
        <f aca="false">IFERROR(ROUND(CORREL('Returns (Calc)'!$R$3:$R$161,'Returns (Calc)'!$E$3:$E$161),2),"")</f>
        <v>0.73</v>
      </c>
      <c r="F19" s="79" t="n">
        <f aca="false">IFERROR(ROUND(CORREL('Returns (Calc)'!$R$3:$R$161,'Returns (Calc)'!$F$3:$F$161),2),"")</f>
        <v>0.54</v>
      </c>
      <c r="G19" s="79" t="n">
        <f aca="false">IFERROR(ROUND(CORREL('Returns (Calc)'!$R$3:$R$161,'Returns (Calc)'!$G$3:$G$161),2),"")</f>
        <v>0.62</v>
      </c>
      <c r="H19" s="79" t="n">
        <f aca="false">IFERROR(ROUND(CORREL('Returns (Calc)'!$R$3:$R$161,'Returns (Calc)'!$H$3:$H$161),2),"")</f>
        <v>0.61</v>
      </c>
      <c r="I19" s="79" t="n">
        <f aca="false">IFERROR(ROUND(CORREL('Returns (Calc)'!$R$3:$R$161,'Returns (Calc)'!$I$3:$I$161),2),"")</f>
        <v>0.71</v>
      </c>
      <c r="J19" s="79" t="n">
        <f aca="false">IFERROR(ROUND(CORREL('Returns (Calc)'!$R$3:$R$161,'Returns (Calc)'!$J$3:$J$161),2),"")</f>
        <v>0.38</v>
      </c>
      <c r="K19" s="79" t="n">
        <f aca="false">IFERROR(ROUND(CORREL('Returns (Calc)'!$R$3:$R$161,'Returns (Calc)'!$K$3:$K$161),2),"")</f>
        <v>0.48</v>
      </c>
      <c r="L19" s="79" t="n">
        <f aca="false">IFERROR(ROUND(CORREL('Returns (Calc)'!$R$3:$R$161,'Returns (Calc)'!$L$3:$L$161),2),"")</f>
        <v>0.66</v>
      </c>
      <c r="M19" s="79" t="n">
        <f aca="false">IFERROR(ROUND(CORREL('Returns (Calc)'!$R$3:$R$161,'Returns (Calc)'!$M$3:$M$161),2),"")</f>
        <v>0.61</v>
      </c>
      <c r="N19" s="79" t="n">
        <f aca="false">IFERROR(ROUND(CORREL('Returns (Calc)'!$R$3:$R$161,'Returns (Calc)'!$N$3:$N$161),2),"")</f>
        <v>0.2</v>
      </c>
      <c r="O19" s="79" t="n">
        <f aca="false">IFERROR(ROUND(CORREL('Returns (Calc)'!$R$3:$R$161,'Returns (Calc)'!$O$3:$O$161),2),"")</f>
        <v>0.54</v>
      </c>
      <c r="P19" s="79" t="str">
        <f aca="false">IFERROR(ROUND(CORREL('Returns (Calc)'!$R$3:$R$161,'Returns (Calc)'!$P$3:$P$161),2),"")</f>
        <v/>
      </c>
      <c r="Q19" s="79" t="n">
        <f aca="false">IFERROR(ROUND(CORREL('Returns (Calc)'!$R$3:$R$161,'Returns (Calc)'!$Q$3:$Q$161),2),"")</f>
        <v>-0.04</v>
      </c>
      <c r="R19" s="79" t="n">
        <v>1</v>
      </c>
      <c r="S19" s="79" t="n">
        <f aca="false">IFERROR(ROUND(CORREL('Returns (Calc)'!$R$3:$R$161,'Returns (Calc)'!$S$3:$S$161),2),"")</f>
        <v>0.88</v>
      </c>
      <c r="T19" s="79" t="n">
        <f aca="false">IFERROR(ROUND(CORREL('Returns (Calc)'!$R$3:$R$161,'Returns (Calc)'!$T$3:$T$161),2),"")</f>
        <v>0.57</v>
      </c>
      <c r="U19" s="79" t="str">
        <f aca="false">IFERROR(ROUND(CORREL('Returns (Calc)'!$R$3:$R$161,'Returns (Calc)'!$U$3:$U$161),2),"")</f>
        <v/>
      </c>
      <c r="V19" s="41" t="n">
        <f aca="false">COUNTIF(B19:U19,"&gt;0.7")-1</f>
        <v>3</v>
      </c>
    </row>
    <row r="20" customFormat="false" ht="15" hidden="false" customHeight="true" outlineLevel="0" collapsed="false">
      <c r="A20" s="78" t="str">
        <f aca="false">'Returns (Calc)'!S2</f>
        <v>SPMO</v>
      </c>
      <c r="B20" s="79" t="n">
        <f aca="false">IFERROR(ROUND(CORREL('Returns (Calc)'!$S$3:$S$161,'Returns (Calc)'!$B$3:$B$161),2),"")</f>
        <v>0.25</v>
      </c>
      <c r="C20" s="79" t="n">
        <f aca="false">IFERROR(ROUND(CORREL('Returns (Calc)'!$S$3:$S$161,'Returns (Calc)'!$C$3:$C$161),2),"")</f>
        <v>0.64</v>
      </c>
      <c r="D20" s="79" t="n">
        <f aca="false">IFERROR(ROUND(CORREL('Returns (Calc)'!$S$3:$S$161,'Returns (Calc)'!$D$3:$D$161),2),"")</f>
        <v>0.6</v>
      </c>
      <c r="E20" s="79" t="n">
        <f aca="false">IFERROR(ROUND(CORREL('Returns (Calc)'!$S$3:$S$161,'Returns (Calc)'!$E$3:$E$161),2),"")</f>
        <v>0.74</v>
      </c>
      <c r="F20" s="79" t="n">
        <f aca="false">IFERROR(ROUND(CORREL('Returns (Calc)'!$S$3:$S$161,'Returns (Calc)'!$F$3:$F$161),2),"")</f>
        <v>0.53</v>
      </c>
      <c r="G20" s="79" t="n">
        <f aca="false">IFERROR(ROUND(CORREL('Returns (Calc)'!$S$3:$S$161,'Returns (Calc)'!$G$3:$G$161),2),"")</f>
        <v>0.66</v>
      </c>
      <c r="H20" s="79" t="n">
        <f aca="false">IFERROR(ROUND(CORREL('Returns (Calc)'!$S$3:$S$161,'Returns (Calc)'!$H$3:$H$161),2),"")</f>
        <v>0.66</v>
      </c>
      <c r="I20" s="79" t="n">
        <f aca="false">IFERROR(ROUND(CORREL('Returns (Calc)'!$S$3:$S$161,'Returns (Calc)'!$I$3:$I$161),2),"")</f>
        <v>0.73</v>
      </c>
      <c r="J20" s="79" t="n">
        <f aca="false">IFERROR(ROUND(CORREL('Returns (Calc)'!$S$3:$S$161,'Returns (Calc)'!$J$3:$J$161),2),"")</f>
        <v>0.36</v>
      </c>
      <c r="K20" s="79" t="n">
        <f aca="false">IFERROR(ROUND(CORREL('Returns (Calc)'!$S$3:$S$161,'Returns (Calc)'!$K$3:$K$161),2),"")</f>
        <v>0.45</v>
      </c>
      <c r="L20" s="79" t="n">
        <f aca="false">IFERROR(ROUND(CORREL('Returns (Calc)'!$S$3:$S$161,'Returns (Calc)'!$L$3:$L$161),2),"")</f>
        <v>0.69</v>
      </c>
      <c r="M20" s="79" t="n">
        <f aca="false">IFERROR(ROUND(CORREL('Returns (Calc)'!$S$3:$S$161,'Returns (Calc)'!$M$3:$M$161),2),"")</f>
        <v>0.65</v>
      </c>
      <c r="N20" s="79" t="n">
        <f aca="false">IFERROR(ROUND(CORREL('Returns (Calc)'!$S$3:$S$161,'Returns (Calc)'!$N$3:$N$161),2),"")</f>
        <v>0.17</v>
      </c>
      <c r="O20" s="79" t="n">
        <f aca="false">IFERROR(ROUND(CORREL('Returns (Calc)'!$S$3:$S$161,'Returns (Calc)'!$O$3:$O$161),2),"")</f>
        <v>0.49</v>
      </c>
      <c r="P20" s="79" t="str">
        <f aca="false">IFERROR(ROUND(CORREL('Returns (Calc)'!$S$3:$S$161,'Returns (Calc)'!$P$3:$P$161),2),"")</f>
        <v/>
      </c>
      <c r="Q20" s="79" t="n">
        <f aca="false">IFERROR(ROUND(CORREL('Returns (Calc)'!$S$3:$S$161,'Returns (Calc)'!$Q$3:$Q$161),2),"")</f>
        <v>-0.05</v>
      </c>
      <c r="R20" s="79" t="n">
        <f aca="false">IFERROR(ROUND(CORREL('Returns (Calc)'!$S$3:$S$161,'Returns (Calc)'!$R$3:$R$161),2),"")</f>
        <v>0.88</v>
      </c>
      <c r="S20" s="79" t="n">
        <v>1</v>
      </c>
      <c r="T20" s="79" t="n">
        <f aca="false">IFERROR(ROUND(CORREL('Returns (Calc)'!$S$3:$S$161,'Returns (Calc)'!$T$3:$T$161),2),"")</f>
        <v>0.53</v>
      </c>
      <c r="U20" s="79" t="str">
        <f aca="false">IFERROR(ROUND(CORREL('Returns (Calc)'!$S$3:$S$161,'Returns (Calc)'!$U$3:$U$161),2),"")</f>
        <v/>
      </c>
      <c r="V20" s="41" t="n">
        <f aca="false">COUNTIF(B20:U20,"&gt;0.7")-1</f>
        <v>3</v>
      </c>
    </row>
    <row r="21" customFormat="false" ht="15" hidden="false" customHeight="true" outlineLevel="0" collapsed="false">
      <c r="A21" s="78" t="str">
        <f aca="false">'Returns (Calc)'!T2</f>
        <v>VFLO</v>
      </c>
      <c r="B21" s="79" t="n">
        <f aca="false">IFERROR(ROUND(CORREL('Returns (Calc)'!$T$3:$T$161,'Returns (Calc)'!$B$3:$B$161),2),"")</f>
        <v>0.41</v>
      </c>
      <c r="C21" s="79" t="n">
        <f aca="false">IFERROR(ROUND(CORREL('Returns (Calc)'!$T$3:$T$161,'Returns (Calc)'!$C$3:$C$161),2),"")</f>
        <v>0.35</v>
      </c>
      <c r="D21" s="79" t="n">
        <f aca="false">IFERROR(ROUND(CORREL('Returns (Calc)'!$T$3:$T$161,'Returns (Calc)'!$D$3:$D$161),2),"")</f>
        <v>0.31</v>
      </c>
      <c r="E21" s="79" t="n">
        <f aca="false">IFERROR(ROUND(CORREL('Returns (Calc)'!$T$3:$T$161,'Returns (Calc)'!$E$3:$E$161),2),"")</f>
        <v>0.29</v>
      </c>
      <c r="F21" s="79" t="n">
        <f aca="false">IFERROR(ROUND(CORREL('Returns (Calc)'!$T$3:$T$161,'Returns (Calc)'!$F$3:$F$161),2),"")</f>
        <v>0.33</v>
      </c>
      <c r="G21" s="79" t="n">
        <f aca="false">IFERROR(ROUND(CORREL('Returns (Calc)'!$T$3:$T$161,'Returns (Calc)'!$G$3:$G$161),2),"")</f>
        <v>0.33</v>
      </c>
      <c r="H21" s="79" t="n">
        <f aca="false">IFERROR(ROUND(CORREL('Returns (Calc)'!$T$3:$T$161,'Returns (Calc)'!$H$3:$H$161),2),"")</f>
        <v>0.43</v>
      </c>
      <c r="I21" s="79" t="n">
        <f aca="false">IFERROR(ROUND(CORREL('Returns (Calc)'!$T$3:$T$161,'Returns (Calc)'!$I$3:$I$161),2),"")</f>
        <v>0.3</v>
      </c>
      <c r="J21" s="79" t="n">
        <f aca="false">IFERROR(ROUND(CORREL('Returns (Calc)'!$T$3:$T$161,'Returns (Calc)'!$J$3:$J$161),2),"")</f>
        <v>0.54</v>
      </c>
      <c r="K21" s="79" t="n">
        <f aca="false">IFERROR(ROUND(CORREL('Returns (Calc)'!$T$3:$T$161,'Returns (Calc)'!$K$3:$K$161),2),"")</f>
        <v>0.34</v>
      </c>
      <c r="L21" s="79" t="n">
        <f aca="false">IFERROR(ROUND(CORREL('Returns (Calc)'!$T$3:$T$161,'Returns (Calc)'!$L$3:$L$161),2),"")</f>
        <v>0.29</v>
      </c>
      <c r="M21" s="79" t="n">
        <f aca="false">IFERROR(ROUND(CORREL('Returns (Calc)'!$T$3:$T$161,'Returns (Calc)'!$M$3:$M$161),2),"")</f>
        <v>0.29</v>
      </c>
      <c r="N21" s="79" t="n">
        <f aca="false">IFERROR(ROUND(CORREL('Returns (Calc)'!$T$3:$T$161,'Returns (Calc)'!$N$3:$N$161),2),"")</f>
        <v>0.31</v>
      </c>
      <c r="O21" s="79" t="n">
        <f aca="false">IFERROR(ROUND(CORREL('Returns (Calc)'!$T$3:$T$161,'Returns (Calc)'!$O$3:$O$161),2),"")</f>
        <v>0.81</v>
      </c>
      <c r="P21" s="79" t="str">
        <f aca="false">IFERROR(ROUND(CORREL('Returns (Calc)'!$T$3:$T$161,'Returns (Calc)'!$P$3:$P$161),2),"")</f>
        <v/>
      </c>
      <c r="Q21" s="79" t="n">
        <f aca="false">IFERROR(ROUND(CORREL('Returns (Calc)'!$T$3:$T$161,'Returns (Calc)'!$Q$3:$Q$161),2),"")</f>
        <v>-0.08</v>
      </c>
      <c r="R21" s="79" t="n">
        <f aca="false">IFERROR(ROUND(CORREL('Returns (Calc)'!$T$3:$T$161,'Returns (Calc)'!$R$3:$R$161),2),"")</f>
        <v>0.57</v>
      </c>
      <c r="S21" s="79" t="n">
        <f aca="false">IFERROR(ROUND(CORREL('Returns (Calc)'!$T$3:$T$161,'Returns (Calc)'!$S$3:$S$161),2),"")</f>
        <v>0.53</v>
      </c>
      <c r="T21" s="79" t="n">
        <v>1</v>
      </c>
      <c r="U21" s="79" t="str">
        <f aca="false">IFERROR(ROUND(CORREL('Returns (Calc)'!$T$3:$T$161,'Returns (Calc)'!$U$3:$U$161),2),"")</f>
        <v/>
      </c>
      <c r="V21" s="41" t="n">
        <f aca="false">COUNTIF(B21:U21,"&gt;0.7")-1</f>
        <v>1</v>
      </c>
    </row>
    <row r="22" customFormat="false" ht="15" hidden="false" customHeight="true" outlineLevel="0" collapsed="false">
      <c r="A22" s="78" t="n">
        <f aca="false">'Returns (Calc)'!U2</f>
        <v>0</v>
      </c>
      <c r="B22" s="79" t="str">
        <f aca="false">IFERROR(ROUND(CORREL('Returns (Calc)'!$U$3:$U$161,'Returns (Calc)'!$B$3:$B$161),2),"")</f>
        <v/>
      </c>
      <c r="C22" s="79" t="str">
        <f aca="false">IFERROR(ROUND(CORREL('Returns (Calc)'!$U$3:$U$161,'Returns (Calc)'!$C$3:$C$161),2),"")</f>
        <v/>
      </c>
      <c r="D22" s="79" t="str">
        <f aca="false">IFERROR(ROUND(CORREL('Returns (Calc)'!$U$3:$U$161,'Returns (Calc)'!$D$3:$D$161),2),"")</f>
        <v/>
      </c>
      <c r="E22" s="79" t="str">
        <f aca="false">IFERROR(ROUND(CORREL('Returns (Calc)'!$U$3:$U$161,'Returns (Calc)'!$E$3:$E$161),2),"")</f>
        <v/>
      </c>
      <c r="F22" s="79" t="str">
        <f aca="false">IFERROR(ROUND(CORREL('Returns (Calc)'!$U$3:$U$161,'Returns (Calc)'!$F$3:$F$161),2),"")</f>
        <v/>
      </c>
      <c r="G22" s="79" t="str">
        <f aca="false">IFERROR(ROUND(CORREL('Returns (Calc)'!$U$3:$U$161,'Returns (Calc)'!$G$3:$G$161),2),"")</f>
        <v/>
      </c>
      <c r="H22" s="79" t="str">
        <f aca="false">IFERROR(ROUND(CORREL('Returns (Calc)'!$U$3:$U$161,'Returns (Calc)'!$H$3:$H$161),2),"")</f>
        <v/>
      </c>
      <c r="I22" s="79" t="str">
        <f aca="false">IFERROR(ROUND(CORREL('Returns (Calc)'!$U$3:$U$161,'Returns (Calc)'!$I$3:$I$161),2),"")</f>
        <v/>
      </c>
      <c r="J22" s="79" t="str">
        <f aca="false">IFERROR(ROUND(CORREL('Returns (Calc)'!$U$3:$U$161,'Returns (Calc)'!$J$3:$J$161),2),"")</f>
        <v/>
      </c>
      <c r="K22" s="79" t="str">
        <f aca="false">IFERROR(ROUND(CORREL('Returns (Calc)'!$U$3:$U$161,'Returns (Calc)'!$K$3:$K$161),2),"")</f>
        <v/>
      </c>
      <c r="L22" s="79" t="str">
        <f aca="false">IFERROR(ROUND(CORREL('Returns (Calc)'!$U$3:$U$161,'Returns (Calc)'!$L$3:$L$161),2),"")</f>
        <v/>
      </c>
      <c r="M22" s="79" t="str">
        <f aca="false">IFERROR(ROUND(CORREL('Returns (Calc)'!$U$3:$U$161,'Returns (Calc)'!$M$3:$M$161),2),"")</f>
        <v/>
      </c>
      <c r="N22" s="79" t="str">
        <f aca="false">IFERROR(ROUND(CORREL('Returns (Calc)'!$U$3:$U$161,'Returns (Calc)'!$N$3:$N$161),2),"")</f>
        <v/>
      </c>
      <c r="O22" s="79" t="str">
        <f aca="false">IFERROR(ROUND(CORREL('Returns (Calc)'!$U$3:$U$161,'Returns (Calc)'!$O$3:$O$161),2),"")</f>
        <v/>
      </c>
      <c r="P22" s="79" t="str">
        <f aca="false">IFERROR(ROUND(CORREL('Returns (Calc)'!$U$3:$U$161,'Returns (Calc)'!$P$3:$P$161),2),"")</f>
        <v/>
      </c>
      <c r="Q22" s="79" t="str">
        <f aca="false">IFERROR(ROUND(CORREL('Returns (Calc)'!$U$3:$U$161,'Returns (Calc)'!$Q$3:$Q$161),2),"")</f>
        <v/>
      </c>
      <c r="R22" s="79" t="str">
        <f aca="false">IFERROR(ROUND(CORREL('Returns (Calc)'!$U$3:$U$161,'Returns (Calc)'!$R$3:$R$161),2),"")</f>
        <v/>
      </c>
      <c r="S22" s="79" t="str">
        <f aca="false">IFERROR(ROUND(CORREL('Returns (Calc)'!$U$3:$U$161,'Returns (Calc)'!$S$3:$S$161),2),"")</f>
        <v/>
      </c>
      <c r="T22" s="79" t="str">
        <f aca="false">IFERROR(ROUND(CORREL('Returns (Calc)'!$U$3:$U$161,'Returns (Calc)'!$T$3:$T$161),2),"")</f>
        <v/>
      </c>
      <c r="U22" s="79" t="n">
        <v>1</v>
      </c>
      <c r="V22" s="41" t="n">
        <f aca="false">COUNTIF(B22:U22,"&gt;0.7")-1</f>
        <v>0</v>
      </c>
    </row>
    <row r="24" customFormat="false" ht="15" hidden="false" customHeight="true" outlineLevel="0" collapsed="false">
      <c r="A24" s="80" t="s">
        <v>333</v>
      </c>
      <c r="B24" s="81"/>
      <c r="I24" s="82" t="n">
        <f aca="false">COUNTIF(V3:V22,"&gt;1")</f>
        <v>4</v>
      </c>
    </row>
    <row r="25" customFormat="false" ht="15" hidden="false" customHeight="true" outlineLevel="0" collapsed="false">
      <c r="A25" s="80" t="s">
        <v>334</v>
      </c>
      <c r="B25" s="42"/>
      <c r="I25" s="83" t="str">
        <f aca="false">IF(B24&gt;0,"REVIEW REQUIRED","OK")</f>
        <v>OK</v>
      </c>
    </row>
  </sheetData>
  <mergeCells count="1">
    <mergeCell ref="A1:V1"/>
  </mergeCells>
  <conditionalFormatting sqref="B3:U22">
    <cfRule type="expression" priority="2" aboveAverage="0" equalAverage="0" bottom="0" percent="0" rank="0" text="" dxfId="0">
      <formula>AND(B3&lt;&gt;1,ABS(B3)&gt;0.7)</formula>
    </cfRule>
  </conditionalFormatting>
  <conditionalFormatting sqref="V3:V22">
    <cfRule type="cellIs" priority="3" operator="greaterThan" aboveAverage="0" equalAverage="0" bottom="0" percent="0" rank="0" text="" dxfId="0">
      <formula>1</formula>
    </cfRule>
  </conditionalFormatting>
  <conditionalFormatting sqref="I25">
    <cfRule type="cellIs" priority="4" operator="equal" aboveAverage="0" equalAverage="0" bottom="0" percent="0" rank="0" text="" dxfId="0">
      <formula>"REVIEW REQUIRED"</formula>
    </cfRule>
    <cfRule type="cellIs" priority="5" operator="equal" aboveAverage="0" equalAverage="0" bottom="0" percent="0" rank="0" text="" dxfId="20">
      <formula>"OK"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 width="30"/>
  </cols>
  <sheetData>
    <row r="1" customFormat="false" ht="15" hidden="false" customHeight="true" outlineLevel="0" collapsed="false">
      <c r="A1" s="16" t="s">
        <v>335</v>
      </c>
      <c r="B1" s="16"/>
      <c r="C1" s="16"/>
      <c r="D1" s="16"/>
      <c r="E1" s="16"/>
      <c r="F1" s="16"/>
      <c r="G1" s="16"/>
      <c r="H1" s="16"/>
    </row>
    <row r="2" customFormat="false" ht="21.75" hidden="false" customHeight="true" outlineLevel="0" collapsed="false">
      <c r="A2" s="46" t="s">
        <v>336</v>
      </c>
      <c r="B2" s="46" t="s">
        <v>337</v>
      </c>
      <c r="C2" s="46" t="s">
        <v>338</v>
      </c>
      <c r="D2" s="46" t="s">
        <v>339</v>
      </c>
      <c r="E2" s="46" t="s">
        <v>340</v>
      </c>
      <c r="F2" s="46" t="s">
        <v>341</v>
      </c>
      <c r="G2" s="46" t="s">
        <v>342</v>
      </c>
      <c r="H2" s="46" t="s">
        <v>175</v>
      </c>
    </row>
    <row r="3" customFormat="false" ht="15" hidden="false" customHeight="true" outlineLevel="0" collapsed="false">
      <c r="A3" s="44" t="n">
        <v>46245</v>
      </c>
      <c r="B3" s="20" t="n">
        <v>700739.19</v>
      </c>
      <c r="C3" s="84" t="n">
        <f aca="false">IF(B3="","",B3)</f>
        <v>700739.19</v>
      </c>
      <c r="D3" s="85" t="n">
        <f aca="false">IF(OR(B3="",C3=""),"",B3/C3-1)</f>
        <v>0</v>
      </c>
      <c r="E3" s="66" t="str">
        <f aca="false">IF(D3="","",IF(D3&gt;=-0.1,"Normal",IF(D3&gt;=-0.2,"Elevated",IF(D3&gt;=-0.3,"Severe","Critical"))))</f>
        <v>Normal</v>
      </c>
      <c r="F3" s="47" t="str">
        <f aca="false">IF(E3="","",IF(E3="Normal","5-15%",IF(E3="Elevated","15%",IF(E3="Severe","20%","25%"))))</f>
        <v>5-15%</v>
      </c>
      <c r="G3" s="47" t="str">
        <f aca="false">IF(E3="","",IF(E3="Normal","Standard (score &gt;=65)",IF(E3="Elevated","Restricted (score &gt;=80 only)","Suspended")))</f>
        <v>Standard (score &gt;=65)</v>
      </c>
      <c r="H3" s="63"/>
    </row>
    <row r="4" customFormat="false" ht="15" hidden="false" customHeight="true" outlineLevel="0" collapsed="false">
      <c r="A4" s="44"/>
      <c r="B4" s="20"/>
      <c r="C4" s="84" t="str">
        <f aca="false">IF(B4="","",MAX(C3,B4))</f>
        <v/>
      </c>
      <c r="D4" s="85" t="str">
        <f aca="false">IF(OR(B4="",C4=""),"",B4/C4-1)</f>
        <v/>
      </c>
      <c r="E4" s="66" t="str">
        <f aca="false">IF(D4="","",IF(D4&gt;=-0.1,"Normal",IF(D4&gt;=-0.2,"Elevated",IF(D4&gt;=-0.3,"Severe","Critical"))))</f>
        <v/>
      </c>
      <c r="F4" s="47" t="str">
        <f aca="false">IF(E4="","",IF(E4="Normal","5-15%",IF(E4="Elevated","15%",IF(E4="Severe","20%","25%"))))</f>
        <v/>
      </c>
      <c r="G4" s="47" t="str">
        <f aca="false">IF(E4="","",IF(E4="Normal","Standard (score &gt;=65)",IF(E4="Elevated","Restricted (score &gt;=80 only)","Suspended")))</f>
        <v/>
      </c>
      <c r="H4" s="63"/>
    </row>
    <row r="5" customFormat="false" ht="15" hidden="false" customHeight="true" outlineLevel="0" collapsed="false">
      <c r="A5" s="44"/>
      <c r="B5" s="20"/>
      <c r="C5" s="84" t="str">
        <f aca="false">IF(B5="","",MAX(C4,B5))</f>
        <v/>
      </c>
      <c r="D5" s="85" t="str">
        <f aca="false">IF(OR(B5="",C5=""),"",B5/C5-1)</f>
        <v/>
      </c>
      <c r="E5" s="66" t="str">
        <f aca="false">IF(D5="","",IF(D5&gt;=-0.1,"Normal",IF(D5&gt;=-0.2,"Elevated",IF(D5&gt;=-0.3,"Severe","Critical"))))</f>
        <v/>
      </c>
      <c r="F5" s="47" t="str">
        <f aca="false">IF(E5="","",IF(E5="Normal","5-15%",IF(E5="Elevated","15%",IF(E5="Severe","20%","25%"))))</f>
        <v/>
      </c>
      <c r="G5" s="47" t="str">
        <f aca="false">IF(E5="","",IF(E5="Normal","Standard (score &gt;=65)",IF(E5="Elevated","Restricted (score &gt;=80 only)","Suspended")))</f>
        <v/>
      </c>
      <c r="H5" s="63"/>
    </row>
    <row r="6" customFormat="false" ht="15" hidden="false" customHeight="true" outlineLevel="0" collapsed="false">
      <c r="A6" s="44"/>
      <c r="B6" s="20"/>
      <c r="C6" s="84" t="str">
        <f aca="false">IF(B6="","",MAX(C5,B6))</f>
        <v/>
      </c>
      <c r="D6" s="85" t="str">
        <f aca="false">IF(OR(B6="",C6=""),"",B6/C6-1)</f>
        <v/>
      </c>
      <c r="E6" s="66" t="str">
        <f aca="false">IF(D6="","",IF(D6&gt;=-0.1,"Normal",IF(D6&gt;=-0.2,"Elevated",IF(D6&gt;=-0.3,"Severe","Critical"))))</f>
        <v/>
      </c>
      <c r="F6" s="47" t="str">
        <f aca="false">IF(E6="","",IF(E6="Normal","5-15%",IF(E6="Elevated","15%",IF(E6="Severe","20%","25%"))))</f>
        <v/>
      </c>
      <c r="G6" s="47" t="str">
        <f aca="false">IF(E6="","",IF(E6="Normal","Standard (score &gt;=65)",IF(E6="Elevated","Restricted (score &gt;=80 only)","Suspended")))</f>
        <v/>
      </c>
      <c r="H6" s="63"/>
    </row>
    <row r="7" customFormat="false" ht="15" hidden="false" customHeight="true" outlineLevel="0" collapsed="false">
      <c r="A7" s="44"/>
      <c r="B7" s="20"/>
      <c r="C7" s="84" t="str">
        <f aca="false">IF(B7="","",MAX(C6,B7))</f>
        <v/>
      </c>
      <c r="D7" s="85" t="str">
        <f aca="false">IF(OR(B7="",C7=""),"",B7/C7-1)</f>
        <v/>
      </c>
      <c r="E7" s="66" t="str">
        <f aca="false">IF(D7="","",IF(D7&gt;=-0.1,"Normal",IF(D7&gt;=-0.2,"Elevated",IF(D7&gt;=-0.3,"Severe","Critical"))))</f>
        <v/>
      </c>
      <c r="F7" s="47" t="str">
        <f aca="false">IF(E7="","",IF(E7="Normal","5-15%",IF(E7="Elevated","15%",IF(E7="Severe","20%","25%"))))</f>
        <v/>
      </c>
      <c r="G7" s="47" t="str">
        <f aca="false">IF(E7="","",IF(E7="Normal","Standard (score &gt;=65)",IF(E7="Elevated","Restricted (score &gt;=80 only)","Suspended")))</f>
        <v/>
      </c>
      <c r="H7" s="63"/>
    </row>
    <row r="8" customFormat="false" ht="15" hidden="false" customHeight="true" outlineLevel="0" collapsed="false">
      <c r="A8" s="44"/>
      <c r="B8" s="20"/>
      <c r="C8" s="84" t="str">
        <f aca="false">IF(B8="","",MAX(C7,B8))</f>
        <v/>
      </c>
      <c r="D8" s="85" t="str">
        <f aca="false">IF(OR(B8="",C8=""),"",B8/C8-1)</f>
        <v/>
      </c>
      <c r="E8" s="66" t="str">
        <f aca="false">IF(D8="","",IF(D8&gt;=-0.1,"Normal",IF(D8&gt;=-0.2,"Elevated",IF(D8&gt;=-0.3,"Severe","Critical"))))</f>
        <v/>
      </c>
      <c r="F8" s="47" t="str">
        <f aca="false">IF(E8="","",IF(E8="Normal","5-15%",IF(E8="Elevated","15%",IF(E8="Severe","20%","25%"))))</f>
        <v/>
      </c>
      <c r="G8" s="47" t="str">
        <f aca="false">IF(E8="","",IF(E8="Normal","Standard (score &gt;=65)",IF(E8="Elevated","Restricted (score &gt;=80 only)","Suspended")))</f>
        <v/>
      </c>
      <c r="H8" s="63"/>
    </row>
    <row r="9" customFormat="false" ht="15" hidden="false" customHeight="true" outlineLevel="0" collapsed="false">
      <c r="A9" s="44"/>
      <c r="B9" s="20"/>
      <c r="C9" s="84" t="str">
        <f aca="false">IF(B9="","",MAX(C8,B9))</f>
        <v/>
      </c>
      <c r="D9" s="85" t="str">
        <f aca="false">IF(OR(B9="",C9=""),"",B9/C9-1)</f>
        <v/>
      </c>
      <c r="E9" s="66" t="str">
        <f aca="false">IF(D9="","",IF(D9&gt;=-0.1,"Normal",IF(D9&gt;=-0.2,"Elevated",IF(D9&gt;=-0.3,"Severe","Critical"))))</f>
        <v/>
      </c>
      <c r="F9" s="47" t="str">
        <f aca="false">IF(E9="","",IF(E9="Normal","5-15%",IF(E9="Elevated","15%",IF(E9="Severe","20%","25%"))))</f>
        <v/>
      </c>
      <c r="G9" s="47" t="str">
        <f aca="false">IF(E9="","",IF(E9="Normal","Standard (score &gt;=65)",IF(E9="Elevated","Restricted (score &gt;=80 only)","Suspended")))</f>
        <v/>
      </c>
      <c r="H9" s="63"/>
    </row>
    <row r="10" customFormat="false" ht="15" hidden="false" customHeight="true" outlineLevel="0" collapsed="false">
      <c r="A10" s="44"/>
      <c r="B10" s="20"/>
      <c r="C10" s="84" t="str">
        <f aca="false">IF(B10="","",MAX(C9,B10))</f>
        <v/>
      </c>
      <c r="D10" s="85" t="str">
        <f aca="false">IF(OR(B10="",C10=""),"",B10/C10-1)</f>
        <v/>
      </c>
      <c r="E10" s="66" t="str">
        <f aca="false">IF(D10="","",IF(D10&gt;=-0.1,"Normal",IF(D10&gt;=-0.2,"Elevated",IF(D10&gt;=-0.3,"Severe","Critical"))))</f>
        <v/>
      </c>
      <c r="F10" s="47" t="str">
        <f aca="false">IF(E10="","",IF(E10="Normal","5-15%",IF(E10="Elevated","15%",IF(E10="Severe","20%","25%"))))</f>
        <v/>
      </c>
      <c r="G10" s="47" t="str">
        <f aca="false">IF(E10="","",IF(E10="Normal","Standard (score &gt;=65)",IF(E10="Elevated","Restricted (score &gt;=80 only)","Suspended")))</f>
        <v/>
      </c>
      <c r="H10" s="63"/>
    </row>
    <row r="11" customFormat="false" ht="15" hidden="false" customHeight="true" outlineLevel="0" collapsed="false">
      <c r="A11" s="44"/>
      <c r="B11" s="20"/>
      <c r="C11" s="84" t="str">
        <f aca="false">IF(B11="","",MAX(C10,B11))</f>
        <v/>
      </c>
      <c r="D11" s="85" t="str">
        <f aca="false">IF(OR(B11="",C11=""),"",B11/C11-1)</f>
        <v/>
      </c>
      <c r="E11" s="66" t="str">
        <f aca="false">IF(D11="","",IF(D11&gt;=-0.1,"Normal",IF(D11&gt;=-0.2,"Elevated",IF(D11&gt;=-0.3,"Severe","Critical"))))</f>
        <v/>
      </c>
      <c r="F11" s="47" t="str">
        <f aca="false">IF(E11="","",IF(E11="Normal","5-15%",IF(E11="Elevated","15%",IF(E11="Severe","20%","25%"))))</f>
        <v/>
      </c>
      <c r="G11" s="47" t="str">
        <f aca="false">IF(E11="","",IF(E11="Normal","Standard (score &gt;=65)",IF(E11="Elevated","Restricted (score &gt;=80 only)","Suspended")))</f>
        <v/>
      </c>
      <c r="H11" s="63"/>
    </row>
    <row r="12" customFormat="false" ht="15" hidden="false" customHeight="true" outlineLevel="0" collapsed="false">
      <c r="A12" s="44"/>
      <c r="B12" s="20"/>
      <c r="C12" s="84" t="str">
        <f aca="false">IF(B12="","",MAX(C11,B12))</f>
        <v/>
      </c>
      <c r="D12" s="85" t="str">
        <f aca="false">IF(OR(B12="",C12=""),"",B12/C12-1)</f>
        <v/>
      </c>
      <c r="E12" s="66" t="str">
        <f aca="false">IF(D12="","",IF(D12&gt;=-0.1,"Normal",IF(D12&gt;=-0.2,"Elevated",IF(D12&gt;=-0.3,"Severe","Critical"))))</f>
        <v/>
      </c>
      <c r="F12" s="47" t="str">
        <f aca="false">IF(E12="","",IF(E12="Normal","5-15%",IF(E12="Elevated","15%",IF(E12="Severe","20%","25%"))))</f>
        <v/>
      </c>
      <c r="G12" s="47" t="str">
        <f aca="false">IF(E12="","",IF(E12="Normal","Standard (score &gt;=65)",IF(E12="Elevated","Restricted (score &gt;=80 only)","Suspended")))</f>
        <v/>
      </c>
      <c r="H12" s="63"/>
    </row>
    <row r="13" customFormat="false" ht="15" hidden="false" customHeight="true" outlineLevel="0" collapsed="false">
      <c r="A13" s="44"/>
      <c r="B13" s="20"/>
      <c r="C13" s="84" t="str">
        <f aca="false">IF(B13="","",MAX(C12,B13))</f>
        <v/>
      </c>
      <c r="D13" s="85" t="str">
        <f aca="false">IF(OR(B13="",C13=""),"",B13/C13-1)</f>
        <v/>
      </c>
      <c r="E13" s="66" t="str">
        <f aca="false">IF(D13="","",IF(D13&gt;=-0.1,"Normal",IF(D13&gt;=-0.2,"Elevated",IF(D13&gt;=-0.3,"Severe","Critical"))))</f>
        <v/>
      </c>
      <c r="F13" s="47" t="str">
        <f aca="false">IF(E13="","",IF(E13="Normal","5-15%",IF(E13="Elevated","15%",IF(E13="Severe","20%","25%"))))</f>
        <v/>
      </c>
      <c r="G13" s="47" t="str">
        <f aca="false">IF(E13="","",IF(E13="Normal","Standard (score &gt;=65)",IF(E13="Elevated","Restricted (score &gt;=80 only)","Suspended")))</f>
        <v/>
      </c>
      <c r="H13" s="63"/>
    </row>
    <row r="14" customFormat="false" ht="15" hidden="false" customHeight="true" outlineLevel="0" collapsed="false">
      <c r="A14" s="44"/>
      <c r="B14" s="20"/>
      <c r="C14" s="84" t="str">
        <f aca="false">IF(B14="","",MAX(C13,B14))</f>
        <v/>
      </c>
      <c r="D14" s="85" t="str">
        <f aca="false">IF(OR(B14="",C14=""),"",B14/C14-1)</f>
        <v/>
      </c>
      <c r="E14" s="66" t="str">
        <f aca="false">IF(D14="","",IF(D14&gt;=-0.1,"Normal",IF(D14&gt;=-0.2,"Elevated",IF(D14&gt;=-0.3,"Severe","Critical"))))</f>
        <v/>
      </c>
      <c r="F14" s="47" t="str">
        <f aca="false">IF(E14="","",IF(E14="Normal","5-15%",IF(E14="Elevated","15%",IF(E14="Severe","20%","25%"))))</f>
        <v/>
      </c>
      <c r="G14" s="47" t="str">
        <f aca="false">IF(E14="","",IF(E14="Normal","Standard (score &gt;=65)",IF(E14="Elevated","Restricted (score &gt;=80 only)","Suspended")))</f>
        <v/>
      </c>
      <c r="H14" s="63"/>
    </row>
    <row r="15" customFormat="false" ht="15" hidden="false" customHeight="true" outlineLevel="0" collapsed="false">
      <c r="A15" s="44"/>
      <c r="B15" s="20"/>
      <c r="C15" s="84" t="str">
        <f aca="false">IF(B15="","",MAX(C14,B15))</f>
        <v/>
      </c>
      <c r="D15" s="85" t="str">
        <f aca="false">IF(OR(B15="",C15=""),"",B15/C15-1)</f>
        <v/>
      </c>
      <c r="E15" s="66" t="str">
        <f aca="false">IF(D15="","",IF(D15&gt;=-0.1,"Normal",IF(D15&gt;=-0.2,"Elevated",IF(D15&gt;=-0.3,"Severe","Critical"))))</f>
        <v/>
      </c>
      <c r="F15" s="47" t="str">
        <f aca="false">IF(E15="","",IF(E15="Normal","5-15%",IF(E15="Elevated","15%",IF(E15="Severe","20%","25%"))))</f>
        <v/>
      </c>
      <c r="G15" s="47" t="str">
        <f aca="false">IF(E15="","",IF(E15="Normal","Standard (score &gt;=65)",IF(E15="Elevated","Restricted (score &gt;=80 only)","Suspended")))</f>
        <v/>
      </c>
      <c r="H15" s="63"/>
    </row>
    <row r="16" customFormat="false" ht="15" hidden="false" customHeight="true" outlineLevel="0" collapsed="false">
      <c r="A16" s="44"/>
      <c r="B16" s="20"/>
      <c r="C16" s="84" t="str">
        <f aca="false">IF(B16="","",MAX(C15,B16))</f>
        <v/>
      </c>
      <c r="D16" s="85" t="str">
        <f aca="false">IF(OR(B16="",C16=""),"",B16/C16-1)</f>
        <v/>
      </c>
      <c r="E16" s="66" t="str">
        <f aca="false">IF(D16="","",IF(D16&gt;=-0.1,"Normal",IF(D16&gt;=-0.2,"Elevated",IF(D16&gt;=-0.3,"Severe","Critical"))))</f>
        <v/>
      </c>
      <c r="F16" s="47" t="str">
        <f aca="false">IF(E16="","",IF(E16="Normal","5-15%",IF(E16="Elevated","15%",IF(E16="Severe","20%","25%"))))</f>
        <v/>
      </c>
      <c r="G16" s="47" t="str">
        <f aca="false">IF(E16="","",IF(E16="Normal","Standard (score &gt;=65)",IF(E16="Elevated","Restricted (score &gt;=80 only)","Suspended")))</f>
        <v/>
      </c>
      <c r="H16" s="63"/>
    </row>
    <row r="17" customFormat="false" ht="15" hidden="false" customHeight="true" outlineLevel="0" collapsed="false">
      <c r="A17" s="44"/>
      <c r="B17" s="20"/>
      <c r="C17" s="84" t="str">
        <f aca="false">IF(B17="","",MAX(C16,B17))</f>
        <v/>
      </c>
      <c r="D17" s="85" t="str">
        <f aca="false">IF(OR(B17="",C17=""),"",B17/C17-1)</f>
        <v/>
      </c>
      <c r="E17" s="66" t="str">
        <f aca="false">IF(D17="","",IF(D17&gt;=-0.1,"Normal",IF(D17&gt;=-0.2,"Elevated",IF(D17&gt;=-0.3,"Severe","Critical"))))</f>
        <v/>
      </c>
      <c r="F17" s="47" t="str">
        <f aca="false">IF(E17="","",IF(E17="Normal","5-15%",IF(E17="Elevated","15%",IF(E17="Severe","20%","25%"))))</f>
        <v/>
      </c>
      <c r="G17" s="47" t="str">
        <f aca="false">IF(E17="","",IF(E17="Normal","Standard (score &gt;=65)",IF(E17="Elevated","Restricted (score &gt;=80 only)","Suspended")))</f>
        <v/>
      </c>
      <c r="H17" s="63"/>
    </row>
    <row r="18" customFormat="false" ht="15" hidden="false" customHeight="true" outlineLevel="0" collapsed="false">
      <c r="A18" s="44"/>
      <c r="B18" s="20"/>
      <c r="C18" s="84" t="str">
        <f aca="false">IF(B18="","",MAX(C17,B18))</f>
        <v/>
      </c>
      <c r="D18" s="85" t="str">
        <f aca="false">IF(OR(B18="",C18=""),"",B18/C18-1)</f>
        <v/>
      </c>
      <c r="E18" s="66" t="str">
        <f aca="false">IF(D18="","",IF(D18&gt;=-0.1,"Normal",IF(D18&gt;=-0.2,"Elevated",IF(D18&gt;=-0.3,"Severe","Critical"))))</f>
        <v/>
      </c>
      <c r="F18" s="47" t="str">
        <f aca="false">IF(E18="","",IF(E18="Normal","5-15%",IF(E18="Elevated","15%",IF(E18="Severe","20%","25%"))))</f>
        <v/>
      </c>
      <c r="G18" s="47" t="str">
        <f aca="false">IF(E18="","",IF(E18="Normal","Standard (score &gt;=65)",IF(E18="Elevated","Restricted (score &gt;=80 only)","Suspended")))</f>
        <v/>
      </c>
      <c r="H18" s="63"/>
    </row>
    <row r="19" customFormat="false" ht="15" hidden="false" customHeight="true" outlineLevel="0" collapsed="false">
      <c r="A19" s="44"/>
      <c r="B19" s="20"/>
      <c r="C19" s="84" t="str">
        <f aca="false">IF(B19="","",MAX(C18,B19))</f>
        <v/>
      </c>
      <c r="D19" s="85" t="str">
        <f aca="false">IF(OR(B19="",C19=""),"",B19/C19-1)</f>
        <v/>
      </c>
      <c r="E19" s="66" t="str">
        <f aca="false">IF(D19="","",IF(D19&gt;=-0.1,"Normal",IF(D19&gt;=-0.2,"Elevated",IF(D19&gt;=-0.3,"Severe","Critical"))))</f>
        <v/>
      </c>
      <c r="F19" s="47" t="str">
        <f aca="false">IF(E19="","",IF(E19="Normal","5-15%",IF(E19="Elevated","15%",IF(E19="Severe","20%","25%"))))</f>
        <v/>
      </c>
      <c r="G19" s="47" t="str">
        <f aca="false">IF(E19="","",IF(E19="Normal","Standard (score &gt;=65)",IF(E19="Elevated","Restricted (score &gt;=80 only)","Suspended")))</f>
        <v/>
      </c>
      <c r="H19" s="63"/>
    </row>
    <row r="20" customFormat="false" ht="15" hidden="false" customHeight="true" outlineLevel="0" collapsed="false">
      <c r="A20" s="44"/>
      <c r="B20" s="20"/>
      <c r="C20" s="84" t="str">
        <f aca="false">IF(B20="","",MAX(C19,B20))</f>
        <v/>
      </c>
      <c r="D20" s="85" t="str">
        <f aca="false">IF(OR(B20="",C20=""),"",B20/C20-1)</f>
        <v/>
      </c>
      <c r="E20" s="66" t="str">
        <f aca="false">IF(D20="","",IF(D20&gt;=-0.1,"Normal",IF(D20&gt;=-0.2,"Elevated",IF(D20&gt;=-0.3,"Severe","Critical"))))</f>
        <v/>
      </c>
      <c r="F20" s="47" t="str">
        <f aca="false">IF(E20="","",IF(E20="Normal","5-15%",IF(E20="Elevated","15%",IF(E20="Severe","20%","25%"))))</f>
        <v/>
      </c>
      <c r="G20" s="47" t="str">
        <f aca="false">IF(E20="","",IF(E20="Normal","Standard (score &gt;=65)",IF(E20="Elevated","Restricted (score &gt;=80 only)","Suspended")))</f>
        <v/>
      </c>
      <c r="H20" s="63"/>
    </row>
    <row r="21" customFormat="false" ht="15" hidden="false" customHeight="true" outlineLevel="0" collapsed="false">
      <c r="A21" s="44"/>
      <c r="B21" s="20"/>
      <c r="C21" s="84" t="str">
        <f aca="false">IF(B21="","",MAX(C20,B21))</f>
        <v/>
      </c>
      <c r="D21" s="85" t="str">
        <f aca="false">IF(OR(B21="",C21=""),"",B21/C21-1)</f>
        <v/>
      </c>
      <c r="E21" s="66" t="str">
        <f aca="false">IF(D21="","",IF(D21&gt;=-0.1,"Normal",IF(D21&gt;=-0.2,"Elevated",IF(D21&gt;=-0.3,"Severe","Critical"))))</f>
        <v/>
      </c>
      <c r="F21" s="47" t="str">
        <f aca="false">IF(E21="","",IF(E21="Normal","5-15%",IF(E21="Elevated","15%",IF(E21="Severe","20%","25%"))))</f>
        <v/>
      </c>
      <c r="G21" s="47" t="str">
        <f aca="false">IF(E21="","",IF(E21="Normal","Standard (score &gt;=65)",IF(E21="Elevated","Restricted (score &gt;=80 only)","Suspended")))</f>
        <v/>
      </c>
      <c r="H21" s="63"/>
    </row>
    <row r="22" customFormat="false" ht="15" hidden="false" customHeight="true" outlineLevel="0" collapsed="false">
      <c r="A22" s="44"/>
      <c r="B22" s="20"/>
      <c r="C22" s="84" t="str">
        <f aca="false">IF(B22="","",MAX(C21,B22))</f>
        <v/>
      </c>
      <c r="D22" s="85" t="str">
        <f aca="false">IF(OR(B22="",C22=""),"",B22/C22-1)</f>
        <v/>
      </c>
      <c r="E22" s="66" t="str">
        <f aca="false">IF(D22="","",IF(D22&gt;=-0.1,"Normal",IF(D22&gt;=-0.2,"Elevated",IF(D22&gt;=-0.3,"Severe","Critical"))))</f>
        <v/>
      </c>
      <c r="F22" s="47" t="str">
        <f aca="false">IF(E22="","",IF(E22="Normal","5-15%",IF(E22="Elevated","15%",IF(E22="Severe","20%","25%"))))</f>
        <v/>
      </c>
      <c r="G22" s="47" t="str">
        <f aca="false">IF(E22="","",IF(E22="Normal","Standard (score &gt;=65)",IF(E22="Elevated","Restricted (score &gt;=80 only)","Suspended")))</f>
        <v/>
      </c>
      <c r="H22" s="63"/>
    </row>
    <row r="23" customFormat="false" ht="15" hidden="false" customHeight="true" outlineLevel="0" collapsed="false">
      <c r="A23" s="44"/>
      <c r="B23" s="20"/>
      <c r="C23" s="84" t="str">
        <f aca="false">IF(B23="","",MAX(C22,B23))</f>
        <v/>
      </c>
      <c r="D23" s="85" t="str">
        <f aca="false">IF(OR(B23="",C23=""),"",B23/C23-1)</f>
        <v/>
      </c>
      <c r="E23" s="66" t="str">
        <f aca="false">IF(D23="","",IF(D23&gt;=-0.1,"Normal",IF(D23&gt;=-0.2,"Elevated",IF(D23&gt;=-0.3,"Severe","Critical"))))</f>
        <v/>
      </c>
      <c r="F23" s="47" t="str">
        <f aca="false">IF(E23="","",IF(E23="Normal","5-15%",IF(E23="Elevated","15%",IF(E23="Severe","20%","25%"))))</f>
        <v/>
      </c>
      <c r="G23" s="47" t="str">
        <f aca="false">IF(E23="","",IF(E23="Normal","Standard (score &gt;=65)",IF(E23="Elevated","Restricted (score &gt;=80 only)","Suspended")))</f>
        <v/>
      </c>
      <c r="H23" s="63"/>
    </row>
    <row r="24" customFormat="false" ht="15" hidden="false" customHeight="true" outlineLevel="0" collapsed="false">
      <c r="A24" s="44"/>
      <c r="B24" s="20"/>
      <c r="C24" s="84" t="str">
        <f aca="false">IF(B24="","",MAX(C23,B24))</f>
        <v/>
      </c>
      <c r="D24" s="85" t="str">
        <f aca="false">IF(OR(B24="",C24=""),"",B24/C24-1)</f>
        <v/>
      </c>
      <c r="E24" s="66" t="str">
        <f aca="false">IF(D24="","",IF(D24&gt;=-0.1,"Normal",IF(D24&gt;=-0.2,"Elevated",IF(D24&gt;=-0.3,"Severe","Critical"))))</f>
        <v/>
      </c>
      <c r="F24" s="47" t="str">
        <f aca="false">IF(E24="","",IF(E24="Normal","5-15%",IF(E24="Elevated","15%",IF(E24="Severe","20%","25%"))))</f>
        <v/>
      </c>
      <c r="G24" s="47" t="str">
        <f aca="false">IF(E24="","",IF(E24="Normal","Standard (score &gt;=65)",IF(E24="Elevated","Restricted (score &gt;=80 only)","Suspended")))</f>
        <v/>
      </c>
      <c r="H24" s="63"/>
    </row>
    <row r="25" customFormat="false" ht="15" hidden="false" customHeight="true" outlineLevel="0" collapsed="false">
      <c r="A25" s="44"/>
      <c r="B25" s="20"/>
      <c r="C25" s="84" t="str">
        <f aca="false">IF(B25="","",MAX(C24,B25))</f>
        <v/>
      </c>
      <c r="D25" s="85" t="str">
        <f aca="false">IF(OR(B25="",C25=""),"",B25/C25-1)</f>
        <v/>
      </c>
      <c r="E25" s="66" t="str">
        <f aca="false">IF(D25="","",IF(D25&gt;=-0.1,"Normal",IF(D25&gt;=-0.2,"Elevated",IF(D25&gt;=-0.3,"Severe","Critical"))))</f>
        <v/>
      </c>
      <c r="F25" s="47" t="str">
        <f aca="false">IF(E25="","",IF(E25="Normal","5-15%",IF(E25="Elevated","15%",IF(E25="Severe","20%","25%"))))</f>
        <v/>
      </c>
      <c r="G25" s="47" t="str">
        <f aca="false">IF(E25="","",IF(E25="Normal","Standard (score &gt;=65)",IF(E25="Elevated","Restricted (score &gt;=80 only)","Suspended")))</f>
        <v/>
      </c>
      <c r="H25" s="63"/>
    </row>
    <row r="26" customFormat="false" ht="15" hidden="false" customHeight="true" outlineLevel="0" collapsed="false">
      <c r="A26" s="44"/>
      <c r="B26" s="20"/>
      <c r="C26" s="84" t="str">
        <f aca="false">IF(B26="","",MAX(C25,B26))</f>
        <v/>
      </c>
      <c r="D26" s="85" t="str">
        <f aca="false">IF(OR(B26="",C26=""),"",B26/C26-1)</f>
        <v/>
      </c>
      <c r="E26" s="66" t="str">
        <f aca="false">IF(D26="","",IF(D26&gt;=-0.1,"Normal",IF(D26&gt;=-0.2,"Elevated",IF(D26&gt;=-0.3,"Severe","Critical"))))</f>
        <v/>
      </c>
      <c r="F26" s="47" t="str">
        <f aca="false">IF(E26="","",IF(E26="Normal","5-15%",IF(E26="Elevated","15%",IF(E26="Severe","20%","25%"))))</f>
        <v/>
      </c>
      <c r="G26" s="47" t="str">
        <f aca="false">IF(E26="","",IF(E26="Normal","Standard (score &gt;=65)",IF(E26="Elevated","Restricted (score &gt;=80 only)","Suspended")))</f>
        <v/>
      </c>
      <c r="H26" s="63"/>
    </row>
    <row r="27" customFormat="false" ht="15" hidden="false" customHeight="true" outlineLevel="0" collapsed="false">
      <c r="A27" s="44"/>
      <c r="B27" s="20"/>
      <c r="C27" s="84" t="str">
        <f aca="false">IF(B27="","",MAX(C26,B27))</f>
        <v/>
      </c>
      <c r="D27" s="85" t="str">
        <f aca="false">IF(OR(B27="",C27=""),"",B27/C27-1)</f>
        <v/>
      </c>
      <c r="E27" s="66" t="str">
        <f aca="false">IF(D27="","",IF(D27&gt;=-0.1,"Normal",IF(D27&gt;=-0.2,"Elevated",IF(D27&gt;=-0.3,"Severe","Critical"))))</f>
        <v/>
      </c>
      <c r="F27" s="47" t="str">
        <f aca="false">IF(E27="","",IF(E27="Normal","5-15%",IF(E27="Elevated","15%",IF(E27="Severe","20%","25%"))))</f>
        <v/>
      </c>
      <c r="G27" s="47" t="str">
        <f aca="false">IF(E27="","",IF(E27="Normal","Standard (score &gt;=65)",IF(E27="Elevated","Restricted (score &gt;=80 only)","Suspended")))</f>
        <v/>
      </c>
      <c r="H27" s="63"/>
    </row>
    <row r="28" customFormat="false" ht="15" hidden="false" customHeight="true" outlineLevel="0" collapsed="false">
      <c r="A28" s="44"/>
      <c r="B28" s="20"/>
      <c r="C28" s="84" t="str">
        <f aca="false">IF(B28="","",MAX(C27,B28))</f>
        <v/>
      </c>
      <c r="D28" s="85" t="str">
        <f aca="false">IF(OR(B28="",C28=""),"",B28/C28-1)</f>
        <v/>
      </c>
      <c r="E28" s="66" t="str">
        <f aca="false">IF(D28="","",IF(D28&gt;=-0.1,"Normal",IF(D28&gt;=-0.2,"Elevated",IF(D28&gt;=-0.3,"Severe","Critical"))))</f>
        <v/>
      </c>
      <c r="F28" s="47" t="str">
        <f aca="false">IF(E28="","",IF(E28="Normal","5-15%",IF(E28="Elevated","15%",IF(E28="Severe","20%","25%"))))</f>
        <v/>
      </c>
      <c r="G28" s="47" t="str">
        <f aca="false">IF(E28="","",IF(E28="Normal","Standard (score &gt;=65)",IF(E28="Elevated","Restricted (score &gt;=80 only)","Suspended")))</f>
        <v/>
      </c>
      <c r="H28" s="63"/>
    </row>
    <row r="29" customFormat="false" ht="15" hidden="false" customHeight="true" outlineLevel="0" collapsed="false">
      <c r="A29" s="44"/>
      <c r="B29" s="20"/>
      <c r="C29" s="84" t="str">
        <f aca="false">IF(B29="","",MAX(C28,B29))</f>
        <v/>
      </c>
      <c r="D29" s="85" t="str">
        <f aca="false">IF(OR(B29="",C29=""),"",B29/C29-1)</f>
        <v/>
      </c>
      <c r="E29" s="66" t="str">
        <f aca="false">IF(D29="","",IF(D29&gt;=-0.1,"Normal",IF(D29&gt;=-0.2,"Elevated",IF(D29&gt;=-0.3,"Severe","Critical"))))</f>
        <v/>
      </c>
      <c r="F29" s="47" t="str">
        <f aca="false">IF(E29="","",IF(E29="Normal","5-15%",IF(E29="Elevated","15%",IF(E29="Severe","20%","25%"))))</f>
        <v/>
      </c>
      <c r="G29" s="47" t="str">
        <f aca="false">IF(E29="","",IF(E29="Normal","Standard (score &gt;=65)",IF(E29="Elevated","Restricted (score &gt;=80 only)","Suspended")))</f>
        <v/>
      </c>
      <c r="H29" s="63"/>
    </row>
    <row r="30" customFormat="false" ht="15" hidden="false" customHeight="true" outlineLevel="0" collapsed="false">
      <c r="A30" s="44"/>
      <c r="B30" s="20"/>
      <c r="C30" s="84" t="str">
        <f aca="false">IF(B30="","",MAX(C29,B30))</f>
        <v/>
      </c>
      <c r="D30" s="85" t="str">
        <f aca="false">IF(OR(B30="",C30=""),"",B30/C30-1)</f>
        <v/>
      </c>
      <c r="E30" s="66" t="str">
        <f aca="false">IF(D30="","",IF(D30&gt;=-0.1,"Normal",IF(D30&gt;=-0.2,"Elevated",IF(D30&gt;=-0.3,"Severe","Critical"))))</f>
        <v/>
      </c>
      <c r="F30" s="47" t="str">
        <f aca="false">IF(E30="","",IF(E30="Normal","5-15%",IF(E30="Elevated","15%",IF(E30="Severe","20%","25%"))))</f>
        <v/>
      </c>
      <c r="G30" s="47" t="str">
        <f aca="false">IF(E30="","",IF(E30="Normal","Standard (score &gt;=65)",IF(E30="Elevated","Restricted (score &gt;=80 only)","Suspended")))</f>
        <v/>
      </c>
      <c r="H30" s="63"/>
    </row>
    <row r="31" customFormat="false" ht="15" hidden="false" customHeight="true" outlineLevel="0" collapsed="false">
      <c r="A31" s="44"/>
      <c r="B31" s="20"/>
      <c r="C31" s="84" t="str">
        <f aca="false">IF(B31="","",MAX(C30,B31))</f>
        <v/>
      </c>
      <c r="D31" s="85" t="str">
        <f aca="false">IF(OR(B31="",C31=""),"",B31/C31-1)</f>
        <v/>
      </c>
      <c r="E31" s="66" t="str">
        <f aca="false">IF(D31="","",IF(D31&gt;=-0.1,"Normal",IF(D31&gt;=-0.2,"Elevated",IF(D31&gt;=-0.3,"Severe","Critical"))))</f>
        <v/>
      </c>
      <c r="F31" s="47" t="str">
        <f aca="false">IF(E31="","",IF(E31="Normal","5-15%",IF(E31="Elevated","15%",IF(E31="Severe","20%","25%"))))</f>
        <v/>
      </c>
      <c r="G31" s="47" t="str">
        <f aca="false">IF(E31="","",IF(E31="Normal","Standard (score &gt;=65)",IF(E31="Elevated","Restricted (score &gt;=80 only)","Suspended")))</f>
        <v/>
      </c>
      <c r="H31" s="63"/>
    </row>
    <row r="32" customFormat="false" ht="15" hidden="false" customHeight="true" outlineLevel="0" collapsed="false">
      <c r="A32" s="44"/>
      <c r="B32" s="20"/>
      <c r="C32" s="84" t="str">
        <f aca="false">IF(B32="","",MAX(C31,B32))</f>
        <v/>
      </c>
      <c r="D32" s="85" t="str">
        <f aca="false">IF(OR(B32="",C32=""),"",B32/C32-1)</f>
        <v/>
      </c>
      <c r="E32" s="66" t="str">
        <f aca="false">IF(D32="","",IF(D32&gt;=-0.1,"Normal",IF(D32&gt;=-0.2,"Elevated",IF(D32&gt;=-0.3,"Severe","Critical"))))</f>
        <v/>
      </c>
      <c r="F32" s="47" t="str">
        <f aca="false">IF(E32="","",IF(E32="Normal","5-15%",IF(E32="Elevated","15%",IF(E32="Severe","20%","25%"))))</f>
        <v/>
      </c>
      <c r="G32" s="47" t="str">
        <f aca="false">IF(E32="","",IF(E32="Normal","Standard (score &gt;=65)",IF(E32="Elevated","Restricted (score &gt;=80 only)","Suspended")))</f>
        <v/>
      </c>
      <c r="H32" s="63"/>
    </row>
    <row r="33" customFormat="false" ht="15" hidden="false" customHeight="true" outlineLevel="0" collapsed="false">
      <c r="A33" s="44"/>
      <c r="B33" s="20"/>
      <c r="C33" s="84" t="str">
        <f aca="false">IF(B33="","",MAX(C32,B33))</f>
        <v/>
      </c>
      <c r="D33" s="85" t="str">
        <f aca="false">IF(OR(B33="",C33=""),"",B33/C33-1)</f>
        <v/>
      </c>
      <c r="E33" s="66" t="str">
        <f aca="false">IF(D33="","",IF(D33&gt;=-0.1,"Normal",IF(D33&gt;=-0.2,"Elevated",IF(D33&gt;=-0.3,"Severe","Critical"))))</f>
        <v/>
      </c>
      <c r="F33" s="47" t="str">
        <f aca="false">IF(E33="","",IF(E33="Normal","5-15%",IF(E33="Elevated","15%",IF(E33="Severe","20%","25%"))))</f>
        <v/>
      </c>
      <c r="G33" s="47" t="str">
        <f aca="false">IF(E33="","",IF(E33="Normal","Standard (score &gt;=65)",IF(E33="Elevated","Restricted (score &gt;=80 only)","Suspended")))</f>
        <v/>
      </c>
      <c r="H33" s="63"/>
    </row>
    <row r="34" customFormat="false" ht="15" hidden="false" customHeight="true" outlineLevel="0" collapsed="false">
      <c r="A34" s="44"/>
      <c r="B34" s="20"/>
      <c r="C34" s="84" t="str">
        <f aca="false">IF(B34="","",MAX(C33,B34))</f>
        <v/>
      </c>
      <c r="D34" s="85" t="str">
        <f aca="false">IF(OR(B34="",C34=""),"",B34/C34-1)</f>
        <v/>
      </c>
      <c r="E34" s="66" t="str">
        <f aca="false">IF(D34="","",IF(D34&gt;=-0.1,"Normal",IF(D34&gt;=-0.2,"Elevated",IF(D34&gt;=-0.3,"Severe","Critical"))))</f>
        <v/>
      </c>
      <c r="F34" s="47" t="str">
        <f aca="false">IF(E34="","",IF(E34="Normal","5-15%",IF(E34="Elevated","15%",IF(E34="Severe","20%","25%"))))</f>
        <v/>
      </c>
      <c r="G34" s="47" t="str">
        <f aca="false">IF(E34="","",IF(E34="Normal","Standard (score &gt;=65)",IF(E34="Elevated","Restricted (score &gt;=80 only)","Suspended")))</f>
        <v/>
      </c>
      <c r="H34" s="63"/>
    </row>
    <row r="35" customFormat="false" ht="15" hidden="false" customHeight="true" outlineLevel="0" collapsed="false">
      <c r="A35" s="44"/>
      <c r="B35" s="20"/>
      <c r="C35" s="84" t="str">
        <f aca="false">IF(B35="","",MAX(C34,B35))</f>
        <v/>
      </c>
      <c r="D35" s="85" t="str">
        <f aca="false">IF(OR(B35="",C35=""),"",B35/C35-1)</f>
        <v/>
      </c>
      <c r="E35" s="66" t="str">
        <f aca="false">IF(D35="","",IF(D35&gt;=-0.1,"Normal",IF(D35&gt;=-0.2,"Elevated",IF(D35&gt;=-0.3,"Severe","Critical"))))</f>
        <v/>
      </c>
      <c r="F35" s="47" t="str">
        <f aca="false">IF(E35="","",IF(E35="Normal","5-15%",IF(E35="Elevated","15%",IF(E35="Severe","20%","25%"))))</f>
        <v/>
      </c>
      <c r="G35" s="47" t="str">
        <f aca="false">IF(E35="","",IF(E35="Normal","Standard (score &gt;=65)",IF(E35="Elevated","Restricted (score &gt;=80 only)","Suspended")))</f>
        <v/>
      </c>
      <c r="H35" s="63"/>
    </row>
    <row r="36" customFormat="false" ht="15" hidden="false" customHeight="true" outlineLevel="0" collapsed="false">
      <c r="A36" s="44"/>
      <c r="B36" s="20"/>
      <c r="C36" s="84" t="str">
        <f aca="false">IF(B36="","",MAX(C35,B36))</f>
        <v/>
      </c>
      <c r="D36" s="85" t="str">
        <f aca="false">IF(OR(B36="",C36=""),"",B36/C36-1)</f>
        <v/>
      </c>
      <c r="E36" s="66" t="str">
        <f aca="false">IF(D36="","",IF(D36&gt;=-0.1,"Normal",IF(D36&gt;=-0.2,"Elevated",IF(D36&gt;=-0.3,"Severe","Critical"))))</f>
        <v/>
      </c>
      <c r="F36" s="47" t="str">
        <f aca="false">IF(E36="","",IF(E36="Normal","5-15%",IF(E36="Elevated","15%",IF(E36="Severe","20%","25%"))))</f>
        <v/>
      </c>
      <c r="G36" s="47" t="str">
        <f aca="false">IF(E36="","",IF(E36="Normal","Standard (score &gt;=65)",IF(E36="Elevated","Restricted (score &gt;=80 only)","Suspended")))</f>
        <v/>
      </c>
      <c r="H36" s="63"/>
    </row>
    <row r="37" customFormat="false" ht="15" hidden="false" customHeight="true" outlineLevel="0" collapsed="false">
      <c r="A37" s="44"/>
      <c r="B37" s="20"/>
      <c r="C37" s="84" t="str">
        <f aca="false">IF(B37="","",MAX(C36,B37))</f>
        <v/>
      </c>
      <c r="D37" s="85" t="str">
        <f aca="false">IF(OR(B37="",C37=""),"",B37/C37-1)</f>
        <v/>
      </c>
      <c r="E37" s="66" t="str">
        <f aca="false">IF(D37="","",IF(D37&gt;=-0.1,"Normal",IF(D37&gt;=-0.2,"Elevated",IF(D37&gt;=-0.3,"Severe","Critical"))))</f>
        <v/>
      </c>
      <c r="F37" s="47" t="str">
        <f aca="false">IF(E37="","",IF(E37="Normal","5-15%",IF(E37="Elevated","15%",IF(E37="Severe","20%","25%"))))</f>
        <v/>
      </c>
      <c r="G37" s="47" t="str">
        <f aca="false">IF(E37="","",IF(E37="Normal","Standard (score &gt;=65)",IF(E37="Elevated","Restricted (score &gt;=80 only)","Suspended")))</f>
        <v/>
      </c>
      <c r="H37" s="63"/>
    </row>
    <row r="38" customFormat="false" ht="15" hidden="false" customHeight="true" outlineLevel="0" collapsed="false">
      <c r="A38" s="44"/>
      <c r="B38" s="20"/>
      <c r="C38" s="84" t="str">
        <f aca="false">IF(B38="","",MAX(C37,B38))</f>
        <v/>
      </c>
      <c r="D38" s="85" t="str">
        <f aca="false">IF(OR(B38="",C38=""),"",B38/C38-1)</f>
        <v/>
      </c>
      <c r="E38" s="66" t="str">
        <f aca="false">IF(D38="","",IF(D38&gt;=-0.1,"Normal",IF(D38&gt;=-0.2,"Elevated",IF(D38&gt;=-0.3,"Severe","Critical"))))</f>
        <v/>
      </c>
      <c r="F38" s="47" t="str">
        <f aca="false">IF(E38="","",IF(E38="Normal","5-15%",IF(E38="Elevated","15%",IF(E38="Severe","20%","25%"))))</f>
        <v/>
      </c>
      <c r="G38" s="47" t="str">
        <f aca="false">IF(E38="","",IF(E38="Normal","Standard (score &gt;=65)",IF(E38="Elevated","Restricted (score &gt;=80 only)","Suspended")))</f>
        <v/>
      </c>
      <c r="H38" s="63"/>
    </row>
    <row r="39" customFormat="false" ht="15" hidden="false" customHeight="true" outlineLevel="0" collapsed="false">
      <c r="A39" s="44"/>
      <c r="B39" s="20"/>
      <c r="C39" s="84" t="str">
        <f aca="false">IF(B39="","",MAX(C38,B39))</f>
        <v/>
      </c>
      <c r="D39" s="85" t="str">
        <f aca="false">IF(OR(B39="",C39=""),"",B39/C39-1)</f>
        <v/>
      </c>
      <c r="E39" s="66" t="str">
        <f aca="false">IF(D39="","",IF(D39&gt;=-0.1,"Normal",IF(D39&gt;=-0.2,"Elevated",IF(D39&gt;=-0.3,"Severe","Critical"))))</f>
        <v/>
      </c>
      <c r="F39" s="47" t="str">
        <f aca="false">IF(E39="","",IF(E39="Normal","5-15%",IF(E39="Elevated","15%",IF(E39="Severe","20%","25%"))))</f>
        <v/>
      </c>
      <c r="G39" s="47" t="str">
        <f aca="false">IF(E39="","",IF(E39="Normal","Standard (score &gt;=65)",IF(E39="Elevated","Restricted (score &gt;=80 only)","Suspended")))</f>
        <v/>
      </c>
      <c r="H39" s="63"/>
    </row>
    <row r="40" customFormat="false" ht="15" hidden="false" customHeight="true" outlineLevel="0" collapsed="false">
      <c r="A40" s="44"/>
      <c r="B40" s="20"/>
      <c r="C40" s="84" t="str">
        <f aca="false">IF(B40="","",MAX(C39,B40))</f>
        <v/>
      </c>
      <c r="D40" s="85" t="str">
        <f aca="false">IF(OR(B40="",C40=""),"",B40/C40-1)</f>
        <v/>
      </c>
      <c r="E40" s="66" t="str">
        <f aca="false">IF(D40="","",IF(D40&gt;=-0.1,"Normal",IF(D40&gt;=-0.2,"Elevated",IF(D40&gt;=-0.3,"Severe","Critical"))))</f>
        <v/>
      </c>
      <c r="F40" s="47" t="str">
        <f aca="false">IF(E40="","",IF(E40="Normal","5-15%",IF(E40="Elevated","15%",IF(E40="Severe","20%","25%"))))</f>
        <v/>
      </c>
      <c r="G40" s="47" t="str">
        <f aca="false">IF(E40="","",IF(E40="Normal","Standard (score &gt;=65)",IF(E40="Elevated","Restricted (score &gt;=80 only)","Suspended")))</f>
        <v/>
      </c>
      <c r="H40" s="63"/>
    </row>
    <row r="41" customFormat="false" ht="15" hidden="false" customHeight="true" outlineLevel="0" collapsed="false">
      <c r="A41" s="44"/>
      <c r="B41" s="20"/>
      <c r="C41" s="84" t="str">
        <f aca="false">IF(B41="","",MAX(C40,B41))</f>
        <v/>
      </c>
      <c r="D41" s="85" t="str">
        <f aca="false">IF(OR(B41="",C41=""),"",B41/C41-1)</f>
        <v/>
      </c>
      <c r="E41" s="66" t="str">
        <f aca="false">IF(D41="","",IF(D41&gt;=-0.1,"Normal",IF(D41&gt;=-0.2,"Elevated",IF(D41&gt;=-0.3,"Severe","Critical"))))</f>
        <v/>
      </c>
      <c r="F41" s="47" t="str">
        <f aca="false">IF(E41="","",IF(E41="Normal","5-15%",IF(E41="Elevated","15%",IF(E41="Severe","20%","25%"))))</f>
        <v/>
      </c>
      <c r="G41" s="47" t="str">
        <f aca="false">IF(E41="","",IF(E41="Normal","Standard (score &gt;=65)",IF(E41="Elevated","Restricted (score &gt;=80 only)","Suspended")))</f>
        <v/>
      </c>
      <c r="H41" s="63"/>
    </row>
    <row r="42" customFormat="false" ht="15" hidden="false" customHeight="true" outlineLevel="0" collapsed="false">
      <c r="A42" s="44"/>
      <c r="B42" s="20"/>
      <c r="C42" s="84" t="str">
        <f aca="false">IF(B42="","",MAX(C41,B42))</f>
        <v/>
      </c>
      <c r="D42" s="85" t="str">
        <f aca="false">IF(OR(B42="",C42=""),"",B42/C42-1)</f>
        <v/>
      </c>
      <c r="E42" s="66" t="str">
        <f aca="false">IF(D42="","",IF(D42&gt;=-0.1,"Normal",IF(D42&gt;=-0.2,"Elevated",IF(D42&gt;=-0.3,"Severe","Critical"))))</f>
        <v/>
      </c>
      <c r="F42" s="47" t="str">
        <f aca="false">IF(E42="","",IF(E42="Normal","5-15%",IF(E42="Elevated","15%",IF(E42="Severe","20%","25%"))))</f>
        <v/>
      </c>
      <c r="G42" s="47" t="str">
        <f aca="false">IF(E42="","",IF(E42="Normal","Standard (score &gt;=65)",IF(E42="Elevated","Restricted (score &gt;=80 only)","Suspended")))</f>
        <v/>
      </c>
      <c r="H42" s="63"/>
    </row>
  </sheetData>
  <mergeCells count="1">
    <mergeCell ref="A1:H1"/>
  </mergeCells>
  <conditionalFormatting sqref="E3:E42">
    <cfRule type="cellIs" priority="2" operator="equal" aboveAverage="0" equalAverage="0" bottom="0" percent="0" rank="0" text="" dxfId="20">
      <formula>"Normal"</formula>
    </cfRule>
    <cfRule type="cellIs" priority="3" operator="equal" aboveAverage="0" equalAverage="0" bottom="0" percent="0" rank="0" text="" dxfId="22">
      <formula>"Elevated"</formula>
    </cfRule>
    <cfRule type="cellIs" priority="4" operator="equal" aboveAverage="0" equalAverage="0" bottom="0" percent="0" rank="0" text="" dxfId="15">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6796875" defaultRowHeight="1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12"/>
    <col collapsed="false" customWidth="true" hidden="false" outlineLevel="0" max="6" min="5" style="1" width="8"/>
    <col collapsed="false" customWidth="true" hidden="false" outlineLevel="0" max="9" min="7" style="1" width="12"/>
    <col collapsed="false" customWidth="true" hidden="false" outlineLevel="0" max="10" min="10" style="1" width="10"/>
    <col collapsed="false" customWidth="true" hidden="false" outlineLevel="0" max="11" min="11" style="1" width="20"/>
    <col collapsed="false" customWidth="true" hidden="false" outlineLevel="0" max="12" min="12" style="1" width="30"/>
  </cols>
  <sheetData>
    <row r="1" customFormat="false" ht="25.5" hidden="false" customHeight="true" outlineLevel="0" collapsed="false">
      <c r="A1" s="16" t="s">
        <v>343</v>
      </c>
      <c r="B1" s="16"/>
      <c r="C1" s="16"/>
      <c r="D1" s="16"/>
      <c r="E1" s="16"/>
      <c r="F1" s="16"/>
      <c r="G1" s="16"/>
      <c r="H1" s="16"/>
      <c r="I1" s="16"/>
      <c r="J1" s="16"/>
      <c r="K1" s="16"/>
      <c r="L1" s="16"/>
      <c r="M1" s="16"/>
    </row>
    <row r="2" customFormat="false" ht="33.75" hidden="false" customHeight="true" outlineLevel="0" collapsed="false">
      <c r="A2" s="46" t="s">
        <v>74</v>
      </c>
      <c r="B2" s="46" t="s">
        <v>185</v>
      </c>
      <c r="C2" s="46" t="s">
        <v>344</v>
      </c>
      <c r="D2" s="46" t="s">
        <v>345</v>
      </c>
      <c r="E2" s="46" t="s">
        <v>346</v>
      </c>
      <c r="F2" s="46" t="s">
        <v>347</v>
      </c>
      <c r="G2" s="46" t="s">
        <v>348</v>
      </c>
      <c r="H2" s="46" t="s">
        <v>349</v>
      </c>
      <c r="I2" s="46" t="s">
        <v>350</v>
      </c>
      <c r="J2" s="46" t="s">
        <v>351</v>
      </c>
      <c r="K2" s="46" t="s">
        <v>352</v>
      </c>
      <c r="L2" s="46" t="s">
        <v>353</v>
      </c>
    </row>
    <row r="3" customFormat="false" ht="15" hidden="false" customHeight="true" outlineLevel="0" collapsed="false">
      <c r="A3" s="63"/>
      <c r="B3" s="63"/>
      <c r="C3" s="63"/>
      <c r="D3" s="44"/>
      <c r="E3" s="63"/>
      <c r="F3" s="63"/>
      <c r="G3" s="44"/>
      <c r="H3" s="63"/>
      <c r="I3" s="49" t="str">
        <f aca="false">IF(D3="","",D3+90)</f>
        <v/>
      </c>
      <c r="J3" s="86" t="str">
        <f aca="true">IF(I3="","",I3-TODAY())</f>
        <v/>
      </c>
      <c r="K3" s="66" t="str">
        <f aca="false">IF(OR(C3="",F3=""),"",IF(AND(C3="Exit Review",H3="N"),"NO CREDIBLE PLAN — SELL WITHIN 30 DAYS",IF(AND(C3="Probationary Hold",F3&gt;=65),"RECOVERED — REMOVE FROM WATCH LIST",IF(AND(C3="Exit Review",F3&gt;=50),"RECOVERED — MOVE TO PROBATIONARY HOLD",IF(J3&lt;0,"DEADLINE PASSED — SELL WITHIN 30 DAYS",IF(J3&lt;=14,"DEADLINE APPROACHING","ON TRACK"))))))</f>
        <v/>
      </c>
      <c r="L3" s="63"/>
    </row>
    <row r="4" customFormat="false" ht="15" hidden="false" customHeight="true" outlineLevel="0" collapsed="false">
      <c r="A4" s="63"/>
      <c r="B4" s="63"/>
      <c r="C4" s="63"/>
      <c r="D4" s="44"/>
      <c r="E4" s="63"/>
      <c r="F4" s="63"/>
      <c r="G4" s="44"/>
      <c r="H4" s="63"/>
      <c r="I4" s="49" t="str">
        <f aca="false">IF(D4="","",D4+90)</f>
        <v/>
      </c>
      <c r="J4" s="86" t="str">
        <f aca="true">IF(I4="","",I4-TODAY())</f>
        <v/>
      </c>
      <c r="K4" s="66" t="str">
        <f aca="false">IF(OR(C4="",F4=""),"",IF(AND(C4="Exit Review",H4="N"),"NO CREDIBLE PLAN — SELL WITHIN 30 DAYS",IF(AND(C4="Probationary Hold",F4&gt;=65),"RECOVERED — REMOVE FROM WATCH LIST",IF(AND(C4="Exit Review",F4&gt;=50),"RECOVERED — MOVE TO PROBATIONARY HOLD",IF(J4&lt;0,"DEADLINE PASSED — SELL WITHIN 30 DAYS",IF(J4&lt;=14,"DEADLINE APPROACHING","ON TRACK"))))))</f>
        <v/>
      </c>
      <c r="L4" s="63"/>
    </row>
    <row r="5" customFormat="false" ht="15" hidden="false" customHeight="true" outlineLevel="0" collapsed="false">
      <c r="A5" s="63"/>
      <c r="B5" s="63"/>
      <c r="C5" s="63"/>
      <c r="D5" s="44"/>
      <c r="E5" s="63"/>
      <c r="F5" s="63"/>
      <c r="G5" s="44"/>
      <c r="H5" s="63"/>
      <c r="I5" s="49" t="str">
        <f aca="false">IF(D5="","",D5+90)</f>
        <v/>
      </c>
      <c r="J5" s="86" t="str">
        <f aca="true">IF(I5="","",I5-TODAY())</f>
        <v/>
      </c>
      <c r="K5" s="66" t="str">
        <f aca="false">IF(OR(C5="",F5=""),"",IF(AND(C5="Exit Review",H5="N"),"NO CREDIBLE PLAN — SELL WITHIN 30 DAYS",IF(AND(C5="Probationary Hold",F5&gt;=65),"RECOVERED — REMOVE FROM WATCH LIST",IF(AND(C5="Exit Review",F5&gt;=50),"RECOVERED — MOVE TO PROBATIONARY HOLD",IF(J5&lt;0,"DEADLINE PASSED — SELL WITHIN 30 DAYS",IF(J5&lt;=14,"DEADLINE APPROACHING","ON TRACK"))))))</f>
        <v/>
      </c>
      <c r="L5" s="63"/>
    </row>
    <row r="6" customFormat="false" ht="15" hidden="false" customHeight="true" outlineLevel="0" collapsed="false">
      <c r="A6" s="63"/>
      <c r="B6" s="63"/>
      <c r="C6" s="63"/>
      <c r="D6" s="44"/>
      <c r="E6" s="63"/>
      <c r="F6" s="63"/>
      <c r="G6" s="44"/>
      <c r="H6" s="63"/>
      <c r="I6" s="49" t="str">
        <f aca="false">IF(D6="","",D6+90)</f>
        <v/>
      </c>
      <c r="J6" s="86" t="str">
        <f aca="true">IF(I6="","",I6-TODAY())</f>
        <v/>
      </c>
      <c r="K6" s="66" t="str">
        <f aca="false">IF(OR(C6="",F6=""),"",IF(AND(C6="Exit Review",H6="N"),"NO CREDIBLE PLAN — SELL WITHIN 30 DAYS",IF(AND(C6="Probationary Hold",F6&gt;=65),"RECOVERED — REMOVE FROM WATCH LIST",IF(AND(C6="Exit Review",F6&gt;=50),"RECOVERED — MOVE TO PROBATIONARY HOLD",IF(J6&lt;0,"DEADLINE PASSED — SELL WITHIN 30 DAYS",IF(J6&lt;=14,"DEADLINE APPROACHING","ON TRACK"))))))</f>
        <v/>
      </c>
      <c r="L6" s="63"/>
    </row>
    <row r="7" customFormat="false" ht="15" hidden="false" customHeight="true" outlineLevel="0" collapsed="false">
      <c r="A7" s="63"/>
      <c r="B7" s="63"/>
      <c r="C7" s="63"/>
      <c r="D7" s="44"/>
      <c r="E7" s="63"/>
      <c r="F7" s="63"/>
      <c r="G7" s="44"/>
      <c r="H7" s="63"/>
      <c r="I7" s="49" t="str">
        <f aca="false">IF(D7="","",D7+90)</f>
        <v/>
      </c>
      <c r="J7" s="86" t="str">
        <f aca="true">IF(I7="","",I7-TODAY())</f>
        <v/>
      </c>
      <c r="K7" s="66" t="str">
        <f aca="false">IF(OR(C7="",F7=""),"",IF(AND(C7="Exit Review",H7="N"),"NO CREDIBLE PLAN — SELL WITHIN 30 DAYS",IF(AND(C7="Probationary Hold",F7&gt;=65),"RECOVERED — REMOVE FROM WATCH LIST",IF(AND(C7="Exit Review",F7&gt;=50),"RECOVERED — MOVE TO PROBATIONARY HOLD",IF(J7&lt;0,"DEADLINE PASSED — SELL WITHIN 30 DAYS",IF(J7&lt;=14,"DEADLINE APPROACHING","ON TRACK"))))))</f>
        <v/>
      </c>
      <c r="L7" s="63"/>
    </row>
    <row r="8" customFormat="false" ht="15" hidden="false" customHeight="true" outlineLevel="0" collapsed="false">
      <c r="A8" s="63"/>
      <c r="B8" s="63"/>
      <c r="C8" s="63"/>
      <c r="D8" s="44"/>
      <c r="E8" s="63"/>
      <c r="F8" s="63"/>
      <c r="G8" s="44"/>
      <c r="H8" s="63"/>
      <c r="I8" s="49" t="str">
        <f aca="false">IF(D8="","",D8+90)</f>
        <v/>
      </c>
      <c r="J8" s="86" t="str">
        <f aca="true">IF(I8="","",I8-TODAY())</f>
        <v/>
      </c>
      <c r="K8" s="66" t="str">
        <f aca="false">IF(OR(C8="",F8=""),"",IF(AND(C8="Exit Review",H8="N"),"NO CREDIBLE PLAN — SELL WITHIN 30 DAYS",IF(AND(C8="Probationary Hold",F8&gt;=65),"RECOVERED — REMOVE FROM WATCH LIST",IF(AND(C8="Exit Review",F8&gt;=50),"RECOVERED — MOVE TO PROBATIONARY HOLD",IF(J8&lt;0,"DEADLINE PASSED — SELL WITHIN 30 DAYS",IF(J8&lt;=14,"DEADLINE APPROACHING","ON TRACK"))))))</f>
        <v/>
      </c>
      <c r="L8" s="63"/>
    </row>
    <row r="9" customFormat="false" ht="15" hidden="false" customHeight="true" outlineLevel="0" collapsed="false">
      <c r="A9" s="63"/>
      <c r="B9" s="63"/>
      <c r="C9" s="63"/>
      <c r="D9" s="44"/>
      <c r="E9" s="63"/>
      <c r="F9" s="63"/>
      <c r="G9" s="44"/>
      <c r="H9" s="63"/>
      <c r="I9" s="49" t="str">
        <f aca="false">IF(D9="","",D9+90)</f>
        <v/>
      </c>
      <c r="J9" s="86" t="str">
        <f aca="true">IF(I9="","",I9-TODAY())</f>
        <v/>
      </c>
      <c r="K9" s="66" t="str">
        <f aca="false">IF(OR(C9="",F9=""),"",IF(AND(C9="Exit Review",H9="N"),"NO CREDIBLE PLAN — SELL WITHIN 30 DAYS",IF(AND(C9="Probationary Hold",F9&gt;=65),"RECOVERED — REMOVE FROM WATCH LIST",IF(AND(C9="Exit Review",F9&gt;=50),"RECOVERED — MOVE TO PROBATIONARY HOLD",IF(J9&lt;0,"DEADLINE PASSED — SELL WITHIN 30 DAYS",IF(J9&lt;=14,"DEADLINE APPROACHING","ON TRACK"))))))</f>
        <v/>
      </c>
      <c r="L9" s="63"/>
    </row>
    <row r="10" customFormat="false" ht="15" hidden="false" customHeight="true" outlineLevel="0" collapsed="false">
      <c r="A10" s="63"/>
      <c r="B10" s="63"/>
      <c r="C10" s="63"/>
      <c r="D10" s="44"/>
      <c r="E10" s="63"/>
      <c r="F10" s="63"/>
      <c r="G10" s="44"/>
      <c r="H10" s="63"/>
      <c r="I10" s="49" t="str">
        <f aca="false">IF(D10="","",D10+90)</f>
        <v/>
      </c>
      <c r="J10" s="86" t="str">
        <f aca="true">IF(I10="","",I10-TODAY())</f>
        <v/>
      </c>
      <c r="K10" s="66" t="str">
        <f aca="false">IF(OR(C10="",F10=""),"",IF(AND(C10="Exit Review",H10="N"),"NO CREDIBLE PLAN — SELL WITHIN 30 DAYS",IF(AND(C10="Probationary Hold",F10&gt;=65),"RECOVERED — REMOVE FROM WATCH LIST",IF(AND(C10="Exit Review",F10&gt;=50),"RECOVERED — MOVE TO PROBATIONARY HOLD",IF(J10&lt;0,"DEADLINE PASSED — SELL WITHIN 30 DAYS",IF(J10&lt;=14,"DEADLINE APPROACHING","ON TRACK"))))))</f>
        <v/>
      </c>
      <c r="L10" s="63"/>
    </row>
    <row r="11" customFormat="false" ht="15" hidden="false" customHeight="true" outlineLevel="0" collapsed="false">
      <c r="A11" s="63"/>
      <c r="B11" s="63"/>
      <c r="C11" s="63"/>
      <c r="D11" s="44"/>
      <c r="E11" s="63"/>
      <c r="F11" s="63"/>
      <c r="G11" s="44"/>
      <c r="H11" s="63"/>
      <c r="I11" s="49" t="str">
        <f aca="false">IF(D11="","",D11+90)</f>
        <v/>
      </c>
      <c r="J11" s="86" t="str">
        <f aca="true">IF(I11="","",I11-TODAY())</f>
        <v/>
      </c>
      <c r="K11" s="66" t="str">
        <f aca="false">IF(OR(C11="",F11=""),"",IF(AND(C11="Exit Review",H11="N"),"NO CREDIBLE PLAN — SELL WITHIN 30 DAYS",IF(AND(C11="Probationary Hold",F11&gt;=65),"RECOVERED — REMOVE FROM WATCH LIST",IF(AND(C11="Exit Review",F11&gt;=50),"RECOVERED — MOVE TO PROBATIONARY HOLD",IF(J11&lt;0,"DEADLINE PASSED — SELL WITHIN 30 DAYS",IF(J11&lt;=14,"DEADLINE APPROACHING","ON TRACK"))))))</f>
        <v/>
      </c>
      <c r="L11" s="63"/>
    </row>
    <row r="12" customFormat="false" ht="15" hidden="false" customHeight="true" outlineLevel="0" collapsed="false">
      <c r="A12" s="63"/>
      <c r="B12" s="63"/>
      <c r="C12" s="63"/>
      <c r="D12" s="44"/>
      <c r="E12" s="63"/>
      <c r="F12" s="63"/>
      <c r="G12" s="44"/>
      <c r="H12" s="63"/>
      <c r="I12" s="49" t="str">
        <f aca="false">IF(D12="","",D12+90)</f>
        <v/>
      </c>
      <c r="J12" s="86" t="str">
        <f aca="true">IF(I12="","",I12-TODAY())</f>
        <v/>
      </c>
      <c r="K12" s="66" t="str">
        <f aca="false">IF(OR(C12="",F12=""),"",IF(AND(C12="Exit Review",H12="N"),"NO CREDIBLE PLAN — SELL WITHIN 30 DAYS",IF(AND(C12="Probationary Hold",F12&gt;=65),"RECOVERED — REMOVE FROM WATCH LIST",IF(AND(C12="Exit Review",F12&gt;=50),"RECOVERED — MOVE TO PROBATIONARY HOLD",IF(J12&lt;0,"DEADLINE PASSED — SELL WITHIN 30 DAYS",IF(J12&lt;=14,"DEADLINE APPROACHING","ON TRACK"))))))</f>
        <v/>
      </c>
      <c r="L12" s="63"/>
    </row>
    <row r="13" customFormat="false" ht="15" hidden="false" customHeight="true" outlineLevel="0" collapsed="false">
      <c r="A13" s="63"/>
      <c r="B13" s="63"/>
      <c r="C13" s="63"/>
      <c r="D13" s="44"/>
      <c r="E13" s="63"/>
      <c r="F13" s="63"/>
      <c r="G13" s="44"/>
      <c r="H13" s="63"/>
      <c r="I13" s="49" t="str">
        <f aca="false">IF(D13="","",D13+90)</f>
        <v/>
      </c>
      <c r="J13" s="86" t="str">
        <f aca="true">IF(I13="","",I13-TODAY())</f>
        <v/>
      </c>
      <c r="K13" s="66" t="str">
        <f aca="false">IF(OR(C13="",F13=""),"",IF(AND(C13="Exit Review",H13="N"),"NO CREDIBLE PLAN — SELL WITHIN 30 DAYS",IF(AND(C13="Probationary Hold",F13&gt;=65),"RECOVERED — REMOVE FROM WATCH LIST",IF(AND(C13="Exit Review",F13&gt;=50),"RECOVERED — MOVE TO PROBATIONARY HOLD",IF(J13&lt;0,"DEADLINE PASSED — SELL WITHIN 30 DAYS",IF(J13&lt;=14,"DEADLINE APPROACHING","ON TRACK"))))))</f>
        <v/>
      </c>
      <c r="L13" s="63"/>
    </row>
    <row r="14" customFormat="false" ht="15" hidden="false" customHeight="true" outlineLevel="0" collapsed="false">
      <c r="A14" s="63"/>
      <c r="B14" s="63"/>
      <c r="C14" s="63"/>
      <c r="D14" s="44"/>
      <c r="E14" s="63"/>
      <c r="F14" s="63"/>
      <c r="G14" s="44"/>
      <c r="H14" s="63"/>
      <c r="I14" s="49" t="str">
        <f aca="false">IF(D14="","",D14+90)</f>
        <v/>
      </c>
      <c r="J14" s="86" t="str">
        <f aca="true">IF(I14="","",I14-TODAY())</f>
        <v/>
      </c>
      <c r="K14" s="66" t="str">
        <f aca="false">IF(OR(C14="",F14=""),"",IF(AND(C14="Exit Review",H14="N"),"NO CREDIBLE PLAN — SELL WITHIN 30 DAYS",IF(AND(C14="Probationary Hold",F14&gt;=65),"RECOVERED — REMOVE FROM WATCH LIST",IF(AND(C14="Exit Review",F14&gt;=50),"RECOVERED — MOVE TO PROBATIONARY HOLD",IF(J14&lt;0,"DEADLINE PASSED — SELL WITHIN 30 DAYS",IF(J14&lt;=14,"DEADLINE APPROACHING","ON TRACK"))))))</f>
        <v/>
      </c>
      <c r="L14" s="63"/>
    </row>
    <row r="15" customFormat="false" ht="15" hidden="false" customHeight="true" outlineLevel="0" collapsed="false">
      <c r="A15" s="63"/>
      <c r="B15" s="63"/>
      <c r="C15" s="63"/>
      <c r="D15" s="44"/>
      <c r="E15" s="63"/>
      <c r="F15" s="63"/>
      <c r="G15" s="44"/>
      <c r="H15" s="63"/>
      <c r="I15" s="49" t="str">
        <f aca="false">IF(D15="","",D15+90)</f>
        <v/>
      </c>
      <c r="J15" s="86" t="str">
        <f aca="true">IF(I15="","",I15-TODAY())</f>
        <v/>
      </c>
      <c r="K15" s="66" t="str">
        <f aca="false">IF(OR(C15="",F15=""),"",IF(AND(C15="Exit Review",H15="N"),"NO CREDIBLE PLAN — SELL WITHIN 30 DAYS",IF(AND(C15="Probationary Hold",F15&gt;=65),"RECOVERED — REMOVE FROM WATCH LIST",IF(AND(C15="Exit Review",F15&gt;=50),"RECOVERED — MOVE TO PROBATIONARY HOLD",IF(J15&lt;0,"DEADLINE PASSED — SELL WITHIN 30 DAYS",IF(J15&lt;=14,"DEADLINE APPROACHING","ON TRACK"))))))</f>
        <v/>
      </c>
      <c r="L15" s="63"/>
    </row>
    <row r="16" customFormat="false" ht="15" hidden="false" customHeight="true" outlineLevel="0" collapsed="false">
      <c r="A16" s="63"/>
      <c r="B16" s="63"/>
      <c r="C16" s="63"/>
      <c r="D16" s="44"/>
      <c r="E16" s="63"/>
      <c r="F16" s="63"/>
      <c r="G16" s="44"/>
      <c r="H16" s="63"/>
      <c r="I16" s="49" t="str">
        <f aca="false">IF(D16="","",D16+90)</f>
        <v/>
      </c>
      <c r="J16" s="86" t="str">
        <f aca="true">IF(I16="","",I16-TODAY())</f>
        <v/>
      </c>
      <c r="K16" s="66" t="str">
        <f aca="false">IF(OR(C16="",F16=""),"",IF(AND(C16="Exit Review",H16="N"),"NO CREDIBLE PLAN — SELL WITHIN 30 DAYS",IF(AND(C16="Probationary Hold",F16&gt;=65),"RECOVERED — REMOVE FROM WATCH LIST",IF(AND(C16="Exit Review",F16&gt;=50),"RECOVERED — MOVE TO PROBATIONARY HOLD",IF(J16&lt;0,"DEADLINE PASSED — SELL WITHIN 30 DAYS",IF(J16&lt;=14,"DEADLINE APPROACHING","ON TRACK"))))))</f>
        <v/>
      </c>
      <c r="L16" s="63"/>
    </row>
    <row r="17" customFormat="false" ht="15" hidden="false" customHeight="true" outlineLevel="0" collapsed="false">
      <c r="A17" s="63"/>
      <c r="B17" s="63"/>
      <c r="C17" s="63"/>
      <c r="D17" s="44"/>
      <c r="E17" s="63"/>
      <c r="F17" s="63"/>
      <c r="G17" s="44"/>
      <c r="H17" s="63"/>
      <c r="I17" s="49" t="str">
        <f aca="false">IF(D17="","",D17+90)</f>
        <v/>
      </c>
      <c r="J17" s="86" t="str">
        <f aca="true">IF(I17="","",I17-TODAY())</f>
        <v/>
      </c>
      <c r="K17" s="66" t="str">
        <f aca="false">IF(OR(C17="",F17=""),"",IF(AND(C17="Exit Review",H17="N"),"NO CREDIBLE PLAN — SELL WITHIN 30 DAYS",IF(AND(C17="Probationary Hold",F17&gt;=65),"RECOVERED — REMOVE FROM WATCH LIST",IF(AND(C17="Exit Review",F17&gt;=50),"RECOVERED — MOVE TO PROBATIONARY HOLD",IF(J17&lt;0,"DEADLINE PASSED — SELL WITHIN 30 DAYS",IF(J17&lt;=14,"DEADLINE APPROACHING","ON TRACK"))))))</f>
        <v/>
      </c>
      <c r="L17" s="63"/>
    </row>
    <row r="18" customFormat="false" ht="15" hidden="false" customHeight="true" outlineLevel="0" collapsed="false">
      <c r="A18" s="63"/>
      <c r="B18" s="63"/>
      <c r="C18" s="63"/>
      <c r="D18" s="44"/>
      <c r="E18" s="63"/>
      <c r="F18" s="63"/>
      <c r="G18" s="44"/>
      <c r="H18" s="63"/>
      <c r="I18" s="49" t="str">
        <f aca="false">IF(D18="","",D18+90)</f>
        <v/>
      </c>
      <c r="J18" s="86" t="str">
        <f aca="true">IF(I18="","",I18-TODAY())</f>
        <v/>
      </c>
      <c r="K18" s="66" t="str">
        <f aca="false">IF(OR(C18="",F18=""),"",IF(AND(C18="Exit Review",H18="N"),"NO CREDIBLE PLAN — SELL WITHIN 30 DAYS",IF(AND(C18="Probationary Hold",F18&gt;=65),"RECOVERED — REMOVE FROM WATCH LIST",IF(AND(C18="Exit Review",F18&gt;=50),"RECOVERED — MOVE TO PROBATIONARY HOLD",IF(J18&lt;0,"DEADLINE PASSED — SELL WITHIN 30 DAYS",IF(J18&lt;=14,"DEADLINE APPROACHING","ON TRACK"))))))</f>
        <v/>
      </c>
      <c r="L18" s="63"/>
    </row>
    <row r="19" customFormat="false" ht="15" hidden="false" customHeight="true" outlineLevel="0" collapsed="false">
      <c r="A19" s="63"/>
      <c r="B19" s="63"/>
      <c r="C19" s="63"/>
      <c r="D19" s="44"/>
      <c r="E19" s="63"/>
      <c r="F19" s="63"/>
      <c r="G19" s="44"/>
      <c r="H19" s="63"/>
      <c r="I19" s="49" t="str">
        <f aca="false">IF(D19="","",D19+90)</f>
        <v/>
      </c>
      <c r="J19" s="86" t="str">
        <f aca="true">IF(I19="","",I19-TODAY())</f>
        <v/>
      </c>
      <c r="K19" s="66" t="str">
        <f aca="false">IF(OR(C19="",F19=""),"",IF(AND(C19="Exit Review",H19="N"),"NO CREDIBLE PLAN — SELL WITHIN 30 DAYS",IF(AND(C19="Probationary Hold",F19&gt;=65),"RECOVERED — REMOVE FROM WATCH LIST",IF(AND(C19="Exit Review",F19&gt;=50),"RECOVERED — MOVE TO PROBATIONARY HOLD",IF(J19&lt;0,"DEADLINE PASSED — SELL WITHIN 30 DAYS",IF(J19&lt;=14,"DEADLINE APPROACHING","ON TRACK"))))))</f>
        <v/>
      </c>
      <c r="L19" s="63"/>
    </row>
    <row r="20" customFormat="false" ht="15" hidden="false" customHeight="true" outlineLevel="0" collapsed="false">
      <c r="A20" s="63"/>
      <c r="B20" s="63"/>
      <c r="C20" s="63"/>
      <c r="D20" s="44"/>
      <c r="E20" s="63"/>
      <c r="F20" s="63"/>
      <c r="G20" s="44"/>
      <c r="H20" s="63"/>
      <c r="I20" s="49" t="str">
        <f aca="false">IF(D20="","",D20+90)</f>
        <v/>
      </c>
      <c r="J20" s="86" t="str">
        <f aca="true">IF(I20="","",I20-TODAY())</f>
        <v/>
      </c>
      <c r="K20" s="66" t="str">
        <f aca="false">IF(OR(C20="",F20=""),"",IF(AND(C20="Exit Review",H20="N"),"NO CREDIBLE PLAN — SELL WITHIN 30 DAYS",IF(AND(C20="Probationary Hold",F20&gt;=65),"RECOVERED — REMOVE FROM WATCH LIST",IF(AND(C20="Exit Review",F20&gt;=50),"RECOVERED — MOVE TO PROBATIONARY HOLD",IF(J20&lt;0,"DEADLINE PASSED — SELL WITHIN 30 DAYS",IF(J20&lt;=14,"DEADLINE APPROACHING","ON TRACK"))))))</f>
        <v/>
      </c>
      <c r="L20" s="63"/>
    </row>
    <row r="21" customFormat="false" ht="15" hidden="false" customHeight="true" outlineLevel="0" collapsed="false">
      <c r="A21" s="63"/>
      <c r="B21" s="63"/>
      <c r="C21" s="63"/>
      <c r="D21" s="44"/>
      <c r="E21" s="63"/>
      <c r="F21" s="63"/>
      <c r="G21" s="44"/>
      <c r="H21" s="63"/>
      <c r="I21" s="49" t="str">
        <f aca="false">IF(D21="","",D21+90)</f>
        <v/>
      </c>
      <c r="J21" s="86" t="str">
        <f aca="true">IF(I21="","",I21-TODAY())</f>
        <v/>
      </c>
      <c r="K21" s="66" t="str">
        <f aca="false">IF(OR(C21="",F21=""),"",IF(AND(C21="Exit Review",H21="N"),"NO CREDIBLE PLAN — SELL WITHIN 30 DAYS",IF(AND(C21="Probationary Hold",F21&gt;=65),"RECOVERED — REMOVE FROM WATCH LIST",IF(AND(C21="Exit Review",F21&gt;=50),"RECOVERED — MOVE TO PROBATIONARY HOLD",IF(J21&lt;0,"DEADLINE PASSED — SELL WITHIN 30 DAYS",IF(J21&lt;=14,"DEADLINE APPROACHING","ON TRACK"))))))</f>
        <v/>
      </c>
      <c r="L21" s="63"/>
    </row>
    <row r="22" customFormat="false" ht="15" hidden="false" customHeight="true" outlineLevel="0" collapsed="false">
      <c r="A22" s="63"/>
      <c r="B22" s="63"/>
      <c r="C22" s="63"/>
      <c r="D22" s="44"/>
      <c r="E22" s="63"/>
      <c r="F22" s="63"/>
      <c r="G22" s="44"/>
      <c r="H22" s="63"/>
      <c r="I22" s="49" t="str">
        <f aca="false">IF(D22="","",D22+90)</f>
        <v/>
      </c>
      <c r="J22" s="86" t="str">
        <f aca="true">IF(I22="","",I22-TODAY())</f>
        <v/>
      </c>
      <c r="K22" s="66" t="str">
        <f aca="false">IF(OR(C22="",F22=""),"",IF(AND(C22="Exit Review",H22="N"),"NO CREDIBLE PLAN — SELL WITHIN 30 DAYS",IF(AND(C22="Probationary Hold",F22&gt;=65),"RECOVERED — REMOVE FROM WATCH LIST",IF(AND(C22="Exit Review",F22&gt;=50),"RECOVERED — MOVE TO PROBATIONARY HOLD",IF(J22&lt;0,"DEADLINE PASSED — SELL WITHIN 30 DAYS",IF(J22&lt;=14,"DEADLINE APPROACHING","ON TRACK"))))))</f>
        <v/>
      </c>
      <c r="L22" s="63"/>
    </row>
  </sheetData>
  <mergeCells count="1">
    <mergeCell ref="A1:M1"/>
  </mergeCells>
  <conditionalFormatting sqref="K3:K22">
    <cfRule type="expression" priority="2" aboveAverage="0" equalAverage="0" bottom="0" percent="0" rank="0" text="" dxfId="20">
      <formula>ISNUMBER(SEARCH("RECOVERED",K3))</formula>
    </cfRule>
    <cfRule type="expression" priority="3" aboveAverage="0" equalAverage="0" bottom="0" percent="0" rank="0" text="" dxfId="20">
      <formula>ISNUMBER(SEARCH("ON TRACK",K3))</formula>
    </cfRule>
    <cfRule type="expression" priority="4" aboveAverage="0" equalAverage="0" bottom="0" percent="0" rank="0" text="" dxfId="1">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1" min="3" style="1" width="9.52"/>
  </cols>
  <sheetData>
    <row r="1" customFormat="false" ht="25.5" hidden="false" customHeight="true" outlineLevel="0" collapsed="false">
      <c r="A1" s="16" t="s">
        <v>354</v>
      </c>
      <c r="B1" s="16"/>
      <c r="C1" s="16"/>
      <c r="D1" s="16"/>
      <c r="E1" s="16"/>
      <c r="F1" s="16"/>
      <c r="G1" s="16"/>
      <c r="H1" s="16"/>
      <c r="I1" s="16"/>
      <c r="J1" s="16"/>
      <c r="K1" s="16"/>
      <c r="L1" s="16"/>
      <c r="M1" s="16"/>
      <c r="N1" s="16"/>
      <c r="O1" s="16"/>
      <c r="P1" s="16"/>
      <c r="Q1" s="16"/>
      <c r="R1" s="16"/>
      <c r="S1" s="16"/>
      <c r="T1" s="16"/>
    </row>
    <row r="2" customFormat="false" ht="15.75" hidden="false" customHeight="true" outlineLevel="0" collapsed="false">
      <c r="D2" s="54" t="s">
        <v>355</v>
      </c>
      <c r="E2" s="54"/>
      <c r="F2" s="54"/>
      <c r="G2" s="54"/>
      <c r="H2" s="54"/>
      <c r="I2" s="55" t="s">
        <v>356</v>
      </c>
      <c r="J2" s="55"/>
      <c r="K2" s="55"/>
      <c r="L2" s="55"/>
      <c r="M2" s="55"/>
      <c r="N2" s="87" t="s">
        <v>357</v>
      </c>
      <c r="O2" s="87"/>
      <c r="P2" s="87"/>
      <c r="Q2" s="87"/>
      <c r="R2" s="87"/>
      <c r="S2" s="56" t="s">
        <v>358</v>
      </c>
      <c r="T2" s="56"/>
      <c r="U2" s="56"/>
    </row>
    <row r="3" customFormat="false" ht="30" hidden="false" customHeight="true" outlineLevel="0" collapsed="false">
      <c r="A3" s="18" t="s">
        <v>74</v>
      </c>
      <c r="B3" s="18" t="s">
        <v>185</v>
      </c>
      <c r="C3" s="18" t="s">
        <v>359</v>
      </c>
      <c r="D3" s="18" t="s">
        <v>360</v>
      </c>
      <c r="E3" s="18" t="s">
        <v>361</v>
      </c>
      <c r="F3" s="18" t="s">
        <v>362</v>
      </c>
      <c r="G3" s="18" t="s">
        <v>363</v>
      </c>
      <c r="H3" s="18" t="s">
        <v>364</v>
      </c>
      <c r="I3" s="18" t="s">
        <v>360</v>
      </c>
      <c r="J3" s="18" t="s">
        <v>361</v>
      </c>
      <c r="K3" s="18" t="s">
        <v>362</v>
      </c>
      <c r="L3" s="18" t="s">
        <v>363</v>
      </c>
      <c r="M3" s="18" t="s">
        <v>364</v>
      </c>
      <c r="N3" s="18" t="s">
        <v>360</v>
      </c>
      <c r="O3" s="18" t="s">
        <v>361</v>
      </c>
      <c r="P3" s="18" t="s">
        <v>362</v>
      </c>
      <c r="Q3" s="18" t="s">
        <v>363</v>
      </c>
      <c r="R3" s="18" t="s">
        <v>364</v>
      </c>
      <c r="S3" s="18" t="s">
        <v>365</v>
      </c>
      <c r="T3" s="18" t="s">
        <v>366</v>
      </c>
      <c r="U3" s="18" t="s">
        <v>367</v>
      </c>
    </row>
    <row r="4" customFormat="false" ht="15" hidden="false" customHeight="true" outlineLevel="0" collapsed="false">
      <c r="A4" s="22"/>
      <c r="B4" s="22"/>
      <c r="C4" s="38"/>
      <c r="D4" s="38"/>
      <c r="E4" s="62"/>
      <c r="F4" s="38"/>
      <c r="G4" s="39" t="str">
        <f aca="false">IF(OR(C4="",D4="",E4="",F4=""),"",IFERROR(((D4*E4+F4)/C4)^(1/5)-1,"n/a"))</f>
        <v/>
      </c>
      <c r="H4" s="22"/>
      <c r="I4" s="38"/>
      <c r="J4" s="62"/>
      <c r="K4" s="38"/>
      <c r="L4" s="39" t="str">
        <f aca="false">IF(OR(C4="",I4="",J4="",K4=""),"",IFERROR(((I4*J4+K4)/C4)^(1/5)-1,"n/a"))</f>
        <v/>
      </c>
      <c r="M4" s="22"/>
      <c r="N4" s="38"/>
      <c r="O4" s="62"/>
      <c r="P4" s="38"/>
      <c r="Q4" s="39" t="str">
        <f aca="false">IF(OR(C4="",N4="",O4="",P4=""),"",IFERROR(((N4*O4+P4)/C4)^(1/5)-1,"n/a"))</f>
        <v/>
      </c>
      <c r="R4" s="22"/>
      <c r="S4" s="42" t="str">
        <f aca="false">IF(G4="","",IF(G4&gt;0.1,"PASS","FAIL"))</f>
        <v/>
      </c>
      <c r="T4" s="42" t="str">
        <f aca="false">IF(L4="","",IF(L4&gt;=0,"PASS","FAIL"))</f>
        <v/>
      </c>
      <c r="U4" s="42" t="str">
        <f aca="false">IF(COUNTA(H4,M4,R4)=0,"",IF((COUNTIF(H4,"Likely")+COUNTIF(M4,"Likely")+COUNTIF(R4,"Likely"))=1,"OK","CHECK TAGS"))</f>
        <v/>
      </c>
    </row>
    <row r="5" customFormat="false" ht="15" hidden="false" customHeight="true" outlineLevel="0" collapsed="false">
      <c r="A5" s="22"/>
      <c r="B5" s="22"/>
      <c r="C5" s="38"/>
      <c r="D5" s="38"/>
      <c r="E5" s="62"/>
      <c r="F5" s="38"/>
      <c r="G5" s="39" t="str">
        <f aca="false">IF(OR(C5="",D5="",E5="",F5=""),"",IFERROR(((D5*E5+F5)/C5)^(1/5)-1,"n/a"))</f>
        <v/>
      </c>
      <c r="H5" s="22"/>
      <c r="I5" s="38"/>
      <c r="J5" s="62"/>
      <c r="K5" s="38"/>
      <c r="L5" s="39" t="str">
        <f aca="false">IF(OR(C5="",I5="",J5="",K5=""),"",IFERROR(((I5*J5+K5)/C5)^(1/5)-1,"n/a"))</f>
        <v/>
      </c>
      <c r="M5" s="22"/>
      <c r="N5" s="38"/>
      <c r="O5" s="62"/>
      <c r="P5" s="38"/>
      <c r="Q5" s="39" t="str">
        <f aca="false">IF(OR(C5="",N5="",O5="",P5=""),"",IFERROR(((N5*O5+P5)/C5)^(1/5)-1,"n/a"))</f>
        <v/>
      </c>
      <c r="R5" s="22"/>
      <c r="S5" s="42" t="str">
        <f aca="false">IF(G5="","",IF(G5&gt;0.1,"PASS","FAIL"))</f>
        <v/>
      </c>
      <c r="T5" s="42" t="str">
        <f aca="false">IF(L5="","",IF(L5&gt;=0,"PASS","FAIL"))</f>
        <v/>
      </c>
      <c r="U5" s="42" t="str">
        <f aca="false">IF(COUNTA(H5,M5,R5)=0,"",IF((COUNTIF(H5,"Likely")+COUNTIF(M5,"Likely")+COUNTIF(R5,"Likely"))=1,"OK","CHECK TAGS"))</f>
        <v/>
      </c>
    </row>
    <row r="6" customFormat="false" ht="15" hidden="false" customHeight="true" outlineLevel="0" collapsed="false">
      <c r="A6" s="22"/>
      <c r="B6" s="22"/>
      <c r="C6" s="38"/>
      <c r="D6" s="38"/>
      <c r="E6" s="62"/>
      <c r="F6" s="38"/>
      <c r="G6" s="39" t="str">
        <f aca="false">IF(OR(C6="",D6="",E6="",F6=""),"",IFERROR(((D6*E6+F6)/C6)^(1/5)-1,"n/a"))</f>
        <v/>
      </c>
      <c r="H6" s="22"/>
      <c r="I6" s="38"/>
      <c r="J6" s="62"/>
      <c r="K6" s="38"/>
      <c r="L6" s="39" t="str">
        <f aca="false">IF(OR(C6="",I6="",J6="",K6=""),"",IFERROR(((I6*J6+K6)/C6)^(1/5)-1,"n/a"))</f>
        <v/>
      </c>
      <c r="M6" s="22"/>
      <c r="N6" s="38"/>
      <c r="O6" s="62"/>
      <c r="P6" s="38"/>
      <c r="Q6" s="39" t="str">
        <f aca="false">IF(OR(C6="",N6="",O6="",P6=""),"",IFERROR(((N6*O6+P6)/C6)^(1/5)-1,"n/a"))</f>
        <v/>
      </c>
      <c r="R6" s="22"/>
      <c r="S6" s="42" t="str">
        <f aca="false">IF(G6="","",IF(G6&gt;0.1,"PASS","FAIL"))</f>
        <v/>
      </c>
      <c r="T6" s="42" t="str">
        <f aca="false">IF(L6="","",IF(L6&gt;=0,"PASS","FAIL"))</f>
        <v/>
      </c>
      <c r="U6" s="42" t="str">
        <f aca="false">IF(COUNTA(H6,M6,R6)=0,"",IF((COUNTIF(H6,"Likely")+COUNTIF(M6,"Likely")+COUNTIF(R6,"Likely"))=1,"OK","CHECK TAGS"))</f>
        <v/>
      </c>
    </row>
    <row r="7" customFormat="false" ht="15" hidden="false" customHeight="true" outlineLevel="0" collapsed="false">
      <c r="A7" s="22"/>
      <c r="B7" s="22"/>
      <c r="C7" s="38"/>
      <c r="D7" s="38"/>
      <c r="E7" s="62"/>
      <c r="F7" s="38"/>
      <c r="G7" s="39" t="str">
        <f aca="false">IF(OR(C7="",D7="",E7="",F7=""),"",IFERROR(((D7*E7+F7)/C7)^(1/5)-1,"n/a"))</f>
        <v/>
      </c>
      <c r="H7" s="22"/>
      <c r="I7" s="38"/>
      <c r="J7" s="62"/>
      <c r="K7" s="38"/>
      <c r="L7" s="39" t="str">
        <f aca="false">IF(OR(C7="",I7="",J7="",K7=""),"",IFERROR(((I7*J7+K7)/C7)^(1/5)-1,"n/a"))</f>
        <v/>
      </c>
      <c r="M7" s="22"/>
      <c r="N7" s="38"/>
      <c r="O7" s="62"/>
      <c r="P7" s="38"/>
      <c r="Q7" s="39" t="str">
        <f aca="false">IF(OR(C7="",N7="",O7="",P7=""),"",IFERROR(((N7*O7+P7)/C7)^(1/5)-1,"n/a"))</f>
        <v/>
      </c>
      <c r="R7" s="22"/>
      <c r="S7" s="42" t="str">
        <f aca="false">IF(G7="","",IF(G7&gt;0.1,"PASS","FAIL"))</f>
        <v/>
      </c>
      <c r="T7" s="42" t="str">
        <f aca="false">IF(L7="","",IF(L7&gt;=0,"PASS","FAIL"))</f>
        <v/>
      </c>
      <c r="U7" s="42" t="str">
        <f aca="false">IF(COUNTA(H7,M7,R7)=0,"",IF((COUNTIF(H7,"Likely")+COUNTIF(M7,"Likely")+COUNTIF(R7,"Likely"))=1,"OK","CHECK TAGS"))</f>
        <v/>
      </c>
    </row>
    <row r="8" customFormat="false" ht="15" hidden="false" customHeight="true" outlineLevel="0" collapsed="false">
      <c r="A8" s="22"/>
      <c r="B8" s="22"/>
      <c r="C8" s="38"/>
      <c r="D8" s="38"/>
      <c r="E8" s="62"/>
      <c r="F8" s="38"/>
      <c r="G8" s="39" t="str">
        <f aca="false">IF(OR(C8="",D8="",E8="",F8=""),"",IFERROR(((D8*E8+F8)/C8)^(1/5)-1,"n/a"))</f>
        <v/>
      </c>
      <c r="H8" s="22"/>
      <c r="I8" s="38"/>
      <c r="J8" s="62"/>
      <c r="K8" s="38"/>
      <c r="L8" s="39" t="str">
        <f aca="false">IF(OR(C8="",I8="",J8="",K8=""),"",IFERROR(((I8*J8+K8)/C8)^(1/5)-1,"n/a"))</f>
        <v/>
      </c>
      <c r="M8" s="22"/>
      <c r="N8" s="38"/>
      <c r="O8" s="62"/>
      <c r="P8" s="38"/>
      <c r="Q8" s="39" t="str">
        <f aca="false">IF(OR(C8="",N8="",O8="",P8=""),"",IFERROR(((N8*O8+P8)/C8)^(1/5)-1,"n/a"))</f>
        <v/>
      </c>
      <c r="R8" s="22"/>
      <c r="S8" s="42" t="str">
        <f aca="false">IF(G8="","",IF(G8&gt;0.1,"PASS","FAIL"))</f>
        <v/>
      </c>
      <c r="T8" s="42" t="str">
        <f aca="false">IF(L8="","",IF(L8&gt;=0,"PASS","FAIL"))</f>
        <v/>
      </c>
      <c r="U8" s="42" t="str">
        <f aca="false">IF(COUNTA(H8,M8,R8)=0,"",IF((COUNTIF(H8,"Likely")+COUNTIF(M8,"Likely")+COUNTIF(R8,"Likely"))=1,"OK","CHECK TAGS"))</f>
        <v/>
      </c>
    </row>
    <row r="9" customFormat="false" ht="15" hidden="false" customHeight="true" outlineLevel="0" collapsed="false">
      <c r="A9" s="22"/>
      <c r="B9" s="22"/>
      <c r="C9" s="38"/>
      <c r="D9" s="38"/>
      <c r="E9" s="62"/>
      <c r="F9" s="38"/>
      <c r="G9" s="39" t="str">
        <f aca="false">IF(OR(C9="",D9="",E9="",F9=""),"",IFERROR(((D9*E9+F9)/C9)^(1/5)-1,"n/a"))</f>
        <v/>
      </c>
      <c r="H9" s="22"/>
      <c r="I9" s="38"/>
      <c r="J9" s="62"/>
      <c r="K9" s="38"/>
      <c r="L9" s="39" t="str">
        <f aca="false">IF(OR(C9="",I9="",J9="",K9=""),"",IFERROR(((I9*J9+K9)/C9)^(1/5)-1,"n/a"))</f>
        <v/>
      </c>
      <c r="M9" s="22"/>
      <c r="N9" s="38"/>
      <c r="O9" s="62"/>
      <c r="P9" s="38"/>
      <c r="Q9" s="39" t="str">
        <f aca="false">IF(OR(C9="",N9="",O9="",P9=""),"",IFERROR(((N9*O9+P9)/C9)^(1/5)-1,"n/a"))</f>
        <v/>
      </c>
      <c r="R9" s="22"/>
      <c r="S9" s="42" t="str">
        <f aca="false">IF(G9="","",IF(G9&gt;0.1,"PASS","FAIL"))</f>
        <v/>
      </c>
      <c r="T9" s="42" t="str">
        <f aca="false">IF(L9="","",IF(L9&gt;=0,"PASS","FAIL"))</f>
        <v/>
      </c>
      <c r="U9" s="42" t="str">
        <f aca="false">IF(COUNTA(H9,M9,R9)=0,"",IF((COUNTIF(H9,"Likely")+COUNTIF(M9,"Likely")+COUNTIF(R9,"Likely"))=1,"OK","CHECK TAGS"))</f>
        <v/>
      </c>
    </row>
    <row r="10" customFormat="false" ht="15" hidden="false" customHeight="true" outlineLevel="0" collapsed="false">
      <c r="A10" s="22"/>
      <c r="B10" s="22"/>
      <c r="C10" s="38"/>
      <c r="D10" s="38"/>
      <c r="E10" s="62"/>
      <c r="F10" s="38"/>
      <c r="G10" s="39" t="str">
        <f aca="false">IF(OR(C10="",D10="",E10="",F10=""),"",IFERROR(((D10*E10+F10)/C10)^(1/5)-1,"n/a"))</f>
        <v/>
      </c>
      <c r="H10" s="22"/>
      <c r="I10" s="38"/>
      <c r="J10" s="62"/>
      <c r="K10" s="38"/>
      <c r="L10" s="39" t="str">
        <f aca="false">IF(OR(C10="",I10="",J10="",K10=""),"",IFERROR(((I10*J10+K10)/C10)^(1/5)-1,"n/a"))</f>
        <v/>
      </c>
      <c r="M10" s="22"/>
      <c r="N10" s="38"/>
      <c r="O10" s="62"/>
      <c r="P10" s="38"/>
      <c r="Q10" s="39" t="str">
        <f aca="false">IF(OR(C10="",N10="",O10="",P10=""),"",IFERROR(((N10*O10+P10)/C10)^(1/5)-1,"n/a"))</f>
        <v/>
      </c>
      <c r="R10" s="22"/>
      <c r="S10" s="42" t="str">
        <f aca="false">IF(G10="","",IF(G10&gt;0.1,"PASS","FAIL"))</f>
        <v/>
      </c>
      <c r="T10" s="42" t="str">
        <f aca="false">IF(L10="","",IF(L10&gt;=0,"PASS","FAIL"))</f>
        <v/>
      </c>
      <c r="U10" s="42" t="str">
        <f aca="false">IF(COUNTA(H10,M10,R10)=0,"",IF((COUNTIF(H10,"Likely")+COUNTIF(M10,"Likely")+COUNTIF(R10,"Likely"))=1,"OK","CHECK TAGS"))</f>
        <v/>
      </c>
    </row>
    <row r="11" customFormat="false" ht="15" hidden="false" customHeight="true" outlineLevel="0" collapsed="false">
      <c r="A11" s="22"/>
      <c r="B11" s="22"/>
      <c r="C11" s="38"/>
      <c r="D11" s="38"/>
      <c r="E11" s="62"/>
      <c r="F11" s="38"/>
      <c r="G11" s="39" t="str">
        <f aca="false">IF(OR(C11="",D11="",E11="",F11=""),"",IFERROR(((D11*E11+F11)/C11)^(1/5)-1,"n/a"))</f>
        <v/>
      </c>
      <c r="H11" s="22"/>
      <c r="I11" s="38"/>
      <c r="J11" s="62"/>
      <c r="K11" s="38"/>
      <c r="L11" s="39" t="str">
        <f aca="false">IF(OR(C11="",I11="",J11="",K11=""),"",IFERROR(((I11*J11+K11)/C11)^(1/5)-1,"n/a"))</f>
        <v/>
      </c>
      <c r="M11" s="22"/>
      <c r="N11" s="38"/>
      <c r="O11" s="62"/>
      <c r="P11" s="38"/>
      <c r="Q11" s="39" t="str">
        <f aca="false">IF(OR(C11="",N11="",O11="",P11=""),"",IFERROR(((N11*O11+P11)/C11)^(1/5)-1,"n/a"))</f>
        <v/>
      </c>
      <c r="R11" s="22"/>
      <c r="S11" s="42" t="str">
        <f aca="false">IF(G11="","",IF(G11&gt;0.1,"PASS","FAIL"))</f>
        <v/>
      </c>
      <c r="T11" s="42" t="str">
        <f aca="false">IF(L11="","",IF(L11&gt;=0,"PASS","FAIL"))</f>
        <v/>
      </c>
      <c r="U11" s="42" t="str">
        <f aca="false">IF(COUNTA(H11,M11,R11)=0,"",IF((COUNTIF(H11,"Likely")+COUNTIF(M11,"Likely")+COUNTIF(R11,"Likely"))=1,"OK","CHECK TAGS"))</f>
        <v/>
      </c>
    </row>
    <row r="12" customFormat="false" ht="15" hidden="false" customHeight="true" outlineLevel="0" collapsed="false">
      <c r="A12" s="22"/>
      <c r="B12" s="22"/>
      <c r="C12" s="38"/>
      <c r="D12" s="38"/>
      <c r="E12" s="62"/>
      <c r="F12" s="38"/>
      <c r="G12" s="39" t="str">
        <f aca="false">IF(OR(C12="",D12="",E12="",F12=""),"",IFERROR(((D12*E12+F12)/C12)^(1/5)-1,"n/a"))</f>
        <v/>
      </c>
      <c r="H12" s="22"/>
      <c r="I12" s="38"/>
      <c r="J12" s="62"/>
      <c r="K12" s="38"/>
      <c r="L12" s="39" t="str">
        <f aca="false">IF(OR(C12="",I12="",J12="",K12=""),"",IFERROR(((I12*J12+K12)/C12)^(1/5)-1,"n/a"))</f>
        <v/>
      </c>
      <c r="M12" s="22"/>
      <c r="N12" s="38"/>
      <c r="O12" s="62"/>
      <c r="P12" s="38"/>
      <c r="Q12" s="39" t="str">
        <f aca="false">IF(OR(C12="",N12="",O12="",P12=""),"",IFERROR(((N12*O12+P12)/C12)^(1/5)-1,"n/a"))</f>
        <v/>
      </c>
      <c r="R12" s="22"/>
      <c r="S12" s="42" t="str">
        <f aca="false">IF(G12="","",IF(G12&gt;0.1,"PASS","FAIL"))</f>
        <v/>
      </c>
      <c r="T12" s="42" t="str">
        <f aca="false">IF(L12="","",IF(L12&gt;=0,"PASS","FAIL"))</f>
        <v/>
      </c>
      <c r="U12" s="42" t="str">
        <f aca="false">IF(COUNTA(H12,M12,R12)=0,"",IF((COUNTIF(H12,"Likely")+COUNTIF(M12,"Likely")+COUNTIF(R12,"Likely"))=1,"OK","CHECK TAGS"))</f>
        <v/>
      </c>
    </row>
    <row r="13" customFormat="false" ht="15" hidden="false" customHeight="true" outlineLevel="0" collapsed="false">
      <c r="A13" s="22"/>
      <c r="B13" s="22"/>
      <c r="C13" s="38"/>
      <c r="D13" s="38"/>
      <c r="E13" s="62"/>
      <c r="F13" s="38"/>
      <c r="G13" s="39" t="str">
        <f aca="false">IF(OR(C13="",D13="",E13="",F13=""),"",IFERROR(((D13*E13+F13)/C13)^(1/5)-1,"n/a"))</f>
        <v/>
      </c>
      <c r="H13" s="22"/>
      <c r="I13" s="38"/>
      <c r="J13" s="62"/>
      <c r="K13" s="38"/>
      <c r="L13" s="39" t="str">
        <f aca="false">IF(OR(C13="",I13="",J13="",K13=""),"",IFERROR(((I13*J13+K13)/C13)^(1/5)-1,"n/a"))</f>
        <v/>
      </c>
      <c r="M13" s="22"/>
      <c r="N13" s="38"/>
      <c r="O13" s="62"/>
      <c r="P13" s="38"/>
      <c r="Q13" s="39" t="str">
        <f aca="false">IF(OR(C13="",N13="",O13="",P13=""),"",IFERROR(((N13*O13+P13)/C13)^(1/5)-1,"n/a"))</f>
        <v/>
      </c>
      <c r="R13" s="22"/>
      <c r="S13" s="42" t="str">
        <f aca="false">IF(G13="","",IF(G13&gt;0.1,"PASS","FAIL"))</f>
        <v/>
      </c>
      <c r="T13" s="42" t="str">
        <f aca="false">IF(L13="","",IF(L13&gt;=0,"PASS","FAIL"))</f>
        <v/>
      </c>
      <c r="U13" s="42" t="str">
        <f aca="false">IF(COUNTA(H13,M13,R13)=0,"",IF((COUNTIF(H13,"Likely")+COUNTIF(M13,"Likely")+COUNTIF(R13,"Likely"))=1,"OK","CHECK TAGS"))</f>
        <v/>
      </c>
    </row>
    <row r="14" customFormat="false" ht="15" hidden="false" customHeight="true" outlineLevel="0" collapsed="false">
      <c r="A14" s="22"/>
      <c r="B14" s="22"/>
      <c r="C14" s="38"/>
      <c r="D14" s="38"/>
      <c r="E14" s="62"/>
      <c r="F14" s="38"/>
      <c r="G14" s="39" t="str">
        <f aca="false">IF(OR(C14="",D14="",E14="",F14=""),"",IFERROR(((D14*E14+F14)/C14)^(1/5)-1,"n/a"))</f>
        <v/>
      </c>
      <c r="H14" s="22"/>
      <c r="I14" s="38"/>
      <c r="J14" s="62"/>
      <c r="K14" s="38"/>
      <c r="L14" s="39" t="str">
        <f aca="false">IF(OR(C14="",I14="",J14="",K14=""),"",IFERROR(((I14*J14+K14)/C14)^(1/5)-1,"n/a"))</f>
        <v/>
      </c>
      <c r="M14" s="22"/>
      <c r="N14" s="38"/>
      <c r="O14" s="62"/>
      <c r="P14" s="38"/>
      <c r="Q14" s="39" t="str">
        <f aca="false">IF(OR(C14="",N14="",O14="",P14=""),"",IFERROR(((N14*O14+P14)/C14)^(1/5)-1,"n/a"))</f>
        <v/>
      </c>
      <c r="R14" s="22"/>
      <c r="S14" s="42" t="str">
        <f aca="false">IF(G14="","",IF(G14&gt;0.1,"PASS","FAIL"))</f>
        <v/>
      </c>
      <c r="T14" s="42" t="str">
        <f aca="false">IF(L14="","",IF(L14&gt;=0,"PASS","FAIL"))</f>
        <v/>
      </c>
      <c r="U14" s="42" t="str">
        <f aca="false">IF(COUNTA(H14,M14,R14)=0,"",IF((COUNTIF(H14,"Likely")+COUNTIF(M14,"Likely")+COUNTIF(R14,"Likely"))=1,"OK","CHECK TAGS"))</f>
        <v/>
      </c>
    </row>
    <row r="15" customFormat="false" ht="15" hidden="false" customHeight="true" outlineLevel="0" collapsed="false">
      <c r="A15" s="22"/>
      <c r="B15" s="22"/>
      <c r="C15" s="38"/>
      <c r="D15" s="38"/>
      <c r="E15" s="62"/>
      <c r="F15" s="38"/>
      <c r="G15" s="39" t="str">
        <f aca="false">IF(OR(C15="",D15="",E15="",F15=""),"",IFERROR(((D15*E15+F15)/C15)^(1/5)-1,"n/a"))</f>
        <v/>
      </c>
      <c r="H15" s="22"/>
      <c r="I15" s="38"/>
      <c r="J15" s="62"/>
      <c r="K15" s="38"/>
      <c r="L15" s="39" t="str">
        <f aca="false">IF(OR(C15="",I15="",J15="",K15=""),"",IFERROR(((I15*J15+K15)/C15)^(1/5)-1,"n/a"))</f>
        <v/>
      </c>
      <c r="M15" s="22"/>
      <c r="N15" s="38"/>
      <c r="O15" s="62"/>
      <c r="P15" s="38"/>
      <c r="Q15" s="39" t="str">
        <f aca="false">IF(OR(C15="",N15="",O15="",P15=""),"",IFERROR(((N15*O15+P15)/C15)^(1/5)-1,"n/a"))</f>
        <v/>
      </c>
      <c r="R15" s="22"/>
      <c r="S15" s="42" t="str">
        <f aca="false">IF(G15="","",IF(G15&gt;0.1,"PASS","FAIL"))</f>
        <v/>
      </c>
      <c r="T15" s="42" t="str">
        <f aca="false">IF(L15="","",IF(L15&gt;=0,"PASS","FAIL"))</f>
        <v/>
      </c>
      <c r="U15" s="42" t="str">
        <f aca="false">IF(COUNTA(H15,M15,R15)=0,"",IF((COUNTIF(H15,"Likely")+COUNTIF(M15,"Likely")+COUNTIF(R15,"Likely"))=1,"OK","CHECK TAGS"))</f>
        <v/>
      </c>
    </row>
    <row r="16" customFormat="false" ht="15" hidden="false" customHeight="true" outlineLevel="0" collapsed="false">
      <c r="A16" s="22"/>
      <c r="B16" s="22"/>
      <c r="C16" s="38"/>
      <c r="D16" s="38"/>
      <c r="E16" s="62"/>
      <c r="F16" s="38"/>
      <c r="G16" s="39" t="str">
        <f aca="false">IF(OR(C16="",D16="",E16="",F16=""),"",IFERROR(((D16*E16+F16)/C16)^(1/5)-1,"n/a"))</f>
        <v/>
      </c>
      <c r="H16" s="22"/>
      <c r="I16" s="38"/>
      <c r="J16" s="62"/>
      <c r="K16" s="38"/>
      <c r="L16" s="39" t="str">
        <f aca="false">IF(OR(C16="",I16="",J16="",K16=""),"",IFERROR(((I16*J16+K16)/C16)^(1/5)-1,"n/a"))</f>
        <v/>
      </c>
      <c r="M16" s="22"/>
      <c r="N16" s="38"/>
      <c r="O16" s="62"/>
      <c r="P16" s="38"/>
      <c r="Q16" s="39" t="str">
        <f aca="false">IF(OR(C16="",N16="",O16="",P16=""),"",IFERROR(((N16*O16+P16)/C16)^(1/5)-1,"n/a"))</f>
        <v/>
      </c>
      <c r="R16" s="22"/>
      <c r="S16" s="42" t="str">
        <f aca="false">IF(G16="","",IF(G16&gt;0.1,"PASS","FAIL"))</f>
        <v/>
      </c>
      <c r="T16" s="42" t="str">
        <f aca="false">IF(L16="","",IF(L16&gt;=0,"PASS","FAIL"))</f>
        <v/>
      </c>
      <c r="U16" s="42" t="str">
        <f aca="false">IF(COUNTA(H16,M16,R16)=0,"",IF((COUNTIF(H16,"Likely")+COUNTIF(M16,"Likely")+COUNTIF(R16,"Likely"))=1,"OK","CHECK TAGS"))</f>
        <v/>
      </c>
    </row>
    <row r="17" customFormat="false" ht="15" hidden="false" customHeight="true" outlineLevel="0" collapsed="false">
      <c r="A17" s="22"/>
      <c r="B17" s="22"/>
      <c r="C17" s="38"/>
      <c r="D17" s="38"/>
      <c r="E17" s="62"/>
      <c r="F17" s="38"/>
      <c r="G17" s="39" t="str">
        <f aca="false">IF(OR(C17="",D17="",E17="",F17=""),"",IFERROR(((D17*E17+F17)/C17)^(1/5)-1,"n/a"))</f>
        <v/>
      </c>
      <c r="H17" s="22"/>
      <c r="I17" s="38"/>
      <c r="J17" s="62"/>
      <c r="K17" s="38"/>
      <c r="L17" s="39" t="str">
        <f aca="false">IF(OR(C17="",I17="",J17="",K17=""),"",IFERROR(((I17*J17+K17)/C17)^(1/5)-1,"n/a"))</f>
        <v/>
      </c>
      <c r="M17" s="22"/>
      <c r="N17" s="38"/>
      <c r="O17" s="62"/>
      <c r="P17" s="38"/>
      <c r="Q17" s="39" t="str">
        <f aca="false">IF(OR(C17="",N17="",O17="",P17=""),"",IFERROR(((N17*O17+P17)/C17)^(1/5)-1,"n/a"))</f>
        <v/>
      </c>
      <c r="R17" s="22"/>
      <c r="S17" s="42" t="str">
        <f aca="false">IF(G17="","",IF(G17&gt;0.1,"PASS","FAIL"))</f>
        <v/>
      </c>
      <c r="T17" s="42" t="str">
        <f aca="false">IF(L17="","",IF(L17&gt;=0,"PASS","FAIL"))</f>
        <v/>
      </c>
      <c r="U17" s="42" t="str">
        <f aca="false">IF(COUNTA(H17,M17,R17)=0,"",IF((COUNTIF(H17,"Likely")+COUNTIF(M17,"Likely")+COUNTIF(R17,"Likely"))=1,"OK","CHECK TAGS"))</f>
        <v/>
      </c>
    </row>
    <row r="18" customFormat="false" ht="15" hidden="false" customHeight="true" outlineLevel="0" collapsed="false">
      <c r="A18" s="22"/>
      <c r="B18" s="22"/>
      <c r="C18" s="38"/>
      <c r="D18" s="38"/>
      <c r="E18" s="62"/>
      <c r="F18" s="38"/>
      <c r="G18" s="39" t="str">
        <f aca="false">IF(OR(C18="",D18="",E18="",F18=""),"",IFERROR(((D18*E18+F18)/C18)^(1/5)-1,"n/a"))</f>
        <v/>
      </c>
      <c r="H18" s="22"/>
      <c r="I18" s="38"/>
      <c r="J18" s="62"/>
      <c r="K18" s="38"/>
      <c r="L18" s="39" t="str">
        <f aca="false">IF(OR(C18="",I18="",J18="",K18=""),"",IFERROR(((I18*J18+K18)/C18)^(1/5)-1,"n/a"))</f>
        <v/>
      </c>
      <c r="M18" s="22"/>
      <c r="N18" s="38"/>
      <c r="O18" s="62"/>
      <c r="P18" s="38"/>
      <c r="Q18" s="39" t="str">
        <f aca="false">IF(OR(C18="",N18="",O18="",P18=""),"",IFERROR(((N18*O18+P18)/C18)^(1/5)-1,"n/a"))</f>
        <v/>
      </c>
      <c r="R18" s="22"/>
      <c r="S18" s="42" t="str">
        <f aca="false">IF(G18="","",IF(G18&gt;0.1,"PASS","FAIL"))</f>
        <v/>
      </c>
      <c r="T18" s="42" t="str">
        <f aca="false">IF(L18="","",IF(L18&gt;=0,"PASS","FAIL"))</f>
        <v/>
      </c>
      <c r="U18" s="42" t="str">
        <f aca="false">IF(COUNTA(H18,M18,R18)=0,"",IF((COUNTIF(H18,"Likely")+COUNTIF(M18,"Likely")+COUNTIF(R18,"Likely"))=1,"OK","CHECK TAGS"))</f>
        <v/>
      </c>
    </row>
    <row r="19" customFormat="false" ht="15" hidden="false" customHeight="true" outlineLevel="0" collapsed="false">
      <c r="A19" s="22"/>
      <c r="B19" s="22"/>
      <c r="C19" s="38"/>
      <c r="D19" s="38"/>
      <c r="E19" s="62"/>
      <c r="F19" s="38"/>
      <c r="G19" s="39" t="str">
        <f aca="false">IF(OR(C19="",D19="",E19="",F19=""),"",IFERROR(((D19*E19+F19)/C19)^(1/5)-1,"n/a"))</f>
        <v/>
      </c>
      <c r="H19" s="22"/>
      <c r="I19" s="38"/>
      <c r="J19" s="62"/>
      <c r="K19" s="38"/>
      <c r="L19" s="39" t="str">
        <f aca="false">IF(OR(C19="",I19="",J19="",K19=""),"",IFERROR(((I19*J19+K19)/C19)^(1/5)-1,"n/a"))</f>
        <v/>
      </c>
      <c r="M19" s="22"/>
      <c r="N19" s="38"/>
      <c r="O19" s="62"/>
      <c r="P19" s="38"/>
      <c r="Q19" s="39" t="str">
        <f aca="false">IF(OR(C19="",N19="",O19="",P19=""),"",IFERROR(((N19*O19+P19)/C19)^(1/5)-1,"n/a"))</f>
        <v/>
      </c>
      <c r="R19" s="22"/>
      <c r="S19" s="42" t="str">
        <f aca="false">IF(G19="","",IF(G19&gt;0.1,"PASS","FAIL"))</f>
        <v/>
      </c>
      <c r="T19" s="42" t="str">
        <f aca="false">IF(L19="","",IF(L19&gt;=0,"PASS","FAIL"))</f>
        <v/>
      </c>
      <c r="U19" s="42" t="str">
        <f aca="false">IF(COUNTA(H19,M19,R19)=0,"",IF((COUNTIF(H19,"Likely")+COUNTIF(M19,"Likely")+COUNTIF(R19,"Likely"))=1,"OK","CHECK TAGS"))</f>
        <v/>
      </c>
    </row>
    <row r="20" customFormat="false" ht="15" hidden="false" customHeight="true" outlineLevel="0" collapsed="false">
      <c r="A20" s="22"/>
      <c r="B20" s="22"/>
      <c r="C20" s="38"/>
      <c r="D20" s="38"/>
      <c r="E20" s="62"/>
      <c r="F20" s="38"/>
      <c r="G20" s="39" t="str">
        <f aca="false">IF(OR(C20="",D20="",E20="",F20=""),"",IFERROR(((D20*E20+F20)/C20)^(1/5)-1,"n/a"))</f>
        <v/>
      </c>
      <c r="H20" s="22"/>
      <c r="I20" s="38"/>
      <c r="J20" s="62"/>
      <c r="K20" s="38"/>
      <c r="L20" s="39" t="str">
        <f aca="false">IF(OR(C20="",I20="",J20="",K20=""),"",IFERROR(((I20*J20+K20)/C20)^(1/5)-1,"n/a"))</f>
        <v/>
      </c>
      <c r="M20" s="22"/>
      <c r="N20" s="38"/>
      <c r="O20" s="62"/>
      <c r="P20" s="38"/>
      <c r="Q20" s="39" t="str">
        <f aca="false">IF(OR(C20="",N20="",O20="",P20=""),"",IFERROR(((N20*O20+P20)/C20)^(1/5)-1,"n/a"))</f>
        <v/>
      </c>
      <c r="R20" s="22"/>
      <c r="S20" s="42" t="str">
        <f aca="false">IF(G20="","",IF(G20&gt;0.1,"PASS","FAIL"))</f>
        <v/>
      </c>
      <c r="T20" s="42" t="str">
        <f aca="false">IF(L20="","",IF(L20&gt;=0,"PASS","FAIL"))</f>
        <v/>
      </c>
      <c r="U20" s="42" t="str">
        <f aca="false">IF(COUNTA(H20,M20,R20)=0,"",IF((COUNTIF(H20,"Likely")+COUNTIF(M20,"Likely")+COUNTIF(R20,"Likely"))=1,"OK","CHECK TAGS"))</f>
        <v/>
      </c>
    </row>
    <row r="21" customFormat="false" ht="15" hidden="false" customHeight="true" outlineLevel="0" collapsed="false">
      <c r="A21" s="22"/>
      <c r="B21" s="22"/>
      <c r="C21" s="38"/>
      <c r="D21" s="38"/>
      <c r="E21" s="62"/>
      <c r="F21" s="38"/>
      <c r="G21" s="39" t="str">
        <f aca="false">IF(OR(C21="",D21="",E21="",F21=""),"",IFERROR(((D21*E21+F21)/C21)^(1/5)-1,"n/a"))</f>
        <v/>
      </c>
      <c r="H21" s="22"/>
      <c r="I21" s="38"/>
      <c r="J21" s="62"/>
      <c r="K21" s="38"/>
      <c r="L21" s="39" t="str">
        <f aca="false">IF(OR(C21="",I21="",J21="",K21=""),"",IFERROR(((I21*J21+K21)/C21)^(1/5)-1,"n/a"))</f>
        <v/>
      </c>
      <c r="M21" s="22"/>
      <c r="N21" s="38"/>
      <c r="O21" s="62"/>
      <c r="P21" s="38"/>
      <c r="Q21" s="39" t="str">
        <f aca="false">IF(OR(C21="",N21="",O21="",P21=""),"",IFERROR(((N21*O21+P21)/C21)^(1/5)-1,"n/a"))</f>
        <v/>
      </c>
      <c r="R21" s="22"/>
      <c r="S21" s="42" t="str">
        <f aca="false">IF(G21="","",IF(G21&gt;0.1,"PASS","FAIL"))</f>
        <v/>
      </c>
      <c r="T21" s="42" t="str">
        <f aca="false">IF(L21="","",IF(L21&gt;=0,"PASS","FAIL"))</f>
        <v/>
      </c>
      <c r="U21" s="42" t="str">
        <f aca="false">IF(COUNTA(H21,M21,R21)=0,"",IF((COUNTIF(H21,"Likely")+COUNTIF(M21,"Likely")+COUNTIF(R21,"Likely"))=1,"OK","CHECK TAGS"))</f>
        <v/>
      </c>
    </row>
    <row r="22" customFormat="false" ht="15" hidden="false" customHeight="true" outlineLevel="0" collapsed="false">
      <c r="A22" s="22"/>
      <c r="B22" s="22"/>
      <c r="C22" s="38"/>
      <c r="D22" s="38"/>
      <c r="E22" s="62"/>
      <c r="F22" s="38"/>
      <c r="G22" s="39" t="str">
        <f aca="false">IF(OR(C22="",D22="",E22="",F22=""),"",IFERROR(((D22*E22+F22)/C22)^(1/5)-1,"n/a"))</f>
        <v/>
      </c>
      <c r="H22" s="22"/>
      <c r="I22" s="38"/>
      <c r="J22" s="62"/>
      <c r="K22" s="38"/>
      <c r="L22" s="39" t="str">
        <f aca="false">IF(OR(C22="",I22="",J22="",K22=""),"",IFERROR(((I22*J22+K22)/C22)^(1/5)-1,"n/a"))</f>
        <v/>
      </c>
      <c r="M22" s="22"/>
      <c r="N22" s="38"/>
      <c r="O22" s="62"/>
      <c r="P22" s="38"/>
      <c r="Q22" s="39" t="str">
        <f aca="false">IF(OR(C22="",N22="",O22="",P22=""),"",IFERROR(((N22*O22+P22)/C22)^(1/5)-1,"n/a"))</f>
        <v/>
      </c>
      <c r="R22" s="22"/>
      <c r="S22" s="42" t="str">
        <f aca="false">IF(G22="","",IF(G22&gt;0.1,"PASS","FAIL"))</f>
        <v/>
      </c>
      <c r="T22" s="42" t="str">
        <f aca="false">IF(L22="","",IF(L22&gt;=0,"PASS","FAIL"))</f>
        <v/>
      </c>
      <c r="U22" s="42" t="str">
        <f aca="false">IF(COUNTA(H22,M22,R22)=0,"",IF((COUNTIF(H22,"Likely")+COUNTIF(M22,"Likely")+COUNTIF(R22,"Likely"))=1,"OK","CHECK TAGS"))</f>
        <v/>
      </c>
    </row>
    <row r="23" customFormat="false" ht="15" hidden="false" customHeight="true" outlineLevel="0" collapsed="false">
      <c r="A23" s="22"/>
      <c r="B23" s="22"/>
      <c r="C23" s="38"/>
      <c r="D23" s="38"/>
      <c r="E23" s="62"/>
      <c r="F23" s="38"/>
      <c r="G23" s="39" t="str">
        <f aca="false">IF(OR(C23="",D23="",E23="",F23=""),"",IFERROR(((D23*E23+F23)/C23)^(1/5)-1,"n/a"))</f>
        <v/>
      </c>
      <c r="H23" s="22"/>
      <c r="I23" s="38"/>
      <c r="J23" s="62"/>
      <c r="K23" s="38"/>
      <c r="L23" s="39" t="str">
        <f aca="false">IF(OR(C23="",I23="",J23="",K23=""),"",IFERROR(((I23*J23+K23)/C23)^(1/5)-1,"n/a"))</f>
        <v/>
      </c>
      <c r="M23" s="22"/>
      <c r="N23" s="38"/>
      <c r="O23" s="62"/>
      <c r="P23" s="38"/>
      <c r="Q23" s="39" t="str">
        <f aca="false">IF(OR(C23="",N23="",O23="",P23=""),"",IFERROR(((N23*O23+P23)/C23)^(1/5)-1,"n/a"))</f>
        <v/>
      </c>
      <c r="R23" s="22"/>
      <c r="S23" s="42" t="str">
        <f aca="false">IF(G23="","",IF(G23&gt;0.1,"PASS","FAIL"))</f>
        <v/>
      </c>
      <c r="T23" s="42" t="str">
        <f aca="false">IF(L23="","",IF(L23&gt;=0,"PASS","FAIL"))</f>
        <v/>
      </c>
      <c r="U23" s="42" t="str">
        <f aca="false">IF(COUNTA(H23,M23,R23)=0,"",IF((COUNTIF(H23,"Likely")+COUNTIF(M23,"Likely")+COUNTIF(R23,"Likely"))=1,"OK","CHECK TAGS"))</f>
        <v/>
      </c>
    </row>
  </sheetData>
  <mergeCells count="5">
    <mergeCell ref="A1:T1"/>
    <mergeCell ref="D2:H2"/>
    <mergeCell ref="I2:M2"/>
    <mergeCell ref="N2:R2"/>
    <mergeCell ref="S2:U2"/>
  </mergeCells>
  <conditionalFormatting sqref="S4:T23">
    <cfRule type="cellIs" priority="2" operator="equal" aboveAverage="0" equalAverage="0" bottom="0" percent="0" rank="0" text="" dxfId="20">
      <formula>"PASS"</formula>
    </cfRule>
    <cfRule type="cellIs" priority="3" operator="equal" aboveAverage="0" equalAverage="0" bottom="0" percent="0" rank="0" text="" dxfId="0">
      <formula>"FAIL"</formula>
    </cfRule>
  </conditionalFormatting>
  <conditionalFormatting sqref="U4:U23">
    <cfRule type="cellIs" priority="4" operator="equal" aboveAverage="0" equalAverage="0" bottom="0" percent="0" rank="0" text="" dxfId="20">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16"/>
    <col collapsed="false" customWidth="true" hidden="false" outlineLevel="0" max="27" min="27" style="1" width="9"/>
    <col collapsed="false" customWidth="true" hidden="false" outlineLevel="0" max="28" min="28" style="1" width="20"/>
  </cols>
  <sheetData>
    <row r="1" customFormat="false" ht="25.5" hidden="false" customHeight="true" outlineLevel="0" collapsed="false">
      <c r="A1" s="16" t="s">
        <v>368</v>
      </c>
      <c r="B1" s="16"/>
      <c r="C1" s="16"/>
      <c r="D1" s="16"/>
      <c r="E1" s="16"/>
      <c r="F1" s="16"/>
      <c r="G1" s="16"/>
      <c r="H1" s="16"/>
      <c r="I1" s="16"/>
      <c r="J1" s="16"/>
      <c r="K1" s="16"/>
      <c r="L1" s="16"/>
      <c r="M1" s="16"/>
      <c r="N1" s="16"/>
      <c r="O1" s="16"/>
      <c r="P1" s="16"/>
      <c r="Q1" s="16"/>
      <c r="R1" s="16"/>
      <c r="S1" s="16"/>
      <c r="T1" s="16"/>
      <c r="U1" s="16"/>
      <c r="V1" s="16"/>
    </row>
    <row r="2" customFormat="false" ht="25.5" hidden="false" customHeight="true" outlineLevel="0" collapsed="false">
      <c r="E2" s="55" t="s">
        <v>369</v>
      </c>
      <c r="F2" s="55"/>
      <c r="G2" s="55"/>
      <c r="H2" s="55"/>
      <c r="I2" s="55"/>
      <c r="J2" s="55"/>
      <c r="K2" s="55"/>
      <c r="L2" s="55"/>
      <c r="M2" s="55"/>
      <c r="N2" s="55"/>
      <c r="O2" s="55"/>
      <c r="P2" s="55"/>
      <c r="Q2" s="55"/>
      <c r="R2" s="55"/>
      <c r="S2" s="55"/>
      <c r="T2" s="56" t="s">
        <v>370</v>
      </c>
      <c r="U2" s="56"/>
      <c r="V2" s="56"/>
      <c r="W2" s="56"/>
      <c r="X2" s="56"/>
      <c r="Y2" s="56"/>
      <c r="Z2" s="56"/>
    </row>
    <row r="3" customFormat="false" ht="27.75" hidden="false" customHeight="true" outlineLevel="0" collapsed="false">
      <c r="A3" s="18" t="s">
        <v>74</v>
      </c>
      <c r="B3" s="18" t="s">
        <v>185</v>
      </c>
      <c r="C3" s="18" t="s">
        <v>371</v>
      </c>
      <c r="D3" s="18" t="s">
        <v>372</v>
      </c>
      <c r="E3" s="18" t="s">
        <v>373</v>
      </c>
      <c r="F3" s="18" t="s">
        <v>374</v>
      </c>
      <c r="G3" s="18" t="s">
        <v>375</v>
      </c>
      <c r="H3" s="18" t="s">
        <v>376</v>
      </c>
      <c r="I3" s="18" t="s">
        <v>377</v>
      </c>
      <c r="J3" s="18" t="s">
        <v>375</v>
      </c>
      <c r="K3" s="18" t="s">
        <v>378</v>
      </c>
      <c r="L3" s="18" t="s">
        <v>379</v>
      </c>
      <c r="M3" s="18" t="s">
        <v>375</v>
      </c>
      <c r="N3" s="18" t="s">
        <v>380</v>
      </c>
      <c r="O3" s="18" t="s">
        <v>381</v>
      </c>
      <c r="P3" s="18" t="s">
        <v>375</v>
      </c>
      <c r="Q3" s="18" t="s">
        <v>382</v>
      </c>
      <c r="R3" s="18" t="s">
        <v>383</v>
      </c>
      <c r="S3" s="18" t="s">
        <v>375</v>
      </c>
      <c r="T3" s="18" t="s">
        <v>384</v>
      </c>
      <c r="U3" s="18" t="s">
        <v>385</v>
      </c>
      <c r="V3" s="18" t="s">
        <v>386</v>
      </c>
      <c r="W3" s="18" t="s">
        <v>387</v>
      </c>
      <c r="X3" s="18" t="s">
        <v>388</v>
      </c>
      <c r="Y3" s="18" t="s">
        <v>389</v>
      </c>
      <c r="Z3" s="18" t="s">
        <v>390</v>
      </c>
      <c r="AA3" s="18" t="s">
        <v>391</v>
      </c>
      <c r="AB3" s="18" t="s">
        <v>352</v>
      </c>
    </row>
    <row r="4" customFormat="false" ht="15" hidden="false" customHeight="true" outlineLevel="0" collapsed="false">
      <c r="A4" s="22"/>
      <c r="B4" s="22"/>
      <c r="C4" s="68"/>
      <c r="D4" s="68"/>
      <c r="E4" s="22"/>
      <c r="F4" s="22"/>
      <c r="G4" s="67" t="str">
        <f aca="false">IF(OR(E4="",F4=""),"",IF(AND(E4&lt;=2,F4&lt;=2),"TRIGGER","OK"))</f>
        <v/>
      </c>
      <c r="H4" s="22"/>
      <c r="I4" s="22"/>
      <c r="J4" s="67" t="str">
        <f aca="false">IF(OR(H4="",I4=""),"",IF(AND(H4&lt;=2,I4&lt;=2),"TRIGGER","OK"))</f>
        <v/>
      </c>
      <c r="K4" s="22"/>
      <c r="L4" s="22"/>
      <c r="M4" s="67" t="str">
        <f aca="false">IF(OR(K4="",L4=""),"",IF(AND(K4&lt;=2,L4&lt;=2),"TRIGGER","OK"))</f>
        <v/>
      </c>
      <c r="N4" s="22"/>
      <c r="O4" s="22"/>
      <c r="P4" s="67" t="str">
        <f aca="false">IF(OR(N4="",O4=""),"",IF(AND(N4&lt;=2,O4&lt;=2),"TRIGGER","OK"))</f>
        <v/>
      </c>
      <c r="Q4" s="22"/>
      <c r="R4" s="22"/>
      <c r="S4" s="67" t="str">
        <f aca="false">IF(OR(Q4="",R4=""),"",IF(AND(Q4&lt;=2,R4&lt;=2),"TRIGGER","OK"))</f>
        <v/>
      </c>
      <c r="T4" s="62"/>
      <c r="U4" s="62"/>
      <c r="V4" s="68"/>
      <c r="W4" s="68"/>
      <c r="X4" s="22"/>
      <c r="Y4" s="22"/>
      <c r="Z4" s="67"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22"/>
      <c r="AB4" s="42"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22"/>
      <c r="B5" s="22"/>
      <c r="C5" s="68"/>
      <c r="D5" s="68"/>
      <c r="E5" s="22"/>
      <c r="F5" s="22"/>
      <c r="G5" s="67" t="str">
        <f aca="false">IF(OR(E5="",F5=""),"",IF(AND(E5&lt;=2,F5&lt;=2),"TRIGGER","OK"))</f>
        <v/>
      </c>
      <c r="H5" s="22"/>
      <c r="I5" s="22"/>
      <c r="J5" s="67" t="str">
        <f aca="false">IF(OR(H5="",I5=""),"",IF(AND(H5&lt;=2,I5&lt;=2),"TRIGGER","OK"))</f>
        <v/>
      </c>
      <c r="K5" s="22"/>
      <c r="L5" s="22"/>
      <c r="M5" s="67" t="str">
        <f aca="false">IF(OR(K5="",L5=""),"",IF(AND(K5&lt;=2,L5&lt;=2),"TRIGGER","OK"))</f>
        <v/>
      </c>
      <c r="N5" s="22"/>
      <c r="O5" s="22"/>
      <c r="P5" s="67" t="str">
        <f aca="false">IF(OR(N5="",O5=""),"",IF(AND(N5&lt;=2,O5&lt;=2),"TRIGGER","OK"))</f>
        <v/>
      </c>
      <c r="Q5" s="22"/>
      <c r="R5" s="22"/>
      <c r="S5" s="67" t="str">
        <f aca="false">IF(OR(Q5="",R5=""),"",IF(AND(Q5&lt;=2,R5&lt;=2),"TRIGGER","OK"))</f>
        <v/>
      </c>
      <c r="T5" s="62"/>
      <c r="U5" s="62"/>
      <c r="V5" s="68"/>
      <c r="W5" s="68"/>
      <c r="X5" s="22"/>
      <c r="Y5" s="22"/>
      <c r="Z5" s="67"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22"/>
      <c r="AB5" s="42"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22"/>
      <c r="B6" s="22"/>
      <c r="C6" s="68"/>
      <c r="D6" s="68"/>
      <c r="E6" s="22"/>
      <c r="F6" s="22"/>
      <c r="G6" s="67" t="str">
        <f aca="false">IF(OR(E6="",F6=""),"",IF(AND(E6&lt;=2,F6&lt;=2),"TRIGGER","OK"))</f>
        <v/>
      </c>
      <c r="H6" s="22"/>
      <c r="I6" s="22"/>
      <c r="J6" s="67" t="str">
        <f aca="false">IF(OR(H6="",I6=""),"",IF(AND(H6&lt;=2,I6&lt;=2),"TRIGGER","OK"))</f>
        <v/>
      </c>
      <c r="K6" s="22"/>
      <c r="L6" s="22"/>
      <c r="M6" s="67" t="str">
        <f aca="false">IF(OR(K6="",L6=""),"",IF(AND(K6&lt;=2,L6&lt;=2),"TRIGGER","OK"))</f>
        <v/>
      </c>
      <c r="N6" s="22"/>
      <c r="O6" s="22"/>
      <c r="P6" s="67" t="str">
        <f aca="false">IF(OR(N6="",O6=""),"",IF(AND(N6&lt;=2,O6&lt;=2),"TRIGGER","OK"))</f>
        <v/>
      </c>
      <c r="Q6" s="22"/>
      <c r="R6" s="22"/>
      <c r="S6" s="67" t="str">
        <f aca="false">IF(OR(Q6="",R6=""),"",IF(AND(Q6&lt;=2,R6&lt;=2),"TRIGGER","OK"))</f>
        <v/>
      </c>
      <c r="T6" s="62"/>
      <c r="U6" s="62"/>
      <c r="V6" s="68"/>
      <c r="W6" s="68"/>
      <c r="X6" s="22"/>
      <c r="Y6" s="22"/>
      <c r="Z6" s="67"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22"/>
      <c r="AB6" s="42"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22"/>
      <c r="B7" s="22"/>
      <c r="C7" s="68"/>
      <c r="D7" s="68"/>
      <c r="E7" s="22"/>
      <c r="F7" s="22"/>
      <c r="G7" s="67" t="str">
        <f aca="false">IF(OR(E7="",F7=""),"",IF(AND(E7&lt;=2,F7&lt;=2),"TRIGGER","OK"))</f>
        <v/>
      </c>
      <c r="H7" s="22"/>
      <c r="I7" s="22"/>
      <c r="J7" s="67" t="str">
        <f aca="false">IF(OR(H7="",I7=""),"",IF(AND(H7&lt;=2,I7&lt;=2),"TRIGGER","OK"))</f>
        <v/>
      </c>
      <c r="K7" s="22"/>
      <c r="L7" s="22"/>
      <c r="M7" s="67" t="str">
        <f aca="false">IF(OR(K7="",L7=""),"",IF(AND(K7&lt;=2,L7&lt;=2),"TRIGGER","OK"))</f>
        <v/>
      </c>
      <c r="N7" s="22"/>
      <c r="O7" s="22"/>
      <c r="P7" s="67" t="str">
        <f aca="false">IF(OR(N7="",O7=""),"",IF(AND(N7&lt;=2,O7&lt;=2),"TRIGGER","OK"))</f>
        <v/>
      </c>
      <c r="Q7" s="22"/>
      <c r="R7" s="22"/>
      <c r="S7" s="67" t="str">
        <f aca="false">IF(OR(Q7="",R7=""),"",IF(AND(Q7&lt;=2,R7&lt;=2),"TRIGGER","OK"))</f>
        <v/>
      </c>
      <c r="T7" s="62"/>
      <c r="U7" s="62"/>
      <c r="V7" s="68"/>
      <c r="W7" s="68"/>
      <c r="X7" s="22"/>
      <c r="Y7" s="22"/>
      <c r="Z7" s="67"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22"/>
      <c r="AB7" s="42"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22"/>
      <c r="B8" s="22"/>
      <c r="C8" s="68"/>
      <c r="D8" s="68"/>
      <c r="E8" s="22"/>
      <c r="F8" s="22"/>
      <c r="G8" s="67" t="str">
        <f aca="false">IF(OR(E8="",F8=""),"",IF(AND(E8&lt;=2,F8&lt;=2),"TRIGGER","OK"))</f>
        <v/>
      </c>
      <c r="H8" s="22"/>
      <c r="I8" s="22"/>
      <c r="J8" s="67" t="str">
        <f aca="false">IF(OR(H8="",I8=""),"",IF(AND(H8&lt;=2,I8&lt;=2),"TRIGGER","OK"))</f>
        <v/>
      </c>
      <c r="K8" s="22"/>
      <c r="L8" s="22"/>
      <c r="M8" s="67" t="str">
        <f aca="false">IF(OR(K8="",L8=""),"",IF(AND(K8&lt;=2,L8&lt;=2),"TRIGGER","OK"))</f>
        <v/>
      </c>
      <c r="N8" s="22"/>
      <c r="O8" s="22"/>
      <c r="P8" s="67" t="str">
        <f aca="false">IF(OR(N8="",O8=""),"",IF(AND(N8&lt;=2,O8&lt;=2),"TRIGGER","OK"))</f>
        <v/>
      </c>
      <c r="Q8" s="22"/>
      <c r="R8" s="22"/>
      <c r="S8" s="67" t="str">
        <f aca="false">IF(OR(Q8="",R8=""),"",IF(AND(Q8&lt;=2,R8&lt;=2),"TRIGGER","OK"))</f>
        <v/>
      </c>
      <c r="T8" s="62"/>
      <c r="U8" s="62"/>
      <c r="V8" s="68"/>
      <c r="W8" s="68"/>
      <c r="X8" s="22"/>
      <c r="Y8" s="22"/>
      <c r="Z8" s="67"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22"/>
      <c r="AB8" s="42"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22"/>
      <c r="B9" s="22"/>
      <c r="C9" s="68"/>
      <c r="D9" s="68"/>
      <c r="E9" s="22"/>
      <c r="F9" s="22"/>
      <c r="G9" s="67" t="str">
        <f aca="false">IF(OR(E9="",F9=""),"",IF(AND(E9&lt;=2,F9&lt;=2),"TRIGGER","OK"))</f>
        <v/>
      </c>
      <c r="H9" s="22"/>
      <c r="I9" s="22"/>
      <c r="J9" s="67" t="str">
        <f aca="false">IF(OR(H9="",I9=""),"",IF(AND(H9&lt;=2,I9&lt;=2),"TRIGGER","OK"))</f>
        <v/>
      </c>
      <c r="K9" s="22"/>
      <c r="L9" s="22"/>
      <c r="M9" s="67" t="str">
        <f aca="false">IF(OR(K9="",L9=""),"",IF(AND(K9&lt;=2,L9&lt;=2),"TRIGGER","OK"))</f>
        <v/>
      </c>
      <c r="N9" s="22"/>
      <c r="O9" s="22"/>
      <c r="P9" s="67" t="str">
        <f aca="false">IF(OR(N9="",O9=""),"",IF(AND(N9&lt;=2,O9&lt;=2),"TRIGGER","OK"))</f>
        <v/>
      </c>
      <c r="Q9" s="22"/>
      <c r="R9" s="22"/>
      <c r="S9" s="67" t="str">
        <f aca="false">IF(OR(Q9="",R9=""),"",IF(AND(Q9&lt;=2,R9&lt;=2),"TRIGGER","OK"))</f>
        <v/>
      </c>
      <c r="T9" s="62"/>
      <c r="U9" s="62"/>
      <c r="V9" s="68"/>
      <c r="W9" s="68"/>
      <c r="X9" s="22"/>
      <c r="Y9" s="22"/>
      <c r="Z9" s="67"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22"/>
      <c r="AB9" s="42"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22"/>
      <c r="B10" s="22"/>
      <c r="C10" s="68"/>
      <c r="D10" s="68"/>
      <c r="E10" s="22"/>
      <c r="F10" s="22"/>
      <c r="G10" s="67" t="str">
        <f aca="false">IF(OR(E10="",F10=""),"",IF(AND(E10&lt;=2,F10&lt;=2),"TRIGGER","OK"))</f>
        <v/>
      </c>
      <c r="H10" s="22"/>
      <c r="I10" s="22"/>
      <c r="J10" s="67" t="str">
        <f aca="false">IF(OR(H10="",I10=""),"",IF(AND(H10&lt;=2,I10&lt;=2),"TRIGGER","OK"))</f>
        <v/>
      </c>
      <c r="K10" s="22"/>
      <c r="L10" s="22"/>
      <c r="M10" s="67" t="str">
        <f aca="false">IF(OR(K10="",L10=""),"",IF(AND(K10&lt;=2,L10&lt;=2),"TRIGGER","OK"))</f>
        <v/>
      </c>
      <c r="N10" s="22"/>
      <c r="O10" s="22"/>
      <c r="P10" s="67" t="str">
        <f aca="false">IF(OR(N10="",O10=""),"",IF(AND(N10&lt;=2,O10&lt;=2),"TRIGGER","OK"))</f>
        <v/>
      </c>
      <c r="Q10" s="22"/>
      <c r="R10" s="22"/>
      <c r="S10" s="67" t="str">
        <f aca="false">IF(OR(Q10="",R10=""),"",IF(AND(Q10&lt;=2,R10&lt;=2),"TRIGGER","OK"))</f>
        <v/>
      </c>
      <c r="T10" s="62"/>
      <c r="U10" s="62"/>
      <c r="V10" s="68"/>
      <c r="W10" s="68"/>
      <c r="X10" s="22"/>
      <c r="Y10" s="22"/>
      <c r="Z10" s="67"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22"/>
      <c r="AB10" s="42"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22"/>
      <c r="B11" s="22"/>
      <c r="C11" s="68"/>
      <c r="D11" s="68"/>
      <c r="E11" s="22"/>
      <c r="F11" s="22"/>
      <c r="G11" s="67" t="str">
        <f aca="false">IF(OR(E11="",F11=""),"",IF(AND(E11&lt;=2,F11&lt;=2),"TRIGGER","OK"))</f>
        <v/>
      </c>
      <c r="H11" s="22"/>
      <c r="I11" s="22"/>
      <c r="J11" s="67" t="str">
        <f aca="false">IF(OR(H11="",I11=""),"",IF(AND(H11&lt;=2,I11&lt;=2),"TRIGGER","OK"))</f>
        <v/>
      </c>
      <c r="K11" s="22"/>
      <c r="L11" s="22"/>
      <c r="M11" s="67" t="str">
        <f aca="false">IF(OR(K11="",L11=""),"",IF(AND(K11&lt;=2,L11&lt;=2),"TRIGGER","OK"))</f>
        <v/>
      </c>
      <c r="N11" s="22"/>
      <c r="O11" s="22"/>
      <c r="P11" s="67" t="str">
        <f aca="false">IF(OR(N11="",O11=""),"",IF(AND(N11&lt;=2,O11&lt;=2),"TRIGGER","OK"))</f>
        <v/>
      </c>
      <c r="Q11" s="22"/>
      <c r="R11" s="22"/>
      <c r="S11" s="67" t="str">
        <f aca="false">IF(OR(Q11="",R11=""),"",IF(AND(Q11&lt;=2,R11&lt;=2),"TRIGGER","OK"))</f>
        <v/>
      </c>
      <c r="T11" s="62"/>
      <c r="U11" s="62"/>
      <c r="V11" s="68"/>
      <c r="W11" s="68"/>
      <c r="X11" s="22"/>
      <c r="Y11" s="22"/>
      <c r="Z11" s="67"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22"/>
      <c r="AB11" s="42"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22"/>
      <c r="B12" s="22"/>
      <c r="C12" s="68"/>
      <c r="D12" s="68"/>
      <c r="E12" s="22"/>
      <c r="F12" s="22"/>
      <c r="G12" s="67" t="str">
        <f aca="false">IF(OR(E12="",F12=""),"",IF(AND(E12&lt;=2,F12&lt;=2),"TRIGGER","OK"))</f>
        <v/>
      </c>
      <c r="H12" s="22"/>
      <c r="I12" s="22"/>
      <c r="J12" s="67" t="str">
        <f aca="false">IF(OR(H12="",I12=""),"",IF(AND(H12&lt;=2,I12&lt;=2),"TRIGGER","OK"))</f>
        <v/>
      </c>
      <c r="K12" s="22"/>
      <c r="L12" s="22"/>
      <c r="M12" s="67" t="str">
        <f aca="false">IF(OR(K12="",L12=""),"",IF(AND(K12&lt;=2,L12&lt;=2),"TRIGGER","OK"))</f>
        <v/>
      </c>
      <c r="N12" s="22"/>
      <c r="O12" s="22"/>
      <c r="P12" s="67" t="str">
        <f aca="false">IF(OR(N12="",O12=""),"",IF(AND(N12&lt;=2,O12&lt;=2),"TRIGGER","OK"))</f>
        <v/>
      </c>
      <c r="Q12" s="22"/>
      <c r="R12" s="22"/>
      <c r="S12" s="67" t="str">
        <f aca="false">IF(OR(Q12="",R12=""),"",IF(AND(Q12&lt;=2,R12&lt;=2),"TRIGGER","OK"))</f>
        <v/>
      </c>
      <c r="T12" s="62"/>
      <c r="U12" s="62"/>
      <c r="V12" s="68"/>
      <c r="W12" s="68"/>
      <c r="X12" s="22"/>
      <c r="Y12" s="22"/>
      <c r="Z12" s="67"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22"/>
      <c r="AB12" s="42"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22"/>
      <c r="B13" s="22"/>
      <c r="C13" s="68"/>
      <c r="D13" s="68"/>
      <c r="E13" s="22"/>
      <c r="F13" s="22"/>
      <c r="G13" s="67" t="str">
        <f aca="false">IF(OR(E13="",F13=""),"",IF(AND(E13&lt;=2,F13&lt;=2),"TRIGGER","OK"))</f>
        <v/>
      </c>
      <c r="H13" s="22"/>
      <c r="I13" s="22"/>
      <c r="J13" s="67" t="str">
        <f aca="false">IF(OR(H13="",I13=""),"",IF(AND(H13&lt;=2,I13&lt;=2),"TRIGGER","OK"))</f>
        <v/>
      </c>
      <c r="K13" s="22"/>
      <c r="L13" s="22"/>
      <c r="M13" s="67" t="str">
        <f aca="false">IF(OR(K13="",L13=""),"",IF(AND(K13&lt;=2,L13&lt;=2),"TRIGGER","OK"))</f>
        <v/>
      </c>
      <c r="N13" s="22"/>
      <c r="O13" s="22"/>
      <c r="P13" s="67" t="str">
        <f aca="false">IF(OR(N13="",O13=""),"",IF(AND(N13&lt;=2,O13&lt;=2),"TRIGGER","OK"))</f>
        <v/>
      </c>
      <c r="Q13" s="22"/>
      <c r="R13" s="22"/>
      <c r="S13" s="67" t="str">
        <f aca="false">IF(OR(Q13="",R13=""),"",IF(AND(Q13&lt;=2,R13&lt;=2),"TRIGGER","OK"))</f>
        <v/>
      </c>
      <c r="T13" s="62"/>
      <c r="U13" s="62"/>
      <c r="V13" s="68"/>
      <c r="W13" s="68"/>
      <c r="X13" s="22"/>
      <c r="Y13" s="22"/>
      <c r="Z13" s="67"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22"/>
      <c r="AB13" s="42"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22"/>
      <c r="B14" s="22"/>
      <c r="C14" s="68"/>
      <c r="D14" s="68"/>
      <c r="E14" s="22"/>
      <c r="F14" s="22"/>
      <c r="G14" s="67" t="str">
        <f aca="false">IF(OR(E14="",F14=""),"",IF(AND(E14&lt;=2,F14&lt;=2),"TRIGGER","OK"))</f>
        <v/>
      </c>
      <c r="H14" s="22"/>
      <c r="I14" s="22"/>
      <c r="J14" s="67" t="str">
        <f aca="false">IF(OR(H14="",I14=""),"",IF(AND(H14&lt;=2,I14&lt;=2),"TRIGGER","OK"))</f>
        <v/>
      </c>
      <c r="K14" s="22"/>
      <c r="L14" s="22"/>
      <c r="M14" s="67" t="str">
        <f aca="false">IF(OR(K14="",L14=""),"",IF(AND(K14&lt;=2,L14&lt;=2),"TRIGGER","OK"))</f>
        <v/>
      </c>
      <c r="N14" s="22"/>
      <c r="O14" s="22"/>
      <c r="P14" s="67" t="str">
        <f aca="false">IF(OR(N14="",O14=""),"",IF(AND(N14&lt;=2,O14&lt;=2),"TRIGGER","OK"))</f>
        <v/>
      </c>
      <c r="Q14" s="22"/>
      <c r="R14" s="22"/>
      <c r="S14" s="67" t="str">
        <f aca="false">IF(OR(Q14="",R14=""),"",IF(AND(Q14&lt;=2,R14&lt;=2),"TRIGGER","OK"))</f>
        <v/>
      </c>
      <c r="T14" s="62"/>
      <c r="U14" s="62"/>
      <c r="V14" s="68"/>
      <c r="W14" s="68"/>
      <c r="X14" s="22"/>
      <c r="Y14" s="22"/>
      <c r="Z14" s="67"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22"/>
      <c r="AB14" s="42"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22"/>
      <c r="B15" s="22"/>
      <c r="C15" s="68"/>
      <c r="D15" s="68"/>
      <c r="E15" s="22"/>
      <c r="F15" s="22"/>
      <c r="G15" s="67" t="str">
        <f aca="false">IF(OR(E15="",F15=""),"",IF(AND(E15&lt;=2,F15&lt;=2),"TRIGGER","OK"))</f>
        <v/>
      </c>
      <c r="H15" s="22"/>
      <c r="I15" s="22"/>
      <c r="J15" s="67" t="str">
        <f aca="false">IF(OR(H15="",I15=""),"",IF(AND(H15&lt;=2,I15&lt;=2),"TRIGGER","OK"))</f>
        <v/>
      </c>
      <c r="K15" s="22"/>
      <c r="L15" s="22"/>
      <c r="M15" s="67" t="str">
        <f aca="false">IF(OR(K15="",L15=""),"",IF(AND(K15&lt;=2,L15&lt;=2),"TRIGGER","OK"))</f>
        <v/>
      </c>
      <c r="N15" s="22"/>
      <c r="O15" s="22"/>
      <c r="P15" s="67" t="str">
        <f aca="false">IF(OR(N15="",O15=""),"",IF(AND(N15&lt;=2,O15&lt;=2),"TRIGGER","OK"))</f>
        <v/>
      </c>
      <c r="Q15" s="22"/>
      <c r="R15" s="22"/>
      <c r="S15" s="67" t="str">
        <f aca="false">IF(OR(Q15="",R15=""),"",IF(AND(Q15&lt;=2,R15&lt;=2),"TRIGGER","OK"))</f>
        <v/>
      </c>
      <c r="T15" s="62"/>
      <c r="U15" s="62"/>
      <c r="V15" s="68"/>
      <c r="W15" s="68"/>
      <c r="X15" s="22"/>
      <c r="Y15" s="22"/>
      <c r="Z15" s="67"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22"/>
      <c r="AB15" s="42"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22"/>
      <c r="B16" s="22"/>
      <c r="C16" s="68"/>
      <c r="D16" s="68"/>
      <c r="E16" s="22"/>
      <c r="F16" s="22"/>
      <c r="G16" s="67" t="str">
        <f aca="false">IF(OR(E16="",F16=""),"",IF(AND(E16&lt;=2,F16&lt;=2),"TRIGGER","OK"))</f>
        <v/>
      </c>
      <c r="H16" s="22"/>
      <c r="I16" s="22"/>
      <c r="J16" s="67" t="str">
        <f aca="false">IF(OR(H16="",I16=""),"",IF(AND(H16&lt;=2,I16&lt;=2),"TRIGGER","OK"))</f>
        <v/>
      </c>
      <c r="K16" s="22"/>
      <c r="L16" s="22"/>
      <c r="M16" s="67" t="str">
        <f aca="false">IF(OR(K16="",L16=""),"",IF(AND(K16&lt;=2,L16&lt;=2),"TRIGGER","OK"))</f>
        <v/>
      </c>
      <c r="N16" s="22"/>
      <c r="O16" s="22"/>
      <c r="P16" s="67" t="str">
        <f aca="false">IF(OR(N16="",O16=""),"",IF(AND(N16&lt;=2,O16&lt;=2),"TRIGGER","OK"))</f>
        <v/>
      </c>
      <c r="Q16" s="22"/>
      <c r="R16" s="22"/>
      <c r="S16" s="67" t="str">
        <f aca="false">IF(OR(Q16="",R16=""),"",IF(AND(Q16&lt;=2,R16&lt;=2),"TRIGGER","OK"))</f>
        <v/>
      </c>
      <c r="T16" s="62"/>
      <c r="U16" s="62"/>
      <c r="V16" s="68"/>
      <c r="W16" s="68"/>
      <c r="X16" s="22"/>
      <c r="Y16" s="22"/>
      <c r="Z16" s="67"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22"/>
      <c r="AB16" s="42"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22"/>
      <c r="B17" s="22"/>
      <c r="C17" s="68"/>
      <c r="D17" s="68"/>
      <c r="E17" s="22"/>
      <c r="F17" s="22"/>
      <c r="G17" s="67" t="str">
        <f aca="false">IF(OR(E17="",F17=""),"",IF(AND(E17&lt;=2,F17&lt;=2),"TRIGGER","OK"))</f>
        <v/>
      </c>
      <c r="H17" s="22"/>
      <c r="I17" s="22"/>
      <c r="J17" s="67" t="str">
        <f aca="false">IF(OR(H17="",I17=""),"",IF(AND(H17&lt;=2,I17&lt;=2),"TRIGGER","OK"))</f>
        <v/>
      </c>
      <c r="K17" s="22"/>
      <c r="L17" s="22"/>
      <c r="M17" s="67" t="str">
        <f aca="false">IF(OR(K17="",L17=""),"",IF(AND(K17&lt;=2,L17&lt;=2),"TRIGGER","OK"))</f>
        <v/>
      </c>
      <c r="N17" s="22"/>
      <c r="O17" s="22"/>
      <c r="P17" s="67" t="str">
        <f aca="false">IF(OR(N17="",O17=""),"",IF(AND(N17&lt;=2,O17&lt;=2),"TRIGGER","OK"))</f>
        <v/>
      </c>
      <c r="Q17" s="22"/>
      <c r="R17" s="22"/>
      <c r="S17" s="67" t="str">
        <f aca="false">IF(OR(Q17="",R17=""),"",IF(AND(Q17&lt;=2,R17&lt;=2),"TRIGGER","OK"))</f>
        <v/>
      </c>
      <c r="T17" s="62"/>
      <c r="U17" s="62"/>
      <c r="V17" s="68"/>
      <c r="W17" s="68"/>
      <c r="X17" s="22"/>
      <c r="Y17" s="22"/>
      <c r="Z17" s="67"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22"/>
      <c r="AB17" s="42"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22"/>
      <c r="B18" s="22"/>
      <c r="C18" s="68"/>
      <c r="D18" s="68"/>
      <c r="E18" s="22"/>
      <c r="F18" s="22"/>
      <c r="G18" s="67" t="str">
        <f aca="false">IF(OR(E18="",F18=""),"",IF(AND(E18&lt;=2,F18&lt;=2),"TRIGGER","OK"))</f>
        <v/>
      </c>
      <c r="H18" s="22"/>
      <c r="I18" s="22"/>
      <c r="J18" s="67" t="str">
        <f aca="false">IF(OR(H18="",I18=""),"",IF(AND(H18&lt;=2,I18&lt;=2),"TRIGGER","OK"))</f>
        <v/>
      </c>
      <c r="K18" s="22"/>
      <c r="L18" s="22"/>
      <c r="M18" s="67" t="str">
        <f aca="false">IF(OR(K18="",L18=""),"",IF(AND(K18&lt;=2,L18&lt;=2),"TRIGGER","OK"))</f>
        <v/>
      </c>
      <c r="N18" s="22"/>
      <c r="O18" s="22"/>
      <c r="P18" s="67" t="str">
        <f aca="false">IF(OR(N18="",O18=""),"",IF(AND(N18&lt;=2,O18&lt;=2),"TRIGGER","OK"))</f>
        <v/>
      </c>
      <c r="Q18" s="22"/>
      <c r="R18" s="22"/>
      <c r="S18" s="67" t="str">
        <f aca="false">IF(OR(Q18="",R18=""),"",IF(AND(Q18&lt;=2,R18&lt;=2),"TRIGGER","OK"))</f>
        <v/>
      </c>
      <c r="T18" s="62"/>
      <c r="U18" s="62"/>
      <c r="V18" s="68"/>
      <c r="W18" s="68"/>
      <c r="X18" s="22"/>
      <c r="Y18" s="22"/>
      <c r="Z18" s="67"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22"/>
      <c r="AB18" s="42"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22"/>
      <c r="B19" s="22"/>
      <c r="C19" s="68"/>
      <c r="D19" s="68"/>
      <c r="E19" s="22"/>
      <c r="F19" s="22"/>
      <c r="G19" s="67" t="str">
        <f aca="false">IF(OR(E19="",F19=""),"",IF(AND(E19&lt;=2,F19&lt;=2),"TRIGGER","OK"))</f>
        <v/>
      </c>
      <c r="H19" s="22"/>
      <c r="I19" s="22"/>
      <c r="J19" s="67" t="str">
        <f aca="false">IF(OR(H19="",I19=""),"",IF(AND(H19&lt;=2,I19&lt;=2),"TRIGGER","OK"))</f>
        <v/>
      </c>
      <c r="K19" s="22"/>
      <c r="L19" s="22"/>
      <c r="M19" s="67" t="str">
        <f aca="false">IF(OR(K19="",L19=""),"",IF(AND(K19&lt;=2,L19&lt;=2),"TRIGGER","OK"))</f>
        <v/>
      </c>
      <c r="N19" s="22"/>
      <c r="O19" s="22"/>
      <c r="P19" s="67" t="str">
        <f aca="false">IF(OR(N19="",O19=""),"",IF(AND(N19&lt;=2,O19&lt;=2),"TRIGGER","OK"))</f>
        <v/>
      </c>
      <c r="Q19" s="22"/>
      <c r="R19" s="22"/>
      <c r="S19" s="67" t="str">
        <f aca="false">IF(OR(Q19="",R19=""),"",IF(AND(Q19&lt;=2,R19&lt;=2),"TRIGGER","OK"))</f>
        <v/>
      </c>
      <c r="T19" s="62"/>
      <c r="U19" s="62"/>
      <c r="V19" s="68"/>
      <c r="W19" s="68"/>
      <c r="X19" s="22"/>
      <c r="Y19" s="22"/>
      <c r="Z19" s="67"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22"/>
      <c r="AB19" s="42"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22"/>
      <c r="B20" s="22"/>
      <c r="C20" s="68"/>
      <c r="D20" s="68"/>
      <c r="E20" s="22"/>
      <c r="F20" s="22"/>
      <c r="G20" s="67" t="str">
        <f aca="false">IF(OR(E20="",F20=""),"",IF(AND(E20&lt;=2,F20&lt;=2),"TRIGGER","OK"))</f>
        <v/>
      </c>
      <c r="H20" s="22"/>
      <c r="I20" s="22"/>
      <c r="J20" s="67" t="str">
        <f aca="false">IF(OR(H20="",I20=""),"",IF(AND(H20&lt;=2,I20&lt;=2),"TRIGGER","OK"))</f>
        <v/>
      </c>
      <c r="K20" s="22"/>
      <c r="L20" s="22"/>
      <c r="M20" s="67" t="str">
        <f aca="false">IF(OR(K20="",L20=""),"",IF(AND(K20&lt;=2,L20&lt;=2),"TRIGGER","OK"))</f>
        <v/>
      </c>
      <c r="N20" s="22"/>
      <c r="O20" s="22"/>
      <c r="P20" s="67" t="str">
        <f aca="false">IF(OR(N20="",O20=""),"",IF(AND(N20&lt;=2,O20&lt;=2),"TRIGGER","OK"))</f>
        <v/>
      </c>
      <c r="Q20" s="22"/>
      <c r="R20" s="22"/>
      <c r="S20" s="67" t="str">
        <f aca="false">IF(OR(Q20="",R20=""),"",IF(AND(Q20&lt;=2,R20&lt;=2),"TRIGGER","OK"))</f>
        <v/>
      </c>
      <c r="T20" s="62"/>
      <c r="U20" s="62"/>
      <c r="V20" s="68"/>
      <c r="W20" s="68"/>
      <c r="X20" s="22"/>
      <c r="Y20" s="22"/>
      <c r="Z20" s="67"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22"/>
      <c r="AB20" s="42"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22"/>
      <c r="B21" s="22"/>
      <c r="C21" s="68"/>
      <c r="D21" s="68"/>
      <c r="E21" s="22"/>
      <c r="F21" s="22"/>
      <c r="G21" s="67" t="str">
        <f aca="false">IF(OR(E21="",F21=""),"",IF(AND(E21&lt;=2,F21&lt;=2),"TRIGGER","OK"))</f>
        <v/>
      </c>
      <c r="H21" s="22"/>
      <c r="I21" s="22"/>
      <c r="J21" s="67" t="str">
        <f aca="false">IF(OR(H21="",I21=""),"",IF(AND(H21&lt;=2,I21&lt;=2),"TRIGGER","OK"))</f>
        <v/>
      </c>
      <c r="K21" s="22"/>
      <c r="L21" s="22"/>
      <c r="M21" s="67" t="str">
        <f aca="false">IF(OR(K21="",L21=""),"",IF(AND(K21&lt;=2,L21&lt;=2),"TRIGGER","OK"))</f>
        <v/>
      </c>
      <c r="N21" s="22"/>
      <c r="O21" s="22"/>
      <c r="P21" s="67" t="str">
        <f aca="false">IF(OR(N21="",O21=""),"",IF(AND(N21&lt;=2,O21&lt;=2),"TRIGGER","OK"))</f>
        <v/>
      </c>
      <c r="Q21" s="22"/>
      <c r="R21" s="22"/>
      <c r="S21" s="67" t="str">
        <f aca="false">IF(OR(Q21="",R21=""),"",IF(AND(Q21&lt;=2,R21&lt;=2),"TRIGGER","OK"))</f>
        <v/>
      </c>
      <c r="T21" s="62"/>
      <c r="U21" s="62"/>
      <c r="V21" s="68"/>
      <c r="W21" s="68"/>
      <c r="X21" s="22"/>
      <c r="Y21" s="22"/>
      <c r="Z21" s="67"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22"/>
      <c r="AB21" s="42"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22"/>
      <c r="B22" s="22"/>
      <c r="C22" s="68"/>
      <c r="D22" s="68"/>
      <c r="E22" s="22"/>
      <c r="F22" s="22"/>
      <c r="G22" s="67" t="str">
        <f aca="false">IF(OR(E22="",F22=""),"",IF(AND(E22&lt;=2,F22&lt;=2),"TRIGGER","OK"))</f>
        <v/>
      </c>
      <c r="H22" s="22"/>
      <c r="I22" s="22"/>
      <c r="J22" s="67" t="str">
        <f aca="false">IF(OR(H22="",I22=""),"",IF(AND(H22&lt;=2,I22&lt;=2),"TRIGGER","OK"))</f>
        <v/>
      </c>
      <c r="K22" s="22"/>
      <c r="L22" s="22"/>
      <c r="M22" s="67" t="str">
        <f aca="false">IF(OR(K22="",L22=""),"",IF(AND(K22&lt;=2,L22&lt;=2),"TRIGGER","OK"))</f>
        <v/>
      </c>
      <c r="N22" s="22"/>
      <c r="O22" s="22"/>
      <c r="P22" s="67" t="str">
        <f aca="false">IF(OR(N22="",O22=""),"",IF(AND(N22&lt;=2,O22&lt;=2),"TRIGGER","OK"))</f>
        <v/>
      </c>
      <c r="Q22" s="22"/>
      <c r="R22" s="22"/>
      <c r="S22" s="67" t="str">
        <f aca="false">IF(OR(Q22="",R22=""),"",IF(AND(Q22&lt;=2,R22&lt;=2),"TRIGGER","OK"))</f>
        <v/>
      </c>
      <c r="T22" s="62"/>
      <c r="U22" s="62"/>
      <c r="V22" s="68"/>
      <c r="W22" s="68"/>
      <c r="X22" s="22"/>
      <c r="Y22" s="22"/>
      <c r="Z22" s="67"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22"/>
      <c r="AB22" s="42"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22"/>
      <c r="B23" s="22"/>
      <c r="C23" s="68"/>
      <c r="D23" s="68"/>
      <c r="E23" s="22"/>
      <c r="F23" s="22"/>
      <c r="G23" s="67" t="str">
        <f aca="false">IF(OR(E23="",F23=""),"",IF(AND(E23&lt;=2,F23&lt;=2),"TRIGGER","OK"))</f>
        <v/>
      </c>
      <c r="H23" s="22"/>
      <c r="I23" s="22"/>
      <c r="J23" s="67" t="str">
        <f aca="false">IF(OR(H23="",I23=""),"",IF(AND(H23&lt;=2,I23&lt;=2),"TRIGGER","OK"))</f>
        <v/>
      </c>
      <c r="K23" s="22"/>
      <c r="L23" s="22"/>
      <c r="M23" s="67" t="str">
        <f aca="false">IF(OR(K23="",L23=""),"",IF(AND(K23&lt;=2,L23&lt;=2),"TRIGGER","OK"))</f>
        <v/>
      </c>
      <c r="N23" s="22"/>
      <c r="O23" s="22"/>
      <c r="P23" s="67" t="str">
        <f aca="false">IF(OR(N23="",O23=""),"",IF(AND(N23&lt;=2,O23&lt;=2),"TRIGGER","OK"))</f>
        <v/>
      </c>
      <c r="Q23" s="22"/>
      <c r="R23" s="22"/>
      <c r="S23" s="67" t="str">
        <f aca="false">IF(OR(Q23="",R23=""),"",IF(AND(Q23&lt;=2,R23&lt;=2),"TRIGGER","OK"))</f>
        <v/>
      </c>
      <c r="T23" s="62"/>
      <c r="U23" s="62"/>
      <c r="V23" s="68"/>
      <c r="W23" s="68"/>
      <c r="X23" s="22"/>
      <c r="Y23" s="22"/>
      <c r="Z23" s="67"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22"/>
      <c r="AB23" s="42"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V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13">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13">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13">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13">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13">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20">
      <formula>ISNUMBER(SEARCH("OK",AB4))</formula>
    </cfRule>
    <cfRule type="expression" priority="15" aboveAverage="0" equalAverage="0" bottom="0" percent="0" rank="0" text="" dxfId="1">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11"/>
    <col collapsed="false" customWidth="true" hidden="false" outlineLevel="0" max="4" min="4" style="1" width="9"/>
    <col collapsed="false" customWidth="true" hidden="false" outlineLevel="0" max="5" min="5" style="1" width="8"/>
    <col collapsed="false" customWidth="true" hidden="false" outlineLevel="0" max="6" min="6" style="1" width="9"/>
    <col collapsed="false" customWidth="true" hidden="false" outlineLevel="0" max="7" min="7" style="1" width="12"/>
    <col collapsed="false" customWidth="true" hidden="false" outlineLevel="0" max="8" min="8" style="1" width="10"/>
    <col collapsed="false" customWidth="true" hidden="false" outlineLevel="0" max="10" min="9" style="1" width="11"/>
    <col collapsed="false" customWidth="true" hidden="false" outlineLevel="0" max="11" min="11" style="1" width="9"/>
    <col collapsed="false" customWidth="true" hidden="false" outlineLevel="0" max="12" min="12" style="1" width="20"/>
    <col collapsed="false" customWidth="true" hidden="false" outlineLevel="0" max="14" min="13" style="1" width="11"/>
    <col collapsed="false" customWidth="true" hidden="false" outlineLevel="0" max="16" min="15" style="1" width="12"/>
    <col collapsed="false" customWidth="true" hidden="false" outlineLevel="0" max="17" min="17" style="1" width="11"/>
  </cols>
  <sheetData>
    <row r="1" customFormat="false" ht="25.5" hidden="false" customHeight="true" outlineLevel="0" collapsed="false">
      <c r="A1" s="16" t="s">
        <v>392</v>
      </c>
      <c r="B1" s="16"/>
      <c r="C1" s="16"/>
      <c r="D1" s="16"/>
      <c r="E1" s="16"/>
      <c r="F1" s="16"/>
      <c r="G1" s="16"/>
      <c r="H1" s="16"/>
      <c r="I1" s="16"/>
      <c r="J1" s="16"/>
      <c r="K1" s="16"/>
      <c r="L1" s="16"/>
      <c r="M1" s="16"/>
      <c r="N1" s="16"/>
      <c r="O1" s="16"/>
      <c r="P1" s="16"/>
      <c r="Q1" s="16"/>
    </row>
    <row r="2" customFormat="false" ht="31.5" hidden="false" customHeight="true" outlineLevel="0" collapsed="false">
      <c r="A2" s="18" t="s">
        <v>74</v>
      </c>
      <c r="B2" s="18" t="s">
        <v>185</v>
      </c>
      <c r="C2" s="18" t="s">
        <v>393</v>
      </c>
      <c r="D2" s="18" t="s">
        <v>394</v>
      </c>
      <c r="E2" s="18" t="s">
        <v>346</v>
      </c>
      <c r="F2" s="18" t="s">
        <v>395</v>
      </c>
      <c r="G2" s="18" t="s">
        <v>396</v>
      </c>
      <c r="H2" s="18" t="s">
        <v>397</v>
      </c>
      <c r="I2" s="18" t="s">
        <v>398</v>
      </c>
      <c r="J2" s="18" t="s">
        <v>399</v>
      </c>
      <c r="K2" s="18" t="s">
        <v>400</v>
      </c>
      <c r="L2" s="18" t="s">
        <v>401</v>
      </c>
      <c r="M2" s="18" t="s">
        <v>402</v>
      </c>
      <c r="N2" s="18" t="s">
        <v>403</v>
      </c>
      <c r="O2" s="18" t="s">
        <v>404</v>
      </c>
      <c r="P2" s="18" t="s">
        <v>405</v>
      </c>
      <c r="Q2" s="18" t="s">
        <v>406</v>
      </c>
    </row>
    <row r="3" customFormat="false" ht="15" hidden="false" customHeight="true" outlineLevel="0" collapsed="false">
      <c r="A3" s="22"/>
      <c r="B3" s="22"/>
      <c r="C3" s="40"/>
      <c r="D3" s="38"/>
      <c r="E3" s="22"/>
      <c r="F3" s="22"/>
      <c r="G3" s="22"/>
      <c r="H3" s="38"/>
      <c r="I3" s="22"/>
      <c r="J3" s="40"/>
      <c r="K3" s="38"/>
      <c r="L3" s="22"/>
      <c r="M3" s="38"/>
      <c r="N3" s="38"/>
      <c r="O3" s="39" t="str">
        <f aca="false">IF(OR(D3="",M3=""),"",M3/D3-1)</f>
        <v/>
      </c>
      <c r="P3" s="25" t="str">
        <f aca="false">IF(OR(H3="",N3=""),"",N3/H3-1)</f>
        <v/>
      </c>
      <c r="Q3" s="39" t="str">
        <f aca="false">IF(OR(O3="",P3=""),"",O3-P3)</f>
        <v/>
      </c>
    </row>
    <row r="4" customFormat="false" ht="15" hidden="false" customHeight="true" outlineLevel="0" collapsed="false">
      <c r="A4" s="22"/>
      <c r="B4" s="22"/>
      <c r="C4" s="40"/>
      <c r="D4" s="38"/>
      <c r="E4" s="22"/>
      <c r="F4" s="22"/>
      <c r="G4" s="22"/>
      <c r="H4" s="38"/>
      <c r="I4" s="22"/>
      <c r="J4" s="40"/>
      <c r="K4" s="38"/>
      <c r="L4" s="22"/>
      <c r="M4" s="38"/>
      <c r="N4" s="38"/>
      <c r="O4" s="39" t="str">
        <f aca="false">IF(OR(D4="",M4=""),"",M4/D4-1)</f>
        <v/>
      </c>
      <c r="P4" s="25" t="str">
        <f aca="false">IF(OR(H4="",N4=""),"",N4/H4-1)</f>
        <v/>
      </c>
      <c r="Q4" s="39" t="str">
        <f aca="false">IF(OR(O4="",P4=""),"",O4-P4)</f>
        <v/>
      </c>
    </row>
    <row r="5" customFormat="false" ht="15" hidden="false" customHeight="true" outlineLevel="0" collapsed="false">
      <c r="A5" s="22"/>
      <c r="B5" s="22"/>
      <c r="C5" s="40"/>
      <c r="D5" s="38"/>
      <c r="E5" s="22"/>
      <c r="F5" s="22"/>
      <c r="G5" s="22"/>
      <c r="H5" s="38"/>
      <c r="I5" s="22"/>
      <c r="J5" s="40"/>
      <c r="K5" s="38"/>
      <c r="L5" s="22"/>
      <c r="M5" s="38"/>
      <c r="N5" s="38"/>
      <c r="O5" s="39" t="str">
        <f aca="false">IF(OR(D5="",M5=""),"",M5/D5-1)</f>
        <v/>
      </c>
      <c r="P5" s="25" t="str">
        <f aca="false">IF(OR(H5="",N5=""),"",N5/H5-1)</f>
        <v/>
      </c>
      <c r="Q5" s="39" t="str">
        <f aca="false">IF(OR(O5="",P5=""),"",O5-P5)</f>
        <v/>
      </c>
    </row>
    <row r="6" customFormat="false" ht="15" hidden="false" customHeight="true" outlineLevel="0" collapsed="false">
      <c r="A6" s="22"/>
      <c r="B6" s="22"/>
      <c r="C6" s="40"/>
      <c r="D6" s="38"/>
      <c r="E6" s="22"/>
      <c r="F6" s="22"/>
      <c r="G6" s="22"/>
      <c r="H6" s="38"/>
      <c r="I6" s="22"/>
      <c r="J6" s="40"/>
      <c r="K6" s="38"/>
      <c r="L6" s="22"/>
      <c r="M6" s="38"/>
      <c r="N6" s="38"/>
      <c r="O6" s="39" t="str">
        <f aca="false">IF(OR(D6="",M6=""),"",M6/D6-1)</f>
        <v/>
      </c>
      <c r="P6" s="25" t="str">
        <f aca="false">IF(OR(H6="",N6=""),"",N6/H6-1)</f>
        <v/>
      </c>
      <c r="Q6" s="39" t="str">
        <f aca="false">IF(OR(O6="",P6=""),"",O6-P6)</f>
        <v/>
      </c>
    </row>
    <row r="7" customFormat="false" ht="15" hidden="false" customHeight="true" outlineLevel="0" collapsed="false">
      <c r="A7" s="22"/>
      <c r="B7" s="22"/>
      <c r="C7" s="40"/>
      <c r="D7" s="38"/>
      <c r="E7" s="22"/>
      <c r="F7" s="22"/>
      <c r="G7" s="22"/>
      <c r="H7" s="38"/>
      <c r="I7" s="22"/>
      <c r="J7" s="40"/>
      <c r="K7" s="38"/>
      <c r="L7" s="22"/>
      <c r="M7" s="38"/>
      <c r="N7" s="38"/>
      <c r="O7" s="39" t="str">
        <f aca="false">IF(OR(D7="",M7=""),"",M7/D7-1)</f>
        <v/>
      </c>
      <c r="P7" s="25" t="str">
        <f aca="false">IF(OR(H7="",N7=""),"",N7/H7-1)</f>
        <v/>
      </c>
      <c r="Q7" s="39" t="str">
        <f aca="false">IF(OR(O7="",P7=""),"",O7-P7)</f>
        <v/>
      </c>
    </row>
    <row r="8" customFormat="false" ht="15" hidden="false" customHeight="true" outlineLevel="0" collapsed="false">
      <c r="A8" s="22"/>
      <c r="B8" s="22"/>
      <c r="C8" s="40"/>
      <c r="D8" s="38"/>
      <c r="E8" s="22"/>
      <c r="F8" s="22"/>
      <c r="G8" s="22"/>
      <c r="H8" s="38"/>
      <c r="I8" s="22"/>
      <c r="J8" s="40"/>
      <c r="K8" s="38"/>
      <c r="L8" s="22"/>
      <c r="M8" s="38"/>
      <c r="N8" s="38"/>
      <c r="O8" s="39" t="str">
        <f aca="false">IF(OR(D8="",M8=""),"",M8/D8-1)</f>
        <v/>
      </c>
      <c r="P8" s="25" t="str">
        <f aca="false">IF(OR(H8="",N8=""),"",N8/H8-1)</f>
        <v/>
      </c>
      <c r="Q8" s="39" t="str">
        <f aca="false">IF(OR(O8="",P8=""),"",O8-P8)</f>
        <v/>
      </c>
    </row>
    <row r="9" customFormat="false" ht="15" hidden="false" customHeight="true" outlineLevel="0" collapsed="false">
      <c r="A9" s="22"/>
      <c r="B9" s="22"/>
      <c r="C9" s="40"/>
      <c r="D9" s="38"/>
      <c r="E9" s="22"/>
      <c r="F9" s="22"/>
      <c r="G9" s="22"/>
      <c r="H9" s="38"/>
      <c r="I9" s="22"/>
      <c r="J9" s="40"/>
      <c r="K9" s="38"/>
      <c r="L9" s="22"/>
      <c r="M9" s="38"/>
      <c r="N9" s="38"/>
      <c r="O9" s="39" t="str">
        <f aca="false">IF(OR(D9="",M9=""),"",M9/D9-1)</f>
        <v/>
      </c>
      <c r="P9" s="25" t="str">
        <f aca="false">IF(OR(H9="",N9=""),"",N9/H9-1)</f>
        <v/>
      </c>
      <c r="Q9" s="39" t="str">
        <f aca="false">IF(OR(O9="",P9=""),"",O9-P9)</f>
        <v/>
      </c>
    </row>
    <row r="10" customFormat="false" ht="15" hidden="false" customHeight="true" outlineLevel="0" collapsed="false">
      <c r="A10" s="22"/>
      <c r="B10" s="22"/>
      <c r="C10" s="40"/>
      <c r="D10" s="38"/>
      <c r="E10" s="22"/>
      <c r="F10" s="22"/>
      <c r="G10" s="22"/>
      <c r="H10" s="38"/>
      <c r="I10" s="22"/>
      <c r="J10" s="40"/>
      <c r="K10" s="38"/>
      <c r="L10" s="22"/>
      <c r="M10" s="38"/>
      <c r="N10" s="38"/>
      <c r="O10" s="39" t="str">
        <f aca="false">IF(OR(D10="",M10=""),"",M10/D10-1)</f>
        <v/>
      </c>
      <c r="P10" s="25" t="str">
        <f aca="false">IF(OR(H10="",N10=""),"",N10/H10-1)</f>
        <v/>
      </c>
      <c r="Q10" s="39" t="str">
        <f aca="false">IF(OR(O10="",P10=""),"",O10-P10)</f>
        <v/>
      </c>
    </row>
    <row r="11" customFormat="false" ht="15" hidden="false" customHeight="true" outlineLevel="0" collapsed="false">
      <c r="A11" s="22"/>
      <c r="B11" s="22"/>
      <c r="C11" s="40"/>
      <c r="D11" s="38"/>
      <c r="E11" s="22"/>
      <c r="F11" s="22"/>
      <c r="G11" s="22"/>
      <c r="H11" s="38"/>
      <c r="I11" s="22"/>
      <c r="J11" s="40"/>
      <c r="K11" s="38"/>
      <c r="L11" s="22"/>
      <c r="M11" s="38"/>
      <c r="N11" s="38"/>
      <c r="O11" s="39" t="str">
        <f aca="false">IF(OR(D11="",M11=""),"",M11/D11-1)</f>
        <v/>
      </c>
      <c r="P11" s="25" t="str">
        <f aca="false">IF(OR(H11="",N11=""),"",N11/H11-1)</f>
        <v/>
      </c>
      <c r="Q11" s="39" t="str">
        <f aca="false">IF(OR(O11="",P11=""),"",O11-P11)</f>
        <v/>
      </c>
    </row>
    <row r="12" customFormat="false" ht="15" hidden="false" customHeight="true" outlineLevel="0" collapsed="false">
      <c r="A12" s="22"/>
      <c r="B12" s="22"/>
      <c r="C12" s="40"/>
      <c r="D12" s="38"/>
      <c r="E12" s="22"/>
      <c r="F12" s="22"/>
      <c r="G12" s="22"/>
      <c r="H12" s="38"/>
      <c r="I12" s="22"/>
      <c r="J12" s="40"/>
      <c r="K12" s="38"/>
      <c r="L12" s="22"/>
      <c r="M12" s="38"/>
      <c r="N12" s="38"/>
      <c r="O12" s="39" t="str">
        <f aca="false">IF(OR(D12="",M12=""),"",M12/D12-1)</f>
        <v/>
      </c>
      <c r="P12" s="25" t="str">
        <f aca="false">IF(OR(H12="",N12=""),"",N12/H12-1)</f>
        <v/>
      </c>
      <c r="Q12" s="39" t="str">
        <f aca="false">IF(OR(O12="",P12=""),"",O12-P12)</f>
        <v/>
      </c>
    </row>
    <row r="13" customFormat="false" ht="15" hidden="false" customHeight="true" outlineLevel="0" collapsed="false">
      <c r="A13" s="22"/>
      <c r="B13" s="22"/>
      <c r="C13" s="40"/>
      <c r="D13" s="38"/>
      <c r="E13" s="22"/>
      <c r="F13" s="22"/>
      <c r="G13" s="22"/>
      <c r="H13" s="38"/>
      <c r="I13" s="22"/>
      <c r="J13" s="40"/>
      <c r="K13" s="38"/>
      <c r="L13" s="22"/>
      <c r="M13" s="38"/>
      <c r="N13" s="38"/>
      <c r="O13" s="39" t="str">
        <f aca="false">IF(OR(D13="",M13=""),"",M13/D13-1)</f>
        <v/>
      </c>
      <c r="P13" s="25" t="str">
        <f aca="false">IF(OR(H13="",N13=""),"",N13/H13-1)</f>
        <v/>
      </c>
      <c r="Q13" s="39" t="str">
        <f aca="false">IF(OR(O13="",P13=""),"",O13-P13)</f>
        <v/>
      </c>
    </row>
    <row r="14" customFormat="false" ht="15" hidden="false" customHeight="true" outlineLevel="0" collapsed="false">
      <c r="A14" s="22"/>
      <c r="B14" s="22"/>
      <c r="C14" s="40"/>
      <c r="D14" s="38"/>
      <c r="E14" s="22"/>
      <c r="F14" s="22"/>
      <c r="G14" s="22"/>
      <c r="H14" s="38"/>
      <c r="I14" s="22"/>
      <c r="J14" s="40"/>
      <c r="K14" s="38"/>
      <c r="L14" s="22"/>
      <c r="M14" s="38"/>
      <c r="N14" s="38"/>
      <c r="O14" s="39" t="str">
        <f aca="false">IF(OR(D14="",M14=""),"",M14/D14-1)</f>
        <v/>
      </c>
      <c r="P14" s="25" t="str">
        <f aca="false">IF(OR(H14="",N14=""),"",N14/H14-1)</f>
        <v/>
      </c>
      <c r="Q14" s="39" t="str">
        <f aca="false">IF(OR(O14="",P14=""),"",O14-P14)</f>
        <v/>
      </c>
    </row>
    <row r="15" customFormat="false" ht="15" hidden="false" customHeight="true" outlineLevel="0" collapsed="false">
      <c r="A15" s="22"/>
      <c r="B15" s="22"/>
      <c r="C15" s="40"/>
      <c r="D15" s="38"/>
      <c r="E15" s="22"/>
      <c r="F15" s="22"/>
      <c r="G15" s="22"/>
      <c r="H15" s="38"/>
      <c r="I15" s="22"/>
      <c r="J15" s="40"/>
      <c r="K15" s="38"/>
      <c r="L15" s="22"/>
      <c r="M15" s="38"/>
      <c r="N15" s="38"/>
      <c r="O15" s="39" t="str">
        <f aca="false">IF(OR(D15="",M15=""),"",M15/D15-1)</f>
        <v/>
      </c>
      <c r="P15" s="25" t="str">
        <f aca="false">IF(OR(H15="",N15=""),"",N15/H15-1)</f>
        <v/>
      </c>
      <c r="Q15" s="39" t="str">
        <f aca="false">IF(OR(O15="",P15=""),"",O15-P15)</f>
        <v/>
      </c>
    </row>
    <row r="16" customFormat="false" ht="15" hidden="false" customHeight="true" outlineLevel="0" collapsed="false">
      <c r="A16" s="22"/>
      <c r="B16" s="22"/>
      <c r="C16" s="40"/>
      <c r="D16" s="38"/>
      <c r="E16" s="22"/>
      <c r="F16" s="22"/>
      <c r="G16" s="22"/>
      <c r="H16" s="38"/>
      <c r="I16" s="22"/>
      <c r="J16" s="40"/>
      <c r="K16" s="38"/>
      <c r="L16" s="22"/>
      <c r="M16" s="38"/>
      <c r="N16" s="38"/>
      <c r="O16" s="39" t="str">
        <f aca="false">IF(OR(D16="",M16=""),"",M16/D16-1)</f>
        <v/>
      </c>
      <c r="P16" s="25" t="str">
        <f aca="false">IF(OR(H16="",N16=""),"",N16/H16-1)</f>
        <v/>
      </c>
      <c r="Q16" s="39" t="str">
        <f aca="false">IF(OR(O16="",P16=""),"",O16-P16)</f>
        <v/>
      </c>
    </row>
    <row r="17" customFormat="false" ht="15" hidden="false" customHeight="true" outlineLevel="0" collapsed="false">
      <c r="A17" s="22"/>
      <c r="B17" s="22"/>
      <c r="C17" s="40"/>
      <c r="D17" s="38"/>
      <c r="E17" s="22"/>
      <c r="F17" s="22"/>
      <c r="G17" s="22"/>
      <c r="H17" s="38"/>
      <c r="I17" s="22"/>
      <c r="J17" s="40"/>
      <c r="K17" s="38"/>
      <c r="L17" s="22"/>
      <c r="M17" s="38"/>
      <c r="N17" s="38"/>
      <c r="O17" s="39" t="str">
        <f aca="false">IF(OR(D17="",M17=""),"",M17/D17-1)</f>
        <v/>
      </c>
      <c r="P17" s="25" t="str">
        <f aca="false">IF(OR(H17="",N17=""),"",N17/H17-1)</f>
        <v/>
      </c>
      <c r="Q17" s="39" t="str">
        <f aca="false">IF(OR(O17="",P17=""),"",O17-P17)</f>
        <v/>
      </c>
    </row>
    <row r="18" customFormat="false" ht="15" hidden="false" customHeight="true" outlineLevel="0" collapsed="false">
      <c r="A18" s="22"/>
      <c r="B18" s="22"/>
      <c r="C18" s="40"/>
      <c r="D18" s="38"/>
      <c r="E18" s="22"/>
      <c r="F18" s="22"/>
      <c r="G18" s="22"/>
      <c r="H18" s="38"/>
      <c r="I18" s="22"/>
      <c r="J18" s="40"/>
      <c r="K18" s="38"/>
      <c r="L18" s="22"/>
      <c r="M18" s="38"/>
      <c r="N18" s="38"/>
      <c r="O18" s="39" t="str">
        <f aca="false">IF(OR(D18="",M18=""),"",M18/D18-1)</f>
        <v/>
      </c>
      <c r="P18" s="25" t="str">
        <f aca="false">IF(OR(H18="",N18=""),"",N18/H18-1)</f>
        <v/>
      </c>
      <c r="Q18" s="39" t="str">
        <f aca="false">IF(OR(O18="",P18=""),"",O18-P18)</f>
        <v/>
      </c>
    </row>
    <row r="19" customFormat="false" ht="15" hidden="false" customHeight="true" outlineLevel="0" collapsed="false">
      <c r="A19" s="22"/>
      <c r="B19" s="22"/>
      <c r="C19" s="40"/>
      <c r="D19" s="38"/>
      <c r="E19" s="22"/>
      <c r="F19" s="22"/>
      <c r="G19" s="22"/>
      <c r="H19" s="38"/>
      <c r="I19" s="22"/>
      <c r="J19" s="40"/>
      <c r="K19" s="38"/>
      <c r="L19" s="22"/>
      <c r="M19" s="38"/>
      <c r="N19" s="38"/>
      <c r="O19" s="39" t="str">
        <f aca="false">IF(OR(D19="",M19=""),"",M19/D19-1)</f>
        <v/>
      </c>
      <c r="P19" s="25" t="str">
        <f aca="false">IF(OR(H19="",N19=""),"",N19/H19-1)</f>
        <v/>
      </c>
      <c r="Q19" s="39" t="str">
        <f aca="false">IF(OR(O19="",P19=""),"",O19-P19)</f>
        <v/>
      </c>
    </row>
    <row r="20" customFormat="false" ht="15" hidden="false" customHeight="true" outlineLevel="0" collapsed="false">
      <c r="A20" s="22"/>
      <c r="B20" s="22"/>
      <c r="C20" s="40"/>
      <c r="D20" s="38"/>
      <c r="E20" s="22"/>
      <c r="F20" s="22"/>
      <c r="G20" s="22"/>
      <c r="H20" s="38"/>
      <c r="I20" s="22"/>
      <c r="J20" s="40"/>
      <c r="K20" s="38"/>
      <c r="L20" s="22"/>
      <c r="M20" s="38"/>
      <c r="N20" s="38"/>
      <c r="O20" s="39" t="str">
        <f aca="false">IF(OR(D20="",M20=""),"",M20/D20-1)</f>
        <v/>
      </c>
      <c r="P20" s="25" t="str">
        <f aca="false">IF(OR(H20="",N20=""),"",N20/H20-1)</f>
        <v/>
      </c>
      <c r="Q20" s="39" t="str">
        <f aca="false">IF(OR(O20="",P20=""),"",O20-P20)</f>
        <v/>
      </c>
    </row>
    <row r="21" customFormat="false" ht="15" hidden="false" customHeight="true" outlineLevel="0" collapsed="false">
      <c r="A21" s="22"/>
      <c r="B21" s="22"/>
      <c r="C21" s="40"/>
      <c r="D21" s="38"/>
      <c r="E21" s="22"/>
      <c r="F21" s="22"/>
      <c r="G21" s="22"/>
      <c r="H21" s="38"/>
      <c r="I21" s="22"/>
      <c r="J21" s="40"/>
      <c r="K21" s="38"/>
      <c r="L21" s="22"/>
      <c r="M21" s="38"/>
      <c r="N21" s="38"/>
      <c r="O21" s="39" t="str">
        <f aca="false">IF(OR(D21="",M21=""),"",M21/D21-1)</f>
        <v/>
      </c>
      <c r="P21" s="25" t="str">
        <f aca="false">IF(OR(H21="",N21=""),"",N21/H21-1)</f>
        <v/>
      </c>
      <c r="Q21" s="39" t="str">
        <f aca="false">IF(OR(O21="",P21=""),"",O21-P21)</f>
        <v/>
      </c>
    </row>
    <row r="22" customFormat="false" ht="15" hidden="false" customHeight="true" outlineLevel="0" collapsed="false">
      <c r="A22" s="22"/>
      <c r="B22" s="22"/>
      <c r="C22" s="40"/>
      <c r="D22" s="38"/>
      <c r="E22" s="22"/>
      <c r="F22" s="22"/>
      <c r="G22" s="22"/>
      <c r="H22" s="38"/>
      <c r="I22" s="22"/>
      <c r="J22" s="40"/>
      <c r="K22" s="38"/>
      <c r="L22" s="22"/>
      <c r="M22" s="38"/>
      <c r="N22" s="38"/>
      <c r="O22" s="39" t="str">
        <f aca="false">IF(OR(D22="",M22=""),"",M22/D22-1)</f>
        <v/>
      </c>
      <c r="P22" s="25" t="str">
        <f aca="false">IF(OR(H22="",N22=""),"",N22/H22-1)</f>
        <v/>
      </c>
      <c r="Q22" s="39" t="str">
        <f aca="false">IF(OR(O22="",P22=""),"",O22-P22)</f>
        <v/>
      </c>
    </row>
    <row r="23" customFormat="false" ht="15" hidden="false" customHeight="true" outlineLevel="0" collapsed="false">
      <c r="A23" s="22"/>
      <c r="B23" s="22"/>
      <c r="C23" s="40"/>
      <c r="D23" s="38"/>
      <c r="E23" s="22"/>
      <c r="F23" s="22"/>
      <c r="G23" s="22"/>
      <c r="H23" s="38"/>
      <c r="I23" s="22"/>
      <c r="J23" s="40"/>
      <c r="K23" s="38"/>
      <c r="L23" s="22"/>
      <c r="M23" s="38"/>
      <c r="N23" s="38"/>
      <c r="O23" s="39" t="str">
        <f aca="false">IF(OR(D23="",M23=""),"",M23/D23-1)</f>
        <v/>
      </c>
      <c r="P23" s="25" t="str">
        <f aca="false">IF(OR(H23="",N23=""),"",N23/H23-1)</f>
        <v/>
      </c>
      <c r="Q23" s="39" t="str">
        <f aca="false">IF(OR(O23="",P23=""),"",O23-P23)</f>
        <v/>
      </c>
    </row>
    <row r="24" customFormat="false" ht="15" hidden="false" customHeight="true" outlineLevel="0" collapsed="false">
      <c r="A24" s="22"/>
      <c r="B24" s="22"/>
      <c r="C24" s="40"/>
      <c r="D24" s="38"/>
      <c r="E24" s="22"/>
      <c r="F24" s="22"/>
      <c r="G24" s="22"/>
      <c r="H24" s="38"/>
      <c r="I24" s="22"/>
      <c r="J24" s="40"/>
      <c r="K24" s="38"/>
      <c r="L24" s="22"/>
      <c r="M24" s="38"/>
      <c r="N24" s="38"/>
      <c r="O24" s="39" t="str">
        <f aca="false">IF(OR(D24="",M24=""),"",M24/D24-1)</f>
        <v/>
      </c>
      <c r="P24" s="25" t="str">
        <f aca="false">IF(OR(H24="",N24=""),"",N24/H24-1)</f>
        <v/>
      </c>
      <c r="Q24" s="39" t="str">
        <f aca="false">IF(OR(O24="",P24=""),"",O24-P24)</f>
        <v/>
      </c>
    </row>
    <row r="25" customFormat="false" ht="15" hidden="false" customHeight="true" outlineLevel="0" collapsed="false">
      <c r="A25" s="22"/>
      <c r="B25" s="22"/>
      <c r="C25" s="40"/>
      <c r="D25" s="38"/>
      <c r="E25" s="22"/>
      <c r="F25" s="22"/>
      <c r="G25" s="22"/>
      <c r="H25" s="38"/>
      <c r="I25" s="22"/>
      <c r="J25" s="40"/>
      <c r="K25" s="38"/>
      <c r="L25" s="22"/>
      <c r="M25" s="38"/>
      <c r="N25" s="38"/>
      <c r="O25" s="39" t="str">
        <f aca="false">IF(OR(D25="",M25=""),"",M25/D25-1)</f>
        <v/>
      </c>
      <c r="P25" s="25" t="str">
        <f aca="false">IF(OR(H25="",N25=""),"",N25/H25-1)</f>
        <v/>
      </c>
      <c r="Q25" s="39" t="str">
        <f aca="false">IF(OR(O25="",P25=""),"",O25-P25)</f>
        <v/>
      </c>
    </row>
    <row r="26" customFormat="false" ht="15" hidden="false" customHeight="true" outlineLevel="0" collapsed="false">
      <c r="A26" s="22"/>
      <c r="B26" s="22"/>
      <c r="C26" s="40"/>
      <c r="D26" s="38"/>
      <c r="E26" s="22"/>
      <c r="F26" s="22"/>
      <c r="G26" s="22"/>
      <c r="H26" s="38"/>
      <c r="I26" s="22"/>
      <c r="J26" s="40"/>
      <c r="K26" s="38"/>
      <c r="L26" s="22"/>
      <c r="M26" s="38"/>
      <c r="N26" s="38"/>
      <c r="O26" s="39" t="str">
        <f aca="false">IF(OR(D26="",M26=""),"",M26/D26-1)</f>
        <v/>
      </c>
      <c r="P26" s="25" t="str">
        <f aca="false">IF(OR(H26="",N26=""),"",N26/H26-1)</f>
        <v/>
      </c>
      <c r="Q26" s="39" t="str">
        <f aca="false">IF(OR(O26="",P26=""),"",O26-P26)</f>
        <v/>
      </c>
    </row>
    <row r="27" customFormat="false" ht="15" hidden="false" customHeight="true" outlineLevel="0" collapsed="false">
      <c r="A27" s="22"/>
      <c r="B27" s="22"/>
      <c r="C27" s="40"/>
      <c r="D27" s="38"/>
      <c r="E27" s="22"/>
      <c r="F27" s="22"/>
      <c r="G27" s="22"/>
      <c r="H27" s="38"/>
      <c r="I27" s="22"/>
      <c r="J27" s="40"/>
      <c r="K27" s="38"/>
      <c r="L27" s="22"/>
      <c r="M27" s="38"/>
      <c r="N27" s="38"/>
      <c r="O27" s="39" t="str">
        <f aca="false">IF(OR(D27="",M27=""),"",M27/D27-1)</f>
        <v/>
      </c>
      <c r="P27" s="25" t="str">
        <f aca="false">IF(OR(H27="",N27=""),"",N27/H27-1)</f>
        <v/>
      </c>
      <c r="Q27" s="39" t="str">
        <f aca="false">IF(OR(O27="",P27=""),"",O27-P27)</f>
        <v/>
      </c>
    </row>
    <row r="28" customFormat="false" ht="15" hidden="false" customHeight="true" outlineLevel="0" collapsed="false">
      <c r="A28" s="22"/>
      <c r="B28" s="22"/>
      <c r="C28" s="40"/>
      <c r="D28" s="38"/>
      <c r="E28" s="22"/>
      <c r="F28" s="22"/>
      <c r="G28" s="22"/>
      <c r="H28" s="38"/>
      <c r="I28" s="22"/>
      <c r="J28" s="40"/>
      <c r="K28" s="38"/>
      <c r="L28" s="22"/>
      <c r="M28" s="38"/>
      <c r="N28" s="38"/>
      <c r="O28" s="39" t="str">
        <f aca="false">IF(OR(D28="",M28=""),"",M28/D28-1)</f>
        <v/>
      </c>
      <c r="P28" s="25" t="str">
        <f aca="false">IF(OR(H28="",N28=""),"",N28/H28-1)</f>
        <v/>
      </c>
      <c r="Q28" s="39" t="str">
        <f aca="false">IF(OR(O28="",P28=""),"",O28-P28)</f>
        <v/>
      </c>
    </row>
    <row r="29" customFormat="false" ht="15" hidden="false" customHeight="true" outlineLevel="0" collapsed="false">
      <c r="A29" s="22"/>
      <c r="B29" s="22"/>
      <c r="C29" s="40"/>
      <c r="D29" s="38"/>
      <c r="E29" s="22"/>
      <c r="F29" s="22"/>
      <c r="G29" s="22"/>
      <c r="H29" s="38"/>
      <c r="I29" s="22"/>
      <c r="J29" s="40"/>
      <c r="K29" s="38"/>
      <c r="L29" s="22"/>
      <c r="M29" s="38"/>
      <c r="N29" s="38"/>
      <c r="O29" s="39" t="str">
        <f aca="false">IF(OR(D29="",M29=""),"",M29/D29-1)</f>
        <v/>
      </c>
      <c r="P29" s="25" t="str">
        <f aca="false">IF(OR(H29="",N29=""),"",N29/H29-1)</f>
        <v/>
      </c>
      <c r="Q29" s="39" t="str">
        <f aca="false">IF(OR(O29="",P29=""),"",O29-P29)</f>
        <v/>
      </c>
    </row>
    <row r="30" customFormat="false" ht="15" hidden="false" customHeight="true" outlineLevel="0" collapsed="false">
      <c r="A30" s="22"/>
      <c r="B30" s="22"/>
      <c r="C30" s="40"/>
      <c r="D30" s="38"/>
      <c r="E30" s="22"/>
      <c r="F30" s="22"/>
      <c r="G30" s="22"/>
      <c r="H30" s="38"/>
      <c r="I30" s="22"/>
      <c r="J30" s="40"/>
      <c r="K30" s="38"/>
      <c r="L30" s="22"/>
      <c r="M30" s="38"/>
      <c r="N30" s="38"/>
      <c r="O30" s="39" t="str">
        <f aca="false">IF(OR(D30="",M30=""),"",M30/D30-1)</f>
        <v/>
      </c>
      <c r="P30" s="25" t="str">
        <f aca="false">IF(OR(H30="",N30=""),"",N30/H30-1)</f>
        <v/>
      </c>
      <c r="Q30" s="39" t="str">
        <f aca="false">IF(OR(O30="",P30=""),"",O30-P30)</f>
        <v/>
      </c>
    </row>
    <row r="31" customFormat="false" ht="15" hidden="false" customHeight="true" outlineLevel="0" collapsed="false">
      <c r="A31" s="22"/>
      <c r="B31" s="22"/>
      <c r="C31" s="40"/>
      <c r="D31" s="38"/>
      <c r="E31" s="22"/>
      <c r="F31" s="22"/>
      <c r="G31" s="22"/>
      <c r="H31" s="38"/>
      <c r="I31" s="22"/>
      <c r="J31" s="40"/>
      <c r="K31" s="38"/>
      <c r="L31" s="22"/>
      <c r="M31" s="38"/>
      <c r="N31" s="38"/>
      <c r="O31" s="39" t="str">
        <f aca="false">IF(OR(D31="",M31=""),"",M31/D31-1)</f>
        <v/>
      </c>
      <c r="P31" s="25" t="str">
        <f aca="false">IF(OR(H31="",N31=""),"",N31/H31-1)</f>
        <v/>
      </c>
      <c r="Q31" s="39" t="str">
        <f aca="false">IF(OR(O31="",P31=""),"",O31-P31)</f>
        <v/>
      </c>
    </row>
    <row r="32" customFormat="false" ht="15" hidden="false" customHeight="true" outlineLevel="0" collapsed="false">
      <c r="A32" s="22"/>
      <c r="B32" s="22"/>
      <c r="C32" s="40"/>
      <c r="D32" s="38"/>
      <c r="E32" s="22"/>
      <c r="F32" s="22"/>
      <c r="G32" s="22"/>
      <c r="H32" s="38"/>
      <c r="I32" s="22"/>
      <c r="J32" s="40"/>
      <c r="K32" s="38"/>
      <c r="L32" s="22"/>
      <c r="M32" s="38"/>
      <c r="N32" s="38"/>
      <c r="O32" s="39" t="str">
        <f aca="false">IF(OR(D32="",M32=""),"",M32/D32-1)</f>
        <v/>
      </c>
      <c r="P32" s="25" t="str">
        <f aca="false">IF(OR(H32="",N32=""),"",N32/H32-1)</f>
        <v/>
      </c>
      <c r="Q32" s="39" t="str">
        <f aca="false">IF(OR(O32="",P32=""),"",O32-P32)</f>
        <v/>
      </c>
    </row>
    <row r="34" customFormat="false" ht="15" hidden="false" customHeight="true" outlineLevel="0" collapsed="false">
      <c r="A34" s="74" t="s">
        <v>407</v>
      </c>
      <c r="B34" s="74"/>
      <c r="C34" s="74"/>
      <c r="D34" s="74"/>
      <c r="E34" s="74"/>
      <c r="F34" s="74"/>
      <c r="G34" s="74"/>
      <c r="H34" s="74"/>
      <c r="I34" s="74"/>
      <c r="J34" s="74"/>
      <c r="K34" s="74"/>
      <c r="L34" s="74"/>
      <c r="M34" s="74"/>
      <c r="N34" s="74"/>
      <c r="O34" s="74"/>
      <c r="P34" s="74"/>
      <c r="Q34" s="74"/>
    </row>
  </sheetData>
  <mergeCells count="2">
    <mergeCell ref="A1:Q1"/>
    <mergeCell ref="A34:Q34"/>
  </mergeCells>
  <conditionalFormatting sqref="Q3:Q32">
    <cfRule type="cellIs" priority="2" operator="greaterThan" aboveAverage="0" equalAverage="0" bottom="0" percent="0" rank="0" text="" dxfId="20">
      <formula>0</formula>
    </cfRule>
    <cfRule type="cellIs" priority="3" operator="lessThan" aboveAverage="0" equalAverage="0" bottom="0" percent="0" rank="0" text="" dxfId="0">
      <formula>0</formula>
    </cfRule>
  </conditionalFormatting>
  <dataValidations count="2">
    <dataValidation allowBlank="true" errorStyle="stop" operator="between" showDropDown="false" showErrorMessage="false" showInputMessage="false" sqref="I3:I32" type="list">
      <formula1>"Held,Exited"</formula1>
      <formula2>0</formula2>
    </dataValidation>
    <dataValidation allowBlank="true" errorStyle="stop" operator="between" showDropDown="false" showErrorMessage="false" showInputMessage="false" sqref="G3:G32" type="list">
      <formula1>"Strong Buy,Buy"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6796875" defaultRowHeight="15" customHeight="false" zeroHeight="false" outlineLevelRow="0" outlineLevelCol="0"/>
  <cols>
    <col collapsed="false" customWidth="true" hidden="false" outlineLevel="0" max="1" min="1" style="1" width="13"/>
    <col collapsed="false" customWidth="true" hidden="false" outlineLevel="0" max="2" min="2" style="1" width="10"/>
    <col collapsed="false" customWidth="true" hidden="false" outlineLevel="0" max="3" min="3" style="1" width="100"/>
  </cols>
  <sheetData>
    <row r="1" customFormat="false" ht="27.75" hidden="false" customHeight="true" outlineLevel="0" collapsed="false">
      <c r="A1" s="16" t="s">
        <v>408</v>
      </c>
      <c r="B1" s="16"/>
      <c r="C1" s="16"/>
    </row>
    <row r="2" customFormat="false" ht="18" hidden="false" customHeight="true" outlineLevel="0" collapsed="false">
      <c r="A2" s="17" t="s">
        <v>336</v>
      </c>
      <c r="B2" s="17" t="s">
        <v>74</v>
      </c>
      <c r="C2" s="17" t="s">
        <v>175</v>
      </c>
    </row>
    <row r="3" customFormat="false" ht="15" hidden="false" customHeight="true" outlineLevel="0" collapsed="false">
      <c r="A3" s="88" t="n">
        <v>46241</v>
      </c>
      <c r="B3" s="89" t="s">
        <v>143</v>
      </c>
      <c r="C3" s="90" t="s">
        <v>409</v>
      </c>
    </row>
    <row r="4" customFormat="false" ht="15" hidden="false" customHeight="true" outlineLevel="0" collapsed="false">
      <c r="A4" s="88" t="n">
        <v>46241</v>
      </c>
      <c r="B4" s="89" t="s">
        <v>146</v>
      </c>
      <c r="C4" s="90" t="s">
        <v>410</v>
      </c>
    </row>
    <row r="5" customFormat="false" ht="15" hidden="false" customHeight="true" outlineLevel="0" collapsed="false">
      <c r="A5" s="88" t="n">
        <v>46241</v>
      </c>
      <c r="B5" s="89" t="s">
        <v>154</v>
      </c>
      <c r="C5" s="90" t="s">
        <v>411</v>
      </c>
    </row>
    <row r="6" customFormat="false" ht="15" hidden="false" customHeight="true" outlineLevel="0" collapsed="false">
      <c r="A6" s="88" t="n">
        <v>46241</v>
      </c>
      <c r="B6" s="89" t="s">
        <v>133</v>
      </c>
      <c r="C6" s="90" t="s">
        <v>412</v>
      </c>
    </row>
    <row r="7" customFormat="false" ht="15" hidden="false" customHeight="true" outlineLevel="0" collapsed="false">
      <c r="A7" s="88" t="n">
        <v>46241</v>
      </c>
      <c r="B7" s="89" t="s">
        <v>413</v>
      </c>
      <c r="C7" s="90" t="s">
        <v>414</v>
      </c>
    </row>
    <row r="8" customFormat="false" ht="15" hidden="false" customHeight="true" outlineLevel="0" collapsed="false">
      <c r="A8" s="88" t="n">
        <v>46241</v>
      </c>
      <c r="B8" s="89" t="s">
        <v>413</v>
      </c>
      <c r="C8" s="90" t="s">
        <v>415</v>
      </c>
    </row>
    <row r="9" customFormat="false" ht="15" hidden="false" customHeight="true" outlineLevel="0" collapsed="false">
      <c r="A9" s="88" t="n">
        <v>46241</v>
      </c>
      <c r="B9" s="89" t="s">
        <v>416</v>
      </c>
      <c r="C9" s="90" t="s">
        <v>417</v>
      </c>
    </row>
    <row r="10" customFormat="false" ht="15" hidden="false" customHeight="true" outlineLevel="0" collapsed="false">
      <c r="A10" s="88" t="n">
        <v>46241</v>
      </c>
      <c r="B10" s="89" t="s">
        <v>418</v>
      </c>
      <c r="C10" s="90" t="s">
        <v>419</v>
      </c>
    </row>
    <row r="11" customFormat="false" ht="15" hidden="false" customHeight="true" outlineLevel="0" collapsed="false">
      <c r="A11" s="88" t="n">
        <v>46241</v>
      </c>
      <c r="B11" s="89" t="s">
        <v>138</v>
      </c>
      <c r="C11" s="90" t="s">
        <v>420</v>
      </c>
    </row>
    <row r="12" customFormat="false" ht="15" hidden="false" customHeight="true" outlineLevel="0" collapsed="false">
      <c r="A12" s="88" t="n">
        <v>46272</v>
      </c>
      <c r="B12" s="89" t="s">
        <v>421</v>
      </c>
      <c r="C12" s="90" t="s">
        <v>422</v>
      </c>
    </row>
    <row r="13" customFormat="false" ht="15" hidden="false" customHeight="true" outlineLevel="0" collapsed="false">
      <c r="A13" s="88" t="n">
        <v>46295</v>
      </c>
      <c r="B13" s="89" t="s">
        <v>423</v>
      </c>
      <c r="C13" s="90" t="s">
        <v>424</v>
      </c>
    </row>
    <row r="14" customFormat="false" ht="15" hidden="false" customHeight="true" outlineLevel="0" collapsed="false">
      <c r="A14" s="88" t="n">
        <v>46302</v>
      </c>
      <c r="B14" s="89" t="s">
        <v>425</v>
      </c>
      <c r="C14" s="90" t="s">
        <v>426</v>
      </c>
    </row>
    <row r="15" customFormat="false" ht="15" hidden="false" customHeight="true" outlineLevel="0" collapsed="false">
      <c r="A15" s="88" t="n">
        <v>46320</v>
      </c>
      <c r="B15" s="89" t="s">
        <v>427</v>
      </c>
      <c r="C15" s="90" t="s">
        <v>428</v>
      </c>
    </row>
    <row r="16" customFormat="false" ht="15" hidden="false" customHeight="true" outlineLevel="0" collapsed="false">
      <c r="A16" s="88" t="n">
        <v>46333</v>
      </c>
      <c r="B16" s="89" t="s">
        <v>429</v>
      </c>
      <c r="C16" s="90" t="s">
        <v>430</v>
      </c>
    </row>
    <row r="17" customFormat="false" ht="15" hidden="false" customHeight="true" outlineLevel="0" collapsed="false">
      <c r="A17" s="88" t="n">
        <v>46387</v>
      </c>
      <c r="B17" s="89" t="s">
        <v>431</v>
      </c>
      <c r="C17" s="90" t="s">
        <v>432</v>
      </c>
    </row>
    <row r="18" customFormat="false" ht="15" hidden="false" customHeight="true" outlineLevel="0" collapsed="false">
      <c r="A18" s="88" t="n">
        <v>46412</v>
      </c>
      <c r="B18" s="89" t="s">
        <v>433</v>
      </c>
      <c r="C18" s="90" t="s">
        <v>434</v>
      </c>
    </row>
    <row r="19" customFormat="false" ht="15" hidden="false" customHeight="true" outlineLevel="0" collapsed="false">
      <c r="A19" s="88"/>
      <c r="B19" s="89"/>
      <c r="C19" s="90"/>
    </row>
    <row r="20" customFormat="false" ht="15" hidden="false" customHeight="true" outlineLevel="0" collapsed="false">
      <c r="A20" s="88"/>
      <c r="B20" s="89"/>
      <c r="C20" s="90"/>
    </row>
    <row r="21" customFormat="false" ht="15" hidden="false" customHeight="true" outlineLevel="0" collapsed="false">
      <c r="A21" s="88"/>
      <c r="B21" s="89"/>
      <c r="C21" s="90"/>
    </row>
    <row r="22" customFormat="false" ht="15" hidden="false" customHeight="true" outlineLevel="0" collapsed="false">
      <c r="A22" s="88"/>
      <c r="B22" s="89"/>
      <c r="C22" s="90"/>
    </row>
    <row r="23" customFormat="false" ht="15" hidden="false" customHeight="true" outlineLevel="0" collapsed="false">
      <c r="A23" s="88"/>
      <c r="B23" s="89"/>
      <c r="C23" s="90"/>
    </row>
    <row r="24" customFormat="false" ht="15" hidden="false" customHeight="true" outlineLevel="0" collapsed="false">
      <c r="A24" s="88"/>
      <c r="B24" s="89"/>
      <c r="C24" s="90"/>
    </row>
    <row r="25" customFormat="false" ht="15" hidden="false" customHeight="true" outlineLevel="0" collapsed="false">
      <c r="A25" s="88"/>
      <c r="B25" s="89"/>
      <c r="C25" s="90"/>
    </row>
    <row r="26" customFormat="false" ht="15" hidden="false" customHeight="true" outlineLevel="0" collapsed="false">
      <c r="A26" s="88"/>
      <c r="B26" s="89"/>
      <c r="C26" s="90"/>
    </row>
    <row r="27" customFormat="false" ht="15" hidden="false" customHeight="true" outlineLevel="0" collapsed="false">
      <c r="A27" s="88"/>
      <c r="B27" s="89"/>
      <c r="C27" s="90"/>
    </row>
    <row r="28" customFormat="false" ht="15" hidden="false" customHeight="true" outlineLevel="0" collapsed="false">
      <c r="A28" s="88"/>
      <c r="B28" s="89"/>
      <c r="C28" s="90"/>
    </row>
    <row r="29" customFormat="false" ht="15" hidden="false" customHeight="true" outlineLevel="0" collapsed="false">
      <c r="A29" s="88"/>
      <c r="B29" s="89"/>
      <c r="C29" s="90"/>
    </row>
    <row r="30" customFormat="false" ht="15" hidden="false" customHeight="true" outlineLevel="0" collapsed="false">
      <c r="A30" s="88"/>
      <c r="B30" s="89"/>
      <c r="C30" s="90"/>
    </row>
    <row r="31" customFormat="false" ht="15" hidden="false" customHeight="true" outlineLevel="0" collapsed="false">
      <c r="A31" s="88"/>
      <c r="B31" s="89"/>
      <c r="C31" s="90"/>
    </row>
    <row r="32" customFormat="false" ht="15" hidden="false" customHeight="true" outlineLevel="0" collapsed="false">
      <c r="A32" s="88"/>
      <c r="B32" s="89"/>
      <c r="C32" s="90"/>
    </row>
    <row r="33" customFormat="false" ht="15" hidden="false" customHeight="true" outlineLevel="0" collapsed="false">
      <c r="A33" s="88"/>
      <c r="B33" s="89"/>
      <c r="C33" s="90"/>
    </row>
    <row r="34" customFormat="false" ht="15" hidden="false" customHeight="true" outlineLevel="0" collapsed="false">
      <c r="A34" s="88"/>
      <c r="B34" s="89"/>
      <c r="C34" s="90"/>
    </row>
    <row r="35" customFormat="false" ht="15" hidden="false" customHeight="true" outlineLevel="0" collapsed="false">
      <c r="A35" s="88"/>
      <c r="B35" s="89"/>
      <c r="C35" s="90"/>
    </row>
    <row r="36" customFormat="false" ht="15" hidden="false" customHeight="true" outlineLevel="0" collapsed="false">
      <c r="A36" s="88"/>
      <c r="B36" s="89"/>
      <c r="C36" s="90"/>
    </row>
    <row r="37" customFormat="false" ht="15" hidden="false" customHeight="true" outlineLevel="0" collapsed="false">
      <c r="A37" s="88"/>
      <c r="B37" s="89"/>
      <c r="C37" s="90"/>
    </row>
    <row r="38" customFormat="false" ht="15" hidden="false" customHeight="true" outlineLevel="0" collapsed="false">
      <c r="A38" s="88"/>
      <c r="B38" s="89"/>
      <c r="C38" s="90"/>
    </row>
    <row r="39" customFormat="false" ht="15" hidden="false" customHeight="true" outlineLevel="0" collapsed="false">
      <c r="A39" s="88"/>
      <c r="B39" s="89"/>
      <c r="C39" s="90"/>
    </row>
    <row r="40" customFormat="false" ht="15" hidden="false" customHeight="true" outlineLevel="0" collapsed="false">
      <c r="A40" s="88"/>
      <c r="B40" s="89"/>
      <c r="C40" s="90"/>
    </row>
    <row r="41" customFormat="false" ht="15" hidden="false" customHeight="true" outlineLevel="0" collapsed="false">
      <c r="A41" s="88"/>
      <c r="B41" s="89"/>
      <c r="C41" s="90"/>
    </row>
    <row r="42" customFormat="false" ht="15" hidden="false" customHeight="true" outlineLevel="0" collapsed="false">
      <c r="A42" s="88"/>
      <c r="B42" s="89"/>
      <c r="C42" s="90"/>
    </row>
    <row r="43" customFormat="false" ht="15" hidden="false" customHeight="true" outlineLevel="0" collapsed="false">
      <c r="A43" s="88"/>
      <c r="B43" s="89"/>
      <c r="C43" s="90"/>
    </row>
    <row r="44" customFormat="false" ht="15" hidden="false" customHeight="true" outlineLevel="0" collapsed="false">
      <c r="A44" s="88"/>
      <c r="B44" s="89"/>
      <c r="C44" s="90"/>
    </row>
    <row r="45" customFormat="false" ht="15" hidden="false" customHeight="true" outlineLevel="0" collapsed="false">
      <c r="A45" s="88"/>
      <c r="B45" s="89"/>
      <c r="C45" s="90"/>
    </row>
    <row r="46" customFormat="false" ht="15" hidden="false" customHeight="true" outlineLevel="0" collapsed="false">
      <c r="A46" s="88"/>
      <c r="B46" s="89"/>
      <c r="C46" s="90"/>
    </row>
    <row r="47" customFormat="false" ht="15" hidden="false" customHeight="true" outlineLevel="0" collapsed="false">
      <c r="A47" s="88"/>
      <c r="B47" s="89"/>
      <c r="C47" s="90"/>
    </row>
    <row r="48" customFormat="false" ht="15" hidden="false" customHeight="true" outlineLevel="0" collapsed="false">
      <c r="A48" s="88"/>
      <c r="B48" s="89"/>
      <c r="C48" s="90"/>
    </row>
    <row r="49" customFormat="false" ht="15" hidden="false" customHeight="true" outlineLevel="0" collapsed="false">
      <c r="A49" s="88"/>
      <c r="B49" s="89"/>
      <c r="C49" s="90"/>
    </row>
    <row r="50" customFormat="false" ht="15" hidden="false" customHeight="true" outlineLevel="0" collapsed="false">
      <c r="A50" s="88"/>
      <c r="B50" s="89"/>
      <c r="C50" s="90"/>
    </row>
    <row r="51" customFormat="false" ht="15" hidden="false" customHeight="true" outlineLevel="0" collapsed="false">
      <c r="A51" s="88"/>
      <c r="B51" s="89"/>
      <c r="C51" s="90"/>
    </row>
    <row r="52" customFormat="false" ht="15" hidden="false" customHeight="true" outlineLevel="0" collapsed="false">
      <c r="A52" s="88"/>
      <c r="B52" s="89"/>
      <c r="C52" s="90"/>
    </row>
    <row r="53" customFormat="false" ht="15" hidden="false" customHeight="true" outlineLevel="0" collapsed="false">
      <c r="A53" s="88"/>
      <c r="B53" s="89"/>
      <c r="C53" s="90"/>
    </row>
    <row r="54" customFormat="false" ht="15" hidden="false" customHeight="true" outlineLevel="0" collapsed="false">
      <c r="A54" s="88"/>
      <c r="B54" s="89"/>
      <c r="C54" s="90"/>
    </row>
    <row r="55" customFormat="false" ht="15" hidden="false" customHeight="true" outlineLevel="0" collapsed="false">
      <c r="A55" s="88"/>
      <c r="B55" s="89"/>
      <c r="C55" s="90"/>
    </row>
    <row r="56" customFormat="false" ht="15" hidden="false" customHeight="true" outlineLevel="0" collapsed="false">
      <c r="A56" s="88"/>
      <c r="B56" s="89"/>
      <c r="C56" s="90"/>
    </row>
    <row r="57" customFormat="false" ht="15" hidden="false" customHeight="true" outlineLevel="0" collapsed="false">
      <c r="A57" s="88"/>
      <c r="B57" s="89"/>
      <c r="C57" s="90"/>
    </row>
    <row r="58" customFormat="false" ht="15" hidden="false" customHeight="true" outlineLevel="0" collapsed="false">
      <c r="A58" s="88"/>
      <c r="B58" s="89"/>
      <c r="C58" s="90"/>
    </row>
    <row r="59" customFormat="false" ht="15" hidden="false" customHeight="true" outlineLevel="0" collapsed="false">
      <c r="A59" s="88"/>
      <c r="B59" s="89"/>
      <c r="C59" s="90"/>
    </row>
    <row r="60" customFormat="false" ht="15" hidden="false" customHeight="true" outlineLevel="0" collapsed="false">
      <c r="A60" s="88"/>
      <c r="B60" s="89"/>
      <c r="C60" s="90"/>
    </row>
    <row r="61" customFormat="false" ht="15" hidden="false" customHeight="true" outlineLevel="0" collapsed="false">
      <c r="A61" s="88"/>
      <c r="B61" s="89"/>
      <c r="C61" s="90"/>
    </row>
    <row r="62" customFormat="false" ht="15" hidden="false" customHeight="true" outlineLevel="0" collapsed="false">
      <c r="A62" s="88"/>
      <c r="B62" s="89"/>
      <c r="C62" s="90"/>
    </row>
    <row r="63" customFormat="false" ht="15" hidden="false" customHeight="true" outlineLevel="0" collapsed="false">
      <c r="A63" s="88"/>
      <c r="B63" s="89"/>
      <c r="C63" s="90"/>
    </row>
    <row r="64" customFormat="false" ht="15" hidden="false" customHeight="true" outlineLevel="0" collapsed="false">
      <c r="A64" s="88"/>
      <c r="B64" s="89"/>
      <c r="C64" s="90"/>
    </row>
    <row r="65" customFormat="false" ht="15" hidden="false" customHeight="true" outlineLevel="0" collapsed="false">
      <c r="A65" s="88"/>
      <c r="B65" s="89"/>
      <c r="C65" s="90"/>
    </row>
    <row r="66" customFormat="false" ht="15" hidden="false" customHeight="true" outlineLevel="0" collapsed="false">
      <c r="A66" s="88"/>
      <c r="B66" s="89"/>
      <c r="C66" s="90"/>
    </row>
    <row r="67" customFormat="false" ht="15" hidden="false" customHeight="true" outlineLevel="0" collapsed="false">
      <c r="A67" s="88"/>
      <c r="B67" s="89"/>
      <c r="C67" s="90"/>
    </row>
    <row r="68" customFormat="false" ht="15" hidden="false" customHeight="true" outlineLevel="0" collapsed="false">
      <c r="A68" s="88"/>
      <c r="B68" s="89"/>
      <c r="C68" s="90"/>
    </row>
    <row r="69" customFormat="false" ht="15" hidden="false" customHeight="true" outlineLevel="0" collapsed="false">
      <c r="A69" s="88"/>
      <c r="B69" s="89"/>
      <c r="C69" s="90"/>
    </row>
    <row r="70" customFormat="false" ht="15" hidden="false" customHeight="true" outlineLevel="0" collapsed="false">
      <c r="A70" s="88"/>
      <c r="B70" s="89"/>
      <c r="C70" s="90"/>
    </row>
    <row r="71" customFormat="false" ht="15" hidden="false" customHeight="true" outlineLevel="0" collapsed="false">
      <c r="A71" s="88"/>
      <c r="B71" s="89"/>
      <c r="C71" s="90"/>
    </row>
    <row r="72" customFormat="false" ht="15" hidden="false" customHeight="true" outlineLevel="0" collapsed="false">
      <c r="A72" s="88"/>
      <c r="B72" s="89"/>
      <c r="C72" s="90"/>
    </row>
    <row r="73" customFormat="false" ht="15" hidden="false" customHeight="true" outlineLevel="0" collapsed="false">
      <c r="A73" s="88"/>
      <c r="B73" s="89"/>
      <c r="C73" s="90"/>
    </row>
    <row r="74" customFormat="false" ht="15" hidden="false" customHeight="true" outlineLevel="0" collapsed="false">
      <c r="A74" s="88"/>
      <c r="B74" s="89"/>
      <c r="C74" s="90"/>
    </row>
    <row r="75" customFormat="false" ht="15" hidden="false" customHeight="true" outlineLevel="0" collapsed="false">
      <c r="A75" s="88"/>
      <c r="B75" s="89"/>
      <c r="C75" s="90"/>
    </row>
    <row r="76" customFormat="false" ht="15" hidden="false" customHeight="true" outlineLevel="0" collapsed="false">
      <c r="A76" s="88"/>
      <c r="B76" s="89"/>
      <c r="C76" s="90"/>
    </row>
    <row r="77" customFormat="false" ht="15" hidden="false" customHeight="true" outlineLevel="0" collapsed="false">
      <c r="A77" s="88"/>
      <c r="B77" s="89"/>
      <c r="C77" s="90"/>
    </row>
    <row r="78" customFormat="false" ht="15" hidden="false" customHeight="true" outlineLevel="0" collapsed="false">
      <c r="A78" s="88"/>
      <c r="B78" s="89"/>
      <c r="C78" s="90"/>
    </row>
    <row r="79" customFormat="false" ht="15" hidden="false" customHeight="true" outlineLevel="0" collapsed="false">
      <c r="A79" s="88"/>
      <c r="B79" s="89"/>
      <c r="C79" s="90"/>
    </row>
    <row r="80" customFormat="false" ht="15" hidden="false" customHeight="true" outlineLevel="0" collapsed="false">
      <c r="A80" s="88"/>
      <c r="B80" s="89"/>
      <c r="C80" s="90"/>
    </row>
    <row r="81" customFormat="false" ht="15" hidden="false" customHeight="true" outlineLevel="0" collapsed="false">
      <c r="A81" s="88"/>
      <c r="B81" s="89"/>
      <c r="C81" s="90"/>
    </row>
    <row r="82" customFormat="false" ht="15" hidden="false" customHeight="true" outlineLevel="0" collapsed="false">
      <c r="A82" s="88"/>
      <c r="B82" s="89"/>
      <c r="C82" s="90"/>
    </row>
    <row r="83" customFormat="false" ht="15" hidden="false" customHeight="true" outlineLevel="0" collapsed="false">
      <c r="A83" s="88"/>
      <c r="B83" s="89"/>
      <c r="C83" s="90"/>
    </row>
    <row r="84" customFormat="false" ht="15" hidden="false" customHeight="true" outlineLevel="0" collapsed="false">
      <c r="A84" s="88"/>
      <c r="B84" s="89"/>
      <c r="C84" s="90"/>
    </row>
    <row r="85" customFormat="false" ht="15" hidden="false" customHeight="true" outlineLevel="0" collapsed="false">
      <c r="A85" s="88"/>
      <c r="B85" s="89"/>
      <c r="C85" s="90"/>
    </row>
    <row r="86" customFormat="false" ht="15" hidden="false" customHeight="true" outlineLevel="0" collapsed="false">
      <c r="A86" s="88"/>
      <c r="B86" s="89"/>
      <c r="C86" s="90"/>
    </row>
    <row r="87" customFormat="false" ht="15" hidden="false" customHeight="true" outlineLevel="0" collapsed="false">
      <c r="A87" s="88"/>
      <c r="B87" s="89"/>
      <c r="C87" s="90"/>
    </row>
    <row r="88" customFormat="false" ht="15" hidden="false" customHeight="true" outlineLevel="0" collapsed="false">
      <c r="A88" s="88"/>
      <c r="B88" s="89"/>
      <c r="C88" s="90"/>
    </row>
    <row r="89" customFormat="false" ht="15" hidden="false" customHeight="true" outlineLevel="0" collapsed="false">
      <c r="A89" s="88"/>
      <c r="B89" s="89"/>
      <c r="C89" s="90"/>
    </row>
    <row r="90" customFormat="false" ht="15" hidden="false" customHeight="true" outlineLevel="0" collapsed="false">
      <c r="A90" s="88"/>
      <c r="B90" s="89"/>
      <c r="C90" s="90"/>
    </row>
    <row r="91" customFormat="false" ht="15" hidden="false" customHeight="true" outlineLevel="0" collapsed="false">
      <c r="A91" s="88"/>
      <c r="B91" s="89"/>
      <c r="C91" s="90"/>
    </row>
    <row r="92" customFormat="false" ht="15" hidden="false" customHeight="true" outlineLevel="0" collapsed="false">
      <c r="A92" s="88"/>
      <c r="B92" s="89"/>
      <c r="C92" s="90"/>
    </row>
    <row r="93" customFormat="false" ht="15" hidden="false" customHeight="true" outlineLevel="0" collapsed="false">
      <c r="A93" s="88"/>
      <c r="B93" s="89"/>
      <c r="C93" s="90"/>
    </row>
    <row r="94" customFormat="false" ht="15" hidden="false" customHeight="true" outlineLevel="0" collapsed="false">
      <c r="A94" s="88"/>
      <c r="B94" s="89"/>
      <c r="C94" s="90"/>
    </row>
    <row r="95" customFormat="false" ht="15" hidden="false" customHeight="true" outlineLevel="0" collapsed="false">
      <c r="A95" s="88"/>
      <c r="B95" s="89"/>
      <c r="C95" s="90"/>
    </row>
    <row r="96" customFormat="false" ht="15" hidden="false" customHeight="true" outlineLevel="0" collapsed="false">
      <c r="A96" s="88"/>
      <c r="B96" s="89"/>
      <c r="C96" s="90"/>
    </row>
    <row r="97" customFormat="false" ht="15" hidden="false" customHeight="true" outlineLevel="0" collapsed="false">
      <c r="A97" s="88"/>
      <c r="B97" s="89"/>
      <c r="C97" s="90"/>
    </row>
    <row r="98" customFormat="false" ht="15" hidden="false" customHeight="true" outlineLevel="0" collapsed="false">
      <c r="A98" s="88"/>
      <c r="B98" s="89"/>
      <c r="C98" s="90"/>
    </row>
    <row r="99" customFormat="false" ht="15" hidden="false" customHeight="true" outlineLevel="0" collapsed="false">
      <c r="A99" s="88"/>
      <c r="B99" s="89"/>
      <c r="C99" s="90"/>
    </row>
    <row r="100" customFormat="false" ht="15" hidden="false" customHeight="true" outlineLevel="0" collapsed="false">
      <c r="A100" s="88"/>
      <c r="B100" s="89"/>
      <c r="C100" s="90"/>
    </row>
    <row r="101" customFormat="false" ht="15" hidden="false" customHeight="true" outlineLevel="0" collapsed="false">
      <c r="A101" s="88"/>
      <c r="B101" s="89"/>
      <c r="C101" s="90"/>
    </row>
    <row r="102" customFormat="false" ht="15" hidden="false" customHeight="true" outlineLevel="0" collapsed="false">
      <c r="A102" s="88"/>
      <c r="B102" s="89"/>
      <c r="C102" s="90"/>
    </row>
    <row r="103" customFormat="false" ht="15" hidden="false" customHeight="true" outlineLevel="0" collapsed="false">
      <c r="A103" s="88"/>
      <c r="B103" s="89"/>
      <c r="C103" s="90"/>
    </row>
    <row r="104" customFormat="false" ht="15" hidden="false" customHeight="true" outlineLevel="0" collapsed="false">
      <c r="A104" s="88"/>
      <c r="B104" s="89"/>
      <c r="C104" s="90"/>
    </row>
    <row r="105" customFormat="false" ht="15" hidden="false" customHeight="true" outlineLevel="0" collapsed="false">
      <c r="A105" s="88"/>
      <c r="B105" s="89"/>
      <c r="C105" s="90"/>
    </row>
    <row r="106" customFormat="false" ht="15" hidden="false" customHeight="true" outlineLevel="0" collapsed="false">
      <c r="A106" s="88"/>
      <c r="B106" s="89"/>
      <c r="C106" s="90"/>
    </row>
    <row r="107" customFormat="false" ht="15" hidden="false" customHeight="true" outlineLevel="0" collapsed="false">
      <c r="A107" s="88"/>
      <c r="B107" s="89"/>
      <c r="C107" s="90"/>
    </row>
    <row r="108" customFormat="false" ht="15" hidden="false" customHeight="true" outlineLevel="0" collapsed="false">
      <c r="A108" s="88"/>
      <c r="B108" s="89"/>
      <c r="C108" s="90"/>
    </row>
    <row r="109" customFormat="false" ht="15" hidden="false" customHeight="true" outlineLevel="0" collapsed="false">
      <c r="A109" s="88"/>
      <c r="B109" s="89"/>
      <c r="C109" s="90"/>
    </row>
    <row r="110" customFormat="false" ht="15" hidden="false" customHeight="true" outlineLevel="0" collapsed="false">
      <c r="A110" s="88"/>
      <c r="B110" s="89"/>
      <c r="C110" s="90"/>
    </row>
    <row r="111" customFormat="false" ht="15" hidden="false" customHeight="true" outlineLevel="0" collapsed="false">
      <c r="A111" s="88"/>
      <c r="B111" s="89"/>
      <c r="C111" s="90"/>
    </row>
    <row r="112" customFormat="false" ht="15" hidden="false" customHeight="true" outlineLevel="0" collapsed="false">
      <c r="A112" s="88"/>
      <c r="B112" s="89"/>
      <c r="C112" s="90"/>
    </row>
    <row r="113" customFormat="false" ht="15" hidden="false" customHeight="true" outlineLevel="0" collapsed="false">
      <c r="A113" s="88"/>
      <c r="B113" s="89"/>
      <c r="C113" s="90"/>
    </row>
    <row r="114" customFormat="false" ht="15" hidden="false" customHeight="true" outlineLevel="0" collapsed="false">
      <c r="A114" s="88"/>
      <c r="B114" s="89"/>
      <c r="C114" s="90"/>
    </row>
    <row r="115" customFormat="false" ht="15" hidden="false" customHeight="true" outlineLevel="0" collapsed="false">
      <c r="A115" s="88"/>
      <c r="B115" s="89"/>
      <c r="C115" s="90"/>
    </row>
    <row r="116" customFormat="false" ht="15" hidden="false" customHeight="true" outlineLevel="0" collapsed="false">
      <c r="A116" s="88"/>
      <c r="B116" s="89"/>
      <c r="C116" s="90"/>
    </row>
    <row r="117" customFormat="false" ht="15" hidden="false" customHeight="true" outlineLevel="0" collapsed="false">
      <c r="A117" s="88"/>
      <c r="B117" s="89"/>
      <c r="C117" s="90"/>
    </row>
    <row r="118" customFormat="false" ht="15" hidden="false" customHeight="true" outlineLevel="0" collapsed="false">
      <c r="A118" s="88"/>
      <c r="B118" s="89"/>
      <c r="C118" s="90"/>
    </row>
    <row r="119" customFormat="false" ht="15" hidden="false" customHeight="true" outlineLevel="0" collapsed="false">
      <c r="A119" s="88"/>
      <c r="B119" s="89"/>
      <c r="C119" s="90"/>
    </row>
    <row r="120" customFormat="false" ht="15" hidden="false" customHeight="true" outlineLevel="0" collapsed="false">
      <c r="A120" s="88"/>
      <c r="B120" s="89"/>
      <c r="C120" s="90"/>
    </row>
    <row r="121" customFormat="false" ht="15" hidden="false" customHeight="true" outlineLevel="0" collapsed="false">
      <c r="A121" s="88"/>
      <c r="B121" s="89"/>
      <c r="C121" s="90"/>
    </row>
    <row r="122" customFormat="false" ht="15" hidden="false" customHeight="true" outlineLevel="0" collapsed="false">
      <c r="A122" s="88"/>
      <c r="B122" s="89"/>
      <c r="C122" s="90"/>
    </row>
    <row r="123" customFormat="false" ht="15" hidden="false" customHeight="true" outlineLevel="0" collapsed="false">
      <c r="A123" s="88"/>
      <c r="B123" s="89"/>
      <c r="C123" s="90"/>
    </row>
    <row r="124" customFormat="false" ht="15" hidden="false" customHeight="true" outlineLevel="0" collapsed="false">
      <c r="A124" s="88"/>
      <c r="B124" s="89"/>
      <c r="C124" s="90"/>
    </row>
    <row r="125" customFormat="false" ht="15" hidden="false" customHeight="true" outlineLevel="0" collapsed="false">
      <c r="A125" s="88"/>
      <c r="B125" s="89"/>
      <c r="C125" s="90"/>
    </row>
    <row r="126" customFormat="false" ht="15" hidden="false" customHeight="true" outlineLevel="0" collapsed="false">
      <c r="A126" s="88"/>
      <c r="B126" s="89"/>
      <c r="C126" s="90"/>
    </row>
    <row r="127" customFormat="false" ht="15" hidden="false" customHeight="true" outlineLevel="0" collapsed="false">
      <c r="A127" s="88"/>
      <c r="B127" s="89"/>
      <c r="C127" s="90"/>
    </row>
    <row r="128" customFormat="false" ht="15" hidden="false" customHeight="true" outlineLevel="0" collapsed="false">
      <c r="A128" s="88"/>
      <c r="B128" s="89"/>
      <c r="C128" s="90"/>
    </row>
    <row r="129" customFormat="false" ht="15" hidden="false" customHeight="true" outlineLevel="0" collapsed="false">
      <c r="A129" s="88"/>
      <c r="B129" s="89"/>
      <c r="C129" s="90"/>
    </row>
    <row r="130" customFormat="false" ht="15" hidden="false" customHeight="true" outlineLevel="0" collapsed="false">
      <c r="A130" s="88"/>
      <c r="B130" s="89"/>
      <c r="C130" s="90"/>
    </row>
    <row r="131" customFormat="false" ht="15" hidden="false" customHeight="true" outlineLevel="0" collapsed="false">
      <c r="A131" s="88"/>
      <c r="B131" s="89"/>
      <c r="C131" s="90"/>
    </row>
    <row r="132" customFormat="false" ht="15" hidden="false" customHeight="true" outlineLevel="0" collapsed="false">
      <c r="A132" s="88"/>
      <c r="B132" s="89"/>
      <c r="C132" s="90"/>
    </row>
    <row r="133" customFormat="false" ht="15" hidden="false" customHeight="true" outlineLevel="0" collapsed="false">
      <c r="A133" s="88"/>
      <c r="B133" s="89"/>
      <c r="C133" s="90"/>
    </row>
    <row r="134" customFormat="false" ht="15" hidden="false" customHeight="true" outlineLevel="0" collapsed="false">
      <c r="A134" s="88"/>
      <c r="B134" s="89"/>
      <c r="C134" s="90"/>
    </row>
    <row r="135" customFormat="false" ht="15" hidden="false" customHeight="true" outlineLevel="0" collapsed="false">
      <c r="A135" s="88"/>
      <c r="B135" s="89"/>
      <c r="C135" s="90"/>
    </row>
    <row r="136" customFormat="false" ht="15" hidden="false" customHeight="true" outlineLevel="0" collapsed="false">
      <c r="A136" s="88"/>
      <c r="B136" s="89"/>
      <c r="C136" s="90"/>
    </row>
    <row r="137" customFormat="false" ht="15" hidden="false" customHeight="true" outlineLevel="0" collapsed="false">
      <c r="A137" s="88"/>
      <c r="B137" s="89"/>
      <c r="C137" s="90"/>
    </row>
    <row r="138" customFormat="false" ht="15" hidden="false" customHeight="true" outlineLevel="0" collapsed="false">
      <c r="A138" s="88"/>
      <c r="B138" s="89"/>
      <c r="C138" s="90"/>
    </row>
    <row r="139" customFormat="false" ht="15" hidden="false" customHeight="true" outlineLevel="0" collapsed="false">
      <c r="A139" s="88"/>
      <c r="B139" s="89"/>
      <c r="C139" s="90"/>
    </row>
    <row r="140" customFormat="false" ht="15" hidden="false" customHeight="true" outlineLevel="0" collapsed="false">
      <c r="A140" s="88"/>
      <c r="B140" s="89"/>
      <c r="C140" s="90"/>
    </row>
    <row r="141" customFormat="false" ht="15" hidden="false" customHeight="true" outlineLevel="0" collapsed="false">
      <c r="A141" s="88"/>
      <c r="B141" s="89"/>
      <c r="C141" s="90"/>
    </row>
    <row r="142" customFormat="false" ht="15" hidden="false" customHeight="true" outlineLevel="0" collapsed="false">
      <c r="A142" s="88"/>
      <c r="B142" s="89"/>
      <c r="C142" s="90"/>
    </row>
    <row r="143" customFormat="false" ht="15" hidden="false" customHeight="true" outlineLevel="0" collapsed="false">
      <c r="A143" s="88"/>
      <c r="B143" s="89"/>
      <c r="C143" s="90"/>
    </row>
    <row r="144" customFormat="false" ht="15" hidden="false" customHeight="true" outlineLevel="0" collapsed="false">
      <c r="A144" s="88"/>
      <c r="B144" s="89"/>
      <c r="C144" s="90"/>
    </row>
    <row r="145" customFormat="false" ht="15" hidden="false" customHeight="true" outlineLevel="0" collapsed="false">
      <c r="A145" s="88"/>
      <c r="B145" s="89"/>
      <c r="C145" s="90"/>
    </row>
    <row r="146" customFormat="false" ht="15" hidden="false" customHeight="true" outlineLevel="0" collapsed="false">
      <c r="A146" s="88"/>
      <c r="B146" s="89"/>
      <c r="C146" s="90"/>
    </row>
    <row r="147" customFormat="false" ht="15" hidden="false" customHeight="true" outlineLevel="0" collapsed="false">
      <c r="A147" s="88"/>
      <c r="B147" s="89"/>
      <c r="C147" s="90"/>
    </row>
    <row r="148" customFormat="false" ht="15" hidden="false" customHeight="true" outlineLevel="0" collapsed="false">
      <c r="A148" s="88"/>
      <c r="B148" s="89"/>
      <c r="C148" s="90"/>
    </row>
    <row r="149" customFormat="false" ht="15" hidden="false" customHeight="true" outlineLevel="0" collapsed="false">
      <c r="A149" s="88"/>
      <c r="B149" s="89"/>
      <c r="C149" s="90"/>
    </row>
    <row r="150" customFormat="false" ht="15" hidden="false" customHeight="true" outlineLevel="0" collapsed="false">
      <c r="A150" s="88"/>
      <c r="B150" s="89"/>
      <c r="C150" s="90"/>
    </row>
    <row r="151" customFormat="false" ht="15" hidden="false" customHeight="true" outlineLevel="0" collapsed="false">
      <c r="A151" s="88"/>
      <c r="B151" s="89"/>
      <c r="C151" s="90"/>
    </row>
    <row r="152" customFormat="false" ht="15" hidden="false" customHeight="true" outlineLevel="0" collapsed="false">
      <c r="A152" s="88"/>
      <c r="B152" s="89"/>
      <c r="C152" s="90"/>
    </row>
    <row r="153" customFormat="false" ht="15" hidden="false" customHeight="true" outlineLevel="0" collapsed="false">
      <c r="A153" s="88"/>
      <c r="B153" s="89"/>
      <c r="C153" s="90"/>
    </row>
    <row r="154" customFormat="false" ht="15" hidden="false" customHeight="true" outlineLevel="0" collapsed="false">
      <c r="A154" s="88"/>
      <c r="B154" s="89"/>
      <c r="C154" s="90"/>
    </row>
    <row r="155" customFormat="false" ht="15" hidden="false" customHeight="true" outlineLevel="0" collapsed="false">
      <c r="A155" s="88"/>
      <c r="B155" s="89"/>
      <c r="C155" s="90"/>
    </row>
    <row r="156" customFormat="false" ht="15" hidden="false" customHeight="true" outlineLevel="0" collapsed="false">
      <c r="A156" s="88"/>
      <c r="B156" s="89"/>
      <c r="C156" s="90"/>
    </row>
    <row r="157" customFormat="false" ht="15" hidden="false" customHeight="true" outlineLevel="0" collapsed="false">
      <c r="A157" s="88"/>
      <c r="B157" s="89"/>
      <c r="C157" s="90"/>
    </row>
    <row r="158" customFormat="false" ht="15" hidden="false" customHeight="true" outlineLevel="0" collapsed="false">
      <c r="A158" s="88"/>
      <c r="B158" s="89"/>
      <c r="C158" s="90"/>
    </row>
    <row r="159" customFormat="false" ht="15" hidden="false" customHeight="true" outlineLevel="0" collapsed="false">
      <c r="A159" s="88"/>
      <c r="B159" s="89"/>
      <c r="C159" s="90"/>
    </row>
    <row r="160" customFormat="false" ht="15" hidden="false" customHeight="true" outlineLevel="0" collapsed="false">
      <c r="A160" s="88"/>
      <c r="B160" s="89"/>
      <c r="C160" s="90"/>
    </row>
    <row r="161" customFormat="false" ht="15" hidden="false" customHeight="true" outlineLevel="0" collapsed="false">
      <c r="A161" s="88"/>
      <c r="B161" s="89"/>
      <c r="C161" s="90"/>
    </row>
    <row r="162" customFormat="false" ht="15" hidden="false" customHeight="true" outlineLevel="0" collapsed="false">
      <c r="A162" s="88"/>
      <c r="B162" s="89"/>
      <c r="C162" s="90"/>
    </row>
    <row r="163" customFormat="false" ht="15" hidden="false" customHeight="true" outlineLevel="0" collapsed="false">
      <c r="A163" s="88"/>
      <c r="B163" s="89"/>
      <c r="C163" s="90"/>
    </row>
    <row r="164" customFormat="false" ht="15" hidden="false" customHeight="true" outlineLevel="0" collapsed="false">
      <c r="A164" s="88"/>
      <c r="B164" s="89"/>
      <c r="C164" s="90"/>
    </row>
    <row r="165" customFormat="false" ht="15" hidden="false" customHeight="true" outlineLevel="0" collapsed="false">
      <c r="A165" s="88"/>
      <c r="B165" s="89"/>
      <c r="C165" s="90"/>
    </row>
    <row r="166" customFormat="false" ht="15" hidden="false" customHeight="true" outlineLevel="0" collapsed="false">
      <c r="A166" s="88"/>
      <c r="B166" s="89"/>
      <c r="C166" s="90"/>
    </row>
    <row r="167" customFormat="false" ht="15" hidden="false" customHeight="true" outlineLevel="0" collapsed="false">
      <c r="A167" s="88"/>
      <c r="B167" s="89"/>
      <c r="C167" s="90"/>
    </row>
    <row r="168" customFormat="false" ht="15" hidden="false" customHeight="true" outlineLevel="0" collapsed="false">
      <c r="A168" s="88"/>
      <c r="B168" s="89"/>
      <c r="C168" s="90"/>
    </row>
    <row r="169" customFormat="false" ht="15" hidden="false" customHeight="true" outlineLevel="0" collapsed="false">
      <c r="A169" s="88"/>
      <c r="B169" s="89"/>
      <c r="C169" s="90"/>
    </row>
    <row r="170" customFormat="false" ht="15" hidden="false" customHeight="true" outlineLevel="0" collapsed="false">
      <c r="A170" s="88"/>
      <c r="B170" s="89"/>
      <c r="C170" s="90"/>
    </row>
    <row r="171" customFormat="false" ht="15" hidden="false" customHeight="true" outlineLevel="0" collapsed="false">
      <c r="A171" s="88"/>
      <c r="B171" s="89"/>
      <c r="C171" s="90"/>
    </row>
    <row r="172" customFormat="false" ht="15" hidden="false" customHeight="true" outlineLevel="0" collapsed="false">
      <c r="A172" s="88"/>
      <c r="B172" s="89"/>
      <c r="C172" s="90"/>
    </row>
    <row r="173" customFormat="false" ht="15" hidden="false" customHeight="true" outlineLevel="0" collapsed="false">
      <c r="A173" s="88"/>
      <c r="B173" s="89"/>
      <c r="C173" s="90"/>
    </row>
    <row r="174" customFormat="false" ht="15" hidden="false" customHeight="true" outlineLevel="0" collapsed="false">
      <c r="A174" s="88"/>
      <c r="B174" s="89"/>
      <c r="C174" s="90"/>
    </row>
    <row r="175" customFormat="false" ht="15" hidden="false" customHeight="true" outlineLevel="0" collapsed="false">
      <c r="A175" s="88"/>
      <c r="B175" s="89"/>
      <c r="C175" s="90"/>
    </row>
    <row r="176" customFormat="false" ht="15" hidden="false" customHeight="true" outlineLevel="0" collapsed="false">
      <c r="A176" s="88"/>
      <c r="B176" s="89"/>
      <c r="C176" s="90"/>
    </row>
    <row r="177" customFormat="false" ht="15" hidden="false" customHeight="true" outlineLevel="0" collapsed="false">
      <c r="A177" s="88"/>
      <c r="B177" s="89"/>
      <c r="C177" s="90"/>
    </row>
    <row r="178" customFormat="false" ht="15" hidden="false" customHeight="true" outlineLevel="0" collapsed="false">
      <c r="A178" s="88"/>
      <c r="B178" s="89"/>
      <c r="C178" s="90"/>
    </row>
    <row r="179" customFormat="false" ht="15" hidden="false" customHeight="true" outlineLevel="0" collapsed="false">
      <c r="A179" s="88"/>
      <c r="B179" s="89"/>
      <c r="C179" s="90"/>
    </row>
    <row r="180" customFormat="false" ht="15" hidden="false" customHeight="true" outlineLevel="0" collapsed="false">
      <c r="A180" s="88"/>
      <c r="B180" s="89"/>
      <c r="C180" s="90"/>
    </row>
    <row r="181" customFormat="false" ht="15" hidden="false" customHeight="true" outlineLevel="0" collapsed="false">
      <c r="A181" s="88"/>
      <c r="B181" s="89"/>
      <c r="C181" s="90"/>
    </row>
    <row r="182" customFormat="false" ht="15" hidden="false" customHeight="true" outlineLevel="0" collapsed="false">
      <c r="A182" s="88"/>
      <c r="B182" s="89"/>
      <c r="C182" s="90"/>
    </row>
    <row r="183" customFormat="false" ht="15" hidden="false" customHeight="true" outlineLevel="0" collapsed="false">
      <c r="A183" s="88"/>
      <c r="B183" s="89"/>
      <c r="C183" s="90"/>
    </row>
    <row r="184" customFormat="false" ht="15" hidden="false" customHeight="true" outlineLevel="0" collapsed="false">
      <c r="A184" s="88"/>
      <c r="B184" s="89"/>
      <c r="C184" s="90"/>
    </row>
    <row r="185" customFormat="false" ht="15" hidden="false" customHeight="true" outlineLevel="0" collapsed="false">
      <c r="A185" s="88"/>
      <c r="B185" s="89"/>
      <c r="C185" s="90"/>
    </row>
    <row r="186" customFormat="false" ht="15" hidden="false" customHeight="true" outlineLevel="0" collapsed="false">
      <c r="A186" s="88"/>
      <c r="B186" s="89"/>
      <c r="C186" s="90"/>
    </row>
    <row r="187" customFormat="false" ht="15" hidden="false" customHeight="true" outlineLevel="0" collapsed="false">
      <c r="A187" s="88"/>
      <c r="B187" s="89"/>
      <c r="C187" s="90"/>
    </row>
    <row r="188" customFormat="false" ht="15" hidden="false" customHeight="true" outlineLevel="0" collapsed="false">
      <c r="A188" s="88"/>
      <c r="B188" s="89"/>
      <c r="C188" s="90"/>
    </row>
    <row r="189" customFormat="false" ht="15" hidden="false" customHeight="true" outlineLevel="0" collapsed="false">
      <c r="A189" s="88"/>
      <c r="B189" s="89"/>
      <c r="C189" s="90"/>
    </row>
    <row r="190" customFormat="false" ht="15" hidden="false" customHeight="true" outlineLevel="0" collapsed="false">
      <c r="A190" s="88"/>
      <c r="B190" s="89"/>
      <c r="C190" s="90"/>
    </row>
    <row r="191" customFormat="false" ht="15" hidden="false" customHeight="true" outlineLevel="0" collapsed="false">
      <c r="A191" s="88"/>
      <c r="B191" s="89"/>
      <c r="C191" s="90"/>
    </row>
    <row r="192" customFormat="false" ht="15" hidden="false" customHeight="true" outlineLevel="0" collapsed="false">
      <c r="A192" s="88"/>
      <c r="B192" s="89"/>
      <c r="C192" s="90"/>
    </row>
    <row r="193" customFormat="false" ht="15" hidden="false" customHeight="true" outlineLevel="0" collapsed="false">
      <c r="A193" s="88"/>
      <c r="B193" s="89"/>
      <c r="C193" s="90"/>
    </row>
    <row r="194" customFormat="false" ht="15" hidden="false" customHeight="true" outlineLevel="0" collapsed="false">
      <c r="A194" s="88"/>
      <c r="B194" s="89"/>
      <c r="C194" s="90"/>
    </row>
    <row r="195" customFormat="false" ht="15" hidden="false" customHeight="true" outlineLevel="0" collapsed="false">
      <c r="A195" s="88"/>
      <c r="B195" s="89"/>
      <c r="C195" s="90"/>
    </row>
    <row r="196" customFormat="false" ht="15" hidden="false" customHeight="true" outlineLevel="0" collapsed="false">
      <c r="A196" s="88"/>
      <c r="B196" s="89"/>
      <c r="C196" s="90"/>
    </row>
    <row r="197" customFormat="false" ht="15" hidden="false" customHeight="true" outlineLevel="0" collapsed="false">
      <c r="A197" s="88"/>
      <c r="B197" s="89"/>
      <c r="C197" s="90"/>
    </row>
    <row r="198" customFormat="false" ht="15" hidden="false" customHeight="true" outlineLevel="0" collapsed="false">
      <c r="A198" s="88"/>
      <c r="B198" s="89"/>
      <c r="C198" s="90"/>
    </row>
    <row r="199" customFormat="false" ht="15" hidden="false" customHeight="true" outlineLevel="0" collapsed="false">
      <c r="A199" s="88"/>
      <c r="B199" s="89"/>
      <c r="C199" s="90"/>
    </row>
    <row r="200" customFormat="false" ht="15" hidden="false" customHeight="true" outlineLevel="0" collapsed="false">
      <c r="A200" s="88"/>
      <c r="B200" s="89"/>
      <c r="C200" s="90"/>
    </row>
    <row r="201" customFormat="false" ht="15" hidden="false" customHeight="true" outlineLevel="0" collapsed="false">
      <c r="A201" s="88"/>
      <c r="B201" s="89"/>
      <c r="C201" s="90"/>
    </row>
    <row r="202" customFormat="false" ht="15" hidden="false" customHeight="true" outlineLevel="0" collapsed="false">
      <c r="A202" s="88"/>
      <c r="B202" s="89"/>
      <c r="C202" s="90"/>
    </row>
    <row r="203" customFormat="false" ht="15" hidden="false" customHeight="true" outlineLevel="0" collapsed="false">
      <c r="A203" s="88"/>
      <c r="B203" s="89"/>
      <c r="C203" s="90"/>
    </row>
    <row r="204" customFormat="false" ht="15" hidden="false" customHeight="true" outlineLevel="0" collapsed="false">
      <c r="A204" s="88"/>
      <c r="B204" s="89"/>
      <c r="C204" s="90"/>
    </row>
    <row r="205" customFormat="false" ht="15" hidden="false" customHeight="true" outlineLevel="0" collapsed="false">
      <c r="A205" s="88"/>
      <c r="B205" s="89"/>
      <c r="C205" s="90"/>
    </row>
    <row r="206" customFormat="false" ht="15" hidden="false" customHeight="true" outlineLevel="0" collapsed="false">
      <c r="A206" s="88"/>
      <c r="B206" s="89"/>
      <c r="C206" s="90"/>
    </row>
    <row r="207" customFormat="false" ht="15" hidden="false" customHeight="true" outlineLevel="0" collapsed="false">
      <c r="A207" s="88"/>
      <c r="B207" s="89"/>
      <c r="C207" s="90"/>
    </row>
    <row r="208" customFormat="false" ht="15" hidden="false" customHeight="true" outlineLevel="0" collapsed="false">
      <c r="A208" s="88"/>
      <c r="B208" s="89"/>
      <c r="C208" s="90"/>
    </row>
    <row r="209" customFormat="false" ht="15" hidden="false" customHeight="true" outlineLevel="0" collapsed="false">
      <c r="A209" s="88"/>
      <c r="B209" s="89"/>
      <c r="C209" s="90"/>
    </row>
    <row r="210" customFormat="false" ht="15" hidden="false" customHeight="true" outlineLevel="0" collapsed="false">
      <c r="A210" s="88"/>
      <c r="B210" s="89"/>
      <c r="C210" s="90"/>
    </row>
    <row r="211" customFormat="false" ht="15" hidden="false" customHeight="true" outlineLevel="0" collapsed="false">
      <c r="A211" s="88"/>
      <c r="B211" s="89"/>
      <c r="C211" s="90"/>
    </row>
    <row r="212" customFormat="false" ht="15" hidden="false" customHeight="true" outlineLevel="0" collapsed="false">
      <c r="A212" s="88"/>
      <c r="B212" s="89"/>
      <c r="C212" s="90"/>
    </row>
    <row r="213" customFormat="false" ht="15" hidden="false" customHeight="true" outlineLevel="0" collapsed="false">
      <c r="A213" s="88"/>
      <c r="B213" s="89"/>
      <c r="C213" s="90"/>
    </row>
    <row r="214" customFormat="false" ht="15" hidden="false" customHeight="true" outlineLevel="0" collapsed="false">
      <c r="A214" s="88"/>
      <c r="B214" s="89"/>
      <c r="C214" s="90"/>
    </row>
    <row r="215" customFormat="false" ht="15" hidden="false" customHeight="true" outlineLevel="0" collapsed="false">
      <c r="A215" s="88"/>
      <c r="B215" s="89"/>
      <c r="C215" s="90"/>
    </row>
    <row r="216" customFormat="false" ht="15" hidden="false" customHeight="true" outlineLevel="0" collapsed="false">
      <c r="A216" s="88"/>
      <c r="B216" s="89"/>
      <c r="C216" s="90"/>
    </row>
    <row r="217" customFormat="false" ht="15" hidden="false" customHeight="true" outlineLevel="0" collapsed="false">
      <c r="A217" s="88"/>
      <c r="B217" s="89"/>
      <c r="C217" s="90"/>
    </row>
    <row r="218" customFormat="false" ht="15" hidden="false" customHeight="true" outlineLevel="0" collapsed="false">
      <c r="A218" s="88"/>
      <c r="B218" s="89"/>
      <c r="C218" s="90"/>
    </row>
    <row r="219" customFormat="false" ht="15" hidden="false" customHeight="true" outlineLevel="0" collapsed="false">
      <c r="A219" s="88"/>
      <c r="B219" s="89"/>
      <c r="C219" s="90"/>
    </row>
    <row r="220" customFormat="false" ht="15" hidden="false" customHeight="true" outlineLevel="0" collapsed="false">
      <c r="A220" s="88"/>
      <c r="B220" s="89"/>
      <c r="C220" s="90"/>
    </row>
    <row r="221" customFormat="false" ht="15" hidden="false" customHeight="true" outlineLevel="0" collapsed="false">
      <c r="A221" s="88"/>
      <c r="B221" s="89"/>
      <c r="C221" s="90"/>
    </row>
    <row r="222" customFormat="false" ht="15" hidden="false" customHeight="true" outlineLevel="0" collapsed="false">
      <c r="A222" s="88"/>
      <c r="B222" s="89"/>
      <c r="C222" s="90"/>
    </row>
    <row r="223" customFormat="false" ht="15" hidden="false" customHeight="true" outlineLevel="0" collapsed="false">
      <c r="A223" s="88"/>
      <c r="B223" s="89"/>
      <c r="C223" s="90"/>
    </row>
    <row r="224" customFormat="false" ht="15" hidden="false" customHeight="true" outlineLevel="0" collapsed="false">
      <c r="A224" s="88"/>
      <c r="B224" s="89"/>
      <c r="C224" s="90"/>
    </row>
    <row r="225" customFormat="false" ht="15" hidden="false" customHeight="true" outlineLevel="0" collapsed="false">
      <c r="A225" s="88"/>
      <c r="B225" s="89"/>
      <c r="C225" s="90"/>
    </row>
    <row r="226" customFormat="false" ht="15" hidden="false" customHeight="true" outlineLevel="0" collapsed="false">
      <c r="A226" s="88"/>
      <c r="B226" s="89"/>
      <c r="C226" s="90"/>
    </row>
    <row r="227" customFormat="false" ht="15" hidden="false" customHeight="true" outlineLevel="0" collapsed="false">
      <c r="A227" s="88"/>
      <c r="B227" s="89"/>
      <c r="C227" s="90"/>
    </row>
    <row r="228" customFormat="false" ht="15" hidden="false" customHeight="true" outlineLevel="0" collapsed="false">
      <c r="A228" s="88"/>
      <c r="B228" s="89"/>
      <c r="C228" s="90"/>
    </row>
    <row r="229" customFormat="false" ht="15" hidden="false" customHeight="true" outlineLevel="0" collapsed="false">
      <c r="A229" s="88"/>
      <c r="B229" s="89"/>
      <c r="C229" s="90"/>
    </row>
    <row r="230" customFormat="false" ht="15" hidden="false" customHeight="true" outlineLevel="0" collapsed="false">
      <c r="A230" s="88"/>
      <c r="B230" s="89"/>
      <c r="C230" s="90"/>
    </row>
    <row r="231" customFormat="false" ht="15" hidden="false" customHeight="true" outlineLevel="0" collapsed="false">
      <c r="A231" s="88"/>
      <c r="B231" s="89"/>
      <c r="C231" s="90"/>
    </row>
    <row r="232" customFormat="false" ht="15" hidden="false" customHeight="true" outlineLevel="0" collapsed="false">
      <c r="A232" s="88"/>
      <c r="B232" s="89"/>
      <c r="C232" s="90"/>
    </row>
    <row r="233" customFormat="false" ht="15" hidden="false" customHeight="true" outlineLevel="0" collapsed="false">
      <c r="A233" s="88"/>
      <c r="B233" s="89"/>
      <c r="C233" s="90"/>
    </row>
    <row r="234" customFormat="false" ht="15" hidden="false" customHeight="true" outlineLevel="0" collapsed="false">
      <c r="A234" s="88"/>
      <c r="B234" s="89"/>
      <c r="C234" s="90"/>
    </row>
    <row r="235" customFormat="false" ht="15" hidden="false" customHeight="true" outlineLevel="0" collapsed="false">
      <c r="A235" s="88"/>
      <c r="B235" s="89"/>
      <c r="C235" s="90"/>
    </row>
    <row r="236" customFormat="false" ht="15" hidden="false" customHeight="true" outlineLevel="0" collapsed="false">
      <c r="A236" s="88"/>
      <c r="B236" s="89"/>
      <c r="C236" s="90"/>
    </row>
    <row r="237" customFormat="false" ht="15" hidden="false" customHeight="true" outlineLevel="0" collapsed="false">
      <c r="A237" s="88"/>
      <c r="B237" s="89"/>
      <c r="C237" s="90"/>
    </row>
    <row r="238" customFormat="false" ht="15" hidden="false" customHeight="true" outlineLevel="0" collapsed="false">
      <c r="A238" s="88"/>
      <c r="B238" s="89"/>
      <c r="C238" s="90"/>
    </row>
    <row r="239" customFormat="false" ht="15" hidden="false" customHeight="true" outlineLevel="0" collapsed="false">
      <c r="A239" s="88"/>
      <c r="B239" s="89"/>
      <c r="C239" s="90"/>
    </row>
    <row r="240" customFormat="false" ht="15" hidden="false" customHeight="true" outlineLevel="0" collapsed="false">
      <c r="A240" s="88"/>
      <c r="B240" s="89"/>
      <c r="C240" s="90"/>
    </row>
    <row r="241" customFormat="false" ht="15" hidden="false" customHeight="true" outlineLevel="0" collapsed="false">
      <c r="A241" s="88"/>
      <c r="B241" s="89"/>
      <c r="C241" s="90"/>
    </row>
    <row r="242" customFormat="false" ht="15" hidden="false" customHeight="true" outlineLevel="0" collapsed="false">
      <c r="A242" s="88"/>
      <c r="B242" s="89"/>
      <c r="C242" s="90"/>
    </row>
    <row r="243" customFormat="false" ht="15" hidden="false" customHeight="true" outlineLevel="0" collapsed="false">
      <c r="A243" s="88"/>
      <c r="B243" s="89"/>
      <c r="C243" s="90"/>
    </row>
    <row r="244" customFormat="false" ht="15" hidden="false" customHeight="true" outlineLevel="0" collapsed="false">
      <c r="A244" s="88"/>
      <c r="B244" s="89"/>
      <c r="C244" s="90"/>
    </row>
    <row r="245" customFormat="false" ht="15" hidden="false" customHeight="true" outlineLevel="0" collapsed="false">
      <c r="A245" s="88"/>
      <c r="B245" s="89"/>
      <c r="C245" s="90"/>
    </row>
    <row r="246" customFormat="false" ht="15" hidden="false" customHeight="true" outlineLevel="0" collapsed="false">
      <c r="A246" s="88"/>
      <c r="B246" s="89"/>
      <c r="C246" s="90"/>
    </row>
    <row r="247" customFormat="false" ht="15" hidden="false" customHeight="true" outlineLevel="0" collapsed="false">
      <c r="A247" s="88"/>
      <c r="B247" s="89"/>
      <c r="C247" s="90"/>
    </row>
    <row r="248" customFormat="false" ht="15" hidden="false" customHeight="true" outlineLevel="0" collapsed="false">
      <c r="A248" s="88"/>
      <c r="B248" s="89"/>
      <c r="C248" s="90"/>
    </row>
    <row r="249" customFormat="false" ht="15" hidden="false" customHeight="true" outlineLevel="0" collapsed="false">
      <c r="A249" s="88"/>
      <c r="B249" s="89"/>
      <c r="C249" s="90"/>
    </row>
    <row r="250" customFormat="false" ht="15" hidden="false" customHeight="true" outlineLevel="0" collapsed="false">
      <c r="A250" s="88"/>
      <c r="B250" s="89"/>
      <c r="C250" s="90"/>
    </row>
    <row r="251" customFormat="false" ht="15" hidden="false" customHeight="true" outlineLevel="0" collapsed="false">
      <c r="A251" s="88"/>
      <c r="B251" s="89"/>
      <c r="C251" s="90"/>
    </row>
    <row r="252" customFormat="false" ht="15" hidden="false" customHeight="true" outlineLevel="0" collapsed="false">
      <c r="A252" s="88"/>
      <c r="B252" s="89"/>
      <c r="C252" s="90"/>
    </row>
    <row r="253" customFormat="false" ht="15" hidden="false" customHeight="true" outlineLevel="0" collapsed="false">
      <c r="A253" s="88"/>
      <c r="B253" s="89"/>
      <c r="C253" s="90"/>
    </row>
    <row r="254" customFormat="false" ht="15" hidden="false" customHeight="true" outlineLevel="0" collapsed="false">
      <c r="A254" s="88"/>
      <c r="B254" s="89"/>
      <c r="C254" s="90"/>
    </row>
    <row r="255" customFormat="false" ht="15" hidden="false" customHeight="true" outlineLevel="0" collapsed="false">
      <c r="A255" s="88"/>
      <c r="B255" s="89"/>
      <c r="C255" s="90"/>
    </row>
    <row r="256" customFormat="false" ht="15" hidden="false" customHeight="true" outlineLevel="0" collapsed="false">
      <c r="A256" s="88"/>
      <c r="B256" s="89"/>
      <c r="C256" s="90"/>
    </row>
    <row r="257" customFormat="false" ht="15" hidden="false" customHeight="true" outlineLevel="0" collapsed="false">
      <c r="A257" s="88"/>
      <c r="B257" s="89"/>
      <c r="C257" s="90"/>
    </row>
    <row r="258" customFormat="false" ht="15" hidden="false" customHeight="true" outlineLevel="0" collapsed="false">
      <c r="A258" s="88"/>
      <c r="B258" s="89"/>
      <c r="C258" s="90"/>
    </row>
    <row r="259" customFormat="false" ht="15" hidden="false" customHeight="true" outlineLevel="0" collapsed="false">
      <c r="A259" s="88"/>
      <c r="B259" s="89"/>
      <c r="C259" s="90"/>
    </row>
    <row r="260" customFormat="false" ht="15" hidden="false" customHeight="true" outlineLevel="0" collapsed="false">
      <c r="A260" s="88"/>
      <c r="B260" s="89"/>
      <c r="C260" s="90"/>
    </row>
    <row r="261" customFormat="false" ht="15" hidden="false" customHeight="true" outlineLevel="0" collapsed="false">
      <c r="A261" s="88"/>
      <c r="B261" s="89"/>
      <c r="C261" s="90"/>
    </row>
    <row r="262" customFormat="false" ht="15" hidden="false" customHeight="true" outlineLevel="0" collapsed="false">
      <c r="A262" s="88"/>
      <c r="B262" s="89"/>
      <c r="C262" s="90"/>
    </row>
    <row r="263" customFormat="false" ht="15" hidden="false" customHeight="true" outlineLevel="0" collapsed="false">
      <c r="A263" s="88"/>
      <c r="B263" s="89"/>
      <c r="C263" s="90"/>
    </row>
    <row r="264" customFormat="false" ht="15" hidden="false" customHeight="true" outlineLevel="0" collapsed="false">
      <c r="A264" s="88"/>
      <c r="B264" s="89"/>
      <c r="C264" s="90"/>
    </row>
    <row r="265" customFormat="false" ht="15" hidden="false" customHeight="true" outlineLevel="0" collapsed="false">
      <c r="A265" s="88"/>
      <c r="B265" s="89"/>
      <c r="C265" s="90"/>
    </row>
    <row r="266" customFormat="false" ht="15" hidden="false" customHeight="true" outlineLevel="0" collapsed="false">
      <c r="A266" s="88"/>
      <c r="B266" s="89"/>
      <c r="C266" s="90"/>
    </row>
    <row r="267" customFormat="false" ht="15" hidden="false" customHeight="true" outlineLevel="0" collapsed="false">
      <c r="A267" s="88"/>
      <c r="B267" s="89"/>
      <c r="C267" s="90"/>
    </row>
    <row r="268" customFormat="false" ht="15" hidden="false" customHeight="true" outlineLevel="0" collapsed="false">
      <c r="A268" s="88"/>
      <c r="B268" s="89"/>
      <c r="C268" s="90"/>
    </row>
    <row r="269" customFormat="false" ht="15" hidden="false" customHeight="true" outlineLevel="0" collapsed="false">
      <c r="A269" s="88"/>
      <c r="B269" s="89"/>
      <c r="C269" s="90"/>
    </row>
    <row r="270" customFormat="false" ht="15" hidden="false" customHeight="true" outlineLevel="0" collapsed="false">
      <c r="A270" s="88"/>
      <c r="B270" s="89"/>
      <c r="C270" s="90"/>
    </row>
    <row r="271" customFormat="false" ht="15" hidden="false" customHeight="true" outlineLevel="0" collapsed="false">
      <c r="A271" s="88"/>
      <c r="B271" s="89"/>
      <c r="C271" s="90"/>
    </row>
    <row r="272" customFormat="false" ht="15" hidden="false" customHeight="true" outlineLevel="0" collapsed="false">
      <c r="A272" s="88"/>
      <c r="B272" s="89"/>
      <c r="C272" s="90"/>
    </row>
    <row r="273" customFormat="false" ht="15" hidden="false" customHeight="true" outlineLevel="0" collapsed="false">
      <c r="A273" s="88"/>
      <c r="B273" s="89"/>
      <c r="C273" s="90"/>
    </row>
    <row r="274" customFormat="false" ht="15" hidden="false" customHeight="true" outlineLevel="0" collapsed="false">
      <c r="A274" s="88"/>
      <c r="B274" s="89"/>
      <c r="C274" s="90"/>
    </row>
    <row r="275" customFormat="false" ht="15" hidden="false" customHeight="true" outlineLevel="0" collapsed="false">
      <c r="A275" s="88"/>
      <c r="B275" s="89"/>
      <c r="C275" s="90"/>
    </row>
    <row r="276" customFormat="false" ht="15" hidden="false" customHeight="true" outlineLevel="0" collapsed="false">
      <c r="A276" s="88"/>
      <c r="B276" s="89"/>
      <c r="C276" s="90"/>
    </row>
    <row r="277" customFormat="false" ht="15" hidden="false" customHeight="true" outlineLevel="0" collapsed="false">
      <c r="A277" s="88"/>
      <c r="B277" s="89"/>
      <c r="C277" s="90"/>
    </row>
    <row r="278" customFormat="false" ht="15" hidden="false" customHeight="true" outlineLevel="0" collapsed="false">
      <c r="A278" s="88"/>
      <c r="B278" s="89"/>
      <c r="C278" s="90"/>
    </row>
    <row r="279" customFormat="false" ht="15" hidden="false" customHeight="true" outlineLevel="0" collapsed="false">
      <c r="A279" s="88"/>
      <c r="B279" s="89"/>
      <c r="C279" s="90"/>
    </row>
    <row r="280" customFormat="false" ht="15" hidden="false" customHeight="true" outlineLevel="0" collapsed="false">
      <c r="A280" s="88"/>
      <c r="B280" s="89"/>
      <c r="C280" s="90"/>
    </row>
    <row r="281" customFormat="false" ht="15" hidden="false" customHeight="true" outlineLevel="0" collapsed="false">
      <c r="A281" s="88"/>
      <c r="B281" s="89"/>
      <c r="C281" s="90"/>
    </row>
    <row r="282" customFormat="false" ht="15" hidden="false" customHeight="true" outlineLevel="0" collapsed="false">
      <c r="A282" s="88"/>
      <c r="B282" s="89"/>
      <c r="C282" s="90"/>
    </row>
    <row r="283" customFormat="false" ht="15" hidden="false" customHeight="true" outlineLevel="0" collapsed="false">
      <c r="A283" s="88"/>
      <c r="B283" s="89"/>
      <c r="C283" s="90"/>
    </row>
    <row r="284" customFormat="false" ht="15" hidden="false" customHeight="true" outlineLevel="0" collapsed="false">
      <c r="A284" s="88"/>
      <c r="B284" s="89"/>
      <c r="C284" s="90"/>
    </row>
    <row r="285" customFormat="false" ht="15" hidden="false" customHeight="true" outlineLevel="0" collapsed="false">
      <c r="A285" s="88"/>
      <c r="B285" s="89"/>
      <c r="C285" s="90"/>
    </row>
    <row r="286" customFormat="false" ht="15" hidden="false" customHeight="true" outlineLevel="0" collapsed="false">
      <c r="A286" s="88"/>
      <c r="B286" s="89"/>
      <c r="C286" s="90"/>
    </row>
    <row r="287" customFormat="false" ht="15" hidden="false" customHeight="true" outlineLevel="0" collapsed="false">
      <c r="A287" s="88"/>
      <c r="B287" s="89"/>
      <c r="C287" s="90"/>
    </row>
    <row r="288" customFormat="false" ht="15" hidden="false" customHeight="true" outlineLevel="0" collapsed="false">
      <c r="A288" s="88"/>
      <c r="B288" s="89"/>
      <c r="C288" s="90"/>
    </row>
    <row r="289" customFormat="false" ht="15" hidden="false" customHeight="true" outlineLevel="0" collapsed="false">
      <c r="A289" s="88"/>
      <c r="B289" s="89"/>
      <c r="C289" s="90"/>
    </row>
    <row r="290" customFormat="false" ht="15" hidden="false" customHeight="true" outlineLevel="0" collapsed="false">
      <c r="A290" s="88"/>
      <c r="B290" s="89"/>
      <c r="C290" s="90"/>
    </row>
    <row r="291" customFormat="false" ht="15" hidden="false" customHeight="true" outlineLevel="0" collapsed="false">
      <c r="A291" s="88"/>
      <c r="B291" s="89"/>
      <c r="C291" s="90"/>
    </row>
    <row r="292" customFormat="false" ht="15" hidden="false" customHeight="true" outlineLevel="0" collapsed="false">
      <c r="A292" s="88"/>
      <c r="B292" s="89"/>
      <c r="C292" s="90"/>
    </row>
    <row r="293" customFormat="false" ht="15" hidden="false" customHeight="true" outlineLevel="0" collapsed="false">
      <c r="A293" s="88"/>
      <c r="B293" s="89"/>
      <c r="C293" s="90"/>
    </row>
    <row r="294" customFormat="false" ht="15" hidden="false" customHeight="true" outlineLevel="0" collapsed="false">
      <c r="A294" s="88"/>
      <c r="B294" s="89"/>
      <c r="C294" s="90"/>
    </row>
    <row r="295" customFormat="false" ht="15" hidden="false" customHeight="true" outlineLevel="0" collapsed="false">
      <c r="A295" s="88"/>
      <c r="B295" s="89"/>
      <c r="C295" s="90"/>
    </row>
    <row r="296" customFormat="false" ht="15" hidden="false" customHeight="true" outlineLevel="0" collapsed="false">
      <c r="A296" s="88"/>
      <c r="B296" s="89"/>
      <c r="C296" s="90"/>
    </row>
    <row r="297" customFormat="false" ht="15" hidden="false" customHeight="true" outlineLevel="0" collapsed="false">
      <c r="A297" s="88"/>
      <c r="B297" s="89"/>
      <c r="C297" s="90"/>
    </row>
    <row r="298" customFormat="false" ht="15" hidden="false" customHeight="true" outlineLevel="0" collapsed="false">
      <c r="A298" s="88"/>
      <c r="B298" s="89"/>
      <c r="C298" s="90"/>
    </row>
    <row r="299" customFormat="false" ht="15" hidden="false" customHeight="true" outlineLevel="0" collapsed="false">
      <c r="A299" s="88"/>
      <c r="B299" s="89"/>
      <c r="C299" s="90"/>
    </row>
    <row r="300" customFormat="false" ht="15" hidden="false" customHeight="true" outlineLevel="0" collapsed="false">
      <c r="A300" s="88"/>
      <c r="B300" s="89"/>
      <c r="C300" s="90"/>
    </row>
    <row r="301" customFormat="false" ht="15" hidden="false" customHeight="true" outlineLevel="0" collapsed="false">
      <c r="A301" s="88"/>
      <c r="B301" s="89"/>
      <c r="C301" s="90"/>
    </row>
    <row r="302" customFormat="false" ht="15" hidden="false" customHeight="true" outlineLevel="0" collapsed="false">
      <c r="A302" s="88"/>
      <c r="B302" s="89"/>
      <c r="C302" s="90"/>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10"/>
    <col collapsed="false" customWidth="true" hidden="false" outlineLevel="0" max="4" min="4" style="1" width="55"/>
    <col collapsed="false" customWidth="true" hidden="false" outlineLevel="0" max="6" min="5" style="1" width="1"/>
  </cols>
  <sheetData>
    <row r="1" customFormat="false" ht="19.5" hidden="false" customHeight="true" outlineLevel="0" collapsed="false">
      <c r="A1" s="8" t="s">
        <v>435</v>
      </c>
      <c r="B1" s="8"/>
      <c r="C1" s="8"/>
      <c r="D1" s="8"/>
      <c r="E1" s="8"/>
      <c r="F1" s="8"/>
    </row>
    <row r="2" customFormat="false" ht="39.75" hidden="false" customHeight="true" outlineLevel="0" collapsed="false">
      <c r="A2" s="16" t="s">
        <v>436</v>
      </c>
      <c r="B2" s="16"/>
      <c r="C2" s="16"/>
      <c r="D2" s="16"/>
      <c r="E2" s="16"/>
      <c r="F2" s="16"/>
    </row>
    <row r="4" customFormat="false" ht="15" hidden="false" customHeight="true" outlineLevel="0" collapsed="false">
      <c r="A4" s="91" t="s">
        <v>437</v>
      </c>
      <c r="B4" s="91"/>
      <c r="C4" s="91"/>
      <c r="D4" s="91"/>
      <c r="E4" s="91"/>
      <c r="F4" s="91"/>
    </row>
    <row r="5" customFormat="false" ht="15" hidden="false" customHeight="true" outlineLevel="0" collapsed="false">
      <c r="A5" s="46" t="s">
        <v>438</v>
      </c>
      <c r="B5" s="46" t="s">
        <v>439</v>
      </c>
      <c r="C5" s="46" t="s">
        <v>440</v>
      </c>
      <c r="D5" s="46" t="s">
        <v>441</v>
      </c>
    </row>
    <row r="6" customFormat="false" ht="15" hidden="false" customHeight="true" outlineLevel="0" collapsed="false">
      <c r="A6" s="92" t="s">
        <v>442</v>
      </c>
      <c r="B6" s="92" t="s">
        <v>443</v>
      </c>
      <c r="C6" s="92" t="s">
        <v>443</v>
      </c>
      <c r="D6" s="92" t="s">
        <v>444</v>
      </c>
      <c r="E6" s="92"/>
      <c r="F6" s="92"/>
    </row>
    <row r="8" customFormat="false" ht="15" hidden="false" customHeight="true" outlineLevel="0" collapsed="false">
      <c r="A8" s="91" t="s">
        <v>445</v>
      </c>
      <c r="B8" s="91"/>
      <c r="C8" s="91"/>
      <c r="D8" s="91"/>
      <c r="E8" s="91"/>
      <c r="F8" s="91"/>
    </row>
    <row r="9" customFormat="false" ht="15" hidden="false" customHeight="true" outlineLevel="0" collapsed="false">
      <c r="A9" s="46" t="s">
        <v>438</v>
      </c>
      <c r="B9" s="46" t="s">
        <v>439</v>
      </c>
      <c r="C9" s="46" t="s">
        <v>440</v>
      </c>
      <c r="D9" s="46" t="s">
        <v>441</v>
      </c>
    </row>
    <row r="10" customFormat="false" ht="27.75" hidden="false" customHeight="true" outlineLevel="0" collapsed="false">
      <c r="A10" s="92" t="s">
        <v>446</v>
      </c>
      <c r="B10" s="92" t="s">
        <v>443</v>
      </c>
      <c r="C10" s="92" t="s">
        <v>447</v>
      </c>
      <c r="D10" s="92" t="s">
        <v>448</v>
      </c>
      <c r="E10" s="92"/>
      <c r="F10" s="92"/>
    </row>
    <row r="12" customFormat="false" ht="15" hidden="false" customHeight="true" outlineLevel="0" collapsed="false">
      <c r="A12" s="91" t="s">
        <v>449</v>
      </c>
      <c r="B12" s="91"/>
      <c r="C12" s="91"/>
      <c r="D12" s="91"/>
      <c r="E12" s="91"/>
      <c r="F12" s="91"/>
    </row>
    <row r="13" customFormat="false" ht="15" hidden="false" customHeight="true" outlineLevel="0" collapsed="false">
      <c r="A13" s="46" t="s">
        <v>438</v>
      </c>
      <c r="B13" s="46" t="s">
        <v>439</v>
      </c>
      <c r="C13" s="46" t="s">
        <v>440</v>
      </c>
      <c r="D13" s="46" t="s">
        <v>441</v>
      </c>
    </row>
    <row r="14" customFormat="false" ht="36.75" hidden="false" customHeight="true" outlineLevel="0" collapsed="false">
      <c r="A14" s="92" t="s">
        <v>450</v>
      </c>
      <c r="B14" s="92" t="s">
        <v>451</v>
      </c>
      <c r="C14" s="92" t="s">
        <v>452</v>
      </c>
      <c r="D14" s="92" t="s">
        <v>453</v>
      </c>
      <c r="E14" s="92"/>
      <c r="F14" s="92"/>
    </row>
    <row r="16" customFormat="false" ht="15" hidden="false" customHeight="true" outlineLevel="0" collapsed="false">
      <c r="A16" s="91" t="s">
        <v>454</v>
      </c>
      <c r="B16" s="91"/>
      <c r="C16" s="91"/>
      <c r="D16" s="91"/>
      <c r="E16" s="91"/>
      <c r="F16" s="91"/>
    </row>
    <row r="17" customFormat="false" ht="15" hidden="false" customHeight="true" outlineLevel="0" collapsed="false">
      <c r="A17" s="46" t="s">
        <v>438</v>
      </c>
      <c r="B17" s="46" t="s">
        <v>439</v>
      </c>
      <c r="C17" s="46" t="s">
        <v>440</v>
      </c>
      <c r="D17" s="46" t="s">
        <v>441</v>
      </c>
    </row>
    <row r="18" customFormat="false" ht="18.75" hidden="false" customHeight="true" outlineLevel="0" collapsed="false">
      <c r="A18" s="92" t="s">
        <v>455</v>
      </c>
      <c r="B18" s="92" t="s">
        <v>443</v>
      </c>
      <c r="C18" s="92" t="s">
        <v>456</v>
      </c>
      <c r="D18" s="92" t="s">
        <v>457</v>
      </c>
      <c r="E18" s="92"/>
      <c r="F18" s="92"/>
    </row>
    <row r="20" customFormat="false" ht="15" hidden="false" customHeight="true" outlineLevel="0" collapsed="false">
      <c r="A20" s="91" t="s">
        <v>458</v>
      </c>
      <c r="B20" s="91"/>
      <c r="C20" s="91"/>
      <c r="D20" s="91"/>
      <c r="E20" s="91"/>
      <c r="F20" s="91"/>
    </row>
    <row r="21" customFormat="false" ht="15" hidden="false" customHeight="true" outlineLevel="0" collapsed="false">
      <c r="A21" s="46" t="s">
        <v>438</v>
      </c>
      <c r="B21" s="46" t="s">
        <v>439</v>
      </c>
      <c r="C21" s="46" t="s">
        <v>440</v>
      </c>
      <c r="D21" s="46" t="s">
        <v>441</v>
      </c>
    </row>
    <row r="22" customFormat="false" ht="63.75" hidden="false" customHeight="true" outlineLevel="0" collapsed="false">
      <c r="A22" s="92" t="s">
        <v>459</v>
      </c>
      <c r="B22" s="92" t="s">
        <v>460</v>
      </c>
      <c r="C22" s="92" t="s">
        <v>461</v>
      </c>
      <c r="D22" s="92" t="s">
        <v>462</v>
      </c>
      <c r="E22" s="92"/>
      <c r="F22" s="92"/>
    </row>
    <row r="24" customFormat="false" ht="15" hidden="false" customHeight="true" outlineLevel="0" collapsed="false">
      <c r="A24" s="91" t="s">
        <v>463</v>
      </c>
      <c r="B24" s="91"/>
      <c r="C24" s="91"/>
      <c r="D24" s="91"/>
      <c r="E24" s="91"/>
      <c r="F24" s="91"/>
    </row>
    <row r="25" customFormat="false" ht="15" hidden="false" customHeight="true" outlineLevel="0" collapsed="false">
      <c r="A25" s="46" t="s">
        <v>438</v>
      </c>
      <c r="B25" s="46" t="s">
        <v>439</v>
      </c>
      <c r="C25" s="46" t="s">
        <v>440</v>
      </c>
      <c r="D25" s="46" t="s">
        <v>441</v>
      </c>
    </row>
    <row r="26" customFormat="false" ht="45.75" hidden="false" customHeight="true" outlineLevel="0" collapsed="false">
      <c r="A26" s="92" t="s">
        <v>459</v>
      </c>
      <c r="B26" s="92" t="s">
        <v>464</v>
      </c>
      <c r="C26" s="92" t="s">
        <v>465</v>
      </c>
      <c r="D26" s="92" t="s">
        <v>466</v>
      </c>
      <c r="E26" s="92"/>
      <c r="F26" s="92"/>
    </row>
    <row r="28" customFormat="false" ht="15" hidden="false" customHeight="true" outlineLevel="0" collapsed="false">
      <c r="A28" s="91" t="s">
        <v>467</v>
      </c>
      <c r="B28" s="91"/>
      <c r="C28" s="91"/>
      <c r="D28" s="91"/>
      <c r="E28" s="91"/>
      <c r="F28" s="91"/>
    </row>
    <row r="29" customFormat="false" ht="15" hidden="false" customHeight="true" outlineLevel="0" collapsed="false">
      <c r="A29" s="46" t="s">
        <v>438</v>
      </c>
      <c r="B29" s="46" t="s">
        <v>439</v>
      </c>
      <c r="C29" s="46" t="s">
        <v>440</v>
      </c>
      <c r="D29" s="46" t="s">
        <v>441</v>
      </c>
    </row>
    <row r="30" customFormat="false" ht="27.75" hidden="false" customHeight="true" outlineLevel="0" collapsed="false">
      <c r="A30" s="92" t="s">
        <v>459</v>
      </c>
      <c r="B30" s="92" t="s">
        <v>468</v>
      </c>
      <c r="C30" s="92" t="s">
        <v>469</v>
      </c>
      <c r="D30" s="92" t="s">
        <v>470</v>
      </c>
      <c r="E30" s="92"/>
      <c r="F30" s="92"/>
    </row>
    <row r="32" customFormat="false" ht="15" hidden="false" customHeight="true" outlineLevel="0" collapsed="false">
      <c r="A32" s="91" t="s">
        <v>471</v>
      </c>
      <c r="B32" s="91"/>
      <c r="C32" s="91"/>
      <c r="D32" s="91"/>
      <c r="E32" s="91"/>
      <c r="F32" s="91"/>
    </row>
    <row r="33" customFormat="false" ht="15" hidden="false" customHeight="true" outlineLevel="0" collapsed="false">
      <c r="A33" s="46" t="s">
        <v>438</v>
      </c>
      <c r="B33" s="46" t="s">
        <v>439</v>
      </c>
      <c r="C33" s="46" t="s">
        <v>440</v>
      </c>
      <c r="D33" s="46" t="s">
        <v>441</v>
      </c>
    </row>
    <row r="34" customFormat="false" ht="45.75" hidden="false" customHeight="true" outlineLevel="0" collapsed="false">
      <c r="A34" s="92" t="s">
        <v>450</v>
      </c>
      <c r="B34" s="92" t="s">
        <v>472</v>
      </c>
      <c r="C34" s="92" t="s">
        <v>473</v>
      </c>
      <c r="D34" s="92" t="s">
        <v>474</v>
      </c>
      <c r="E34" s="92"/>
      <c r="F34" s="92"/>
    </row>
    <row r="36" customFormat="false" ht="15" hidden="false" customHeight="true" outlineLevel="0" collapsed="false">
      <c r="A36" s="91" t="s">
        <v>475</v>
      </c>
      <c r="B36" s="91"/>
      <c r="C36" s="91"/>
      <c r="D36" s="91"/>
      <c r="E36" s="91"/>
      <c r="F36" s="91"/>
    </row>
    <row r="37" customFormat="false" ht="15" hidden="false" customHeight="true" outlineLevel="0" collapsed="false">
      <c r="A37" s="46" t="s">
        <v>438</v>
      </c>
      <c r="B37" s="46" t="s">
        <v>439</v>
      </c>
      <c r="C37" s="46" t="s">
        <v>440</v>
      </c>
      <c r="D37" s="46" t="s">
        <v>441</v>
      </c>
    </row>
    <row r="38" customFormat="false" ht="36.75" hidden="false" customHeight="true" outlineLevel="0" collapsed="false">
      <c r="A38" s="92" t="s">
        <v>450</v>
      </c>
      <c r="B38" s="92" t="s">
        <v>476</v>
      </c>
      <c r="C38" s="92" t="s">
        <v>477</v>
      </c>
      <c r="D38" s="92" t="s">
        <v>478</v>
      </c>
      <c r="E38" s="92"/>
      <c r="F38" s="92"/>
    </row>
    <row r="40" customFormat="false" ht="15" hidden="false" customHeight="true" outlineLevel="0" collapsed="false">
      <c r="A40" s="91" t="s">
        <v>479</v>
      </c>
      <c r="B40" s="91"/>
      <c r="C40" s="91"/>
      <c r="D40" s="91"/>
      <c r="E40" s="91"/>
      <c r="F40" s="91"/>
    </row>
    <row r="41" customFormat="false" ht="15" hidden="false" customHeight="true" outlineLevel="0" collapsed="false">
      <c r="A41" s="46" t="s">
        <v>438</v>
      </c>
      <c r="B41" s="46" t="s">
        <v>439</v>
      </c>
      <c r="C41" s="46" t="s">
        <v>440</v>
      </c>
      <c r="D41" s="46" t="s">
        <v>441</v>
      </c>
    </row>
    <row r="42" customFormat="false" ht="36.75" hidden="false" customHeight="true" outlineLevel="0" collapsed="false">
      <c r="A42" s="92" t="s">
        <v>459</v>
      </c>
      <c r="B42" s="92" t="s">
        <v>480</v>
      </c>
      <c r="C42" s="92" t="s">
        <v>481</v>
      </c>
      <c r="D42" s="92" t="s">
        <v>482</v>
      </c>
      <c r="E42" s="92"/>
      <c r="F42" s="92"/>
    </row>
    <row r="44" customFormat="false" ht="15" hidden="false" customHeight="true" outlineLevel="0" collapsed="false">
      <c r="A44" s="91" t="s">
        <v>483</v>
      </c>
      <c r="B44" s="91"/>
      <c r="C44" s="91"/>
      <c r="D44" s="91"/>
      <c r="E44" s="91"/>
      <c r="F44" s="91"/>
    </row>
    <row r="45" customFormat="false" ht="15" hidden="false" customHeight="true" outlineLevel="0" collapsed="false">
      <c r="A45" s="46" t="s">
        <v>438</v>
      </c>
      <c r="B45" s="46" t="s">
        <v>439</v>
      </c>
      <c r="C45" s="46" t="s">
        <v>440</v>
      </c>
      <c r="D45" s="46" t="s">
        <v>441</v>
      </c>
    </row>
    <row r="46" customFormat="false" ht="18.75" hidden="false" customHeight="true" outlineLevel="0" collapsed="false">
      <c r="A46" s="92" t="s">
        <v>455</v>
      </c>
      <c r="B46" s="92" t="s">
        <v>443</v>
      </c>
      <c r="C46" s="92" t="s">
        <v>484</v>
      </c>
      <c r="D46" s="92" t="s">
        <v>485</v>
      </c>
      <c r="E46" s="92"/>
      <c r="F46" s="92"/>
    </row>
    <row r="48" customFormat="false" ht="15" hidden="false" customHeight="true" outlineLevel="0" collapsed="false">
      <c r="A48" s="91" t="s">
        <v>486</v>
      </c>
      <c r="B48" s="91"/>
      <c r="C48" s="91"/>
      <c r="D48" s="91"/>
      <c r="E48" s="91"/>
      <c r="F48" s="91"/>
    </row>
    <row r="49" customFormat="false" ht="15" hidden="false" customHeight="true" outlineLevel="0" collapsed="false">
      <c r="A49" s="46" t="s">
        <v>438</v>
      </c>
      <c r="B49" s="46" t="s">
        <v>439</v>
      </c>
      <c r="C49" s="46" t="s">
        <v>440</v>
      </c>
      <c r="D49" s="46" t="s">
        <v>441</v>
      </c>
    </row>
    <row r="50" customFormat="false" ht="18.75" hidden="false" customHeight="true" outlineLevel="0" collapsed="false">
      <c r="A50" s="92" t="s">
        <v>487</v>
      </c>
      <c r="B50" s="92" t="s">
        <v>443</v>
      </c>
      <c r="C50" s="92" t="s">
        <v>488</v>
      </c>
      <c r="D50" s="92" t="s">
        <v>489</v>
      </c>
      <c r="E50" s="92"/>
      <c r="F50" s="92"/>
    </row>
    <row r="52" customFormat="false" ht="15" hidden="false" customHeight="true" outlineLevel="0" collapsed="false">
      <c r="A52" s="91" t="s">
        <v>490</v>
      </c>
      <c r="B52" s="91"/>
      <c r="C52" s="91"/>
      <c r="D52" s="91"/>
      <c r="E52" s="91"/>
      <c r="F52" s="91"/>
    </row>
    <row r="53" customFormat="false" ht="15" hidden="false" customHeight="true" outlineLevel="0" collapsed="false">
      <c r="A53" s="46" t="s">
        <v>438</v>
      </c>
      <c r="B53" s="46" t="s">
        <v>439</v>
      </c>
      <c r="C53" s="46" t="s">
        <v>440</v>
      </c>
      <c r="D53" s="46" t="s">
        <v>441</v>
      </c>
    </row>
    <row r="54" customFormat="false" ht="36.75" hidden="false" customHeight="true" outlineLevel="0" collapsed="false">
      <c r="A54" s="92" t="s">
        <v>491</v>
      </c>
      <c r="B54" s="92" t="s">
        <v>443</v>
      </c>
      <c r="C54" s="92" t="s">
        <v>492</v>
      </c>
      <c r="D54" s="92" t="s">
        <v>493</v>
      </c>
      <c r="E54" s="92"/>
      <c r="F54" s="92"/>
    </row>
    <row r="56" customFormat="false" ht="15" hidden="false" customHeight="true" outlineLevel="0" collapsed="false">
      <c r="A56" s="91" t="s">
        <v>494</v>
      </c>
      <c r="B56" s="91"/>
      <c r="C56" s="91"/>
      <c r="D56" s="91"/>
      <c r="E56" s="91"/>
      <c r="F56" s="91"/>
    </row>
    <row r="57" customFormat="false" ht="15" hidden="false" customHeight="true" outlineLevel="0" collapsed="false">
      <c r="A57" s="46" t="s">
        <v>438</v>
      </c>
      <c r="B57" s="46" t="s">
        <v>439</v>
      </c>
      <c r="C57" s="46" t="s">
        <v>440</v>
      </c>
      <c r="D57" s="46" t="s">
        <v>441</v>
      </c>
    </row>
    <row r="58" customFormat="false" ht="18.75" hidden="false" customHeight="true" outlineLevel="0" collapsed="false">
      <c r="A58" s="92" t="s">
        <v>459</v>
      </c>
      <c r="B58" s="92" t="s">
        <v>495</v>
      </c>
      <c r="C58" s="92" t="s">
        <v>496</v>
      </c>
      <c r="D58" s="92" t="s">
        <v>497</v>
      </c>
      <c r="E58" s="92"/>
      <c r="F58" s="92"/>
    </row>
  </sheetData>
  <mergeCells count="3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dcterms:modified xsi:type="dcterms:W3CDTF">2026-08-25T13:39:18Z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